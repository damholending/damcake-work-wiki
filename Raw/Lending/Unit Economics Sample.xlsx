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/>
  <mc:AlternateContent xmlns:mc="http://schemas.openxmlformats.org/markup-compatibility/2006">
    <mc:Choice Requires="x15">
      <x15ac:absPath xmlns:x15ac="http://schemas.microsoft.com/office/spreadsheetml/2010/11/ac" url="/Users/dam.ho/Desktop/Work/damcake-work-wiki/Raw/Lending/"/>
    </mc:Choice>
  </mc:AlternateContent>
  <xr:revisionPtr revIDLastSave="0" documentId="13_ncr:101_{601F6036-369D-0A4D-8EEE-C5303D752BBD}" xr6:coauthVersionLast="47" xr6:coauthVersionMax="47" xr10:uidLastSave="{00000000-0000-0000-0000-000000000000}"/>
  <bookViews>
    <workbookView xWindow="240" yWindow="740" windowWidth="14800" windowHeight="8020" xr2:uid="{00000000-000D-0000-FFFF-FFFF00000000}"/>
  </bookViews>
  <sheets>
    <sheet name="Cash Lo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7" i="1" l="1"/>
  <c r="C7" i="1"/>
  <c r="C10" i="1"/>
  <c r="C8" i="1"/>
  <c r="C6" i="1"/>
  <c r="C9" i="1" l="1"/>
  <c r="C16" i="1" s="1"/>
  <c r="C18" i="1" s="1"/>
  <c r="C20" i="1" l="1"/>
  <c r="C11" i="1" l="1"/>
  <c r="C14" i="1" s="1"/>
  <c r="C23" i="1"/>
</calcChain>
</file>

<file path=xl/sharedStrings.xml><?xml version="1.0" encoding="utf-8"?>
<sst xmlns="http://schemas.openxmlformats.org/spreadsheetml/2006/main" count="22" uniqueCount="19">
  <si>
    <t>Lãi suất/năm (dư nợ giảm dần)</t>
  </si>
  <si>
    <t>% Chi phí vốn (dư nợ giảm dần)</t>
  </si>
  <si>
    <t>% Chi phí rủi ro</t>
  </si>
  <si>
    <t>Hạn mức trung bình</t>
  </si>
  <si>
    <t>Kỳ hạn trung bình</t>
  </si>
  <si>
    <t>% Doanh thu lãi (dư nợ gốc)</t>
  </si>
  <si>
    <t>% Doanh thu phí (dư nợ gốc)</t>
  </si>
  <si>
    <t>% Chi phí rủi ro (gốc)</t>
  </si>
  <si>
    <t>% Chi phí rủi ro (lãi)</t>
  </si>
  <si>
    <t>% Chi phí vốn (dư nợ gốc)</t>
  </si>
  <si>
    <t>% Chi phí acquisition</t>
  </si>
  <si>
    <t>% Chi phí UW + Collection</t>
  </si>
  <si>
    <t>% Fixed cost</t>
  </si>
  <si>
    <t>% Lợi nhuận</t>
  </si>
  <si>
    <t>TOI</t>
  </si>
  <si>
    <t>RISK</t>
  </si>
  <si>
    <t>TOI-RISK</t>
  </si>
  <si>
    <t>% SHARING TO PARTNER</t>
  </si>
  <si>
    <t>SHARING TO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</si>
</sst>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10" fontId="2" fillId="0" borderId="0" xfId="0" applyNumberFormat="1" applyFont="1"/>
    <xf numFmtId="165" fontId="3" fillId="0" borderId="0" xfId="0" applyNumberFormat="1" applyFont="1"/>
    <xf numFmtId="0" fontId="4" fillId="0" borderId="0" xfId="0" applyFont="1"/>
    <xf numFmtId="165" fontId="4" fillId="0" borderId="0" xfId="0" applyNumberFormat="1" applyFont="1"/>
    <xf numFmtId="164" fontId="2" fillId="0" borderId="0" xfId="1" applyFont="1" applyAlignment="1">
      <alignment horizontal="right"/>
    </xf>
    <xf numFmtId="165" fontId="3" fillId="0" borderId="0" xfId="2" applyNumberFormat="1" applyFont="1" applyFill="1"/>
    <xf numFmtId="0" fontId="5" fillId="0" borderId="0" xfId="0" applyFont="1"/>
    <xf numFmtId="165" fontId="5" fillId="0" borderId="0" xfId="0" applyNumberFormat="1" applyFont="1"/>
    <xf numFmtId="165" fontId="3" fillId="0" borderId="0" xfId="2" applyNumberFormat="1" applyFont="1"/>
    <xf numFmtId="165" fontId="2" fillId="0" borderId="0" xfId="0" applyNumberFormat="1" applyFont="1"/>
    <xf numFmtId="9" fontId="0" fillId="0" borderId="0" xfId="0" applyNumberFormat="1"/>
    <xf numFmtId="165" fontId="0" fillId="0" borderId="0" xfId="0" applyNumberFormat="1"/>
    <xf numFmtId="0" fontId="3" fillId="0" borderId="0" xfId="0" applyFont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3"/>
  <sheetViews>
    <sheetView showGridLines="0" tabSelected="1" workbookViewId="0">
      <selection activeCell="B15" sqref="B15"/>
    </sheetView>
  </sheetViews>
  <sheetFormatPr baseColWidth="10" defaultColWidth="8.83203125" defaultRowHeight="15" x14ac:dyDescent="0.2"/>
  <cols>
    <col min="2" max="2" width="34.33203125" bestFit="1" customWidth="1"/>
    <col min="3" max="3" width="13" bestFit="1" customWidth="1"/>
  </cols>
  <sheetData>
    <row r="1" spans="2:3" x14ac:dyDescent="0.2">
      <c r="B1" s="1" t="s">
        <v>0</v>
      </c>
      <c r="C1" s="2">
        <v>0.5</v>
      </c>
    </row>
    <row r="2" spans="2:3" x14ac:dyDescent="0.2">
      <c r="B2" s="1" t="s">
        <v>1</v>
      </c>
      <c r="C2" s="3">
        <v>0.08</v>
      </c>
    </row>
    <row r="3" spans="2:3" x14ac:dyDescent="0.2">
      <c r="B3" s="4" t="s">
        <v>2</v>
      </c>
      <c r="C3" s="5">
        <v>0.2</v>
      </c>
    </row>
    <row r="4" spans="2:3" x14ac:dyDescent="0.2">
      <c r="B4" s="1" t="s">
        <v>3</v>
      </c>
      <c r="C4" s="6">
        <v>15000000</v>
      </c>
    </row>
    <row r="5" spans="2:3" x14ac:dyDescent="0.2">
      <c r="B5" s="1" t="s">
        <v>4</v>
      </c>
      <c r="C5" s="1">
        <v>14</v>
      </c>
    </row>
    <row r="6" spans="2:3" x14ac:dyDescent="0.2">
      <c r="B6" s="1" t="s">
        <v>5</v>
      </c>
      <c r="C6" s="7">
        <f>C1/12*C$5/(1-(1+C1/12)^(-C$5))-1</f>
        <v>0.3399898280740854</v>
      </c>
    </row>
    <row r="7" spans="2:3" x14ac:dyDescent="0.2">
      <c r="B7" s="1" t="s">
        <v>6</v>
      </c>
      <c r="C7" s="7">
        <f>7%*90%*85%</f>
        <v>5.3550000000000007E-2</v>
      </c>
    </row>
    <row r="8" spans="2:3" x14ac:dyDescent="0.2">
      <c r="B8" s="8" t="s">
        <v>7</v>
      </c>
      <c r="C8" s="9">
        <f>C3</f>
        <v>0.2</v>
      </c>
    </row>
    <row r="9" spans="2:3" x14ac:dyDescent="0.2">
      <c r="B9" s="8" t="s">
        <v>8</v>
      </c>
      <c r="C9" s="9">
        <f>C8*C6</f>
        <v>6.799796561481708E-2</v>
      </c>
    </row>
    <row r="10" spans="2:3" x14ac:dyDescent="0.2">
      <c r="B10" s="8" t="s">
        <v>9</v>
      </c>
      <c r="C10" s="10">
        <f>C2/12*$C$5/(1-(1+C2/12)^(-$C$5))-1</f>
        <v>5.0719721137516105E-2</v>
      </c>
    </row>
    <row r="11" spans="2:3" x14ac:dyDescent="0.2">
      <c r="B11" s="8" t="s">
        <v>10</v>
      </c>
      <c r="C11" s="10">
        <f>C20</f>
        <v>2.2446642396525655E-2</v>
      </c>
    </row>
    <row r="12" spans="2:3" x14ac:dyDescent="0.2">
      <c r="B12" s="8" t="s">
        <v>11</v>
      </c>
      <c r="C12" s="3">
        <v>0.01</v>
      </c>
    </row>
    <row r="13" spans="2:3" x14ac:dyDescent="0.2">
      <c r="B13" s="8" t="s">
        <v>12</v>
      </c>
      <c r="C13" s="3">
        <v>2.3E-2</v>
      </c>
    </row>
    <row r="14" spans="2:3" x14ac:dyDescent="0.2">
      <c r="B14" s="1" t="s">
        <v>13</v>
      </c>
      <c r="C14" s="11">
        <f>C6+C7-SUM(C8:C13)</f>
        <v>1.9375498925226498E-2</v>
      </c>
    </row>
    <row r="16" spans="2:3" x14ac:dyDescent="0.2">
      <c r="B16" t="s">
        <v>14</v>
      </c>
      <c r="C16" s="13">
        <f>C6+C7-C9-C10</f>
        <v>0.2748221413217522</v>
      </c>
    </row>
    <row r="17" spans="2:3" x14ac:dyDescent="0.2">
      <c r="B17" t="s">
        <v>15</v>
      </c>
      <c r="C17" s="13">
        <f>C8</f>
        <v>0.2</v>
      </c>
    </row>
    <row r="18" spans="2:3" x14ac:dyDescent="0.2">
      <c r="B18" t="s">
        <v>16</v>
      </c>
      <c r="C18" s="13">
        <f>C16-C17</f>
        <v>7.4822141321752189E-2</v>
      </c>
    </row>
    <row r="19" spans="2:3" x14ac:dyDescent="0.2">
      <c r="B19" t="s">
        <v>17</v>
      </c>
      <c r="C19" s="12">
        <v>0.3</v>
      </c>
    </row>
    <row r="20" spans="2:3" x14ac:dyDescent="0.2">
      <c r="B20" t="s">
        <v>18</v>
      </c>
      <c r="C20" s="13">
        <f>C18*C19</f>
        <v>2.2446642396525655E-2</v>
      </c>
    </row>
    <row r="21" spans="2:3" x14ac:dyDescent="0.2">
      <c r="B21" s="8" t="s">
        <v>11</v>
      </c>
      <c r="C21" s="3">
        <v>0.01</v>
      </c>
    </row>
    <row r="22" spans="2:3" x14ac:dyDescent="0.2">
      <c r="B22" s="8" t="s">
        <v>12</v>
      </c>
      <c r="C22" s="3">
        <v>2.3E-2</v>
      </c>
    </row>
    <row r="23" spans="2:3" x14ac:dyDescent="0.2">
      <c r="B23" s="14" t="s">
        <v>13</v>
      </c>
      <c r="C23" s="3">
        <f>C18-C20-C21-C22</f>
        <v>1.9375498925226532E-2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c922acb-b38d-4d71-ae2c-ef6c22b1542d}" enabled="1" method="Privileged" siteId="{9dd3e623-09fb-4fbf-8937-a6f939a1b34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Loan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Hồ Đình Đạm (Head of Lending Product)</cp:lastModifiedBy>
  <cp:revision/>
  <dcterms:created xsi:type="dcterms:W3CDTF">2026-05-28T06:07:15Z</dcterms:created>
  <dcterms:modified xsi:type="dcterms:W3CDTF">2026-05-28T06:15:37Z</dcterms:modified>
  <cp:category/>
  <cp:contentStatus/>
</cp:coreProperties>
</file>