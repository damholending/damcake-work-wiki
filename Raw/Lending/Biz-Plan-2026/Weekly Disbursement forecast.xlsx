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.ho/Desktop/Work/damcake-work-wiki/Raw/Lending/Biz-Plan-2026/"/>
    </mc:Choice>
  </mc:AlternateContent>
  <xr:revisionPtr revIDLastSave="0" documentId="13_ncr:101_{92AE9348-100C-E942-AD98-7E017D169086}" xr6:coauthVersionLast="47" xr6:coauthVersionMax="47" xr10:uidLastSave="{00000000-0000-0000-0000-000000000000}"/>
  <bookViews>
    <workbookView xWindow="1080" yWindow="1240" windowWidth="27640" windowHeight="16760" xr2:uid="{91E0F486-FDA3-D644-959F-EA44905F14C6}"/>
  </bookViews>
  <sheets>
    <sheet name="1. Weekly Forecast - CL-PD-OD" sheetId="2" r:id="rId1"/>
    <sheet name="2. Weekly Forecast - Paylater" sheetId="3" r:id="rId2"/>
  </sheets>
  <definedNames>
    <definedName name="Raw_B0">#REF!</definedName>
    <definedName name="Raw_RF_tbl">#REF!</definedName>
    <definedName name="Raw_RFB0_B1">#REF!</definedName>
    <definedName name="RFB0_B1_Tbl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K31" i="2" l="1"/>
  <c r="AK30" i="2"/>
  <c r="AZ29" i="2"/>
  <c r="AX29" i="2"/>
  <c r="AX31" i="2" s="1"/>
  <c r="AW29" i="2"/>
  <c r="AV29" i="2"/>
  <c r="AQ29" i="2"/>
  <c r="AT29" i="2" s="1"/>
  <c r="AP29" i="2"/>
  <c r="AO29" i="2"/>
  <c r="AN29" i="2"/>
  <c r="AL29" i="2"/>
  <c r="AK29" i="2"/>
  <c r="AZ28" i="2"/>
  <c r="AY28" i="2"/>
  <c r="AX28" i="2"/>
  <c r="AW28" i="2"/>
  <c r="AV28" i="2"/>
  <c r="AQ28" i="2"/>
  <c r="AP28" i="2"/>
  <c r="AR28" i="2" s="1"/>
  <c r="AN28" i="2"/>
  <c r="AO28" i="2" s="1"/>
  <c r="AL28" i="2"/>
  <c r="AK28" i="2"/>
  <c r="AZ27" i="2"/>
  <c r="AX27" i="2"/>
  <c r="AW27" i="2"/>
  <c r="AY27" i="2" s="1"/>
  <c r="AV27" i="2"/>
  <c r="AT27" i="2"/>
  <c r="AR27" i="2"/>
  <c r="AQ27" i="2"/>
  <c r="AP27" i="2"/>
  <c r="AN27" i="2"/>
  <c r="AO27" i="2" s="1"/>
  <c r="AL27" i="2"/>
  <c r="AK27" i="2"/>
  <c r="AZ26" i="2"/>
  <c r="AY26" i="2"/>
  <c r="AX26" i="2"/>
  <c r="AW26" i="2"/>
  <c r="AV26" i="2"/>
  <c r="AT26" i="2"/>
  <c r="AQ26" i="2"/>
  <c r="AP26" i="2"/>
  <c r="AR26" i="2" s="1"/>
  <c r="AO26" i="2"/>
  <c r="AN26" i="2"/>
  <c r="AL26" i="2"/>
  <c r="AK26" i="2"/>
  <c r="AZ25" i="2"/>
  <c r="AX25" i="2"/>
  <c r="AW25" i="2"/>
  <c r="AY25" i="2" s="1"/>
  <c r="AV25" i="2"/>
  <c r="AR25" i="2"/>
  <c r="AQ25" i="2"/>
  <c r="AT25" i="2" s="1"/>
  <c r="AP25" i="2"/>
  <c r="AN25" i="2"/>
  <c r="AO25" i="2" s="1"/>
  <c r="AL25" i="2"/>
  <c r="AK25" i="2"/>
  <c r="AZ24" i="2"/>
  <c r="AY24" i="2"/>
  <c r="AX24" i="2"/>
  <c r="AW24" i="2"/>
  <c r="AV24" i="2"/>
  <c r="AQ24" i="2"/>
  <c r="AP24" i="2"/>
  <c r="AR24" i="2" s="1"/>
  <c r="AN24" i="2"/>
  <c r="AO24" i="2" s="1"/>
  <c r="AL24" i="2"/>
  <c r="AK24" i="2"/>
  <c r="AZ23" i="2"/>
  <c r="AX23" i="2"/>
  <c r="AW23" i="2"/>
  <c r="AY23" i="2" s="1"/>
  <c r="AV23" i="2"/>
  <c r="AT23" i="2"/>
  <c r="AR23" i="2"/>
  <c r="AQ23" i="2"/>
  <c r="AP23" i="2"/>
  <c r="AN23" i="2"/>
  <c r="AO23" i="2" s="1"/>
  <c r="AK23" i="2"/>
  <c r="AZ22" i="2"/>
  <c r="AX22" i="2"/>
  <c r="AY22" i="2" s="1"/>
  <c r="AW22" i="2"/>
  <c r="AV22" i="2"/>
  <c r="AQ22" i="2"/>
  <c r="AT22" i="2" s="1"/>
  <c r="AP22" i="2"/>
  <c r="AO22" i="2"/>
  <c r="AN22" i="2"/>
  <c r="AL22" i="2"/>
  <c r="AK22" i="2"/>
  <c r="AZ21" i="2"/>
  <c r="AX21" i="2"/>
  <c r="AY21" i="2" s="1"/>
  <c r="AW21" i="2"/>
  <c r="AV21" i="2"/>
  <c r="AQ21" i="2"/>
  <c r="AT21" i="2" s="1"/>
  <c r="AP21" i="2"/>
  <c r="AO21" i="2"/>
  <c r="AN21" i="2"/>
  <c r="AL21" i="2"/>
  <c r="AK21" i="2"/>
  <c r="AZ20" i="2"/>
  <c r="AX20" i="2"/>
  <c r="AY20" i="2" s="1"/>
  <c r="AW20" i="2"/>
  <c r="AV20" i="2"/>
  <c r="AT20" i="2"/>
  <c r="AR20" i="2"/>
  <c r="AQ20" i="2"/>
  <c r="AP20" i="2"/>
  <c r="AO20" i="2"/>
  <c r="AN20" i="2"/>
  <c r="AK20" i="2"/>
  <c r="AZ19" i="2"/>
  <c r="AY19" i="2"/>
  <c r="AX19" i="2"/>
  <c r="AW19" i="2"/>
  <c r="AV19" i="2"/>
  <c r="AT19" i="2"/>
  <c r="AR19" i="2"/>
  <c r="AQ19" i="2"/>
  <c r="AP19" i="2"/>
  <c r="AO19" i="2"/>
  <c r="AN19" i="2"/>
  <c r="AL19" i="2"/>
  <c r="AK19" i="2"/>
  <c r="AZ18" i="2"/>
  <c r="AY18" i="2"/>
  <c r="AX18" i="2"/>
  <c r="AW18" i="2"/>
  <c r="AV18" i="2"/>
  <c r="AR18" i="2"/>
  <c r="AQ18" i="2"/>
  <c r="AT18" i="2" s="1"/>
  <c r="AP18" i="2"/>
  <c r="AN18" i="2"/>
  <c r="AO18" i="2" s="1"/>
  <c r="AL18" i="2"/>
  <c r="AK18" i="2"/>
  <c r="AZ17" i="2"/>
  <c r="AX17" i="2"/>
  <c r="AY17" i="2" s="1"/>
  <c r="AW17" i="2"/>
  <c r="AV17" i="2"/>
  <c r="AQ17" i="2"/>
  <c r="AT17" i="2" s="1"/>
  <c r="AP17" i="2"/>
  <c r="AO17" i="2"/>
  <c r="AN17" i="2"/>
  <c r="AK17" i="2"/>
  <c r="AZ16" i="2"/>
  <c r="AX16" i="2"/>
  <c r="AW16" i="2"/>
  <c r="AY16" i="2" s="1"/>
  <c r="AV16" i="2"/>
  <c r="AT16" i="2"/>
  <c r="AR16" i="2"/>
  <c r="AQ16" i="2"/>
  <c r="AP16" i="2"/>
  <c r="AN16" i="2"/>
  <c r="AO16" i="2" s="1"/>
  <c r="AL16" i="2"/>
  <c r="AK16" i="2"/>
  <c r="AZ15" i="2"/>
  <c r="AY15" i="2"/>
  <c r="AX15" i="2"/>
  <c r="AW15" i="2"/>
  <c r="AV15" i="2"/>
  <c r="AT15" i="2"/>
  <c r="AR15" i="2"/>
  <c r="AQ15" i="2"/>
  <c r="AP15" i="2"/>
  <c r="AO15" i="2"/>
  <c r="AN15" i="2"/>
  <c r="AL15" i="2"/>
  <c r="AK15" i="2"/>
  <c r="AZ14" i="2"/>
  <c r="AY14" i="2"/>
  <c r="AX14" i="2"/>
  <c r="AW14" i="2"/>
  <c r="AV14" i="2"/>
  <c r="AR14" i="2"/>
  <c r="AQ14" i="2"/>
  <c r="AT14" i="2" s="1"/>
  <c r="AP14" i="2"/>
  <c r="AN14" i="2"/>
  <c r="AO14" i="2" s="1"/>
  <c r="AL14" i="2"/>
  <c r="AK14" i="2"/>
  <c r="AZ13" i="2"/>
  <c r="AY13" i="2"/>
  <c r="AX13" i="2"/>
  <c r="AW13" i="2"/>
  <c r="AV13" i="2"/>
  <c r="AQ13" i="2"/>
  <c r="AP13" i="2"/>
  <c r="AR13" i="2" s="1"/>
  <c r="AN13" i="2"/>
  <c r="AO13" i="2" s="1"/>
  <c r="AL13" i="2"/>
  <c r="AK13" i="2"/>
  <c r="AZ12" i="2"/>
  <c r="AX12" i="2"/>
  <c r="AW12" i="2"/>
  <c r="AY12" i="2" s="1"/>
  <c r="AV12" i="2"/>
  <c r="AT12" i="2"/>
  <c r="AR12" i="2"/>
  <c r="AQ12" i="2"/>
  <c r="AP12" i="2"/>
  <c r="AN12" i="2"/>
  <c r="AO12" i="2" s="1"/>
  <c r="AL12" i="2"/>
  <c r="AK12" i="2"/>
  <c r="AZ11" i="2"/>
  <c r="AY11" i="2"/>
  <c r="AX11" i="2"/>
  <c r="AW11" i="2"/>
  <c r="AV11" i="2"/>
  <c r="AT11" i="2"/>
  <c r="AR11" i="2"/>
  <c r="AQ11" i="2"/>
  <c r="AP11" i="2"/>
  <c r="AO11" i="2"/>
  <c r="AN11" i="2"/>
  <c r="AL11" i="2"/>
  <c r="AK11" i="2"/>
  <c r="AZ10" i="2"/>
  <c r="AY10" i="2"/>
  <c r="AX10" i="2"/>
  <c r="AW10" i="2"/>
  <c r="AV10" i="2"/>
  <c r="AR10" i="2"/>
  <c r="AQ10" i="2"/>
  <c r="AT10" i="2" s="1"/>
  <c r="AP10" i="2"/>
  <c r="AN10" i="2"/>
  <c r="AO10" i="2" s="1"/>
  <c r="AL10" i="2"/>
  <c r="AK10" i="2"/>
  <c r="AZ9" i="2"/>
  <c r="AY9" i="2"/>
  <c r="AX9" i="2"/>
  <c r="AW9" i="2"/>
  <c r="AV9" i="2"/>
  <c r="AQ9" i="2"/>
  <c r="AP9" i="2"/>
  <c r="AR9" i="2" s="1"/>
  <c r="AN9" i="2"/>
  <c r="AO9" i="2" s="1"/>
  <c r="AL9" i="2"/>
  <c r="AK9" i="2"/>
  <c r="AZ8" i="2"/>
  <c r="AX8" i="2"/>
  <c r="AW8" i="2"/>
  <c r="AY8" i="2" s="1"/>
  <c r="AV8" i="2"/>
  <c r="AT8" i="2"/>
  <c r="AR8" i="2"/>
  <c r="AQ8" i="2"/>
  <c r="AP8" i="2"/>
  <c r="AN8" i="2"/>
  <c r="AO8" i="2" s="1"/>
  <c r="AL8" i="2"/>
  <c r="AK8" i="2"/>
  <c r="AZ7" i="2"/>
  <c r="AY7" i="2"/>
  <c r="AX7" i="2"/>
  <c r="AW7" i="2"/>
  <c r="AV7" i="2"/>
  <c r="AT7" i="2"/>
  <c r="AR7" i="2"/>
  <c r="AQ7" i="2"/>
  <c r="AP7" i="2"/>
  <c r="AO7" i="2"/>
  <c r="AN7" i="2"/>
  <c r="AL7" i="2"/>
  <c r="AK7" i="2"/>
  <c r="AZ6" i="2"/>
  <c r="AY6" i="2"/>
  <c r="AX6" i="2"/>
  <c r="AW6" i="2"/>
  <c r="AV6" i="2"/>
  <c r="AR6" i="2"/>
  <c r="AQ6" i="2"/>
  <c r="AT6" i="2" s="1"/>
  <c r="AP6" i="2"/>
  <c r="AN6" i="2"/>
  <c r="AO6" i="2" s="1"/>
  <c r="AL6" i="2"/>
  <c r="AM18" i="2" s="1"/>
  <c r="AM29" i="2" s="1"/>
  <c r="AK6" i="2"/>
  <c r="AX5" i="2"/>
  <c r="AY5" i="2" s="1"/>
  <c r="AW5" i="2"/>
  <c r="AV5" i="2"/>
  <c r="AT5" i="2"/>
  <c r="AR5" i="2"/>
  <c r="AQ5" i="2"/>
  <c r="AP5" i="2"/>
  <c r="AO5" i="2"/>
  <c r="AN5" i="2"/>
  <c r="AK5" i="2"/>
  <c r="AL3" i="2"/>
  <c r="AN2" i="2"/>
  <c r="AS15" i="2" l="1"/>
  <c r="AS25" i="2"/>
  <c r="AT9" i="2"/>
  <c r="AT13" i="2"/>
  <c r="AT24" i="2"/>
  <c r="AT28" i="2"/>
  <c r="AR22" i="2"/>
  <c r="AY29" i="2"/>
  <c r="AR17" i="2"/>
  <c r="AR21" i="2"/>
  <c r="AR29" i="2"/>
  <c r="AS24" i="2" s="1"/>
  <c r="AS22" i="2" l="1"/>
  <c r="AS14" i="2"/>
  <c r="AS18" i="2"/>
  <c r="AS11" i="2"/>
  <c r="AS13" i="2"/>
  <c r="AS9" i="2"/>
  <c r="AS29" i="2"/>
  <c r="AS20" i="2"/>
  <c r="AS5" i="2"/>
  <c r="AS28" i="2"/>
  <c r="AS12" i="2"/>
  <c r="AS21" i="2"/>
  <c r="AS26" i="2"/>
  <c r="AS8" i="2"/>
  <c r="AS10" i="2"/>
  <c r="AS17" i="2"/>
  <c r="AS19" i="2"/>
  <c r="AS6" i="2"/>
  <c r="AS23" i="2"/>
  <c r="AS16" i="2"/>
  <c r="AS27" i="2"/>
  <c r="AS7" i="2"/>
</calcChain>
</file>

<file path=xl/sharedStrings.xml><?xml version="1.0" encoding="utf-8"?>
<sst xmlns="http://schemas.openxmlformats.org/spreadsheetml/2006/main" count="233" uniqueCount="90">
  <si>
    <t>Sales Projection</t>
  </si>
  <si>
    <t>Actual 2024</t>
  </si>
  <si>
    <t>Total 2024</t>
  </si>
  <si>
    <t>Dec-24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</si>
  <si>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</si>
  <si>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</si>
  <si>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</si>
  <si>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</si>
  <si>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</si>
  <si>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</si>
  <si>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</si>
  <si>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</si>
  <si>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</si>
  <si>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Total 2025</t>
  </si>
  <si>
    <t>Jan-26</t>
  </si>
  <si>
    <t>Feb-26</t>
  </si>
  <si>
    <t xml:space="preserve">Mar-26 </t>
  </si>
  <si>
    <t xml:space="preserve">Apr-26 </t>
  </si>
  <si>
    <t>May-26 
(MTD)</t>
  </si>
  <si>
    <t>Forecast 2026</t>
  </si>
  <si>
    <t>Product x Partner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</si>
  <si>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</si>
  <si>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</si>
  <si>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</si>
  <si>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</si>
  <si>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</si>
  <si>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</si>
  <si>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</si>
  <si>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</si>
  <si>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</si>
  <si>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</si>
  <si>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</si>
  <si>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May-26
(Likely)</t>
  </si>
  <si>
    <t>May-26
(Best Case)</t>
  </si>
  <si>
    <t>Jun-26</t>
  </si>
  <si>
    <t>Jul-26</t>
  </si>
  <si>
    <t>Mar vs Feb</t>
  </si>
  <si>
    <t>Daily Feb</t>
  </si>
  <si>
    <t>Daily Mar</t>
  </si>
  <si>
    <t>Act Mar vs Feb</t>
  </si>
  <si>
    <t>Mar-likely</t>
  </si>
  <si>
    <t>Actual vs Forecast Likely Mar</t>
  </si>
  <si>
    <t>Daily Mar - likely W12</t>
  </si>
  <si>
    <t>Daily Mar likely - W13</t>
  </si>
  <si>
    <t>Act vs Likely Mar</t>
  </si>
  <si>
    <t>BAU</t>
  </si>
  <si>
    <t>[VDS] - Cashloan</t>
  </si>
  <si>
    <t>x</t>
  </si>
  <si>
    <t>[VDS] - Payday</t>
  </si>
  <si>
    <t>[VDS] - Payroll CL+PD</t>
  </si>
  <si>
    <t>[VDS] - Cashloan LP</t>
  </si>
  <si>
    <t>[Cake] - Cashloan</t>
  </si>
  <si>
    <t>[Cake] - Payday</t>
  </si>
  <si>
    <t>[Cake] - Overdraft</t>
  </si>
  <si>
    <t>[BE] - Cashloan</t>
  </si>
  <si>
    <t>[MWG] - Cashloan</t>
  </si>
  <si>
    <t>[VNPAY] - Cashloan</t>
  </si>
  <si>
    <t>[ZLP] - Cashloan</t>
  </si>
  <si>
    <t>New Channel - Cashloan</t>
  </si>
  <si>
    <t>[VNPOST] - Cashloan</t>
  </si>
  <si>
    <t>[MISA] - Cashloan</t>
  </si>
  <si>
    <t>New Channel - Payday</t>
  </si>
  <si>
    <t>[VNPAY] - Payday</t>
  </si>
  <si>
    <t>[ZLP] - Payday</t>
  </si>
  <si>
    <t>Paylater</t>
  </si>
  <si>
    <t>[VDS] - Paylater</t>
  </si>
  <si>
    <t>[BE] - Paylater</t>
  </si>
  <si>
    <t>[VNPAY] - Paylater</t>
  </si>
  <si>
    <t>[MWG] - Paylater</t>
  </si>
  <si>
    <t>[FPT] - Paylater</t>
  </si>
  <si>
    <t>Total disbursement</t>
  </si>
  <si>
    <t>Lending Target</t>
  </si>
  <si>
    <t>Gap</t>
  </si>
  <si>
    <t>[VDS] - Cashloan LP - (VDS)</t>
  </si>
  <si>
    <t>[VDS] - Cashloan LP - (VTT)</t>
  </si>
  <si>
    <t>[VDS] - Payroll Cashloan</t>
  </si>
  <si>
    <t>All</t>
  </si>
  <si>
    <t>[VDS] - Payroll Payday</t>
  </si>
  <si>
    <t>[NGS] - Cashloan</t>
  </si>
  <si>
    <t xml:space="preserve">Dec-25 </t>
  </si>
  <si>
    <t>FY2025</t>
  </si>
  <si>
    <t>Mar-26
(Best Case)</t>
  </si>
  <si>
    <t>Apr-26</t>
  </si>
  <si>
    <t>May-26
(MTD)</t>
  </si>
  <si>
    <t>Dec (Likely)</t>
  </si>
  <si>
    <t>New issue</t>
  </si>
  <si>
    <t>Issue acct (accum)</t>
  </si>
  <si>
    <t>Active acct</t>
  </si>
  <si>
    <t>%active</t>
  </si>
  <si>
    <t>Total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</si>
</sst>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(* #,##0.0_);_(* \(#,##0.0\);_(* &quot;-&quot;??_);_(@_)"/>
    <numFmt numFmtId="167" formatCode="[$-409]mmm\-yy;@"/>
  </numFmts>
  <fonts count="3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i/>
      <sz val="12"/>
      <color rgb="FFFF3399"/>
      <name val="Arial"/>
      <family val="2"/>
    </font>
    <font>
      <b/>
      <sz val="14"/>
      <color rgb="FF00000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3399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b/>
      <sz val="12"/>
      <color theme="6" tint="-0.249977111117893"/>
      <name val="Arial"/>
      <family val="2"/>
    </font>
    <font>
      <sz val="12"/>
      <color theme="6" tint="-0.249977111117893"/>
      <name val="Arial"/>
      <family val="2"/>
    </font>
    <font>
      <b/>
      <sz val="12"/>
      <color rgb="FF000000"/>
      <name val="Arial"/>
      <family val="2"/>
    </font>
    <font>
      <b/>
      <sz val="12"/>
      <color rgb="FFFF3399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i/>
      <sz val="12"/>
      <name val="Arial"/>
      <family val="2"/>
    </font>
    <font>
      <sz val="12"/>
      <color rgb="FFFF0000"/>
      <name val="Arial"/>
      <family val="2"/>
    </font>
    <font>
      <sz val="12"/>
      <color rgb="FFFF3399"/>
      <name val="Arial"/>
      <family val="2"/>
    </font>
    <font>
      <b/>
      <i/>
      <sz val="12"/>
      <name val="Arial"/>
      <family val="2"/>
    </font>
    <font>
      <sz val="12"/>
      <color theme="0" tint="-0.34998626667073579"/>
      <name val="Arial"/>
      <family val="2"/>
    </font>
    <font>
      <b/>
      <i/>
      <sz val="12"/>
      <color theme="0" tint="-0.499984740745262"/>
      <name val="Arial"/>
      <family val="2"/>
    </font>
    <font>
      <b/>
      <sz val="12"/>
      <color theme="0" tint="-0.34998626667073579"/>
      <name val="Arial"/>
      <family val="2"/>
    </font>
    <font>
      <b/>
      <sz val="12"/>
      <color theme="0" tint="-0.499984740745262"/>
      <name val="Arial"/>
      <family val="2"/>
    </font>
    <font>
      <sz val="12"/>
      <color theme="0" tint="-0.499984740745262"/>
      <name val="Arial"/>
      <family val="2"/>
    </font>
    <font>
      <i/>
      <sz val="12"/>
      <color theme="0" tint="-0.499984740745262"/>
      <name val="Arial"/>
      <family val="2"/>
    </font>
    <font>
      <b/>
      <sz val="11"/>
      <color theme="1"/>
      <name val="Arial"/>
      <family val="2"/>
    </font>
    <font>
      <b/>
      <sz val="11"/>
      <color theme="0" tint="-0.499984740745262"/>
      <name val="Arial"/>
      <family val="2"/>
    </font>
    <font>
      <sz val="12"/>
      <color theme="0" tint="-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EFF7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ashed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dotted">
        <color theme="1" tint="0.499984740745262"/>
      </bottom>
      <diagonal/>
    </border>
    <border>
      <left/>
      <right/>
      <top style="thin">
        <color indexed="64"/>
      </top>
      <bottom style="dotted">
        <color theme="1" tint="0.4999847407452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theme="0" tint="-0.499984740745262"/>
      </top>
      <bottom style="thin">
        <color indexed="64"/>
      </bottom>
      <diagonal/>
    </border>
    <border>
      <left style="thin">
        <color indexed="64"/>
      </left>
      <right style="dotted">
        <color theme="1" tint="0.499984740745262"/>
      </right>
      <top style="dotted">
        <color theme="1" tint="0.499984740745262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ashed">
        <color theme="1" tint="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dashed">
        <color theme="1" tint="0.499984740745262"/>
      </left>
      <right style="thin">
        <color indexed="64"/>
      </right>
      <top style="dashed">
        <color theme="1" tint="0.499984740745262"/>
      </top>
      <bottom style="dashed">
        <color theme="1" tint="0.499984740745262"/>
      </bottom>
      <diagonal/>
    </border>
    <border>
      <left style="thin">
        <color indexed="64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ashed">
        <color theme="1" tint="0.499984740745262"/>
      </left>
      <right style="thin">
        <color indexed="64"/>
      </right>
      <top style="dashed">
        <color theme="1" tint="0.499984740745262"/>
      </top>
      <bottom/>
      <diagonal/>
    </border>
    <border>
      <left style="dotted">
        <color theme="1" tint="0.499984740745262"/>
      </left>
      <right style="thin">
        <color indexed="64"/>
      </right>
      <top style="dashed">
        <color theme="1" tint="0.499984740745262"/>
      </top>
      <bottom style="dashed">
        <color theme="1" tint="0.499984740745262"/>
      </bottom>
      <diagonal/>
    </border>
    <border>
      <left style="thin">
        <color indexed="64"/>
      </left>
      <right/>
      <top style="dashed">
        <color theme="0" tint="-0.499984740745262"/>
      </top>
      <bottom style="dashed">
        <color theme="0" tint="-0.499984740745262"/>
      </bottom>
      <diagonal/>
    </border>
    <border>
      <left/>
      <right style="thin">
        <color indexed="64"/>
      </right>
      <top style="dashed">
        <color theme="1" tint="0.499984740745262"/>
      </top>
      <bottom/>
      <diagonal/>
    </border>
    <border>
      <left style="thin">
        <color indexed="64"/>
      </left>
      <right/>
      <top/>
      <bottom/>
      <diagonal/>
    </border>
    <border>
      <left style="dotted">
        <color theme="1" tint="0.499984740745262"/>
      </left>
      <right style="thin">
        <color indexed="64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thin">
        <color indexed="64"/>
      </bottom>
      <diagonal/>
    </border>
    <border>
      <left style="dashed">
        <color theme="1" tint="0.499984740745262"/>
      </left>
      <right style="thin">
        <color indexed="64"/>
      </right>
      <top style="dashed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8">
    <xf numFmtId="0" fontId="0" fillId="0" borderId="0" xfId="0"/>
    <xf numFmtId="0" fontId="3" fillId="0" borderId="0" xfId="0" applyFont="1"/>
    <xf numFmtId="164" fontId="3" fillId="0" borderId="0" xfId="0" applyNumberFormat="1" applyFont="1"/>
    <xf numFmtId="165" fontId="3" fillId="0" borderId="0" xfId="1" applyNumberFormat="1" applyFont="1"/>
    <xf numFmtId="165" fontId="3" fillId="0" borderId="0" xfId="1" quotePrefix="1" applyNumberFormat="1" applyFont="1"/>
    <xf numFmtId="165" fontId="0" fillId="0" borderId="0" xfId="1" applyNumberFormat="1" applyFont="1"/>
    <xf numFmtId="9" fontId="0" fillId="0" borderId="0" xfId="1" applyNumberFormat="1" applyFont="1"/>
    <xf numFmtId="166" fontId="0" fillId="0" borderId="0" xfId="1" applyNumberFormat="1" applyFont="1"/>
    <xf numFmtId="9" fontId="0" fillId="0" borderId="0" xfId="0" applyNumberFormat="1"/>
    <xf numFmtId="165" fontId="0" fillId="0" borderId="0" xfId="0" applyNumberFormat="1"/>
    <xf numFmtId="165" fontId="3" fillId="2" borderId="0" xfId="1" applyNumberFormat="1" applyFont="1" applyFill="1"/>
    <xf numFmtId="15" fontId="4" fillId="0" borderId="0" xfId="1" applyNumberFormat="1" applyFont="1"/>
    <xf numFmtId="165" fontId="4" fillId="0" borderId="0" xfId="1" applyNumberFormat="1" applyFont="1"/>
    <xf numFmtId="165" fontId="5" fillId="2" borderId="0" xfId="1" applyNumberFormat="1" applyFont="1" applyFill="1"/>
    <xf numFmtId="0" fontId="3" fillId="3" borderId="0" xfId="0" applyFont="1" applyFill="1"/>
    <xf numFmtId="164" fontId="3" fillId="3" borderId="0" xfId="0" applyNumberFormat="1" applyFont="1" applyFill="1"/>
    <xf numFmtId="9" fontId="3" fillId="0" borderId="0" xfId="0" applyNumberFormat="1" applyFont="1"/>
    <xf numFmtId="165" fontId="3" fillId="0" borderId="0" xfId="0" applyNumberFormat="1" applyFont="1"/>
    <xf numFmtId="0" fontId="3" fillId="2" borderId="0" xfId="0" applyFont="1" applyFill="1"/>
    <xf numFmtId="0" fontId="6" fillId="4" borderId="1" xfId="0" applyFont="1" applyFill="1" applyBorder="1"/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167" fontId="8" fillId="5" borderId="5" xfId="0" applyNumberFormat="1" applyFont="1" applyFill="1" applyBorder="1" applyAlignment="1">
      <alignment horizontal="center" vertical="center" wrapText="1"/>
    </xf>
    <xf numFmtId="167" fontId="8" fillId="5" borderId="5" xfId="0" quotePrefix="1" applyNumberFormat="1" applyFont="1" applyFill="1" applyBorder="1" applyAlignment="1">
      <alignment horizontal="center" vertical="center" wrapText="1"/>
    </xf>
    <xf numFmtId="167" fontId="8" fillId="5" borderId="6" xfId="0" quotePrefix="1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16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/>
    <xf numFmtId="0" fontId="11" fillId="0" borderId="0" xfId="0" quotePrefix="1" applyFont="1"/>
    <xf numFmtId="0" fontId="12" fillId="0" borderId="0" xfId="0" quotePrefix="1" applyFont="1"/>
    <xf numFmtId="0" fontId="13" fillId="0" borderId="0" xfId="0" applyFont="1"/>
    <xf numFmtId="0" fontId="14" fillId="4" borderId="9" xfId="0" applyFont="1" applyFill="1" applyBorder="1" applyAlignment="1">
      <alignment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167" fontId="8" fillId="5" borderId="12" xfId="0" applyNumberFormat="1" applyFont="1" applyFill="1" applyBorder="1" applyAlignment="1">
      <alignment horizontal="center" vertical="center" wrapText="1"/>
    </xf>
    <xf numFmtId="167" fontId="8" fillId="5" borderId="13" xfId="0" quotePrefix="1" applyNumberFormat="1" applyFont="1" applyFill="1" applyBorder="1" applyAlignment="1">
      <alignment horizontal="center" vertical="center" wrapText="1"/>
    </xf>
    <xf numFmtId="17" fontId="15" fillId="2" borderId="14" xfId="0" quotePrefix="1" applyNumberFormat="1" applyFont="1" applyFill="1" applyBorder="1" applyAlignment="1">
      <alignment horizontal="center" vertical="center" wrapText="1"/>
    </xf>
    <xf numFmtId="17" fontId="15" fillId="2" borderId="0" xfId="0" applyNumberFormat="1" applyFont="1" applyFill="1" applyAlignment="1">
      <alignment horizontal="center" vertical="center" wrapText="1"/>
    </xf>
    <xf numFmtId="9" fontId="15" fillId="0" borderId="0" xfId="0" applyNumberFormat="1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 wrapText="1"/>
    </xf>
    <xf numFmtId="165" fontId="16" fillId="0" borderId="0" xfId="0" applyNumberFormat="1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quotePrefix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quotePrefix="1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0" fontId="18" fillId="0" borderId="15" xfId="0" applyFont="1" applyBorder="1" applyAlignment="1">
      <alignment vertical="center"/>
    </xf>
    <xf numFmtId="164" fontId="18" fillId="0" borderId="16" xfId="0" applyNumberFormat="1" applyFont="1" applyBorder="1" applyAlignment="1">
      <alignment vertical="center"/>
    </xf>
    <xf numFmtId="164" fontId="11" fillId="0" borderId="17" xfId="0" applyNumberFormat="1" applyFont="1" applyBorder="1" applyAlignment="1">
      <alignment vertical="center"/>
    </xf>
    <xf numFmtId="164" fontId="11" fillId="6" borderId="17" xfId="0" applyNumberFormat="1" applyFont="1" applyFill="1" applyBorder="1" applyAlignment="1">
      <alignment vertical="center"/>
    </xf>
    <xf numFmtId="165" fontId="11" fillId="6" borderId="0" xfId="1" applyNumberFormat="1" applyFont="1" applyFill="1" applyBorder="1" applyAlignment="1">
      <alignment vertical="center"/>
    </xf>
    <xf numFmtId="165" fontId="1" fillId="0" borderId="0" xfId="1" applyNumberFormat="1" applyFont="1"/>
    <xf numFmtId="0" fontId="2" fillId="0" borderId="0" xfId="1" applyNumberFormat="1" applyFont="1" applyFill="1"/>
    <xf numFmtId="165" fontId="11" fillId="0" borderId="0" xfId="1" applyNumberFormat="1" applyFont="1" applyFill="1" applyBorder="1" applyAlignment="1">
      <alignment vertical="center"/>
    </xf>
    <xf numFmtId="9" fontId="11" fillId="0" borderId="0" xfId="1" applyNumberFormat="1" applyFont="1" applyFill="1" applyBorder="1" applyAlignment="1">
      <alignment vertical="center"/>
    </xf>
    <xf numFmtId="165" fontId="11" fillId="6" borderId="17" xfId="1" applyNumberFormat="1" applyFont="1" applyFill="1" applyBorder="1" applyAlignment="1">
      <alignment vertical="center"/>
    </xf>
    <xf numFmtId="164" fontId="11" fillId="2" borderId="0" xfId="0" applyNumberFormat="1" applyFont="1" applyFill="1" applyAlignment="1">
      <alignment vertical="center"/>
    </xf>
    <xf numFmtId="165" fontId="11" fillId="0" borderId="0" xfId="1" applyNumberFormat="1" applyFont="1" applyFill="1" applyAlignment="1">
      <alignment vertical="center"/>
    </xf>
    <xf numFmtId="165" fontId="11" fillId="0" borderId="0" xfId="1" quotePrefix="1" applyNumberFormat="1" applyFont="1" applyFill="1" applyAlignment="1">
      <alignment vertical="center"/>
    </xf>
    <xf numFmtId="9" fontId="11" fillId="0" borderId="0" xfId="1" quotePrefix="1" applyNumberFormat="1" applyFont="1" applyFill="1" applyAlignment="1">
      <alignment vertical="center"/>
    </xf>
    <xf numFmtId="165" fontId="17" fillId="0" borderId="0" xfId="1" applyNumberFormat="1" applyFont="1" applyFill="1" applyAlignment="1">
      <alignment vertical="center"/>
    </xf>
    <xf numFmtId="165" fontId="13" fillId="0" borderId="0" xfId="1" applyNumberFormat="1" applyFont="1" applyFill="1" applyAlignment="1">
      <alignment vertical="center"/>
    </xf>
    <xf numFmtId="9" fontId="17" fillId="0" borderId="0" xfId="0" applyNumberFormat="1" applyFont="1" applyAlignment="1">
      <alignment vertical="center"/>
    </xf>
    <xf numFmtId="165" fontId="18" fillId="0" borderId="0" xfId="0" applyNumberFormat="1" applyFont="1" applyAlignment="1">
      <alignment vertical="center"/>
    </xf>
    <xf numFmtId="9" fontId="18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0" fontId="17" fillId="0" borderId="18" xfId="0" applyFont="1" applyBorder="1" applyAlignment="1">
      <alignment horizontal="left" vertical="center" indent="2"/>
    </xf>
    <xf numFmtId="164" fontId="19" fillId="0" borderId="19" xfId="0" applyNumberFormat="1" applyFont="1" applyBorder="1" applyAlignment="1">
      <alignment vertical="center"/>
    </xf>
    <xf numFmtId="164" fontId="17" fillId="0" borderId="19" xfId="0" applyNumberFormat="1" applyFont="1" applyBorder="1" applyAlignment="1">
      <alignment vertical="center"/>
    </xf>
    <xf numFmtId="164" fontId="3" fillId="0" borderId="19" xfId="0" applyNumberFormat="1" applyFont="1" applyBorder="1" applyAlignment="1">
      <alignment vertical="center"/>
    </xf>
    <xf numFmtId="164" fontId="17" fillId="0" borderId="17" xfId="0" applyNumberFormat="1" applyFont="1" applyBorder="1" applyAlignment="1">
      <alignment vertical="center"/>
    </xf>
    <xf numFmtId="164" fontId="17" fillId="6" borderId="17" xfId="0" applyNumberFormat="1" applyFont="1" applyFill="1" applyBorder="1" applyAlignment="1">
      <alignment vertical="center"/>
    </xf>
    <xf numFmtId="165" fontId="17" fillId="3" borderId="0" xfId="1" applyNumberFormat="1" applyFont="1" applyFill="1" applyBorder="1" applyAlignment="1">
      <alignment vertical="center"/>
    </xf>
    <xf numFmtId="165" fontId="0" fillId="0" borderId="0" xfId="1" applyNumberFormat="1" applyFont="1" applyFill="1"/>
    <xf numFmtId="165" fontId="19" fillId="0" borderId="0" xfId="1" applyNumberFormat="1" applyFont="1" applyFill="1" applyBorder="1" applyAlignment="1">
      <alignment vertical="center"/>
    </xf>
    <xf numFmtId="9" fontId="19" fillId="0" borderId="0" xfId="1" applyNumberFormat="1" applyFont="1" applyFill="1" applyBorder="1" applyAlignment="1">
      <alignment vertical="center"/>
    </xf>
    <xf numFmtId="9" fontId="19" fillId="3" borderId="0" xfId="1" applyNumberFormat="1" applyFont="1" applyFill="1" applyBorder="1" applyAlignment="1">
      <alignment vertical="center"/>
    </xf>
    <xf numFmtId="165" fontId="17" fillId="6" borderId="17" xfId="1" applyNumberFormat="1" applyFont="1" applyFill="1" applyBorder="1" applyAlignment="1">
      <alignment vertical="center"/>
    </xf>
    <xf numFmtId="164" fontId="19" fillId="2" borderId="0" xfId="0" applyNumberFormat="1" applyFont="1" applyFill="1" applyAlignment="1">
      <alignment vertical="center"/>
    </xf>
    <xf numFmtId="165" fontId="17" fillId="0" borderId="0" xfId="1" applyNumberFormat="1" applyFont="1" applyFill="1"/>
    <xf numFmtId="165" fontId="17" fillId="0" borderId="0" xfId="1" quotePrefix="1" applyNumberFormat="1" applyFont="1" applyFill="1"/>
    <xf numFmtId="9" fontId="17" fillId="0" borderId="0" xfId="1" quotePrefix="1" applyNumberFormat="1" applyFont="1" applyFill="1"/>
    <xf numFmtId="165" fontId="13" fillId="0" borderId="0" xfId="1" applyNumberFormat="1" applyFont="1" applyFill="1"/>
    <xf numFmtId="9" fontId="17" fillId="0" borderId="0" xfId="0" applyNumberFormat="1" applyFont="1"/>
    <xf numFmtId="165" fontId="10" fillId="0" borderId="0" xfId="1" applyNumberFormat="1" applyFont="1" applyFill="1"/>
    <xf numFmtId="9" fontId="10" fillId="0" borderId="0" xfId="1" applyNumberFormat="1" applyFont="1" applyFill="1"/>
    <xf numFmtId="165" fontId="3" fillId="0" borderId="0" xfId="1" applyNumberFormat="1" applyFont="1" applyFill="1" applyBorder="1"/>
    <xf numFmtId="165" fontId="20" fillId="0" borderId="0" xfId="1" applyNumberFormat="1" applyFont="1" applyFill="1"/>
    <xf numFmtId="164" fontId="19" fillId="0" borderId="0" xfId="0" applyNumberFormat="1" applyFont="1"/>
    <xf numFmtId="165" fontId="20" fillId="0" borderId="0" xfId="0" applyNumberFormat="1" applyFont="1"/>
    <xf numFmtId="165" fontId="17" fillId="6" borderId="0" xfId="1" applyNumberFormat="1" applyFont="1" applyFill="1" applyBorder="1" applyAlignment="1">
      <alignment vertical="center"/>
    </xf>
    <xf numFmtId="165" fontId="21" fillId="0" borderId="0" xfId="1" applyNumberFormat="1" applyFont="1" applyFill="1"/>
    <xf numFmtId="165" fontId="21" fillId="0" borderId="0" xfId="1" quotePrefix="1" applyNumberFormat="1" applyFont="1" applyFill="1"/>
    <xf numFmtId="0" fontId="3" fillId="0" borderId="18" xfId="0" applyFont="1" applyBorder="1" applyAlignment="1">
      <alignment horizontal="left" vertical="center" indent="2"/>
    </xf>
    <xf numFmtId="164" fontId="4" fillId="0" borderId="19" xfId="0" applyNumberFormat="1" applyFont="1" applyBorder="1" applyAlignment="1">
      <alignment vertical="center"/>
    </xf>
    <xf numFmtId="165" fontId="17" fillId="0" borderId="0" xfId="0" applyNumberFormat="1" applyFont="1"/>
    <xf numFmtId="164" fontId="11" fillId="0" borderId="19" xfId="0" applyNumberFormat="1" applyFont="1" applyBorder="1" applyAlignment="1">
      <alignment vertical="center"/>
    </xf>
    <xf numFmtId="165" fontId="17" fillId="0" borderId="0" xfId="1" applyNumberFormat="1" applyFont="1" applyFill="1" applyBorder="1" applyAlignment="1">
      <alignment vertical="center"/>
    </xf>
    <xf numFmtId="9" fontId="17" fillId="0" borderId="0" xfId="1" applyNumberFormat="1" applyFont="1" applyFill="1" applyBorder="1" applyAlignment="1">
      <alignment vertical="center"/>
    </xf>
    <xf numFmtId="164" fontId="17" fillId="2" borderId="0" xfId="0" applyNumberFormat="1" applyFont="1" applyFill="1" applyAlignment="1">
      <alignment vertical="center"/>
    </xf>
    <xf numFmtId="165" fontId="19" fillId="2" borderId="0" xfId="0" applyNumberFormat="1" applyFont="1" applyFill="1" applyAlignment="1">
      <alignment vertical="center"/>
    </xf>
    <xf numFmtId="9" fontId="21" fillId="0" borderId="0" xfId="1" quotePrefix="1" applyNumberFormat="1" applyFont="1" applyFill="1"/>
    <xf numFmtId="165" fontId="3" fillId="0" borderId="19" xfId="1" applyNumberFormat="1" applyFont="1" applyBorder="1" applyAlignment="1">
      <alignment vertical="center"/>
    </xf>
    <xf numFmtId="165" fontId="1" fillId="0" borderId="0" xfId="1" applyNumberFormat="1" applyFont="1" applyFill="1"/>
    <xf numFmtId="9" fontId="17" fillId="3" borderId="0" xfId="1" applyNumberFormat="1" applyFont="1" applyFill="1" applyBorder="1" applyAlignment="1">
      <alignment vertical="center"/>
    </xf>
    <xf numFmtId="165" fontId="17" fillId="0" borderId="0" xfId="1" applyNumberFormat="1" applyFont="1" applyAlignment="1">
      <alignment vertical="center"/>
    </xf>
    <xf numFmtId="165" fontId="17" fillId="2" borderId="0" xfId="0" applyNumberFormat="1" applyFont="1" applyFill="1" applyAlignment="1">
      <alignment vertical="center"/>
    </xf>
    <xf numFmtId="164" fontId="18" fillId="0" borderId="19" xfId="0" applyNumberFormat="1" applyFont="1" applyBorder="1" applyAlignment="1">
      <alignment vertical="center"/>
    </xf>
    <xf numFmtId="165" fontId="17" fillId="0" borderId="20" xfId="0" applyNumberFormat="1" applyFont="1" applyBorder="1" applyAlignment="1">
      <alignment vertical="center"/>
    </xf>
    <xf numFmtId="165" fontId="17" fillId="6" borderId="20" xfId="0" applyNumberFormat="1" applyFont="1" applyFill="1" applyBorder="1" applyAlignment="1">
      <alignment vertical="center"/>
    </xf>
    <xf numFmtId="165" fontId="17" fillId="6" borderId="20" xfId="1" applyNumberFormat="1" applyFont="1" applyFill="1" applyBorder="1" applyAlignment="1">
      <alignment vertical="center"/>
    </xf>
    <xf numFmtId="165" fontId="18" fillId="0" borderId="0" xfId="0" applyNumberFormat="1" applyFont="1"/>
    <xf numFmtId="9" fontId="18" fillId="0" borderId="0" xfId="0" applyNumberFormat="1" applyFont="1"/>
    <xf numFmtId="0" fontId="18" fillId="0" borderId="0" xfId="0" applyFont="1"/>
    <xf numFmtId="165" fontId="11" fillId="0" borderId="0" xfId="1" applyNumberFormat="1" applyFont="1"/>
    <xf numFmtId="165" fontId="17" fillId="0" borderId="21" xfId="0" applyNumberFormat="1" applyFont="1" applyBorder="1" applyAlignment="1">
      <alignment vertical="center"/>
    </xf>
    <xf numFmtId="165" fontId="17" fillId="6" borderId="21" xfId="0" applyNumberFormat="1" applyFont="1" applyFill="1" applyBorder="1" applyAlignment="1">
      <alignment vertical="center"/>
    </xf>
    <xf numFmtId="165" fontId="17" fillId="6" borderId="21" xfId="1" applyNumberFormat="1" applyFont="1" applyFill="1" applyBorder="1" applyAlignment="1">
      <alignment vertical="center"/>
    </xf>
    <xf numFmtId="0" fontId="18" fillId="0" borderId="22" xfId="0" applyFont="1" applyBorder="1"/>
    <xf numFmtId="165" fontId="11" fillId="0" borderId="23" xfId="0" applyNumberFormat="1" applyFont="1" applyBorder="1" applyAlignment="1">
      <alignment vertical="center"/>
    </xf>
    <xf numFmtId="165" fontId="11" fillId="6" borderId="23" xfId="0" applyNumberFormat="1" applyFont="1" applyFill="1" applyBorder="1" applyAlignment="1">
      <alignment vertical="center"/>
    </xf>
    <xf numFmtId="165" fontId="2" fillId="0" borderId="0" xfId="1" applyNumberFormat="1" applyFont="1" applyFill="1"/>
    <xf numFmtId="165" fontId="22" fillId="0" borderId="0" xfId="1" applyNumberFormat="1" applyFont="1" applyFill="1" applyBorder="1" applyAlignment="1">
      <alignment vertical="center"/>
    </xf>
    <xf numFmtId="9" fontId="22" fillId="0" borderId="0" xfId="1" applyNumberFormat="1" applyFont="1" applyFill="1" applyBorder="1" applyAlignment="1">
      <alignment vertical="center"/>
    </xf>
    <xf numFmtId="165" fontId="11" fillId="6" borderId="23" xfId="1" applyNumberFormat="1" applyFont="1" applyFill="1" applyBorder="1" applyAlignment="1">
      <alignment vertical="center"/>
    </xf>
    <xf numFmtId="165" fontId="22" fillId="2" borderId="0" xfId="0" applyNumberFormat="1" applyFont="1" applyFill="1" applyAlignment="1">
      <alignment vertical="center"/>
    </xf>
    <xf numFmtId="165" fontId="11" fillId="0" borderId="0" xfId="1" applyNumberFormat="1" applyFont="1" applyFill="1"/>
    <xf numFmtId="165" fontId="11" fillId="0" borderId="0" xfId="1" quotePrefix="1" applyNumberFormat="1" applyFont="1" applyFill="1"/>
    <xf numFmtId="9" fontId="11" fillId="0" borderId="0" xfId="1" quotePrefix="1" applyNumberFormat="1" applyFont="1" applyFill="1"/>
    <xf numFmtId="165" fontId="12" fillId="0" borderId="0" xfId="1" applyNumberFormat="1" applyFont="1" applyFill="1"/>
    <xf numFmtId="9" fontId="11" fillId="0" borderId="0" xfId="0" applyNumberFormat="1" applyFont="1"/>
    <xf numFmtId="165" fontId="8" fillId="0" borderId="0" xfId="1" applyNumberFormat="1" applyFont="1" applyFill="1"/>
    <xf numFmtId="9" fontId="8" fillId="0" borderId="0" xfId="1" applyNumberFormat="1" applyFont="1" applyFill="1"/>
    <xf numFmtId="165" fontId="18" fillId="0" borderId="0" xfId="1" applyNumberFormat="1" applyFont="1" applyFill="1" applyBorder="1"/>
    <xf numFmtId="164" fontId="18" fillId="0" borderId="0" xfId="0" applyNumberFormat="1" applyFont="1"/>
    <xf numFmtId="164" fontId="22" fillId="0" borderId="0" xfId="0" applyNumberFormat="1" applyFont="1"/>
    <xf numFmtId="165" fontId="11" fillId="0" borderId="0" xfId="0" applyNumberFormat="1" applyFont="1"/>
    <xf numFmtId="0" fontId="3" fillId="0" borderId="18" xfId="0" applyFont="1" applyBorder="1" applyAlignment="1">
      <alignment horizontal="left" vertical="center" indent="1"/>
    </xf>
    <xf numFmtId="165" fontId="23" fillId="0" borderId="0" xfId="1" applyNumberFormat="1" applyFont="1" applyFill="1" applyBorder="1" applyAlignment="1">
      <alignment vertical="center"/>
    </xf>
    <xf numFmtId="165" fontId="23" fillId="2" borderId="0" xfId="0" applyNumberFormat="1" applyFont="1" applyFill="1" applyAlignment="1">
      <alignment vertical="center"/>
    </xf>
    <xf numFmtId="165" fontId="23" fillId="0" borderId="0" xfId="1" quotePrefix="1" applyNumberFormat="1" applyFont="1" applyFill="1"/>
    <xf numFmtId="9" fontId="23" fillId="0" borderId="0" xfId="1" quotePrefix="1" applyNumberFormat="1" applyFont="1" applyFill="1"/>
    <xf numFmtId="0" fontId="23" fillId="0" borderId="0" xfId="0" applyFont="1"/>
    <xf numFmtId="0" fontId="3" fillId="0" borderId="24" xfId="0" applyFont="1" applyBorder="1" applyAlignment="1">
      <alignment horizontal="left" vertical="center" indent="1"/>
    </xf>
    <xf numFmtId="165" fontId="11" fillId="0" borderId="20" xfId="0" applyNumberFormat="1" applyFont="1" applyBorder="1" applyAlignment="1">
      <alignment vertical="center"/>
    </xf>
    <xf numFmtId="165" fontId="11" fillId="6" borderId="20" xfId="0" applyNumberFormat="1" applyFont="1" applyFill="1" applyBorder="1" applyAlignment="1">
      <alignment vertical="center"/>
    </xf>
    <xf numFmtId="165" fontId="11" fillId="6" borderId="20" xfId="1" applyNumberFormat="1" applyFont="1" applyFill="1" applyBorder="1" applyAlignment="1">
      <alignment vertical="center"/>
    </xf>
    <xf numFmtId="165" fontId="11" fillId="2" borderId="0" xfId="0" applyNumberFormat="1" applyFont="1" applyFill="1" applyAlignment="1">
      <alignment vertical="center"/>
    </xf>
    <xf numFmtId="165" fontId="18" fillId="0" borderId="19" xfId="1" applyNumberFormat="1" applyFont="1" applyBorder="1" applyAlignment="1">
      <alignment vertical="center"/>
    </xf>
    <xf numFmtId="164" fontId="3" fillId="0" borderId="25" xfId="0" applyNumberFormat="1" applyFont="1" applyBorder="1" applyAlignment="1">
      <alignment vertical="center"/>
    </xf>
    <xf numFmtId="164" fontId="3" fillId="6" borderId="25" xfId="0" applyNumberFormat="1" applyFont="1" applyFill="1" applyBorder="1" applyAlignment="1">
      <alignment vertical="center"/>
    </xf>
    <xf numFmtId="165" fontId="3" fillId="6" borderId="0" xfId="1" applyNumberFormat="1" applyFont="1" applyFill="1" applyBorder="1" applyAlignment="1">
      <alignment vertical="center"/>
    </xf>
    <xf numFmtId="165" fontId="3" fillId="6" borderId="25" xfId="1" applyNumberFormat="1" applyFont="1" applyFill="1" applyBorder="1" applyAlignment="1">
      <alignment vertical="center"/>
    </xf>
    <xf numFmtId="0" fontId="11" fillId="0" borderId="22" xfId="0" applyFont="1" applyBorder="1"/>
    <xf numFmtId="0" fontId="11" fillId="0" borderId="0" xfId="0" applyFont="1"/>
    <xf numFmtId="165" fontId="18" fillId="0" borderId="16" xfId="1" applyNumberFormat="1" applyFont="1" applyBorder="1" applyAlignment="1">
      <alignment vertical="center"/>
    </xf>
    <xf numFmtId="165" fontId="2" fillId="0" borderId="0" xfId="1" applyNumberFormat="1" applyFont="1"/>
    <xf numFmtId="165" fontId="24" fillId="0" borderId="0" xfId="1" applyNumberFormat="1" applyFont="1" applyFill="1" applyBorder="1" applyAlignment="1">
      <alignment vertical="center"/>
    </xf>
    <xf numFmtId="9" fontId="24" fillId="0" borderId="0" xfId="1" applyNumberFormat="1" applyFont="1" applyFill="1" applyBorder="1" applyAlignment="1">
      <alignment vertical="center"/>
    </xf>
    <xf numFmtId="165" fontId="24" fillId="2" borderId="0" xfId="0" applyNumberFormat="1" applyFont="1" applyFill="1" applyAlignment="1">
      <alignment vertical="center"/>
    </xf>
    <xf numFmtId="165" fontId="25" fillId="0" borderId="0" xfId="1" applyNumberFormat="1" applyFont="1" applyFill="1"/>
    <xf numFmtId="165" fontId="26" fillId="0" borderId="0" xfId="1" quotePrefix="1" applyNumberFormat="1" applyFont="1" applyFill="1"/>
    <xf numFmtId="9" fontId="26" fillId="0" borderId="0" xfId="1" quotePrefix="1" applyNumberFormat="1" applyFont="1" applyFill="1"/>
    <xf numFmtId="0" fontId="26" fillId="0" borderId="0" xfId="0" applyFont="1"/>
    <xf numFmtId="165" fontId="26" fillId="0" borderId="0" xfId="1" applyNumberFormat="1" applyFont="1" applyFill="1"/>
    <xf numFmtId="9" fontId="26" fillId="0" borderId="0" xfId="0" applyNumberFormat="1" applyFont="1"/>
    <xf numFmtId="165" fontId="26" fillId="0" borderId="0" xfId="0" applyNumberFormat="1" applyFont="1"/>
    <xf numFmtId="9" fontId="26" fillId="0" borderId="0" xfId="1" applyNumberFormat="1" applyFont="1" applyFill="1"/>
    <xf numFmtId="165" fontId="26" fillId="0" borderId="0" xfId="1" applyNumberFormat="1" applyFont="1" applyFill="1" applyBorder="1"/>
    <xf numFmtId="164" fontId="26" fillId="0" borderId="0" xfId="0" applyNumberFormat="1" applyFont="1"/>
    <xf numFmtId="164" fontId="24" fillId="0" borderId="0" xfId="0" applyNumberFormat="1" applyFont="1"/>
    <xf numFmtId="0" fontId="27" fillId="0" borderId="18" xfId="0" applyFont="1" applyBorder="1" applyAlignment="1">
      <alignment horizontal="left" vertical="center" indent="1"/>
    </xf>
    <xf numFmtId="164" fontId="26" fillId="0" borderId="19" xfId="0" applyNumberFormat="1" applyFont="1" applyBorder="1" applyAlignment="1">
      <alignment vertical="center"/>
    </xf>
    <xf numFmtId="164" fontId="27" fillId="0" borderId="19" xfId="0" applyNumberFormat="1" applyFont="1" applyBorder="1" applyAlignment="1">
      <alignment vertical="center"/>
    </xf>
    <xf numFmtId="165" fontId="27" fillId="0" borderId="17" xfId="0" applyNumberFormat="1" applyFont="1" applyBorder="1" applyAlignment="1">
      <alignment vertical="center"/>
    </xf>
    <xf numFmtId="165" fontId="27" fillId="6" borderId="17" xfId="0" applyNumberFormat="1" applyFont="1" applyFill="1" applyBorder="1" applyAlignment="1">
      <alignment vertical="center"/>
    </xf>
    <xf numFmtId="165" fontId="27" fillId="6" borderId="0" xfId="1" applyNumberFormat="1" applyFont="1" applyFill="1" applyBorder="1" applyAlignment="1">
      <alignment vertical="center"/>
    </xf>
    <xf numFmtId="165" fontId="28" fillId="0" borderId="0" xfId="1" applyNumberFormat="1" applyFont="1" applyFill="1" applyBorder="1" applyAlignment="1">
      <alignment vertical="center"/>
    </xf>
    <xf numFmtId="9" fontId="28" fillId="0" borderId="0" xfId="1" applyNumberFormat="1" applyFont="1" applyFill="1" applyBorder="1" applyAlignment="1">
      <alignment vertical="center"/>
    </xf>
    <xf numFmtId="165" fontId="27" fillId="6" borderId="17" xfId="1" applyNumberFormat="1" applyFont="1" applyFill="1" applyBorder="1" applyAlignment="1">
      <alignment vertical="center"/>
    </xf>
    <xf numFmtId="165" fontId="28" fillId="2" borderId="0" xfId="0" applyNumberFormat="1" applyFont="1" applyFill="1" applyAlignment="1">
      <alignment vertical="center"/>
    </xf>
    <xf numFmtId="165" fontId="27" fillId="0" borderId="0" xfId="1" applyNumberFormat="1" applyFont="1" applyFill="1"/>
    <xf numFmtId="165" fontId="27" fillId="0" borderId="0" xfId="1" quotePrefix="1" applyNumberFormat="1" applyFont="1" applyFill="1"/>
    <xf numFmtId="9" fontId="27" fillId="0" borderId="0" xfId="1" quotePrefix="1" applyNumberFormat="1" applyFont="1" applyFill="1"/>
    <xf numFmtId="0" fontId="27" fillId="0" borderId="0" xfId="0" applyFont="1"/>
    <xf numFmtId="9" fontId="27" fillId="0" borderId="0" xfId="0" applyNumberFormat="1" applyFont="1"/>
    <xf numFmtId="9" fontId="27" fillId="0" borderId="0" xfId="1" applyNumberFormat="1" applyFont="1" applyFill="1"/>
    <xf numFmtId="165" fontId="27" fillId="0" borderId="0" xfId="1" applyNumberFormat="1" applyFont="1" applyFill="1" applyBorder="1"/>
    <xf numFmtId="164" fontId="27" fillId="0" borderId="0" xfId="0" applyNumberFormat="1" applyFont="1"/>
    <xf numFmtId="164" fontId="28" fillId="0" borderId="0" xfId="0" applyNumberFormat="1" applyFont="1"/>
    <xf numFmtId="165" fontId="27" fillId="0" borderId="0" xfId="0" applyNumberFormat="1" applyFont="1"/>
    <xf numFmtId="165" fontId="27" fillId="0" borderId="20" xfId="0" applyNumberFormat="1" applyFont="1" applyBorder="1" applyAlignment="1">
      <alignment vertical="center"/>
    </xf>
    <xf numFmtId="165" fontId="27" fillId="6" borderId="20" xfId="0" applyNumberFormat="1" applyFont="1" applyFill="1" applyBorder="1" applyAlignment="1">
      <alignment vertical="center"/>
    </xf>
    <xf numFmtId="165" fontId="27" fillId="6" borderId="20" xfId="1" applyNumberFormat="1" applyFont="1" applyFill="1" applyBorder="1" applyAlignment="1">
      <alignment vertical="center"/>
    </xf>
    <xf numFmtId="165" fontId="28" fillId="3" borderId="0" xfId="1" applyNumberFormat="1" applyFont="1" applyFill="1" applyBorder="1" applyAlignment="1">
      <alignment vertical="center"/>
    </xf>
    <xf numFmtId="9" fontId="28" fillId="3" borderId="0" xfId="1" applyNumberFormat="1" applyFont="1" applyFill="1" applyBorder="1" applyAlignment="1">
      <alignment vertical="center"/>
    </xf>
    <xf numFmtId="0" fontId="18" fillId="0" borderId="18" xfId="0" applyFont="1" applyBorder="1" applyAlignment="1">
      <alignment vertical="center"/>
    </xf>
    <xf numFmtId="164" fontId="11" fillId="0" borderId="0" xfId="0" applyNumberFormat="1" applyFont="1" applyAlignment="1">
      <alignment vertical="center"/>
    </xf>
    <xf numFmtId="165" fontId="11" fillId="0" borderId="0" xfId="1" applyNumberFormat="1" applyFont="1" applyAlignment="1">
      <alignment vertical="center"/>
    </xf>
    <xf numFmtId="165" fontId="11" fillId="0" borderId="0" xfId="1" quotePrefix="1" applyNumberFormat="1" applyFont="1"/>
    <xf numFmtId="165" fontId="16" fillId="0" borderId="0" xfId="1" applyNumberFormat="1" applyFont="1" applyAlignment="1">
      <alignment vertical="center"/>
    </xf>
    <xf numFmtId="0" fontId="17" fillId="0" borderId="0" xfId="0" applyFont="1"/>
    <xf numFmtId="0" fontId="16" fillId="0" borderId="10" xfId="0" applyFont="1" applyBorder="1" applyAlignment="1">
      <alignment vertical="center"/>
    </xf>
    <xf numFmtId="38" fontId="16" fillId="0" borderId="26" xfId="0" applyNumberFormat="1" applyFont="1" applyBorder="1" applyAlignment="1">
      <alignment vertical="center"/>
    </xf>
    <xf numFmtId="165" fontId="16" fillId="0" borderId="26" xfId="1" applyNumberFormat="1" applyFont="1" applyBorder="1" applyAlignment="1">
      <alignment vertical="center"/>
    </xf>
    <xf numFmtId="38" fontId="16" fillId="0" borderId="27" xfId="0" applyNumberFormat="1" applyFont="1" applyBorder="1" applyAlignment="1">
      <alignment vertical="center"/>
    </xf>
    <xf numFmtId="38" fontId="16" fillId="0" borderId="0" xfId="0" applyNumberFormat="1" applyFont="1" applyAlignment="1">
      <alignment vertical="center"/>
    </xf>
    <xf numFmtId="9" fontId="16" fillId="0" borderId="0" xfId="0" applyNumberFormat="1" applyFont="1" applyAlignment="1">
      <alignment vertical="center"/>
    </xf>
    <xf numFmtId="38" fontId="8" fillId="0" borderId="0" xfId="0" applyNumberFormat="1" applyFont="1" applyAlignment="1">
      <alignment vertical="center"/>
    </xf>
    <xf numFmtId="38" fontId="16" fillId="2" borderId="0" xfId="0" applyNumberFormat="1" applyFont="1" applyFill="1" applyAlignment="1">
      <alignment vertical="center"/>
    </xf>
    <xf numFmtId="38" fontId="3" fillId="0" borderId="0" xfId="0" applyNumberFormat="1" applyFont="1"/>
    <xf numFmtId="164" fontId="0" fillId="0" borderId="0" xfId="0" applyNumberFormat="1"/>
    <xf numFmtId="164" fontId="4" fillId="0" borderId="0" xfId="0" applyNumberFormat="1" applyFont="1"/>
    <xf numFmtId="38" fontId="16" fillId="2" borderId="0" xfId="0" applyNumberFormat="1" applyFont="1" applyFill="1"/>
    <xf numFmtId="165" fontId="4" fillId="3" borderId="0" xfId="1" applyNumberFormat="1" applyFont="1" applyFill="1"/>
    <xf numFmtId="0" fontId="29" fillId="0" borderId="28" xfId="0" applyFont="1" applyBorder="1"/>
    <xf numFmtId="167" fontId="8" fillId="5" borderId="28" xfId="0" applyNumberFormat="1" applyFont="1" applyFill="1" applyBorder="1" applyAlignment="1">
      <alignment horizontal="center" vertical="center" wrapText="1"/>
    </xf>
    <xf numFmtId="167" fontId="8" fillId="5" borderId="28" xfId="0" quotePrefix="1" applyNumberFormat="1" applyFont="1" applyFill="1" applyBorder="1" applyAlignment="1">
      <alignment horizontal="center" vertical="center" wrapText="1"/>
    </xf>
    <xf numFmtId="167" fontId="15" fillId="6" borderId="28" xfId="0" quotePrefix="1" applyNumberFormat="1" applyFont="1" applyFill="1" applyBorder="1" applyAlignment="1">
      <alignment horizontal="center" vertical="center" wrapText="1"/>
    </xf>
    <xf numFmtId="0" fontId="3" fillId="0" borderId="28" xfId="0" applyFont="1" applyBorder="1"/>
    <xf numFmtId="0" fontId="3" fillId="6" borderId="28" xfId="0" applyFont="1" applyFill="1" applyBorder="1"/>
    <xf numFmtId="0" fontId="3" fillId="0" borderId="28" xfId="0" applyFont="1" applyBorder="1" applyAlignment="1">
      <alignment horizontal="left" indent="2"/>
    </xf>
    <xf numFmtId="165" fontId="3" fillId="0" borderId="28" xfId="1" applyNumberFormat="1" applyFont="1" applyBorder="1"/>
    <xf numFmtId="165" fontId="3" fillId="6" borderId="28" xfId="1" applyNumberFormat="1" applyFont="1" applyFill="1" applyBorder="1"/>
    <xf numFmtId="165" fontId="3" fillId="6" borderId="28" xfId="0" applyNumberFormat="1" applyFont="1" applyFill="1" applyBorder="1"/>
    <xf numFmtId="9" fontId="3" fillId="0" borderId="28" xfId="0" applyNumberFormat="1" applyFont="1" applyBorder="1"/>
    <xf numFmtId="9" fontId="3" fillId="6" borderId="28" xfId="0" applyNumberFormat="1" applyFont="1" applyFill="1" applyBorder="1"/>
    <xf numFmtId="165" fontId="3" fillId="0" borderId="28" xfId="0" applyNumberFormat="1" applyFont="1" applyBorder="1"/>
    <xf numFmtId="0" fontId="30" fillId="0" borderId="28" xfId="0" applyFont="1" applyBorder="1"/>
    <xf numFmtId="165" fontId="27" fillId="0" borderId="28" xfId="1" applyNumberFormat="1" applyFont="1" applyFill="1" applyBorder="1"/>
    <xf numFmtId="165" fontId="27" fillId="0" borderId="28" xfId="1" applyNumberFormat="1" applyFont="1" applyBorder="1"/>
    <xf numFmtId="165" fontId="27" fillId="6" borderId="28" xfId="0" applyNumberFormat="1" applyFont="1" applyFill="1" applyBorder="1"/>
    <xf numFmtId="0" fontId="31" fillId="0" borderId="0" xfId="0" applyFont="1"/>
    <xf numFmtId="0" fontId="27" fillId="0" borderId="28" xfId="0" applyFont="1" applyBorder="1" applyAlignment="1">
      <alignment horizontal="left" indent="2"/>
    </xf>
    <xf numFmtId="43" fontId="27" fillId="6" borderId="28" xfId="1" applyFont="1" applyFill="1" applyBorder="1"/>
    <xf numFmtId="9" fontId="27" fillId="0" borderId="28" xfId="0" applyNumberFormat="1" applyFont="1" applyBorder="1"/>
    <xf numFmtId="9" fontId="27" fillId="0" borderId="28" xfId="1" applyNumberFormat="1" applyFont="1" applyFill="1" applyBorder="1"/>
    <xf numFmtId="9" fontId="27" fillId="0" borderId="28" xfId="1" applyNumberFormat="1" applyFont="1" applyBorder="1"/>
    <xf numFmtId="9" fontId="27" fillId="6" borderId="28" xfId="2" applyFont="1" applyFill="1" applyBorder="1"/>
    <xf numFmtId="0" fontId="18" fillId="0" borderId="28" xfId="0" applyFont="1" applyBorder="1" applyAlignment="1">
      <alignment vertical="center"/>
    </xf>
    <xf numFmtId="164" fontId="18" fillId="0" borderId="28" xfId="0" applyNumberFormat="1" applyFont="1" applyBorder="1" applyAlignment="1">
      <alignment vertical="center"/>
    </xf>
    <xf numFmtId="0" fontId="16" fillId="0" borderId="28" xfId="0" applyFont="1" applyBorder="1" applyAlignment="1">
      <alignment vertical="center"/>
    </xf>
    <xf numFmtId="165" fontId="16" fillId="0" borderId="28" xfId="1" applyNumberFormat="1" applyFont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1050-8962-9C41-9D2B-3CCB05D462D3}">
  <sheetPr>
    <tabColor rgb="FFFF3399"/>
  </sheetPr>
  <dimension ref="A1:BX1574"/>
  <sheetViews>
    <sheetView showGridLines="0" tabSelected="1" zoomScale="63" zoomScaleNormal="55" workbookViewId="0">
      <pane xSplit="1" topLeftCell="M1" activePane="topRight" state="frozen"/>
      <selection activeCell="A25" sqref="A25"/>
      <selection pane="topRight" activeCell="P36" sqref="P36"/>
    </sheetView>
  </sheetViews>
  <sheetFormatPr baseColWidth="10" defaultColWidth="9" defaultRowHeight="15.75" customHeight="1" x14ac:dyDescent="0.2"/>
  <cols>
    <col min="1" max="1" width="26.5" style="1" customWidth="1"/>
    <col min="2" max="2" width="15.1640625" style="1" hidden="1" customWidth="1"/>
    <col min="3" max="3" width="16.6640625" style="1" hidden="1" customWidth="1"/>
    <col min="4" max="6" width="15.1640625" style="1" hidden="1" customWidth="1"/>
    <col min="7" max="7" width="16.6640625" style="1" hidden="1" customWidth="1"/>
    <col min="8" max="8" width="15.1640625" style="1" hidden="1" customWidth="1"/>
    <col min="9" max="9" width="18.1640625" style="1" hidden="1" customWidth="1"/>
    <col min="10" max="10" width="15.1640625" style="1" hidden="1" customWidth="1"/>
    <col min="11" max="11" width="16.5" style="1" hidden="1" customWidth="1"/>
    <col min="12" max="12" width="3.6640625" style="1" hidden="1" customWidth="1"/>
    <col min="13" max="13" width="24.6640625" style="1" bestFit="1" customWidth="1"/>
    <col min="14" max="14" width="22.6640625" style="1" customWidth="1"/>
    <col min="15" max="16" width="15.6640625" style="1" customWidth="1"/>
    <col min="17" max="17" width="20" style="1" customWidth="1"/>
    <col min="18" max="18" width="15.6640625" style="1" customWidth="1"/>
    <col min="19" max="27" width="22.83203125" style="1" customWidth="1"/>
    <col min="28" max="28" width="21.1640625" style="1" customWidth="1"/>
    <col min="29" max="29" width="22.1640625" style="1" bestFit="1" customWidth="1"/>
    <col min="30" max="36" width="21.1640625" style="1" customWidth="1"/>
    <col min="37" max="37" width="21.1640625" style="1" hidden="1" customWidth="1"/>
    <col min="38" max="38" width="17.6640625" hidden="1" customWidth="1"/>
    <col min="39" max="39" width="10.5" hidden="1" customWidth="1"/>
    <col min="40" max="47" width="15.6640625" hidden="1" customWidth="1"/>
    <col min="48" max="48" width="19.1640625" hidden="1" customWidth="1"/>
    <col min="49" max="51" width="11.6640625" hidden="1" customWidth="1"/>
    <col min="52" max="52" width="10.33203125" hidden="1" customWidth="1"/>
    <col min="53" max="54" width="2.1640625" style="18" customWidth="1"/>
    <col min="55" max="55" width="18.5" style="1" bestFit="1" customWidth="1"/>
    <col min="56" max="56" width="27.1640625" style="1" customWidth="1"/>
    <col min="57" max="57" width="10.5" style="1" customWidth="1"/>
    <col min="58" max="58" width="19" style="1" customWidth="1"/>
    <col min="59" max="59" width="10.5" style="1" customWidth="1"/>
    <col min="60" max="60" width="27.1640625" style="1" bestFit="1" customWidth="1"/>
    <col min="61" max="63" width="10.5" style="1" customWidth="1"/>
    <col min="64" max="64" width="17.5" style="1" bestFit="1" customWidth="1"/>
    <col min="65" max="65" width="10.5" style="1" customWidth="1"/>
    <col min="66" max="66" width="9" style="1"/>
    <col min="67" max="67" width="9.5" style="1" bestFit="1" customWidth="1"/>
    <col min="68" max="71" width="9" style="1"/>
    <col min="72" max="72" width="18.5" style="1" bestFit="1" customWidth="1"/>
    <col min="73" max="73" width="19.5" style="1" customWidth="1"/>
    <col min="74" max="74" width="22" style="1" customWidth="1"/>
    <col min="75" max="75" width="17" style="1" customWidth="1"/>
    <col min="76" max="16384" width="9" style="1"/>
  </cols>
  <sheetData>
    <row r="1" spans="1:76" ht="12.75" customHeight="1" x14ac:dyDescent="0.2">
      <c r="H1" s="2"/>
      <c r="I1" s="2"/>
      <c r="J1" s="3"/>
      <c r="K1" s="3"/>
      <c r="L1" s="4"/>
      <c r="M1" s="3"/>
      <c r="N1" s="3"/>
      <c r="O1" s="3"/>
      <c r="P1" s="3"/>
      <c r="Q1" s="3"/>
      <c r="R1" s="3"/>
      <c r="S1" s="2"/>
      <c r="T1" s="3"/>
      <c r="U1" s="3"/>
      <c r="V1" s="3"/>
      <c r="W1" s="3"/>
      <c r="X1" s="2"/>
      <c r="Y1" s="2"/>
      <c r="Z1" s="2"/>
      <c r="AA1" s="3"/>
      <c r="AB1" s="3"/>
      <c r="AC1" s="3"/>
      <c r="AD1" s="3"/>
      <c r="AE1" s="3">
        <v>27752.183999999997</v>
      </c>
      <c r="AF1" s="3">
        <v>9999.4410000000007</v>
      </c>
      <c r="AG1" s="3"/>
      <c r="AH1" s="3">
        <v>388530.57599999994</v>
      </c>
      <c r="AI1" s="5">
        <v>-356556.78399999993</v>
      </c>
      <c r="AJ1" s="5">
        <v>-89139.195999999982</v>
      </c>
      <c r="AK1" s="6"/>
      <c r="AL1" s="6"/>
      <c r="AM1" s="7"/>
      <c r="AQ1" s="8"/>
      <c r="AR1" s="8"/>
      <c r="AS1" s="8"/>
      <c r="AT1" s="8"/>
      <c r="AU1" s="8"/>
      <c r="AX1" s="9"/>
      <c r="AY1" s="9"/>
      <c r="AZ1" s="9"/>
      <c r="BA1" s="10"/>
      <c r="BB1" s="10"/>
    </row>
    <row r="2" spans="1:76" ht="12.75" customHeight="1" x14ac:dyDescent="0.2">
      <c r="H2" s="2"/>
      <c r="I2" s="2"/>
      <c r="J2" s="11"/>
      <c r="K2" s="11"/>
      <c r="L2" s="12"/>
      <c r="M2" s="12"/>
      <c r="N2" s="12"/>
      <c r="O2" s="13">
        <v>1</v>
      </c>
      <c r="P2" s="13">
        <v>2</v>
      </c>
      <c r="Q2" s="13">
        <v>3</v>
      </c>
      <c r="R2" s="13">
        <v>4</v>
      </c>
      <c r="S2" s="13">
        <v>5</v>
      </c>
      <c r="T2" s="13">
        <v>6</v>
      </c>
      <c r="U2" s="13">
        <v>7</v>
      </c>
      <c r="V2" s="13">
        <v>8</v>
      </c>
      <c r="W2" s="13">
        <v>9</v>
      </c>
      <c r="X2" s="13">
        <v>10</v>
      </c>
      <c r="Y2" s="13">
        <v>11</v>
      </c>
      <c r="Z2" s="13">
        <v>12</v>
      </c>
      <c r="AA2" s="14"/>
      <c r="AB2" s="14">
        <v>1</v>
      </c>
      <c r="AC2" s="14">
        <v>2</v>
      </c>
      <c r="AD2" s="14">
        <v>3</v>
      </c>
      <c r="AE2" s="14">
        <v>4</v>
      </c>
      <c r="AF2" s="14">
        <v>5</v>
      </c>
      <c r="AG2" s="15"/>
      <c r="AH2" s="14"/>
      <c r="AI2" s="8"/>
      <c r="AJ2" s="8">
        <v>-3.2119704885208309</v>
      </c>
      <c r="AK2" s="8"/>
      <c r="AL2" s="8"/>
      <c r="AM2" s="8"/>
      <c r="AN2" s="9" t="e">
        <f>#REF!/20</f>
        <v>#REF!</v>
      </c>
      <c r="AQ2" s="16"/>
      <c r="AR2" s="16"/>
      <c r="AS2" s="16"/>
      <c r="AT2" s="16"/>
      <c r="AU2" s="16"/>
      <c r="AV2" s="1"/>
      <c r="AW2" s="1"/>
      <c r="AX2" s="17"/>
      <c r="AY2" s="17"/>
      <c r="AZ2" s="17"/>
      <c r="BL2" s="17"/>
    </row>
    <row r="3" spans="1:76" ht="51.5" customHeight="1" x14ac:dyDescent="0.2">
      <c r="A3" s="19" t="s">
        <v>0</v>
      </c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2" t="s">
        <v>2</v>
      </c>
      <c r="N3" s="23" t="s">
        <v>3</v>
      </c>
      <c r="O3" s="24">
        <v>45682</v>
      </c>
      <c r="P3" s="24">
        <v>45713</v>
      </c>
      <c r="Q3" s="24">
        <v>45741</v>
      </c>
      <c r="R3" s="25" t="s">
        <v>4</v>
      </c>
      <c r="S3" s="25" t="s">
        <v>5</v>
      </c>
      <c r="T3" s="25" t="s">
        <v>6</v>
      </c>
      <c r="U3" s="25" t="s">
        <v>7</v>
      </c>
      <c r="V3" s="25" t="s">
        <v>8</v>
      </c>
      <c r="W3" s="25" t="s">
        <v>9</v>
      </c>
      <c r="X3" s="25" t="s">
        <v>10</v>
      </c>
      <c r="Y3" s="26" t="s">
        <v>11</v>
      </c>
      <c r="Z3" s="26" t="s">
        <v>12</v>
      </c>
      <c r="AA3" s="26" t="s">
        <v>13</v>
      </c>
      <c r="AB3" s="26" t="s">
        <v>14</v>
      </c>
      <c r="AC3" s="26" t="s">
        <v>15</v>
      </c>
      <c r="AD3" s="26" t="s">
        <v>16</v>
      </c>
      <c r="AE3" s="26" t="s">
        <v>17</v>
      </c>
      <c r="AF3" s="26" t="s">
        <v>18</v>
      </c>
      <c r="AG3" s="27" t="s">
        <v>19</v>
      </c>
      <c r="AH3" s="27"/>
      <c r="AI3" s="27"/>
      <c r="AJ3" s="28"/>
      <c r="AK3" s="29"/>
      <c r="AL3" s="7" t="e">
        <f>#REF!-AB5</f>
        <v>#REF!</v>
      </c>
      <c r="AM3" s="7"/>
      <c r="AN3" s="30"/>
      <c r="AO3" s="30"/>
      <c r="AP3" s="30"/>
      <c r="AQ3" s="30"/>
      <c r="AR3" s="30"/>
      <c r="AS3" s="30"/>
      <c r="AT3" s="30"/>
      <c r="AU3" s="30"/>
      <c r="AV3" s="31"/>
      <c r="AW3" s="31"/>
      <c r="AX3" s="30"/>
      <c r="AY3" s="30"/>
      <c r="AZ3" s="32"/>
      <c r="BA3" s="33"/>
      <c r="BB3" s="33"/>
      <c r="BD3" s="34"/>
      <c r="BE3" s="35"/>
      <c r="BF3" s="34"/>
      <c r="BG3" s="34"/>
      <c r="BH3" s="36"/>
      <c r="BI3" s="37"/>
      <c r="BJ3" s="34"/>
      <c r="BK3" s="34"/>
      <c r="BL3" s="17"/>
    </row>
    <row r="4" spans="1:76" s="52" customFormat="1" ht="51.75" customHeight="1" x14ac:dyDescent="0.2">
      <c r="A4" s="38" t="s">
        <v>20</v>
      </c>
      <c r="B4" s="39" t="s">
        <v>21</v>
      </c>
      <c r="C4" s="39" t="s">
        <v>22</v>
      </c>
      <c r="D4" s="39" t="s">
        <v>23</v>
      </c>
      <c r="E4" s="39" t="s">
        <v>24</v>
      </c>
      <c r="F4" s="39" t="s">
        <v>25</v>
      </c>
      <c r="G4" s="39" t="s">
        <v>26</v>
      </c>
      <c r="H4" s="39" t="s">
        <v>27</v>
      </c>
      <c r="I4" s="39" t="s">
        <v>28</v>
      </c>
      <c r="J4" s="39" t="s">
        <v>29</v>
      </c>
      <c r="K4" s="39" t="s">
        <v>30</v>
      </c>
      <c r="L4" s="39" t="s">
        <v>31</v>
      </c>
      <c r="M4" s="40"/>
      <c r="N4" s="41"/>
      <c r="O4" s="42"/>
      <c r="P4" s="42"/>
      <c r="Q4" s="42"/>
      <c r="R4" s="42"/>
      <c r="S4" s="42"/>
      <c r="T4" s="42"/>
      <c r="U4" s="42"/>
      <c r="V4" s="42"/>
      <c r="W4" s="42"/>
      <c r="X4" s="42"/>
      <c r="Y4" s="43"/>
      <c r="Z4" s="43"/>
      <c r="AA4" s="43"/>
      <c r="AB4" s="43"/>
      <c r="AC4" s="43"/>
      <c r="AD4" s="43"/>
      <c r="AE4" s="43"/>
      <c r="AF4" s="43"/>
      <c r="AG4" s="44" t="s">
        <v>32</v>
      </c>
      <c r="AH4" s="44" t="s">
        <v>33</v>
      </c>
      <c r="AI4" s="44" t="s">
        <v>34</v>
      </c>
      <c r="AJ4" s="44" t="s">
        <v>35</v>
      </c>
      <c r="AK4" s="45"/>
      <c r="AL4" s="8"/>
      <c r="AM4" s="9"/>
      <c r="AN4" s="46" t="s">
        <v>36</v>
      </c>
      <c r="AO4" s="46"/>
      <c r="AP4" s="46" t="s">
        <v>37</v>
      </c>
      <c r="AQ4" s="46" t="s">
        <v>38</v>
      </c>
      <c r="AR4" s="46" t="s">
        <v>39</v>
      </c>
      <c r="AS4" s="46"/>
      <c r="AT4" s="46"/>
      <c r="AU4" s="46" t="s">
        <v>40</v>
      </c>
      <c r="AV4" s="47" t="s">
        <v>41</v>
      </c>
      <c r="AW4" s="47" t="s">
        <v>42</v>
      </c>
      <c r="AX4" s="47" t="s">
        <v>43</v>
      </c>
      <c r="AY4" s="47" t="s">
        <v>44</v>
      </c>
      <c r="AZ4" s="48"/>
      <c r="BA4" s="49"/>
      <c r="BB4" s="49"/>
      <c r="BC4" s="50"/>
      <c r="BD4" s="50"/>
      <c r="BE4" s="51"/>
      <c r="BF4" s="51"/>
      <c r="BH4" s="53"/>
      <c r="BI4" s="54"/>
      <c r="BJ4" s="53"/>
      <c r="BK4" s="53"/>
      <c r="BN4" s="55"/>
      <c r="BO4" s="56"/>
      <c r="BR4" s="57"/>
      <c r="BT4" s="56"/>
      <c r="BU4" s="50"/>
      <c r="BV4" s="58"/>
      <c r="BW4" s="59"/>
    </row>
    <row r="5" spans="1:76" s="52" customFormat="1" ht="17.75" customHeight="1" x14ac:dyDescent="0.2">
      <c r="A5" s="60" t="s">
        <v>45</v>
      </c>
      <c r="B5" s="61">
        <v>201857.46537399999</v>
      </c>
      <c r="C5" s="61">
        <v>153550.04784000001</v>
      </c>
      <c r="D5" s="61">
        <v>182922.86757</v>
      </c>
      <c r="E5" s="61">
        <v>230697.41172900001</v>
      </c>
      <c r="F5" s="61">
        <v>257191.06150100002</v>
      </c>
      <c r="G5" s="61">
        <v>389269.06385800004</v>
      </c>
      <c r="H5" s="61">
        <v>479861.56740400003</v>
      </c>
      <c r="I5" s="61">
        <v>465691.51039300003</v>
      </c>
      <c r="J5" s="61">
        <v>513077.82657700009</v>
      </c>
      <c r="K5" s="61">
        <v>586890.27454100002</v>
      </c>
      <c r="L5" s="61">
        <v>555660.53715500014</v>
      </c>
      <c r="M5" s="61">
        <v>4676584.0843900004</v>
      </c>
      <c r="N5" s="61">
        <v>648539.97044800012</v>
      </c>
      <c r="O5" s="61">
        <v>607486.37327500002</v>
      </c>
      <c r="P5" s="61">
        <v>495446.38220599998</v>
      </c>
      <c r="Q5" s="61">
        <v>683560.74981800001</v>
      </c>
      <c r="R5" s="61">
        <v>798171.27412900003</v>
      </c>
      <c r="S5" s="61">
        <v>840872.963659</v>
      </c>
      <c r="T5" s="61">
        <v>923364.06331900007</v>
      </c>
      <c r="U5" s="61">
        <v>1267939.393257</v>
      </c>
      <c r="V5" s="61">
        <v>1258147.3351479999</v>
      </c>
      <c r="W5" s="61">
        <v>1711200.1891359997</v>
      </c>
      <c r="X5" s="61">
        <v>1903865.3747469999</v>
      </c>
      <c r="Y5" s="61">
        <v>1960631.0907669999</v>
      </c>
      <c r="Z5" s="61">
        <v>2107677.983401</v>
      </c>
      <c r="AA5" s="61">
        <v>14558363.172862001</v>
      </c>
      <c r="AB5" s="61">
        <v>2156725.8590990002</v>
      </c>
      <c r="AC5" s="61">
        <v>1625714.7431929999</v>
      </c>
      <c r="AD5" s="61">
        <v>1980913.818461</v>
      </c>
      <c r="AE5" s="62">
        <v>2066872.0347070002</v>
      </c>
      <c r="AF5" s="62">
        <v>729911.70503900014</v>
      </c>
      <c r="AG5" s="63">
        <v>2376368.3705199999</v>
      </c>
      <c r="AH5" s="63">
        <v>2455696.9255999997</v>
      </c>
      <c r="AI5" s="63">
        <v>2495487.102</v>
      </c>
      <c r="AJ5" s="63">
        <v>2697464.7494000001</v>
      </c>
      <c r="AK5" s="64" t="e">
        <f>AG5-#REF!</f>
        <v>#REF!</v>
      </c>
      <c r="AL5" s="65"/>
      <c r="AM5" s="66"/>
      <c r="AN5" s="67" t="e">
        <f>#REF!-AC5</f>
        <v>#REF!</v>
      </c>
      <c r="AO5" s="68" t="e">
        <f t="shared" ref="AO5:AO29" si="0">AN5/$AN$29</f>
        <v>#REF!</v>
      </c>
      <c r="AP5" s="67">
        <f t="shared" ref="AP5:AP29" si="1">AC5/28</f>
        <v>58061.240828321424</v>
      </c>
      <c r="AQ5" s="67" t="e">
        <f>#REF!/31</f>
        <v>#REF!</v>
      </c>
      <c r="AR5" s="67" t="e">
        <f t="shared" ref="AR5:AR29" si="2">AQ5-AP5</f>
        <v>#REF!</v>
      </c>
      <c r="AS5" s="68" t="e">
        <f t="shared" ref="AS5:AS29" si="3">AR5/$AR$29</f>
        <v>#REF!</v>
      </c>
      <c r="AT5" s="68" t="e">
        <f t="shared" ref="AT5:AT29" si="4">AQ5/AP5</f>
        <v>#REF!</v>
      </c>
      <c r="AU5" s="69">
        <v>2026008.7750830001</v>
      </c>
      <c r="AV5" s="67" t="e">
        <f>#REF!-AU5</f>
        <v>#REF!</v>
      </c>
      <c r="AW5" s="67">
        <f t="shared" ref="AW5:AW29" si="5">AU5/28</f>
        <v>72357.456252964286</v>
      </c>
      <c r="AX5" s="67" t="e">
        <f>#REF!/31</f>
        <v>#REF!</v>
      </c>
      <c r="AY5" s="67" t="e">
        <f>AX5-AW5</f>
        <v>#REF!</v>
      </c>
      <c r="AZ5" s="67"/>
      <c r="BA5" s="70"/>
      <c r="BB5" s="70"/>
      <c r="BC5" s="71"/>
      <c r="BD5" s="72"/>
      <c r="BE5" s="72"/>
      <c r="BF5" s="73"/>
      <c r="BH5" s="74"/>
      <c r="BI5" s="75"/>
      <c r="BJ5" s="76"/>
      <c r="BK5" s="76"/>
      <c r="BL5" s="77"/>
      <c r="BM5" s="78"/>
      <c r="BN5" s="56"/>
      <c r="BO5" s="56"/>
      <c r="BQ5" s="79"/>
      <c r="BR5" s="79"/>
      <c r="BT5" s="72"/>
      <c r="BU5" s="71"/>
      <c r="BV5" s="71"/>
      <c r="BW5" s="80"/>
    </row>
    <row r="6" spans="1:76" ht="14.75" customHeight="1" x14ac:dyDescent="0.2">
      <c r="A6" s="81" t="s">
        <v>46</v>
      </c>
      <c r="B6" s="82">
        <v>81807.199999999997</v>
      </c>
      <c r="C6" s="82">
        <v>48983.3</v>
      </c>
      <c r="D6" s="82">
        <v>50541.69</v>
      </c>
      <c r="E6" s="82">
        <v>92448.04</v>
      </c>
      <c r="F6" s="82">
        <v>106332.64</v>
      </c>
      <c r="G6" s="82">
        <v>144149.51</v>
      </c>
      <c r="H6" s="82">
        <v>159280.94</v>
      </c>
      <c r="I6" s="82">
        <v>180960.65</v>
      </c>
      <c r="J6" s="82">
        <v>217873.65</v>
      </c>
      <c r="K6" s="82">
        <v>230764.78</v>
      </c>
      <c r="L6" s="82">
        <v>186253.14</v>
      </c>
      <c r="M6" s="83">
        <v>1682253.17</v>
      </c>
      <c r="N6" s="83">
        <v>182857.63</v>
      </c>
      <c r="O6" s="84">
        <v>180511.4</v>
      </c>
      <c r="P6" s="84">
        <v>131748.35</v>
      </c>
      <c r="Q6" s="84">
        <v>198763.29</v>
      </c>
      <c r="R6" s="84">
        <v>249280.19</v>
      </c>
      <c r="S6" s="84">
        <v>237678.41</v>
      </c>
      <c r="T6" s="84">
        <v>261376.05</v>
      </c>
      <c r="U6" s="84">
        <v>380965.67</v>
      </c>
      <c r="V6" s="84">
        <v>346289.2</v>
      </c>
      <c r="W6" s="84">
        <v>465278.44</v>
      </c>
      <c r="X6" s="84">
        <v>489924.96</v>
      </c>
      <c r="Y6" s="84">
        <v>513252.48</v>
      </c>
      <c r="Z6" s="84">
        <v>548081.57999999996</v>
      </c>
      <c r="AA6" s="84">
        <v>4003150.02</v>
      </c>
      <c r="AB6" s="84">
        <v>521571.95</v>
      </c>
      <c r="AC6" s="84">
        <v>382545.26</v>
      </c>
      <c r="AD6" s="84">
        <v>495975.24</v>
      </c>
      <c r="AE6" s="85">
        <v>492101.89</v>
      </c>
      <c r="AF6" s="85">
        <v>168117.78</v>
      </c>
      <c r="AG6" s="86">
        <v>535000</v>
      </c>
      <c r="AH6" s="86">
        <v>540000</v>
      </c>
      <c r="AI6" s="86">
        <v>520000</v>
      </c>
      <c r="AJ6" s="86">
        <v>540000</v>
      </c>
      <c r="AK6" s="87" t="e">
        <f>AG6-#REF!</f>
        <v>#REF!</v>
      </c>
      <c r="AL6" s="65" t="e">
        <f>#REF!-AC6</f>
        <v>#REF!</v>
      </c>
      <c r="AM6" s="88" t="s">
        <v>47</v>
      </c>
      <c r="AN6" s="89" t="e">
        <f>#REF!-AC6</f>
        <v>#REF!</v>
      </c>
      <c r="AO6" s="90" t="e">
        <f t="shared" si="0"/>
        <v>#REF!</v>
      </c>
      <c r="AP6" s="89">
        <f t="shared" si="1"/>
        <v>13662.330714285714</v>
      </c>
      <c r="AQ6" s="89" t="e">
        <f>#REF!/31</f>
        <v>#REF!</v>
      </c>
      <c r="AR6" s="89" t="e">
        <f t="shared" si="2"/>
        <v>#REF!</v>
      </c>
      <c r="AS6" s="91" t="e">
        <f t="shared" si="3"/>
        <v>#REF!</v>
      </c>
      <c r="AT6" s="90" t="e">
        <f t="shared" si="4"/>
        <v>#REF!</v>
      </c>
      <c r="AU6" s="92">
        <v>485000</v>
      </c>
      <c r="AV6" s="89" t="e">
        <f>#REF!-AU6</f>
        <v>#REF!</v>
      </c>
      <c r="AW6" s="89">
        <f t="shared" si="5"/>
        <v>17321.428571428572</v>
      </c>
      <c r="AX6" s="89" t="e">
        <f>#REF!/31</f>
        <v>#REF!</v>
      </c>
      <c r="AY6" s="89" t="e">
        <f t="shared" ref="AY6:AY29" si="6">AX6-AW6</f>
        <v>#REF!</v>
      </c>
      <c r="AZ6" s="74" t="e">
        <f>#REF!-AB6</f>
        <v>#REF!</v>
      </c>
      <c r="BA6" s="93"/>
      <c r="BB6" s="93"/>
      <c r="BC6" s="94"/>
      <c r="BD6" s="95"/>
      <c r="BE6" s="95"/>
      <c r="BF6" s="96"/>
      <c r="BH6" s="94"/>
      <c r="BI6" s="97"/>
      <c r="BJ6" s="98"/>
      <c r="BK6" s="98"/>
      <c r="BL6" s="17"/>
      <c r="BM6" s="16"/>
      <c r="BN6" s="99"/>
      <c r="BO6" s="100"/>
      <c r="BQ6" s="101"/>
      <c r="BR6" s="2"/>
      <c r="BS6" s="16"/>
      <c r="BT6" s="102"/>
      <c r="BU6" s="94"/>
      <c r="BV6" s="103"/>
      <c r="BW6" s="104"/>
      <c r="BX6" s="2"/>
    </row>
    <row r="7" spans="1:76" ht="16" x14ac:dyDescent="0.2">
      <c r="A7" s="81" t="s">
        <v>48</v>
      </c>
      <c r="B7" s="82">
        <v>44428</v>
      </c>
      <c r="C7" s="82">
        <v>44513.5</v>
      </c>
      <c r="D7" s="82">
        <v>60920</v>
      </c>
      <c r="E7" s="82">
        <v>68744</v>
      </c>
      <c r="F7" s="82">
        <v>80344</v>
      </c>
      <c r="G7" s="82">
        <v>94447.5</v>
      </c>
      <c r="H7" s="82">
        <v>115439</v>
      </c>
      <c r="I7" s="82">
        <v>125448.5</v>
      </c>
      <c r="J7" s="82">
        <v>122253.5</v>
      </c>
      <c r="K7" s="82">
        <v>133554.5</v>
      </c>
      <c r="L7" s="82">
        <v>123940</v>
      </c>
      <c r="M7" s="83">
        <v>1185005</v>
      </c>
      <c r="N7" s="83">
        <v>170972.5</v>
      </c>
      <c r="O7" s="84">
        <v>140501</v>
      </c>
      <c r="P7" s="84">
        <v>132184</v>
      </c>
      <c r="Q7" s="84">
        <v>156811.5</v>
      </c>
      <c r="R7" s="84">
        <v>162270.82800000001</v>
      </c>
      <c r="S7" s="84">
        <v>166904.17199999999</v>
      </c>
      <c r="T7" s="84">
        <v>164068.63200000001</v>
      </c>
      <c r="U7" s="84">
        <v>181103.58</v>
      </c>
      <c r="V7" s="84">
        <v>188150.58</v>
      </c>
      <c r="W7" s="84">
        <v>269540.02799999999</v>
      </c>
      <c r="X7" s="84">
        <v>322082.136</v>
      </c>
      <c r="Y7" s="84">
        <v>288633.24</v>
      </c>
      <c r="Z7" s="84">
        <v>304260.73200000002</v>
      </c>
      <c r="AA7" s="84">
        <v>2476510.4279999998</v>
      </c>
      <c r="AB7" s="84">
        <v>336025.8</v>
      </c>
      <c r="AC7" s="84">
        <v>290364.04800000001</v>
      </c>
      <c r="AD7" s="84">
        <v>358579.11599999998</v>
      </c>
      <c r="AE7" s="85">
        <v>333026.20799999998</v>
      </c>
      <c r="AF7" s="85">
        <v>119993.292</v>
      </c>
      <c r="AG7" s="86">
        <v>365000</v>
      </c>
      <c r="AH7" s="86">
        <v>375000</v>
      </c>
      <c r="AI7" s="86">
        <v>360000</v>
      </c>
      <c r="AJ7" s="86">
        <v>370000</v>
      </c>
      <c r="AK7" s="105" t="e">
        <f>AG7-#REF!</f>
        <v>#REF!</v>
      </c>
      <c r="AL7" s="65" t="e">
        <f>#REF!-AC7</f>
        <v>#REF!</v>
      </c>
      <c r="AM7" s="88" t="s">
        <v>47</v>
      </c>
      <c r="AN7" s="89" t="e">
        <f>#REF!-AC7</f>
        <v>#REF!</v>
      </c>
      <c r="AO7" s="90" t="e">
        <f t="shared" si="0"/>
        <v>#REF!</v>
      </c>
      <c r="AP7" s="89">
        <f t="shared" si="1"/>
        <v>10370.144571428571</v>
      </c>
      <c r="AQ7" s="89" t="e">
        <f>#REF!/31</f>
        <v>#REF!</v>
      </c>
      <c r="AR7" s="89" t="e">
        <f t="shared" si="2"/>
        <v>#REF!</v>
      </c>
      <c r="AS7" s="91" t="e">
        <f t="shared" si="3"/>
        <v>#REF!</v>
      </c>
      <c r="AT7" s="90" t="e">
        <f t="shared" si="4"/>
        <v>#REF!</v>
      </c>
      <c r="AU7" s="92">
        <v>365000</v>
      </c>
      <c r="AV7" s="89" t="e">
        <f>#REF!-AU7</f>
        <v>#REF!</v>
      </c>
      <c r="AW7" s="89">
        <f t="shared" si="5"/>
        <v>13035.714285714286</v>
      </c>
      <c r="AX7" s="89" t="e">
        <f>#REF!/31</f>
        <v>#REF!</v>
      </c>
      <c r="AY7" s="89" t="e">
        <f t="shared" si="6"/>
        <v>#REF!</v>
      </c>
      <c r="AZ7" s="74" t="e">
        <f>#REF!-AB7</f>
        <v>#REF!</v>
      </c>
      <c r="BA7" s="93"/>
      <c r="BB7" s="93"/>
      <c r="BC7" s="106"/>
      <c r="BD7" s="107"/>
      <c r="BE7" s="107"/>
      <c r="BF7" s="96"/>
      <c r="BH7" s="94"/>
      <c r="BI7" s="97"/>
      <c r="BJ7" s="98"/>
      <c r="BK7" s="98"/>
      <c r="BL7" s="17"/>
      <c r="BM7" s="16"/>
      <c r="BN7" s="99"/>
      <c r="BO7" s="100"/>
      <c r="BQ7" s="101"/>
      <c r="BR7" s="2"/>
      <c r="BS7" s="16"/>
      <c r="BT7" s="102"/>
      <c r="BU7" s="94"/>
      <c r="BV7" s="103"/>
      <c r="BW7" s="104"/>
    </row>
    <row r="8" spans="1:76" ht="16" x14ac:dyDescent="0.2">
      <c r="A8" s="108" t="s">
        <v>49</v>
      </c>
      <c r="B8" s="109">
        <v>1148</v>
      </c>
      <c r="C8" s="109">
        <v>1797.4</v>
      </c>
      <c r="D8" s="109">
        <v>2273.1999999999998</v>
      </c>
      <c r="E8" s="109">
        <v>2169.6999999999998</v>
      </c>
      <c r="F8" s="109">
        <v>2010.55</v>
      </c>
      <c r="G8" s="109">
        <v>929.25</v>
      </c>
      <c r="H8" s="109">
        <v>1331.25</v>
      </c>
      <c r="I8" s="109">
        <v>1235.55</v>
      </c>
      <c r="J8" s="109">
        <v>1438.2</v>
      </c>
      <c r="K8" s="109">
        <v>1581.55</v>
      </c>
      <c r="L8" s="109">
        <v>1487.35</v>
      </c>
      <c r="M8" s="84">
        <v>20951.439999999999</v>
      </c>
      <c r="N8" s="84">
        <v>846.55</v>
      </c>
      <c r="O8" s="84">
        <v>1885.95</v>
      </c>
      <c r="P8" s="84">
        <v>2410.4499999999998</v>
      </c>
      <c r="Q8" s="84">
        <v>3832.7</v>
      </c>
      <c r="R8" s="84">
        <v>2754.2</v>
      </c>
      <c r="S8" s="84">
        <v>2103.6999999999998</v>
      </c>
      <c r="T8" s="84">
        <v>910</v>
      </c>
      <c r="U8" s="84">
        <v>1703.8</v>
      </c>
      <c r="V8" s="84">
        <v>2144.1999999999998</v>
      </c>
      <c r="W8" s="84">
        <v>2142.5</v>
      </c>
      <c r="X8" s="84">
        <v>2267.5</v>
      </c>
      <c r="Y8" s="84">
        <v>2005.25</v>
      </c>
      <c r="Z8" s="84">
        <v>1863.75</v>
      </c>
      <c r="AA8" s="84">
        <v>26024</v>
      </c>
      <c r="AB8" s="84">
        <v>2267.25</v>
      </c>
      <c r="AC8" s="84">
        <v>2508.9499999999998</v>
      </c>
      <c r="AD8" s="84">
        <v>3062.65</v>
      </c>
      <c r="AE8" s="85">
        <v>2719</v>
      </c>
      <c r="AF8" s="85">
        <v>851.65</v>
      </c>
      <c r="AG8" s="86">
        <v>2500</v>
      </c>
      <c r="AH8" s="86">
        <v>3000</v>
      </c>
      <c r="AI8" s="86">
        <v>3000</v>
      </c>
      <c r="AJ8" s="86">
        <v>3000</v>
      </c>
      <c r="AK8" s="105" t="e">
        <f>AG8-#REF!</f>
        <v>#REF!</v>
      </c>
      <c r="AL8" s="65" t="e">
        <f>#REF!-AC8</f>
        <v>#REF!</v>
      </c>
      <c r="AM8" s="88"/>
      <c r="AN8" s="89" t="e">
        <f>#REF!-AC8</f>
        <v>#REF!</v>
      </c>
      <c r="AO8" s="90" t="e">
        <f t="shared" si="0"/>
        <v>#REF!</v>
      </c>
      <c r="AP8" s="89">
        <f t="shared" si="1"/>
        <v>89.60535714285713</v>
      </c>
      <c r="AQ8" s="89" t="e">
        <f>#REF!/31</f>
        <v>#REF!</v>
      </c>
      <c r="AR8" s="89" t="e">
        <f t="shared" si="2"/>
        <v>#REF!</v>
      </c>
      <c r="AS8" s="90" t="e">
        <f t="shared" si="3"/>
        <v>#REF!</v>
      </c>
      <c r="AT8" s="90" t="e">
        <f t="shared" si="4"/>
        <v>#REF!</v>
      </c>
      <c r="AU8" s="92">
        <v>2500</v>
      </c>
      <c r="AV8" s="89" t="e">
        <f>#REF!-AU8</f>
        <v>#REF!</v>
      </c>
      <c r="AW8" s="89">
        <f t="shared" si="5"/>
        <v>89.285714285714292</v>
      </c>
      <c r="AX8" s="89" t="e">
        <f>#REF!/31</f>
        <v>#REF!</v>
      </c>
      <c r="AY8" s="89" t="e">
        <f t="shared" si="6"/>
        <v>#REF!</v>
      </c>
      <c r="AZ8" s="74" t="e">
        <f>#REF!-AB8</f>
        <v>#REF!</v>
      </c>
      <c r="BA8" s="93"/>
      <c r="BB8" s="93"/>
      <c r="BC8" s="94"/>
      <c r="BD8" s="95"/>
      <c r="BE8" s="95"/>
      <c r="BF8" s="96"/>
      <c r="BH8" s="94"/>
      <c r="BI8" s="97"/>
      <c r="BJ8" s="98"/>
      <c r="BK8" s="98"/>
      <c r="BL8" s="17"/>
      <c r="BM8" s="16"/>
      <c r="BN8" s="99"/>
      <c r="BO8" s="100"/>
      <c r="BQ8" s="101"/>
      <c r="BR8" s="2"/>
      <c r="BS8" s="16"/>
      <c r="BT8" s="94"/>
      <c r="BU8" s="94"/>
      <c r="BV8" s="103"/>
      <c r="BW8" s="110"/>
    </row>
    <row r="9" spans="1:76" s="1" customFormat="1" ht="18" customHeight="1" x14ac:dyDescent="0.2">
      <c r="A9" s="108" t="s">
        <v>50</v>
      </c>
      <c r="B9" s="111">
        <v>0</v>
      </c>
      <c r="C9" s="111">
        <v>0</v>
      </c>
      <c r="D9" s="111">
        <v>0</v>
      </c>
      <c r="E9" s="111">
        <v>10.7</v>
      </c>
      <c r="F9" s="111">
        <v>369.42</v>
      </c>
      <c r="G9" s="111">
        <v>4345.97</v>
      </c>
      <c r="H9" s="111">
        <v>2055.9299999999998</v>
      </c>
      <c r="I9" s="111">
        <v>583.14</v>
      </c>
      <c r="J9" s="111">
        <v>1025.6099999999999</v>
      </c>
      <c r="K9" s="111">
        <v>2471.1799999999998</v>
      </c>
      <c r="L9" s="111">
        <v>3708.15</v>
      </c>
      <c r="M9" s="83">
        <v>14570.1</v>
      </c>
      <c r="N9" s="83">
        <v>2702.89</v>
      </c>
      <c r="O9" s="84">
        <v>486.74</v>
      </c>
      <c r="P9" s="84">
        <v>32.1</v>
      </c>
      <c r="Q9" s="84">
        <v>729.12</v>
      </c>
      <c r="R9" s="84">
        <v>85.6</v>
      </c>
      <c r="S9" s="84">
        <v>0</v>
      </c>
      <c r="T9" s="84">
        <v>0</v>
      </c>
      <c r="U9" s="84">
        <v>0</v>
      </c>
      <c r="V9" s="84">
        <v>0</v>
      </c>
      <c r="W9" s="84">
        <v>0</v>
      </c>
      <c r="X9" s="84">
        <v>0</v>
      </c>
      <c r="Y9" s="84">
        <v>0</v>
      </c>
      <c r="Z9" s="84">
        <v>0</v>
      </c>
      <c r="AA9" s="84">
        <v>1333.56</v>
      </c>
      <c r="AB9" s="84">
        <v>0</v>
      </c>
      <c r="AC9" s="84">
        <v>0</v>
      </c>
      <c r="AD9" s="84">
        <v>0</v>
      </c>
      <c r="AE9" s="85">
        <v>0</v>
      </c>
      <c r="AF9" s="85">
        <v>0</v>
      </c>
      <c r="AG9" s="86"/>
      <c r="AH9" s="86"/>
      <c r="AI9" s="86"/>
      <c r="AJ9" s="86"/>
      <c r="AK9" s="105" t="e">
        <f>AG9-#REF!</f>
        <v>#REF!</v>
      </c>
      <c r="AL9" s="65" t="e">
        <f>#REF!-AC9</f>
        <v>#REF!</v>
      </c>
      <c r="AM9" s="88"/>
      <c r="AN9" s="112" t="e">
        <f>#REF!-AC9</f>
        <v>#REF!</v>
      </c>
      <c r="AO9" s="113" t="e">
        <f t="shared" si="0"/>
        <v>#REF!</v>
      </c>
      <c r="AP9" s="112">
        <f t="shared" si="1"/>
        <v>0</v>
      </c>
      <c r="AQ9" s="112" t="e">
        <f>#REF!/31</f>
        <v>#REF!</v>
      </c>
      <c r="AR9" s="112" t="e">
        <f t="shared" si="2"/>
        <v>#REF!</v>
      </c>
      <c r="AS9" s="113" t="e">
        <f t="shared" si="3"/>
        <v>#REF!</v>
      </c>
      <c r="AT9" s="113" t="e">
        <f t="shared" si="4"/>
        <v>#REF!</v>
      </c>
      <c r="AU9" s="92"/>
      <c r="AV9" s="112" t="e">
        <f>#REF!-AU9</f>
        <v>#REF!</v>
      </c>
      <c r="AW9" s="112">
        <f t="shared" si="5"/>
        <v>0</v>
      </c>
      <c r="AX9" s="112" t="e">
        <f>#REF!/31</f>
        <v>#REF!</v>
      </c>
      <c r="AY9" s="112" t="e">
        <f t="shared" si="6"/>
        <v>#REF!</v>
      </c>
      <c r="AZ9" s="74" t="e">
        <f>#REF!-AB9</f>
        <v>#REF!</v>
      </c>
      <c r="BA9" s="114"/>
      <c r="BB9" s="114"/>
      <c r="BC9" s="94"/>
      <c r="BD9" s="95"/>
      <c r="BE9" s="95"/>
      <c r="BF9" s="96"/>
      <c r="BH9" s="94"/>
      <c r="BI9" s="97"/>
      <c r="BJ9" s="98"/>
      <c r="BK9" s="98"/>
      <c r="BL9" s="17"/>
      <c r="BM9" s="16"/>
      <c r="BN9" s="99"/>
      <c r="BO9" s="100"/>
      <c r="BQ9" s="101"/>
      <c r="BR9" s="2"/>
      <c r="BS9" s="16"/>
      <c r="BT9" s="94"/>
      <c r="BU9" s="94"/>
      <c r="BV9" s="103"/>
      <c r="BW9" s="110"/>
    </row>
    <row r="10" spans="1:76" s="1" customFormat="1" ht="16" x14ac:dyDescent="0.2">
      <c r="A10" s="108" t="s">
        <v>51</v>
      </c>
      <c r="B10" s="84">
        <v>0</v>
      </c>
      <c r="C10" s="84">
        <v>0</v>
      </c>
      <c r="D10" s="84">
        <v>0</v>
      </c>
      <c r="E10" s="84">
        <v>0</v>
      </c>
      <c r="F10" s="84">
        <v>0</v>
      </c>
      <c r="G10" s="84">
        <v>68081.339884000001</v>
      </c>
      <c r="H10" s="84">
        <v>115790.19</v>
      </c>
      <c r="I10" s="84">
        <v>68357.210000000006</v>
      </c>
      <c r="J10" s="84">
        <v>76705.84</v>
      </c>
      <c r="K10" s="84">
        <v>111565.16</v>
      </c>
      <c r="L10" s="84">
        <v>133693.79</v>
      </c>
      <c r="M10" s="84">
        <v>736565.50988400006</v>
      </c>
      <c r="N10" s="84">
        <v>162371.98000000001</v>
      </c>
      <c r="O10" s="84">
        <v>148327.82999999999</v>
      </c>
      <c r="P10" s="84">
        <v>111579.44</v>
      </c>
      <c r="Q10" s="84">
        <v>175949.31</v>
      </c>
      <c r="R10" s="84">
        <v>227662.41</v>
      </c>
      <c r="S10" s="84">
        <v>232669.35</v>
      </c>
      <c r="T10" s="84">
        <v>273801.46000000002</v>
      </c>
      <c r="U10" s="84">
        <v>377695.15</v>
      </c>
      <c r="V10" s="84">
        <v>338629.71</v>
      </c>
      <c r="W10" s="84">
        <v>486195.06</v>
      </c>
      <c r="X10" s="84">
        <v>501046.57</v>
      </c>
      <c r="Y10" s="84">
        <v>587879.52</v>
      </c>
      <c r="Z10" s="84">
        <v>522091.59</v>
      </c>
      <c r="AA10" s="84">
        <v>3983527.4</v>
      </c>
      <c r="AB10" s="84">
        <v>467929.41</v>
      </c>
      <c r="AC10" s="84">
        <v>316516.71000000002</v>
      </c>
      <c r="AD10" s="84">
        <v>399979.99</v>
      </c>
      <c r="AE10" s="85">
        <v>443850.97</v>
      </c>
      <c r="AF10" s="85">
        <v>147805.25</v>
      </c>
      <c r="AG10" s="86">
        <v>538362.87199999997</v>
      </c>
      <c r="AH10" s="86">
        <v>554966.67740000004</v>
      </c>
      <c r="AI10" s="86">
        <v>581659.18200000015</v>
      </c>
      <c r="AJ10" s="86">
        <v>601047.82140000013</v>
      </c>
      <c r="AK10" s="105" t="e">
        <f>#REF!-#REF!</f>
        <v>#REF!</v>
      </c>
      <c r="AL10" s="65" t="e">
        <f>#REF!-AC10</f>
        <v>#REF!</v>
      </c>
      <c r="AM10" s="88" t="s">
        <v>47</v>
      </c>
      <c r="AN10" s="89" t="e">
        <f>#REF!-AC10</f>
        <v>#REF!</v>
      </c>
      <c r="AO10" s="90" t="e">
        <f t="shared" si="0"/>
        <v>#REF!</v>
      </c>
      <c r="AP10" s="89">
        <f t="shared" si="1"/>
        <v>11304.168214285715</v>
      </c>
      <c r="AQ10" s="89" t="e">
        <f>#REF!/31</f>
        <v>#REF!</v>
      </c>
      <c r="AR10" s="89" t="e">
        <f t="shared" si="2"/>
        <v>#REF!</v>
      </c>
      <c r="AS10" s="91" t="e">
        <f t="shared" si="3"/>
        <v>#REF!</v>
      </c>
      <c r="AT10" s="90" t="e">
        <f t="shared" si="4"/>
        <v>#REF!</v>
      </c>
      <c r="AU10" s="92">
        <v>427015.1</v>
      </c>
      <c r="AV10" s="89" t="e">
        <f>#REF!-AU10</f>
        <v>#REF!</v>
      </c>
      <c r="AW10" s="89">
        <f t="shared" si="5"/>
        <v>15250.539285714285</v>
      </c>
      <c r="AX10" s="89" t="e">
        <f>#REF!/31</f>
        <v>#REF!</v>
      </c>
      <c r="AY10" s="89" t="e">
        <f t="shared" si="6"/>
        <v>#REF!</v>
      </c>
      <c r="AZ10" s="74" t="e">
        <f>#REF!-AB10</f>
        <v>#REF!</v>
      </c>
      <c r="BA10" s="115"/>
      <c r="BB10" s="115"/>
      <c r="BC10" s="106"/>
      <c r="BD10" s="107"/>
      <c r="BE10" s="107"/>
      <c r="BF10" s="116"/>
      <c r="BH10" s="94"/>
      <c r="BI10" s="97"/>
      <c r="BJ10" s="98"/>
      <c r="BK10" s="98"/>
      <c r="BL10" s="17"/>
      <c r="BM10" s="16"/>
      <c r="BN10" s="99"/>
      <c r="BO10" s="100"/>
      <c r="BQ10" s="101"/>
      <c r="BR10" s="2"/>
      <c r="BS10" s="16"/>
      <c r="BT10" s="102"/>
      <c r="BU10" s="94"/>
      <c r="BV10" s="103"/>
      <c r="BW10" s="104"/>
    </row>
    <row r="11" spans="1:76" s="1" customFormat="1" ht="16" x14ac:dyDescent="0.2">
      <c r="A11" s="108" t="s">
        <v>52</v>
      </c>
      <c r="M11" s="117">
        <v>0</v>
      </c>
      <c r="N11" s="117">
        <v>0</v>
      </c>
      <c r="O11" s="84">
        <v>0</v>
      </c>
      <c r="P11" s="84">
        <v>0</v>
      </c>
      <c r="Q11" s="84">
        <v>0</v>
      </c>
      <c r="R11" s="84">
        <v>0</v>
      </c>
      <c r="S11" s="84">
        <v>0</v>
      </c>
      <c r="T11" s="84">
        <v>0</v>
      </c>
      <c r="U11" s="84">
        <v>54666.36</v>
      </c>
      <c r="V11" s="84">
        <v>124745.61599999999</v>
      </c>
      <c r="W11" s="84">
        <v>196888.96799999999</v>
      </c>
      <c r="X11" s="84">
        <v>261541.764</v>
      </c>
      <c r="Y11" s="84">
        <v>275290.81199999998</v>
      </c>
      <c r="Z11" s="84">
        <v>384586.924</v>
      </c>
      <c r="AA11" s="84">
        <v>1297720.4440000001</v>
      </c>
      <c r="AB11" s="84">
        <v>432076.35600000003</v>
      </c>
      <c r="AC11" s="84">
        <v>344144.16</v>
      </c>
      <c r="AD11" s="84">
        <v>422658.864</v>
      </c>
      <c r="AE11" s="85">
        <v>425752.41600000003</v>
      </c>
      <c r="AF11" s="85">
        <v>157621.24799999999</v>
      </c>
      <c r="AG11" s="86">
        <v>529159.55051999993</v>
      </c>
      <c r="AH11" s="86">
        <v>540650.24820000003</v>
      </c>
      <c r="AI11" s="86">
        <v>552427.92000000004</v>
      </c>
      <c r="AJ11" s="86">
        <v>622736.92800000007</v>
      </c>
      <c r="AK11" s="87" t="e">
        <f>AG11-#REF!</f>
        <v>#REF!</v>
      </c>
      <c r="AL11" s="65" t="e">
        <f>#REF!-AC11</f>
        <v>#REF!</v>
      </c>
      <c r="AM11" s="118" t="s">
        <v>47</v>
      </c>
      <c r="AN11" s="112" t="e">
        <f>#REF!-AC11</f>
        <v>#REF!</v>
      </c>
      <c r="AO11" s="113" t="e">
        <f t="shared" si="0"/>
        <v>#REF!</v>
      </c>
      <c r="AP11" s="112">
        <f t="shared" si="1"/>
        <v>12290.862857142856</v>
      </c>
      <c r="AQ11" s="112" t="e">
        <f>#REF!/31</f>
        <v>#REF!</v>
      </c>
      <c r="AR11" s="112" t="e">
        <f t="shared" si="2"/>
        <v>#REF!</v>
      </c>
      <c r="AS11" s="119" t="e">
        <f t="shared" si="3"/>
        <v>#REF!</v>
      </c>
      <c r="AT11" s="113" t="e">
        <f t="shared" si="4"/>
        <v>#REF!</v>
      </c>
      <c r="AU11" s="92">
        <v>428564.62800000003</v>
      </c>
      <c r="AV11" s="112" t="e">
        <f>#REF!-AU11</f>
        <v>#REF!</v>
      </c>
      <c r="AW11" s="112">
        <f t="shared" si="5"/>
        <v>15305.879571428572</v>
      </c>
      <c r="AX11" s="112" t="e">
        <f>#REF!/31</f>
        <v>#REF!</v>
      </c>
      <c r="AY11" s="112" t="e">
        <f t="shared" si="6"/>
        <v>#REF!</v>
      </c>
      <c r="AZ11" s="120" t="e">
        <f>#REF!-AB11</f>
        <v>#REF!</v>
      </c>
      <c r="BA11" s="121"/>
      <c r="BB11" s="121"/>
      <c r="BD11" s="95"/>
      <c r="BE11" s="95"/>
      <c r="BF11" s="96"/>
    </row>
    <row r="12" spans="1:76" ht="16" x14ac:dyDescent="0.2">
      <c r="A12" s="81" t="s">
        <v>53</v>
      </c>
      <c r="B12" s="82">
        <v>65441.115374000001</v>
      </c>
      <c r="C12" s="82">
        <v>53871.347840000002</v>
      </c>
      <c r="D12" s="82">
        <v>64693.977570000003</v>
      </c>
      <c r="E12" s="82">
        <v>62554.321729000003</v>
      </c>
      <c r="F12" s="82">
        <v>64150.901501</v>
      </c>
      <c r="G12" s="82">
        <v>71426.343974000003</v>
      </c>
      <c r="H12" s="82">
        <v>80869.057404000006</v>
      </c>
      <c r="I12" s="82">
        <v>84721.910392999998</v>
      </c>
      <c r="J12" s="82">
        <v>91059.626577000003</v>
      </c>
      <c r="K12" s="82">
        <v>105313.704541</v>
      </c>
      <c r="L12" s="82">
        <v>105677.557155</v>
      </c>
      <c r="M12" s="83">
        <v>963282.00450600008</v>
      </c>
      <c r="N12" s="83">
        <v>113502.14044800001</v>
      </c>
      <c r="O12" s="84">
        <v>109061.42327499999</v>
      </c>
      <c r="P12" s="84">
        <v>95253.172206000003</v>
      </c>
      <c r="Q12" s="84">
        <v>112073.329818</v>
      </c>
      <c r="R12" s="84">
        <v>114487.336129</v>
      </c>
      <c r="S12" s="84">
        <v>119537.60165900001</v>
      </c>
      <c r="T12" s="84">
        <v>118759.501319</v>
      </c>
      <c r="U12" s="84">
        <v>118080.713257</v>
      </c>
      <c r="V12" s="84">
        <v>97304.269148000007</v>
      </c>
      <c r="W12" s="84">
        <v>86259.163136000003</v>
      </c>
      <c r="X12" s="84">
        <v>84239.414747000003</v>
      </c>
      <c r="Y12" s="84">
        <v>73074.848767000003</v>
      </c>
      <c r="Z12" s="84">
        <v>71004.297401000003</v>
      </c>
      <c r="AA12" s="84">
        <v>1199135.0708620001</v>
      </c>
      <c r="AB12" s="84">
        <v>63409.743098999999</v>
      </c>
      <c r="AC12" s="84">
        <v>53755.295192999998</v>
      </c>
      <c r="AD12" s="84">
        <v>55189.788460999996</v>
      </c>
      <c r="AE12" s="85">
        <v>49898.840707000003</v>
      </c>
      <c r="AF12" s="85">
        <v>21098.365039</v>
      </c>
      <c r="AG12" s="86">
        <v>51150</v>
      </c>
      <c r="AH12" s="86">
        <v>52080</v>
      </c>
      <c r="AI12" s="86">
        <v>53400</v>
      </c>
      <c r="AJ12" s="86">
        <v>55180</v>
      </c>
      <c r="AK12" s="105" t="e">
        <f>AG12-#REF!</f>
        <v>#REF!</v>
      </c>
      <c r="AL12" s="65" t="e">
        <f>#REF!-AC12</f>
        <v>#REF!</v>
      </c>
      <c r="AM12" s="88" t="s">
        <v>47</v>
      </c>
      <c r="AN12" s="89" t="e">
        <f>#REF!-AC12</f>
        <v>#REF!</v>
      </c>
      <c r="AO12" s="90" t="e">
        <f t="shared" si="0"/>
        <v>#REF!</v>
      </c>
      <c r="AP12" s="89">
        <f t="shared" si="1"/>
        <v>1919.8319711785714</v>
      </c>
      <c r="AQ12" s="89" t="e">
        <f>#REF!/31</f>
        <v>#REF!</v>
      </c>
      <c r="AR12" s="89" t="e">
        <f t="shared" si="2"/>
        <v>#REF!</v>
      </c>
      <c r="AS12" s="90" t="e">
        <f t="shared" si="3"/>
        <v>#REF!</v>
      </c>
      <c r="AT12" s="90" t="e">
        <f t="shared" si="4"/>
        <v>#REF!</v>
      </c>
      <c r="AU12" s="92">
        <v>54929.047082999998</v>
      </c>
      <c r="AV12" s="89" t="e">
        <f>#REF!-AU12</f>
        <v>#REF!</v>
      </c>
      <c r="AW12" s="89">
        <f t="shared" si="5"/>
        <v>1961.7516815357142</v>
      </c>
      <c r="AX12" s="89" t="e">
        <f>#REF!/31</f>
        <v>#REF!</v>
      </c>
      <c r="AY12" s="89" t="e">
        <f t="shared" si="6"/>
        <v>#REF!</v>
      </c>
      <c r="AZ12" s="74" t="e">
        <f>#REF!-AB12</f>
        <v>#REF!</v>
      </c>
      <c r="BA12" s="115"/>
      <c r="BB12" s="115"/>
      <c r="BC12" s="94"/>
      <c r="BD12" s="95"/>
      <c r="BE12" s="95"/>
      <c r="BF12" s="96"/>
      <c r="BH12" s="94"/>
      <c r="BI12" s="97"/>
      <c r="BJ12" s="98"/>
      <c r="BK12" s="98"/>
      <c r="BL12" s="17"/>
      <c r="BM12" s="16"/>
      <c r="BN12" s="99"/>
      <c r="BO12" s="100"/>
      <c r="BQ12" s="101"/>
      <c r="BR12" s="2"/>
      <c r="BS12" s="16"/>
      <c r="BT12" s="102"/>
      <c r="BU12" s="94"/>
      <c r="BV12" s="103"/>
      <c r="BW12" s="104"/>
    </row>
    <row r="13" spans="1:76" s="1" customFormat="1" ht="16" x14ac:dyDescent="0.2">
      <c r="A13" s="108" t="s">
        <v>54</v>
      </c>
      <c r="B13" s="109">
        <v>9033.15</v>
      </c>
      <c r="C13" s="109">
        <v>4384.5</v>
      </c>
      <c r="D13" s="109">
        <v>4494</v>
      </c>
      <c r="E13" s="109">
        <v>4770.6499999999996</v>
      </c>
      <c r="F13" s="109">
        <v>3983.55</v>
      </c>
      <c r="G13" s="109">
        <v>5889.15</v>
      </c>
      <c r="H13" s="109">
        <v>5095.2</v>
      </c>
      <c r="I13" s="109">
        <v>4384.55</v>
      </c>
      <c r="J13" s="109">
        <v>2721.4</v>
      </c>
      <c r="K13" s="109">
        <v>1639.4</v>
      </c>
      <c r="L13" s="109">
        <v>900.55</v>
      </c>
      <c r="M13" s="84">
        <v>47816.150000000009</v>
      </c>
      <c r="N13" s="84">
        <v>520.04999999999995</v>
      </c>
      <c r="O13" s="84">
        <v>305.14999999999998</v>
      </c>
      <c r="P13" s="84">
        <v>106.5</v>
      </c>
      <c r="Q13" s="84">
        <v>120.15</v>
      </c>
      <c r="R13" s="84">
        <v>31</v>
      </c>
      <c r="S13" s="84">
        <v>0</v>
      </c>
      <c r="T13" s="84">
        <v>48.65</v>
      </c>
      <c r="U13" s="84">
        <v>98.75</v>
      </c>
      <c r="V13" s="84">
        <v>18.899999999999999</v>
      </c>
      <c r="W13" s="84">
        <v>42</v>
      </c>
      <c r="X13" s="84">
        <v>856.45</v>
      </c>
      <c r="Y13" s="84">
        <v>2125.6999999999998</v>
      </c>
      <c r="Z13" s="84">
        <v>9557</v>
      </c>
      <c r="AA13" s="84">
        <v>13310.25</v>
      </c>
      <c r="AB13" s="84">
        <v>21136.6</v>
      </c>
      <c r="AC13" s="84">
        <v>15124.75</v>
      </c>
      <c r="AD13" s="84">
        <v>23471.82</v>
      </c>
      <c r="AE13" s="85">
        <v>16993.23</v>
      </c>
      <c r="AF13" s="85">
        <v>8606.56</v>
      </c>
      <c r="AG13" s="86">
        <v>24000</v>
      </c>
      <c r="AH13" s="86">
        <v>25000</v>
      </c>
      <c r="AI13" s="86">
        <v>30000</v>
      </c>
      <c r="AJ13" s="86">
        <v>35000</v>
      </c>
      <c r="AK13" s="105" t="e">
        <f>AG13-#REF!</f>
        <v>#REF!</v>
      </c>
      <c r="AL13" s="65" t="e">
        <f>#REF!-AC13</f>
        <v>#REF!</v>
      </c>
      <c r="AM13" s="88" t="s">
        <v>47</v>
      </c>
      <c r="AN13" s="89" t="e">
        <f>#REF!-AC13</f>
        <v>#REF!</v>
      </c>
      <c r="AO13" s="90" t="e">
        <f t="shared" si="0"/>
        <v>#REF!</v>
      </c>
      <c r="AP13" s="89">
        <f t="shared" si="1"/>
        <v>540.16964285714289</v>
      </c>
      <c r="AQ13" s="89" t="e">
        <f>#REF!/31</f>
        <v>#REF!</v>
      </c>
      <c r="AR13" s="89" t="e">
        <f t="shared" si="2"/>
        <v>#REF!</v>
      </c>
      <c r="AS13" s="90" t="e">
        <f t="shared" si="3"/>
        <v>#REF!</v>
      </c>
      <c r="AT13" s="90" t="e">
        <f t="shared" si="4"/>
        <v>#REF!</v>
      </c>
      <c r="AU13" s="92">
        <v>24000</v>
      </c>
      <c r="AV13" s="89" t="e">
        <f>#REF!-AU13</f>
        <v>#REF!</v>
      </c>
      <c r="AW13" s="89">
        <f t="shared" si="5"/>
        <v>857.14285714285711</v>
      </c>
      <c r="AX13" s="89" t="e">
        <f>#REF!/31</f>
        <v>#REF!</v>
      </c>
      <c r="AY13" s="89" t="e">
        <f t="shared" si="6"/>
        <v>#REF!</v>
      </c>
      <c r="AZ13" s="74" t="e">
        <f>#REF!-AB13</f>
        <v>#REF!</v>
      </c>
      <c r="BA13" s="115"/>
      <c r="BB13" s="115"/>
      <c r="BC13" s="94"/>
      <c r="BD13" s="95"/>
      <c r="BE13" s="95"/>
      <c r="BF13" s="96"/>
      <c r="BH13" s="94"/>
      <c r="BI13" s="97"/>
      <c r="BJ13" s="98"/>
      <c r="BK13" s="98"/>
      <c r="BL13" s="17"/>
      <c r="BM13" s="16"/>
      <c r="BN13" s="99"/>
      <c r="BO13" s="100"/>
      <c r="BQ13" s="101"/>
      <c r="BR13" s="2"/>
      <c r="BS13" s="16"/>
      <c r="BT13" s="94"/>
      <c r="BU13" s="94"/>
      <c r="BV13" s="103"/>
      <c r="BW13" s="110"/>
    </row>
    <row r="14" spans="1:76" ht="16" x14ac:dyDescent="0.2">
      <c r="A14" s="108" t="s">
        <v>55</v>
      </c>
      <c r="B14" s="84">
        <v>0</v>
      </c>
      <c r="C14" s="84">
        <v>0</v>
      </c>
      <c r="D14" s="84">
        <v>0</v>
      </c>
      <c r="E14" s="84">
        <v>0</v>
      </c>
      <c r="F14" s="84">
        <v>0</v>
      </c>
      <c r="G14" s="84">
        <v>0</v>
      </c>
      <c r="H14" s="84">
        <v>0</v>
      </c>
      <c r="I14" s="84">
        <v>0</v>
      </c>
      <c r="J14" s="84">
        <v>0</v>
      </c>
      <c r="K14" s="122">
        <v>1669.84</v>
      </c>
      <c r="L14" s="122">
        <v>9689.64</v>
      </c>
      <c r="M14" s="84">
        <v>22755.87</v>
      </c>
      <c r="N14" s="84">
        <v>11396.39</v>
      </c>
      <c r="O14" s="84">
        <v>16174.22</v>
      </c>
      <c r="P14" s="84">
        <v>12849.79</v>
      </c>
      <c r="Q14" s="84">
        <v>23384.84</v>
      </c>
      <c r="R14" s="84">
        <v>28065.69</v>
      </c>
      <c r="S14" s="84">
        <v>33835.15</v>
      </c>
      <c r="T14" s="84">
        <v>40487.379999999997</v>
      </c>
      <c r="U14" s="84">
        <v>52339.69</v>
      </c>
      <c r="V14" s="84">
        <v>63562</v>
      </c>
      <c r="W14" s="84">
        <v>100769.4</v>
      </c>
      <c r="X14" s="84">
        <v>93235.54</v>
      </c>
      <c r="Y14" s="84">
        <v>100217.49</v>
      </c>
      <c r="Z14" s="84">
        <v>126953.67</v>
      </c>
      <c r="AA14" s="84">
        <v>691874.8600000001</v>
      </c>
      <c r="AB14" s="84">
        <v>175520.76</v>
      </c>
      <c r="AC14" s="84">
        <v>119770.5</v>
      </c>
      <c r="AD14" s="84">
        <v>103979.45</v>
      </c>
      <c r="AE14" s="123">
        <v>103919.83</v>
      </c>
      <c r="AF14" s="123">
        <v>37938.06</v>
      </c>
      <c r="AG14" s="124">
        <v>117607.98599999999</v>
      </c>
      <c r="AH14" s="124">
        <v>130000</v>
      </c>
      <c r="AI14" s="124">
        <v>130000</v>
      </c>
      <c r="AJ14" s="124">
        <v>143000</v>
      </c>
      <c r="AK14" s="87" t="e">
        <f>AG14-#REF!</f>
        <v>#REF!</v>
      </c>
      <c r="AL14" s="65" t="e">
        <f>#REF!-AC14</f>
        <v>#REF!</v>
      </c>
      <c r="AM14" s="88" t="s">
        <v>47</v>
      </c>
      <c r="AN14" s="89" t="e">
        <f>#REF!-AC14</f>
        <v>#REF!</v>
      </c>
      <c r="AO14" s="90" t="e">
        <f t="shared" si="0"/>
        <v>#REF!</v>
      </c>
      <c r="AP14" s="89">
        <f t="shared" si="1"/>
        <v>4277.5178571428569</v>
      </c>
      <c r="AQ14" s="89" t="e">
        <f>#REF!/31</f>
        <v>#REF!</v>
      </c>
      <c r="AR14" s="89" t="e">
        <f t="shared" si="2"/>
        <v>#REF!</v>
      </c>
      <c r="AS14" s="90" t="e">
        <f t="shared" si="3"/>
        <v>#REF!</v>
      </c>
      <c r="AT14" s="90" t="e">
        <f t="shared" si="4"/>
        <v>#REF!</v>
      </c>
      <c r="AU14" s="125">
        <v>120000</v>
      </c>
      <c r="AV14" s="89" t="e">
        <f>#REF!-AU14</f>
        <v>#REF!</v>
      </c>
      <c r="AW14" s="89">
        <f t="shared" si="5"/>
        <v>4285.7142857142853</v>
      </c>
      <c r="AX14" s="89" t="e">
        <f>#REF!/31</f>
        <v>#REF!</v>
      </c>
      <c r="AY14" s="89" t="e">
        <f t="shared" si="6"/>
        <v>#REF!</v>
      </c>
      <c r="AZ14" s="120" t="e">
        <f>#REF!-AB14</f>
        <v>#REF!</v>
      </c>
      <c r="BA14" s="115"/>
      <c r="BB14" s="115"/>
      <c r="BC14" s="94"/>
      <c r="BD14" s="95"/>
      <c r="BE14" s="95"/>
      <c r="BF14" s="96"/>
      <c r="BH14" s="94"/>
      <c r="BI14" s="97"/>
      <c r="BJ14" s="98"/>
      <c r="BK14" s="98"/>
      <c r="BL14" s="126"/>
      <c r="BM14" s="127"/>
      <c r="BN14" s="99"/>
      <c r="BO14" s="100"/>
      <c r="BQ14" s="101"/>
      <c r="BR14" s="2"/>
      <c r="BS14" s="16"/>
      <c r="BT14" s="128"/>
      <c r="BU14" s="129"/>
      <c r="BV14" s="103"/>
      <c r="BW14" s="110"/>
    </row>
    <row r="15" spans="1:76" ht="16" x14ac:dyDescent="0.2">
      <c r="A15" s="108" t="s">
        <v>56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122">
        <v>0</v>
      </c>
      <c r="L15" s="122">
        <v>15</v>
      </c>
      <c r="M15" s="84">
        <v>3384.84</v>
      </c>
      <c r="N15" s="84">
        <v>3369.84</v>
      </c>
      <c r="O15" s="84">
        <v>10232.66</v>
      </c>
      <c r="P15" s="84">
        <v>9282.58</v>
      </c>
      <c r="Q15" s="84">
        <v>11876.18</v>
      </c>
      <c r="R15" s="84">
        <v>13534.02</v>
      </c>
      <c r="S15" s="84">
        <v>18967.580000000002</v>
      </c>
      <c r="T15" s="84">
        <v>16257.93</v>
      </c>
      <c r="U15" s="84">
        <v>13288.53</v>
      </c>
      <c r="V15" s="84">
        <v>13484.55</v>
      </c>
      <c r="W15" s="84">
        <v>21050.400000000001</v>
      </c>
      <c r="X15" s="84">
        <v>22246.18</v>
      </c>
      <c r="Y15" s="84">
        <v>19620.349999999999</v>
      </c>
      <c r="Z15" s="84">
        <v>21697.55</v>
      </c>
      <c r="AA15" s="84">
        <v>191538.51</v>
      </c>
      <c r="AB15" s="84">
        <v>27560.26</v>
      </c>
      <c r="AC15" s="84">
        <v>21558.32</v>
      </c>
      <c r="AD15" s="84">
        <v>24486.59</v>
      </c>
      <c r="AE15" s="123">
        <v>22627.37</v>
      </c>
      <c r="AF15" s="123">
        <v>7609.02</v>
      </c>
      <c r="AG15" s="124">
        <v>23587.962</v>
      </c>
      <c r="AH15" s="124">
        <v>25000</v>
      </c>
      <c r="AI15" s="124">
        <v>25000</v>
      </c>
      <c r="AJ15" s="124">
        <v>27500.000000000004</v>
      </c>
      <c r="AK15" s="105" t="e">
        <f>AG15-#REF!</f>
        <v>#REF!</v>
      </c>
      <c r="AL15" s="65" t="e">
        <f>#REF!-AC15</f>
        <v>#REF!</v>
      </c>
      <c r="AM15" s="88" t="s">
        <v>47</v>
      </c>
      <c r="AN15" s="89" t="e">
        <f>#REF!-AC15</f>
        <v>#REF!</v>
      </c>
      <c r="AO15" s="90" t="e">
        <f t="shared" si="0"/>
        <v>#REF!</v>
      </c>
      <c r="AP15" s="89">
        <f t="shared" si="1"/>
        <v>769.93999999999994</v>
      </c>
      <c r="AQ15" s="89" t="e">
        <f>#REF!/31</f>
        <v>#REF!</v>
      </c>
      <c r="AR15" s="89" t="e">
        <f t="shared" si="2"/>
        <v>#REF!</v>
      </c>
      <c r="AS15" s="90" t="e">
        <f t="shared" si="3"/>
        <v>#REF!</v>
      </c>
      <c r="AT15" s="90" t="e">
        <f t="shared" si="4"/>
        <v>#REF!</v>
      </c>
      <c r="AU15" s="125">
        <v>25000</v>
      </c>
      <c r="AV15" s="89" t="e">
        <f>#REF!-AU15</f>
        <v>#REF!</v>
      </c>
      <c r="AW15" s="89">
        <f t="shared" si="5"/>
        <v>892.85714285714289</v>
      </c>
      <c r="AX15" s="89" t="e">
        <f>#REF!/31</f>
        <v>#REF!</v>
      </c>
      <c r="AY15" s="89" t="e">
        <f t="shared" si="6"/>
        <v>#REF!</v>
      </c>
      <c r="AZ15" s="120" t="e">
        <f>#REF!-AB15</f>
        <v>#REF!</v>
      </c>
      <c r="BA15" s="115"/>
      <c r="BB15" s="115"/>
      <c r="BC15" s="94"/>
      <c r="BD15" s="95"/>
      <c r="BE15" s="95"/>
      <c r="BF15" s="96"/>
      <c r="BH15" s="94"/>
      <c r="BI15" s="97"/>
      <c r="BJ15" s="98"/>
      <c r="BK15" s="98"/>
      <c r="BL15" s="126"/>
      <c r="BM15" s="127"/>
      <c r="BN15" s="99"/>
      <c r="BO15" s="100"/>
      <c r="BQ15" s="101"/>
      <c r="BR15" s="2"/>
      <c r="BS15" s="16"/>
      <c r="BT15" s="128"/>
      <c r="BU15" s="129"/>
      <c r="BV15" s="103"/>
      <c r="BW15" s="110"/>
    </row>
    <row r="16" spans="1:76" ht="16" x14ac:dyDescent="0.2">
      <c r="A16" s="108" t="s">
        <v>57</v>
      </c>
      <c r="B16" s="84">
        <v>0</v>
      </c>
      <c r="C16" s="84">
        <v>0</v>
      </c>
      <c r="D16" s="84">
        <v>0</v>
      </c>
      <c r="E16" s="84">
        <v>0</v>
      </c>
      <c r="F16" s="84">
        <v>0</v>
      </c>
      <c r="G16" s="84">
        <v>0</v>
      </c>
      <c r="H16" s="84">
        <v>0</v>
      </c>
      <c r="I16" s="84">
        <v>0</v>
      </c>
      <c r="J16" s="84">
        <v>0</v>
      </c>
      <c r="K16" s="84">
        <v>0</v>
      </c>
      <c r="L16" s="84">
        <v>0</v>
      </c>
      <c r="M16" s="84">
        <v>0</v>
      </c>
      <c r="N16" s="84">
        <v>0</v>
      </c>
      <c r="O16" s="84">
        <v>0</v>
      </c>
      <c r="P16" s="84">
        <v>0</v>
      </c>
      <c r="Q16" s="84">
        <v>20.329999999999998</v>
      </c>
      <c r="R16" s="84">
        <v>0</v>
      </c>
      <c r="S16" s="84">
        <v>29177</v>
      </c>
      <c r="T16" s="84">
        <v>47654.46</v>
      </c>
      <c r="U16" s="84">
        <v>87997.15</v>
      </c>
      <c r="V16" s="84">
        <v>83818.31</v>
      </c>
      <c r="W16" s="84">
        <v>83034.23</v>
      </c>
      <c r="X16" s="84">
        <v>126424.86</v>
      </c>
      <c r="Y16" s="84">
        <v>98531.4</v>
      </c>
      <c r="Z16" s="84">
        <v>117580.89</v>
      </c>
      <c r="AA16" s="84">
        <v>674238.63</v>
      </c>
      <c r="AB16" s="84">
        <v>109227.73</v>
      </c>
      <c r="AC16" s="84">
        <v>79426.75</v>
      </c>
      <c r="AD16" s="84">
        <v>93530.31</v>
      </c>
      <c r="AE16" s="130">
        <v>175982.28</v>
      </c>
      <c r="AF16" s="130">
        <v>60270.48</v>
      </c>
      <c r="AG16" s="131">
        <v>190000</v>
      </c>
      <c r="AH16" s="131">
        <v>210000</v>
      </c>
      <c r="AI16" s="131">
        <v>240000</v>
      </c>
      <c r="AJ16" s="131">
        <v>300000</v>
      </c>
      <c r="AK16" s="87" t="e">
        <f>AG16-#REF!</f>
        <v>#REF!</v>
      </c>
      <c r="AL16" s="65" t="e">
        <f>#REF!-AC16</f>
        <v>#REF!</v>
      </c>
      <c r="AM16" s="88" t="s">
        <v>47</v>
      </c>
      <c r="AN16" s="89" t="e">
        <f>#REF!-AC16</f>
        <v>#REF!</v>
      </c>
      <c r="AO16" s="90" t="e">
        <f t="shared" si="0"/>
        <v>#REF!</v>
      </c>
      <c r="AP16" s="89">
        <f t="shared" si="1"/>
        <v>2836.6696428571427</v>
      </c>
      <c r="AQ16" s="89" t="e">
        <f>#REF!/31</f>
        <v>#REF!</v>
      </c>
      <c r="AR16" s="89" t="e">
        <f t="shared" si="2"/>
        <v>#REF!</v>
      </c>
      <c r="AS16" s="90" t="e">
        <f t="shared" si="3"/>
        <v>#REF!</v>
      </c>
      <c r="AT16" s="90" t="e">
        <f t="shared" si="4"/>
        <v>#REF!</v>
      </c>
      <c r="AU16" s="132">
        <v>94000</v>
      </c>
      <c r="AV16" s="89" t="e">
        <f>#REF!-AU16</f>
        <v>#REF!</v>
      </c>
      <c r="AW16" s="89">
        <f t="shared" si="5"/>
        <v>3357.1428571428573</v>
      </c>
      <c r="AX16" s="89" t="e">
        <f>#REF!/31</f>
        <v>#REF!</v>
      </c>
      <c r="AY16" s="89" t="e">
        <f t="shared" si="6"/>
        <v>#REF!</v>
      </c>
      <c r="AZ16" s="120" t="e">
        <f>#REF!-AB16</f>
        <v>#REF!</v>
      </c>
      <c r="BA16" s="115"/>
      <c r="BB16" s="115"/>
      <c r="BC16" s="94"/>
      <c r="BD16" s="95"/>
      <c r="BE16" s="95"/>
      <c r="BF16" s="96"/>
      <c r="BH16" s="94"/>
      <c r="BI16" s="97"/>
      <c r="BJ16" s="98"/>
      <c r="BK16" s="98"/>
      <c r="BL16" s="126"/>
      <c r="BM16" s="127"/>
      <c r="BN16" s="99"/>
      <c r="BO16" s="100"/>
      <c r="BQ16" s="101"/>
      <c r="BR16" s="2"/>
      <c r="BS16" s="16"/>
      <c r="BT16" s="128"/>
      <c r="BU16" s="129"/>
      <c r="BV16" s="103"/>
      <c r="BW16" s="110"/>
    </row>
    <row r="17" spans="1:75" s="128" customFormat="1" ht="16" x14ac:dyDescent="0.2">
      <c r="A17" s="133" t="s">
        <v>58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>
        <v>10</v>
      </c>
      <c r="N17" s="122">
        <v>10</v>
      </c>
      <c r="O17" s="122">
        <v>0</v>
      </c>
      <c r="P17" s="122">
        <v>0</v>
      </c>
      <c r="Q17" s="122">
        <v>10</v>
      </c>
      <c r="R17" s="122">
        <v>18.899999999999999</v>
      </c>
      <c r="S17" s="122">
        <v>78.099999999999994</v>
      </c>
      <c r="T17" s="122">
        <v>595.04999999999995</v>
      </c>
      <c r="U17" s="122">
        <v>606.79999999999995</v>
      </c>
      <c r="V17" s="122">
        <v>611.45000000000005</v>
      </c>
      <c r="W17" s="122">
        <v>2503.75</v>
      </c>
      <c r="X17" s="122">
        <v>5961.75</v>
      </c>
      <c r="Y17" s="122">
        <v>10022.25</v>
      </c>
      <c r="Z17" s="122">
        <v>18178.45</v>
      </c>
      <c r="AA17" s="122">
        <v>38586.5</v>
      </c>
      <c r="AB17" s="122">
        <v>8560.15</v>
      </c>
      <c r="AC17" s="122">
        <v>3119.02</v>
      </c>
      <c r="AD17" s="122">
        <v>3826.25</v>
      </c>
      <c r="AE17" s="134">
        <v>2727.5299999999997</v>
      </c>
      <c r="AF17" s="134">
        <v>868.73</v>
      </c>
      <c r="AG17" s="135">
        <v>4000</v>
      </c>
      <c r="AH17" s="135">
        <v>5500</v>
      </c>
      <c r="AI17" s="135">
        <v>7000</v>
      </c>
      <c r="AJ17" s="135">
        <v>9000</v>
      </c>
      <c r="AK17" s="64" t="e">
        <f>AG17-#REF!</f>
        <v>#REF!</v>
      </c>
      <c r="AL17" s="65"/>
      <c r="AM17" s="136"/>
      <c r="AN17" s="137" t="e">
        <f>#REF!-AC17</f>
        <v>#REF!</v>
      </c>
      <c r="AO17" s="138" t="e">
        <f t="shared" si="0"/>
        <v>#REF!</v>
      </c>
      <c r="AP17" s="137">
        <f t="shared" si="1"/>
        <v>111.39357142857143</v>
      </c>
      <c r="AQ17" s="137" t="e">
        <f>#REF!/31</f>
        <v>#REF!</v>
      </c>
      <c r="AR17" s="137" t="e">
        <f t="shared" si="2"/>
        <v>#REF!</v>
      </c>
      <c r="AS17" s="138" t="e">
        <f t="shared" si="3"/>
        <v>#REF!</v>
      </c>
      <c r="AT17" s="138" t="e">
        <f t="shared" si="4"/>
        <v>#REF!</v>
      </c>
      <c r="AU17" s="139">
        <v>4000</v>
      </c>
      <c r="AV17" s="137" t="e">
        <f>#REF!-AU17</f>
        <v>#REF!</v>
      </c>
      <c r="AW17" s="137">
        <f t="shared" si="5"/>
        <v>142.85714285714286</v>
      </c>
      <c r="AX17" s="137" t="e">
        <f>#REF!/31</f>
        <v>#REF!</v>
      </c>
      <c r="AY17" s="137" t="e">
        <f t="shared" si="6"/>
        <v>#REF!</v>
      </c>
      <c r="AZ17" s="120" t="e">
        <f>#REF!-AB17</f>
        <v>#REF!</v>
      </c>
      <c r="BA17" s="140"/>
      <c r="BB17" s="140"/>
      <c r="BC17" s="141"/>
      <c r="BD17" s="142"/>
      <c r="BE17" s="142"/>
      <c r="BF17" s="143"/>
      <c r="BH17" s="141"/>
      <c r="BI17" s="144"/>
      <c r="BJ17" s="145"/>
      <c r="BK17" s="145"/>
      <c r="BL17" s="126"/>
      <c r="BM17" s="127"/>
      <c r="BN17" s="146"/>
      <c r="BO17" s="147"/>
      <c r="BQ17" s="148"/>
      <c r="BR17" s="149"/>
      <c r="BS17" s="127"/>
      <c r="BU17" s="129"/>
      <c r="BV17" s="150"/>
      <c r="BW17" s="151"/>
    </row>
    <row r="18" spans="1:75" s="157" customFormat="1" ht="16" x14ac:dyDescent="0.2">
      <c r="A18" s="152" t="s">
        <v>59</v>
      </c>
      <c r="B18" s="84">
        <v>0</v>
      </c>
      <c r="C18" s="84">
        <v>0</v>
      </c>
      <c r="D18" s="84">
        <v>0</v>
      </c>
      <c r="E18" s="84">
        <v>0</v>
      </c>
      <c r="F18" s="84">
        <v>0</v>
      </c>
      <c r="G18" s="84">
        <v>0</v>
      </c>
      <c r="H18" s="84">
        <v>0</v>
      </c>
      <c r="I18" s="84">
        <v>0</v>
      </c>
      <c r="J18" s="84">
        <v>0</v>
      </c>
      <c r="K18" s="84">
        <v>0</v>
      </c>
      <c r="L18" s="84">
        <v>0</v>
      </c>
      <c r="M18" s="84">
        <v>10</v>
      </c>
      <c r="N18" s="84">
        <v>10</v>
      </c>
      <c r="O18" s="84">
        <v>0</v>
      </c>
      <c r="P18" s="84">
        <v>0</v>
      </c>
      <c r="Q18" s="84">
        <v>10</v>
      </c>
      <c r="R18" s="84">
        <v>18.899999999999999</v>
      </c>
      <c r="S18" s="84">
        <v>78.099999999999994</v>
      </c>
      <c r="T18" s="84">
        <v>595.04999999999995</v>
      </c>
      <c r="U18" s="84">
        <v>606.79999999999995</v>
      </c>
      <c r="V18" s="84">
        <v>611.45000000000005</v>
      </c>
      <c r="W18" s="84">
        <v>2503.75</v>
      </c>
      <c r="X18" s="84">
        <v>5961.75</v>
      </c>
      <c r="Y18" s="84">
        <v>10022.25</v>
      </c>
      <c r="Z18" s="84">
        <v>17538.45</v>
      </c>
      <c r="AA18" s="84">
        <v>37946.5</v>
      </c>
      <c r="AB18" s="84">
        <v>7624.15</v>
      </c>
      <c r="AC18" s="84">
        <v>2500.02</v>
      </c>
      <c r="AD18" s="84">
        <v>2484.25</v>
      </c>
      <c r="AE18" s="123">
        <v>1777.53</v>
      </c>
      <c r="AF18" s="123">
        <v>788.73</v>
      </c>
      <c r="AG18" s="124">
        <v>3000</v>
      </c>
      <c r="AH18" s="124">
        <v>4000</v>
      </c>
      <c r="AI18" s="124">
        <v>5000</v>
      </c>
      <c r="AJ18" s="124">
        <v>7000</v>
      </c>
      <c r="AK18" s="105" t="e">
        <f>AG18-#REF!</f>
        <v>#REF!</v>
      </c>
      <c r="AL18" s="65" t="e">
        <f>#REF!-AC18</f>
        <v>#REF!</v>
      </c>
      <c r="AM18" s="118" t="e">
        <f>SUMIF(AM6:AM16,"x",AL6:AL16)</f>
        <v>#REF!</v>
      </c>
      <c r="AN18" s="112" t="e">
        <f>#REF!-AC18</f>
        <v>#REF!</v>
      </c>
      <c r="AO18" s="113" t="e">
        <f t="shared" si="0"/>
        <v>#REF!</v>
      </c>
      <c r="AP18" s="112">
        <f t="shared" si="1"/>
        <v>89.286428571428573</v>
      </c>
      <c r="AQ18" s="112" t="e">
        <f>#REF!/31</f>
        <v>#REF!</v>
      </c>
      <c r="AR18" s="112" t="e">
        <f t="shared" si="2"/>
        <v>#REF!</v>
      </c>
      <c r="AS18" s="113" t="e">
        <f t="shared" si="3"/>
        <v>#REF!</v>
      </c>
      <c r="AT18" s="113" t="e">
        <f t="shared" si="4"/>
        <v>#REF!</v>
      </c>
      <c r="AU18" s="125">
        <v>3000</v>
      </c>
      <c r="AV18" s="112" t="e">
        <f>#REF!-AU18</f>
        <v>#REF!</v>
      </c>
      <c r="AW18" s="112">
        <f t="shared" si="5"/>
        <v>107.14285714285714</v>
      </c>
      <c r="AX18" s="153" t="e">
        <f>#REF!/31</f>
        <v>#REF!</v>
      </c>
      <c r="AY18" s="153" t="e">
        <f t="shared" si="6"/>
        <v>#REF!</v>
      </c>
      <c r="AZ18" s="120" t="e">
        <f>#REF!-AB18</f>
        <v>#REF!</v>
      </c>
      <c r="BA18" s="154"/>
      <c r="BB18" s="154"/>
      <c r="BC18" s="94"/>
      <c r="BD18" s="155"/>
      <c r="BE18" s="155"/>
      <c r="BF18" s="156"/>
    </row>
    <row r="19" spans="1:75" s="157" customFormat="1" ht="16" x14ac:dyDescent="0.2">
      <c r="A19" s="158" t="s">
        <v>60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84"/>
      <c r="N19" s="84"/>
      <c r="O19" s="84">
        <v>0</v>
      </c>
      <c r="P19" s="84">
        <v>0</v>
      </c>
      <c r="Q19" s="84">
        <v>0</v>
      </c>
      <c r="R19" s="84">
        <v>0</v>
      </c>
      <c r="S19" s="84">
        <v>0</v>
      </c>
      <c r="T19" s="84">
        <v>0</v>
      </c>
      <c r="U19" s="84">
        <v>0</v>
      </c>
      <c r="V19" s="84">
        <v>0</v>
      </c>
      <c r="W19" s="84">
        <v>0</v>
      </c>
      <c r="X19" s="84">
        <v>0</v>
      </c>
      <c r="Y19" s="84">
        <v>0</v>
      </c>
      <c r="Z19" s="84">
        <v>640</v>
      </c>
      <c r="AA19" s="84">
        <v>640</v>
      </c>
      <c r="AB19" s="84">
        <v>936</v>
      </c>
      <c r="AC19" s="84">
        <v>619</v>
      </c>
      <c r="AD19" s="84">
        <v>1342</v>
      </c>
      <c r="AE19" s="123">
        <v>950</v>
      </c>
      <c r="AF19" s="123">
        <v>80</v>
      </c>
      <c r="AG19" s="124">
        <v>1000</v>
      </c>
      <c r="AH19" s="124">
        <v>1500</v>
      </c>
      <c r="AI19" s="124">
        <v>2000</v>
      </c>
      <c r="AJ19" s="124">
        <v>2000</v>
      </c>
      <c r="AK19" s="105" t="e">
        <f>AG19-#REF!</f>
        <v>#REF!</v>
      </c>
      <c r="AL19" s="65" t="e">
        <f>#REF!-AC19</f>
        <v>#REF!</v>
      </c>
      <c r="AM19" s="118"/>
      <c r="AN19" s="112" t="e">
        <f>#REF!-AC19</f>
        <v>#REF!</v>
      </c>
      <c r="AO19" s="113" t="e">
        <f t="shared" si="0"/>
        <v>#REF!</v>
      </c>
      <c r="AP19" s="112">
        <f t="shared" si="1"/>
        <v>22.107142857142858</v>
      </c>
      <c r="AQ19" s="112" t="e">
        <f>#REF!/31</f>
        <v>#REF!</v>
      </c>
      <c r="AR19" s="112" t="e">
        <f t="shared" si="2"/>
        <v>#REF!</v>
      </c>
      <c r="AS19" s="113" t="e">
        <f t="shared" si="3"/>
        <v>#REF!</v>
      </c>
      <c r="AT19" s="113" t="e">
        <f t="shared" si="4"/>
        <v>#REF!</v>
      </c>
      <c r="AU19" s="125">
        <v>1000</v>
      </c>
      <c r="AV19" s="112" t="e">
        <f>#REF!-AU19</f>
        <v>#REF!</v>
      </c>
      <c r="AW19" s="112">
        <f t="shared" si="5"/>
        <v>35.714285714285715</v>
      </c>
      <c r="AX19" s="153" t="e">
        <f>#REF!/31</f>
        <v>#REF!</v>
      </c>
      <c r="AY19" s="153" t="e">
        <f t="shared" si="6"/>
        <v>#REF!</v>
      </c>
      <c r="AZ19" s="120" t="e">
        <f>#REF!-AB19</f>
        <v>#REF!</v>
      </c>
      <c r="BA19" s="154"/>
      <c r="BB19" s="154"/>
      <c r="BC19" s="94"/>
      <c r="BD19" s="155"/>
      <c r="BE19" s="155"/>
      <c r="BF19" s="156"/>
    </row>
    <row r="20" spans="1:75" s="128" customFormat="1" ht="16" x14ac:dyDescent="0.2">
      <c r="A20" s="133" t="s">
        <v>61</v>
      </c>
      <c r="M20" s="122">
        <v>0</v>
      </c>
      <c r="N20" s="122">
        <v>0</v>
      </c>
      <c r="O20" s="122">
        <v>0</v>
      </c>
      <c r="P20" s="122">
        <v>0</v>
      </c>
      <c r="Q20" s="122">
        <v>0</v>
      </c>
      <c r="R20" s="122">
        <v>0</v>
      </c>
      <c r="S20" s="122">
        <v>0</v>
      </c>
      <c r="T20" s="122">
        <v>0</v>
      </c>
      <c r="U20" s="122">
        <v>0</v>
      </c>
      <c r="V20" s="122">
        <v>0</v>
      </c>
      <c r="W20" s="122">
        <v>756</v>
      </c>
      <c r="X20" s="122">
        <v>6445.44</v>
      </c>
      <c r="Y20" s="122">
        <v>6447.1679999999997</v>
      </c>
      <c r="Z20" s="122">
        <v>9093.06</v>
      </c>
      <c r="AA20" s="61">
        <v>22741.667999999998</v>
      </c>
      <c r="AB20" s="122">
        <v>23634.387999999999</v>
      </c>
      <c r="AC20" s="122">
        <v>20974.047999999999</v>
      </c>
      <c r="AD20" s="122">
        <v>15396.047999999999</v>
      </c>
      <c r="AE20" s="159">
        <v>9658.8719999999994</v>
      </c>
      <c r="AF20" s="159">
        <v>2862.54</v>
      </c>
      <c r="AG20" s="160">
        <v>10000</v>
      </c>
      <c r="AH20" s="160">
        <v>11000</v>
      </c>
      <c r="AI20" s="160">
        <v>43000</v>
      </c>
      <c r="AJ20" s="160">
        <v>75000</v>
      </c>
      <c r="AK20" s="64" t="e">
        <f>AG20-#REF!</f>
        <v>#REF!</v>
      </c>
      <c r="AL20" s="65"/>
      <c r="AM20" s="136"/>
      <c r="AN20" s="137" t="e">
        <f>#REF!-AC20</f>
        <v>#REF!</v>
      </c>
      <c r="AO20" s="138" t="e">
        <f t="shared" si="0"/>
        <v>#REF!</v>
      </c>
      <c r="AP20" s="137">
        <f t="shared" si="1"/>
        <v>749.07314285714278</v>
      </c>
      <c r="AQ20" s="137" t="e">
        <f>#REF!/31</f>
        <v>#REF!</v>
      </c>
      <c r="AR20" s="137" t="e">
        <f t="shared" si="2"/>
        <v>#REF!</v>
      </c>
      <c r="AS20" s="138" t="e">
        <f t="shared" si="3"/>
        <v>#REF!</v>
      </c>
      <c r="AT20" s="138" t="e">
        <f t="shared" si="4"/>
        <v>#REF!</v>
      </c>
      <c r="AU20" s="161">
        <v>15615.46</v>
      </c>
      <c r="AV20" s="137" t="e">
        <f>#REF!-AU20</f>
        <v>#REF!</v>
      </c>
      <c r="AW20" s="137">
        <f t="shared" si="5"/>
        <v>557.69499999999994</v>
      </c>
      <c r="AX20" s="67" t="e">
        <f>#REF!/31</f>
        <v>#REF!</v>
      </c>
      <c r="AY20" s="67" t="e">
        <f t="shared" si="6"/>
        <v>#REF!</v>
      </c>
      <c r="AZ20" s="120" t="e">
        <f>#REF!-AB20</f>
        <v>#REF!</v>
      </c>
      <c r="BA20" s="162"/>
      <c r="BB20" s="162"/>
      <c r="BC20" s="141"/>
      <c r="BD20" s="142"/>
      <c r="BE20" s="142"/>
      <c r="BF20" s="143"/>
    </row>
    <row r="21" spans="1:75" ht="16" x14ac:dyDescent="0.2">
      <c r="A21" s="152" t="s">
        <v>62</v>
      </c>
      <c r="B21" s="84">
        <v>0</v>
      </c>
      <c r="C21" s="84">
        <v>0</v>
      </c>
      <c r="D21" s="84">
        <v>0</v>
      </c>
      <c r="E21" s="84">
        <v>0</v>
      </c>
      <c r="F21" s="84">
        <v>0</v>
      </c>
      <c r="G21" s="84">
        <v>0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163">
        <v>0</v>
      </c>
      <c r="N21" s="163">
        <v>0</v>
      </c>
      <c r="O21" s="84">
        <v>0</v>
      </c>
      <c r="P21" s="84">
        <v>0</v>
      </c>
      <c r="Q21" s="84">
        <v>0</v>
      </c>
      <c r="R21" s="84">
        <v>0</v>
      </c>
      <c r="S21" s="84">
        <v>0</v>
      </c>
      <c r="T21" s="84">
        <v>0</v>
      </c>
      <c r="U21" s="84">
        <v>0</v>
      </c>
      <c r="V21" s="84">
        <v>0</v>
      </c>
      <c r="W21" s="84">
        <v>756</v>
      </c>
      <c r="X21" s="84">
        <v>6445.44</v>
      </c>
      <c r="Y21" s="84">
        <v>6447.1679999999997</v>
      </c>
      <c r="Z21" s="84">
        <v>9082.26</v>
      </c>
      <c r="AA21" s="84">
        <v>22730.868000000002</v>
      </c>
      <c r="AB21" s="84">
        <v>10493.388000000001</v>
      </c>
      <c r="AC21" s="84">
        <v>8188.1279999999997</v>
      </c>
      <c r="AD21" s="84">
        <v>9678.0959999999995</v>
      </c>
      <c r="AE21" s="123">
        <v>9585.8639999999996</v>
      </c>
      <c r="AF21" s="123">
        <v>2862.54</v>
      </c>
      <c r="AG21" s="124">
        <v>10000</v>
      </c>
      <c r="AH21" s="124">
        <v>11000</v>
      </c>
      <c r="AI21" s="124">
        <v>13000</v>
      </c>
      <c r="AJ21" s="124">
        <v>15000</v>
      </c>
      <c r="AK21" s="105" t="e">
        <f>AG21-#REF!</f>
        <v>#REF!</v>
      </c>
      <c r="AL21" s="65" t="e">
        <f>#REF!-AC21</f>
        <v>#REF!</v>
      </c>
      <c r="AM21" s="88"/>
      <c r="AN21" s="89" t="e">
        <f>#REF!-AC21</f>
        <v>#REF!</v>
      </c>
      <c r="AO21" s="90" t="e">
        <f t="shared" si="0"/>
        <v>#REF!</v>
      </c>
      <c r="AP21" s="89">
        <f t="shared" si="1"/>
        <v>292.43314285714285</v>
      </c>
      <c r="AQ21" s="89" t="e">
        <f>#REF!/31</f>
        <v>#REF!</v>
      </c>
      <c r="AR21" s="89" t="e">
        <f t="shared" si="2"/>
        <v>#REF!</v>
      </c>
      <c r="AS21" s="90" t="e">
        <f t="shared" si="3"/>
        <v>#REF!</v>
      </c>
      <c r="AT21" s="90" t="e">
        <f t="shared" si="4"/>
        <v>#REF!</v>
      </c>
      <c r="AU21" s="125">
        <v>10000</v>
      </c>
      <c r="AV21" s="89" t="e">
        <f>#REF!-AU21</f>
        <v>#REF!</v>
      </c>
      <c r="AW21" s="89">
        <f t="shared" si="5"/>
        <v>357.14285714285717</v>
      </c>
      <c r="AX21" s="112" t="e">
        <f>#REF!/31</f>
        <v>#REF!</v>
      </c>
      <c r="AY21" s="112" t="e">
        <f t="shared" si="6"/>
        <v>#REF!</v>
      </c>
      <c r="AZ21" s="74" t="e">
        <f>#REF!-AB21</f>
        <v>#REF!</v>
      </c>
      <c r="BA21" s="70"/>
      <c r="BB21" s="70"/>
      <c r="BC21" s="141"/>
      <c r="BD21" s="95"/>
      <c r="BE21" s="95"/>
      <c r="BF21" s="96"/>
      <c r="BH21" s="94"/>
      <c r="BI21" s="97"/>
      <c r="BJ21" s="98"/>
      <c r="BK21" s="98"/>
      <c r="BL21" s="126"/>
      <c r="BM21" s="127"/>
      <c r="BN21" s="99"/>
      <c r="BO21" s="100"/>
      <c r="BQ21" s="101"/>
      <c r="BR21" s="2"/>
      <c r="BS21" s="16"/>
      <c r="BT21" s="128"/>
      <c r="BU21" s="129"/>
      <c r="BV21" s="103"/>
      <c r="BW21" s="110"/>
    </row>
    <row r="22" spans="1:75" ht="16" x14ac:dyDescent="0.2">
      <c r="A22" s="152" t="s">
        <v>63</v>
      </c>
      <c r="B22" s="84">
        <v>0</v>
      </c>
      <c r="C22" s="84">
        <v>0</v>
      </c>
      <c r="D22" s="84">
        <v>0</v>
      </c>
      <c r="E22" s="84">
        <v>0</v>
      </c>
      <c r="F22" s="84">
        <v>0</v>
      </c>
      <c r="G22" s="84">
        <v>0</v>
      </c>
      <c r="H22" s="84">
        <v>0</v>
      </c>
      <c r="I22" s="84">
        <v>0</v>
      </c>
      <c r="J22" s="84">
        <v>0</v>
      </c>
      <c r="K22" s="84">
        <v>0</v>
      </c>
      <c r="L22" s="84">
        <v>0</v>
      </c>
      <c r="M22" s="163">
        <v>0</v>
      </c>
      <c r="N22" s="163">
        <v>0</v>
      </c>
      <c r="O22" s="84">
        <v>0</v>
      </c>
      <c r="P22" s="84">
        <v>0</v>
      </c>
      <c r="Q22" s="84">
        <v>0</v>
      </c>
      <c r="R22" s="84">
        <v>0</v>
      </c>
      <c r="S22" s="84">
        <v>0</v>
      </c>
      <c r="T22" s="84">
        <v>0</v>
      </c>
      <c r="U22" s="84">
        <v>0</v>
      </c>
      <c r="V22" s="84">
        <v>0</v>
      </c>
      <c r="W22" s="84">
        <v>0</v>
      </c>
      <c r="X22" s="84">
        <v>0</v>
      </c>
      <c r="Y22" s="84">
        <v>0</v>
      </c>
      <c r="Z22" s="84">
        <v>10.8</v>
      </c>
      <c r="AA22" s="84">
        <v>10.8</v>
      </c>
      <c r="AB22" s="84">
        <v>13141</v>
      </c>
      <c r="AC22" s="84">
        <v>12785.92</v>
      </c>
      <c r="AD22" s="84">
        <v>5717.9520000000002</v>
      </c>
      <c r="AE22" s="164">
        <v>73.007999999999996</v>
      </c>
      <c r="AF22" s="164">
        <v>0</v>
      </c>
      <c r="AG22" s="165">
        <v>0</v>
      </c>
      <c r="AH22" s="165">
        <v>0</v>
      </c>
      <c r="AI22" s="165">
        <v>30000</v>
      </c>
      <c r="AJ22" s="165">
        <v>60000</v>
      </c>
      <c r="AK22" s="166" t="e">
        <f>AG22-#REF!</f>
        <v>#REF!</v>
      </c>
      <c r="AL22" s="65" t="e">
        <f>#REF!-AC22</f>
        <v>#REF!</v>
      </c>
      <c r="AM22" s="5"/>
      <c r="AN22" s="89" t="e">
        <f>#REF!-AC22</f>
        <v>#REF!</v>
      </c>
      <c r="AO22" s="90" t="e">
        <f t="shared" si="0"/>
        <v>#REF!</v>
      </c>
      <c r="AP22" s="89">
        <f t="shared" si="1"/>
        <v>456.64</v>
      </c>
      <c r="AQ22" s="89" t="e">
        <f>#REF!/31</f>
        <v>#REF!</v>
      </c>
      <c r="AR22" s="89" t="e">
        <f t="shared" si="2"/>
        <v>#REF!</v>
      </c>
      <c r="AS22" s="90" t="e">
        <f t="shared" si="3"/>
        <v>#REF!</v>
      </c>
      <c r="AT22" s="90" t="e">
        <f t="shared" si="4"/>
        <v>#REF!</v>
      </c>
      <c r="AU22" s="167">
        <v>5615.46</v>
      </c>
      <c r="AV22" s="89" t="e">
        <f>#REF!-AU22</f>
        <v>#REF!</v>
      </c>
      <c r="AW22" s="89">
        <f t="shared" si="5"/>
        <v>200.55214285714285</v>
      </c>
      <c r="AX22" s="112" t="e">
        <f>#REF!/31</f>
        <v>#REF!</v>
      </c>
      <c r="AY22" s="112" t="e">
        <f t="shared" si="6"/>
        <v>#REF!</v>
      </c>
      <c r="AZ22" s="120" t="e">
        <f>#REF!-AB22</f>
        <v>#REF!</v>
      </c>
      <c r="BA22" s="70"/>
      <c r="BB22" s="70"/>
      <c r="BC22" s="94"/>
      <c r="BD22" s="95"/>
      <c r="BE22" s="95"/>
      <c r="BF22" s="96"/>
      <c r="BH22" s="94"/>
      <c r="BI22" s="97"/>
      <c r="BJ22" s="98"/>
      <c r="BK22" s="98"/>
      <c r="BL22" s="126"/>
      <c r="BM22" s="127"/>
      <c r="BN22" s="99"/>
      <c r="BO22" s="100"/>
      <c r="BQ22" s="101"/>
      <c r="BR22" s="2"/>
      <c r="BS22" s="16"/>
      <c r="BT22" s="128"/>
      <c r="BU22" s="129"/>
      <c r="BV22" s="103"/>
      <c r="BW22" s="110"/>
    </row>
    <row r="23" spans="1:75" s="178" customFormat="1" ht="16" x14ac:dyDescent="0.2">
      <c r="A23" s="168" t="s">
        <v>64</v>
      </c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11">
        <v>68442.036525000003</v>
      </c>
      <c r="N23" s="111">
        <v>19393.819769000002</v>
      </c>
      <c r="O23" s="111">
        <v>24083.991478</v>
      </c>
      <c r="P23" s="111">
        <v>36640.461414000005</v>
      </c>
      <c r="Q23" s="111">
        <v>33026.916150000005</v>
      </c>
      <c r="R23" s="111">
        <v>32576.933247000001</v>
      </c>
      <c r="S23" s="111">
        <v>36691.678942999999</v>
      </c>
      <c r="T23" s="111">
        <v>42636.327081999996</v>
      </c>
      <c r="U23" s="111">
        <v>47697.893461</v>
      </c>
      <c r="V23" s="111">
        <v>46458.510856000001</v>
      </c>
      <c r="W23" s="111">
        <v>45608.394882999994</v>
      </c>
      <c r="X23" s="111">
        <v>55517.696253000002</v>
      </c>
      <c r="Y23" s="111">
        <v>64888.504208000006</v>
      </c>
      <c r="Z23" s="111">
        <v>67292.993382000015</v>
      </c>
      <c r="AA23" s="170">
        <v>533120.30135700013</v>
      </c>
      <c r="AB23" s="111">
        <v>80675.071565999999</v>
      </c>
      <c r="AC23" s="111">
        <v>72503.055057999998</v>
      </c>
      <c r="AD23" s="111">
        <v>69450.707909000004</v>
      </c>
      <c r="AE23" s="159">
        <v>64643.229617999998</v>
      </c>
      <c r="AF23" s="159">
        <v>28733.037734000001</v>
      </c>
      <c r="AG23" s="160">
        <v>71851.409799999994</v>
      </c>
      <c r="AH23" s="160">
        <v>76500.726540000003</v>
      </c>
      <c r="AI23" s="160">
        <v>82906.117939999996</v>
      </c>
      <c r="AJ23" s="160">
        <v>92236.641533999995</v>
      </c>
      <c r="AK23" s="64" t="e">
        <f>AG23-#REF!</f>
        <v>#REF!</v>
      </c>
      <c r="AL23" s="65"/>
      <c r="AM23" s="171"/>
      <c r="AN23" s="172" t="e">
        <f>#REF!-AC23</f>
        <v>#REF!</v>
      </c>
      <c r="AO23" s="173" t="e">
        <f t="shared" si="0"/>
        <v>#REF!</v>
      </c>
      <c r="AP23" s="172">
        <f t="shared" si="1"/>
        <v>2589.3948234999998</v>
      </c>
      <c r="AQ23" s="172" t="e">
        <f>#REF!/31</f>
        <v>#REF!</v>
      </c>
      <c r="AR23" s="172" t="e">
        <f t="shared" si="2"/>
        <v>#REF!</v>
      </c>
      <c r="AS23" s="173" t="e">
        <f t="shared" si="3"/>
        <v>#REF!</v>
      </c>
      <c r="AT23" s="173" t="e">
        <f t="shared" si="4"/>
        <v>#REF!</v>
      </c>
      <c r="AU23" s="161">
        <v>76724.039909090905</v>
      </c>
      <c r="AV23" s="172" t="e">
        <f>#REF!-AU23</f>
        <v>#REF!</v>
      </c>
      <c r="AW23" s="172">
        <f t="shared" si="5"/>
        <v>2740.1442824675323</v>
      </c>
      <c r="AX23" s="172" t="e">
        <f>#REF!/31</f>
        <v>#REF!</v>
      </c>
      <c r="AY23" s="172" t="e">
        <f t="shared" si="6"/>
        <v>#REF!</v>
      </c>
      <c r="AZ23" s="120" t="e">
        <f>#REF!-AB23</f>
        <v>#REF!</v>
      </c>
      <c r="BA23" s="174"/>
      <c r="BB23" s="174"/>
      <c r="BC23" s="175"/>
      <c r="BD23" s="176"/>
      <c r="BE23" s="176"/>
      <c r="BF23" s="177"/>
      <c r="BH23" s="179"/>
      <c r="BI23" s="179"/>
      <c r="BJ23" s="180"/>
      <c r="BK23" s="180"/>
      <c r="BL23" s="181"/>
      <c r="BM23" s="180"/>
      <c r="BN23" s="179"/>
      <c r="BO23" s="182"/>
      <c r="BQ23" s="183"/>
      <c r="BR23" s="184"/>
      <c r="BS23" s="180"/>
      <c r="BT23" s="179"/>
      <c r="BU23" s="179"/>
      <c r="BV23" s="185"/>
      <c r="BW23" s="181"/>
    </row>
    <row r="24" spans="1:75" s="199" customFormat="1" ht="16" x14ac:dyDescent="0.2">
      <c r="A24" s="186" t="s">
        <v>65</v>
      </c>
      <c r="B24" s="187">
        <v>0</v>
      </c>
      <c r="C24" s="187">
        <v>0</v>
      </c>
      <c r="D24" s="187">
        <v>1.0458700000000001</v>
      </c>
      <c r="E24" s="187">
        <v>19.109425999999999</v>
      </c>
      <c r="F24" s="187">
        <v>1050.1036300000001</v>
      </c>
      <c r="G24" s="187">
        <v>2522.4192670000002</v>
      </c>
      <c r="H24" s="187">
        <v>4370.4094910000003</v>
      </c>
      <c r="I24" s="187">
        <v>6181.0225229999996</v>
      </c>
      <c r="J24" s="187">
        <v>6419.6142200000004</v>
      </c>
      <c r="K24" s="187">
        <v>9316.5205220000007</v>
      </c>
      <c r="L24" s="187">
        <v>10889.581314999999</v>
      </c>
      <c r="M24" s="188">
        <v>51940.137425000001</v>
      </c>
      <c r="N24" s="188">
        <v>11170.311161</v>
      </c>
      <c r="O24" s="188">
        <v>10711.863101999999</v>
      </c>
      <c r="P24" s="188">
        <v>11016.265814</v>
      </c>
      <c r="Q24" s="188">
        <v>12882.109778</v>
      </c>
      <c r="R24" s="188">
        <v>12089.502568</v>
      </c>
      <c r="S24" s="188">
        <v>11964.595934000001</v>
      </c>
      <c r="T24" s="188">
        <v>12255.20017</v>
      </c>
      <c r="U24" s="188">
        <v>11824.461337000001</v>
      </c>
      <c r="V24" s="188">
        <v>8884.6721870000001</v>
      </c>
      <c r="W24" s="188">
        <v>8649.2865650000003</v>
      </c>
      <c r="X24" s="188">
        <v>8979.5822700000008</v>
      </c>
      <c r="Y24" s="188">
        <v>8056.6490119999999</v>
      </c>
      <c r="Z24" s="188">
        <v>7895.869479</v>
      </c>
      <c r="AA24" s="84">
        <v>125210.05821599999</v>
      </c>
      <c r="AB24" s="84">
        <v>7773.8982159999996</v>
      </c>
      <c r="AC24" s="84">
        <v>6381.4057789999997</v>
      </c>
      <c r="AD24" s="84">
        <v>7171.8969939999997</v>
      </c>
      <c r="AE24" s="189">
        <v>7030.2632620000004</v>
      </c>
      <c r="AF24" s="189">
        <v>3926.9994489999999</v>
      </c>
      <c r="AG24" s="190">
        <v>7093.4129999999996</v>
      </c>
      <c r="AH24" s="190">
        <v>7103.6522999999997</v>
      </c>
      <c r="AI24" s="190">
        <v>7206.0452999999998</v>
      </c>
      <c r="AJ24" s="190">
        <v>7329.9408299999996</v>
      </c>
      <c r="AK24" s="191" t="e">
        <f>AG24-#REF!</f>
        <v>#REF!</v>
      </c>
      <c r="AL24" s="65" t="e">
        <f>#REF!-AC24</f>
        <v>#REF!</v>
      </c>
      <c r="AM24" s="5"/>
      <c r="AN24" s="192" t="e">
        <f>#REF!-AC24</f>
        <v>#REF!</v>
      </c>
      <c r="AO24" s="193" t="e">
        <f t="shared" si="0"/>
        <v>#REF!</v>
      </c>
      <c r="AP24" s="192">
        <f t="shared" si="1"/>
        <v>227.90734924999998</v>
      </c>
      <c r="AQ24" s="192" t="e">
        <f>#REF!/31</f>
        <v>#REF!</v>
      </c>
      <c r="AR24" s="192" t="e">
        <f t="shared" si="2"/>
        <v>#REF!</v>
      </c>
      <c r="AS24" s="193" t="e">
        <f t="shared" si="3"/>
        <v>#REF!</v>
      </c>
      <c r="AT24" s="193" t="e">
        <f t="shared" si="4"/>
        <v>#REF!</v>
      </c>
      <c r="AU24" s="194">
        <v>6216.3376363636362</v>
      </c>
      <c r="AV24" s="192" t="e">
        <f>#REF!-AU24</f>
        <v>#REF!</v>
      </c>
      <c r="AW24" s="192">
        <f t="shared" si="5"/>
        <v>222.01205844155842</v>
      </c>
      <c r="AX24" s="192" t="e">
        <f>#REF!/31</f>
        <v>#REF!</v>
      </c>
      <c r="AY24" s="192" t="e">
        <f t="shared" si="6"/>
        <v>#REF!</v>
      </c>
      <c r="AZ24" s="120" t="e">
        <f>#REF!-AB24</f>
        <v>#REF!</v>
      </c>
      <c r="BA24" s="195"/>
      <c r="BB24" s="195"/>
      <c r="BC24" s="196"/>
      <c r="BD24" s="197"/>
      <c r="BE24" s="197"/>
      <c r="BF24" s="198"/>
      <c r="BH24" s="196"/>
      <c r="BI24" s="196"/>
      <c r="BJ24" s="200"/>
      <c r="BK24" s="200"/>
      <c r="BL24" s="181"/>
      <c r="BM24" s="180"/>
      <c r="BN24" s="196"/>
      <c r="BO24" s="201"/>
      <c r="BQ24" s="202"/>
      <c r="BR24" s="203"/>
      <c r="BS24" s="200"/>
      <c r="BT24" s="179"/>
      <c r="BU24" s="179"/>
      <c r="BV24" s="204"/>
      <c r="BW24" s="205"/>
    </row>
    <row r="25" spans="1:75" s="199" customFormat="1" ht="16" x14ac:dyDescent="0.2">
      <c r="A25" s="186" t="s">
        <v>66</v>
      </c>
      <c r="B25" s="188">
        <v>0</v>
      </c>
      <c r="C25" s="188">
        <v>0</v>
      </c>
      <c r="D25" s="188">
        <v>0</v>
      </c>
      <c r="E25" s="188">
        <v>0</v>
      </c>
      <c r="F25" s="188">
        <v>0</v>
      </c>
      <c r="G25" s="187">
        <v>44.067630000000001</v>
      </c>
      <c r="H25" s="187">
        <v>481.81152900000001</v>
      </c>
      <c r="I25" s="187">
        <v>1007.374649</v>
      </c>
      <c r="J25" s="187">
        <v>1147.8724950000001</v>
      </c>
      <c r="K25" s="187">
        <v>1608.0768109999999</v>
      </c>
      <c r="L25" s="187">
        <v>2310.5691000000002</v>
      </c>
      <c r="M25" s="188">
        <v>11051.414898999999</v>
      </c>
      <c r="N25" s="188">
        <v>4451.6426849999998</v>
      </c>
      <c r="O25" s="188">
        <v>5181.2565999999997</v>
      </c>
      <c r="P25" s="188">
        <v>5543.8976940000002</v>
      </c>
      <c r="Q25" s="188">
        <v>5692.3374279999998</v>
      </c>
      <c r="R25" s="188">
        <v>5604.5945009999996</v>
      </c>
      <c r="S25" s="188">
        <v>7145.9591790000004</v>
      </c>
      <c r="T25" s="188">
        <v>7745.2887000000001</v>
      </c>
      <c r="U25" s="188">
        <v>8142.2165130000003</v>
      </c>
      <c r="V25" s="188">
        <v>7801.255169</v>
      </c>
      <c r="W25" s="188">
        <v>7926.2012480000003</v>
      </c>
      <c r="X25" s="188">
        <v>10040.639445999999</v>
      </c>
      <c r="Y25" s="188">
        <v>9491.7087179999999</v>
      </c>
      <c r="Z25" s="188">
        <v>11211.193272</v>
      </c>
      <c r="AA25" s="84">
        <v>91526.548467999994</v>
      </c>
      <c r="AB25" s="84">
        <v>10867.603220999999</v>
      </c>
      <c r="AC25" s="84">
        <v>9233.6483289999996</v>
      </c>
      <c r="AD25" s="84">
        <v>10631.003862</v>
      </c>
      <c r="AE25" s="206">
        <v>9358.5486700000001</v>
      </c>
      <c r="AF25" s="206">
        <v>3862.0366439999998</v>
      </c>
      <c r="AG25" s="207">
        <v>11000</v>
      </c>
      <c r="AH25" s="207">
        <v>12000</v>
      </c>
      <c r="AI25" s="207">
        <v>13000</v>
      </c>
      <c r="AJ25" s="207">
        <v>15000</v>
      </c>
      <c r="AK25" s="191" t="e">
        <f>AG25-#REF!</f>
        <v>#REF!</v>
      </c>
      <c r="AL25" s="65" t="e">
        <f>#REF!-AC25</f>
        <v>#REF!</v>
      </c>
      <c r="AM25" s="5"/>
      <c r="AN25" s="192" t="e">
        <f>#REF!-AC25</f>
        <v>#REF!</v>
      </c>
      <c r="AO25" s="193" t="e">
        <f t="shared" si="0"/>
        <v>#REF!</v>
      </c>
      <c r="AP25" s="192">
        <f t="shared" si="1"/>
        <v>329.77315460714283</v>
      </c>
      <c r="AQ25" s="192" t="e">
        <f>#REF!/31</f>
        <v>#REF!</v>
      </c>
      <c r="AR25" s="192" t="e">
        <f t="shared" si="2"/>
        <v>#REF!</v>
      </c>
      <c r="AS25" s="193" t="e">
        <f t="shared" si="3"/>
        <v>#REF!</v>
      </c>
      <c r="AT25" s="193" t="e">
        <f t="shared" si="4"/>
        <v>#REF!</v>
      </c>
      <c r="AU25" s="208">
        <v>11000</v>
      </c>
      <c r="AV25" s="192" t="e">
        <f>#REF!-AU25</f>
        <v>#REF!</v>
      </c>
      <c r="AW25" s="192">
        <f t="shared" si="5"/>
        <v>392.85714285714283</v>
      </c>
      <c r="AX25" s="192" t="e">
        <f>#REF!/31</f>
        <v>#REF!</v>
      </c>
      <c r="AY25" s="192" t="e">
        <f t="shared" si="6"/>
        <v>#REF!</v>
      </c>
      <c r="AZ25" s="120" t="e">
        <f>#REF!-AB25</f>
        <v>#REF!</v>
      </c>
      <c r="BA25" s="195"/>
      <c r="BB25" s="195"/>
      <c r="BC25" s="196"/>
      <c r="BD25" s="197"/>
      <c r="BE25" s="197"/>
      <c r="BF25" s="198"/>
      <c r="BH25" s="196"/>
      <c r="BI25" s="196"/>
      <c r="BJ25" s="200"/>
      <c r="BK25" s="200"/>
      <c r="BL25" s="181"/>
      <c r="BM25" s="180"/>
      <c r="BN25" s="196"/>
      <c r="BO25" s="201"/>
      <c r="BQ25" s="202"/>
      <c r="BR25" s="203"/>
      <c r="BS25" s="200"/>
      <c r="BT25" s="179"/>
      <c r="BU25" s="179"/>
      <c r="BV25" s="204"/>
      <c r="BW25" s="205"/>
    </row>
    <row r="26" spans="1:75" s="199" customFormat="1" ht="16" x14ac:dyDescent="0.2">
      <c r="A26" s="186" t="s">
        <v>67</v>
      </c>
      <c r="B26" s="188">
        <v>0</v>
      </c>
      <c r="C26" s="188">
        <v>0</v>
      </c>
      <c r="D26" s="188">
        <v>0</v>
      </c>
      <c r="E26" s="188">
        <v>0</v>
      </c>
      <c r="F26" s="188">
        <v>0</v>
      </c>
      <c r="G26" s="188">
        <v>0</v>
      </c>
      <c r="H26" s="188">
        <v>0</v>
      </c>
      <c r="I26" s="188">
        <v>0</v>
      </c>
      <c r="J26" s="188">
        <v>0</v>
      </c>
      <c r="K26" s="188">
        <v>0.39434999999999998</v>
      </c>
      <c r="L26" s="188">
        <v>1675.015283</v>
      </c>
      <c r="M26" s="188">
        <v>4614.1251810000003</v>
      </c>
      <c r="N26" s="188">
        <v>2938.7155480000001</v>
      </c>
      <c r="O26" s="188">
        <v>7448.4858910000003</v>
      </c>
      <c r="P26" s="188">
        <v>9709.4288529999994</v>
      </c>
      <c r="Q26" s="188">
        <v>13499.051401999999</v>
      </c>
      <c r="R26" s="188">
        <v>14044.416624</v>
      </c>
      <c r="S26" s="188">
        <v>16577.277952</v>
      </c>
      <c r="T26" s="188">
        <v>17622.441299999999</v>
      </c>
      <c r="U26" s="188">
        <v>17881.303472</v>
      </c>
      <c r="V26" s="188">
        <v>16244.324841</v>
      </c>
      <c r="W26" s="188">
        <v>15275.92727</v>
      </c>
      <c r="X26" s="188">
        <v>15864.798918</v>
      </c>
      <c r="Y26" s="188">
        <v>17116.094086000001</v>
      </c>
      <c r="Z26" s="188">
        <v>16799.812046999999</v>
      </c>
      <c r="AA26" s="84">
        <v>178083.36265600001</v>
      </c>
      <c r="AB26" s="84">
        <v>16072.045824000001</v>
      </c>
      <c r="AC26" s="84">
        <v>13685.015637</v>
      </c>
      <c r="AD26" s="84">
        <v>15025.10461</v>
      </c>
      <c r="AE26" s="206">
        <v>13262.480388</v>
      </c>
      <c r="AF26" s="206">
        <v>7580.2283740000003</v>
      </c>
      <c r="AG26" s="207">
        <v>14000</v>
      </c>
      <c r="AH26" s="207">
        <v>15000</v>
      </c>
      <c r="AI26" s="207">
        <v>16000</v>
      </c>
      <c r="AJ26" s="207">
        <v>18000</v>
      </c>
      <c r="AK26" s="191" t="e">
        <f>AG26-#REF!</f>
        <v>#REF!</v>
      </c>
      <c r="AL26" s="65" t="e">
        <f>#REF!-AC26</f>
        <v>#REF!</v>
      </c>
      <c r="AM26" s="5"/>
      <c r="AN26" s="209" t="e">
        <f>#REF!-AC26</f>
        <v>#REF!</v>
      </c>
      <c r="AO26" s="210" t="e">
        <f t="shared" si="0"/>
        <v>#REF!</v>
      </c>
      <c r="AP26" s="209">
        <f t="shared" si="1"/>
        <v>488.75055846428575</v>
      </c>
      <c r="AQ26" s="209" t="e">
        <f>#REF!/31</f>
        <v>#REF!</v>
      </c>
      <c r="AR26" s="209" t="e">
        <f t="shared" si="2"/>
        <v>#REF!</v>
      </c>
      <c r="AS26" s="210" t="e">
        <f t="shared" si="3"/>
        <v>#REF!</v>
      </c>
      <c r="AT26" s="210" t="e">
        <f t="shared" si="4"/>
        <v>#REF!</v>
      </c>
      <c r="AU26" s="208">
        <v>16000</v>
      </c>
      <c r="AV26" s="192" t="e">
        <f>#REF!-AU26</f>
        <v>#REF!</v>
      </c>
      <c r="AW26" s="192">
        <f t="shared" si="5"/>
        <v>571.42857142857144</v>
      </c>
      <c r="AX26" s="192" t="e">
        <f>#REF!/31</f>
        <v>#REF!</v>
      </c>
      <c r="AY26" s="192" t="e">
        <f t="shared" si="6"/>
        <v>#REF!</v>
      </c>
      <c r="AZ26" s="120" t="e">
        <f>#REF!-AB26</f>
        <v>#REF!</v>
      </c>
      <c r="BA26" s="195"/>
      <c r="BB26" s="195"/>
      <c r="BC26" s="196"/>
      <c r="BD26" s="197"/>
      <c r="BE26" s="197"/>
      <c r="BF26" s="198"/>
      <c r="BH26" s="196"/>
      <c r="BI26" s="196"/>
      <c r="BJ26" s="200"/>
      <c r="BK26" s="200"/>
      <c r="BL26" s="181"/>
      <c r="BM26" s="180"/>
      <c r="BN26" s="196"/>
      <c r="BO26" s="201"/>
      <c r="BQ26" s="202"/>
      <c r="BR26" s="203"/>
      <c r="BS26" s="200"/>
      <c r="BT26" s="178"/>
      <c r="BU26" s="179"/>
      <c r="BV26" s="204"/>
      <c r="BW26" s="205"/>
    </row>
    <row r="27" spans="1:75" s="199" customFormat="1" ht="16" x14ac:dyDescent="0.2">
      <c r="A27" s="186" t="s">
        <v>68</v>
      </c>
      <c r="B27" s="188"/>
      <c r="C27" s="188"/>
      <c r="D27" s="188"/>
      <c r="E27" s="188"/>
      <c r="F27" s="188"/>
      <c r="G27" s="188"/>
      <c r="H27" s="188"/>
      <c r="I27" s="188"/>
      <c r="J27" s="188">
        <v>0</v>
      </c>
      <c r="K27" s="187">
        <v>0</v>
      </c>
      <c r="L27" s="187">
        <v>0</v>
      </c>
      <c r="M27" s="188">
        <v>0</v>
      </c>
      <c r="N27" s="188">
        <v>0</v>
      </c>
      <c r="O27" s="188">
        <v>0.1</v>
      </c>
      <c r="P27" s="188">
        <v>9612.7199999999993</v>
      </c>
      <c r="Q27" s="188">
        <v>2.65</v>
      </c>
      <c r="R27" s="188">
        <v>0</v>
      </c>
      <c r="S27" s="188">
        <v>23.667000000000002</v>
      </c>
      <c r="T27" s="188">
        <v>4117.6304499999997</v>
      </c>
      <c r="U27" s="188">
        <v>8932.5597080000007</v>
      </c>
      <c r="V27" s="188">
        <v>12586.88265</v>
      </c>
      <c r="W27" s="188">
        <v>12824.214914</v>
      </c>
      <c r="X27" s="188">
        <v>19664.015586000001</v>
      </c>
      <c r="Y27" s="188">
        <v>29656.124454000001</v>
      </c>
      <c r="Z27" s="188">
        <v>30796.576098000001</v>
      </c>
      <c r="AA27" s="84">
        <v>128217.14086</v>
      </c>
      <c r="AB27" s="84">
        <v>45434.907523000002</v>
      </c>
      <c r="AC27" s="84">
        <v>42796.229055000003</v>
      </c>
      <c r="AD27" s="84">
        <v>36249.366163999999</v>
      </c>
      <c r="AE27" s="206">
        <v>34963.036365</v>
      </c>
      <c r="AF27" s="206">
        <v>13363.773267</v>
      </c>
      <c r="AG27" s="207">
        <v>39757.996799999994</v>
      </c>
      <c r="AH27" s="207">
        <v>42397.074240000009</v>
      </c>
      <c r="AI27" s="207">
        <v>46700.072639999999</v>
      </c>
      <c r="AJ27" s="207">
        <v>51906.700703999995</v>
      </c>
      <c r="AK27" s="191" t="e">
        <f>AG27-#REF!</f>
        <v>#REF!</v>
      </c>
      <c r="AL27" s="65" t="e">
        <f>#REF!-AC27</f>
        <v>#REF!</v>
      </c>
      <c r="AM27" s="5"/>
      <c r="AN27" s="192" t="e">
        <f>#REF!-AC27</f>
        <v>#REF!</v>
      </c>
      <c r="AO27" s="193" t="e">
        <f t="shared" si="0"/>
        <v>#REF!</v>
      </c>
      <c r="AP27" s="192">
        <f t="shared" si="1"/>
        <v>1528.4367519642858</v>
      </c>
      <c r="AQ27" s="192" t="e">
        <f>#REF!/31</f>
        <v>#REF!</v>
      </c>
      <c r="AR27" s="192" t="e">
        <f t="shared" si="2"/>
        <v>#REF!</v>
      </c>
      <c r="AS27" s="193" t="e">
        <f t="shared" si="3"/>
        <v>#REF!</v>
      </c>
      <c r="AT27" s="193" t="e">
        <f t="shared" si="4"/>
        <v>#REF!</v>
      </c>
      <c r="AU27" s="208">
        <v>42907.702272727271</v>
      </c>
      <c r="AV27" s="192" t="e">
        <f>#REF!-AU27</f>
        <v>#REF!</v>
      </c>
      <c r="AW27" s="192">
        <f t="shared" si="5"/>
        <v>1532.4179383116882</v>
      </c>
      <c r="AX27" s="192" t="e">
        <f>#REF!/31</f>
        <v>#REF!</v>
      </c>
      <c r="AY27" s="192" t="e">
        <f t="shared" si="6"/>
        <v>#REF!</v>
      </c>
      <c r="AZ27" s="120" t="e">
        <f>#REF!-AB27</f>
        <v>#REF!</v>
      </c>
      <c r="BA27" s="195"/>
      <c r="BB27" s="195"/>
      <c r="BC27" s="196"/>
      <c r="BD27" s="197"/>
      <c r="BE27" s="197"/>
      <c r="BF27" s="198"/>
      <c r="BH27" s="196"/>
      <c r="BI27" s="196"/>
      <c r="BJ27" s="200"/>
      <c r="BK27" s="200"/>
      <c r="BL27" s="181"/>
      <c r="BM27" s="180"/>
      <c r="BN27" s="196"/>
      <c r="BO27" s="201"/>
      <c r="BQ27" s="202"/>
      <c r="BR27" s="203"/>
      <c r="BS27" s="200"/>
      <c r="BT27" s="178"/>
      <c r="BU27" s="179"/>
      <c r="BV27" s="204"/>
      <c r="BW27" s="205"/>
    </row>
    <row r="28" spans="1:75" ht="16" x14ac:dyDescent="0.2">
      <c r="A28" s="186" t="s">
        <v>69</v>
      </c>
      <c r="B28" s="188">
        <v>0</v>
      </c>
      <c r="C28" s="188">
        <v>0</v>
      </c>
      <c r="D28" s="188">
        <v>0</v>
      </c>
      <c r="E28" s="188">
        <v>0</v>
      </c>
      <c r="F28" s="188">
        <v>0</v>
      </c>
      <c r="G28" s="188">
        <v>0</v>
      </c>
      <c r="H28" s="188">
        <v>0</v>
      </c>
      <c r="I28" s="188">
        <v>0</v>
      </c>
      <c r="J28" s="188">
        <v>0</v>
      </c>
      <c r="K28" s="187">
        <v>1.2E-2</v>
      </c>
      <c r="L28" s="187">
        <v>3.1966450000000002</v>
      </c>
      <c r="M28" s="188">
        <v>836.3590200000001</v>
      </c>
      <c r="N28" s="188">
        <v>833.15037500000005</v>
      </c>
      <c r="O28" s="188">
        <v>742.28588500000001</v>
      </c>
      <c r="P28" s="188">
        <v>758.14905299999998</v>
      </c>
      <c r="Q28" s="188">
        <v>950.76754200000005</v>
      </c>
      <c r="R28" s="188">
        <v>838.41955399999995</v>
      </c>
      <c r="S28" s="188">
        <v>980.17887800000005</v>
      </c>
      <c r="T28" s="188">
        <v>895.76646200000005</v>
      </c>
      <c r="U28" s="188">
        <v>917.35243100000002</v>
      </c>
      <c r="V28" s="188">
        <v>941.37600899999995</v>
      </c>
      <c r="W28" s="188">
        <v>932.76488600000005</v>
      </c>
      <c r="X28" s="188">
        <v>968.660033</v>
      </c>
      <c r="Y28" s="188">
        <v>567.92793800000004</v>
      </c>
      <c r="Z28" s="188">
        <v>589.54248600000005</v>
      </c>
      <c r="AA28" s="84">
        <v>10083.191157000001</v>
      </c>
      <c r="AB28" s="84">
        <v>526.61678199999994</v>
      </c>
      <c r="AC28" s="84">
        <v>406.756258</v>
      </c>
      <c r="AD28" s="84">
        <v>373.33627899999999</v>
      </c>
      <c r="AE28" s="206">
        <v>28.900932999999998</v>
      </c>
      <c r="AF28" s="206">
        <v>0</v>
      </c>
      <c r="AG28" s="207">
        <v>0</v>
      </c>
      <c r="AH28" s="207">
        <v>0</v>
      </c>
      <c r="AI28" s="207">
        <v>0</v>
      </c>
      <c r="AJ28" s="207">
        <v>0</v>
      </c>
      <c r="AK28" s="191" t="e">
        <f>AG28-#REF!</f>
        <v>#REF!</v>
      </c>
      <c r="AL28" s="65" t="e">
        <f>#REF!-AC28</f>
        <v>#REF!</v>
      </c>
      <c r="AM28" s="5"/>
      <c r="AN28" s="137" t="e">
        <f>#REF!-AC28</f>
        <v>#REF!</v>
      </c>
      <c r="AO28" s="138" t="e">
        <f t="shared" si="0"/>
        <v>#REF!</v>
      </c>
      <c r="AP28" s="137">
        <f t="shared" si="1"/>
        <v>14.527009214285714</v>
      </c>
      <c r="AQ28" s="137" t="e">
        <f>#REF!/31</f>
        <v>#REF!</v>
      </c>
      <c r="AR28" s="137" t="e">
        <f t="shared" si="2"/>
        <v>#REF!</v>
      </c>
      <c r="AS28" s="138" t="e">
        <f t="shared" si="3"/>
        <v>#REF!</v>
      </c>
      <c r="AT28" s="138" t="e">
        <f t="shared" si="4"/>
        <v>#REF!</v>
      </c>
      <c r="AU28" s="208">
        <v>600</v>
      </c>
      <c r="AV28" s="137" t="e">
        <f>#REF!-AU28</f>
        <v>#REF!</v>
      </c>
      <c r="AW28" s="137">
        <f t="shared" si="5"/>
        <v>21.428571428571427</v>
      </c>
      <c r="AX28" s="67" t="e">
        <f>#REF!/31</f>
        <v>#REF!</v>
      </c>
      <c r="AY28" s="67" t="e">
        <f t="shared" si="6"/>
        <v>#REF!</v>
      </c>
      <c r="AZ28" s="120" t="e">
        <f>#REF!-AB28</f>
        <v>#REF!</v>
      </c>
      <c r="BA28" s="162"/>
      <c r="BB28" s="162"/>
      <c r="BC28" s="196"/>
      <c r="BD28" s="142"/>
      <c r="BE28" s="142"/>
      <c r="BF28" s="143"/>
    </row>
    <row r="29" spans="1:75" ht="16" x14ac:dyDescent="0.2">
      <c r="A29" s="211" t="s">
        <v>70</v>
      </c>
      <c r="B29" s="122">
        <v>201857.46537399999</v>
      </c>
      <c r="C29" s="122">
        <v>153550.04784000001</v>
      </c>
      <c r="D29" s="122">
        <v>182922.86757</v>
      </c>
      <c r="E29" s="122">
        <v>230697.41172900001</v>
      </c>
      <c r="F29" s="122">
        <v>257191.06150100002</v>
      </c>
      <c r="G29" s="122">
        <v>389269.06385800004</v>
      </c>
      <c r="H29" s="122">
        <v>479861.56740400003</v>
      </c>
      <c r="I29" s="122">
        <v>465691.51039300003</v>
      </c>
      <c r="J29" s="122">
        <v>520645.31329200009</v>
      </c>
      <c r="K29" s="122">
        <v>599485.11822399998</v>
      </c>
      <c r="L29" s="122">
        <v>580243.53949800017</v>
      </c>
      <c r="M29" s="122">
        <v>4782878.56439</v>
      </c>
      <c r="N29" s="122">
        <v>667943.79021700018</v>
      </c>
      <c r="O29" s="122">
        <v>631570.36475299997</v>
      </c>
      <c r="P29" s="122">
        <v>532086.84361999994</v>
      </c>
      <c r="Q29" s="122">
        <v>716597.66596799996</v>
      </c>
      <c r="R29" s="122">
        <v>830767.10737600003</v>
      </c>
      <c r="S29" s="122">
        <v>877642.74260200001</v>
      </c>
      <c r="T29" s="122">
        <v>966595.44040100009</v>
      </c>
      <c r="U29" s="122">
        <v>1316244.086718</v>
      </c>
      <c r="V29" s="122">
        <v>1305217.2960039999</v>
      </c>
      <c r="W29" s="122">
        <v>1760068.3340189997</v>
      </c>
      <c r="X29" s="122">
        <v>1971790.2609999999</v>
      </c>
      <c r="Y29" s="122">
        <v>2041989.0129749998</v>
      </c>
      <c r="Z29" s="122">
        <v>2202242.4867830002</v>
      </c>
      <c r="AA29" s="61">
        <v>15152811.642219001</v>
      </c>
      <c r="AB29" s="122">
        <v>2269595.4686650001</v>
      </c>
      <c r="AC29" s="122">
        <v>1722310.8662509997</v>
      </c>
      <c r="AD29" s="122">
        <v>2069586.82437</v>
      </c>
      <c r="AE29" s="62">
        <v>2143901.6663250001</v>
      </c>
      <c r="AF29" s="62">
        <v>762376.01277300017</v>
      </c>
      <c r="AG29" s="62">
        <v>2462219.7803199999</v>
      </c>
      <c r="AH29" s="62">
        <v>2548697.6521399999</v>
      </c>
      <c r="AI29" s="62">
        <v>2628393.2199399997</v>
      </c>
      <c r="AJ29" s="62">
        <v>2873701.3909340003</v>
      </c>
      <c r="AK29" s="212" t="e">
        <f>AG29-#REF!</f>
        <v>#REF!</v>
      </c>
      <c r="AL29" s="65" t="e">
        <f>#REF!-AC29</f>
        <v>#REF!</v>
      </c>
      <c r="AM29" s="5" t="e">
        <f>AL29-AM18</f>
        <v>#REF!</v>
      </c>
      <c r="AN29" s="67" t="e">
        <f>#REF!-AC29</f>
        <v>#REF!</v>
      </c>
      <c r="AO29" s="68" t="e">
        <f t="shared" si="0"/>
        <v>#REF!</v>
      </c>
      <c r="AP29" s="67">
        <f t="shared" si="1"/>
        <v>61511.10236610713</v>
      </c>
      <c r="AQ29" s="67" t="e">
        <f>#REF!/31</f>
        <v>#REF!</v>
      </c>
      <c r="AR29" s="67" t="e">
        <f t="shared" si="2"/>
        <v>#REF!</v>
      </c>
      <c r="AS29" s="68" t="e">
        <f t="shared" si="3"/>
        <v>#REF!</v>
      </c>
      <c r="AT29" s="68" t="e">
        <f t="shared" si="4"/>
        <v>#REF!</v>
      </c>
      <c r="AU29" s="67">
        <v>2122348.2749920911</v>
      </c>
      <c r="AV29" s="67" t="e">
        <f>#REF!-AU29</f>
        <v>#REF!</v>
      </c>
      <c r="AW29" s="67">
        <f t="shared" si="5"/>
        <v>75798.15267828897</v>
      </c>
      <c r="AX29" s="213" t="e">
        <f>#REF!/31</f>
        <v>#REF!</v>
      </c>
      <c r="AY29" s="213" t="e">
        <f t="shared" si="6"/>
        <v>#REF!</v>
      </c>
      <c r="AZ29" s="120" t="e">
        <f>#REF!-AB29</f>
        <v>#REF!</v>
      </c>
      <c r="BA29" s="70"/>
      <c r="BB29" s="70"/>
      <c r="BC29" s="94"/>
      <c r="BD29" s="142"/>
      <c r="BE29" s="142"/>
      <c r="BF29" s="143"/>
      <c r="BH29" s="141"/>
      <c r="BI29" s="97"/>
      <c r="BJ29" s="145"/>
      <c r="BK29" s="145"/>
      <c r="BL29" s="126"/>
      <c r="BM29" s="127"/>
      <c r="BN29" s="99"/>
      <c r="BO29" s="100"/>
      <c r="BQ29" s="149"/>
      <c r="BR29" s="149"/>
      <c r="BS29" s="127"/>
      <c r="BT29" s="214">
        <v>0</v>
      </c>
    </row>
    <row r="30" spans="1:75" ht="16" x14ac:dyDescent="0.2">
      <c r="A30" s="211" t="s">
        <v>71</v>
      </c>
      <c r="B30" s="122">
        <v>313000</v>
      </c>
      <c r="C30" s="122">
        <v>205000</v>
      </c>
      <c r="D30" s="122">
        <v>294000</v>
      </c>
      <c r="E30" s="122">
        <v>384000</v>
      </c>
      <c r="F30" s="122">
        <v>494000</v>
      </c>
      <c r="G30" s="122">
        <v>494000</v>
      </c>
      <c r="H30" s="122">
        <v>551628.95431915729</v>
      </c>
      <c r="I30" s="122">
        <v>563282.14270906826</v>
      </c>
      <c r="J30" s="122">
        <v>608364.96638376708</v>
      </c>
      <c r="K30" s="122">
        <v>650000</v>
      </c>
      <c r="L30" s="122">
        <v>700000</v>
      </c>
      <c r="M30" s="163">
        <v>6736511319357.3311</v>
      </c>
      <c r="N30" s="122">
        <v>750000</v>
      </c>
      <c r="O30" s="122">
        <v>713607.91107492032</v>
      </c>
      <c r="P30" s="122">
        <v>589765.51289641869</v>
      </c>
      <c r="Q30" s="122">
        <v>810944.69639434712</v>
      </c>
      <c r="R30" s="122">
        <v>886503.83821023407</v>
      </c>
      <c r="S30" s="122">
        <v>1022380.3338480387</v>
      </c>
      <c r="T30" s="122">
        <v>1210266.6362859595</v>
      </c>
      <c r="U30" s="122">
        <v>1433691.0910987349</v>
      </c>
      <c r="V30" s="122">
        <v>1649645.009403971</v>
      </c>
      <c r="W30" s="122">
        <v>1873230.8310205131</v>
      </c>
      <c r="X30" s="122">
        <v>2206665.2236137954</v>
      </c>
      <c r="Y30" s="122">
        <v>2630409.0287374016</v>
      </c>
      <c r="Z30" s="122">
        <v>2887344.7945771492</v>
      </c>
      <c r="AA30" s="122">
        <v>17914454.907161482</v>
      </c>
      <c r="AB30" s="122">
        <v>2365946.7960910508</v>
      </c>
      <c r="AC30" s="122">
        <v>2064360.8297941755</v>
      </c>
      <c r="AD30" s="122">
        <v>2628732.5862014671</v>
      </c>
      <c r="AE30" s="122">
        <v>2856987.0249724304</v>
      </c>
      <c r="AF30" s="122">
        <v>3032504.2816381743</v>
      </c>
      <c r="AG30" s="62">
        <v>3032504.2816381743</v>
      </c>
      <c r="AH30" s="62">
        <v>3032504.2816381743</v>
      </c>
      <c r="AI30" s="62">
        <v>3190739.914422397</v>
      </c>
      <c r="AJ30" s="62">
        <v>3460390.603230332</v>
      </c>
      <c r="AK30" s="212" t="e">
        <f>AG30-#REF!</f>
        <v>#REF!</v>
      </c>
      <c r="AL30" s="65"/>
      <c r="AM30" s="5"/>
      <c r="AN30" s="212"/>
      <c r="AO30" s="212"/>
      <c r="AP30" s="212"/>
      <c r="AQ30" s="213"/>
      <c r="AR30" s="213"/>
      <c r="AS30" s="213"/>
      <c r="AT30" s="213"/>
      <c r="AU30" s="212"/>
      <c r="AV30" s="212"/>
      <c r="AW30" s="212"/>
      <c r="AX30" s="213"/>
      <c r="AY30" s="213"/>
      <c r="AZ30" s="215"/>
      <c r="BA30" s="70"/>
      <c r="BB30" s="70"/>
      <c r="BC30" s="141"/>
      <c r="BL30" s="16"/>
      <c r="BM30" s="16"/>
      <c r="BN30" s="34"/>
      <c r="BO30" s="34"/>
      <c r="BQ30" s="2"/>
      <c r="BR30" s="2"/>
      <c r="BU30" s="216"/>
      <c r="BV30" s="216"/>
      <c r="BW30" s="216"/>
    </row>
    <row r="31" spans="1:75" ht="16" x14ac:dyDescent="0.2">
      <c r="A31" s="217" t="s">
        <v>72</v>
      </c>
      <c r="B31" s="218">
        <v>-111142.53462600001</v>
      </c>
      <c r="C31" s="218">
        <v>-51449.952159999986</v>
      </c>
      <c r="D31" s="218">
        <v>-111077.13243</v>
      </c>
      <c r="E31" s="218">
        <v>-153302.58827099999</v>
      </c>
      <c r="F31" s="218">
        <v>-236808.93849899998</v>
      </c>
      <c r="G31" s="218">
        <v>-104730.93614199996</v>
      </c>
      <c r="H31" s="218">
        <v>-71767.386915157258</v>
      </c>
      <c r="I31" s="218">
        <v>-97590.632316068222</v>
      </c>
      <c r="J31" s="218">
        <v>-87719.653091766988</v>
      </c>
      <c r="K31" s="218">
        <v>-50514.881776000024</v>
      </c>
      <c r="L31" s="218">
        <v>-119756.46050199983</v>
      </c>
      <c r="M31" s="219">
        <v>-6736506536478.7666</v>
      </c>
      <c r="N31" s="218">
        <v>-82056.209782999824</v>
      </c>
      <c r="O31" s="218">
        <v>-82037.546321920352</v>
      </c>
      <c r="P31" s="218">
        <v>-57678.669276418746</v>
      </c>
      <c r="Q31" s="218">
        <v>-94347.030426347163</v>
      </c>
      <c r="R31" s="218">
        <v>-55736.73083423404</v>
      </c>
      <c r="S31" s="218">
        <v>-144737.59124603868</v>
      </c>
      <c r="T31" s="218">
        <v>-243671.19588495942</v>
      </c>
      <c r="U31" s="218">
        <v>-117447.00438073487</v>
      </c>
      <c r="V31" s="218">
        <v>-344427.71339997114</v>
      </c>
      <c r="W31" s="218">
        <v>-113162.49700151337</v>
      </c>
      <c r="X31" s="218">
        <v>-234874.96261379542</v>
      </c>
      <c r="Y31" s="218">
        <v>-588420.01576240174</v>
      </c>
      <c r="Z31" s="218">
        <v>-685102.30779414903</v>
      </c>
      <c r="AA31" s="218">
        <v>-2761643.2649424803</v>
      </c>
      <c r="AB31" s="218">
        <v>-96351.32742605079</v>
      </c>
      <c r="AC31" s="218">
        <v>-342049.96354317572</v>
      </c>
      <c r="AD31" s="218">
        <v>-559145.76183146704</v>
      </c>
      <c r="AE31" s="220">
        <v>-713085.35864743032</v>
      </c>
      <c r="AF31" s="220">
        <v>-2270128.2688651741</v>
      </c>
      <c r="AG31" s="220">
        <v>-570284.50131817441</v>
      </c>
      <c r="AH31" s="220">
        <v>-483806.62949817441</v>
      </c>
      <c r="AI31" s="220">
        <v>-562346.69448239729</v>
      </c>
      <c r="AJ31" s="220">
        <v>-586689.21229633177</v>
      </c>
      <c r="AK31" s="221" t="e">
        <f>AG31-#REF!</f>
        <v>#REF!</v>
      </c>
      <c r="AL31" s="88"/>
      <c r="AM31" s="5"/>
      <c r="AN31" s="221"/>
      <c r="AO31" s="221"/>
      <c r="AP31" s="221"/>
      <c r="AQ31" s="221"/>
      <c r="AR31" s="221"/>
      <c r="AS31" s="221"/>
      <c r="AT31" s="221"/>
      <c r="AU31" s="221"/>
      <c r="AV31" s="221"/>
      <c r="AW31" s="221"/>
      <c r="AX31" s="222" t="e">
        <f>#REF!/AX29</f>
        <v>#REF!</v>
      </c>
      <c r="AY31" s="221"/>
      <c r="AZ31" s="223"/>
      <c r="BA31" s="224"/>
      <c r="BB31" s="224"/>
      <c r="BL31" s="225"/>
      <c r="BM31" s="2"/>
      <c r="BO31" s="17"/>
      <c r="BU31" s="216"/>
      <c r="BV31" s="216"/>
      <c r="BW31" s="216"/>
    </row>
    <row r="32" spans="1:75" ht="16" x14ac:dyDescent="0.2">
      <c r="A32" s="2"/>
      <c r="Z32" s="17"/>
      <c r="AA32" s="3"/>
      <c r="AB32" s="2"/>
      <c r="AE32" s="3"/>
      <c r="AF32" s="3">
        <v>1308.9998163333332</v>
      </c>
      <c r="AG32" s="2">
        <v>228.81977419354837</v>
      </c>
      <c r="AL32" s="226"/>
      <c r="AM32" s="226"/>
      <c r="AN32" s="227"/>
      <c r="AO32" s="227"/>
      <c r="AP32" s="227"/>
      <c r="AQ32" s="227"/>
      <c r="AR32" s="227"/>
      <c r="AS32" s="227"/>
      <c r="AT32" s="227"/>
      <c r="AU32" s="227"/>
      <c r="AV32" s="227"/>
      <c r="AW32" s="227"/>
      <c r="AX32" s="227"/>
      <c r="AY32" s="227"/>
      <c r="AZ32" s="227"/>
      <c r="BA32" s="228"/>
      <c r="BB32" s="228"/>
      <c r="BL32" s="225"/>
      <c r="BM32" s="2"/>
      <c r="BO32" s="17"/>
      <c r="BU32" s="216"/>
      <c r="BV32" s="216"/>
      <c r="BW32" s="216"/>
    </row>
    <row r="33" ht="16" x14ac:dyDescent="0.2"/>
    <row r="34" ht="16" x14ac:dyDescent="0.2"/>
    <row r="35" ht="16" x14ac:dyDescent="0.2"/>
    <row r="36" ht="16" x14ac:dyDescent="0.2"/>
    <row r="37" ht="16" x14ac:dyDescent="0.2"/>
    <row r="38" ht="16" x14ac:dyDescent="0.2"/>
    <row r="39" ht="16" x14ac:dyDescent="0.2"/>
    <row r="40" ht="16" x14ac:dyDescent="0.2"/>
    <row r="41" ht="16" x14ac:dyDescent="0.2"/>
    <row r="1484" spans="1:6" ht="16" x14ac:dyDescent="0.2">
      <c r="A1484" s="1">
        <v>7</v>
      </c>
      <c r="C1484" s="1" t="e">
        <v>#REF!</v>
      </c>
      <c r="D1484" s="1" t="s">
        <v>54</v>
      </c>
      <c r="F1484" s="17">
        <v>306550000</v>
      </c>
    </row>
    <row r="1485" spans="1:6" ht="16" x14ac:dyDescent="0.2">
      <c r="A1485" s="1">
        <v>7</v>
      </c>
      <c r="C1485" s="1" t="e">
        <v>#REF!</v>
      </c>
      <c r="D1485" s="1" t="s">
        <v>51</v>
      </c>
      <c r="F1485" s="17">
        <v>7348430000</v>
      </c>
    </row>
    <row r="1486" spans="1:6" ht="16" x14ac:dyDescent="0.2">
      <c r="A1486" s="1">
        <v>7</v>
      </c>
      <c r="C1486" s="1" t="e">
        <v>#REF!</v>
      </c>
      <c r="D1486" s="1" t="s">
        <v>73</v>
      </c>
      <c r="F1486" s="17">
        <v>16050000</v>
      </c>
    </row>
    <row r="1487" spans="1:6" ht="16" x14ac:dyDescent="0.2">
      <c r="A1487" s="1">
        <v>7</v>
      </c>
      <c r="C1487" s="1" t="e">
        <v>#REF!</v>
      </c>
      <c r="D1487" s="1" t="s">
        <v>48</v>
      </c>
      <c r="F1487" s="17">
        <v>3865000000</v>
      </c>
    </row>
    <row r="1488" spans="1:6" ht="16" x14ac:dyDescent="0.2">
      <c r="A1488" s="1">
        <v>7</v>
      </c>
      <c r="C1488" s="1" t="e">
        <v>#REF!</v>
      </c>
      <c r="D1488" s="1" t="s">
        <v>46</v>
      </c>
      <c r="F1488" s="17">
        <v>6181640000</v>
      </c>
    </row>
    <row r="1489" spans="1:6" ht="16" x14ac:dyDescent="0.2">
      <c r="A1489" s="1">
        <v>7</v>
      </c>
      <c r="C1489" s="1" t="e">
        <v>#REF!</v>
      </c>
      <c r="D1489" s="1" t="s">
        <v>74</v>
      </c>
      <c r="F1489" s="17">
        <v>83460000</v>
      </c>
    </row>
    <row r="1490" spans="1:6" ht="16" x14ac:dyDescent="0.2">
      <c r="A1490" s="1">
        <v>7</v>
      </c>
      <c r="C1490" s="1" t="e">
        <v>#REF!</v>
      </c>
      <c r="D1490" s="1" t="s">
        <v>75</v>
      </c>
      <c r="F1490" s="17">
        <v>42000000</v>
      </c>
    </row>
    <row r="1491" spans="1:6" ht="16" x14ac:dyDescent="0.2">
      <c r="A1491" s="1">
        <v>7</v>
      </c>
      <c r="C1491" s="1" t="e">
        <v>#REF!</v>
      </c>
      <c r="D1491" s="1" t="s">
        <v>53</v>
      </c>
      <c r="F1491" s="17">
        <v>4081557292</v>
      </c>
    </row>
    <row r="1492" spans="1:6" ht="16" x14ac:dyDescent="0.2">
      <c r="A1492" s="1">
        <v>7</v>
      </c>
      <c r="C1492" s="1" t="e">
        <v>#REF!</v>
      </c>
      <c r="D1492" s="1" t="s">
        <v>65</v>
      </c>
      <c r="F1492" s="17">
        <v>76945556</v>
      </c>
    </row>
    <row r="1493" spans="1:6" ht="16" x14ac:dyDescent="0.2">
      <c r="A1493" s="1">
        <v>7</v>
      </c>
      <c r="C1493" s="1" t="e">
        <v>#REF!</v>
      </c>
      <c r="D1493" s="1" t="s">
        <v>66</v>
      </c>
      <c r="F1493" s="17">
        <v>8938625</v>
      </c>
    </row>
    <row r="1494" spans="1:6" ht="16" x14ac:dyDescent="0.2">
      <c r="A1494" s="1">
        <v>7</v>
      </c>
      <c r="C1494" s="1" t="e">
        <v>#REF!</v>
      </c>
      <c r="D1494" s="1" t="s">
        <v>76</v>
      </c>
      <c r="F1494" s="17">
        <v>23351311473</v>
      </c>
    </row>
    <row r="1495" spans="1:6" ht="16" x14ac:dyDescent="0.2">
      <c r="A1495" s="1">
        <v>7</v>
      </c>
      <c r="C1495" s="1" t="e">
        <v>#REF!</v>
      </c>
      <c r="D1495" s="1" t="s">
        <v>77</v>
      </c>
      <c r="F1495" s="17">
        <v>52000000</v>
      </c>
    </row>
    <row r="1496" spans="1:6" ht="16" x14ac:dyDescent="0.2">
      <c r="A1496" s="1">
        <v>7</v>
      </c>
      <c r="C1496" s="1" t="e">
        <v>#REF!</v>
      </c>
      <c r="D1496" s="1" t="s">
        <v>78</v>
      </c>
      <c r="F1496" s="17">
        <v>1288740000</v>
      </c>
    </row>
    <row r="1497" spans="1:6" ht="16" x14ac:dyDescent="0.2">
      <c r="A1497" s="1">
        <v>7</v>
      </c>
      <c r="C1497" s="1" t="e">
        <v>#REF!</v>
      </c>
      <c r="D1497" s="1" t="s">
        <v>48</v>
      </c>
      <c r="F1497" s="17">
        <v>3601000000</v>
      </c>
    </row>
    <row r="1498" spans="1:6" ht="16" x14ac:dyDescent="0.2">
      <c r="A1498" s="1">
        <v>7</v>
      </c>
      <c r="C1498" s="1" t="e">
        <v>#REF!</v>
      </c>
      <c r="D1498" s="1" t="s">
        <v>75</v>
      </c>
      <c r="F1498" s="17">
        <v>26250000</v>
      </c>
    </row>
    <row r="1499" spans="1:6" ht="16" x14ac:dyDescent="0.2">
      <c r="A1499" s="1">
        <v>7</v>
      </c>
      <c r="C1499" s="1" t="e">
        <v>#REF!</v>
      </c>
      <c r="D1499" s="1" t="s">
        <v>76</v>
      </c>
      <c r="F1499" s="17">
        <v>19647125785</v>
      </c>
    </row>
    <row r="1500" spans="1:6" ht="16" x14ac:dyDescent="0.2">
      <c r="A1500" s="1">
        <v>7</v>
      </c>
      <c r="C1500" s="1" t="e">
        <v>#REF!</v>
      </c>
      <c r="D1500" s="1" t="s">
        <v>73</v>
      </c>
      <c r="F1500" s="17">
        <v>15000000</v>
      </c>
    </row>
    <row r="1501" spans="1:6" ht="16" x14ac:dyDescent="0.2">
      <c r="A1501" s="1">
        <v>7</v>
      </c>
      <c r="C1501" s="1" t="e">
        <v>#REF!</v>
      </c>
      <c r="D1501" s="1" t="s">
        <v>51</v>
      </c>
      <c r="F1501" s="17">
        <v>4968960000</v>
      </c>
    </row>
    <row r="1502" spans="1:6" ht="16" x14ac:dyDescent="0.2">
      <c r="A1502" s="1">
        <v>7</v>
      </c>
      <c r="C1502" s="1" t="e">
        <v>#REF!</v>
      </c>
      <c r="D1502" s="1" t="s">
        <v>46</v>
      </c>
      <c r="F1502" s="17">
        <v>5351920000</v>
      </c>
    </row>
    <row r="1503" spans="1:6" ht="16" x14ac:dyDescent="0.2">
      <c r="A1503" s="1">
        <v>7</v>
      </c>
      <c r="C1503" s="1" t="e">
        <v>#REF!</v>
      </c>
      <c r="D1503" s="1" t="s">
        <v>74</v>
      </c>
      <c r="F1503" s="17">
        <v>94530000</v>
      </c>
    </row>
    <row r="1504" spans="1:6" ht="16" x14ac:dyDescent="0.2">
      <c r="A1504" s="1">
        <v>7</v>
      </c>
      <c r="C1504" s="1" t="e">
        <v>#REF!</v>
      </c>
      <c r="D1504" s="1" t="s">
        <v>53</v>
      </c>
      <c r="F1504" s="17">
        <v>3728980619</v>
      </c>
    </row>
    <row r="1505" spans="1:6" ht="16" x14ac:dyDescent="0.2">
      <c r="A1505" s="1">
        <v>7</v>
      </c>
      <c r="C1505" s="1" t="e">
        <v>#REF!</v>
      </c>
      <c r="D1505" s="1" t="s">
        <v>54</v>
      </c>
      <c r="F1505" s="17">
        <v>201600000</v>
      </c>
    </row>
    <row r="1506" spans="1:6" ht="16" x14ac:dyDescent="0.2">
      <c r="A1506" s="1">
        <v>7</v>
      </c>
      <c r="C1506" s="1" t="e">
        <v>#REF!</v>
      </c>
      <c r="D1506" s="1" t="s">
        <v>66</v>
      </c>
      <c r="F1506" s="17">
        <v>12410620</v>
      </c>
    </row>
    <row r="1507" spans="1:6" ht="16" x14ac:dyDescent="0.2">
      <c r="A1507" s="1">
        <v>7</v>
      </c>
      <c r="C1507" s="1" t="e">
        <v>#REF!</v>
      </c>
      <c r="D1507" s="1" t="s">
        <v>65</v>
      </c>
      <c r="F1507" s="17">
        <v>113264546</v>
      </c>
    </row>
    <row r="1508" spans="1:6" ht="16" x14ac:dyDescent="0.2">
      <c r="A1508" s="1">
        <v>7</v>
      </c>
      <c r="C1508" s="1" t="e">
        <v>#REF!</v>
      </c>
      <c r="D1508" s="1" t="s">
        <v>78</v>
      </c>
      <c r="F1508" s="17">
        <v>1501210000</v>
      </c>
    </row>
    <row r="1509" spans="1:6" ht="16" x14ac:dyDescent="0.2">
      <c r="A1509" s="1">
        <v>7</v>
      </c>
      <c r="C1509" s="1" t="e">
        <v>#REF!</v>
      </c>
      <c r="D1509" s="1" t="s">
        <v>77</v>
      </c>
      <c r="F1509" s="17">
        <v>32000000</v>
      </c>
    </row>
    <row r="1510" spans="1:6" ht="16" x14ac:dyDescent="0.2">
      <c r="A1510" s="1">
        <v>7</v>
      </c>
      <c r="C1510" s="1" t="e">
        <v>#REF!</v>
      </c>
      <c r="D1510" s="1" t="s">
        <v>73</v>
      </c>
      <c r="F1510" s="17">
        <v>0</v>
      </c>
    </row>
    <row r="1511" spans="1:6" ht="16" x14ac:dyDescent="0.2">
      <c r="A1511" s="1">
        <v>7</v>
      </c>
      <c r="C1511" s="1" t="e">
        <v>#REF!</v>
      </c>
      <c r="D1511" s="1" t="s">
        <v>76</v>
      </c>
      <c r="F1511" s="17">
        <v>16428720592</v>
      </c>
    </row>
    <row r="1512" spans="1:6" ht="16" x14ac:dyDescent="0.2">
      <c r="A1512" s="1">
        <v>7</v>
      </c>
      <c r="C1512" s="1" t="e">
        <v>#REF!</v>
      </c>
      <c r="D1512" s="1" t="s">
        <v>77</v>
      </c>
      <c r="F1512" s="17">
        <v>29000000</v>
      </c>
    </row>
    <row r="1513" spans="1:6" ht="16" x14ac:dyDescent="0.2">
      <c r="A1513" s="1">
        <v>7</v>
      </c>
      <c r="C1513" s="1" t="e">
        <v>#REF!</v>
      </c>
      <c r="D1513" s="1" t="s">
        <v>51</v>
      </c>
      <c r="F1513" s="17">
        <v>5393440000</v>
      </c>
    </row>
    <row r="1514" spans="1:6" ht="16" x14ac:dyDescent="0.2">
      <c r="A1514" s="1">
        <v>7</v>
      </c>
      <c r="C1514" s="1" t="e">
        <v>#REF!</v>
      </c>
      <c r="D1514" s="1" t="s">
        <v>54</v>
      </c>
      <c r="F1514" s="17">
        <v>201000000</v>
      </c>
    </row>
    <row r="1515" spans="1:6" ht="16" x14ac:dyDescent="0.2">
      <c r="A1515" s="1">
        <v>7</v>
      </c>
      <c r="C1515" s="1" t="e">
        <v>#REF!</v>
      </c>
      <c r="D1515" s="1" t="s">
        <v>75</v>
      </c>
      <c r="F1515" s="17">
        <v>10500000</v>
      </c>
    </row>
    <row r="1516" spans="1:6" ht="16" x14ac:dyDescent="0.2">
      <c r="A1516" s="1">
        <v>7</v>
      </c>
      <c r="C1516" s="1" t="e">
        <v>#REF!</v>
      </c>
      <c r="D1516" s="1" t="s">
        <v>48</v>
      </c>
      <c r="F1516" s="17">
        <v>3844500000</v>
      </c>
    </row>
    <row r="1517" spans="1:6" ht="16" x14ac:dyDescent="0.2">
      <c r="A1517" s="1">
        <v>7</v>
      </c>
      <c r="C1517" s="1" t="e">
        <v>#REF!</v>
      </c>
      <c r="D1517" s="1" t="s">
        <v>78</v>
      </c>
      <c r="F1517" s="17">
        <v>1134360000</v>
      </c>
    </row>
    <row r="1518" spans="1:6" ht="16" x14ac:dyDescent="0.2">
      <c r="A1518" s="1">
        <v>7</v>
      </c>
      <c r="C1518" s="1" t="e">
        <v>#REF!</v>
      </c>
      <c r="D1518" s="1" t="s">
        <v>53</v>
      </c>
      <c r="F1518" s="17">
        <v>3331904356</v>
      </c>
    </row>
    <row r="1519" spans="1:6" ht="16" x14ac:dyDescent="0.2">
      <c r="A1519" s="1">
        <v>7</v>
      </c>
      <c r="C1519" s="1" t="e">
        <v>#REF!</v>
      </c>
      <c r="D1519" s="1" t="s">
        <v>65</v>
      </c>
      <c r="F1519" s="17">
        <v>131385786</v>
      </c>
    </row>
    <row r="1520" spans="1:6" ht="16" x14ac:dyDescent="0.2">
      <c r="A1520" s="1">
        <v>7</v>
      </c>
      <c r="C1520" s="1" t="e">
        <v>#REF!</v>
      </c>
      <c r="D1520" s="1" t="s">
        <v>46</v>
      </c>
      <c r="F1520" s="17">
        <v>2285220000</v>
      </c>
    </row>
    <row r="1521" spans="1:6" ht="16" x14ac:dyDescent="0.2">
      <c r="A1521" s="1">
        <v>7</v>
      </c>
      <c r="C1521" s="1" t="e">
        <v>#REF!</v>
      </c>
      <c r="D1521" s="1" t="s">
        <v>66</v>
      </c>
      <c r="F1521" s="17">
        <v>8190450</v>
      </c>
    </row>
    <row r="1522" spans="1:6" ht="16" x14ac:dyDescent="0.2">
      <c r="A1522" s="1">
        <v>7</v>
      </c>
      <c r="C1522" s="1" t="e">
        <v>#REF!</v>
      </c>
      <c r="D1522" s="1" t="s">
        <v>74</v>
      </c>
      <c r="F1522" s="17">
        <v>59220000</v>
      </c>
    </row>
    <row r="1523" spans="1:6" ht="16" x14ac:dyDescent="0.2">
      <c r="A1523" s="1">
        <v>7</v>
      </c>
      <c r="C1523" s="1" t="e">
        <v>#REF!</v>
      </c>
      <c r="D1523" s="1" t="s">
        <v>77</v>
      </c>
      <c r="F1523" s="17">
        <v>25000000</v>
      </c>
    </row>
    <row r="1524" spans="1:6" ht="16" x14ac:dyDescent="0.2">
      <c r="A1524" s="1">
        <v>7</v>
      </c>
      <c r="C1524" s="1" t="e">
        <v>#REF!</v>
      </c>
      <c r="D1524" s="1" t="s">
        <v>65</v>
      </c>
      <c r="F1524" s="17">
        <v>154844263</v>
      </c>
    </row>
    <row r="1525" spans="1:6" ht="16" x14ac:dyDescent="0.2">
      <c r="A1525" s="1">
        <v>7</v>
      </c>
      <c r="C1525" s="1" t="e">
        <v>#REF!</v>
      </c>
      <c r="D1525" s="1" t="s">
        <v>73</v>
      </c>
      <c r="F1525" s="17">
        <v>17120000</v>
      </c>
    </row>
    <row r="1526" spans="1:6" ht="16" x14ac:dyDescent="0.2">
      <c r="A1526" s="1">
        <v>7</v>
      </c>
      <c r="C1526" s="1" t="e">
        <v>#REF!</v>
      </c>
      <c r="D1526" s="1" t="s">
        <v>48</v>
      </c>
      <c r="F1526" s="17">
        <v>3243000000</v>
      </c>
    </row>
    <row r="1527" spans="1:6" ht="16" x14ac:dyDescent="0.2">
      <c r="A1527" s="1">
        <v>7</v>
      </c>
      <c r="C1527" s="1" t="e">
        <v>#REF!</v>
      </c>
      <c r="D1527" s="1" t="s">
        <v>76</v>
      </c>
      <c r="F1527" s="17">
        <v>15667563145</v>
      </c>
    </row>
    <row r="1528" spans="1:6" ht="16" x14ac:dyDescent="0.2">
      <c r="A1528" s="1">
        <v>7</v>
      </c>
      <c r="C1528" s="1" t="e">
        <v>#REF!</v>
      </c>
      <c r="D1528" s="1" t="s">
        <v>74</v>
      </c>
      <c r="F1528" s="17">
        <v>56660000</v>
      </c>
    </row>
    <row r="1529" spans="1:6" ht="16" x14ac:dyDescent="0.2">
      <c r="A1529" s="1">
        <v>7</v>
      </c>
      <c r="C1529" s="1" t="e">
        <v>#REF!</v>
      </c>
      <c r="D1529" s="1" t="s">
        <v>54</v>
      </c>
      <c r="F1529" s="17">
        <v>228400000</v>
      </c>
    </row>
    <row r="1530" spans="1:6" ht="16" x14ac:dyDescent="0.2">
      <c r="A1530" s="1">
        <v>7</v>
      </c>
      <c r="C1530" s="1" t="e">
        <v>#REF!</v>
      </c>
      <c r="D1530" s="1" t="s">
        <v>53</v>
      </c>
      <c r="F1530" s="17">
        <v>3117791512</v>
      </c>
    </row>
    <row r="1531" spans="1:6" ht="16" x14ac:dyDescent="0.2">
      <c r="A1531" s="1">
        <v>7</v>
      </c>
      <c r="C1531" s="1" t="e">
        <v>#REF!</v>
      </c>
      <c r="D1531" s="1" t="s">
        <v>46</v>
      </c>
      <c r="F1531" s="17">
        <v>3353640000</v>
      </c>
    </row>
    <row r="1532" spans="1:6" ht="16" x14ac:dyDescent="0.2">
      <c r="A1532" s="1">
        <v>7</v>
      </c>
      <c r="C1532" s="1" t="e">
        <v>#REF!</v>
      </c>
      <c r="D1532" s="1" t="s">
        <v>75</v>
      </c>
      <c r="F1532" s="17">
        <v>71400000</v>
      </c>
    </row>
    <row r="1533" spans="1:6" ht="16" x14ac:dyDescent="0.2">
      <c r="A1533" s="1">
        <v>7</v>
      </c>
      <c r="C1533" s="1" t="e">
        <v>#REF!</v>
      </c>
      <c r="D1533" s="1" t="s">
        <v>66</v>
      </c>
      <c r="F1533" s="17">
        <v>9847370</v>
      </c>
    </row>
    <row r="1534" spans="1:6" ht="16" x14ac:dyDescent="0.2">
      <c r="A1534" s="1">
        <v>7</v>
      </c>
      <c r="C1534" s="1" t="e">
        <v>#REF!</v>
      </c>
      <c r="D1534" s="1" t="s">
        <v>51</v>
      </c>
      <c r="F1534" s="17">
        <v>4805640000</v>
      </c>
    </row>
    <row r="1535" spans="1:6" ht="16" x14ac:dyDescent="0.2">
      <c r="A1535" s="1">
        <v>7</v>
      </c>
      <c r="C1535" s="1" t="e">
        <v>#REF!</v>
      </c>
      <c r="D1535" s="1" t="s">
        <v>78</v>
      </c>
      <c r="F1535" s="17">
        <v>584220000</v>
      </c>
    </row>
    <row r="1536" spans="1:6" ht="16" x14ac:dyDescent="0.2">
      <c r="A1536" s="1">
        <v>7</v>
      </c>
      <c r="C1536" s="1" t="e">
        <v>#REF!</v>
      </c>
      <c r="D1536" s="1" t="s">
        <v>75</v>
      </c>
      <c r="F1536" s="17">
        <v>42000000</v>
      </c>
    </row>
    <row r="1537" spans="1:6" ht="16" x14ac:dyDescent="0.2">
      <c r="A1537" s="1">
        <v>7</v>
      </c>
      <c r="C1537" s="1" t="e">
        <v>#REF!</v>
      </c>
      <c r="D1537" s="1" t="s">
        <v>66</v>
      </c>
      <c r="F1537" s="17">
        <v>11874890</v>
      </c>
    </row>
    <row r="1538" spans="1:6" ht="16" x14ac:dyDescent="0.2">
      <c r="A1538" s="1">
        <v>7</v>
      </c>
      <c r="C1538" s="1" t="e">
        <v>#REF!</v>
      </c>
      <c r="D1538" s="1" t="s">
        <v>48</v>
      </c>
      <c r="F1538" s="17">
        <v>4600000000</v>
      </c>
    </row>
    <row r="1539" spans="1:6" ht="16" x14ac:dyDescent="0.2">
      <c r="A1539" s="1">
        <v>7</v>
      </c>
      <c r="C1539" s="1" t="e">
        <v>#REF!</v>
      </c>
      <c r="D1539" s="1" t="s">
        <v>53</v>
      </c>
      <c r="F1539" s="17">
        <v>3788810482</v>
      </c>
    </row>
    <row r="1540" spans="1:6" ht="16" x14ac:dyDescent="0.2">
      <c r="A1540" s="1">
        <v>7</v>
      </c>
      <c r="C1540" s="1" t="e">
        <v>#REF!</v>
      </c>
      <c r="D1540" s="1" t="s">
        <v>77</v>
      </c>
      <c r="F1540" s="17">
        <v>27000000</v>
      </c>
    </row>
    <row r="1541" spans="1:6" ht="16" x14ac:dyDescent="0.2">
      <c r="A1541" s="1">
        <v>7</v>
      </c>
      <c r="C1541" s="1" t="e">
        <v>#REF!</v>
      </c>
      <c r="D1541" s="1" t="s">
        <v>51</v>
      </c>
      <c r="F1541" s="17">
        <v>5769270000</v>
      </c>
    </row>
    <row r="1542" spans="1:6" ht="16" x14ac:dyDescent="0.2">
      <c r="A1542" s="1">
        <v>7</v>
      </c>
      <c r="C1542" s="1" t="e">
        <v>#REF!</v>
      </c>
      <c r="D1542" s="1" t="s">
        <v>46</v>
      </c>
      <c r="F1542" s="17">
        <v>7723180000</v>
      </c>
    </row>
    <row r="1543" spans="1:6" ht="16" x14ac:dyDescent="0.2">
      <c r="A1543" s="1">
        <v>7</v>
      </c>
      <c r="C1543" s="1" t="e">
        <v>#REF!</v>
      </c>
      <c r="D1543" s="1" t="s">
        <v>74</v>
      </c>
      <c r="F1543" s="17">
        <v>96950000</v>
      </c>
    </row>
    <row r="1544" spans="1:6" ht="16" x14ac:dyDescent="0.2">
      <c r="A1544" s="1">
        <v>7</v>
      </c>
      <c r="C1544" s="1" t="e">
        <v>#REF!</v>
      </c>
      <c r="D1544" s="1" t="s">
        <v>78</v>
      </c>
      <c r="F1544" s="17">
        <v>1555780000</v>
      </c>
    </row>
    <row r="1545" spans="1:6" ht="16" x14ac:dyDescent="0.2">
      <c r="A1545" s="1">
        <v>7</v>
      </c>
      <c r="C1545" s="1" t="e">
        <v>#REF!</v>
      </c>
      <c r="D1545" s="1" t="s">
        <v>76</v>
      </c>
      <c r="F1545" s="17">
        <v>24000235637</v>
      </c>
    </row>
    <row r="1546" spans="1:6" ht="16" x14ac:dyDescent="0.2">
      <c r="A1546" s="1">
        <v>7</v>
      </c>
      <c r="C1546" s="1" t="e">
        <v>#REF!</v>
      </c>
      <c r="D1546" s="1" t="s">
        <v>54</v>
      </c>
      <c r="F1546" s="17">
        <v>173250000</v>
      </c>
    </row>
    <row r="1547" spans="1:6" ht="16" x14ac:dyDescent="0.2">
      <c r="A1547" s="1">
        <v>7</v>
      </c>
      <c r="C1547" s="1" t="e">
        <v>#REF!</v>
      </c>
      <c r="D1547" s="1" t="s">
        <v>73</v>
      </c>
      <c r="F1547" s="17">
        <v>17120000</v>
      </c>
    </row>
    <row r="1548" spans="1:6" ht="16" x14ac:dyDescent="0.2">
      <c r="A1548" s="1">
        <v>7</v>
      </c>
      <c r="C1548" s="1" t="e">
        <v>#REF!</v>
      </c>
      <c r="D1548" s="1" t="s">
        <v>65</v>
      </c>
      <c r="F1548" s="17">
        <v>195000265</v>
      </c>
    </row>
    <row r="1549" spans="1:6" ht="16" x14ac:dyDescent="0.2">
      <c r="A1549" s="1">
        <v>7</v>
      </c>
      <c r="C1549" s="1" t="e">
        <v>#REF!</v>
      </c>
      <c r="D1549" s="1" t="s">
        <v>78</v>
      </c>
      <c r="F1549" s="17">
        <v>1701670000</v>
      </c>
    </row>
    <row r="1550" spans="1:6" ht="16" x14ac:dyDescent="0.2">
      <c r="A1550" s="1">
        <v>7</v>
      </c>
      <c r="C1550" s="1" t="e">
        <v>#REF!</v>
      </c>
      <c r="D1550" s="1" t="s">
        <v>76</v>
      </c>
      <c r="F1550" s="17">
        <v>19524327215</v>
      </c>
    </row>
    <row r="1551" spans="1:6" ht="16" x14ac:dyDescent="0.2">
      <c r="A1551" s="1">
        <v>7</v>
      </c>
      <c r="C1551" s="1" t="e">
        <v>#REF!</v>
      </c>
      <c r="D1551" s="1" t="s">
        <v>53</v>
      </c>
      <c r="F1551" s="17">
        <v>2235724225</v>
      </c>
    </row>
    <row r="1552" spans="1:6" ht="16" x14ac:dyDescent="0.2">
      <c r="A1552" s="1">
        <v>7</v>
      </c>
      <c r="C1552" s="1" t="e">
        <v>#REF!</v>
      </c>
      <c r="D1552" s="1" t="s">
        <v>51</v>
      </c>
      <c r="F1552" s="17">
        <v>4380180000</v>
      </c>
    </row>
    <row r="1553" spans="1:6" ht="16" x14ac:dyDescent="0.2">
      <c r="A1553" s="1">
        <v>7</v>
      </c>
      <c r="C1553" s="1" t="e">
        <v>#REF!</v>
      </c>
      <c r="D1553" s="1" t="s">
        <v>77</v>
      </c>
      <c r="F1553" s="17">
        <v>51000000</v>
      </c>
    </row>
    <row r="1554" spans="1:6" ht="16" x14ac:dyDescent="0.2">
      <c r="A1554" s="1">
        <v>7</v>
      </c>
      <c r="C1554" s="1" t="e">
        <v>#REF!</v>
      </c>
      <c r="D1554" s="1" t="s">
        <v>65</v>
      </c>
      <c r="F1554" s="17">
        <v>159139090</v>
      </c>
    </row>
    <row r="1555" spans="1:6" ht="16" x14ac:dyDescent="0.2">
      <c r="A1555" s="1">
        <v>7</v>
      </c>
      <c r="C1555" s="1" t="e">
        <v>#REF!</v>
      </c>
      <c r="D1555" s="1" t="s">
        <v>66</v>
      </c>
      <c r="F1555" s="17">
        <v>9143900</v>
      </c>
    </row>
    <row r="1556" spans="1:6" ht="16" x14ac:dyDescent="0.2">
      <c r="A1556" s="1">
        <v>7</v>
      </c>
      <c r="C1556" s="1" t="e">
        <v>#REF!</v>
      </c>
      <c r="D1556" s="1" t="s">
        <v>48</v>
      </c>
      <c r="F1556" s="17">
        <v>3822500000</v>
      </c>
    </row>
    <row r="1557" spans="1:6" ht="16" x14ac:dyDescent="0.2">
      <c r="A1557" s="1">
        <v>7</v>
      </c>
      <c r="C1557" s="1" t="e">
        <v>#REF!</v>
      </c>
      <c r="D1557" s="1" t="s">
        <v>46</v>
      </c>
      <c r="F1557" s="17">
        <v>6972950000</v>
      </c>
    </row>
    <row r="1558" spans="1:6" ht="16" x14ac:dyDescent="0.2">
      <c r="A1558" s="1">
        <v>7</v>
      </c>
      <c r="C1558" s="1" t="e">
        <v>#REF!</v>
      </c>
      <c r="D1558" s="1" t="s">
        <v>73</v>
      </c>
      <c r="F1558" s="17">
        <v>0</v>
      </c>
    </row>
    <row r="1559" spans="1:6" ht="16" x14ac:dyDescent="0.2">
      <c r="A1559" s="1">
        <v>7</v>
      </c>
      <c r="C1559" s="1" t="e">
        <v>#REF!</v>
      </c>
      <c r="D1559" s="1" t="s">
        <v>74</v>
      </c>
      <c r="F1559" s="17">
        <v>49220000</v>
      </c>
    </row>
    <row r="1560" spans="1:6" ht="16" x14ac:dyDescent="0.2">
      <c r="A1560" s="1">
        <v>7</v>
      </c>
      <c r="C1560" s="1" t="e">
        <v>#REF!</v>
      </c>
      <c r="D1560" s="1" t="s">
        <v>54</v>
      </c>
      <c r="F1560" s="17">
        <v>109200000</v>
      </c>
    </row>
    <row r="1561" spans="1:6" ht="16" x14ac:dyDescent="0.2">
      <c r="A1561" s="1">
        <v>7</v>
      </c>
      <c r="C1561" s="1" t="e">
        <v>#REF!</v>
      </c>
      <c r="D1561" s="1" t="s">
        <v>75</v>
      </c>
      <c r="F1561" s="17">
        <v>33600000</v>
      </c>
    </row>
    <row r="1562" spans="1:6" ht="16" x14ac:dyDescent="0.2">
      <c r="A1562" s="1">
        <v>7</v>
      </c>
      <c r="C1562" s="1" t="e">
        <v>#REF!</v>
      </c>
      <c r="D1562" s="1" t="s">
        <v>76</v>
      </c>
      <c r="F1562" s="17">
        <v>16050491390</v>
      </c>
    </row>
    <row r="1563" spans="1:6" ht="16" x14ac:dyDescent="0.2">
      <c r="A1563" s="1">
        <v>7</v>
      </c>
      <c r="C1563" s="1" t="e">
        <v>#REF!</v>
      </c>
      <c r="D1563" s="1" t="s">
        <v>66</v>
      </c>
      <c r="F1563" s="17">
        <v>10519900</v>
      </c>
    </row>
    <row r="1564" spans="1:6" ht="16" x14ac:dyDescent="0.2">
      <c r="A1564" s="1">
        <v>7</v>
      </c>
      <c r="C1564" s="1" t="e">
        <v>#REF!</v>
      </c>
      <c r="D1564" s="1" t="s">
        <v>46</v>
      </c>
      <c r="F1564" s="17">
        <v>6081390000</v>
      </c>
    </row>
    <row r="1565" spans="1:6" ht="16" x14ac:dyDescent="0.2">
      <c r="A1565" s="1">
        <v>7</v>
      </c>
      <c r="C1565" s="1" t="e">
        <v>#REF!</v>
      </c>
      <c r="D1565" s="1" t="s">
        <v>54</v>
      </c>
      <c r="F1565" s="17">
        <v>176850000</v>
      </c>
    </row>
    <row r="1566" spans="1:6" ht="16" x14ac:dyDescent="0.2">
      <c r="A1566" s="1">
        <v>7</v>
      </c>
      <c r="C1566" s="1" t="e">
        <v>#REF!</v>
      </c>
      <c r="D1566" s="1" t="s">
        <v>73</v>
      </c>
      <c r="F1566" s="17">
        <v>0</v>
      </c>
    </row>
    <row r="1567" spans="1:6" ht="16" x14ac:dyDescent="0.2">
      <c r="A1567" s="1">
        <v>7</v>
      </c>
      <c r="C1567" s="1" t="e">
        <v>#REF!</v>
      </c>
      <c r="D1567" s="1" t="s">
        <v>78</v>
      </c>
      <c r="F1567" s="17">
        <v>289970000</v>
      </c>
    </row>
    <row r="1568" spans="1:6" ht="16" x14ac:dyDescent="0.2">
      <c r="A1568" s="1">
        <v>7</v>
      </c>
      <c r="C1568" s="1" t="e">
        <v>#REF!</v>
      </c>
      <c r="D1568" s="1" t="s">
        <v>75</v>
      </c>
      <c r="F1568" s="17">
        <v>42000000</v>
      </c>
    </row>
    <row r="1569" spans="1:6" ht="16" x14ac:dyDescent="0.2">
      <c r="A1569" s="1">
        <v>7</v>
      </c>
      <c r="C1569" s="1" t="e">
        <v>#REF!</v>
      </c>
      <c r="D1569" s="1" t="s">
        <v>77</v>
      </c>
      <c r="F1569" s="17">
        <v>62000000</v>
      </c>
    </row>
    <row r="1570" spans="1:6" ht="16" x14ac:dyDescent="0.2">
      <c r="A1570" s="1">
        <v>7</v>
      </c>
      <c r="C1570" s="1" t="e">
        <v>#REF!</v>
      </c>
      <c r="D1570" s="1" t="s">
        <v>65</v>
      </c>
      <c r="F1570" s="17">
        <v>134465072</v>
      </c>
    </row>
    <row r="1571" spans="1:6" ht="16" x14ac:dyDescent="0.2">
      <c r="A1571" s="1">
        <v>7</v>
      </c>
      <c r="C1571" s="1" t="e">
        <v>#REF!</v>
      </c>
      <c r="D1571" s="1" t="s">
        <v>74</v>
      </c>
      <c r="F1571" s="17">
        <v>76270000</v>
      </c>
    </row>
    <row r="1572" spans="1:6" ht="16" x14ac:dyDescent="0.2">
      <c r="A1572" s="1">
        <v>7</v>
      </c>
      <c r="C1572" s="1" t="e">
        <v>#REF!</v>
      </c>
      <c r="D1572" s="1" t="s">
        <v>48</v>
      </c>
      <c r="F1572" s="17">
        <v>3382000000</v>
      </c>
    </row>
    <row r="1573" spans="1:6" ht="16" x14ac:dyDescent="0.2">
      <c r="A1573" s="1">
        <v>7</v>
      </c>
      <c r="C1573" s="1" t="e">
        <v>#REF!</v>
      </c>
      <c r="D1573" s="1" t="s">
        <v>53</v>
      </c>
      <c r="F1573" s="17">
        <v>2077816418</v>
      </c>
    </row>
    <row r="1574" spans="1:6" ht="16" x14ac:dyDescent="0.2">
      <c r="A1574" s="1">
        <v>7</v>
      </c>
      <c r="C1574" s="1" t="e">
        <v>#REF!</v>
      </c>
      <c r="D1574" s="1" t="s">
        <v>51</v>
      </c>
      <c r="F1574" s="17">
        <v>3717210000</v>
      </c>
    </row>
  </sheetData>
  <mergeCells count="20">
    <mergeCell ref="AE3:AE4"/>
    <mergeCell ref="AF3:AF4"/>
    <mergeCell ref="Y3:Y4"/>
    <mergeCell ref="Z3:Z4"/>
    <mergeCell ref="AA3:AA4"/>
    <mergeCell ref="AB3:AB4"/>
    <mergeCell ref="AC3:AC4"/>
    <mergeCell ref="AD3:AD4"/>
    <mergeCell ref="S3:S4"/>
    <mergeCell ref="T3:T4"/>
    <mergeCell ref="U3:U4"/>
    <mergeCell ref="V3:V4"/>
    <mergeCell ref="W3:W4"/>
    <mergeCell ref="X3:X4"/>
    <mergeCell ref="M3:M4"/>
    <mergeCell ref="N3:N4"/>
    <mergeCell ref="O3:O4"/>
    <mergeCell ref="P3:P4"/>
    <mergeCell ref="Q3:Q4"/>
    <mergeCell ref="R3:R4"/>
  </mergeCells>
  <conditionalFormatting sqref="AL6:AL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6:AO16 AO18:AO19 AO21:AO22 AO24:AO2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{FE744539-E43C-6441-9961-8D633F78E70D}</x14:id>
        </ext>
      </extLst>
    </cfRule>
  </conditionalFormatting>
  <conditionalFormatting sqref="AS6:AT16 AS18:AT19 AS21:AT22 AS24:AT2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{A884FFEB-A969-8D4A-ACD7-32B2AC4AB1E4}</x14:id>
        </ext>
      </extLst>
    </cfRule>
  </conditionalFormatting>
  <conditionalFormatting sqref="AY6:AY16 AY18:AY19 AY21:AY22 AY24:AY2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{0CC1208F-17DC-FF4D-B0EF-143857E8595A}</x14:id>
        </ext>
      </extLst>
    </cfRule>
  </conditionalFormatting>
  <pageMargins left="0.7" right="0.7" top="0.75" bottom="0.75" header="0.3" footer="0.3"/>
  <pageSetup orientation="portrait" r:id="rId1"/>
  <headerFooter>
    <oddHeader>&amp;L&amp;"Calibri"&amp;10&amp;KFF0000 Cake Information Classification: Internal Only&amp;1#_x000D_&amp;C&amp;G</oddHeader>
    <oddFooter>&amp;C_x000D_&amp;1#&amp;"Calibri"&amp;10&amp;KFF0000 Cake Information Classification: Internal Only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744539-E43C-6441-9961-8D633F78E7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AO6:AO16 AO18:AO19 AO21:AO22 AO24:AO28</xm:sqref>
        </x14:conditionalFormatting>
        <x14:conditionalFormatting xmlns:xm="http://schemas.microsoft.com/office/excel/2006/main">
          <x14:cfRule type="dataBar" id="{A884FFEB-A969-8D4A-ACD7-32B2AC4AB1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AS6:AT16 AS18:AT19 AS21:AT22 AS24:AT28</xm:sqref>
        </x14:conditionalFormatting>
        <x14:conditionalFormatting xmlns:xm="http://schemas.microsoft.com/office/excel/2006/main">
          <x14:cfRule type="dataBar" id="{0CC1208F-17DC-FF4D-B0EF-143857E859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AY6:AY16 AY18:AY19 AY21:AY22 AY24:AY28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A8E7-3B6A-2F4D-9011-85E980B3A2A8}">
  <sheetPr>
    <tabColor rgb="FFFF3399"/>
  </sheetPr>
  <dimension ref="A1:X43"/>
  <sheetViews>
    <sheetView showGridLines="0" zoomScaleNormal="100" workbookViewId="0">
      <pane xSplit="1" ySplit="3" topLeftCell="K23" activePane="bottomRight" state="frozen"/>
      <selection activeCell="A25" sqref="A25"/>
      <selection pane="topRight" activeCell="A25" sqref="A25"/>
      <selection pane="bottomLeft" activeCell="A25" sqref="A25"/>
      <selection pane="bottomRight" activeCell="A25" sqref="A25"/>
    </sheetView>
  </sheetViews>
  <sheetFormatPr baseColWidth="10" defaultColWidth="8.6640625" defaultRowHeight="16" x14ac:dyDescent="0.2"/>
  <cols>
    <col min="1" max="1" width="23.1640625" customWidth="1"/>
    <col min="2" max="10" width="14.1640625" hidden="1" customWidth="1"/>
    <col min="11" max="12" width="14.1640625" customWidth="1"/>
    <col min="13" max="13" width="16.6640625" customWidth="1"/>
    <col min="14" max="17" width="15.1640625" customWidth="1"/>
    <col min="18" max="18" width="15.1640625" hidden="1" customWidth="1"/>
    <col min="19" max="22" width="15.1640625" customWidth="1"/>
    <col min="23" max="24" width="16.1640625" customWidth="1"/>
  </cols>
  <sheetData>
    <row r="1" spans="1:24" x14ac:dyDescent="0.2">
      <c r="A1" s="1"/>
      <c r="B1" s="157">
        <v>1</v>
      </c>
      <c r="C1" s="157">
        <v>2</v>
      </c>
      <c r="D1" s="157">
        <v>3</v>
      </c>
      <c r="E1" s="157">
        <v>4</v>
      </c>
      <c r="F1" s="157">
        <v>5</v>
      </c>
      <c r="G1" s="157">
        <v>6</v>
      </c>
      <c r="H1" s="157">
        <v>7</v>
      </c>
      <c r="I1" s="157">
        <v>8</v>
      </c>
      <c r="J1" s="157">
        <v>9</v>
      </c>
      <c r="K1" s="229">
        <v>10</v>
      </c>
      <c r="L1" s="229">
        <v>11</v>
      </c>
      <c r="M1" s="14">
        <v>12</v>
      </c>
      <c r="O1">
        <v>1</v>
      </c>
      <c r="P1">
        <v>2</v>
      </c>
      <c r="Q1">
        <v>3</v>
      </c>
      <c r="S1">
        <v>4</v>
      </c>
      <c r="T1">
        <v>5</v>
      </c>
    </row>
    <row r="2" spans="1:24" ht="18" customHeight="1" x14ac:dyDescent="0.2">
      <c r="A2" s="230" t="s">
        <v>0</v>
      </c>
      <c r="B2" s="231">
        <v>45682</v>
      </c>
      <c r="C2" s="231">
        <v>45713</v>
      </c>
      <c r="D2" s="231">
        <v>45741</v>
      </c>
      <c r="E2" s="232" t="s">
        <v>4</v>
      </c>
      <c r="F2" s="232" t="s">
        <v>5</v>
      </c>
      <c r="G2" s="232" t="s">
        <v>6</v>
      </c>
      <c r="H2" s="232" t="s">
        <v>7</v>
      </c>
      <c r="I2" s="232" t="s">
        <v>8</v>
      </c>
      <c r="J2" s="232" t="s">
        <v>9</v>
      </c>
      <c r="K2" s="232" t="s">
        <v>10</v>
      </c>
      <c r="L2" s="232" t="s">
        <v>11</v>
      </c>
      <c r="M2" s="232" t="s">
        <v>79</v>
      </c>
      <c r="N2" s="232" t="s">
        <v>80</v>
      </c>
      <c r="O2" s="232" t="s">
        <v>14</v>
      </c>
      <c r="P2" s="232" t="s">
        <v>15</v>
      </c>
      <c r="Q2" s="232">
        <v>46082</v>
      </c>
      <c r="R2" s="233" t="s">
        <v>81</v>
      </c>
      <c r="S2" s="232" t="s">
        <v>82</v>
      </c>
      <c r="T2" s="232" t="s">
        <v>83</v>
      </c>
      <c r="U2" s="233" t="s">
        <v>32</v>
      </c>
      <c r="V2" s="233" t="s">
        <v>33</v>
      </c>
      <c r="W2" s="233" t="s">
        <v>34</v>
      </c>
      <c r="X2" s="233" t="s">
        <v>35</v>
      </c>
    </row>
    <row r="3" spans="1:24" x14ac:dyDescent="0.2">
      <c r="A3" s="230" t="s">
        <v>20</v>
      </c>
      <c r="B3" s="231"/>
      <c r="C3" s="231"/>
      <c r="D3" s="231"/>
      <c r="E3" s="232"/>
      <c r="F3" s="232"/>
      <c r="G3" s="232"/>
      <c r="H3" s="232"/>
      <c r="I3" s="232"/>
      <c r="J3" s="231"/>
      <c r="K3" s="231"/>
      <c r="L3" s="231"/>
      <c r="M3" s="231"/>
      <c r="N3" s="231" t="s">
        <v>84</v>
      </c>
      <c r="O3" s="232"/>
      <c r="P3" s="232"/>
      <c r="Q3" s="232"/>
      <c r="R3" s="233"/>
      <c r="S3" s="232"/>
      <c r="T3" s="232"/>
      <c r="U3" s="233"/>
      <c r="V3" s="233"/>
      <c r="W3" s="233"/>
      <c r="X3" s="233"/>
    </row>
    <row r="4" spans="1:24" x14ac:dyDescent="0.2">
      <c r="A4" s="230" t="s">
        <v>65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5"/>
      <c r="S4" s="235"/>
      <c r="T4" s="235"/>
      <c r="U4" s="235"/>
      <c r="V4" s="235"/>
      <c r="W4" s="235"/>
      <c r="X4" s="235"/>
    </row>
    <row r="5" spans="1:24" x14ac:dyDescent="0.2">
      <c r="A5" s="236" t="s">
        <v>85</v>
      </c>
      <c r="B5" s="237">
        <v>2796</v>
      </c>
      <c r="C5" s="237">
        <v>2488</v>
      </c>
      <c r="D5" s="237">
        <v>3537</v>
      </c>
      <c r="E5" s="237">
        <v>3277</v>
      </c>
      <c r="F5" s="237">
        <v>2415</v>
      </c>
      <c r="G5" s="237">
        <v>3055</v>
      </c>
      <c r="H5" s="237">
        <v>1904</v>
      </c>
      <c r="I5" s="237">
        <v>1887</v>
      </c>
      <c r="J5" s="237">
        <v>2031</v>
      </c>
      <c r="K5" s="237">
        <v>2087</v>
      </c>
      <c r="L5" s="237">
        <v>1441</v>
      </c>
      <c r="M5" s="237">
        <v>1429</v>
      </c>
      <c r="N5" s="237">
        <v>28347</v>
      </c>
      <c r="O5" s="237">
        <v>1557</v>
      </c>
      <c r="P5" s="237">
        <v>1097</v>
      </c>
      <c r="Q5" s="237">
        <v>1078</v>
      </c>
      <c r="R5" s="238" t="e">
        <v>#REF!</v>
      </c>
      <c r="S5" s="237">
        <v>957</v>
      </c>
      <c r="T5" s="237">
        <v>367</v>
      </c>
      <c r="U5" s="238">
        <v>1137.7</v>
      </c>
      <c r="V5" s="238">
        <v>1251.4700000000003</v>
      </c>
      <c r="W5" s="238">
        <v>1251.4700000000003</v>
      </c>
      <c r="X5" s="238">
        <v>1376.6170000000004</v>
      </c>
    </row>
    <row r="6" spans="1:24" x14ac:dyDescent="0.2">
      <c r="A6" s="236" t="s">
        <v>86</v>
      </c>
      <c r="B6" s="237">
        <v>47438</v>
      </c>
      <c r="C6" s="237">
        <v>49926</v>
      </c>
      <c r="D6" s="237">
        <v>53463</v>
      </c>
      <c r="E6" s="237">
        <v>56740</v>
      </c>
      <c r="F6" s="237">
        <v>59155</v>
      </c>
      <c r="G6" s="237">
        <v>62210</v>
      </c>
      <c r="H6" s="237">
        <v>64114</v>
      </c>
      <c r="I6" s="237">
        <v>66001</v>
      </c>
      <c r="J6" s="237">
        <v>68032</v>
      </c>
      <c r="K6" s="237">
        <v>70119</v>
      </c>
      <c r="L6" s="237">
        <v>71560</v>
      </c>
      <c r="M6" s="237">
        <v>72989</v>
      </c>
      <c r="N6" s="237">
        <v>72989</v>
      </c>
      <c r="O6" s="237">
        <v>74546</v>
      </c>
      <c r="P6" s="237">
        <v>75643</v>
      </c>
      <c r="Q6" s="237">
        <v>76721</v>
      </c>
      <c r="R6" s="239" t="e">
        <v>#REF!</v>
      </c>
      <c r="S6" s="237">
        <v>77678</v>
      </c>
      <c r="T6" s="237">
        <v>78045</v>
      </c>
      <c r="U6" s="239">
        <v>78815.7</v>
      </c>
      <c r="V6" s="239">
        <v>78929.47</v>
      </c>
      <c r="W6" s="239">
        <v>80067.17</v>
      </c>
      <c r="X6" s="239">
        <v>81443.786999999997</v>
      </c>
    </row>
    <row r="7" spans="1:24" x14ac:dyDescent="0.2">
      <c r="A7" s="236" t="s">
        <v>87</v>
      </c>
      <c r="B7" s="237">
        <v>11404</v>
      </c>
      <c r="C7" s="237">
        <v>11447</v>
      </c>
      <c r="D7" s="237">
        <v>12560</v>
      </c>
      <c r="E7" s="237">
        <v>12561</v>
      </c>
      <c r="F7" s="237">
        <v>12486</v>
      </c>
      <c r="G7" s="237">
        <v>12498</v>
      </c>
      <c r="H7" s="237">
        <v>12437</v>
      </c>
      <c r="I7" s="237">
        <v>11083</v>
      </c>
      <c r="J7" s="237">
        <v>10452</v>
      </c>
      <c r="K7" s="237">
        <v>9956</v>
      </c>
      <c r="L7" s="237">
        <v>8508</v>
      </c>
      <c r="M7" s="237">
        <v>8257</v>
      </c>
      <c r="N7" s="237">
        <v>13548.595873757835</v>
      </c>
      <c r="O7" s="237">
        <v>7822</v>
      </c>
      <c r="P7" s="237">
        <v>6576</v>
      </c>
      <c r="Q7" s="237">
        <v>7095</v>
      </c>
      <c r="R7" s="238" t="e">
        <v>#REF!</v>
      </c>
      <c r="S7" s="237">
        <v>6896</v>
      </c>
      <c r="T7" s="237">
        <v>3864</v>
      </c>
      <c r="U7" s="238">
        <v>7093.4129999999996</v>
      </c>
      <c r="V7" s="238">
        <v>7103.6522999999997</v>
      </c>
      <c r="W7" s="239">
        <v>7206.0452999999998</v>
      </c>
      <c r="X7" s="239">
        <v>7329.9408299999996</v>
      </c>
    </row>
    <row r="8" spans="1:24" x14ac:dyDescent="0.2">
      <c r="A8" s="236" t="s">
        <v>88</v>
      </c>
      <c r="B8" s="240">
        <v>0.24039799317003246</v>
      </c>
      <c r="C8" s="240">
        <v>0.22927933341345191</v>
      </c>
      <c r="D8" s="240">
        <v>0.23492882928380376</v>
      </c>
      <c r="E8" s="240">
        <v>0.22137821642580191</v>
      </c>
      <c r="F8" s="240">
        <v>0.2110726058659454</v>
      </c>
      <c r="G8" s="240">
        <v>0.20090017682044686</v>
      </c>
      <c r="H8" s="240">
        <v>0.19398259350531866</v>
      </c>
      <c r="I8" s="240">
        <v>0.16792169815608854</v>
      </c>
      <c r="J8" s="240">
        <v>0.15363358419567263</v>
      </c>
      <c r="K8" s="240">
        <v>0.1419871932001312</v>
      </c>
      <c r="L8" s="240">
        <v>0.11889323644494131</v>
      </c>
      <c r="M8" s="240">
        <v>0.11312663552042089</v>
      </c>
      <c r="N8" s="240">
        <v>0.18562517466683795</v>
      </c>
      <c r="O8" s="240">
        <v>0.10492850052316691</v>
      </c>
      <c r="P8" s="240">
        <v>8.6934680010047199E-2</v>
      </c>
      <c r="Q8" s="240">
        <v>9.2477939547190469E-2</v>
      </c>
      <c r="R8" s="241">
        <v>0.09</v>
      </c>
      <c r="S8" s="240">
        <v>8.8776745024331208E-2</v>
      </c>
      <c r="T8" s="240">
        <v>4.9509898135690948E-2</v>
      </c>
      <c r="U8" s="241">
        <v>0.09</v>
      </c>
      <c r="V8" s="241">
        <v>0.09</v>
      </c>
      <c r="W8" s="241">
        <v>0.09</v>
      </c>
      <c r="X8" s="241">
        <v>0.09</v>
      </c>
    </row>
    <row r="9" spans="1:24" x14ac:dyDescent="0.2">
      <c r="A9" s="236" t="s">
        <v>89</v>
      </c>
      <c r="B9" s="237">
        <v>10711.863101999999</v>
      </c>
      <c r="C9" s="237">
        <v>11016.265814</v>
      </c>
      <c r="D9" s="237">
        <v>12882.109778</v>
      </c>
      <c r="E9" s="237">
        <v>12089.502568</v>
      </c>
      <c r="F9" s="237">
        <v>11964.595934000001</v>
      </c>
      <c r="G9" s="237">
        <v>12255.20017</v>
      </c>
      <c r="H9" s="237">
        <v>11824.461337000001</v>
      </c>
      <c r="I9" s="237">
        <v>8884.6721870000001</v>
      </c>
      <c r="J9" s="237">
        <v>8649.2865650000003</v>
      </c>
      <c r="K9" s="237">
        <v>8979.5822700000008</v>
      </c>
      <c r="L9" s="237">
        <v>8056.6490119999999</v>
      </c>
      <c r="M9" s="237">
        <v>7895.869479</v>
      </c>
      <c r="N9" s="237">
        <v>125210.05821599999</v>
      </c>
      <c r="O9" s="237">
        <v>7773.8982159999996</v>
      </c>
      <c r="P9" s="237">
        <v>6381.4057789999997</v>
      </c>
      <c r="Q9" s="237">
        <v>7171.8969939999997</v>
      </c>
      <c r="R9" s="238" t="e">
        <v>#REF!</v>
      </c>
      <c r="S9" s="237">
        <v>7030.2632620000004</v>
      </c>
      <c r="T9" s="237">
        <v>3926.9994489999999</v>
      </c>
      <c r="U9" s="238">
        <v>7093.4129999999996</v>
      </c>
      <c r="V9" s="238">
        <v>7103.6522999999997</v>
      </c>
      <c r="W9" s="238">
        <v>7206.0452999999998</v>
      </c>
      <c r="X9" s="238">
        <v>7329.9408299999996</v>
      </c>
    </row>
    <row r="10" spans="1:24" x14ac:dyDescent="0.2">
      <c r="A10" s="230" t="s">
        <v>66</v>
      </c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5"/>
      <c r="S10" s="234"/>
      <c r="T10" s="234"/>
      <c r="U10" s="235"/>
      <c r="V10" s="235"/>
      <c r="W10" s="235"/>
      <c r="X10" s="235"/>
    </row>
    <row r="11" spans="1:24" x14ac:dyDescent="0.2">
      <c r="A11" s="236" t="s">
        <v>85</v>
      </c>
      <c r="B11" s="237">
        <v>1354</v>
      </c>
      <c r="C11" s="237">
        <v>917</v>
      </c>
      <c r="D11" s="237">
        <v>1344</v>
      </c>
      <c r="E11" s="237">
        <v>1542</v>
      </c>
      <c r="F11" s="237">
        <v>2065</v>
      </c>
      <c r="G11" s="237">
        <v>1914</v>
      </c>
      <c r="H11" s="237">
        <v>1866</v>
      </c>
      <c r="I11" s="237">
        <v>1741</v>
      </c>
      <c r="J11" s="237">
        <v>1832</v>
      </c>
      <c r="K11" s="237">
        <v>2119</v>
      </c>
      <c r="L11" s="237">
        <v>2211</v>
      </c>
      <c r="M11" s="237">
        <v>4216</v>
      </c>
      <c r="N11" s="237">
        <v>23121</v>
      </c>
      <c r="O11" s="237">
        <v>3243</v>
      </c>
      <c r="P11" s="237">
        <v>1767</v>
      </c>
      <c r="Q11" s="237">
        <v>2555</v>
      </c>
      <c r="R11" s="238">
        <v>2600</v>
      </c>
      <c r="S11" s="237">
        <v>2569</v>
      </c>
      <c r="T11" s="237">
        <v>817</v>
      </c>
      <c r="U11" s="238">
        <v>2600</v>
      </c>
      <c r="V11" s="238">
        <v>2700</v>
      </c>
      <c r="W11" s="238">
        <v>2900</v>
      </c>
      <c r="X11" s="238">
        <v>3000</v>
      </c>
    </row>
    <row r="12" spans="1:24" x14ac:dyDescent="0.2">
      <c r="A12" s="236" t="s">
        <v>86</v>
      </c>
      <c r="B12" s="237">
        <v>7519</v>
      </c>
      <c r="C12" s="237">
        <v>8436</v>
      </c>
      <c r="D12" s="237">
        <v>9780</v>
      </c>
      <c r="E12" s="237">
        <v>11322</v>
      </c>
      <c r="F12" s="237">
        <v>13387</v>
      </c>
      <c r="G12" s="237">
        <v>15301</v>
      </c>
      <c r="H12" s="237">
        <v>17167</v>
      </c>
      <c r="I12" s="237">
        <v>18908</v>
      </c>
      <c r="J12" s="237">
        <v>20740</v>
      </c>
      <c r="K12" s="237">
        <v>22859</v>
      </c>
      <c r="L12" s="237">
        <v>25070</v>
      </c>
      <c r="M12" s="237">
        <v>29286</v>
      </c>
      <c r="N12" s="237">
        <v>29286</v>
      </c>
      <c r="O12" s="237">
        <v>32529</v>
      </c>
      <c r="P12" s="237">
        <v>34296</v>
      </c>
      <c r="Q12" s="237">
        <v>36851</v>
      </c>
      <c r="R12" s="239">
        <v>36896</v>
      </c>
      <c r="S12" s="237">
        <v>39465</v>
      </c>
      <c r="T12" s="237">
        <v>40282</v>
      </c>
      <c r="U12" s="239">
        <v>42065</v>
      </c>
      <c r="V12" s="239">
        <v>42165</v>
      </c>
      <c r="W12" s="239">
        <v>44965</v>
      </c>
      <c r="X12" s="239">
        <v>47965</v>
      </c>
    </row>
    <row r="13" spans="1:24" x14ac:dyDescent="0.2">
      <c r="A13" s="236" t="s">
        <v>87</v>
      </c>
      <c r="B13" s="237">
        <v>4085</v>
      </c>
      <c r="C13" s="237">
        <v>4364</v>
      </c>
      <c r="D13" s="237">
        <v>5131</v>
      </c>
      <c r="E13" s="237">
        <v>5609</v>
      </c>
      <c r="F13" s="237">
        <v>6803</v>
      </c>
      <c r="G13" s="237">
        <v>7542</v>
      </c>
      <c r="H13" s="237">
        <v>8354</v>
      </c>
      <c r="I13" s="237">
        <v>8582</v>
      </c>
      <c r="J13" s="237">
        <v>9232</v>
      </c>
      <c r="K13" s="237">
        <v>8822</v>
      </c>
      <c r="L13" s="237">
        <v>10023</v>
      </c>
      <c r="M13" s="237">
        <v>12277</v>
      </c>
      <c r="N13" s="237">
        <v>13843.298568308297</v>
      </c>
      <c r="O13" s="237">
        <v>12717</v>
      </c>
      <c r="P13" s="237">
        <v>11134</v>
      </c>
      <c r="Q13" s="237">
        <v>11883</v>
      </c>
      <c r="R13" s="238">
        <v>12913.599999999999</v>
      </c>
      <c r="S13" s="237">
        <v>11761</v>
      </c>
      <c r="T13" s="237">
        <v>7182</v>
      </c>
      <c r="U13" s="239">
        <v>12619.5</v>
      </c>
      <c r="V13" s="239">
        <v>12649.5</v>
      </c>
      <c r="W13" s="239">
        <v>13489.5</v>
      </c>
      <c r="X13" s="239">
        <v>14389.5</v>
      </c>
    </row>
    <row r="14" spans="1:24" x14ac:dyDescent="0.2">
      <c r="A14" s="236" t="s">
        <v>88</v>
      </c>
      <c r="B14" s="240">
        <v>0.54329033116105863</v>
      </c>
      <c r="C14" s="240">
        <v>0.51730678046467515</v>
      </c>
      <c r="D14" s="240">
        <v>0.52464212678936606</v>
      </c>
      <c r="E14" s="240">
        <v>0.49540717187776012</v>
      </c>
      <c r="F14" s="240">
        <v>0.50817957720176288</v>
      </c>
      <c r="G14" s="240">
        <v>0.4929089601986798</v>
      </c>
      <c r="H14" s="240">
        <v>0.48663132754703792</v>
      </c>
      <c r="I14" s="240">
        <v>0.4538819547281574</v>
      </c>
      <c r="J14" s="240">
        <v>0.44513018322082931</v>
      </c>
      <c r="K14" s="240">
        <v>0.38593114309462356</v>
      </c>
      <c r="L14" s="240">
        <v>0.39980055843637813</v>
      </c>
      <c r="M14" s="240">
        <v>0.41921054428737281</v>
      </c>
      <c r="N14" s="240">
        <v>0.47269338825064183</v>
      </c>
      <c r="O14" s="240">
        <v>0.39094346583048972</v>
      </c>
      <c r="P14" s="240">
        <v>0.32464427338465129</v>
      </c>
      <c r="Q14" s="240">
        <v>0.32246072019755229</v>
      </c>
      <c r="R14" s="241">
        <v>0.35</v>
      </c>
      <c r="S14" s="240">
        <v>0.29801089573039402</v>
      </c>
      <c r="T14" s="240">
        <v>0.17829303410952782</v>
      </c>
      <c r="U14" s="241">
        <v>0.3</v>
      </c>
      <c r="V14" s="241">
        <v>0.3</v>
      </c>
      <c r="W14" s="241">
        <v>0.3</v>
      </c>
      <c r="X14" s="241">
        <v>0.3</v>
      </c>
    </row>
    <row r="15" spans="1:24" x14ac:dyDescent="0.2">
      <c r="A15" s="236" t="s">
        <v>89</v>
      </c>
      <c r="B15" s="237">
        <v>5181.2565999999997</v>
      </c>
      <c r="C15" s="237">
        <v>5543.8976940000002</v>
      </c>
      <c r="D15" s="237">
        <v>5692.3374279999998</v>
      </c>
      <c r="E15" s="237">
        <v>5604.5945009999996</v>
      </c>
      <c r="F15" s="237">
        <v>7145.9591790000004</v>
      </c>
      <c r="G15" s="237">
        <v>7745.2887000000001</v>
      </c>
      <c r="H15" s="237">
        <v>8142.2165130000003</v>
      </c>
      <c r="I15" s="237">
        <v>7801.255169</v>
      </c>
      <c r="J15" s="237">
        <v>7926.2012480000003</v>
      </c>
      <c r="K15" s="237">
        <v>10040.639445999999</v>
      </c>
      <c r="L15" s="237">
        <v>9491.7087179999999</v>
      </c>
      <c r="M15" s="237">
        <v>11211.193272</v>
      </c>
      <c r="N15" s="237">
        <v>91526.548467999979</v>
      </c>
      <c r="O15" s="237">
        <v>10867.603220999999</v>
      </c>
      <c r="P15" s="237">
        <v>9233.6483289999996</v>
      </c>
      <c r="Q15" s="237">
        <v>10631.003862</v>
      </c>
      <c r="R15" s="238">
        <v>11000</v>
      </c>
      <c r="S15" s="237">
        <v>9358.5486700000001</v>
      </c>
      <c r="T15" s="237">
        <v>3862.0366439999998</v>
      </c>
      <c r="U15" s="238">
        <v>11000</v>
      </c>
      <c r="V15" s="238">
        <v>12000</v>
      </c>
      <c r="W15" s="238">
        <v>13000</v>
      </c>
      <c r="X15" s="238">
        <v>15000</v>
      </c>
    </row>
    <row r="16" spans="1:24" x14ac:dyDescent="0.2">
      <c r="A16" s="230" t="s">
        <v>67</v>
      </c>
      <c r="B16" s="234"/>
      <c r="C16" s="234"/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5"/>
      <c r="S16" s="234"/>
      <c r="T16" s="234"/>
      <c r="U16" s="235"/>
      <c r="V16" s="235"/>
      <c r="W16" s="235"/>
      <c r="X16" s="235"/>
    </row>
    <row r="17" spans="1:24" x14ac:dyDescent="0.2">
      <c r="A17" s="236" t="s">
        <v>85</v>
      </c>
      <c r="B17" s="237">
        <v>2588</v>
      </c>
      <c r="C17" s="237">
        <v>2334</v>
      </c>
      <c r="D17" s="237">
        <v>2251</v>
      </c>
      <c r="E17" s="237">
        <v>2288</v>
      </c>
      <c r="F17" s="237">
        <v>2704</v>
      </c>
      <c r="G17" s="237">
        <v>2503</v>
      </c>
      <c r="H17" s="237">
        <v>2589</v>
      </c>
      <c r="I17" s="237">
        <v>2029</v>
      </c>
      <c r="J17" s="237">
        <v>2239</v>
      </c>
      <c r="K17" s="237">
        <v>2272</v>
      </c>
      <c r="L17" s="237">
        <v>2073</v>
      </c>
      <c r="M17" s="237">
        <v>2079</v>
      </c>
      <c r="N17" s="237">
        <v>27949</v>
      </c>
      <c r="O17" s="237">
        <v>1863</v>
      </c>
      <c r="P17" s="237">
        <v>1445</v>
      </c>
      <c r="Q17" s="237">
        <v>1377</v>
      </c>
      <c r="R17" s="238">
        <v>1450</v>
      </c>
      <c r="S17" s="237">
        <v>874</v>
      </c>
      <c r="T17" s="237">
        <v>289</v>
      </c>
      <c r="U17" s="238">
        <v>895.9</v>
      </c>
      <c r="V17" s="238">
        <v>1100</v>
      </c>
      <c r="W17" s="238">
        <v>1300</v>
      </c>
      <c r="X17" s="238">
        <v>1500</v>
      </c>
    </row>
    <row r="18" spans="1:24" x14ac:dyDescent="0.2">
      <c r="A18" s="236" t="s">
        <v>86</v>
      </c>
      <c r="B18" s="237">
        <v>4565</v>
      </c>
      <c r="C18" s="237">
        <v>6899</v>
      </c>
      <c r="D18" s="237">
        <v>9150</v>
      </c>
      <c r="E18" s="237">
        <v>11438</v>
      </c>
      <c r="F18" s="237">
        <v>14142</v>
      </c>
      <c r="G18" s="237">
        <v>16645</v>
      </c>
      <c r="H18" s="237">
        <v>19234</v>
      </c>
      <c r="I18" s="237">
        <v>21263</v>
      </c>
      <c r="J18" s="237">
        <v>23502</v>
      </c>
      <c r="K18" s="237">
        <v>25774</v>
      </c>
      <c r="L18" s="237">
        <v>27847</v>
      </c>
      <c r="M18" s="237">
        <v>29926</v>
      </c>
      <c r="N18" s="237">
        <v>29926</v>
      </c>
      <c r="O18" s="237">
        <v>31789</v>
      </c>
      <c r="P18" s="237">
        <v>33234</v>
      </c>
      <c r="Q18" s="237">
        <v>34611</v>
      </c>
      <c r="R18" s="239">
        <v>34684</v>
      </c>
      <c r="S18" s="237">
        <v>35558</v>
      </c>
      <c r="T18" s="237">
        <v>35847</v>
      </c>
      <c r="U18" s="239">
        <v>36453.9</v>
      </c>
      <c r="V18" s="239">
        <v>36658</v>
      </c>
      <c r="W18" s="239">
        <v>37753.9</v>
      </c>
      <c r="X18" s="239">
        <v>39253.9</v>
      </c>
    </row>
    <row r="19" spans="1:24" x14ac:dyDescent="0.2">
      <c r="A19" s="236" t="s">
        <v>87</v>
      </c>
      <c r="B19" s="237">
        <v>3170</v>
      </c>
      <c r="C19" s="237">
        <v>4546</v>
      </c>
      <c r="D19" s="237">
        <v>5897</v>
      </c>
      <c r="E19" s="237">
        <v>6097</v>
      </c>
      <c r="F19" s="237">
        <v>7413</v>
      </c>
      <c r="G19" s="237">
        <v>8022</v>
      </c>
      <c r="H19" s="237">
        <v>9017</v>
      </c>
      <c r="I19" s="237">
        <v>8214</v>
      </c>
      <c r="J19" s="237">
        <v>8116</v>
      </c>
      <c r="K19" s="237">
        <v>7966</v>
      </c>
      <c r="L19" s="237">
        <v>8524</v>
      </c>
      <c r="M19" s="237">
        <v>8420</v>
      </c>
      <c r="N19" s="237">
        <v>14050.217013453599</v>
      </c>
      <c r="O19" s="237">
        <v>8149</v>
      </c>
      <c r="P19" s="237">
        <v>7109</v>
      </c>
      <c r="Q19" s="237">
        <v>7927</v>
      </c>
      <c r="R19" s="238">
        <v>8324.16</v>
      </c>
      <c r="S19" s="237">
        <v>7312</v>
      </c>
      <c r="T19" s="237">
        <v>4280</v>
      </c>
      <c r="U19" s="238">
        <v>8019.8580000000002</v>
      </c>
      <c r="V19" s="238">
        <v>8431.34</v>
      </c>
      <c r="W19" s="238">
        <v>8683.3970000000008</v>
      </c>
      <c r="X19" s="238">
        <v>9028.3970000000008</v>
      </c>
    </row>
    <row r="20" spans="1:24" x14ac:dyDescent="0.2">
      <c r="A20" s="236" t="s">
        <v>88</v>
      </c>
      <c r="B20" s="240">
        <v>0.69441401971522454</v>
      </c>
      <c r="C20" s="240">
        <v>0.65893607769241924</v>
      </c>
      <c r="D20" s="240">
        <v>0.6444808743169399</v>
      </c>
      <c r="E20" s="240">
        <v>0.53304773561811503</v>
      </c>
      <c r="F20" s="240">
        <v>0.52418328383538393</v>
      </c>
      <c r="G20" s="240">
        <v>0.48194653048963654</v>
      </c>
      <c r="H20" s="240">
        <v>0.46880524071955909</v>
      </c>
      <c r="I20" s="240">
        <v>0.38630484879838217</v>
      </c>
      <c r="J20" s="240">
        <v>0.34533231214364735</v>
      </c>
      <c r="K20" s="240">
        <v>0.30907115697990223</v>
      </c>
      <c r="L20" s="240">
        <v>0.30610119582001649</v>
      </c>
      <c r="M20" s="240">
        <v>0.2813606897012631</v>
      </c>
      <c r="N20" s="240">
        <v>0.46949866381920735</v>
      </c>
      <c r="O20" s="240">
        <v>0.25634653496492499</v>
      </c>
      <c r="P20" s="240">
        <v>0.21390744418366733</v>
      </c>
      <c r="Q20" s="240">
        <v>0.22903123284504925</v>
      </c>
      <c r="R20" s="241">
        <v>0.24</v>
      </c>
      <c r="S20" s="240">
        <v>0.20563586253445076</v>
      </c>
      <c r="T20" s="240">
        <v>0.11939632326275559</v>
      </c>
      <c r="U20" s="241">
        <v>0.22</v>
      </c>
      <c r="V20" s="241">
        <v>0.23</v>
      </c>
      <c r="W20" s="241">
        <v>0.23</v>
      </c>
      <c r="X20" s="241">
        <v>0.23</v>
      </c>
    </row>
    <row r="21" spans="1:24" x14ac:dyDescent="0.2">
      <c r="A21" s="236" t="s">
        <v>89</v>
      </c>
      <c r="B21" s="237">
        <v>7448.4858910000003</v>
      </c>
      <c r="C21" s="237">
        <v>9709.4288529999994</v>
      </c>
      <c r="D21" s="237">
        <v>13499.051401999999</v>
      </c>
      <c r="E21" s="237">
        <v>14044.416624</v>
      </c>
      <c r="F21" s="237">
        <v>16577.277952</v>
      </c>
      <c r="G21" s="237">
        <v>17622.441299999999</v>
      </c>
      <c r="H21" s="237">
        <v>17881.303472</v>
      </c>
      <c r="I21" s="237">
        <v>16244.324841</v>
      </c>
      <c r="J21" s="237">
        <v>15275.92727</v>
      </c>
      <c r="K21" s="237">
        <v>15864.798918</v>
      </c>
      <c r="L21" s="237">
        <v>17116.094086000001</v>
      </c>
      <c r="M21" s="237">
        <v>16799.812046999999</v>
      </c>
      <c r="N21" s="237">
        <v>178083.36265600001</v>
      </c>
      <c r="O21" s="237">
        <v>16072.045824000001</v>
      </c>
      <c r="P21" s="237">
        <v>13685.015637</v>
      </c>
      <c r="Q21" s="237">
        <v>15025.10461</v>
      </c>
      <c r="R21" s="238">
        <v>15500</v>
      </c>
      <c r="S21" s="237">
        <v>13262.480388</v>
      </c>
      <c r="T21" s="237">
        <v>7580.2283740000003</v>
      </c>
      <c r="U21" s="238">
        <v>14000</v>
      </c>
      <c r="V21" s="238">
        <v>15000</v>
      </c>
      <c r="W21" s="238">
        <v>16000</v>
      </c>
      <c r="X21" s="238">
        <v>18000</v>
      </c>
    </row>
    <row r="22" spans="1:24" x14ac:dyDescent="0.2">
      <c r="A22" s="230" t="s">
        <v>68</v>
      </c>
      <c r="B22" s="234"/>
      <c r="C22" s="234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5"/>
      <c r="S22" s="234"/>
      <c r="T22" s="234"/>
      <c r="U22" s="235"/>
      <c r="V22" s="235"/>
      <c r="W22" s="235"/>
      <c r="X22" s="235"/>
    </row>
    <row r="23" spans="1:24" x14ac:dyDescent="0.2">
      <c r="A23" s="236" t="s">
        <v>85</v>
      </c>
      <c r="B23" s="237">
        <v>0</v>
      </c>
      <c r="C23" s="237">
        <v>0</v>
      </c>
      <c r="D23" s="237">
        <v>0</v>
      </c>
      <c r="E23" s="237">
        <v>0</v>
      </c>
      <c r="F23" s="237">
        <v>19</v>
      </c>
      <c r="G23" s="237">
        <v>1974</v>
      </c>
      <c r="H23" s="237">
        <v>2919</v>
      </c>
      <c r="I23" s="237">
        <v>2689</v>
      </c>
      <c r="J23" s="237">
        <v>2261</v>
      </c>
      <c r="K23" s="237">
        <v>3110</v>
      </c>
      <c r="L23" s="237">
        <v>3792</v>
      </c>
      <c r="M23" s="237">
        <v>4251</v>
      </c>
      <c r="N23" s="237">
        <v>21015</v>
      </c>
      <c r="O23" s="237">
        <v>6882</v>
      </c>
      <c r="P23" s="237">
        <v>5377</v>
      </c>
      <c r="Q23" s="237">
        <v>3936</v>
      </c>
      <c r="R23" s="238">
        <v>3900</v>
      </c>
      <c r="S23" s="237">
        <v>4124</v>
      </c>
      <c r="T23" s="237">
        <v>1522</v>
      </c>
      <c r="U23" s="238">
        <v>4718.2</v>
      </c>
      <c r="V23" s="238">
        <v>5190.0200000000004</v>
      </c>
      <c r="W23" s="238">
        <v>5190.0200000000004</v>
      </c>
      <c r="X23" s="238">
        <v>5709.0220000000008</v>
      </c>
    </row>
    <row r="24" spans="1:24" x14ac:dyDescent="0.2">
      <c r="A24" s="236" t="s">
        <v>86</v>
      </c>
      <c r="B24" s="237"/>
      <c r="C24" s="237"/>
      <c r="D24" s="237"/>
      <c r="E24" s="242"/>
      <c r="F24" s="237">
        <v>19</v>
      </c>
      <c r="G24" s="237">
        <v>1993</v>
      </c>
      <c r="H24" s="237">
        <v>4912</v>
      </c>
      <c r="I24" s="237">
        <v>7601</v>
      </c>
      <c r="J24" s="237">
        <v>9862</v>
      </c>
      <c r="K24" s="237">
        <v>12972</v>
      </c>
      <c r="L24" s="237">
        <v>16764</v>
      </c>
      <c r="M24" s="237">
        <v>21015</v>
      </c>
      <c r="N24" s="237">
        <v>21015</v>
      </c>
      <c r="O24" s="237">
        <v>27897</v>
      </c>
      <c r="P24" s="237">
        <v>33274</v>
      </c>
      <c r="Q24" s="237">
        <v>37210</v>
      </c>
      <c r="R24" s="239">
        <v>37174</v>
      </c>
      <c r="S24" s="237">
        <v>41298</v>
      </c>
      <c r="T24" s="237">
        <v>42820</v>
      </c>
      <c r="U24" s="239">
        <v>46016.2</v>
      </c>
      <c r="V24" s="239">
        <v>46488.020000000004</v>
      </c>
      <c r="W24" s="239">
        <v>51206.22</v>
      </c>
      <c r="X24" s="239">
        <v>56915.241999999998</v>
      </c>
    </row>
    <row r="25" spans="1:24" x14ac:dyDescent="0.2">
      <c r="A25" s="236" t="s">
        <v>87</v>
      </c>
      <c r="B25" s="237">
        <v>0</v>
      </c>
      <c r="C25" s="237">
        <v>0</v>
      </c>
      <c r="D25" s="237">
        <v>0</v>
      </c>
      <c r="E25" s="237">
        <v>0</v>
      </c>
      <c r="F25" s="237">
        <v>9</v>
      </c>
      <c r="G25" s="237">
        <v>444</v>
      </c>
      <c r="H25" s="237">
        <v>1414</v>
      </c>
      <c r="I25" s="237">
        <v>2197</v>
      </c>
      <c r="J25" s="237">
        <v>2037</v>
      </c>
      <c r="K25" s="237">
        <v>3165</v>
      </c>
      <c r="L25" s="237">
        <v>5082</v>
      </c>
      <c r="M25" s="237">
        <v>5732</v>
      </c>
      <c r="N25" s="237">
        <v>6041.3289177185652</v>
      </c>
      <c r="O25" s="237">
        <v>8674</v>
      </c>
      <c r="P25" s="237">
        <v>8160</v>
      </c>
      <c r="Q25" s="237">
        <v>7495</v>
      </c>
      <c r="R25" s="238">
        <v>7806.54</v>
      </c>
      <c r="S25" s="237">
        <v>7574</v>
      </c>
      <c r="T25" s="237">
        <v>3584</v>
      </c>
      <c r="U25" s="238">
        <v>8282.9159999999993</v>
      </c>
      <c r="V25" s="238">
        <v>8832.7238000000016</v>
      </c>
      <c r="W25" s="239">
        <v>9729.1818000000003</v>
      </c>
      <c r="X25" s="239">
        <v>10813.895979999999</v>
      </c>
    </row>
    <row r="26" spans="1:24" x14ac:dyDescent="0.2">
      <c r="A26" s="236" t="s">
        <v>88</v>
      </c>
      <c r="B26" s="240"/>
      <c r="C26" s="240"/>
      <c r="D26" s="240"/>
      <c r="E26" s="234"/>
      <c r="F26" s="240">
        <v>0.47368421052631576</v>
      </c>
      <c r="G26" s="240">
        <v>0.22277972905168089</v>
      </c>
      <c r="H26" s="240">
        <v>0.28786644951140067</v>
      </c>
      <c r="I26" s="240">
        <v>0.28904091566899093</v>
      </c>
      <c r="J26" s="240">
        <v>0.20655039545731088</v>
      </c>
      <c r="K26" s="240">
        <v>0.24398704902867716</v>
      </c>
      <c r="L26" s="240">
        <v>0.30314960629921262</v>
      </c>
      <c r="M26" s="240">
        <v>0.27275755412800379</v>
      </c>
      <c r="N26" s="240">
        <v>0.28747698870894911</v>
      </c>
      <c r="O26" s="240">
        <v>0.31092949062623221</v>
      </c>
      <c r="P26" s="240">
        <v>0.24523652100739315</v>
      </c>
      <c r="Q26" s="240">
        <v>0.2014243482934695</v>
      </c>
      <c r="R26" s="241">
        <v>0.21</v>
      </c>
      <c r="S26" s="240">
        <v>0.1833987118020243</v>
      </c>
      <c r="T26" s="240">
        <v>8.3699205978514712E-2</v>
      </c>
      <c r="U26" s="241">
        <v>0.18</v>
      </c>
      <c r="V26" s="241">
        <v>0.19</v>
      </c>
      <c r="W26" s="241">
        <v>0.19</v>
      </c>
      <c r="X26" s="241">
        <v>0.19</v>
      </c>
    </row>
    <row r="27" spans="1:24" x14ac:dyDescent="0.2">
      <c r="A27" s="236" t="s">
        <v>89</v>
      </c>
      <c r="B27" s="237"/>
      <c r="C27" s="237"/>
      <c r="D27" s="237"/>
      <c r="E27" s="237"/>
      <c r="F27" s="237">
        <v>23.667000000000002</v>
      </c>
      <c r="G27" s="237">
        <v>4117.6304499999997</v>
      </c>
      <c r="H27" s="237">
        <v>8932.5597080000007</v>
      </c>
      <c r="I27" s="237">
        <v>12586.88265</v>
      </c>
      <c r="J27" s="237">
        <v>12824.214914</v>
      </c>
      <c r="K27" s="237">
        <v>19664.015586000001</v>
      </c>
      <c r="L27" s="237">
        <v>29656.124454000001</v>
      </c>
      <c r="M27" s="237">
        <v>30796.576098000001</v>
      </c>
      <c r="N27" s="237">
        <v>118601.67086000001</v>
      </c>
      <c r="O27" s="237">
        <v>45434.907523000002</v>
      </c>
      <c r="P27" s="237">
        <v>42796.229055000003</v>
      </c>
      <c r="Q27" s="237">
        <v>36249.366163999999</v>
      </c>
      <c r="R27" s="238">
        <v>40594.008000000002</v>
      </c>
      <c r="S27" s="237">
        <v>34963.036365</v>
      </c>
      <c r="T27" s="237">
        <v>13363.773267</v>
      </c>
      <c r="U27" s="238">
        <v>39757.996799999994</v>
      </c>
      <c r="V27" s="238">
        <v>42397.074240000009</v>
      </c>
      <c r="W27" s="238">
        <v>46700.072639999999</v>
      </c>
      <c r="X27" s="238">
        <v>51906.700703999995</v>
      </c>
    </row>
    <row r="28" spans="1:24" s="247" customFormat="1" ht="15.75" hidden="1" customHeight="1" x14ac:dyDescent="0.2">
      <c r="A28" s="243" t="s">
        <v>68</v>
      </c>
      <c r="B28" s="244"/>
      <c r="C28" s="244"/>
      <c r="D28" s="244"/>
      <c r="E28" s="244"/>
      <c r="F28" s="244"/>
      <c r="G28" s="244"/>
      <c r="H28" s="244"/>
      <c r="I28" s="244"/>
      <c r="J28" s="244"/>
      <c r="K28" s="245"/>
      <c r="L28" s="245"/>
      <c r="M28" s="245"/>
      <c r="N28" s="245"/>
      <c r="O28" s="245"/>
      <c r="P28" s="245"/>
      <c r="Q28" s="245"/>
      <c r="R28" s="246"/>
      <c r="S28" s="245"/>
      <c r="T28" s="245"/>
      <c r="U28" s="246"/>
      <c r="V28" s="246"/>
      <c r="W28" s="246"/>
      <c r="X28" s="246"/>
    </row>
    <row r="29" spans="1:24" s="247" customFormat="1" ht="15.75" hidden="1" customHeight="1" x14ac:dyDescent="0.2">
      <c r="A29" s="248" t="s">
        <v>85</v>
      </c>
      <c r="B29" s="244">
        <v>8</v>
      </c>
      <c r="C29" s="244">
        <v>9645</v>
      </c>
      <c r="D29" s="244">
        <v>2</v>
      </c>
      <c r="E29" s="244">
        <v>0</v>
      </c>
      <c r="F29" s="244">
        <v>0</v>
      </c>
      <c r="G29" s="244">
        <v>0</v>
      </c>
      <c r="H29" s="244"/>
      <c r="I29" s="244"/>
      <c r="J29" s="244"/>
      <c r="K29" s="245"/>
      <c r="L29" s="245"/>
      <c r="M29" s="245"/>
      <c r="N29" s="245"/>
      <c r="O29" s="245"/>
      <c r="P29" s="245"/>
      <c r="Q29" s="245"/>
      <c r="R29" s="249"/>
      <c r="S29" s="245"/>
      <c r="T29" s="245"/>
      <c r="U29" s="249"/>
      <c r="V29" s="249"/>
      <c r="W29" s="249"/>
      <c r="X29" s="249"/>
    </row>
    <row r="30" spans="1:24" s="247" customFormat="1" ht="15.75" hidden="1" customHeight="1" x14ac:dyDescent="0.2">
      <c r="A30" s="248" t="s">
        <v>86</v>
      </c>
      <c r="B30" s="244">
        <v>8</v>
      </c>
      <c r="C30" s="244">
        <v>9653</v>
      </c>
      <c r="D30" s="244">
        <v>9655</v>
      </c>
      <c r="E30" s="244">
        <v>9655</v>
      </c>
      <c r="F30" s="244">
        <v>9655</v>
      </c>
      <c r="G30" s="244">
        <v>9655</v>
      </c>
      <c r="H30" s="244"/>
      <c r="I30" s="244"/>
      <c r="J30" s="244"/>
      <c r="K30" s="245"/>
      <c r="L30" s="245"/>
      <c r="M30" s="245"/>
      <c r="N30" s="245"/>
      <c r="O30" s="245"/>
      <c r="P30" s="245"/>
      <c r="Q30" s="245"/>
      <c r="R30" s="246"/>
      <c r="S30" s="245"/>
      <c r="T30" s="245"/>
      <c r="U30" s="246"/>
      <c r="V30" s="246"/>
      <c r="W30" s="246"/>
      <c r="X30" s="246"/>
    </row>
    <row r="31" spans="1:24" s="247" customFormat="1" ht="15.75" hidden="1" customHeight="1" x14ac:dyDescent="0.2">
      <c r="A31" s="248" t="s">
        <v>87</v>
      </c>
      <c r="B31" s="244">
        <v>1</v>
      </c>
      <c r="C31" s="244">
        <v>1408</v>
      </c>
      <c r="D31" s="244">
        <v>2</v>
      </c>
      <c r="E31" s="244"/>
      <c r="F31" s="244">
        <v>3</v>
      </c>
      <c r="G31" s="244">
        <v>289</v>
      </c>
      <c r="H31" s="244"/>
      <c r="I31" s="244"/>
      <c r="J31" s="244"/>
      <c r="K31" s="245"/>
      <c r="L31" s="245"/>
      <c r="M31" s="245"/>
      <c r="N31" s="245"/>
      <c r="O31" s="245"/>
      <c r="P31" s="245"/>
      <c r="Q31" s="245"/>
      <c r="R31" s="246"/>
      <c r="S31" s="245"/>
      <c r="T31" s="245"/>
      <c r="U31" s="246"/>
      <c r="V31" s="246"/>
      <c r="W31" s="246"/>
      <c r="X31" s="246"/>
    </row>
    <row r="32" spans="1:24" s="247" customFormat="1" ht="15.75" hidden="1" customHeight="1" x14ac:dyDescent="0.2">
      <c r="A32" s="248" t="s">
        <v>88</v>
      </c>
      <c r="B32" s="250">
        <v>0.125</v>
      </c>
      <c r="C32" s="251">
        <v>0.14586139024137573</v>
      </c>
      <c r="D32" s="251">
        <v>2.0714655618850336E-4</v>
      </c>
      <c r="E32" s="244"/>
      <c r="F32" s="251">
        <v>3.1071983428275507E-4</v>
      </c>
      <c r="G32" s="251">
        <v>2.9932677369238738E-2</v>
      </c>
      <c r="H32" s="251"/>
      <c r="I32" s="251"/>
      <c r="J32" s="251"/>
      <c r="K32" s="252"/>
      <c r="L32" s="252"/>
      <c r="M32" s="252"/>
      <c r="N32" s="252"/>
      <c r="O32" s="252"/>
      <c r="P32" s="252"/>
      <c r="Q32" s="252"/>
      <c r="R32" s="253"/>
      <c r="S32" s="252"/>
      <c r="T32" s="252"/>
      <c r="U32" s="253"/>
      <c r="V32" s="253"/>
      <c r="W32" s="253"/>
      <c r="X32" s="253"/>
    </row>
    <row r="33" spans="1:24" s="247" customFormat="1" ht="15.75" hidden="1" customHeight="1" x14ac:dyDescent="0.2">
      <c r="A33" s="248" t="s">
        <v>89</v>
      </c>
      <c r="B33" s="244">
        <v>0.1</v>
      </c>
      <c r="C33" s="244">
        <v>9612.7199999999993</v>
      </c>
      <c r="D33" s="244">
        <v>2.65</v>
      </c>
      <c r="E33" s="244"/>
      <c r="F33" s="244">
        <v>6.3470000000000004</v>
      </c>
      <c r="G33" s="244">
        <v>2007.8313000000001</v>
      </c>
      <c r="H33" s="244"/>
      <c r="I33" s="244"/>
      <c r="J33" s="244"/>
      <c r="K33" s="245"/>
      <c r="L33" s="245"/>
      <c r="M33" s="245"/>
      <c r="N33" s="245"/>
      <c r="O33" s="245"/>
      <c r="P33" s="245"/>
      <c r="Q33" s="245"/>
      <c r="R33" s="246"/>
      <c r="S33" s="245"/>
      <c r="T33" s="245"/>
      <c r="U33" s="246"/>
      <c r="V33" s="246"/>
      <c r="W33" s="246"/>
      <c r="X33" s="246"/>
    </row>
    <row r="34" spans="1:24" x14ac:dyDescent="0.2">
      <c r="A34" s="230" t="s">
        <v>69</v>
      </c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5"/>
      <c r="S34" s="234"/>
      <c r="T34" s="234"/>
      <c r="U34" s="235"/>
      <c r="V34" s="235"/>
      <c r="W34" s="235"/>
      <c r="X34" s="235"/>
    </row>
    <row r="35" spans="1:24" x14ac:dyDescent="0.2">
      <c r="A35" s="236" t="s">
        <v>85</v>
      </c>
      <c r="B35" s="237">
        <v>145</v>
      </c>
      <c r="C35" s="237">
        <v>71</v>
      </c>
      <c r="D35" s="237">
        <v>99</v>
      </c>
      <c r="E35" s="237">
        <v>92</v>
      </c>
      <c r="F35" s="237">
        <v>138</v>
      </c>
      <c r="G35" s="237">
        <v>98</v>
      </c>
      <c r="H35" s="237">
        <v>93</v>
      </c>
      <c r="I35" s="237">
        <v>85</v>
      </c>
      <c r="J35" s="237">
        <v>77</v>
      </c>
      <c r="K35" s="237">
        <v>80</v>
      </c>
      <c r="L35" s="237">
        <v>0</v>
      </c>
      <c r="M35" s="237">
        <v>0</v>
      </c>
      <c r="N35" s="237">
        <v>978</v>
      </c>
      <c r="O35" s="237">
        <v>0</v>
      </c>
      <c r="P35" s="237">
        <v>0</v>
      </c>
      <c r="Q35" s="237">
        <v>0</v>
      </c>
      <c r="R35" s="238">
        <v>0</v>
      </c>
      <c r="S35" s="237">
        <v>0</v>
      </c>
      <c r="T35" s="237">
        <v>0</v>
      </c>
      <c r="U35" s="238">
        <v>0</v>
      </c>
      <c r="V35" s="238">
        <v>0</v>
      </c>
      <c r="W35" s="238">
        <v>0</v>
      </c>
      <c r="X35" s="238">
        <v>0</v>
      </c>
    </row>
    <row r="36" spans="1:24" x14ac:dyDescent="0.2">
      <c r="A36" s="236" t="s">
        <v>86</v>
      </c>
      <c r="B36" s="237">
        <v>444</v>
      </c>
      <c r="C36" s="237">
        <v>515</v>
      </c>
      <c r="D36" s="237">
        <v>614</v>
      </c>
      <c r="E36" s="237">
        <v>706</v>
      </c>
      <c r="F36" s="237">
        <v>844</v>
      </c>
      <c r="G36" s="237">
        <v>942</v>
      </c>
      <c r="H36" s="237">
        <v>1035</v>
      </c>
      <c r="I36" s="237">
        <v>1120</v>
      </c>
      <c r="J36" s="237">
        <v>1197</v>
      </c>
      <c r="K36" s="237">
        <v>1277</v>
      </c>
      <c r="L36" s="237">
        <v>1277</v>
      </c>
      <c r="M36" s="237">
        <v>1277</v>
      </c>
      <c r="N36" s="237">
        <v>1277</v>
      </c>
      <c r="O36" s="237">
        <v>1277</v>
      </c>
      <c r="P36" s="237">
        <v>1277</v>
      </c>
      <c r="Q36" s="237">
        <v>1277</v>
      </c>
      <c r="R36" s="239">
        <v>1277</v>
      </c>
      <c r="S36" s="237">
        <v>1277</v>
      </c>
      <c r="T36" s="237">
        <v>1277</v>
      </c>
      <c r="U36" s="239">
        <v>1277</v>
      </c>
      <c r="V36" s="239">
        <v>1277</v>
      </c>
      <c r="W36" s="239">
        <v>1277</v>
      </c>
      <c r="X36" s="239">
        <v>1277</v>
      </c>
    </row>
    <row r="37" spans="1:24" x14ac:dyDescent="0.2">
      <c r="A37" s="236" t="s">
        <v>87</v>
      </c>
      <c r="B37" s="237">
        <v>234</v>
      </c>
      <c r="C37" s="237">
        <v>252</v>
      </c>
      <c r="D37" s="237">
        <v>303</v>
      </c>
      <c r="E37" s="237">
        <v>300</v>
      </c>
      <c r="F37" s="237">
        <v>357</v>
      </c>
      <c r="G37" s="237">
        <v>365</v>
      </c>
      <c r="H37" s="237">
        <v>377</v>
      </c>
      <c r="I37" s="237">
        <v>377</v>
      </c>
      <c r="J37" s="237">
        <v>394</v>
      </c>
      <c r="K37" s="237">
        <v>430</v>
      </c>
      <c r="L37" s="237">
        <v>336</v>
      </c>
      <c r="M37" s="237">
        <v>308</v>
      </c>
      <c r="N37" s="237">
        <v>491.24800472129886</v>
      </c>
      <c r="O37" s="237">
        <v>277</v>
      </c>
      <c r="P37" s="237">
        <v>238</v>
      </c>
      <c r="Q37" s="237">
        <v>237</v>
      </c>
      <c r="R37" s="238">
        <v>242.63</v>
      </c>
      <c r="S37" s="237">
        <v>10</v>
      </c>
      <c r="T37" s="237">
        <v>0</v>
      </c>
      <c r="U37" s="238">
        <v>0</v>
      </c>
      <c r="V37" s="238">
        <v>0</v>
      </c>
      <c r="W37" s="238">
        <v>0</v>
      </c>
      <c r="X37" s="238">
        <v>0</v>
      </c>
    </row>
    <row r="38" spans="1:24" x14ac:dyDescent="0.2">
      <c r="A38" s="236" t="s">
        <v>88</v>
      </c>
      <c r="B38" s="240">
        <v>0.52702702702702697</v>
      </c>
      <c r="C38" s="240">
        <v>0.48932038834951458</v>
      </c>
      <c r="D38" s="240">
        <v>0.49348534201954397</v>
      </c>
      <c r="E38" s="240">
        <v>0.42492917847025496</v>
      </c>
      <c r="F38" s="240">
        <v>0.42298578199052134</v>
      </c>
      <c r="G38" s="240">
        <v>0.38747346072186839</v>
      </c>
      <c r="H38" s="240">
        <v>0.36425120772946862</v>
      </c>
      <c r="I38" s="240">
        <v>0.33660714285714288</v>
      </c>
      <c r="J38" s="240">
        <v>0.32915622389306598</v>
      </c>
      <c r="K38" s="240">
        <v>0.33672670321064996</v>
      </c>
      <c r="L38" s="240">
        <v>0.26311667971808927</v>
      </c>
      <c r="M38" s="240">
        <v>0.24119028974158183</v>
      </c>
      <c r="N38" s="240">
        <v>0.38468911881072737</v>
      </c>
      <c r="O38" s="240">
        <v>0.2169146436961629</v>
      </c>
      <c r="P38" s="240">
        <v>0.18637431480031325</v>
      </c>
      <c r="Q38" s="240">
        <v>0.18559122944400941</v>
      </c>
      <c r="R38" s="241">
        <v>0.19</v>
      </c>
      <c r="S38" s="240">
        <v>7.8308535630383716E-3</v>
      </c>
      <c r="T38" s="240">
        <v>0</v>
      </c>
      <c r="U38" s="241">
        <v>0</v>
      </c>
      <c r="V38" s="241">
        <v>0</v>
      </c>
      <c r="W38" s="241">
        <v>0</v>
      </c>
      <c r="X38" s="241">
        <v>0</v>
      </c>
    </row>
    <row r="39" spans="1:24" x14ac:dyDescent="0.2">
      <c r="A39" s="236" t="s">
        <v>89</v>
      </c>
      <c r="B39" s="237">
        <v>742.28588500000001</v>
      </c>
      <c r="C39" s="237">
        <v>758.14905299999998</v>
      </c>
      <c r="D39" s="237">
        <v>950.76754200000005</v>
      </c>
      <c r="E39" s="237">
        <v>838.41955399999995</v>
      </c>
      <c r="F39" s="237">
        <v>980.17887800000005</v>
      </c>
      <c r="G39" s="237">
        <v>895.76646200000005</v>
      </c>
      <c r="H39" s="237">
        <v>917.35243100000002</v>
      </c>
      <c r="I39" s="237">
        <v>941.37600899999995</v>
      </c>
      <c r="J39" s="237">
        <v>932.76488600000005</v>
      </c>
      <c r="K39" s="237">
        <v>968.660033</v>
      </c>
      <c r="L39" s="237">
        <v>567.92793800000004</v>
      </c>
      <c r="M39" s="237">
        <v>589.54248600000005</v>
      </c>
      <c r="N39" s="237">
        <v>10083.191157000001</v>
      </c>
      <c r="O39" s="237">
        <v>526.61678199999994</v>
      </c>
      <c r="P39" s="237">
        <v>406.756258</v>
      </c>
      <c r="Q39" s="237">
        <v>373.33627899999999</v>
      </c>
      <c r="R39" s="238">
        <v>600</v>
      </c>
      <c r="S39" s="237">
        <v>28.900932999999998</v>
      </c>
      <c r="T39" s="237">
        <v>0</v>
      </c>
      <c r="U39" s="238">
        <v>0</v>
      </c>
      <c r="V39" s="238">
        <v>0</v>
      </c>
      <c r="W39" s="238">
        <v>0</v>
      </c>
      <c r="X39" s="238">
        <v>0</v>
      </c>
    </row>
    <row r="40" spans="1:24" x14ac:dyDescent="0.2">
      <c r="A40" s="254" t="s">
        <v>89</v>
      </c>
      <c r="B40" s="255">
        <v>24083.991478</v>
      </c>
      <c r="C40" s="255">
        <v>36640.461414000005</v>
      </c>
      <c r="D40" s="255">
        <v>33026.916150000005</v>
      </c>
      <c r="E40" s="255">
        <v>32576.933247000001</v>
      </c>
      <c r="F40" s="255">
        <v>36691.678943000006</v>
      </c>
      <c r="G40" s="255">
        <v>42636.327082000003</v>
      </c>
      <c r="H40" s="255">
        <v>47697.893461</v>
      </c>
      <c r="I40" s="255">
        <v>46458.510856000001</v>
      </c>
      <c r="J40" s="255">
        <v>45608.394883000001</v>
      </c>
      <c r="K40" s="255">
        <v>55517.696253000002</v>
      </c>
      <c r="L40" s="255">
        <v>64888.504207999998</v>
      </c>
      <c r="M40" s="255">
        <v>67292.993382000001</v>
      </c>
      <c r="N40" s="255">
        <v>533120.30135700002</v>
      </c>
      <c r="O40" s="255">
        <v>80675.071565999999</v>
      </c>
      <c r="P40" s="255">
        <v>72503.055057999998</v>
      </c>
      <c r="Q40" s="255">
        <v>69450.70790899999</v>
      </c>
      <c r="R40" s="255" t="e">
        <v>#REF!</v>
      </c>
      <c r="S40" s="255">
        <v>64643.229617999998</v>
      </c>
      <c r="T40" s="255">
        <v>28733.037733999998</v>
      </c>
      <c r="U40" s="255">
        <v>71851.409799999994</v>
      </c>
      <c r="V40" s="255">
        <v>76500.726540000003</v>
      </c>
      <c r="W40" s="255">
        <v>82906.117939999996</v>
      </c>
      <c r="X40" s="255">
        <v>92236.641533999995</v>
      </c>
    </row>
    <row r="41" spans="1:24" x14ac:dyDescent="0.2">
      <c r="A41" s="254" t="s">
        <v>71</v>
      </c>
      <c r="B41" s="255">
        <v>34917.72</v>
      </c>
      <c r="C41" s="255">
        <v>22221.517999999996</v>
      </c>
      <c r="D41" s="255">
        <v>39705.821599999996</v>
      </c>
      <c r="E41" s="255">
        <v>53046.985919999999</v>
      </c>
      <c r="F41" s="255">
        <v>68051.684511999993</v>
      </c>
      <c r="G41" s="255">
        <v>97256.852963199999</v>
      </c>
      <c r="H41" s="255">
        <v>131682.53825952002</v>
      </c>
      <c r="I41" s="255">
        <v>168350.792085472</v>
      </c>
      <c r="J41" s="255">
        <v>213285.87129401922</v>
      </c>
      <c r="K41" s="255">
        <v>271514.45842342114</v>
      </c>
      <c r="L41" s="255">
        <v>345565.90426576324</v>
      </c>
      <c r="M41" s="255">
        <v>410272.49469233956</v>
      </c>
      <c r="N41" s="255">
        <v>1855872.6420157352</v>
      </c>
      <c r="O41" s="255">
        <v>104308.39209252717</v>
      </c>
      <c r="P41" s="255">
        <v>99139.314624270279</v>
      </c>
      <c r="Q41" s="255">
        <v>179677.29337432544</v>
      </c>
      <c r="R41" s="255" t="e">
        <v>#REF!</v>
      </c>
      <c r="S41" s="255">
        <v>298960.04832878883</v>
      </c>
      <c r="T41" s="255">
        <v>364130.2196176619</v>
      </c>
      <c r="U41" s="255">
        <v>211063.06446982556</v>
      </c>
      <c r="V41" s="255">
        <v>211063.06446982556</v>
      </c>
      <c r="W41" s="255">
        <v>298960.04832878883</v>
      </c>
      <c r="X41" s="255">
        <v>364130.2196176619</v>
      </c>
    </row>
    <row r="42" spans="1:24" x14ac:dyDescent="0.2">
      <c r="A42" s="256" t="s">
        <v>72</v>
      </c>
      <c r="B42" s="257">
        <v>-10833.728522000001</v>
      </c>
      <c r="C42" s="257">
        <v>14418.943414000008</v>
      </c>
      <c r="D42" s="257">
        <v>-6678.9054499999911</v>
      </c>
      <c r="E42" s="257">
        <v>-20470.052672999998</v>
      </c>
      <c r="F42" s="257">
        <v>-31360.005568999986</v>
      </c>
      <c r="G42" s="257">
        <v>-54620.525881199996</v>
      </c>
      <c r="H42" s="257">
        <v>-83984.644798520021</v>
      </c>
      <c r="I42" s="257">
        <v>-121892.28122947199</v>
      </c>
      <c r="J42" s="257">
        <v>-167677.47641101922</v>
      </c>
      <c r="K42" s="257">
        <v>-215996.76217042113</v>
      </c>
      <c r="L42" s="257">
        <v>-280677.40005776321</v>
      </c>
      <c r="M42" s="257">
        <v>-342979.50131033955</v>
      </c>
      <c r="N42" s="257">
        <v>-1322752.340658735</v>
      </c>
      <c r="O42" s="257">
        <v>-23633.320526527168</v>
      </c>
      <c r="P42" s="257">
        <v>-26636.259566270281</v>
      </c>
      <c r="Q42" s="257">
        <v>-110226.58546532545</v>
      </c>
      <c r="R42" s="257" t="e">
        <v>#REF!</v>
      </c>
      <c r="S42" s="257">
        <v>-234316.81871078885</v>
      </c>
      <c r="T42" s="257">
        <v>-335397.18188366189</v>
      </c>
      <c r="U42" s="257">
        <v>-139211.65466982557</v>
      </c>
      <c r="V42" s="257">
        <v>-134562.33792982556</v>
      </c>
      <c r="W42" s="257">
        <v>-216053.93038878884</v>
      </c>
      <c r="X42" s="257">
        <v>-271893.57808366191</v>
      </c>
    </row>
    <row r="43" spans="1:24" x14ac:dyDescent="0.2">
      <c r="B43" s="247" t="b">
        <v>1</v>
      </c>
      <c r="C43" s="247" t="b">
        <v>1</v>
      </c>
      <c r="D43" s="247" t="b">
        <v>1</v>
      </c>
      <c r="E43" s="247" t="b">
        <v>1</v>
      </c>
      <c r="F43" s="247" t="b">
        <v>1</v>
      </c>
      <c r="G43" s="247" t="b">
        <v>1</v>
      </c>
      <c r="H43" s="247" t="b">
        <v>1</v>
      </c>
      <c r="I43" s="247" t="b">
        <v>1</v>
      </c>
      <c r="J43" s="247" t="b">
        <v>1</v>
      </c>
      <c r="K43" s="247" t="b">
        <v>1</v>
      </c>
      <c r="L43" s="247" t="b">
        <v>1</v>
      </c>
      <c r="M43" s="247" t="b">
        <v>1</v>
      </c>
      <c r="N43" s="247" t="b">
        <v>1</v>
      </c>
      <c r="O43" s="247" t="b">
        <v>1</v>
      </c>
      <c r="P43" s="247" t="b">
        <v>1</v>
      </c>
      <c r="Q43" s="247"/>
      <c r="R43" s="247" t="e">
        <v>#REF!</v>
      </c>
      <c r="S43" s="247"/>
      <c r="T43" s="247"/>
      <c r="U43" s="247" t="b">
        <v>1</v>
      </c>
      <c r="V43" s="247" t="b">
        <v>1</v>
      </c>
      <c r="W43" s="247" t="b">
        <v>1</v>
      </c>
      <c r="X43" s="247" t="b">
        <v>1</v>
      </c>
    </row>
  </sheetData>
  <mergeCells count="23">
    <mergeCell ref="T2:T3"/>
    <mergeCell ref="U2:U3"/>
    <mergeCell ref="V2:V3"/>
    <mergeCell ref="W2:W3"/>
    <mergeCell ref="X2:X3"/>
    <mergeCell ref="N2:N3"/>
    <mergeCell ref="O2:O3"/>
    <mergeCell ref="P2:P3"/>
    <mergeCell ref="Q2:Q3"/>
    <mergeCell ref="R2:R3"/>
    <mergeCell ref="S2:S3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c922acb-b38d-4d71-ae2c-ef6c22b1542d}" enabled="1" method="Privileged" siteId="{9dd3e623-09fb-4fbf-8937-a6f939a1b3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Weekly Forecast - CL-PD-OD</vt:lpstr>
      <vt:lpstr>2. Weekly Forecast - Paylater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Đình Đạm (Head of Lending Product)</dc:creator>
  <cp:lastModifiedBy>Hồ Đình Đạm (Head of Lending Product)</cp:lastModifiedBy>
  <dcterms:created xsi:type="dcterms:W3CDTF">2026-05-13T06:05:42Z</dcterms:created>
  <dcterms:modified xsi:type="dcterms:W3CDTF">2026-05-13T06:06:56Z</dcterms:modified>
</cp:coreProperties>
</file>