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m.ho/Desktop/Work/damcake-work-wiki/Raw/Lending/Biz-Plan-2026/"/>
    </mc:Choice>
  </mc:AlternateContent>
  <xr:revisionPtr revIDLastSave="0" documentId="13_ncr:1_{B8554CFE-6D18-A646-823A-33A10FCE67D1}" xr6:coauthVersionLast="47" xr6:coauthVersionMax="47" xr10:uidLastSave="{00000000-0000-0000-0000-000000000000}"/>
  <bookViews>
    <workbookView xWindow="0" yWindow="740" windowWidth="29400" windowHeight="17160" activeTab="1" xr2:uid="{00000000-000D-0000-FFFF-FFFF00000000}"/>
  </bookViews>
  <sheets>
    <sheet name="Sales Plan 2026 - fin v4" sheetId="34" r:id="rId1"/>
    <sheet name="Break by BD" sheetId="35" r:id="rId2"/>
    <sheet name="Chị Ngân Cake CL" sheetId="13" state="hidden" r:id="rId3"/>
    <sheet name="Chị Ngân (Cake Payday)" sheetId="14" state="hidden" r:id="rId4"/>
    <sheet name="Chị Ngân" sheetId="3" state="hidden" r:id="rId5"/>
    <sheet name="2H1G (2)" sheetId="12" state="hidden" r:id="rId6"/>
  </sheets>
  <definedNames>
    <definedName name="_xlnm._FilterDatabase" localSheetId="5" hidden="1">'2H1G (2)'!$A$3:$AD$120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5" l="1"/>
  <c r="E18" i="35"/>
  <c r="E17" i="35"/>
  <c r="E8" i="35"/>
  <c r="E7" i="35"/>
  <c r="E12" i="35"/>
  <c r="K8" i="35"/>
  <c r="D4" i="35" l="1"/>
  <c r="D18" i="35"/>
  <c r="D17" i="35"/>
  <c r="D16" i="35" s="1"/>
  <c r="D12" i="35"/>
  <c r="D8" i="35"/>
  <c r="D7" i="35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G116" i="13" l="1"/>
  <c r="H116" i="13"/>
  <c r="I116" i="13"/>
  <c r="J116" i="13"/>
  <c r="K116" i="13"/>
  <c r="L116" i="13"/>
  <c r="M116" i="13"/>
  <c r="N116" i="13"/>
  <c r="O116" i="13"/>
  <c r="G118" i="13"/>
  <c r="H118" i="13"/>
  <c r="I118" i="13"/>
  <c r="J118" i="13"/>
  <c r="K118" i="13"/>
  <c r="L118" i="13"/>
  <c r="M118" i="13"/>
  <c r="N118" i="13"/>
  <c r="O118" i="13"/>
  <c r="G120" i="13"/>
  <c r="H120" i="13"/>
  <c r="I120" i="13"/>
  <c r="J120" i="13"/>
  <c r="K120" i="13"/>
  <c r="L120" i="13"/>
  <c r="M120" i="13"/>
  <c r="N120" i="13"/>
  <c r="O120" i="13"/>
  <c r="G121" i="13"/>
  <c r="H121" i="13"/>
  <c r="I121" i="13"/>
  <c r="J121" i="13"/>
  <c r="K121" i="13"/>
  <c r="L121" i="13"/>
  <c r="M121" i="13"/>
  <c r="N121" i="13"/>
  <c r="W50" i="14"/>
  <c r="X50" i="14"/>
  <c r="Y50" i="14"/>
  <c r="Z50" i="14"/>
  <c r="AA50" i="14"/>
  <c r="AB50" i="14"/>
  <c r="AC50" i="14"/>
  <c r="AD50" i="14"/>
  <c r="AE50" i="14"/>
  <c r="V50" i="14"/>
  <c r="U50" i="14"/>
  <c r="T50" i="14"/>
  <c r="P18" i="14"/>
  <c r="Q18" i="14" s="1"/>
  <c r="R18" i="14" s="1"/>
  <c r="P16" i="14"/>
  <c r="Q16" i="14" s="1"/>
  <c r="R16" i="14" s="1"/>
  <c r="P14" i="14"/>
  <c r="Q14" i="14" s="1"/>
  <c r="R14" i="14" s="1"/>
  <c r="P12" i="14"/>
  <c r="Q12" i="14" s="1"/>
  <c r="R12" i="14" s="1"/>
  <c r="M54" i="14"/>
  <c r="M57" i="14" s="1"/>
  <c r="N54" i="14"/>
  <c r="N57" i="14" s="1"/>
  <c r="O54" i="14"/>
  <c r="O57" i="14"/>
  <c r="M58" i="14"/>
  <c r="O58" i="14"/>
  <c r="M26" i="13"/>
  <c r="N26" i="13"/>
  <c r="O26" i="13"/>
  <c r="O13" i="14"/>
  <c r="O15" i="14" s="1"/>
  <c r="O17" i="14" s="1"/>
  <c r="N13" i="14"/>
  <c r="N15" i="14" s="1"/>
  <c r="N17" i="14" s="1"/>
  <c r="N19" i="14" s="1"/>
  <c r="M13" i="14"/>
  <c r="M15" i="14" s="1"/>
  <c r="M17" i="14" s="1"/>
  <c r="M19" i="14" s="1"/>
  <c r="T54" i="13"/>
  <c r="AF140" i="14"/>
  <c r="AF110" i="14"/>
  <c r="H81" i="14"/>
  <c r="I81" i="14" s="1"/>
  <c r="J81" i="14" s="1"/>
  <c r="K81" i="14" s="1"/>
  <c r="L81" i="14" s="1"/>
  <c r="M81" i="14" s="1"/>
  <c r="N81" i="14" s="1"/>
  <c r="O81" i="14" s="1"/>
  <c r="P81" i="14" s="1"/>
  <c r="Q81" i="14" s="1"/>
  <c r="R81" i="14" s="1"/>
  <c r="T81" i="14" s="1"/>
  <c r="U81" i="14" s="1"/>
  <c r="V81" i="14" s="1"/>
  <c r="W81" i="14" s="1"/>
  <c r="X81" i="14" s="1"/>
  <c r="Y81" i="14" s="1"/>
  <c r="Z81" i="14" s="1"/>
  <c r="AA81" i="14" s="1"/>
  <c r="AB81" i="14" s="1"/>
  <c r="AC81" i="14" s="1"/>
  <c r="AD81" i="14" s="1"/>
  <c r="AE81" i="14" s="1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H53" i="14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H7" i="14"/>
  <c r="I7" i="14" s="1"/>
  <c r="I6" i="14" s="1"/>
  <c r="H6" i="14"/>
  <c r="G6" i="14"/>
  <c r="P57" i="14" l="1"/>
  <c r="P9" i="14"/>
  <c r="P13" i="14" s="1"/>
  <c r="P15" i="14" s="1"/>
  <c r="P17" i="14" s="1"/>
  <c r="P19" i="14" s="1"/>
  <c r="V54" i="13"/>
  <c r="U54" i="13"/>
  <c r="P58" i="14"/>
  <c r="N58" i="14"/>
  <c r="T57" i="13"/>
  <c r="T66" i="13" s="1"/>
  <c r="T62" i="13"/>
  <c r="J7" i="14"/>
  <c r="Q9" i="14" l="1"/>
  <c r="Q58" i="14"/>
  <c r="Q57" i="14"/>
  <c r="W54" i="13"/>
  <c r="J6" i="14"/>
  <c r="K7" i="14"/>
  <c r="R57" i="14" l="1"/>
  <c r="S57" i="14" s="1"/>
  <c r="R9" i="14"/>
  <c r="R13" i="14" s="1"/>
  <c r="R15" i="14" s="1"/>
  <c r="R17" i="14" s="1"/>
  <c r="R19" i="14" s="1"/>
  <c r="T54" i="14"/>
  <c r="R58" i="14"/>
  <c r="S58" i="14" s="1"/>
  <c r="S54" i="14"/>
  <c r="Q13" i="14"/>
  <c r="Q15" i="14" s="1"/>
  <c r="Q17" i="14" s="1"/>
  <c r="Q19" i="14" s="1"/>
  <c r="S9" i="14"/>
  <c r="X54" i="13"/>
  <c r="K6" i="14"/>
  <c r="L7" i="14"/>
  <c r="V54" i="14" l="1"/>
  <c r="U54" i="14"/>
  <c r="T58" i="14"/>
  <c r="T72" i="14" s="1"/>
  <c r="T57" i="14"/>
  <c r="T66" i="14" s="1"/>
  <c r="T62" i="14"/>
  <c r="Y54" i="13"/>
  <c r="L6" i="14"/>
  <c r="M7" i="14"/>
  <c r="S15" i="14"/>
  <c r="T70" i="14" l="1"/>
  <c r="T69" i="14"/>
  <c r="T75" i="14"/>
  <c r="T142" i="14" s="1"/>
  <c r="T76" i="14"/>
  <c r="T155" i="14" s="1"/>
  <c r="U62" i="14"/>
  <c r="U58" i="14"/>
  <c r="U72" i="14" s="1"/>
  <c r="U57" i="14"/>
  <c r="U66" i="14" s="1"/>
  <c r="W54" i="14"/>
  <c r="V58" i="14"/>
  <c r="V72" i="14" s="1"/>
  <c r="V57" i="14"/>
  <c r="V66" i="14" s="1"/>
  <c r="V62" i="14"/>
  <c r="Z54" i="13"/>
  <c r="T159" i="14"/>
  <c r="T146" i="14"/>
  <c r="T35" i="14"/>
  <c r="S17" i="14"/>
  <c r="S16" i="14" s="1"/>
  <c r="N7" i="14"/>
  <c r="M6" i="14"/>
  <c r="V70" i="14"/>
  <c r="V69" i="14"/>
  <c r="V75" i="14"/>
  <c r="V76" i="14"/>
  <c r="X54" i="14" l="1"/>
  <c r="W57" i="14"/>
  <c r="W66" i="14" s="1"/>
  <c r="W62" i="14"/>
  <c r="W58" i="14"/>
  <c r="W72" i="14" s="1"/>
  <c r="U69" i="14"/>
  <c r="U70" i="14"/>
  <c r="U75" i="14"/>
  <c r="U142" i="14" s="1"/>
  <c r="U76" i="14"/>
  <c r="U155" i="14" s="1"/>
  <c r="U159" i="14" s="1"/>
  <c r="U161" i="14" s="1"/>
  <c r="U163" i="14" s="1"/>
  <c r="U165" i="14" s="1"/>
  <c r="U104" i="14" s="1"/>
  <c r="T112" i="14"/>
  <c r="T63" i="14"/>
  <c r="T125" i="14"/>
  <c r="T129" i="14" s="1"/>
  <c r="T64" i="14"/>
  <c r="AA54" i="13"/>
  <c r="V155" i="14"/>
  <c r="V125" i="14"/>
  <c r="V64" i="14"/>
  <c r="T161" i="14"/>
  <c r="V142" i="14"/>
  <c r="T131" i="14"/>
  <c r="S19" i="14"/>
  <c r="S18" i="14" s="1"/>
  <c r="O7" i="14"/>
  <c r="P7" i="14" s="1"/>
  <c r="Q7" i="14" s="1"/>
  <c r="R7" i="14" s="1"/>
  <c r="T7" i="14" s="1"/>
  <c r="N6" i="14"/>
  <c r="V112" i="14"/>
  <c r="V63" i="14"/>
  <c r="T148" i="14"/>
  <c r="T39" i="14"/>
  <c r="T116" i="14" l="1"/>
  <c r="T22" i="14"/>
  <c r="T9" i="14" s="1"/>
  <c r="U146" i="14"/>
  <c r="U35" i="14"/>
  <c r="U125" i="14"/>
  <c r="U129" i="14" s="1"/>
  <c r="U131" i="14" s="1"/>
  <c r="U133" i="14" s="1"/>
  <c r="U135" i="14" s="1"/>
  <c r="U98" i="14" s="1"/>
  <c r="U64" i="14"/>
  <c r="U112" i="14"/>
  <c r="U63" i="14"/>
  <c r="W76" i="14"/>
  <c r="W155" i="14" s="1"/>
  <c r="W159" i="14" s="1"/>
  <c r="W161" i="14" s="1"/>
  <c r="W163" i="14" s="1"/>
  <c r="W165" i="14" s="1"/>
  <c r="W104" i="14" s="1"/>
  <c r="W75" i="14"/>
  <c r="W142" i="14" s="1"/>
  <c r="W69" i="14"/>
  <c r="W70" i="14"/>
  <c r="Y54" i="14"/>
  <c r="X58" i="14"/>
  <c r="X72" i="14" s="1"/>
  <c r="X62" i="14"/>
  <c r="X57" i="14"/>
  <c r="X66" i="14" s="1"/>
  <c r="AB54" i="13"/>
  <c r="V116" i="14"/>
  <c r="V22" i="14"/>
  <c r="T163" i="14"/>
  <c r="X76" i="14"/>
  <c r="X75" i="14"/>
  <c r="X70" i="14"/>
  <c r="X69" i="14"/>
  <c r="T110" i="14"/>
  <c r="T140" i="14"/>
  <c r="U7" i="14"/>
  <c r="T133" i="14"/>
  <c r="T150" i="14"/>
  <c r="T41" i="14"/>
  <c r="V129" i="14"/>
  <c r="T38" i="14"/>
  <c r="V146" i="14"/>
  <c r="V35" i="14"/>
  <c r="V159" i="14"/>
  <c r="AC54" i="13" l="1"/>
  <c r="Z54" i="14"/>
  <c r="Y62" i="14"/>
  <c r="Y58" i="14"/>
  <c r="Y72" i="14" s="1"/>
  <c r="Y57" i="14"/>
  <c r="Y66" i="14" s="1"/>
  <c r="W125" i="14"/>
  <c r="W129" i="14" s="1"/>
  <c r="W131" i="14" s="1"/>
  <c r="W133" i="14" s="1"/>
  <c r="W135" i="14" s="1"/>
  <c r="W98" i="14" s="1"/>
  <c r="W64" i="14"/>
  <c r="W112" i="14"/>
  <c r="W63" i="14"/>
  <c r="W146" i="14"/>
  <c r="W35" i="14"/>
  <c r="U116" i="14"/>
  <c r="U22" i="14"/>
  <c r="U9" i="14" s="1"/>
  <c r="U148" i="14"/>
  <c r="U39" i="14"/>
  <c r="U38" i="14" s="1"/>
  <c r="T118" i="14"/>
  <c r="T26" i="14"/>
  <c r="X155" i="14"/>
  <c r="T40" i="14"/>
  <c r="X112" i="14"/>
  <c r="X63" i="14"/>
  <c r="T152" i="14"/>
  <c r="T43" i="14"/>
  <c r="T135" i="14"/>
  <c r="X125" i="14"/>
  <c r="X64" i="14"/>
  <c r="T165" i="14"/>
  <c r="V148" i="14"/>
  <c r="V39" i="14"/>
  <c r="U140" i="14"/>
  <c r="U110" i="14"/>
  <c r="V7" i="14"/>
  <c r="V9" i="14"/>
  <c r="V131" i="14"/>
  <c r="V161" i="14"/>
  <c r="X142" i="14"/>
  <c r="V118" i="14"/>
  <c r="V26" i="14"/>
  <c r="AD54" i="13" l="1"/>
  <c r="T13" i="14"/>
  <c r="T12" i="14" s="1"/>
  <c r="T25" i="14"/>
  <c r="T120" i="14"/>
  <c r="T28" i="14"/>
  <c r="U150" i="14"/>
  <c r="U41" i="14"/>
  <c r="U40" i="14" s="1"/>
  <c r="U118" i="14"/>
  <c r="U26" i="14"/>
  <c r="W148" i="14"/>
  <c r="W39" i="14"/>
  <c r="W38" i="14" s="1"/>
  <c r="W116" i="14"/>
  <c r="W22" i="14"/>
  <c r="W9" i="14" s="1"/>
  <c r="Y69" i="14"/>
  <c r="Y70" i="14"/>
  <c r="Y76" i="14"/>
  <c r="Y155" i="14" s="1"/>
  <c r="Y159" i="14" s="1"/>
  <c r="Y161" i="14" s="1"/>
  <c r="Y163" i="14" s="1"/>
  <c r="Y165" i="14" s="1"/>
  <c r="Y104" i="14" s="1"/>
  <c r="Y75" i="14"/>
  <c r="Y142" i="14" s="1"/>
  <c r="AA54" i="14"/>
  <c r="Z58" i="14"/>
  <c r="Z72" i="14" s="1"/>
  <c r="Z57" i="14"/>
  <c r="Z66" i="14" s="1"/>
  <c r="Z62" i="14"/>
  <c r="X146" i="14"/>
  <c r="X35" i="14"/>
  <c r="V38" i="14"/>
  <c r="T103" i="14"/>
  <c r="T45" i="14"/>
  <c r="V140" i="14"/>
  <c r="V110" i="14"/>
  <c r="W7" i="14"/>
  <c r="V150" i="14"/>
  <c r="V41" i="14"/>
  <c r="X116" i="14"/>
  <c r="X22" i="14"/>
  <c r="V25" i="14"/>
  <c r="V13" i="14"/>
  <c r="T104" i="14"/>
  <c r="V120" i="14"/>
  <c r="V28" i="14"/>
  <c r="X129" i="14"/>
  <c r="V133" i="14"/>
  <c r="X159" i="14"/>
  <c r="V163" i="14"/>
  <c r="T98" i="14"/>
  <c r="T42" i="14"/>
  <c r="Z76" i="14"/>
  <c r="Z75" i="14"/>
  <c r="AE54" i="13" l="1"/>
  <c r="Z70" i="14"/>
  <c r="Z125" i="14" s="1"/>
  <c r="Z129" i="14" s="1"/>
  <c r="Z131" i="14" s="1"/>
  <c r="Z133" i="14" s="1"/>
  <c r="Z135" i="14" s="1"/>
  <c r="Z98" i="14" s="1"/>
  <c r="Z69" i="14"/>
  <c r="AB54" i="14"/>
  <c r="AA62" i="14"/>
  <c r="AA57" i="14"/>
  <c r="AA66" i="14" s="1"/>
  <c r="AA58" i="14"/>
  <c r="AA72" i="14" s="1"/>
  <c r="Y146" i="14"/>
  <c r="Y35" i="14"/>
  <c r="Y125" i="14"/>
  <c r="Y129" i="14" s="1"/>
  <c r="Y131" i="14" s="1"/>
  <c r="Y133" i="14" s="1"/>
  <c r="Y135" i="14" s="1"/>
  <c r="Y98" i="14" s="1"/>
  <c r="Y64" i="14"/>
  <c r="Y112" i="14"/>
  <c r="Y63" i="14"/>
  <c r="W118" i="14"/>
  <c r="W26" i="14"/>
  <c r="W150" i="14"/>
  <c r="W41" i="14"/>
  <c r="W40" i="14" s="1"/>
  <c r="U13" i="14"/>
  <c r="U12" i="14" s="1"/>
  <c r="U25" i="14"/>
  <c r="U120" i="14"/>
  <c r="U28" i="14"/>
  <c r="U152" i="14"/>
  <c r="U43" i="14"/>
  <c r="U42" i="14" s="1"/>
  <c r="T27" i="14"/>
  <c r="T15" i="14"/>
  <c r="T14" i="14" s="1"/>
  <c r="T122" i="14"/>
  <c r="T30" i="14"/>
  <c r="X9" i="14"/>
  <c r="W140" i="14"/>
  <c r="W110" i="14"/>
  <c r="X7" i="14"/>
  <c r="V165" i="14"/>
  <c r="V27" i="14"/>
  <c r="V15" i="14"/>
  <c r="X118" i="14"/>
  <c r="X26" i="14"/>
  <c r="V30" i="14"/>
  <c r="V122" i="14"/>
  <c r="V135" i="14"/>
  <c r="AA69" i="14"/>
  <c r="AA70" i="14"/>
  <c r="T44" i="14"/>
  <c r="Z142" i="14"/>
  <c r="X161" i="14"/>
  <c r="X131" i="14"/>
  <c r="V12" i="14"/>
  <c r="Z155" i="14"/>
  <c r="V40" i="14"/>
  <c r="Z64" i="14"/>
  <c r="V152" i="14"/>
  <c r="V43" i="14"/>
  <c r="X148" i="14"/>
  <c r="X39" i="14"/>
  <c r="T29" i="14" l="1"/>
  <c r="T17" i="14"/>
  <c r="T16" i="14" s="1"/>
  <c r="T97" i="14"/>
  <c r="T32" i="14"/>
  <c r="U45" i="14"/>
  <c r="U44" i="14" s="1"/>
  <c r="U103" i="14"/>
  <c r="U27" i="14"/>
  <c r="U15" i="14"/>
  <c r="U14" i="14" s="1"/>
  <c r="U122" i="14"/>
  <c r="U30" i="14"/>
  <c r="W152" i="14"/>
  <c r="W43" i="14"/>
  <c r="W42" i="14" s="1"/>
  <c r="W13" i="14"/>
  <c r="W12" i="14" s="1"/>
  <c r="W25" i="14"/>
  <c r="W120" i="14"/>
  <c r="W28" i="14"/>
  <c r="Y116" i="14"/>
  <c r="Y22" i="14"/>
  <c r="Y9" i="14" s="1"/>
  <c r="Y148" i="14"/>
  <c r="Y39" i="14"/>
  <c r="Y38" i="14" s="1"/>
  <c r="AA76" i="14"/>
  <c r="AA155" i="14" s="1"/>
  <c r="AA159" i="14" s="1"/>
  <c r="AA161" i="14" s="1"/>
  <c r="AA163" i="14" s="1"/>
  <c r="AA165" i="14" s="1"/>
  <c r="AA104" i="14" s="1"/>
  <c r="AA75" i="14"/>
  <c r="AA142" i="14" s="1"/>
  <c r="AC54" i="14"/>
  <c r="AB58" i="14"/>
  <c r="AB72" i="14" s="1"/>
  <c r="AB62" i="14"/>
  <c r="AB57" i="14"/>
  <c r="AB66" i="14" s="1"/>
  <c r="Z112" i="14"/>
  <c r="Z63" i="14"/>
  <c r="AA125" i="14"/>
  <c r="AA64" i="14"/>
  <c r="AA112" i="14"/>
  <c r="AA63" i="14"/>
  <c r="V104" i="14"/>
  <c r="X140" i="14"/>
  <c r="X110" i="14"/>
  <c r="Y7" i="14"/>
  <c r="X150" i="14"/>
  <c r="X41" i="14"/>
  <c r="Z146" i="14"/>
  <c r="Z35" i="14"/>
  <c r="X25" i="14"/>
  <c r="X13" i="14"/>
  <c r="V42" i="14"/>
  <c r="X120" i="14"/>
  <c r="X28" i="14"/>
  <c r="V103" i="14"/>
  <c r="V45" i="14"/>
  <c r="Z159" i="14"/>
  <c r="X133" i="14"/>
  <c r="V98" i="14"/>
  <c r="V32" i="14"/>
  <c r="V97" i="14"/>
  <c r="X38" i="14"/>
  <c r="V17" i="14"/>
  <c r="V29" i="14"/>
  <c r="V14" i="14"/>
  <c r="X163" i="14"/>
  <c r="Z116" i="14" l="1"/>
  <c r="Z22" i="14"/>
  <c r="Z9" i="14" s="1"/>
  <c r="AB70" i="14"/>
  <c r="AB69" i="14"/>
  <c r="AB75" i="14"/>
  <c r="AB142" i="14" s="1"/>
  <c r="AB76" i="14"/>
  <c r="AB155" i="14" s="1"/>
  <c r="AB159" i="14" s="1"/>
  <c r="AB161" i="14" s="1"/>
  <c r="AB163" i="14" s="1"/>
  <c r="AB165" i="14" s="1"/>
  <c r="AB104" i="14" s="1"/>
  <c r="AD54" i="14"/>
  <c r="AC62" i="14"/>
  <c r="AC58" i="14"/>
  <c r="AC72" i="14" s="1"/>
  <c r="AC57" i="14"/>
  <c r="AC66" i="14" s="1"/>
  <c r="AA146" i="14"/>
  <c r="AA35" i="14"/>
  <c r="Y150" i="14"/>
  <c r="Y41" i="14"/>
  <c r="Y40" i="14" s="1"/>
  <c r="Y118" i="14"/>
  <c r="Y26" i="14"/>
  <c r="W27" i="14"/>
  <c r="W15" i="14"/>
  <c r="W14" i="14" s="1"/>
  <c r="W122" i="14"/>
  <c r="W30" i="14"/>
  <c r="W103" i="14"/>
  <c r="W45" i="14"/>
  <c r="W44" i="14" s="1"/>
  <c r="U29" i="14"/>
  <c r="U17" i="14"/>
  <c r="U16" i="14" s="1"/>
  <c r="U97" i="14"/>
  <c r="U32" i="14"/>
  <c r="T83" i="14"/>
  <c r="T84" i="14" s="1"/>
  <c r="T31" i="14"/>
  <c r="T82" i="14"/>
  <c r="T19" i="14"/>
  <c r="X135" i="14"/>
  <c r="X122" i="14"/>
  <c r="X30" i="14"/>
  <c r="V16" i="14"/>
  <c r="Z161" i="14"/>
  <c r="X12" i="14"/>
  <c r="Z148" i="14"/>
  <c r="Z39" i="14"/>
  <c r="V44" i="14"/>
  <c r="X40" i="14"/>
  <c r="X152" i="14"/>
  <c r="X43" i="14"/>
  <c r="Y140" i="14"/>
  <c r="Y110" i="14"/>
  <c r="Z7" i="14"/>
  <c r="AA116" i="14"/>
  <c r="AA22" i="14"/>
  <c r="AA9" i="14" s="1"/>
  <c r="X165" i="14"/>
  <c r="V82" i="14"/>
  <c r="V83" i="14"/>
  <c r="V84" i="14" s="1"/>
  <c r="V31" i="14"/>
  <c r="V19" i="14"/>
  <c r="X15" i="14"/>
  <c r="X27" i="14"/>
  <c r="AA129" i="14"/>
  <c r="T18" i="14" l="1"/>
  <c r="T85" i="14"/>
  <c r="T94" i="14" s="1"/>
  <c r="T86" i="14"/>
  <c r="T100" i="14" s="1"/>
  <c r="T90" i="14"/>
  <c r="U83" i="14"/>
  <c r="U84" i="14" s="1"/>
  <c r="U82" i="14"/>
  <c r="U31" i="14"/>
  <c r="U19" i="14"/>
  <c r="W29" i="14"/>
  <c r="W17" i="14"/>
  <c r="W16" i="14" s="1"/>
  <c r="W97" i="14"/>
  <c r="W32" i="14"/>
  <c r="Y25" i="14"/>
  <c r="Y13" i="14"/>
  <c r="Y12" i="14" s="1"/>
  <c r="Y120" i="14"/>
  <c r="Y28" i="14"/>
  <c r="Y152" i="14"/>
  <c r="Y43" i="14"/>
  <c r="Y42" i="14" s="1"/>
  <c r="AA148" i="14"/>
  <c r="AA39" i="14"/>
  <c r="AA38" i="14" s="1"/>
  <c r="AC69" i="14"/>
  <c r="AC70" i="14"/>
  <c r="AC75" i="14"/>
  <c r="AC142" i="14" s="1"/>
  <c r="AC76" i="14"/>
  <c r="AC155" i="14" s="1"/>
  <c r="AE54" i="14"/>
  <c r="AD58" i="14"/>
  <c r="AD72" i="14" s="1"/>
  <c r="AD57" i="14"/>
  <c r="AD66" i="14" s="1"/>
  <c r="AD62" i="14"/>
  <c r="AB146" i="14"/>
  <c r="AB35" i="14"/>
  <c r="AB112" i="14"/>
  <c r="AB63" i="14"/>
  <c r="AB125" i="14"/>
  <c r="AB129" i="14" s="1"/>
  <c r="AB131" i="14" s="1"/>
  <c r="AB133" i="14" s="1"/>
  <c r="AB135" i="14" s="1"/>
  <c r="AB98" i="14" s="1"/>
  <c r="AB64" i="14"/>
  <c r="Z118" i="14"/>
  <c r="Z26" i="14"/>
  <c r="Z25" i="14" s="1"/>
  <c r="X103" i="14"/>
  <c r="X45" i="14"/>
  <c r="Z163" i="14"/>
  <c r="AC159" i="14"/>
  <c r="Z38" i="14"/>
  <c r="Z13" i="14"/>
  <c r="T101" i="14"/>
  <c r="T102" i="14"/>
  <c r="Z150" i="14"/>
  <c r="Z41" i="14"/>
  <c r="AC146" i="14"/>
  <c r="AC35" i="14"/>
  <c r="X104" i="14"/>
  <c r="AA131" i="14"/>
  <c r="X14" i="14"/>
  <c r="T95" i="14"/>
  <c r="T96" i="14"/>
  <c r="X29" i="14"/>
  <c r="X17" i="14"/>
  <c r="X97" i="14"/>
  <c r="X32" i="14"/>
  <c r="V86" i="14"/>
  <c r="V85" i="14"/>
  <c r="V90" i="14"/>
  <c r="V18" i="14"/>
  <c r="AA118" i="14"/>
  <c r="AA26" i="14"/>
  <c r="Z140" i="14"/>
  <c r="Z110" i="14"/>
  <c r="AA7" i="14"/>
  <c r="X42" i="14"/>
  <c r="X98" i="14"/>
  <c r="Z120" i="14" l="1"/>
  <c r="Z28" i="14"/>
  <c r="Z27" i="14" s="1"/>
  <c r="AB116" i="14"/>
  <c r="AB22" i="14"/>
  <c r="AB9" i="14" s="1"/>
  <c r="AB148" i="14"/>
  <c r="AB39" i="14"/>
  <c r="AB38" i="14" s="1"/>
  <c r="AD70" i="14"/>
  <c r="AD69" i="14"/>
  <c r="AD76" i="14"/>
  <c r="AD155" i="14" s="1"/>
  <c r="AD159" i="14" s="1"/>
  <c r="AD161" i="14" s="1"/>
  <c r="AD163" i="14" s="1"/>
  <c r="AD165" i="14" s="1"/>
  <c r="AD104" i="14" s="1"/>
  <c r="AD75" i="14"/>
  <c r="AD142" i="14" s="1"/>
  <c r="AE57" i="14"/>
  <c r="AE62" i="14"/>
  <c r="AF62" i="14" s="1"/>
  <c r="AE58" i="14"/>
  <c r="AF54" i="14"/>
  <c r="AC125" i="14"/>
  <c r="AC129" i="14" s="1"/>
  <c r="AC131" i="14" s="1"/>
  <c r="AC133" i="14" s="1"/>
  <c r="AC135" i="14" s="1"/>
  <c r="AC98" i="14" s="1"/>
  <c r="AC64" i="14"/>
  <c r="AC112" i="14"/>
  <c r="AC63" i="14"/>
  <c r="AA150" i="14"/>
  <c r="AA41" i="14"/>
  <c r="AA40" i="14" s="1"/>
  <c r="Y103" i="14"/>
  <c r="Y45" i="14"/>
  <c r="Y44" i="14" s="1"/>
  <c r="Y15" i="14"/>
  <c r="Y14" i="14" s="1"/>
  <c r="Y27" i="14"/>
  <c r="Y122" i="14"/>
  <c r="Y30" i="14"/>
  <c r="W82" i="14"/>
  <c r="W83" i="14"/>
  <c r="W84" i="14" s="1"/>
  <c r="W31" i="14"/>
  <c r="W19" i="14"/>
  <c r="U18" i="14"/>
  <c r="U90" i="14"/>
  <c r="U86" i="14"/>
  <c r="U100" i="14" s="1"/>
  <c r="U85" i="14"/>
  <c r="U94" i="14" s="1"/>
  <c r="T91" i="14"/>
  <c r="T92" i="14"/>
  <c r="AA25" i="14"/>
  <c r="AA13" i="14"/>
  <c r="AA12" i="14" s="1"/>
  <c r="AA133" i="14"/>
  <c r="AC161" i="14"/>
  <c r="AA120" i="14"/>
  <c r="AA30" i="14" s="1"/>
  <c r="AA28" i="14"/>
  <c r="X83" i="14"/>
  <c r="X84" i="14" s="1"/>
  <c r="X82" i="14"/>
  <c r="X31" i="14"/>
  <c r="X19" i="14"/>
  <c r="X16" i="14"/>
  <c r="Z12" i="14"/>
  <c r="Z165" i="14"/>
  <c r="AC148" i="14"/>
  <c r="AC39" i="14"/>
  <c r="AA110" i="14"/>
  <c r="AA140" i="14"/>
  <c r="AB7" i="14"/>
  <c r="V91" i="14"/>
  <c r="V92" i="14"/>
  <c r="V94" i="14"/>
  <c r="Z40" i="14"/>
  <c r="Z15" i="14"/>
  <c r="X44" i="14"/>
  <c r="V100" i="14"/>
  <c r="Z152" i="14"/>
  <c r="Z43" i="14"/>
  <c r="U96" i="14" l="1"/>
  <c r="U95" i="14"/>
  <c r="U102" i="14"/>
  <c r="U101" i="14"/>
  <c r="U92" i="14"/>
  <c r="U91" i="14"/>
  <c r="W18" i="14"/>
  <c r="W86" i="14"/>
  <c r="W100" i="14" s="1"/>
  <c r="W90" i="14"/>
  <c r="W85" i="14"/>
  <c r="W94" i="14" s="1"/>
  <c r="Y17" i="14"/>
  <c r="Y16" i="14" s="1"/>
  <c r="Y29" i="14"/>
  <c r="Y97" i="14"/>
  <c r="Y32" i="14"/>
  <c r="AA152" i="14"/>
  <c r="AA43" i="14"/>
  <c r="AA42" i="14" s="1"/>
  <c r="AC116" i="14"/>
  <c r="AC22" i="14"/>
  <c r="AC9" i="14" s="1"/>
  <c r="AE72" i="14"/>
  <c r="AF58" i="14"/>
  <c r="AE66" i="14"/>
  <c r="AF57" i="14"/>
  <c r="AD146" i="14"/>
  <c r="AD35" i="14"/>
  <c r="AD112" i="14"/>
  <c r="AD63" i="14"/>
  <c r="AD125" i="14"/>
  <c r="AD129" i="14" s="1"/>
  <c r="AD131" i="14" s="1"/>
  <c r="AD133" i="14" s="1"/>
  <c r="AD135" i="14" s="1"/>
  <c r="AD98" i="14" s="1"/>
  <c r="AD64" i="14"/>
  <c r="AB150" i="14"/>
  <c r="AB41" i="14"/>
  <c r="AB40" i="14" s="1"/>
  <c r="AB118" i="14"/>
  <c r="AB26" i="14"/>
  <c r="Z122" i="14"/>
  <c r="Z30" i="14"/>
  <c r="Z29" i="14" s="1"/>
  <c r="Z104" i="14"/>
  <c r="AA122" i="14"/>
  <c r="Z14" i="14"/>
  <c r="AB110" i="14"/>
  <c r="AB140" i="14"/>
  <c r="AC7" i="14"/>
  <c r="X18" i="14"/>
  <c r="AC163" i="14"/>
  <c r="Z103" i="14"/>
  <c r="Z45" i="14"/>
  <c r="AC38" i="14"/>
  <c r="AC150" i="14"/>
  <c r="AC41" i="14"/>
  <c r="X85" i="14"/>
  <c r="X86" i="14"/>
  <c r="X90" i="14"/>
  <c r="AA135" i="14"/>
  <c r="V101" i="14"/>
  <c r="V102" i="14"/>
  <c r="Z42" i="14"/>
  <c r="Z17" i="14"/>
  <c r="V95" i="14"/>
  <c r="V96" i="14"/>
  <c r="AA27" i="14"/>
  <c r="AA15" i="14"/>
  <c r="AA14" i="14" s="1"/>
  <c r="Z97" i="14" l="1"/>
  <c r="Z32" i="14"/>
  <c r="Z31" i="14" s="1"/>
  <c r="AB13" i="14"/>
  <c r="AB12" i="14" s="1"/>
  <c r="AB25" i="14"/>
  <c r="AB120" i="14"/>
  <c r="AB28" i="14"/>
  <c r="AB152" i="14"/>
  <c r="AB43" i="14"/>
  <c r="AB42" i="14" s="1"/>
  <c r="AD116" i="14"/>
  <c r="AD22" i="14"/>
  <c r="AD9" i="14" s="1"/>
  <c r="AD148" i="14"/>
  <c r="AD39" i="14"/>
  <c r="AD38" i="14" s="1"/>
  <c r="AE69" i="14"/>
  <c r="AE70" i="14"/>
  <c r="AF66" i="14"/>
  <c r="AE76" i="14"/>
  <c r="AE75" i="14"/>
  <c r="AF72" i="14"/>
  <c r="AC118" i="14"/>
  <c r="AC26" i="14"/>
  <c r="AA103" i="14"/>
  <c r="AA45" i="14"/>
  <c r="AA44" i="14" s="1"/>
  <c r="Y83" i="14"/>
  <c r="Y84" i="14" s="1"/>
  <c r="Y82" i="14"/>
  <c r="Y19" i="14"/>
  <c r="Y31" i="14"/>
  <c r="W96" i="14"/>
  <c r="W95" i="14"/>
  <c r="W92" i="14"/>
  <c r="W91" i="14"/>
  <c r="W102" i="14"/>
  <c r="W101" i="14"/>
  <c r="Z16" i="14"/>
  <c r="AC165" i="14"/>
  <c r="AA98" i="14"/>
  <c r="AC40" i="14"/>
  <c r="AC152" i="14"/>
  <c r="AC43" i="14"/>
  <c r="AC140" i="14"/>
  <c r="AC110" i="14"/>
  <c r="AD7" i="14"/>
  <c r="X92" i="14"/>
  <c r="X91" i="14"/>
  <c r="X100" i="14"/>
  <c r="Z44" i="14"/>
  <c r="Z83" i="14"/>
  <c r="Z84" i="14" s="1"/>
  <c r="Z19" i="14"/>
  <c r="Z82" i="14"/>
  <c r="X94" i="14"/>
  <c r="AA29" i="14"/>
  <c r="AA17" i="14"/>
  <c r="AA16" i="14" s="1"/>
  <c r="AA97" i="14"/>
  <c r="AA32" i="14"/>
  <c r="Y18" i="14" l="1"/>
  <c r="Y85" i="14"/>
  <c r="Y94" i="14" s="1"/>
  <c r="Y90" i="14"/>
  <c r="Y86" i="14"/>
  <c r="Y100" i="14" s="1"/>
  <c r="AC25" i="14"/>
  <c r="AC13" i="14"/>
  <c r="AC12" i="14" s="1"/>
  <c r="AC120" i="14"/>
  <c r="AC28" i="14"/>
  <c r="AE142" i="14"/>
  <c r="AF75" i="14"/>
  <c r="AE155" i="14"/>
  <c r="AF76" i="14"/>
  <c r="AE125" i="14"/>
  <c r="AF70" i="14"/>
  <c r="AE64" i="14"/>
  <c r="AE112" i="14"/>
  <c r="AF69" i="14"/>
  <c r="AE63" i="14"/>
  <c r="AD150" i="14"/>
  <c r="AD41" i="14"/>
  <c r="AD40" i="14" s="1"/>
  <c r="AD118" i="14"/>
  <c r="AD26" i="14"/>
  <c r="AB103" i="14"/>
  <c r="AB45" i="14"/>
  <c r="AB44" i="14" s="1"/>
  <c r="AB27" i="14"/>
  <c r="AB15" i="14"/>
  <c r="AB14" i="14" s="1"/>
  <c r="AB122" i="14"/>
  <c r="AB30" i="14"/>
  <c r="X95" i="14"/>
  <c r="X96" i="14"/>
  <c r="X102" i="14"/>
  <c r="X101" i="14"/>
  <c r="AC104" i="14"/>
  <c r="Z90" i="14"/>
  <c r="Z86" i="14"/>
  <c r="Z85" i="14"/>
  <c r="AC42" i="14"/>
  <c r="AC103" i="14"/>
  <c r="AC45" i="14"/>
  <c r="Z18" i="14"/>
  <c r="AA82" i="14"/>
  <c r="AA83" i="14"/>
  <c r="AA84" i="14" s="1"/>
  <c r="AA31" i="14"/>
  <c r="AA19" i="14"/>
  <c r="AD140" i="14"/>
  <c r="AD110" i="14"/>
  <c r="AE7" i="14"/>
  <c r="AA18" i="14" l="1"/>
  <c r="AB17" i="14"/>
  <c r="AB16" i="14" s="1"/>
  <c r="AB29" i="14"/>
  <c r="AB97" i="14"/>
  <c r="AB32" i="14"/>
  <c r="AD25" i="14"/>
  <c r="AD13" i="14"/>
  <c r="AD12" i="14" s="1"/>
  <c r="AD120" i="14"/>
  <c r="AD28" i="14"/>
  <c r="AD152" i="14"/>
  <c r="AD43" i="14"/>
  <c r="AD42" i="14" s="1"/>
  <c r="AE116" i="14"/>
  <c r="AE22" i="14"/>
  <c r="AF112" i="14"/>
  <c r="AE129" i="14"/>
  <c r="AF125" i="14"/>
  <c r="AE159" i="14"/>
  <c r="AF155" i="14"/>
  <c r="AE146" i="14"/>
  <c r="AE35" i="14"/>
  <c r="AF35" i="14" s="1"/>
  <c r="AF142" i="14"/>
  <c r="AC27" i="14"/>
  <c r="AC15" i="14"/>
  <c r="AC14" i="14" s="1"/>
  <c r="AC122" i="14"/>
  <c r="AC30" i="14"/>
  <c r="Y102" i="14"/>
  <c r="Y101" i="14"/>
  <c r="Y92" i="14"/>
  <c r="Y91" i="14"/>
  <c r="Y96" i="14"/>
  <c r="Y95" i="14"/>
  <c r="AA90" i="14"/>
  <c r="AA86" i="14"/>
  <c r="AA100" i="14" s="1"/>
  <c r="AA85" i="14"/>
  <c r="AA94" i="14" s="1"/>
  <c r="AC44" i="14"/>
  <c r="Z94" i="14"/>
  <c r="Z100" i="14"/>
  <c r="AE140" i="14"/>
  <c r="AE110" i="14"/>
  <c r="Z91" i="14"/>
  <c r="Z92" i="14"/>
  <c r="AC29" i="14" l="1"/>
  <c r="AC17" i="14"/>
  <c r="AC16" i="14" s="1"/>
  <c r="AC97" i="14"/>
  <c r="AC32" i="14"/>
  <c r="AE148" i="14"/>
  <c r="AE39" i="14"/>
  <c r="AF146" i="14"/>
  <c r="AF145" i="14" s="1"/>
  <c r="AE161" i="14"/>
  <c r="AF159" i="14"/>
  <c r="AF158" i="14" s="1"/>
  <c r="AE131" i="14"/>
  <c r="AF129" i="14"/>
  <c r="AF128" i="14" s="1"/>
  <c r="AF22" i="14"/>
  <c r="AE9" i="14"/>
  <c r="AF9" i="14" s="1"/>
  <c r="AE118" i="14"/>
  <c r="AE26" i="14"/>
  <c r="AF116" i="14"/>
  <c r="AF115" i="14" s="1"/>
  <c r="AD103" i="14"/>
  <c r="AD45" i="14"/>
  <c r="AD44" i="14" s="1"/>
  <c r="AD27" i="14"/>
  <c r="AD15" i="14"/>
  <c r="AD14" i="14" s="1"/>
  <c r="AD122" i="14"/>
  <c r="AD30" i="14"/>
  <c r="AB83" i="14"/>
  <c r="AB84" i="14" s="1"/>
  <c r="AB82" i="14"/>
  <c r="AB31" i="14"/>
  <c r="AB19" i="14"/>
  <c r="Z102" i="14"/>
  <c r="Z101" i="14"/>
  <c r="AA95" i="14"/>
  <c r="AA96" i="14"/>
  <c r="AA102" i="14"/>
  <c r="AA101" i="14"/>
  <c r="AA92" i="14"/>
  <c r="AA91" i="14"/>
  <c r="Z96" i="14"/>
  <c r="Z95" i="14"/>
  <c r="AB18" i="14" l="1"/>
  <c r="AB86" i="14"/>
  <c r="AB100" i="14" s="1"/>
  <c r="AB85" i="14"/>
  <c r="AB94" i="14" s="1"/>
  <c r="AB90" i="14"/>
  <c r="AD17" i="14"/>
  <c r="AD16" i="14" s="1"/>
  <c r="AD29" i="14"/>
  <c r="AD32" i="14"/>
  <c r="AD97" i="14"/>
  <c r="AE25" i="14"/>
  <c r="AE13" i="14"/>
  <c r="AF26" i="14"/>
  <c r="AF25" i="14" s="1"/>
  <c r="AE120" i="14"/>
  <c r="AE28" i="14"/>
  <c r="AF118" i="14"/>
  <c r="AF117" i="14" s="1"/>
  <c r="AE133" i="14"/>
  <c r="AF131" i="14"/>
  <c r="AF130" i="14" s="1"/>
  <c r="AE163" i="14"/>
  <c r="AF161" i="14"/>
  <c r="AF160" i="14" s="1"/>
  <c r="AE38" i="14"/>
  <c r="AF39" i="14"/>
  <c r="AF38" i="14" s="1"/>
  <c r="AE150" i="14"/>
  <c r="AE41" i="14"/>
  <c r="AF148" i="14"/>
  <c r="AF147" i="14" s="1"/>
  <c r="AC31" i="14"/>
  <c r="AC19" i="14"/>
  <c r="AC82" i="14"/>
  <c r="AC83" i="14"/>
  <c r="AC84" i="14" s="1"/>
  <c r="AC90" i="14" l="1"/>
  <c r="AC86" i="14"/>
  <c r="AC100" i="14" s="1"/>
  <c r="AC85" i="14"/>
  <c r="AC94" i="14" s="1"/>
  <c r="AC18" i="14"/>
  <c r="AE40" i="14"/>
  <c r="AF41" i="14"/>
  <c r="AF40" i="14" s="1"/>
  <c r="AE152" i="14"/>
  <c r="AE43" i="14"/>
  <c r="AF150" i="14"/>
  <c r="AE165" i="14"/>
  <c r="AF163" i="14"/>
  <c r="AF162" i="14" s="1"/>
  <c r="AE135" i="14"/>
  <c r="AF133" i="14"/>
  <c r="AE27" i="14"/>
  <c r="AE15" i="14"/>
  <c r="AF28" i="14"/>
  <c r="AF27" i="14" s="1"/>
  <c r="AE122" i="14"/>
  <c r="AE30" i="14"/>
  <c r="AF120" i="14"/>
  <c r="AE12" i="14"/>
  <c r="AF13" i="14"/>
  <c r="AF12" i="14" s="1"/>
  <c r="AD82" i="14"/>
  <c r="AD83" i="14"/>
  <c r="AD84" i="14" s="1"/>
  <c r="AD19" i="14"/>
  <c r="AD31" i="14"/>
  <c r="AB91" i="14"/>
  <c r="AB92" i="14"/>
  <c r="AB96" i="14"/>
  <c r="AB95" i="14"/>
  <c r="AB102" i="14"/>
  <c r="AB101" i="14"/>
  <c r="AC102" i="14"/>
  <c r="AC101" i="14"/>
  <c r="AD18" i="14" l="1"/>
  <c r="AD86" i="14"/>
  <c r="AD100" i="14" s="1"/>
  <c r="AD90" i="14"/>
  <c r="AD85" i="14"/>
  <c r="AD94" i="14" s="1"/>
  <c r="AE29" i="14"/>
  <c r="AE17" i="14"/>
  <c r="AF30" i="14"/>
  <c r="AF29" i="14" s="1"/>
  <c r="AE97" i="14"/>
  <c r="AF97" i="14" s="1"/>
  <c r="AE32" i="14"/>
  <c r="AF122" i="14"/>
  <c r="AF121" i="14" s="1"/>
  <c r="AE14" i="14"/>
  <c r="AF15" i="14"/>
  <c r="AF14" i="14" s="1"/>
  <c r="AE98" i="14"/>
  <c r="AF98" i="14" s="1"/>
  <c r="AF135" i="14"/>
  <c r="AF134" i="14" s="1"/>
  <c r="AE104" i="14"/>
  <c r="AF104" i="14" s="1"/>
  <c r="AF165" i="14"/>
  <c r="AF164" i="14" s="1"/>
  <c r="AE42" i="14"/>
  <c r="AF43" i="14"/>
  <c r="AF42" i="14" s="1"/>
  <c r="AE103" i="14"/>
  <c r="AF103" i="14" s="1"/>
  <c r="AE45" i="14"/>
  <c r="AF152" i="14"/>
  <c r="AF151" i="14" s="1"/>
  <c r="AC96" i="14"/>
  <c r="AC95" i="14"/>
  <c r="AC91" i="14"/>
  <c r="AC92" i="14"/>
  <c r="AE44" i="14" l="1"/>
  <c r="AF45" i="14"/>
  <c r="AF44" i="14" s="1"/>
  <c r="AE82" i="14"/>
  <c r="AE31" i="14"/>
  <c r="AE83" i="14"/>
  <c r="AE84" i="14" s="1"/>
  <c r="AE19" i="14"/>
  <c r="AF32" i="14"/>
  <c r="AE16" i="14"/>
  <c r="AF17" i="14"/>
  <c r="AF16" i="14" s="1"/>
  <c r="AD96" i="14"/>
  <c r="AD95" i="14"/>
  <c r="AD91" i="14"/>
  <c r="AD92" i="14"/>
  <c r="AD102" i="14"/>
  <c r="AD101" i="14"/>
  <c r="AF83" i="14" l="1"/>
  <c r="AF84" i="14" s="1"/>
  <c r="AF31" i="14"/>
  <c r="AE18" i="14"/>
  <c r="AF19" i="14"/>
  <c r="AE86" i="14"/>
  <c r="AE90" i="14"/>
  <c r="AE85" i="14"/>
  <c r="AF82" i="14"/>
  <c r="AE94" i="14" l="1"/>
  <c r="AF85" i="14"/>
  <c r="AE92" i="14"/>
  <c r="AE91" i="14"/>
  <c r="AF90" i="14"/>
  <c r="AE100" i="14"/>
  <c r="AF86" i="14"/>
  <c r="AF18" i="14"/>
  <c r="AH19" i="14"/>
  <c r="AI19" i="14" s="1"/>
  <c r="AI13" i="14" l="1"/>
  <c r="AI12" i="14" s="1"/>
  <c r="AG13" i="14"/>
  <c r="AG12" i="14" s="1"/>
  <c r="AH13" i="14"/>
  <c r="AH12" i="14" s="1"/>
  <c r="AK13" i="14"/>
  <c r="AK12" i="14" s="1"/>
  <c r="AJ13" i="14"/>
  <c r="AJ12" i="14" s="1"/>
  <c r="AM13" i="14"/>
  <c r="AM12" i="14" s="1"/>
  <c r="AL13" i="14"/>
  <c r="AL12" i="14" s="1"/>
  <c r="AN13" i="14"/>
  <c r="AN12" i="14" s="1"/>
  <c r="AO13" i="14"/>
  <c r="AO12" i="14" s="1"/>
  <c r="AP13" i="14"/>
  <c r="AP12" i="14" s="1"/>
  <c r="AQ13" i="14"/>
  <c r="AQ12" i="14" s="1"/>
  <c r="AR13" i="14"/>
  <c r="AR12" i="14" s="1"/>
  <c r="AE101" i="14"/>
  <c r="AF100" i="14"/>
  <c r="AE102" i="14"/>
  <c r="AF92" i="14"/>
  <c r="AF91" i="14"/>
  <c r="AF94" i="14"/>
  <c r="AE96" i="14"/>
  <c r="AE95" i="14"/>
  <c r="O83" i="13"/>
  <c r="O84" i="13" s="1"/>
  <c r="N83" i="13"/>
  <c r="N84" i="13" s="1"/>
  <c r="M83" i="13"/>
  <c r="M84" i="13" s="1"/>
  <c r="L83" i="13"/>
  <c r="L84" i="13" s="1"/>
  <c r="K83" i="13"/>
  <c r="K84" i="13" s="1"/>
  <c r="J83" i="13"/>
  <c r="J84" i="13" s="1"/>
  <c r="I83" i="13"/>
  <c r="I84" i="13" s="1"/>
  <c r="H83" i="13"/>
  <c r="H84" i="13" s="1"/>
  <c r="G83" i="13"/>
  <c r="G84" i="13" s="1"/>
  <c r="G55" i="13"/>
  <c r="G56" i="13" s="1"/>
  <c r="O82" i="13"/>
  <c r="N82" i="13"/>
  <c r="M82" i="13"/>
  <c r="L82" i="13"/>
  <c r="L85" i="13" s="1"/>
  <c r="K82" i="13"/>
  <c r="J82" i="13"/>
  <c r="I82" i="13"/>
  <c r="H82" i="13"/>
  <c r="G82" i="13"/>
  <c r="H81" i="13"/>
  <c r="I81" i="13" s="1"/>
  <c r="J81" i="13" s="1"/>
  <c r="K81" i="13" s="1"/>
  <c r="L81" i="13" s="1"/>
  <c r="M81" i="13" s="1"/>
  <c r="N81" i="13" s="1"/>
  <c r="O81" i="13" s="1"/>
  <c r="P81" i="13" s="1"/>
  <c r="Q81" i="13" s="1"/>
  <c r="R81" i="13" s="1"/>
  <c r="T81" i="13" s="1"/>
  <c r="U81" i="13" s="1"/>
  <c r="V81" i="13" s="1"/>
  <c r="W81" i="13" s="1"/>
  <c r="X81" i="13" s="1"/>
  <c r="Y81" i="13" s="1"/>
  <c r="Z81" i="13" s="1"/>
  <c r="AA81" i="13" s="1"/>
  <c r="AB81" i="13" s="1"/>
  <c r="AC81" i="13" s="1"/>
  <c r="AD81" i="13" s="1"/>
  <c r="AE81" i="13" s="1"/>
  <c r="O19" i="13"/>
  <c r="N19" i="13"/>
  <c r="M19" i="13"/>
  <c r="L19" i="13"/>
  <c r="K19" i="13"/>
  <c r="J19" i="13"/>
  <c r="I19" i="13"/>
  <c r="H19" i="13"/>
  <c r="G19" i="13"/>
  <c r="O9" i="13"/>
  <c r="N9" i="13"/>
  <c r="M9" i="13"/>
  <c r="L9" i="13"/>
  <c r="K9" i="13"/>
  <c r="J9" i="13"/>
  <c r="I9" i="13"/>
  <c r="H9" i="13"/>
  <c r="G9" i="13"/>
  <c r="AF140" i="13"/>
  <c r="AF110" i="13"/>
  <c r="P42" i="13"/>
  <c r="Q42" i="13" s="1"/>
  <c r="R42" i="13" s="1"/>
  <c r="P40" i="13"/>
  <c r="Q40" i="13" s="1"/>
  <c r="R40" i="13" s="1"/>
  <c r="P38" i="13"/>
  <c r="Q38" i="13" s="1"/>
  <c r="R38" i="13" s="1"/>
  <c r="P37" i="13"/>
  <c r="Q37" i="13" s="1"/>
  <c r="R37" i="13" s="1"/>
  <c r="P36" i="13"/>
  <c r="Q36" i="13" s="1"/>
  <c r="R36" i="13" s="1"/>
  <c r="P24" i="13"/>
  <c r="Q24" i="13" s="1"/>
  <c r="R24" i="13" s="1"/>
  <c r="P23" i="13"/>
  <c r="Q23" i="13" s="1"/>
  <c r="R23" i="13" s="1"/>
  <c r="P27" i="13"/>
  <c r="Q27" i="13" s="1"/>
  <c r="R27" i="13" s="1"/>
  <c r="P25" i="13"/>
  <c r="Q25" i="13" s="1"/>
  <c r="R25" i="13" s="1"/>
  <c r="R58" i="13"/>
  <c r="R35" i="13" s="1"/>
  <c r="Q58" i="13"/>
  <c r="Q35" i="13" s="1"/>
  <c r="P58" i="13"/>
  <c r="P35" i="13" s="1"/>
  <c r="R57" i="13"/>
  <c r="R22" i="13" s="1"/>
  <c r="R26" i="13" s="1"/>
  <c r="Q57" i="13"/>
  <c r="Q22" i="13" s="1"/>
  <c r="Q26" i="13" s="1"/>
  <c r="P57" i="13"/>
  <c r="P22" i="13" s="1"/>
  <c r="P26" i="13" s="1"/>
  <c r="O39" i="13"/>
  <c r="O41" i="13" s="1"/>
  <c r="N39" i="13"/>
  <c r="N41" i="13" s="1"/>
  <c r="M39" i="13"/>
  <c r="M41" i="13" s="1"/>
  <c r="L39" i="13"/>
  <c r="L41" i="13" s="1"/>
  <c r="K39" i="13"/>
  <c r="K41" i="13" s="1"/>
  <c r="J39" i="13"/>
  <c r="J41" i="13" s="1"/>
  <c r="O28" i="13"/>
  <c r="N28" i="13"/>
  <c r="M28" i="13"/>
  <c r="L26" i="13"/>
  <c r="L28" i="13" s="1"/>
  <c r="K26" i="13"/>
  <c r="K28" i="13" s="1"/>
  <c r="J26" i="13"/>
  <c r="J28" i="13" s="1"/>
  <c r="I26" i="13"/>
  <c r="I28" i="13" s="1"/>
  <c r="I15" i="13" s="1"/>
  <c r="H26" i="13"/>
  <c r="H28" i="13" s="1"/>
  <c r="H15" i="13" s="1"/>
  <c r="G26" i="13"/>
  <c r="G28" i="13" s="1"/>
  <c r="G15" i="13" s="1"/>
  <c r="H53" i="13"/>
  <c r="I53" i="13" s="1"/>
  <c r="J53" i="13" s="1"/>
  <c r="K53" i="13" s="1"/>
  <c r="L53" i="13" s="1"/>
  <c r="M53" i="13" s="1"/>
  <c r="N53" i="13" s="1"/>
  <c r="O53" i="13" s="1"/>
  <c r="P53" i="13" s="1"/>
  <c r="Q53" i="13" s="1"/>
  <c r="R53" i="13" s="1"/>
  <c r="T53" i="13" s="1"/>
  <c r="U53" i="13" s="1"/>
  <c r="V53" i="13" s="1"/>
  <c r="W53" i="13" s="1"/>
  <c r="X53" i="13" s="1"/>
  <c r="Y53" i="13" s="1"/>
  <c r="Z53" i="13" s="1"/>
  <c r="AA53" i="13" s="1"/>
  <c r="AB53" i="13" s="1"/>
  <c r="AC53" i="13" s="1"/>
  <c r="AD53" i="13" s="1"/>
  <c r="AE53" i="13" s="1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V56" i="13"/>
  <c r="U56" i="13"/>
  <c r="W56" i="13"/>
  <c r="T56" i="13"/>
  <c r="O54" i="13"/>
  <c r="N54" i="13"/>
  <c r="M54" i="13"/>
  <c r="L54" i="13"/>
  <c r="K54" i="13"/>
  <c r="J54" i="13"/>
  <c r="I54" i="13"/>
  <c r="H54" i="13"/>
  <c r="G54" i="13"/>
  <c r="O55" i="13"/>
  <c r="O56" i="13" s="1"/>
  <c r="N55" i="13"/>
  <c r="N56" i="13" s="1"/>
  <c r="M55" i="13"/>
  <c r="M56" i="13" s="1"/>
  <c r="L55" i="13"/>
  <c r="L56" i="13" s="1"/>
  <c r="K55" i="13"/>
  <c r="K56" i="13" s="1"/>
  <c r="J55" i="13"/>
  <c r="J56" i="13" s="1"/>
  <c r="I55" i="13"/>
  <c r="I56" i="13" s="1"/>
  <c r="H55" i="13"/>
  <c r="H56" i="13" s="1"/>
  <c r="J146" i="13"/>
  <c r="J148" i="13" s="1"/>
  <c r="J150" i="13" s="1"/>
  <c r="J151" i="13" s="1"/>
  <c r="K146" i="13"/>
  <c r="K148" i="13" s="1"/>
  <c r="K150" i="13" s="1"/>
  <c r="K151" i="13" s="1"/>
  <c r="L146" i="13"/>
  <c r="L148" i="13" s="1"/>
  <c r="L150" i="13" s="1"/>
  <c r="L151" i="13" s="1"/>
  <c r="M146" i="13"/>
  <c r="M148" i="13" s="1"/>
  <c r="M150" i="13" s="1"/>
  <c r="M151" i="13" s="1"/>
  <c r="N146" i="13"/>
  <c r="N148" i="13" s="1"/>
  <c r="N150" i="13" s="1"/>
  <c r="N151" i="13" s="1"/>
  <c r="O146" i="13"/>
  <c r="O148" i="13" s="1"/>
  <c r="O150" i="13" s="1"/>
  <c r="O43" i="13"/>
  <c r="O44" i="13" s="1"/>
  <c r="P44" i="13" s="1"/>
  <c r="Q44" i="13" s="1"/>
  <c r="R44" i="13" s="1"/>
  <c r="O30" i="13"/>
  <c r="O31" i="13" s="1"/>
  <c r="P31" i="13" s="1"/>
  <c r="Q31" i="13" s="1"/>
  <c r="R31" i="13" s="1"/>
  <c r="M2" i="3"/>
  <c r="N43" i="13"/>
  <c r="N44" i="13" s="1"/>
  <c r="M43" i="13"/>
  <c r="M44" i="13" s="1"/>
  <c r="L43" i="13"/>
  <c r="L44" i="13" s="1"/>
  <c r="K43" i="13"/>
  <c r="K44" i="13" s="1"/>
  <c r="J43" i="13"/>
  <c r="J44" i="13" s="1"/>
  <c r="G6" i="13"/>
  <c r="H7" i="13"/>
  <c r="I7" i="13" s="1"/>
  <c r="G30" i="13"/>
  <c r="G17" i="13" s="1"/>
  <c r="H30" i="13"/>
  <c r="H17" i="13" s="1"/>
  <c r="I30" i="13"/>
  <c r="I17" i="13" s="1"/>
  <c r="J30" i="13"/>
  <c r="K30" i="13"/>
  <c r="L30" i="13"/>
  <c r="M30" i="13"/>
  <c r="N30" i="13"/>
  <c r="F127" i="3"/>
  <c r="G127" i="3"/>
  <c r="H127" i="3"/>
  <c r="I127" i="3" s="1"/>
  <c r="J127" i="3" s="1"/>
  <c r="K127" i="3" s="1"/>
  <c r="L127" i="3" s="1"/>
  <c r="M127" i="3" s="1"/>
  <c r="N127" i="3" s="1"/>
  <c r="O127" i="3" s="1"/>
  <c r="P127" i="3" s="1"/>
  <c r="R127" i="3" s="1"/>
  <c r="S127" i="3" s="1"/>
  <c r="T127" i="3" s="1"/>
  <c r="U127" i="3" s="1"/>
  <c r="V127" i="3" s="1"/>
  <c r="W127" i="3" s="1"/>
  <c r="X127" i="3" s="1"/>
  <c r="Y127" i="3" s="1"/>
  <c r="Z127" i="3" s="1"/>
  <c r="AA127" i="3" s="1"/>
  <c r="AB127" i="3" s="1"/>
  <c r="AC127" i="3" s="1"/>
  <c r="AD129" i="3"/>
  <c r="AD132" i="3" s="1"/>
  <c r="AD133" i="3"/>
  <c r="AD134" i="3"/>
  <c r="AD135" i="3"/>
  <c r="AD137" i="3"/>
  <c r="AD139" i="3"/>
  <c r="AD138" i="3" s="1"/>
  <c r="F111" i="3"/>
  <c r="G111" i="3" s="1"/>
  <c r="H111" i="3" s="1"/>
  <c r="I111" i="3" s="1"/>
  <c r="J111" i="3" s="1"/>
  <c r="K111" i="3" s="1"/>
  <c r="L111" i="3" s="1"/>
  <c r="M111" i="3" s="1"/>
  <c r="N111" i="3" s="1"/>
  <c r="O111" i="3" s="1"/>
  <c r="P111" i="3" s="1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3" i="3"/>
  <c r="AD116" i="3" s="1"/>
  <c r="AD117" i="3"/>
  <c r="AD119" i="3"/>
  <c r="AD118" i="3" s="1"/>
  <c r="AD121" i="3"/>
  <c r="AD122" i="3"/>
  <c r="AD123" i="3"/>
  <c r="U111" i="12"/>
  <c r="V111" i="12" s="1"/>
  <c r="T113" i="12"/>
  <c r="T115" i="12" s="1"/>
  <c r="T116" i="12" s="1"/>
  <c r="U114" i="12"/>
  <c r="V114" i="12" s="1"/>
  <c r="W114" i="12" s="1"/>
  <c r="X114" i="12"/>
  <c r="Y114" i="12"/>
  <c r="Z114" i="12" s="1"/>
  <c r="AA114" i="12" s="1"/>
  <c r="AB114" i="12" s="1"/>
  <c r="AC114" i="12" s="1"/>
  <c r="U117" i="12"/>
  <c r="V117" i="12"/>
  <c r="W117" i="12" s="1"/>
  <c r="X117" i="12" s="1"/>
  <c r="Y117" i="12" s="1"/>
  <c r="Z117" i="12" s="1"/>
  <c r="AA117" i="12" s="1"/>
  <c r="AB117" i="12" s="1"/>
  <c r="AC117" i="12" s="1"/>
  <c r="AD117" i="12" s="1"/>
  <c r="U120" i="12"/>
  <c r="V120" i="12"/>
  <c r="W120" i="12" s="1"/>
  <c r="X120" i="12" s="1"/>
  <c r="Y120" i="12"/>
  <c r="Z120" i="12" s="1"/>
  <c r="AA120" i="12" s="1"/>
  <c r="AB120" i="12" s="1"/>
  <c r="AC120" i="12" s="1"/>
  <c r="S99" i="12"/>
  <c r="U99" i="12" s="1"/>
  <c r="U101" i="12" s="1"/>
  <c r="T99" i="12"/>
  <c r="V99" i="12"/>
  <c r="X99" i="12" s="1"/>
  <c r="W99" i="12"/>
  <c r="E101" i="12"/>
  <c r="F101" i="12"/>
  <c r="G101" i="12"/>
  <c r="H101" i="12"/>
  <c r="I101" i="12"/>
  <c r="J101" i="12"/>
  <c r="K101" i="12"/>
  <c r="L101" i="12"/>
  <c r="M101" i="12"/>
  <c r="M103" i="12" s="1"/>
  <c r="M104" i="12" s="1"/>
  <c r="N101" i="12"/>
  <c r="O101" i="12"/>
  <c r="P101" i="12"/>
  <c r="R101" i="12"/>
  <c r="S101" i="12"/>
  <c r="S103" i="12" s="1"/>
  <c r="T101" i="12"/>
  <c r="V101" i="12"/>
  <c r="E102" i="12"/>
  <c r="F102" i="12"/>
  <c r="G102" i="12"/>
  <c r="H102" i="12"/>
  <c r="I102" i="12"/>
  <c r="J102" i="12"/>
  <c r="K102" i="12"/>
  <c r="L102" i="12"/>
  <c r="N102" i="12"/>
  <c r="O102" i="12"/>
  <c r="P102" i="12" s="1"/>
  <c r="S102" i="12"/>
  <c r="T102" i="12" s="1"/>
  <c r="O103" i="12"/>
  <c r="P103" i="12"/>
  <c r="R103" i="12"/>
  <c r="N105" i="12"/>
  <c r="O105" i="12" s="1"/>
  <c r="P105" i="12" s="1"/>
  <c r="Q105" i="12" s="1"/>
  <c r="S105" i="12"/>
  <c r="T105" i="12"/>
  <c r="U105" i="12"/>
  <c r="V105" i="12"/>
  <c r="W105" i="12" s="1"/>
  <c r="X105" i="12" s="1"/>
  <c r="Y105" i="12" s="1"/>
  <c r="Z105" i="12" s="1"/>
  <c r="AA105" i="12" s="1"/>
  <c r="AB105" i="12" s="1"/>
  <c r="AC105" i="12"/>
  <c r="AD105" i="12"/>
  <c r="E107" i="12"/>
  <c r="F107" i="12"/>
  <c r="G107" i="12"/>
  <c r="H107" i="12"/>
  <c r="I107" i="12"/>
  <c r="J107" i="12"/>
  <c r="K107" i="12"/>
  <c r="L107" i="12"/>
  <c r="S108" i="12"/>
  <c r="T108" i="12"/>
  <c r="U108" i="12"/>
  <c r="V108" i="12"/>
  <c r="W108" i="12" s="1"/>
  <c r="X108" i="12" s="1"/>
  <c r="Y108" i="12" s="1"/>
  <c r="Z108" i="12" s="1"/>
  <c r="AA108" i="12" s="1"/>
  <c r="AB108" i="12" s="1"/>
  <c r="AC108" i="12" s="1"/>
  <c r="M85" i="12"/>
  <c r="N85" i="12" s="1"/>
  <c r="O85" i="12" s="1"/>
  <c r="P85" i="12" s="1"/>
  <c r="R85" i="12" s="1"/>
  <c r="S85" i="12" s="1"/>
  <c r="T85" i="12" s="1"/>
  <c r="U85" i="12" s="1"/>
  <c r="V85" i="12" s="1"/>
  <c r="W85" i="12" s="1"/>
  <c r="X85" i="12" s="1"/>
  <c r="Y85" i="12" s="1"/>
  <c r="Z85" i="12" s="1"/>
  <c r="AA85" i="12" s="1"/>
  <c r="AB85" i="12" s="1"/>
  <c r="AC85" i="12" s="1"/>
  <c r="N87" i="12"/>
  <c r="E89" i="12"/>
  <c r="E90" i="12" s="1"/>
  <c r="F89" i="12"/>
  <c r="F90" i="12" s="1"/>
  <c r="G89" i="12"/>
  <c r="H89" i="12"/>
  <c r="I89" i="12"/>
  <c r="I90" i="12" s="1"/>
  <c r="J89" i="12"/>
  <c r="J90" i="12" s="1"/>
  <c r="K89" i="12"/>
  <c r="K90" i="12" s="1"/>
  <c r="L89" i="12"/>
  <c r="M89" i="12"/>
  <c r="N89" i="12"/>
  <c r="N91" i="12" s="1"/>
  <c r="G90" i="12"/>
  <c r="H90" i="12"/>
  <c r="L90" i="12"/>
  <c r="M91" i="12"/>
  <c r="I92" i="12"/>
  <c r="J92" i="12" s="1"/>
  <c r="K92" i="12" s="1"/>
  <c r="L92" i="12" s="1"/>
  <c r="M92" i="12" s="1"/>
  <c r="N93" i="12"/>
  <c r="O93" i="12"/>
  <c r="P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E95" i="12"/>
  <c r="F95" i="12"/>
  <c r="G95" i="12"/>
  <c r="H95" i="12"/>
  <c r="I95" i="12"/>
  <c r="J95" i="12"/>
  <c r="K95" i="12"/>
  <c r="L95" i="12"/>
  <c r="N96" i="12"/>
  <c r="M3" i="12"/>
  <c r="N3" i="12"/>
  <c r="O3" i="12"/>
  <c r="P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Q6" i="12"/>
  <c r="E12" i="12"/>
  <c r="F12" i="12"/>
  <c r="G12" i="12"/>
  <c r="H12" i="12"/>
  <c r="I12" i="12"/>
  <c r="J12" i="12"/>
  <c r="K12" i="12"/>
  <c r="L12" i="12"/>
  <c r="E13" i="12"/>
  <c r="F13" i="12"/>
  <c r="G13" i="12"/>
  <c r="H13" i="12"/>
  <c r="I13" i="12"/>
  <c r="J13" i="12"/>
  <c r="K13" i="12"/>
  <c r="L13" i="12"/>
  <c r="Q14" i="12"/>
  <c r="AE14" i="12"/>
  <c r="M17" i="12"/>
  <c r="Q18" i="12"/>
  <c r="AD18" i="12"/>
  <c r="Q19" i="12"/>
  <c r="AD19" i="12"/>
  <c r="Q20" i="12"/>
  <c r="AD20" i="12"/>
  <c r="Q21" i="12"/>
  <c r="AD21" i="12"/>
  <c r="Q22" i="12"/>
  <c r="AD22" i="12"/>
  <c r="G23" i="12"/>
  <c r="I23" i="12"/>
  <c r="I24" i="12" s="1"/>
  <c r="J23" i="12"/>
  <c r="J24" i="12" s="1"/>
  <c r="K23" i="12"/>
  <c r="K24" i="12" s="1"/>
  <c r="L23" i="12"/>
  <c r="L24" i="12" s="1"/>
  <c r="N24" i="12"/>
  <c r="O24" i="12" s="1"/>
  <c r="S24" i="12"/>
  <c r="U24" i="12" s="1"/>
  <c r="V24" i="12" s="1"/>
  <c r="W24" i="12" s="1"/>
  <c r="X24" i="12" s="1"/>
  <c r="Y24" i="12" s="1"/>
  <c r="Z24" i="12" s="1"/>
  <c r="AA24" i="12" s="1"/>
  <c r="AB24" i="12" s="1"/>
  <c r="AC24" i="12" s="1"/>
  <c r="T24" i="12"/>
  <c r="M34" i="12"/>
  <c r="M36" i="12" s="1"/>
  <c r="N34" i="12"/>
  <c r="O34" i="12"/>
  <c r="O36" i="12" s="1"/>
  <c r="P34" i="12"/>
  <c r="P36" i="12" s="1"/>
  <c r="Q34" i="12"/>
  <c r="R34" i="12"/>
  <c r="S34" i="12"/>
  <c r="S36" i="12" s="1"/>
  <c r="T34" i="12"/>
  <c r="T36" i="12" s="1"/>
  <c r="U34" i="12"/>
  <c r="U36" i="12" s="1"/>
  <c r="V34" i="12"/>
  <c r="W34" i="12"/>
  <c r="X34" i="12"/>
  <c r="X36" i="12" s="1"/>
  <c r="Y34" i="12"/>
  <c r="Z34" i="12"/>
  <c r="Z36" i="12" s="1"/>
  <c r="AA34" i="12"/>
  <c r="AA36" i="12" s="1"/>
  <c r="AB34" i="12"/>
  <c r="AB36" i="12" s="1"/>
  <c r="AC34" i="12"/>
  <c r="AC36" i="12" s="1"/>
  <c r="AD34" i="12"/>
  <c r="N36" i="12"/>
  <c r="Q36" i="12"/>
  <c r="R36" i="12"/>
  <c r="V36" i="12"/>
  <c r="W36" i="12"/>
  <c r="Y36" i="12"/>
  <c r="AD36" i="12"/>
  <c r="AA39" i="12"/>
  <c r="AB39" i="12"/>
  <c r="AC39" i="12" s="1"/>
  <c r="AC45" i="12" s="1"/>
  <c r="AC47" i="12" s="1"/>
  <c r="M45" i="12"/>
  <c r="N45" i="12"/>
  <c r="N47" i="12" s="1"/>
  <c r="O45" i="12"/>
  <c r="O47" i="12" s="1"/>
  <c r="P45" i="12"/>
  <c r="Q45" i="12"/>
  <c r="Q47" i="12" s="1"/>
  <c r="R45" i="12"/>
  <c r="S45" i="12"/>
  <c r="S47" i="12" s="1"/>
  <c r="T45" i="12"/>
  <c r="T47" i="12" s="1"/>
  <c r="U45" i="12"/>
  <c r="U47" i="12" s="1"/>
  <c r="V45" i="12"/>
  <c r="V47" i="12" s="1"/>
  <c r="W45" i="12"/>
  <c r="W47" i="12" s="1"/>
  <c r="X45" i="12"/>
  <c r="Y45" i="12"/>
  <c r="Z45" i="12"/>
  <c r="AA45" i="12"/>
  <c r="AA46" i="12"/>
  <c r="AB46" i="12" s="1"/>
  <c r="AC46" i="12" s="1"/>
  <c r="M47" i="12"/>
  <c r="P47" i="12"/>
  <c r="R47" i="12"/>
  <c r="X47" i="12"/>
  <c r="Y47" i="12"/>
  <c r="Z47" i="12"/>
  <c r="AE59" i="12"/>
  <c r="AD63" i="12"/>
  <c r="AD64" i="12"/>
  <c r="AD65" i="12"/>
  <c r="AD66" i="12"/>
  <c r="AD67" i="12"/>
  <c r="M68" i="12"/>
  <c r="M70" i="12" s="1"/>
  <c r="N68" i="12"/>
  <c r="N70" i="12" s="1"/>
  <c r="O68" i="12"/>
  <c r="Q69" i="12"/>
  <c r="R69" i="12"/>
  <c r="O70" i="12"/>
  <c r="R74" i="12"/>
  <c r="R80" i="12" s="1"/>
  <c r="S74" i="12"/>
  <c r="S80" i="12" s="1"/>
  <c r="T74" i="12"/>
  <c r="U74" i="12" s="1"/>
  <c r="P80" i="12"/>
  <c r="T80" i="12"/>
  <c r="R81" i="12"/>
  <c r="S81" i="12" s="1"/>
  <c r="T81" i="12" s="1"/>
  <c r="T82" i="12" s="1"/>
  <c r="V81" i="12"/>
  <c r="W81" i="12" s="1"/>
  <c r="X81" i="12" s="1"/>
  <c r="Y81" i="12"/>
  <c r="AA81" i="12"/>
  <c r="AB81" i="12"/>
  <c r="AC81" i="12"/>
  <c r="P82" i="12"/>
  <c r="Q82" i="12" s="1"/>
  <c r="Q5" i="3"/>
  <c r="Q13" i="3"/>
  <c r="AF95" i="14" l="1"/>
  <c r="AF96" i="14"/>
  <c r="AF102" i="14"/>
  <c r="AF101" i="14"/>
  <c r="L17" i="13"/>
  <c r="M85" i="13"/>
  <c r="L86" i="13"/>
  <c r="O86" i="13"/>
  <c r="H86" i="13"/>
  <c r="N86" i="13"/>
  <c r="K86" i="13"/>
  <c r="N85" i="13"/>
  <c r="I86" i="13"/>
  <c r="J86" i="13"/>
  <c r="G85" i="13"/>
  <c r="O85" i="13"/>
  <c r="M86" i="13"/>
  <c r="H85" i="13"/>
  <c r="I85" i="13"/>
  <c r="G86" i="13"/>
  <c r="J85" i="13"/>
  <c r="K85" i="13"/>
  <c r="K17" i="13"/>
  <c r="K18" i="13" s="1"/>
  <c r="H16" i="13"/>
  <c r="M17" i="13"/>
  <c r="M18" i="13" s="1"/>
  <c r="K15" i="13"/>
  <c r="J15" i="13"/>
  <c r="Q9" i="13"/>
  <c r="I16" i="13"/>
  <c r="N17" i="13"/>
  <c r="N18" i="13" s="1"/>
  <c r="P9" i="13"/>
  <c r="H18" i="13"/>
  <c r="L15" i="13"/>
  <c r="L16" i="13" s="1"/>
  <c r="M15" i="13"/>
  <c r="R9" i="13"/>
  <c r="N15" i="13"/>
  <c r="O15" i="13"/>
  <c r="L18" i="13"/>
  <c r="J17" i="13"/>
  <c r="J18" i="13" s="1"/>
  <c r="G13" i="13"/>
  <c r="G12" i="13" s="1"/>
  <c r="N13" i="13"/>
  <c r="N12" i="13" s="1"/>
  <c r="I18" i="13"/>
  <c r="G16" i="13"/>
  <c r="G18" i="13"/>
  <c r="K13" i="13"/>
  <c r="K12" i="13" s="1"/>
  <c r="L13" i="13"/>
  <c r="L12" i="13" s="1"/>
  <c r="M13" i="13"/>
  <c r="M12" i="13" s="1"/>
  <c r="H13" i="13"/>
  <c r="H12" i="13" s="1"/>
  <c r="O13" i="13"/>
  <c r="O12" i="13" s="1"/>
  <c r="I13" i="13"/>
  <c r="I12" i="13" s="1"/>
  <c r="J13" i="13"/>
  <c r="J12" i="13" s="1"/>
  <c r="O17" i="13"/>
  <c r="R39" i="13"/>
  <c r="R41" i="13" s="1"/>
  <c r="R43" i="13" s="1"/>
  <c r="R45" i="13" s="1"/>
  <c r="S35" i="13"/>
  <c r="Q39" i="13"/>
  <c r="Q41" i="13" s="1"/>
  <c r="Q43" i="13" s="1"/>
  <c r="Q45" i="13" s="1"/>
  <c r="P39" i="13"/>
  <c r="P41" i="13" s="1"/>
  <c r="P43" i="13" s="1"/>
  <c r="P45" i="13" s="1"/>
  <c r="S22" i="13"/>
  <c r="O57" i="13"/>
  <c r="N58" i="13"/>
  <c r="S54" i="13"/>
  <c r="G57" i="13"/>
  <c r="K57" i="13"/>
  <c r="I58" i="13"/>
  <c r="L58" i="13"/>
  <c r="J58" i="13"/>
  <c r="M58" i="13"/>
  <c r="G58" i="13"/>
  <c r="N57" i="13"/>
  <c r="J57" i="13"/>
  <c r="O58" i="13"/>
  <c r="H57" i="13"/>
  <c r="I57" i="13"/>
  <c r="H58" i="13"/>
  <c r="L57" i="13"/>
  <c r="K58" i="13"/>
  <c r="M57" i="13"/>
  <c r="M22" i="3"/>
  <c r="M23" i="3"/>
  <c r="M11" i="3"/>
  <c r="M12" i="3" s="1"/>
  <c r="H6" i="13"/>
  <c r="J7" i="13"/>
  <c r="I6" i="13"/>
  <c r="AB45" i="12"/>
  <c r="AA47" i="12"/>
  <c r="V113" i="12"/>
  <c r="V115" i="12" s="1"/>
  <c r="W111" i="12"/>
  <c r="M106" i="12"/>
  <c r="M107" i="12" s="1"/>
  <c r="U80" i="12"/>
  <c r="U82" i="12" s="1"/>
  <c r="V74" i="12"/>
  <c r="O96" i="12"/>
  <c r="T118" i="12"/>
  <c r="T119" i="12" s="1"/>
  <c r="N92" i="12"/>
  <c r="M94" i="12"/>
  <c r="M95" i="12" s="1"/>
  <c r="Y99" i="12"/>
  <c r="W101" i="12"/>
  <c r="W103" i="12" s="1"/>
  <c r="X101" i="12"/>
  <c r="Z99" i="12"/>
  <c r="AB47" i="12"/>
  <c r="AD47" i="12" s="1"/>
  <c r="S69" i="12"/>
  <c r="T69" i="12" s="1"/>
  <c r="U69" i="12" s="1"/>
  <c r="V69" i="12" s="1"/>
  <c r="W69" i="12" s="1"/>
  <c r="X69" i="12" s="1"/>
  <c r="Y69" i="12" s="1"/>
  <c r="Z69" i="12" s="1"/>
  <c r="AA69" i="12" s="1"/>
  <c r="AB69" i="12" s="1"/>
  <c r="AC69" i="12" s="1"/>
  <c r="U102" i="12"/>
  <c r="V102" i="12" s="1"/>
  <c r="W102" i="12" s="1"/>
  <c r="X102" i="12" s="1"/>
  <c r="Y102" i="12" s="1"/>
  <c r="Z102" i="12" s="1"/>
  <c r="AA102" i="12" s="1"/>
  <c r="AB102" i="12" s="1"/>
  <c r="AC102" i="12" s="1"/>
  <c r="T103" i="12"/>
  <c r="G24" i="12"/>
  <c r="S82" i="12"/>
  <c r="N17" i="12"/>
  <c r="M23" i="12"/>
  <c r="M25" i="12" s="1"/>
  <c r="P17" i="12"/>
  <c r="N103" i="12"/>
  <c r="N104" i="12" s="1"/>
  <c r="R82" i="12"/>
  <c r="O87" i="12"/>
  <c r="Q103" i="12"/>
  <c r="U113" i="12"/>
  <c r="U115" i="12" s="1"/>
  <c r="Q21" i="3"/>
  <c r="Q17" i="3"/>
  <c r="Q18" i="3"/>
  <c r="AD87" i="3"/>
  <c r="Q87" i="3"/>
  <c r="AD45" i="3"/>
  <c r="Q45" i="3"/>
  <c r="Q16" i="3" s="1"/>
  <c r="X40" i="3"/>
  <c r="P40" i="3"/>
  <c r="R23" i="3"/>
  <c r="S23" i="3"/>
  <c r="T23" i="3"/>
  <c r="U23" i="3"/>
  <c r="V23" i="3"/>
  <c r="W23" i="3"/>
  <c r="X23" i="3"/>
  <c r="Y23" i="3"/>
  <c r="Z23" i="3"/>
  <c r="AA23" i="3"/>
  <c r="AB23" i="3"/>
  <c r="AC23" i="3"/>
  <c r="R19" i="3"/>
  <c r="S19" i="3"/>
  <c r="T19" i="3"/>
  <c r="U19" i="3"/>
  <c r="V19" i="3"/>
  <c r="W19" i="3"/>
  <c r="X19" i="3"/>
  <c r="Y19" i="3"/>
  <c r="Z19" i="3"/>
  <c r="AA19" i="3"/>
  <c r="AB19" i="3"/>
  <c r="AC19" i="3"/>
  <c r="R20" i="3"/>
  <c r="S20" i="3"/>
  <c r="T20" i="3"/>
  <c r="U20" i="3"/>
  <c r="V20" i="3"/>
  <c r="W20" i="3"/>
  <c r="X20" i="3"/>
  <c r="Y20" i="3"/>
  <c r="Z20" i="3"/>
  <c r="AA20" i="3"/>
  <c r="AB20" i="3"/>
  <c r="AC20" i="3"/>
  <c r="T8" i="3"/>
  <c r="X8" i="3"/>
  <c r="AB8" i="3"/>
  <c r="U9" i="3"/>
  <c r="T95" i="3"/>
  <c r="W95" i="3"/>
  <c r="AA95" i="3"/>
  <c r="M95" i="3"/>
  <c r="R93" i="3"/>
  <c r="S93" i="3"/>
  <c r="S95" i="3" s="1"/>
  <c r="S97" i="3" s="1"/>
  <c r="U93" i="3"/>
  <c r="U95" i="3" s="1"/>
  <c r="W93" i="3"/>
  <c r="Z93" i="3"/>
  <c r="Z95" i="3" s="1"/>
  <c r="AA93" i="3"/>
  <c r="I93" i="3"/>
  <c r="I95" i="3" s="1"/>
  <c r="L93" i="3"/>
  <c r="L95" i="3" s="1"/>
  <c r="L96" i="3" s="1"/>
  <c r="M93" i="3"/>
  <c r="R91" i="3"/>
  <c r="S91" i="3"/>
  <c r="T91" i="3"/>
  <c r="T93" i="3" s="1"/>
  <c r="U91" i="3"/>
  <c r="U8" i="3" s="1"/>
  <c r="V91" i="3"/>
  <c r="V93" i="3" s="1"/>
  <c r="V95" i="3" s="1"/>
  <c r="W91" i="3"/>
  <c r="X91" i="3"/>
  <c r="X93" i="3" s="1"/>
  <c r="X9" i="3" s="1"/>
  <c r="Y91" i="3"/>
  <c r="Y93" i="3" s="1"/>
  <c r="Y95" i="3" s="1"/>
  <c r="Z91" i="3"/>
  <c r="AA91" i="3"/>
  <c r="AB91" i="3"/>
  <c r="AB93" i="3" s="1"/>
  <c r="AB95" i="3" s="1"/>
  <c r="AC91" i="3"/>
  <c r="AC8" i="3" s="1"/>
  <c r="H91" i="3"/>
  <c r="Q91" i="3" s="1"/>
  <c r="Q90" i="3" s="1"/>
  <c r="I91" i="3"/>
  <c r="J91" i="3"/>
  <c r="J93" i="3" s="1"/>
  <c r="J95" i="3" s="1"/>
  <c r="J96" i="3" s="1"/>
  <c r="K91" i="3"/>
  <c r="K93" i="3" s="1"/>
  <c r="K95" i="3" s="1"/>
  <c r="L91" i="3"/>
  <c r="M91" i="3"/>
  <c r="N91" i="3"/>
  <c r="N93" i="3" s="1"/>
  <c r="N95" i="3" s="1"/>
  <c r="O91" i="3"/>
  <c r="O93" i="3" s="1"/>
  <c r="O95" i="3" s="1"/>
  <c r="P91" i="3"/>
  <c r="P93" i="3" s="1"/>
  <c r="P95" i="3" s="1"/>
  <c r="AC53" i="3"/>
  <c r="P53" i="3"/>
  <c r="R51" i="3"/>
  <c r="S51" i="3"/>
  <c r="S53" i="3" s="1"/>
  <c r="S55" i="3" s="1"/>
  <c r="V51" i="3"/>
  <c r="V53" i="3" s="1"/>
  <c r="W51" i="3"/>
  <c r="W53" i="3" s="1"/>
  <c r="Y51" i="3"/>
  <c r="Y53" i="3" s="1"/>
  <c r="Z51" i="3"/>
  <c r="Z53" i="3" s="1"/>
  <c r="AA51" i="3"/>
  <c r="AA53" i="3" s="1"/>
  <c r="K51" i="3"/>
  <c r="O51" i="3"/>
  <c r="O53" i="3" s="1"/>
  <c r="P51" i="3"/>
  <c r="R49" i="3"/>
  <c r="S49" i="3"/>
  <c r="T49" i="3"/>
  <c r="T51" i="3" s="1"/>
  <c r="T53" i="3" s="1"/>
  <c r="U49" i="3"/>
  <c r="U51" i="3" s="1"/>
  <c r="U53" i="3" s="1"/>
  <c r="V49" i="3"/>
  <c r="W49" i="3"/>
  <c r="X49" i="3"/>
  <c r="X51" i="3" s="1"/>
  <c r="X53" i="3" s="1"/>
  <c r="X55" i="3" s="1"/>
  <c r="Y49" i="3"/>
  <c r="Z49" i="3"/>
  <c r="AA49" i="3"/>
  <c r="AB49" i="3"/>
  <c r="AB51" i="3" s="1"/>
  <c r="AB53" i="3" s="1"/>
  <c r="AC49" i="3"/>
  <c r="AC51" i="3" s="1"/>
  <c r="K49" i="3"/>
  <c r="L49" i="3"/>
  <c r="L51" i="3" s="1"/>
  <c r="L53" i="3" s="1"/>
  <c r="M49" i="3"/>
  <c r="M51" i="3" s="1"/>
  <c r="M53" i="3" s="1"/>
  <c r="M55" i="3" s="1"/>
  <c r="N49" i="3"/>
  <c r="N51" i="3" s="1"/>
  <c r="N53" i="3" s="1"/>
  <c r="N55" i="3" s="1"/>
  <c r="O49" i="3"/>
  <c r="P49" i="3"/>
  <c r="R38" i="3"/>
  <c r="R9" i="3" s="1"/>
  <c r="U38" i="3"/>
  <c r="U40" i="3" s="1"/>
  <c r="X38" i="3"/>
  <c r="Z38" i="3"/>
  <c r="Z9" i="3" s="1"/>
  <c r="AC38" i="3"/>
  <c r="AC40" i="3" s="1"/>
  <c r="R36" i="3"/>
  <c r="R8" i="3" s="1"/>
  <c r="S36" i="3"/>
  <c r="S8" i="3" s="1"/>
  <c r="T36" i="3"/>
  <c r="T38" i="3" s="1"/>
  <c r="T40" i="3" s="1"/>
  <c r="U36" i="3"/>
  <c r="V36" i="3"/>
  <c r="W36" i="3"/>
  <c r="W8" i="3" s="1"/>
  <c r="X36" i="3"/>
  <c r="Y36" i="3"/>
  <c r="Y38" i="3" s="1"/>
  <c r="Y40" i="3" s="1"/>
  <c r="Z36" i="3"/>
  <c r="Z8" i="3" s="1"/>
  <c r="AA36" i="3"/>
  <c r="AA38" i="3" s="1"/>
  <c r="AB36" i="3"/>
  <c r="AB38" i="3" s="1"/>
  <c r="AB40" i="3" s="1"/>
  <c r="AC36" i="3"/>
  <c r="H40" i="3"/>
  <c r="E38" i="3"/>
  <c r="G38" i="3"/>
  <c r="G40" i="3" s="1"/>
  <c r="H38" i="3"/>
  <c r="K38" i="3"/>
  <c r="K40" i="3" s="1"/>
  <c r="M38" i="3"/>
  <c r="M40" i="3" s="1"/>
  <c r="P38" i="3"/>
  <c r="E36" i="3"/>
  <c r="F36" i="3"/>
  <c r="G36" i="3"/>
  <c r="H36" i="3"/>
  <c r="I36" i="3"/>
  <c r="I38" i="3" s="1"/>
  <c r="I40" i="3" s="1"/>
  <c r="J36" i="3"/>
  <c r="J38" i="3" s="1"/>
  <c r="J40" i="3" s="1"/>
  <c r="J27" i="3" s="1"/>
  <c r="K36" i="3"/>
  <c r="L36" i="3"/>
  <c r="L38" i="3" s="1"/>
  <c r="L40" i="3" s="1"/>
  <c r="M36" i="3"/>
  <c r="N36" i="3"/>
  <c r="N38" i="3" s="1"/>
  <c r="N40" i="3" s="1"/>
  <c r="P36" i="3"/>
  <c r="N22" i="3"/>
  <c r="O22" i="3"/>
  <c r="P22" i="3"/>
  <c r="P24" i="3" s="1"/>
  <c r="N24" i="3"/>
  <c r="O24" i="3"/>
  <c r="O32" i="3"/>
  <c r="AB11" i="3"/>
  <c r="Y55" i="3"/>
  <c r="V55" i="3"/>
  <c r="AD41" i="3"/>
  <c r="AD37" i="3"/>
  <c r="AD32" i="3"/>
  <c r="K28" i="3"/>
  <c r="F28" i="3"/>
  <c r="E28" i="3"/>
  <c r="G28" i="3"/>
  <c r="H28" i="3"/>
  <c r="I28" i="3"/>
  <c r="J28" i="3"/>
  <c r="L28" i="3"/>
  <c r="K27" i="3"/>
  <c r="L27" i="3"/>
  <c r="E26" i="3"/>
  <c r="M78" i="3"/>
  <c r="N78" i="3"/>
  <c r="N80" i="3" s="1"/>
  <c r="O78" i="3"/>
  <c r="O80" i="3" s="1"/>
  <c r="P78" i="3"/>
  <c r="Q78" i="3"/>
  <c r="Q80" i="3" s="1"/>
  <c r="R78" i="3"/>
  <c r="R80" i="3" s="1"/>
  <c r="S78" i="3"/>
  <c r="S80" i="3" s="1"/>
  <c r="T78" i="3"/>
  <c r="T80" i="3" s="1"/>
  <c r="U78" i="3"/>
  <c r="V78" i="3"/>
  <c r="W78" i="3"/>
  <c r="X78" i="3"/>
  <c r="X80" i="3" s="1"/>
  <c r="Y78" i="3"/>
  <c r="Y80" i="3" s="1"/>
  <c r="Z78" i="3"/>
  <c r="Z80" i="3" s="1"/>
  <c r="AA78" i="3"/>
  <c r="AA80" i="3" s="1"/>
  <c r="AB78" i="3"/>
  <c r="AB80" i="3" s="1"/>
  <c r="AC78" i="3"/>
  <c r="AC80" i="3" s="1"/>
  <c r="AD78" i="3"/>
  <c r="AD80" i="3" s="1"/>
  <c r="M80" i="3"/>
  <c r="P80" i="3"/>
  <c r="U80" i="3"/>
  <c r="V80" i="3"/>
  <c r="W80" i="3"/>
  <c r="M67" i="3"/>
  <c r="N67" i="3"/>
  <c r="N69" i="3" s="1"/>
  <c r="O67" i="3"/>
  <c r="O69" i="3" s="1"/>
  <c r="P67" i="3"/>
  <c r="Q67" i="3"/>
  <c r="Q69" i="3" s="1"/>
  <c r="R67" i="3"/>
  <c r="S67" i="3"/>
  <c r="S69" i="3" s="1"/>
  <c r="T67" i="3"/>
  <c r="T11" i="3" s="1"/>
  <c r="U67" i="3"/>
  <c r="U69" i="3" s="1"/>
  <c r="U13" i="3" s="1"/>
  <c r="V67" i="3"/>
  <c r="W67" i="3"/>
  <c r="X67" i="3"/>
  <c r="X69" i="3" s="1"/>
  <c r="Y67" i="3"/>
  <c r="Y69" i="3" s="1"/>
  <c r="Y13" i="3" s="1"/>
  <c r="Z67" i="3"/>
  <c r="AA67" i="3"/>
  <c r="AA69" i="3" s="1"/>
  <c r="AB67" i="3"/>
  <c r="AC67" i="3"/>
  <c r="AD67" i="3"/>
  <c r="M69" i="3"/>
  <c r="R69" i="3"/>
  <c r="T69" i="3"/>
  <c r="Z69" i="3"/>
  <c r="AB69" i="3"/>
  <c r="M106" i="3"/>
  <c r="M108" i="3" s="1"/>
  <c r="N106" i="3"/>
  <c r="N108" i="3" s="1"/>
  <c r="O106" i="3"/>
  <c r="O108" i="3" s="1"/>
  <c r="P106" i="3"/>
  <c r="P108" i="3" s="1"/>
  <c r="Q106" i="3"/>
  <c r="Q108" i="3" s="1"/>
  <c r="R106" i="3"/>
  <c r="R108" i="3" s="1"/>
  <c r="S106" i="3"/>
  <c r="S108" i="3" s="1"/>
  <c r="T106" i="3"/>
  <c r="U106" i="3"/>
  <c r="U108" i="3" s="1"/>
  <c r="V106" i="3"/>
  <c r="V108" i="3" s="1"/>
  <c r="W106" i="3"/>
  <c r="W108" i="3" s="1"/>
  <c r="X106" i="3"/>
  <c r="X108" i="3" s="1"/>
  <c r="Y106" i="3"/>
  <c r="Y108" i="3" s="1"/>
  <c r="Z106" i="3"/>
  <c r="Z108" i="3" s="1"/>
  <c r="AA106" i="3"/>
  <c r="AA108" i="3" s="1"/>
  <c r="AB106" i="3"/>
  <c r="AB108" i="3" s="1"/>
  <c r="AC106" i="3"/>
  <c r="AC108" i="3" s="1"/>
  <c r="AD106" i="3"/>
  <c r="AD108" i="3" s="1"/>
  <c r="T108" i="3"/>
  <c r="M97" i="3"/>
  <c r="N97" i="3"/>
  <c r="O97" i="3"/>
  <c r="P97" i="3"/>
  <c r="T97" i="3"/>
  <c r="U97" i="3"/>
  <c r="V97" i="3"/>
  <c r="W97" i="3"/>
  <c r="Y97" i="3"/>
  <c r="Z97" i="3"/>
  <c r="AA97" i="3"/>
  <c r="AB97" i="3"/>
  <c r="I96" i="3"/>
  <c r="K96" i="3"/>
  <c r="O55" i="3"/>
  <c r="P55" i="3"/>
  <c r="T55" i="3"/>
  <c r="U55" i="3"/>
  <c r="W55" i="3"/>
  <c r="Z55" i="3"/>
  <c r="AA55" i="3"/>
  <c r="AB55" i="3"/>
  <c r="AC55" i="3"/>
  <c r="N42" i="3"/>
  <c r="P42" i="3"/>
  <c r="T42" i="3"/>
  <c r="T13" i="3" s="1"/>
  <c r="U42" i="3"/>
  <c r="X42" i="3"/>
  <c r="Y42" i="3"/>
  <c r="AB42" i="3"/>
  <c r="AB13" i="3" s="1"/>
  <c r="AC42" i="3"/>
  <c r="G41" i="3"/>
  <c r="H41" i="3"/>
  <c r="I41" i="3"/>
  <c r="J41" i="3"/>
  <c r="K41" i="3"/>
  <c r="L41" i="3"/>
  <c r="L11" i="3"/>
  <c r="E11" i="3"/>
  <c r="F11" i="3"/>
  <c r="G11" i="3"/>
  <c r="G27" i="3" s="1"/>
  <c r="H11" i="3"/>
  <c r="I11" i="3"/>
  <c r="I27" i="3" s="1"/>
  <c r="J11" i="3"/>
  <c r="K11" i="3"/>
  <c r="K16" i="13" l="1"/>
  <c r="M16" i="13"/>
  <c r="J16" i="13"/>
  <c r="G14" i="13"/>
  <c r="N14" i="13"/>
  <c r="N16" i="13"/>
  <c r="O18" i="13"/>
  <c r="O16" i="13"/>
  <c r="H14" i="13"/>
  <c r="P28" i="13"/>
  <c r="P15" i="13" s="1"/>
  <c r="P13" i="13"/>
  <c r="P12" i="13" s="1"/>
  <c r="O14" i="13"/>
  <c r="K14" i="13"/>
  <c r="I14" i="13"/>
  <c r="R28" i="13"/>
  <c r="R13" i="13"/>
  <c r="R12" i="13" s="1"/>
  <c r="M14" i="13"/>
  <c r="Q28" i="13"/>
  <c r="Q13" i="13"/>
  <c r="Q12" i="13" s="1"/>
  <c r="L14" i="13"/>
  <c r="J14" i="13"/>
  <c r="S9" i="13"/>
  <c r="S39" i="13"/>
  <c r="S38" i="13" s="1"/>
  <c r="S43" i="13"/>
  <c r="S45" i="13"/>
  <c r="S41" i="13"/>
  <c r="S26" i="13"/>
  <c r="S25" i="13" s="1"/>
  <c r="T58" i="13"/>
  <c r="T72" i="13" s="1"/>
  <c r="AF54" i="13"/>
  <c r="U62" i="13"/>
  <c r="U57" i="13"/>
  <c r="U66" i="13" s="1"/>
  <c r="U58" i="13"/>
  <c r="U72" i="13" s="1"/>
  <c r="V58" i="13"/>
  <c r="V72" i="13" s="1"/>
  <c r="S57" i="13"/>
  <c r="S58" i="13"/>
  <c r="V62" i="13"/>
  <c r="V57" i="13"/>
  <c r="V66" i="13" s="1"/>
  <c r="X56" i="13"/>
  <c r="J6" i="13"/>
  <c r="K7" i="13"/>
  <c r="O104" i="12"/>
  <c r="N106" i="12"/>
  <c r="N107" i="12" s="1"/>
  <c r="W74" i="12"/>
  <c r="V80" i="12"/>
  <c r="V82" i="12" s="1"/>
  <c r="P87" i="12"/>
  <c r="O89" i="12"/>
  <c r="U103" i="12"/>
  <c r="V103" i="12"/>
  <c r="N94" i="12"/>
  <c r="N95" i="12" s="1"/>
  <c r="R17" i="12"/>
  <c r="P62" i="12"/>
  <c r="P23" i="12"/>
  <c r="P25" i="12" s="1"/>
  <c r="Q25" i="12"/>
  <c r="O17" i="12"/>
  <c r="O23" i="12" s="1"/>
  <c r="O25" i="12" s="1"/>
  <c r="N23" i="12"/>
  <c r="N25" i="12" s="1"/>
  <c r="Q17" i="12"/>
  <c r="Z101" i="12"/>
  <c r="Z103" i="12" s="1"/>
  <c r="AB99" i="12"/>
  <c r="AB101" i="12" s="1"/>
  <c r="AB103" i="12" s="1"/>
  <c r="U116" i="12"/>
  <c r="X111" i="12"/>
  <c r="W113" i="12"/>
  <c r="W115" i="12" s="1"/>
  <c r="Y101" i="12"/>
  <c r="Y103" i="12" s="1"/>
  <c r="AA99" i="12"/>
  <c r="X103" i="12"/>
  <c r="P96" i="12"/>
  <c r="Q55" i="3"/>
  <c r="X13" i="3"/>
  <c r="E27" i="3"/>
  <c r="AA9" i="3"/>
  <c r="AA40" i="3"/>
  <c r="AA42" i="3" s="1"/>
  <c r="AA13" i="3" s="1"/>
  <c r="P69" i="3"/>
  <c r="P13" i="3" s="1"/>
  <c r="P11" i="3"/>
  <c r="AC69" i="3"/>
  <c r="AC13" i="3" s="1"/>
  <c r="AC11" i="3"/>
  <c r="X11" i="3"/>
  <c r="U11" i="3"/>
  <c r="Q32" i="3"/>
  <c r="O36" i="3"/>
  <c r="O38" i="3" s="1"/>
  <c r="O40" i="3" s="1"/>
  <c r="N11" i="3"/>
  <c r="Q36" i="3"/>
  <c r="N13" i="3"/>
  <c r="W69" i="3"/>
  <c r="V69" i="3"/>
  <c r="Q97" i="3"/>
  <c r="AC9" i="3"/>
  <c r="R40" i="3"/>
  <c r="R42" i="3" s="1"/>
  <c r="AD49" i="3"/>
  <c r="AD48" i="3" s="1"/>
  <c r="AD19" i="3" s="1"/>
  <c r="F38" i="3"/>
  <c r="F40" i="3" s="1"/>
  <c r="F41" i="3" s="1"/>
  <c r="E40" i="3"/>
  <c r="V8" i="3"/>
  <c r="AB9" i="3"/>
  <c r="AA8" i="3"/>
  <c r="W38" i="3"/>
  <c r="H93" i="3"/>
  <c r="AD93" i="3"/>
  <c r="Y9" i="3"/>
  <c r="Y8" i="3"/>
  <c r="AD91" i="3"/>
  <c r="AD90" i="3" s="1"/>
  <c r="V38" i="3"/>
  <c r="AC93" i="3"/>
  <c r="AC95" i="3" s="1"/>
  <c r="AC97" i="3" s="1"/>
  <c r="X95" i="3"/>
  <c r="X97" i="3" s="1"/>
  <c r="Z40" i="3"/>
  <c r="Q49" i="3"/>
  <c r="Q48" i="3" s="1"/>
  <c r="Q19" i="3" s="1"/>
  <c r="AD51" i="3"/>
  <c r="R53" i="3"/>
  <c r="S38" i="3"/>
  <c r="K53" i="3"/>
  <c r="Q53" i="3" s="1"/>
  <c r="Q51" i="3"/>
  <c r="Q50" i="3" s="1"/>
  <c r="Q20" i="3" s="1"/>
  <c r="AD36" i="3"/>
  <c r="T9" i="3"/>
  <c r="R95" i="3"/>
  <c r="AD69" i="3"/>
  <c r="Y11" i="3"/>
  <c r="P14" i="13" l="1"/>
  <c r="Q30" i="13"/>
  <c r="Q15" i="13"/>
  <c r="Q14" i="13" s="1"/>
  <c r="S13" i="13"/>
  <c r="S12" i="13" s="1"/>
  <c r="P30" i="13"/>
  <c r="P17" i="13" s="1"/>
  <c r="S28" i="13"/>
  <c r="S27" i="13" s="1"/>
  <c r="R30" i="13"/>
  <c r="R15" i="13"/>
  <c r="R14" i="13" s="1"/>
  <c r="V70" i="13"/>
  <c r="V76" i="13"/>
  <c r="T76" i="13"/>
  <c r="T69" i="13"/>
  <c r="T112" i="13" s="1"/>
  <c r="U76" i="13"/>
  <c r="U69" i="13"/>
  <c r="U112" i="13" s="1"/>
  <c r="U116" i="13" s="1"/>
  <c r="S44" i="13"/>
  <c r="S40" i="13"/>
  <c r="U75" i="13"/>
  <c r="U142" i="13" s="1"/>
  <c r="T75" i="13"/>
  <c r="T142" i="13" s="1"/>
  <c r="U70" i="13"/>
  <c r="V75" i="13"/>
  <c r="V142" i="13" s="1"/>
  <c r="T70" i="13"/>
  <c r="V69" i="13"/>
  <c r="W58" i="13"/>
  <c r="W62" i="13"/>
  <c r="W57" i="13"/>
  <c r="W66" i="13" s="1"/>
  <c r="Y56" i="13"/>
  <c r="K6" i="13"/>
  <c r="L7" i="13"/>
  <c r="O91" i="12"/>
  <c r="P89" i="12"/>
  <c r="P91" i="12" s="1"/>
  <c r="R87" i="12"/>
  <c r="Q87" i="12"/>
  <c r="X74" i="12"/>
  <c r="W80" i="12"/>
  <c r="W82" i="12" s="1"/>
  <c r="Q23" i="12"/>
  <c r="R62" i="12"/>
  <c r="P68" i="12"/>
  <c r="P70" i="12" s="1"/>
  <c r="Q62" i="12"/>
  <c r="Q68" i="12" s="1"/>
  <c r="Q70" i="12" s="1"/>
  <c r="S17" i="12"/>
  <c r="R23" i="12"/>
  <c r="Y111" i="12"/>
  <c r="X113" i="12"/>
  <c r="X115" i="12" s="1"/>
  <c r="R96" i="12"/>
  <c r="V116" i="12"/>
  <c r="U118" i="12"/>
  <c r="U119" i="12" s="1"/>
  <c r="Q24" i="12"/>
  <c r="P104" i="12"/>
  <c r="O106" i="12"/>
  <c r="O107" i="12" s="1"/>
  <c r="AA101" i="12"/>
  <c r="AA103" i="12" s="1"/>
  <c r="AD103" i="12" s="1"/>
  <c r="AC99" i="12"/>
  <c r="AC101" i="12" s="1"/>
  <c r="AC103" i="12" s="1"/>
  <c r="P12" i="3"/>
  <c r="AD95" i="3"/>
  <c r="R97" i="3"/>
  <c r="W40" i="3"/>
  <c r="W9" i="3"/>
  <c r="S9" i="3"/>
  <c r="S40" i="3"/>
  <c r="Q40" i="3"/>
  <c r="E41" i="3"/>
  <c r="Z11" i="3"/>
  <c r="Z42" i="3"/>
  <c r="Z13" i="3" s="1"/>
  <c r="R11" i="3"/>
  <c r="AD53" i="3"/>
  <c r="R55" i="3"/>
  <c r="AD55" i="3" s="1"/>
  <c r="AD92" i="3"/>
  <c r="Q54" i="3"/>
  <c r="Q23" i="3" s="1"/>
  <c r="V40" i="3"/>
  <c r="V9" i="3"/>
  <c r="Q35" i="3"/>
  <c r="Q8" i="3"/>
  <c r="AD38" i="3"/>
  <c r="Q22" i="3"/>
  <c r="O11" i="3"/>
  <c r="O42" i="3"/>
  <c r="O13" i="3" s="1"/>
  <c r="N12" i="3"/>
  <c r="F27" i="3"/>
  <c r="AA11" i="3"/>
  <c r="AD35" i="3"/>
  <c r="AD8" i="3"/>
  <c r="AD50" i="3"/>
  <c r="AD20" i="3" s="1"/>
  <c r="Q93" i="3"/>
  <c r="Q92" i="3" s="1"/>
  <c r="H95" i="3"/>
  <c r="Q38" i="3"/>
  <c r="V64" i="13" l="1"/>
  <c r="U64" i="13"/>
  <c r="P32" i="13"/>
  <c r="R32" i="13"/>
  <c r="R17" i="13"/>
  <c r="R16" i="13" s="1"/>
  <c r="S15" i="13"/>
  <c r="S14" i="13" s="1"/>
  <c r="P16" i="13"/>
  <c r="S30" i="13"/>
  <c r="Q32" i="13"/>
  <c r="Q17" i="13"/>
  <c r="Q16" i="13" s="1"/>
  <c r="T64" i="13"/>
  <c r="V155" i="13"/>
  <c r="V35" i="13" s="1"/>
  <c r="U125" i="13"/>
  <c r="T155" i="13"/>
  <c r="T35" i="13" s="1"/>
  <c r="U155" i="13"/>
  <c r="V125" i="13"/>
  <c r="U63" i="13"/>
  <c r="T63" i="13"/>
  <c r="V146" i="13"/>
  <c r="T116" i="13"/>
  <c r="U146" i="13"/>
  <c r="U118" i="13"/>
  <c r="T146" i="13"/>
  <c r="T125" i="13"/>
  <c r="T129" i="13" s="1"/>
  <c r="W72" i="13"/>
  <c r="V63" i="13"/>
  <c r="V112" i="13"/>
  <c r="W70" i="13"/>
  <c r="W69" i="13"/>
  <c r="W112" i="13" s="1"/>
  <c r="X57" i="13"/>
  <c r="X66" i="13" s="1"/>
  <c r="X62" i="13"/>
  <c r="X58" i="13"/>
  <c r="X72" i="13" s="1"/>
  <c r="Z56" i="13"/>
  <c r="L6" i="13"/>
  <c r="M7" i="13"/>
  <c r="S96" i="12"/>
  <c r="Q89" i="12"/>
  <c r="Q88" i="12" s="1"/>
  <c r="W116" i="12"/>
  <c r="V118" i="12"/>
  <c r="V119" i="12" s="1"/>
  <c r="S62" i="12"/>
  <c r="R68" i="12"/>
  <c r="Q91" i="12"/>
  <c r="O92" i="12"/>
  <c r="S23" i="12"/>
  <c r="S25" i="12" s="1"/>
  <c r="T17" i="12"/>
  <c r="Z111" i="12"/>
  <c r="Y113" i="12"/>
  <c r="Y115" i="12" s="1"/>
  <c r="S87" i="12"/>
  <c r="T87" i="12"/>
  <c r="R89" i="12"/>
  <c r="R104" i="12"/>
  <c r="Q104" i="12"/>
  <c r="P106" i="12"/>
  <c r="R25" i="12"/>
  <c r="Y74" i="12"/>
  <c r="X80" i="12"/>
  <c r="X82" i="12" s="1"/>
  <c r="Q37" i="3"/>
  <c r="Q9" i="3"/>
  <c r="Q95" i="3"/>
  <c r="Q96" i="3" s="1"/>
  <c r="H96" i="3"/>
  <c r="H27" i="3"/>
  <c r="O12" i="3"/>
  <c r="W42" i="3"/>
  <c r="W13" i="3" s="1"/>
  <c r="W11" i="3"/>
  <c r="V42" i="3"/>
  <c r="V13" i="3" s="1"/>
  <c r="V11" i="3"/>
  <c r="AD40" i="3"/>
  <c r="AD9" i="3"/>
  <c r="AD54" i="3"/>
  <c r="AD23" i="3" s="1"/>
  <c r="AE55" i="3"/>
  <c r="Q24" i="3"/>
  <c r="AD97" i="3"/>
  <c r="R13" i="3"/>
  <c r="S42" i="3"/>
  <c r="S13" i="3" s="1"/>
  <c r="S11" i="3"/>
  <c r="V129" i="13" l="1"/>
  <c r="V131" i="13" s="1"/>
  <c r="V133" i="13" s="1"/>
  <c r="V135" i="13" s="1"/>
  <c r="U129" i="13"/>
  <c r="U131" i="13" s="1"/>
  <c r="U133" i="13" s="1"/>
  <c r="U135" i="13" s="1"/>
  <c r="V98" i="13"/>
  <c r="U98" i="13"/>
  <c r="R19" i="13"/>
  <c r="R18" i="13" s="1"/>
  <c r="R83" i="13"/>
  <c r="R84" i="13" s="1"/>
  <c r="R82" i="13"/>
  <c r="P19" i="13"/>
  <c r="P18" i="13" s="1"/>
  <c r="P82" i="13"/>
  <c r="P83" i="13"/>
  <c r="P84" i="13" s="1"/>
  <c r="Q19" i="13"/>
  <c r="Q83" i="13"/>
  <c r="Q84" i="13" s="1"/>
  <c r="Q82" i="13"/>
  <c r="U26" i="13"/>
  <c r="S17" i="13"/>
  <c r="S16" i="13" s="1"/>
  <c r="T159" i="13"/>
  <c r="S32" i="13"/>
  <c r="U22" i="13"/>
  <c r="V159" i="13"/>
  <c r="V161" i="13" s="1"/>
  <c r="V163" i="13" s="1"/>
  <c r="V165" i="13" s="1"/>
  <c r="W125" i="13"/>
  <c r="U159" i="13"/>
  <c r="U161" i="13" s="1"/>
  <c r="U163" i="13" s="1"/>
  <c r="U165" i="13" s="1"/>
  <c r="U35" i="13"/>
  <c r="W76" i="13"/>
  <c r="W155" i="13" s="1"/>
  <c r="T148" i="13"/>
  <c r="T150" i="13" s="1"/>
  <c r="U148" i="13"/>
  <c r="V22" i="13"/>
  <c r="V9" i="13" s="1"/>
  <c r="V116" i="13"/>
  <c r="T22" i="13"/>
  <c r="T118" i="13"/>
  <c r="T26" i="13"/>
  <c r="W116" i="13"/>
  <c r="U120" i="13"/>
  <c r="U122" i="13" s="1"/>
  <c r="U28" i="13"/>
  <c r="V148" i="13"/>
  <c r="W75" i="13"/>
  <c r="W63" i="13" s="1"/>
  <c r="T131" i="13"/>
  <c r="Y62" i="13"/>
  <c r="Z58" i="13"/>
  <c r="Z72" i="13" s="1"/>
  <c r="Y57" i="13"/>
  <c r="X69" i="13"/>
  <c r="X112" i="13" s="1"/>
  <c r="X70" i="13"/>
  <c r="X75" i="13"/>
  <c r="X142" i="13" s="1"/>
  <c r="X76" i="13"/>
  <c r="Y58" i="13"/>
  <c r="Y72" i="13" s="1"/>
  <c r="AA56" i="13"/>
  <c r="M6" i="13"/>
  <c r="N7" i="13"/>
  <c r="S104" i="12"/>
  <c r="R106" i="12"/>
  <c r="R107" i="12" s="1"/>
  <c r="X116" i="12"/>
  <c r="W118" i="12"/>
  <c r="W119" i="12" s="1"/>
  <c r="R91" i="12"/>
  <c r="O94" i="12"/>
  <c r="O95" i="12" s="1"/>
  <c r="P92" i="12"/>
  <c r="T89" i="12"/>
  <c r="T91" i="12" s="1"/>
  <c r="V87" i="12"/>
  <c r="S89" i="12"/>
  <c r="S91" i="12" s="1"/>
  <c r="U87" i="12"/>
  <c r="R70" i="12"/>
  <c r="T96" i="12"/>
  <c r="T23" i="12"/>
  <c r="T25" i="12" s="1"/>
  <c r="U17" i="12"/>
  <c r="Z74" i="12"/>
  <c r="Y80" i="12"/>
  <c r="Y82" i="12" s="1"/>
  <c r="Q90" i="12"/>
  <c r="Q106" i="12"/>
  <c r="P107" i="12"/>
  <c r="Q107" i="12" s="1"/>
  <c r="AA111" i="12"/>
  <c r="Z113" i="12"/>
  <c r="Z115" i="12" s="1"/>
  <c r="S68" i="12"/>
  <c r="S70" i="12" s="1"/>
  <c r="T62" i="12"/>
  <c r="Q11" i="3"/>
  <c r="Q27" i="3" s="1"/>
  <c r="AD11" i="3"/>
  <c r="AD42" i="3"/>
  <c r="AE97" i="3"/>
  <c r="AD96" i="3"/>
  <c r="W129" i="13" l="1"/>
  <c r="W131" i="13" s="1"/>
  <c r="W133" i="13" s="1"/>
  <c r="W135" i="13" s="1"/>
  <c r="U104" i="13"/>
  <c r="V104" i="13"/>
  <c r="W98" i="13"/>
  <c r="S31" i="13"/>
  <c r="S83" i="13"/>
  <c r="S84" i="13" s="1"/>
  <c r="S19" i="13"/>
  <c r="S18" i="13" s="1"/>
  <c r="P86" i="13"/>
  <c r="P85" i="13"/>
  <c r="S82" i="13"/>
  <c r="Q18" i="13"/>
  <c r="R86" i="13"/>
  <c r="R85" i="13"/>
  <c r="Q85" i="13"/>
  <c r="Q86" i="13"/>
  <c r="T9" i="13"/>
  <c r="T161" i="13"/>
  <c r="T41" i="13" s="1"/>
  <c r="U25" i="13"/>
  <c r="T39" i="13"/>
  <c r="T38" i="13" s="1"/>
  <c r="W64" i="13"/>
  <c r="U27" i="13"/>
  <c r="U9" i="13"/>
  <c r="V39" i="13"/>
  <c r="V38" i="13" s="1"/>
  <c r="W22" i="13"/>
  <c r="X125" i="13"/>
  <c r="U39" i="13"/>
  <c r="X155" i="13"/>
  <c r="X35" i="13" s="1"/>
  <c r="U30" i="13"/>
  <c r="V118" i="13"/>
  <c r="V26" i="13"/>
  <c r="X146" i="13"/>
  <c r="W159" i="13"/>
  <c r="W161" i="13" s="1"/>
  <c r="W163" i="13" s="1"/>
  <c r="W118" i="13"/>
  <c r="W26" i="13"/>
  <c r="T25" i="13"/>
  <c r="U41" i="13"/>
  <c r="U15" i="13" s="1"/>
  <c r="U150" i="13"/>
  <c r="V41" i="13"/>
  <c r="V150" i="13"/>
  <c r="X116" i="13"/>
  <c r="T120" i="13"/>
  <c r="T122" i="13" s="1"/>
  <c r="T28" i="13"/>
  <c r="T152" i="13"/>
  <c r="W142" i="13"/>
  <c r="Y66" i="13"/>
  <c r="T133" i="13"/>
  <c r="Z75" i="13"/>
  <c r="Z142" i="13" s="1"/>
  <c r="Z76" i="13"/>
  <c r="Y76" i="13"/>
  <c r="Y75" i="13"/>
  <c r="Y142" i="13" s="1"/>
  <c r="Z57" i="13"/>
  <c r="Z66" i="13" s="1"/>
  <c r="Z62" i="13"/>
  <c r="X64" i="13"/>
  <c r="X63" i="13"/>
  <c r="AB56" i="13"/>
  <c r="N6" i="13"/>
  <c r="O7" i="13"/>
  <c r="P7" i="13" s="1"/>
  <c r="Q7" i="13" s="1"/>
  <c r="R7" i="13" s="1"/>
  <c r="T7" i="13" s="1"/>
  <c r="Z80" i="12"/>
  <c r="Z82" i="12" s="1"/>
  <c r="AA74" i="12"/>
  <c r="W87" i="12"/>
  <c r="U89" i="12"/>
  <c r="AA113" i="12"/>
  <c r="AA115" i="12" s="1"/>
  <c r="AB111" i="12"/>
  <c r="X87" i="12"/>
  <c r="V89" i="12"/>
  <c r="V91" i="12" s="1"/>
  <c r="U96" i="12"/>
  <c r="Q92" i="12"/>
  <c r="R92" i="12"/>
  <c r="P94" i="12"/>
  <c r="T68" i="12"/>
  <c r="T70" i="12" s="1"/>
  <c r="U62" i="12"/>
  <c r="V17" i="12"/>
  <c r="U23" i="12"/>
  <c r="X118" i="12"/>
  <c r="X119" i="12" s="1"/>
  <c r="Y116" i="12"/>
  <c r="T104" i="12"/>
  <c r="S106" i="12"/>
  <c r="S107" i="12" s="1"/>
  <c r="AE42" i="3"/>
  <c r="AD13" i="3"/>
  <c r="AD16" i="3"/>
  <c r="AD22" i="3" s="1"/>
  <c r="AD24" i="3" s="1"/>
  <c r="AC16" i="3"/>
  <c r="AC22" i="3" s="1"/>
  <c r="AC24" i="3" s="1"/>
  <c r="AB16" i="3"/>
  <c r="AB22" i="3" s="1"/>
  <c r="AB24" i="3" s="1"/>
  <c r="AA16" i="3"/>
  <c r="AA22" i="3" s="1"/>
  <c r="AA24" i="3" s="1"/>
  <c r="Z16" i="3"/>
  <c r="Z22" i="3" s="1"/>
  <c r="Z24" i="3" s="1"/>
  <c r="Y16" i="3"/>
  <c r="Y22" i="3" s="1"/>
  <c r="Y24" i="3" s="1"/>
  <c r="X16" i="3"/>
  <c r="X22" i="3" s="1"/>
  <c r="X24" i="3" s="1"/>
  <c r="W16" i="3"/>
  <c r="W22" i="3" s="1"/>
  <c r="W24" i="3" s="1"/>
  <c r="V16" i="3"/>
  <c r="V22" i="3" s="1"/>
  <c r="V24" i="3" s="1"/>
  <c r="U16" i="3"/>
  <c r="U22" i="3" s="1"/>
  <c r="U24" i="3" s="1"/>
  <c r="T16" i="3"/>
  <c r="T22" i="3" s="1"/>
  <c r="T24" i="3" s="1"/>
  <c r="S16" i="3"/>
  <c r="S22" i="3" s="1"/>
  <c r="S24" i="3" s="1"/>
  <c r="R16" i="3"/>
  <c r="R22" i="3" s="1"/>
  <c r="R24" i="3" s="1"/>
  <c r="AD5" i="3"/>
  <c r="AC5" i="3"/>
  <c r="AB5" i="3"/>
  <c r="AA5" i="3"/>
  <c r="Z5" i="3"/>
  <c r="Y5" i="3"/>
  <c r="X5" i="3"/>
  <c r="W5" i="3"/>
  <c r="V5" i="3"/>
  <c r="U5" i="3"/>
  <c r="T5" i="3"/>
  <c r="S5" i="3"/>
  <c r="R5" i="3"/>
  <c r="P5" i="3"/>
  <c r="O5" i="3"/>
  <c r="N5" i="3"/>
  <c r="F26" i="3"/>
  <c r="G26" i="3"/>
  <c r="H26" i="3"/>
  <c r="I26" i="3"/>
  <c r="J26" i="3"/>
  <c r="K26" i="3"/>
  <c r="L26" i="3"/>
  <c r="E2" i="3"/>
  <c r="F85" i="3"/>
  <c r="G85" i="3" s="1"/>
  <c r="H85" i="3" s="1"/>
  <c r="I85" i="3" s="1"/>
  <c r="J85" i="3" s="1"/>
  <c r="K85" i="3" s="1"/>
  <c r="L85" i="3" s="1"/>
  <c r="M85" i="3" s="1"/>
  <c r="N85" i="3" s="1"/>
  <c r="O85" i="3" s="1"/>
  <c r="P85" i="3" s="1"/>
  <c r="R85" i="3" s="1"/>
  <c r="S85" i="3" s="1"/>
  <c r="T85" i="3" s="1"/>
  <c r="U85" i="3" s="1"/>
  <c r="V85" i="3" s="1"/>
  <c r="W85" i="3" s="1"/>
  <c r="X85" i="3" s="1"/>
  <c r="Y85" i="3" s="1"/>
  <c r="Z85" i="3" s="1"/>
  <c r="AA85" i="3" s="1"/>
  <c r="AB85" i="3" s="1"/>
  <c r="AC85" i="3" s="1"/>
  <c r="F59" i="3"/>
  <c r="G59" i="3" s="1"/>
  <c r="H59" i="3" s="1"/>
  <c r="I59" i="3" s="1"/>
  <c r="J59" i="3" s="1"/>
  <c r="K59" i="3" s="1"/>
  <c r="L59" i="3" s="1"/>
  <c r="M59" i="3" s="1"/>
  <c r="N59" i="3" s="1"/>
  <c r="O59" i="3" s="1"/>
  <c r="P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F30" i="3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X22" i="13" l="1"/>
  <c r="X129" i="13"/>
  <c r="T103" i="13"/>
  <c r="U97" i="13"/>
  <c r="U32" i="13"/>
  <c r="U31" i="13" s="1"/>
  <c r="S85" i="13"/>
  <c r="S86" i="13"/>
  <c r="T163" i="13"/>
  <c r="T13" i="13"/>
  <c r="T12" i="13" s="1"/>
  <c r="X9" i="13"/>
  <c r="V40" i="13"/>
  <c r="V25" i="13"/>
  <c r="V13" i="13"/>
  <c r="U29" i="13"/>
  <c r="T15" i="13"/>
  <c r="W25" i="13"/>
  <c r="U38" i="13"/>
  <c r="U13" i="13"/>
  <c r="T40" i="13"/>
  <c r="X26" i="13"/>
  <c r="X159" i="13"/>
  <c r="X161" i="13" s="1"/>
  <c r="X163" i="13" s="1"/>
  <c r="X165" i="13" s="1"/>
  <c r="U40" i="13"/>
  <c r="Y69" i="13"/>
  <c r="Y63" i="13" s="1"/>
  <c r="Y155" i="13"/>
  <c r="Y159" i="13" s="1"/>
  <c r="Y161" i="13" s="1"/>
  <c r="Y163" i="13" s="1"/>
  <c r="Y165" i="13" s="1"/>
  <c r="Z155" i="13"/>
  <c r="U7" i="13"/>
  <c r="T110" i="13"/>
  <c r="T140" i="13"/>
  <c r="W146" i="13"/>
  <c r="W39" i="13" s="1"/>
  <c r="W13" i="13" s="1"/>
  <c r="W35" i="13"/>
  <c r="W9" i="13" s="1"/>
  <c r="Z146" i="13"/>
  <c r="X118" i="13"/>
  <c r="V120" i="13"/>
  <c r="V122" i="13" s="1"/>
  <c r="V28" i="13"/>
  <c r="Y146" i="13"/>
  <c r="U152" i="13"/>
  <c r="U43" i="13"/>
  <c r="U42" i="13" s="1"/>
  <c r="T30" i="13"/>
  <c r="V152" i="13"/>
  <c r="V43" i="13"/>
  <c r="V42" i="13" s="1"/>
  <c r="T27" i="13"/>
  <c r="X148" i="13"/>
  <c r="W120" i="13"/>
  <c r="W122" i="13" s="1"/>
  <c r="W28" i="13"/>
  <c r="W165" i="13"/>
  <c r="Y70" i="13"/>
  <c r="T135" i="13"/>
  <c r="AA57" i="13"/>
  <c r="AB58" i="13"/>
  <c r="AB72" i="13" s="1"/>
  <c r="AA62" i="13"/>
  <c r="Z70" i="13"/>
  <c r="Z69" i="13"/>
  <c r="AA58" i="13"/>
  <c r="AC56" i="13"/>
  <c r="W17" i="12"/>
  <c r="V23" i="12"/>
  <c r="V25" i="12" s="1"/>
  <c r="U68" i="12"/>
  <c r="U70" i="12" s="1"/>
  <c r="V62" i="12"/>
  <c r="U91" i="12"/>
  <c r="T106" i="12"/>
  <c r="T107" i="12" s="1"/>
  <c r="U104" i="12"/>
  <c r="X89" i="12"/>
  <c r="X91" i="12" s="1"/>
  <c r="Z87" i="12"/>
  <c r="Y87" i="12"/>
  <c r="W89" i="12"/>
  <c r="W91" i="12" s="1"/>
  <c r="V96" i="12"/>
  <c r="Q94" i="12"/>
  <c r="Q93" i="12" s="1"/>
  <c r="P95" i="12"/>
  <c r="Q95" i="12" s="1"/>
  <c r="Q96" i="12" s="1"/>
  <c r="AA80" i="12"/>
  <c r="AA82" i="12" s="1"/>
  <c r="AB74" i="12"/>
  <c r="U25" i="12"/>
  <c r="Y118" i="12"/>
  <c r="Y119" i="12" s="1"/>
  <c r="Z116" i="12"/>
  <c r="S92" i="12"/>
  <c r="R94" i="12"/>
  <c r="AC111" i="12"/>
  <c r="AC113" i="12" s="1"/>
  <c r="AC115" i="12" s="1"/>
  <c r="AD115" i="12" s="1"/>
  <c r="AB113" i="12"/>
  <c r="AB115" i="12" s="1"/>
  <c r="AD12" i="3"/>
  <c r="AE13" i="3"/>
  <c r="O28" i="3"/>
  <c r="O27" i="3"/>
  <c r="S26" i="3"/>
  <c r="U26" i="3"/>
  <c r="AC26" i="3"/>
  <c r="M26" i="3"/>
  <c r="V26" i="3"/>
  <c r="AD26" i="3"/>
  <c r="N26" i="3"/>
  <c r="W26" i="3"/>
  <c r="T26" i="3"/>
  <c r="X26" i="3"/>
  <c r="AA26" i="3"/>
  <c r="AB26" i="3"/>
  <c r="P26" i="3"/>
  <c r="Y26" i="3"/>
  <c r="R26" i="3"/>
  <c r="Z26" i="3"/>
  <c r="O26" i="3"/>
  <c r="L2" i="3"/>
  <c r="I2" i="3"/>
  <c r="F2" i="3"/>
  <c r="G2" i="3"/>
  <c r="H2" i="3"/>
  <c r="J2" i="3"/>
  <c r="K2" i="3"/>
  <c r="W104" i="13" l="1"/>
  <c r="Y104" i="13"/>
  <c r="X104" i="13"/>
  <c r="T97" i="13"/>
  <c r="T98" i="13"/>
  <c r="U45" i="13"/>
  <c r="U44" i="13" s="1"/>
  <c r="U103" i="13"/>
  <c r="V45" i="13"/>
  <c r="V44" i="13" s="1"/>
  <c r="V103" i="13"/>
  <c r="T165" i="13"/>
  <c r="T43" i="13"/>
  <c r="T42" i="13" s="1"/>
  <c r="X131" i="13"/>
  <c r="X28" i="13" s="1"/>
  <c r="Y112" i="13"/>
  <c r="Y116" i="13" s="1"/>
  <c r="W12" i="13"/>
  <c r="T14" i="13"/>
  <c r="V27" i="13"/>
  <c r="V15" i="13"/>
  <c r="V14" i="13" s="1"/>
  <c r="U17" i="13"/>
  <c r="U16" i="13" s="1"/>
  <c r="U12" i="13"/>
  <c r="V12" i="13"/>
  <c r="W27" i="13"/>
  <c r="U14" i="13"/>
  <c r="Z159" i="13"/>
  <c r="Z161" i="13" s="1"/>
  <c r="Z163" i="13" s="1"/>
  <c r="Z165" i="13" s="1"/>
  <c r="Z35" i="13"/>
  <c r="X41" i="13"/>
  <c r="Y35" i="13"/>
  <c r="X39" i="13"/>
  <c r="X38" i="13" s="1"/>
  <c r="AB76" i="13"/>
  <c r="X150" i="13"/>
  <c r="X152" i="13" s="1"/>
  <c r="W148" i="13"/>
  <c r="W41" i="13" s="1"/>
  <c r="W40" i="13" s="1"/>
  <c r="W30" i="13"/>
  <c r="Z148" i="13"/>
  <c r="T29" i="13"/>
  <c r="V30" i="13"/>
  <c r="T32" i="13"/>
  <c r="W38" i="13"/>
  <c r="Y39" i="13"/>
  <c r="X25" i="13"/>
  <c r="Y148" i="13"/>
  <c r="Y41" i="13" s="1"/>
  <c r="X120" i="13"/>
  <c r="X122" i="13" s="1"/>
  <c r="V7" i="13"/>
  <c r="U110" i="13"/>
  <c r="U140" i="13"/>
  <c r="Y125" i="13"/>
  <c r="AA66" i="13"/>
  <c r="AA72" i="13"/>
  <c r="Y64" i="13"/>
  <c r="Z63" i="13"/>
  <c r="Z112" i="13"/>
  <c r="Z64" i="13"/>
  <c r="Z125" i="13"/>
  <c r="Z129" i="13" s="1"/>
  <c r="AB75" i="13"/>
  <c r="AB142" i="13" s="1"/>
  <c r="AB57" i="13"/>
  <c r="AB66" i="13" s="1"/>
  <c r="AC58" i="13"/>
  <c r="AC72" i="13" s="1"/>
  <c r="AB62" i="13"/>
  <c r="AD56" i="13"/>
  <c r="W96" i="12"/>
  <c r="S94" i="12"/>
  <c r="S95" i="12" s="1"/>
  <c r="T92" i="12"/>
  <c r="W62" i="12"/>
  <c r="V68" i="12"/>
  <c r="U106" i="12"/>
  <c r="U107" i="12" s="1"/>
  <c r="V104" i="12"/>
  <c r="Z118" i="12"/>
  <c r="Z119" i="12" s="1"/>
  <c r="AA116" i="12"/>
  <c r="AC74" i="12"/>
  <c r="AC80" i="12" s="1"/>
  <c r="AC82" i="12" s="1"/>
  <c r="AD82" i="12" s="1"/>
  <c r="AB80" i="12"/>
  <c r="AB82" i="12" s="1"/>
  <c r="AA87" i="12"/>
  <c r="Y89" i="12"/>
  <c r="Y91" i="12" s="1"/>
  <c r="AB87" i="12"/>
  <c r="AB89" i="12" s="1"/>
  <c r="AB91" i="12" s="1"/>
  <c r="Z89" i="12"/>
  <c r="Z91" i="12" s="1"/>
  <c r="R95" i="12"/>
  <c r="X17" i="12"/>
  <c r="W23" i="12"/>
  <c r="W25" i="12" s="1"/>
  <c r="N28" i="3"/>
  <c r="N27" i="3"/>
  <c r="P28" i="3"/>
  <c r="P27" i="3"/>
  <c r="M27" i="3"/>
  <c r="AD28" i="3"/>
  <c r="AD27" i="3"/>
  <c r="R28" i="3"/>
  <c r="R27" i="3"/>
  <c r="AA28" i="3"/>
  <c r="AA27" i="3"/>
  <c r="AC28" i="3"/>
  <c r="AC27" i="3"/>
  <c r="S28" i="3"/>
  <c r="S27" i="3"/>
  <c r="AB28" i="3"/>
  <c r="AB27" i="3"/>
  <c r="V28" i="3"/>
  <c r="V27" i="3"/>
  <c r="Z28" i="3"/>
  <c r="Z27" i="3"/>
  <c r="Y28" i="3"/>
  <c r="Y27" i="3"/>
  <c r="X28" i="3"/>
  <c r="X27" i="3"/>
  <c r="U28" i="3"/>
  <c r="U27" i="3"/>
  <c r="T28" i="3"/>
  <c r="T27" i="3"/>
  <c r="W28" i="3"/>
  <c r="W27" i="3"/>
  <c r="L22" i="3"/>
  <c r="L23" i="3" s="1"/>
  <c r="Y129" i="13" l="1"/>
  <c r="Y131" i="13" s="1"/>
  <c r="Y133" i="13" s="1"/>
  <c r="Y135" i="13" s="1"/>
  <c r="Z104" i="13"/>
  <c r="T104" i="13"/>
  <c r="Y98" i="13"/>
  <c r="V97" i="13"/>
  <c r="W97" i="13"/>
  <c r="U83" i="13"/>
  <c r="U84" i="13" s="1"/>
  <c r="U82" i="13"/>
  <c r="U90" i="13" s="1"/>
  <c r="U92" i="13" s="1"/>
  <c r="X45" i="13"/>
  <c r="X103" i="13"/>
  <c r="U19" i="13"/>
  <c r="V32" i="13"/>
  <c r="V31" i="13" s="1"/>
  <c r="W32" i="13"/>
  <c r="W31" i="13" s="1"/>
  <c r="T45" i="13"/>
  <c r="T44" i="13" s="1"/>
  <c r="T17" i="13"/>
  <c r="T16" i="13" s="1"/>
  <c r="X133" i="13"/>
  <c r="X135" i="13" s="1"/>
  <c r="X13" i="13"/>
  <c r="X12" i="13" s="1"/>
  <c r="W29" i="13"/>
  <c r="V29" i="13"/>
  <c r="V17" i="13"/>
  <c r="V16" i="13" s="1"/>
  <c r="W15" i="13"/>
  <c r="X27" i="13"/>
  <c r="X15" i="13"/>
  <c r="X43" i="13"/>
  <c r="X42" i="13" s="1"/>
  <c r="X40" i="13"/>
  <c r="Y38" i="13"/>
  <c r="Z39" i="13"/>
  <c r="Z38" i="13" s="1"/>
  <c r="Z41" i="13"/>
  <c r="AA76" i="13"/>
  <c r="AA70" i="13"/>
  <c r="AB155" i="13"/>
  <c r="AB35" i="13" s="1"/>
  <c r="Y150" i="13"/>
  <c r="Y43" i="13" s="1"/>
  <c r="Y42" i="13" s="1"/>
  <c r="Z150" i="13"/>
  <c r="Z152" i="13" s="1"/>
  <c r="W150" i="13"/>
  <c r="W43" i="13" s="1"/>
  <c r="W42" i="13" s="1"/>
  <c r="Y22" i="13"/>
  <c r="Y9" i="13" s="1"/>
  <c r="AB146" i="13"/>
  <c r="Y118" i="13"/>
  <c r="Y26" i="13"/>
  <c r="Y13" i="13" s="1"/>
  <c r="Z116" i="13"/>
  <c r="Z22" i="13"/>
  <c r="Z9" i="13" s="1"/>
  <c r="W7" i="13"/>
  <c r="V110" i="13"/>
  <c r="V140" i="13"/>
  <c r="T31" i="13"/>
  <c r="Y40" i="13"/>
  <c r="AA75" i="13"/>
  <c r="AA142" i="13" s="1"/>
  <c r="AA69" i="13"/>
  <c r="AA112" i="13" s="1"/>
  <c r="AC76" i="13"/>
  <c r="AC75" i="13"/>
  <c r="AC142" i="13" s="1"/>
  <c r="AB70" i="13"/>
  <c r="AB69" i="13"/>
  <c r="AD58" i="13"/>
  <c r="AD72" i="13" s="1"/>
  <c r="AC62" i="13"/>
  <c r="AC57" i="13"/>
  <c r="AC66" i="13" s="1"/>
  <c r="AE56" i="13"/>
  <c r="U92" i="12"/>
  <c r="T94" i="12"/>
  <c r="AA118" i="12"/>
  <c r="AA119" i="12" s="1"/>
  <c r="AB116" i="12"/>
  <c r="W104" i="12"/>
  <c r="V106" i="12"/>
  <c r="V107" i="12" s="1"/>
  <c r="X23" i="12"/>
  <c r="X25" i="12" s="1"/>
  <c r="Y17" i="12"/>
  <c r="AA89" i="12"/>
  <c r="AA91" i="12" s="1"/>
  <c r="AC87" i="12"/>
  <c r="AC89" i="12" s="1"/>
  <c r="AC91" i="12" s="1"/>
  <c r="AD91" i="12" s="1"/>
  <c r="V70" i="12"/>
  <c r="W68" i="12"/>
  <c r="W70" i="12" s="1"/>
  <c r="X62" i="12"/>
  <c r="X96" i="12"/>
  <c r="K22" i="3"/>
  <c r="K23" i="3" s="1"/>
  <c r="X97" i="13" l="1"/>
  <c r="X98" i="13"/>
  <c r="T82" i="13"/>
  <c r="U18" i="13"/>
  <c r="U86" i="13"/>
  <c r="U100" i="13" s="1"/>
  <c r="U102" i="13" s="1"/>
  <c r="U85" i="13"/>
  <c r="U94" i="13" s="1"/>
  <c r="U96" i="13" s="1"/>
  <c r="Z45" i="13"/>
  <c r="Z103" i="13"/>
  <c r="V83" i="13"/>
  <c r="V84" i="13" s="1"/>
  <c r="V82" i="13"/>
  <c r="V90" i="13" s="1"/>
  <c r="V92" i="13" s="1"/>
  <c r="V19" i="13"/>
  <c r="T83" i="13"/>
  <c r="T84" i="13" s="1"/>
  <c r="T19" i="13"/>
  <c r="X14" i="13"/>
  <c r="X30" i="13"/>
  <c r="X17" i="13" s="1"/>
  <c r="X16" i="13" s="1"/>
  <c r="W152" i="13"/>
  <c r="X44" i="13"/>
  <c r="Y12" i="13"/>
  <c r="W17" i="13"/>
  <c r="W14" i="13"/>
  <c r="AA64" i="13"/>
  <c r="Z40" i="13"/>
  <c r="AA155" i="13"/>
  <c r="AA159" i="13" s="1"/>
  <c r="Y152" i="13"/>
  <c r="Y45" i="13" s="1"/>
  <c r="AB159" i="13"/>
  <c r="AB161" i="13" s="1"/>
  <c r="AB163" i="13" s="1"/>
  <c r="AC155" i="13"/>
  <c r="AC35" i="13" s="1"/>
  <c r="AA125" i="13"/>
  <c r="AD76" i="13"/>
  <c r="Z43" i="13"/>
  <c r="Z42" i="13" s="1"/>
  <c r="X32" i="13"/>
  <c r="AA146" i="13"/>
  <c r="X7" i="13"/>
  <c r="W140" i="13"/>
  <c r="W110" i="13"/>
  <c r="AC146" i="13"/>
  <c r="AA116" i="13"/>
  <c r="Y25" i="13"/>
  <c r="Y120" i="13"/>
  <c r="Y122" i="13" s="1"/>
  <c r="Y28" i="13"/>
  <c r="Y15" i="13" s="1"/>
  <c r="Y14" i="13" s="1"/>
  <c r="AB148" i="13"/>
  <c r="Z118" i="13"/>
  <c r="Z26" i="13"/>
  <c r="AA63" i="13"/>
  <c r="AB63" i="13"/>
  <c r="AB112" i="13"/>
  <c r="Z131" i="13"/>
  <c r="AB64" i="13"/>
  <c r="AB125" i="13"/>
  <c r="AB129" i="13" s="1"/>
  <c r="AD57" i="13"/>
  <c r="AD66" i="13" s="1"/>
  <c r="AD62" i="13"/>
  <c r="AE58" i="13"/>
  <c r="AC70" i="13"/>
  <c r="AC69" i="13"/>
  <c r="AD75" i="13"/>
  <c r="AD142" i="13" s="1"/>
  <c r="AC116" i="12"/>
  <c r="AB118" i="12"/>
  <c r="AB119" i="12" s="1"/>
  <c r="Y96" i="12"/>
  <c r="X68" i="12"/>
  <c r="Y62" i="12"/>
  <c r="V92" i="12"/>
  <c r="U94" i="12"/>
  <c r="U95" i="12" s="1"/>
  <c r="Z17" i="12"/>
  <c r="Y23" i="12"/>
  <c r="Y25" i="12" s="1"/>
  <c r="AD87" i="12"/>
  <c r="T95" i="12"/>
  <c r="AD89" i="12"/>
  <c r="X104" i="12"/>
  <c r="W106" i="12"/>
  <c r="W107" i="12" s="1"/>
  <c r="AB165" i="13" l="1"/>
  <c r="AB173" i="13"/>
  <c r="AA129" i="13"/>
  <c r="AA131" i="13" s="1"/>
  <c r="AA133" i="13" s="1"/>
  <c r="AA135" i="13" s="1"/>
  <c r="AB104" i="13"/>
  <c r="AA98" i="13"/>
  <c r="T18" i="13"/>
  <c r="V18" i="13"/>
  <c r="V85" i="13"/>
  <c r="V94" i="13" s="1"/>
  <c r="V96" i="13" s="1"/>
  <c r="U95" i="13"/>
  <c r="W45" i="13"/>
  <c r="W82" i="13" s="1"/>
  <c r="W103" i="13"/>
  <c r="Y44" i="13"/>
  <c r="Y103" i="13"/>
  <c r="V86" i="13"/>
  <c r="V100" i="13" s="1"/>
  <c r="V102" i="13" s="1"/>
  <c r="T90" i="13"/>
  <c r="T85" i="13"/>
  <c r="T94" i="13" s="1"/>
  <c r="T86" i="13"/>
  <c r="T100" i="13" s="1"/>
  <c r="X83" i="13"/>
  <c r="X84" i="13" s="1"/>
  <c r="X82" i="13"/>
  <c r="AA161" i="13"/>
  <c r="X29" i="13"/>
  <c r="W16" i="13"/>
  <c r="AC159" i="13"/>
  <c r="AC161" i="13" s="1"/>
  <c r="AC163" i="13" s="1"/>
  <c r="X31" i="13"/>
  <c r="X19" i="13"/>
  <c r="Z25" i="13"/>
  <c r="Z13" i="13"/>
  <c r="AB41" i="13"/>
  <c r="AA35" i="13"/>
  <c r="AB39" i="13"/>
  <c r="AB38" i="13" s="1"/>
  <c r="AA22" i="13"/>
  <c r="AD155" i="13"/>
  <c r="AD35" i="13" s="1"/>
  <c r="Z44" i="13"/>
  <c r="AB150" i="13"/>
  <c r="AA39" i="13"/>
  <c r="AB116" i="13"/>
  <c r="AB22" i="13"/>
  <c r="AB9" i="13" s="1"/>
  <c r="AA118" i="13"/>
  <c r="AA26" i="13"/>
  <c r="Z120" i="13"/>
  <c r="Z122" i="13" s="1"/>
  <c r="Z28" i="13"/>
  <c r="AC148" i="13"/>
  <c r="Y7" i="13"/>
  <c r="X140" i="13"/>
  <c r="X110" i="13"/>
  <c r="AD146" i="13"/>
  <c r="Y30" i="13"/>
  <c r="Y17" i="13" s="1"/>
  <c r="Y16" i="13" s="1"/>
  <c r="AA148" i="13"/>
  <c r="Y27" i="13"/>
  <c r="AE72" i="13"/>
  <c r="AF58" i="13"/>
  <c r="AC63" i="13"/>
  <c r="AC112" i="13"/>
  <c r="Z133" i="13"/>
  <c r="AC64" i="13"/>
  <c r="AC125" i="13"/>
  <c r="AE62" i="13"/>
  <c r="AF62" i="13" s="1"/>
  <c r="AE57" i="13"/>
  <c r="AD70" i="13"/>
  <c r="AD69" i="13"/>
  <c r="V94" i="12"/>
  <c r="W92" i="12"/>
  <c r="Z62" i="12"/>
  <c r="Y68" i="12"/>
  <c r="Y70" i="12" s="1"/>
  <c r="Z96" i="12"/>
  <c r="Y104" i="12"/>
  <c r="X106" i="12"/>
  <c r="X107" i="12" s="1"/>
  <c r="AA17" i="12"/>
  <c r="Z23" i="12"/>
  <c r="Z25" i="12" s="1"/>
  <c r="AD88" i="12"/>
  <c r="AD116" i="12"/>
  <c r="AC118" i="12"/>
  <c r="X70" i="12"/>
  <c r="AD90" i="12"/>
  <c r="AB152" i="13" l="1"/>
  <c r="AB45" i="13" s="1"/>
  <c r="AB169" i="13"/>
  <c r="AC165" i="13"/>
  <c r="AC173" i="13"/>
  <c r="AC129" i="13"/>
  <c r="AC131" i="13" s="1"/>
  <c r="AC133" i="13" s="1"/>
  <c r="AC135" i="13" s="1"/>
  <c r="AC104" i="13"/>
  <c r="AC98" i="13"/>
  <c r="Y97" i="13"/>
  <c r="W44" i="13"/>
  <c r="W19" i="13"/>
  <c r="W83" i="13"/>
  <c r="W84" i="13" s="1"/>
  <c r="W86" i="13" s="1"/>
  <c r="W100" i="13" s="1"/>
  <c r="W102" i="13" s="1"/>
  <c r="V95" i="13"/>
  <c r="AB103" i="13"/>
  <c r="T92" i="13"/>
  <c r="T91" i="13"/>
  <c r="T101" i="13"/>
  <c r="T102" i="13"/>
  <c r="T96" i="13"/>
  <c r="T95" i="13"/>
  <c r="X86" i="13"/>
  <c r="X100" i="13" s="1"/>
  <c r="X102" i="13" s="1"/>
  <c r="X85" i="13"/>
  <c r="X94" i="13" s="1"/>
  <c r="X90" i="13"/>
  <c r="X92" i="13" s="1"/>
  <c r="W90" i="13"/>
  <c r="W92" i="13" s="1"/>
  <c r="AA41" i="13"/>
  <c r="AA40" i="13" s="1"/>
  <c r="AA163" i="13"/>
  <c r="AA9" i="13"/>
  <c r="AC41" i="13"/>
  <c r="AC39" i="13"/>
  <c r="AC38" i="13" s="1"/>
  <c r="AB40" i="13"/>
  <c r="AA13" i="13"/>
  <c r="Z12" i="13"/>
  <c r="X18" i="13"/>
  <c r="Z27" i="13"/>
  <c r="Z15" i="13"/>
  <c r="Z14" i="13" s="1"/>
  <c r="AA38" i="13"/>
  <c r="AB43" i="13"/>
  <c r="AB42" i="13" s="1"/>
  <c r="AD159" i="13"/>
  <c r="AD161" i="13" s="1"/>
  <c r="AD163" i="13" s="1"/>
  <c r="AC150" i="13"/>
  <c r="AF72" i="13"/>
  <c r="Z7" i="13"/>
  <c r="Y140" i="13"/>
  <c r="Y110" i="13"/>
  <c r="Y32" i="13"/>
  <c r="AA120" i="13"/>
  <c r="AA122" i="13" s="1"/>
  <c r="AA28" i="13"/>
  <c r="AA150" i="13"/>
  <c r="AB118" i="13"/>
  <c r="AB26" i="13"/>
  <c r="AD148" i="13"/>
  <c r="Y29" i="13"/>
  <c r="Z30" i="13"/>
  <c r="AA25" i="13"/>
  <c r="AC22" i="13"/>
  <c r="AC9" i="13" s="1"/>
  <c r="AC116" i="13"/>
  <c r="AE76" i="13"/>
  <c r="AE75" i="13"/>
  <c r="AE142" i="13" s="1"/>
  <c r="AE66" i="13"/>
  <c r="AE69" i="13" s="1"/>
  <c r="AF69" i="13" s="1"/>
  <c r="AF57" i="13"/>
  <c r="Z135" i="13"/>
  <c r="AD63" i="13"/>
  <c r="AD112" i="13"/>
  <c r="AD64" i="13"/>
  <c r="AD125" i="13"/>
  <c r="AB131" i="13"/>
  <c r="Z104" i="12"/>
  <c r="Y106" i="12"/>
  <c r="Y107" i="12" s="1"/>
  <c r="AC119" i="12"/>
  <c r="AD119" i="12" s="1"/>
  <c r="AD118" i="12"/>
  <c r="AA62" i="12"/>
  <c r="Z68" i="12"/>
  <c r="Z70" i="12" s="1"/>
  <c r="W94" i="12"/>
  <c r="W95" i="12" s="1"/>
  <c r="X92" i="12"/>
  <c r="AA96" i="12"/>
  <c r="AA23" i="12"/>
  <c r="AA25" i="12" s="1"/>
  <c r="AB17" i="12"/>
  <c r="V95" i="12"/>
  <c r="AC152" i="13" l="1"/>
  <c r="AC169" i="13"/>
  <c r="AD165" i="13"/>
  <c r="AD173" i="13"/>
  <c r="AD129" i="13"/>
  <c r="AD131" i="13" s="1"/>
  <c r="AD133" i="13" s="1"/>
  <c r="AD135" i="13" s="1"/>
  <c r="W18" i="13"/>
  <c r="AD104" i="13"/>
  <c r="AD98" i="13"/>
  <c r="Z97" i="13"/>
  <c r="Z98" i="13"/>
  <c r="W85" i="13"/>
  <c r="W94" i="13" s="1"/>
  <c r="W96" i="13" s="1"/>
  <c r="AC45" i="13"/>
  <c r="AC103" i="13"/>
  <c r="X96" i="13"/>
  <c r="X95" i="13"/>
  <c r="AA43" i="13"/>
  <c r="AA42" i="13" s="1"/>
  <c r="AA15" i="13"/>
  <c r="AA14" i="13" s="1"/>
  <c r="Y19" i="13"/>
  <c r="Y83" i="13"/>
  <c r="Y84" i="13" s="1"/>
  <c r="Y82" i="13"/>
  <c r="AA165" i="13"/>
  <c r="AA12" i="13"/>
  <c r="AC40" i="13"/>
  <c r="Z29" i="13"/>
  <c r="Z17" i="13"/>
  <c r="Z16" i="13" s="1"/>
  <c r="AB25" i="13"/>
  <c r="AB13" i="13"/>
  <c r="AA152" i="13"/>
  <c r="AD41" i="13"/>
  <c r="AD39" i="13"/>
  <c r="AD38" i="13" s="1"/>
  <c r="AB44" i="13"/>
  <c r="AC43" i="13"/>
  <c r="AC42" i="13" s="1"/>
  <c r="AF66" i="13"/>
  <c r="AE155" i="13"/>
  <c r="AF155" i="13" s="1"/>
  <c r="AD150" i="13"/>
  <c r="AA30" i="13"/>
  <c r="Y31" i="13"/>
  <c r="AE146" i="13"/>
  <c r="AF142" i="13"/>
  <c r="AB120" i="13"/>
  <c r="AB122" i="13" s="1"/>
  <c r="AB28" i="13"/>
  <c r="AA7" i="13"/>
  <c r="Z110" i="13"/>
  <c r="Z140" i="13"/>
  <c r="AD22" i="13"/>
  <c r="AD9" i="13" s="1"/>
  <c r="AD116" i="13"/>
  <c r="AC118" i="13"/>
  <c r="AC26" i="13"/>
  <c r="AC13" i="13" s="1"/>
  <c r="AC12" i="13" s="1"/>
  <c r="Z32" i="13"/>
  <c r="AA27" i="13"/>
  <c r="AE70" i="13"/>
  <c r="AF75" i="13"/>
  <c r="AF76" i="13"/>
  <c r="AE63" i="13"/>
  <c r="AE112" i="13"/>
  <c r="AB133" i="13"/>
  <c r="Y92" i="12"/>
  <c r="X94" i="12"/>
  <c r="X95" i="12" s="1"/>
  <c r="AA68" i="12"/>
  <c r="AA70" i="12" s="1"/>
  <c r="AB62" i="12"/>
  <c r="AB23" i="12"/>
  <c r="AB25" i="12" s="1"/>
  <c r="AC17" i="12"/>
  <c r="AB96" i="12"/>
  <c r="AA104" i="12"/>
  <c r="Z106" i="12"/>
  <c r="Z107" i="12" s="1"/>
  <c r="AD43" i="13" l="1"/>
  <c r="AD169" i="13"/>
  <c r="AA103" i="13"/>
  <c r="AA104" i="13"/>
  <c r="AA97" i="13"/>
  <c r="W95" i="13"/>
  <c r="Y18" i="13"/>
  <c r="AA17" i="13"/>
  <c r="AA16" i="13" s="1"/>
  <c r="AA45" i="13"/>
  <c r="AA44" i="13" s="1"/>
  <c r="Y86" i="13"/>
  <c r="Y85" i="13"/>
  <c r="Y90" i="13"/>
  <c r="Y92" i="13" s="1"/>
  <c r="Z83" i="13"/>
  <c r="Z84" i="13" s="1"/>
  <c r="Z82" i="13"/>
  <c r="AE35" i="13"/>
  <c r="AF35" i="13" s="1"/>
  <c r="AB12" i="13"/>
  <c r="Z31" i="13"/>
  <c r="Z19" i="13"/>
  <c r="AB27" i="13"/>
  <c r="AB15" i="13"/>
  <c r="AD42" i="13"/>
  <c r="AD152" i="13"/>
  <c r="AE159" i="13"/>
  <c r="AD40" i="13"/>
  <c r="AC44" i="13"/>
  <c r="AF70" i="13"/>
  <c r="AE64" i="13"/>
  <c r="AE125" i="13"/>
  <c r="AC25" i="13"/>
  <c r="AC120" i="13"/>
  <c r="AC122" i="13" s="1"/>
  <c r="AC28" i="13"/>
  <c r="AE116" i="13"/>
  <c r="AF112" i="13"/>
  <c r="AF146" i="13"/>
  <c r="AF145" i="13" s="1"/>
  <c r="AB7" i="13"/>
  <c r="AA110" i="13"/>
  <c r="AA140" i="13"/>
  <c r="AE148" i="13"/>
  <c r="AA29" i="13"/>
  <c r="AB30" i="13"/>
  <c r="AA32" i="13"/>
  <c r="AD118" i="13"/>
  <c r="AD26" i="13"/>
  <c r="AB135" i="13"/>
  <c r="AC23" i="12"/>
  <c r="AD17" i="12"/>
  <c r="AB68" i="12"/>
  <c r="AB70" i="12" s="1"/>
  <c r="AC62" i="12"/>
  <c r="AB104" i="12"/>
  <c r="AA106" i="12"/>
  <c r="AA107" i="12" s="1"/>
  <c r="AC96" i="12"/>
  <c r="Z92" i="12"/>
  <c r="Y94" i="12"/>
  <c r="AE22" i="13" l="1"/>
  <c r="AE129" i="13"/>
  <c r="AB97" i="13"/>
  <c r="AB98" i="13"/>
  <c r="Z18" i="13"/>
  <c r="AD45" i="13"/>
  <c r="AD103" i="13"/>
  <c r="Z86" i="13"/>
  <c r="Z100" i="13" s="1"/>
  <c r="Z102" i="13" s="1"/>
  <c r="Z85" i="13"/>
  <c r="Z94" i="13" s="1"/>
  <c r="Z90" i="13"/>
  <c r="Z92" i="13" s="1"/>
  <c r="Y94" i="13"/>
  <c r="AA83" i="13"/>
  <c r="AA84" i="13" s="1"/>
  <c r="AA82" i="13"/>
  <c r="Y100" i="13"/>
  <c r="Y102" i="13" s="1"/>
  <c r="AE39" i="13"/>
  <c r="AE38" i="13" s="1"/>
  <c r="AF159" i="13"/>
  <c r="AF158" i="13" s="1"/>
  <c r="AE9" i="13"/>
  <c r="AF9" i="13" s="1"/>
  <c r="AE131" i="13"/>
  <c r="AD25" i="13"/>
  <c r="AD13" i="13"/>
  <c r="AB14" i="13"/>
  <c r="AA31" i="13"/>
  <c r="AA19" i="13"/>
  <c r="AB29" i="13"/>
  <c r="AB17" i="13"/>
  <c r="AB16" i="13" s="1"/>
  <c r="AE161" i="13"/>
  <c r="AC27" i="13"/>
  <c r="AC15" i="13"/>
  <c r="AC14" i="13" s="1"/>
  <c r="AF125" i="13"/>
  <c r="AF22" i="13" s="1"/>
  <c r="AD120" i="13"/>
  <c r="AD122" i="13" s="1"/>
  <c r="AD28" i="13"/>
  <c r="AF148" i="13"/>
  <c r="AF147" i="13" s="1"/>
  <c r="AE150" i="13"/>
  <c r="AE169" i="13" s="1"/>
  <c r="AC30" i="13"/>
  <c r="AC17" i="13" s="1"/>
  <c r="AE118" i="13"/>
  <c r="AF116" i="13"/>
  <c r="AF115" i="13" s="1"/>
  <c r="AC7" i="13"/>
  <c r="AB110" i="13"/>
  <c r="AB140" i="13"/>
  <c r="AB32" i="13"/>
  <c r="AB106" i="12"/>
  <c r="AB107" i="12" s="1"/>
  <c r="AC104" i="12"/>
  <c r="AC68" i="12"/>
  <c r="AD62" i="12"/>
  <c r="Y95" i="12"/>
  <c r="AA92" i="12"/>
  <c r="Z94" i="12"/>
  <c r="Z95" i="12" s="1"/>
  <c r="AC25" i="12"/>
  <c r="AD25" i="12" s="1"/>
  <c r="AD24" i="12" s="1"/>
  <c r="AD23" i="12"/>
  <c r="AD44" i="13" l="1"/>
  <c r="AC97" i="13"/>
  <c r="AA18" i="13"/>
  <c r="Y96" i="13"/>
  <c r="Y95" i="13"/>
  <c r="AC32" i="13"/>
  <c r="AC19" i="13" s="1"/>
  <c r="Z96" i="13"/>
  <c r="Z95" i="13"/>
  <c r="AA85" i="13"/>
  <c r="AA90" i="13"/>
  <c r="AA92" i="13" s="1"/>
  <c r="AA86" i="13"/>
  <c r="AB82" i="13"/>
  <c r="AB83" i="13"/>
  <c r="AB84" i="13" s="1"/>
  <c r="AF39" i="13"/>
  <c r="AF38" i="13" s="1"/>
  <c r="AE163" i="13"/>
  <c r="AF161" i="13"/>
  <c r="AF160" i="13" s="1"/>
  <c r="AF129" i="13"/>
  <c r="AF128" i="13" s="1"/>
  <c r="AE26" i="13"/>
  <c r="AE13" i="13" s="1"/>
  <c r="AE12" i="13" s="1"/>
  <c r="AC16" i="13"/>
  <c r="AE41" i="13"/>
  <c r="AE40" i="13" s="1"/>
  <c r="AD27" i="13"/>
  <c r="AD15" i="13"/>
  <c r="AD14" i="13" s="1"/>
  <c r="AD12" i="13"/>
  <c r="AB31" i="13"/>
  <c r="AB19" i="13"/>
  <c r="AD7" i="13"/>
  <c r="AC110" i="13"/>
  <c r="AC140" i="13"/>
  <c r="AE120" i="13"/>
  <c r="AE122" i="13" s="1"/>
  <c r="AE28" i="13"/>
  <c r="AF118" i="13"/>
  <c r="AF117" i="13" s="1"/>
  <c r="AE152" i="13"/>
  <c r="AF150" i="13"/>
  <c r="AD30" i="13"/>
  <c r="AC29" i="13"/>
  <c r="AE133" i="13"/>
  <c r="AF131" i="13"/>
  <c r="AA94" i="12"/>
  <c r="AA95" i="12" s="1"/>
  <c r="AB92" i="12"/>
  <c r="AC70" i="12"/>
  <c r="AD70" i="12" s="1"/>
  <c r="AD68" i="12"/>
  <c r="AC106" i="12"/>
  <c r="AD104" i="12"/>
  <c r="AE43" i="13" l="1"/>
  <c r="AE173" i="13"/>
  <c r="AE103" i="13"/>
  <c r="AD97" i="13"/>
  <c r="AC18" i="13"/>
  <c r="AB18" i="13"/>
  <c r="AC31" i="13"/>
  <c r="AC83" i="13"/>
  <c r="AC84" i="13" s="1"/>
  <c r="AD32" i="13"/>
  <c r="AD31" i="13" s="1"/>
  <c r="AC82" i="13"/>
  <c r="AC90" i="13" s="1"/>
  <c r="AC92" i="13" s="1"/>
  <c r="AB85" i="13"/>
  <c r="AB94" i="13" s="1"/>
  <c r="AB86" i="13"/>
  <c r="AB100" i="13" s="1"/>
  <c r="AB102" i="13" s="1"/>
  <c r="AB90" i="13"/>
  <c r="AB92" i="13" s="1"/>
  <c r="AA100" i="13"/>
  <c r="AA102" i="13" s="1"/>
  <c r="AA94" i="13"/>
  <c r="AF163" i="13"/>
  <c r="AF162" i="13" s="1"/>
  <c r="AE165" i="13"/>
  <c r="AF26" i="13"/>
  <c r="AF25" i="13" s="1"/>
  <c r="AF13" i="13"/>
  <c r="AF12" i="13" s="1"/>
  <c r="AE25" i="13"/>
  <c r="AF130" i="13"/>
  <c r="AF41" i="13"/>
  <c r="AF40" i="13" s="1"/>
  <c r="AE15" i="13"/>
  <c r="AE14" i="13" s="1"/>
  <c r="AD29" i="13"/>
  <c r="AD17" i="13"/>
  <c r="AF152" i="13"/>
  <c r="AE42" i="13"/>
  <c r="AF43" i="13"/>
  <c r="AE30" i="13"/>
  <c r="AF120" i="13"/>
  <c r="AE27" i="13"/>
  <c r="AF28" i="13"/>
  <c r="AE7" i="13"/>
  <c r="AD110" i="13"/>
  <c r="AD140" i="13"/>
  <c r="AE135" i="13"/>
  <c r="AF133" i="13"/>
  <c r="AD106" i="12"/>
  <c r="AC107" i="12"/>
  <c r="AD107" i="12" s="1"/>
  <c r="AD69" i="12"/>
  <c r="AC92" i="12"/>
  <c r="AB94" i="12"/>
  <c r="AB95" i="12" s="1"/>
  <c r="AF135" i="13" l="1"/>
  <c r="AE97" i="13"/>
  <c r="AF134" i="13"/>
  <c r="AE98" i="13"/>
  <c r="AF165" i="13"/>
  <c r="AF164" i="13" s="1"/>
  <c r="AE104" i="13"/>
  <c r="AC86" i="13"/>
  <c r="AC100" i="13" s="1"/>
  <c r="AC102" i="13" s="1"/>
  <c r="AB96" i="13"/>
  <c r="AB95" i="13"/>
  <c r="AA96" i="13"/>
  <c r="AA95" i="13"/>
  <c r="AD83" i="13"/>
  <c r="AD84" i="13" s="1"/>
  <c r="AC85" i="13"/>
  <c r="AC94" i="13" s="1"/>
  <c r="AD82" i="13"/>
  <c r="AD90" i="13" s="1"/>
  <c r="AD92" i="13" s="1"/>
  <c r="AD19" i="13"/>
  <c r="AE45" i="13"/>
  <c r="AF27" i="13"/>
  <c r="AF15" i="13"/>
  <c r="AF14" i="13" s="1"/>
  <c r="AF42" i="13"/>
  <c r="AE29" i="13"/>
  <c r="AE17" i="13"/>
  <c r="AD16" i="13"/>
  <c r="AE140" i="13"/>
  <c r="AE110" i="13"/>
  <c r="AF151" i="13"/>
  <c r="AE32" i="13"/>
  <c r="AF122" i="13"/>
  <c r="AF121" i="13" s="1"/>
  <c r="AF30" i="13"/>
  <c r="AF29" i="13" s="1"/>
  <c r="AD92" i="12"/>
  <c r="AC94" i="12"/>
  <c r="AF45" i="13" l="1"/>
  <c r="AF44" i="13" s="1"/>
  <c r="AE44" i="13"/>
  <c r="AD18" i="13"/>
  <c r="AC96" i="13"/>
  <c r="AC95" i="13"/>
  <c r="AD86" i="13"/>
  <c r="AD100" i="13" s="1"/>
  <c r="AD102" i="13" s="1"/>
  <c r="AD85" i="13"/>
  <c r="AD94" i="13" s="1"/>
  <c r="AE19" i="13"/>
  <c r="AE82" i="13"/>
  <c r="AE83" i="13"/>
  <c r="AE84" i="13" s="1"/>
  <c r="AF17" i="13"/>
  <c r="AF16" i="13" s="1"/>
  <c r="AE16" i="13"/>
  <c r="AE31" i="13"/>
  <c r="AF32" i="13"/>
  <c r="AG32" i="13" s="1"/>
  <c r="AC95" i="12"/>
  <c r="AD95" i="12" s="1"/>
  <c r="AD94" i="12"/>
  <c r="AD93" i="12" s="1"/>
  <c r="AF19" i="13" l="1"/>
  <c r="AJ19" i="13" s="1"/>
  <c r="AK19" i="13" s="1"/>
  <c r="AE18" i="13"/>
  <c r="AD96" i="13"/>
  <c r="AD95" i="13"/>
  <c r="AF31" i="13"/>
  <c r="AF83" i="13"/>
  <c r="AF84" i="13" s="1"/>
  <c r="AE90" i="13"/>
  <c r="AE85" i="13"/>
  <c r="AE86" i="13"/>
  <c r="AF82" i="13"/>
  <c r="AD96" i="12"/>
  <c r="AH13" i="13" l="1"/>
  <c r="AH12" i="13" s="1"/>
  <c r="AG13" i="13"/>
  <c r="AG12" i="13" s="1"/>
  <c r="AI13" i="13"/>
  <c r="AI12" i="13" s="1"/>
  <c r="AK13" i="13"/>
  <c r="AK12" i="13" s="1"/>
  <c r="AJ13" i="13"/>
  <c r="AJ12" i="13" s="1"/>
  <c r="AL13" i="13"/>
  <c r="AL12" i="13" s="1"/>
  <c r="AM13" i="13"/>
  <c r="AM12" i="13" s="1"/>
  <c r="AN13" i="13"/>
  <c r="AN12" i="13" s="1"/>
  <c r="AO13" i="13"/>
  <c r="AO12" i="13" s="1"/>
  <c r="AP13" i="13"/>
  <c r="AP12" i="13" s="1"/>
  <c r="AQ13" i="13"/>
  <c r="AQ12" i="13" s="1"/>
  <c r="AR13" i="13"/>
  <c r="AR12" i="13" s="1"/>
  <c r="AK20" i="13"/>
  <c r="AK21" i="13" s="1"/>
  <c r="AL19" i="13"/>
  <c r="AF18" i="13"/>
  <c r="AG19" i="13"/>
  <c r="AF90" i="13"/>
  <c r="AE92" i="13"/>
  <c r="AE94" i="13"/>
  <c r="AF85" i="13"/>
  <c r="AE100" i="13"/>
  <c r="AE102" i="13" s="1"/>
  <c r="AF86" i="13"/>
  <c r="AE96" i="13" l="1"/>
  <c r="AE95" i="13"/>
  <c r="AF100" i="13"/>
  <c r="AF104" i="13"/>
  <c r="AF94" i="13"/>
  <c r="AF102" i="13" l="1"/>
  <c r="AF98" i="13"/>
  <c r="AF92" i="13" s="1"/>
  <c r="AF97" i="13"/>
  <c r="AF96" i="13" l="1"/>
  <c r="AF95" i="13"/>
  <c r="M42" i="3" l="1"/>
  <c r="Q42" i="3" l="1"/>
  <c r="Q41" i="3" l="1"/>
  <c r="M28" i="3"/>
  <c r="Q12" i="3" l="1"/>
  <c r="Q28" i="3"/>
  <c r="AD101" i="13" l="1"/>
  <c r="AD91" i="13"/>
  <c r="AC101" i="13"/>
  <c r="AC91" i="13"/>
  <c r="AE101" i="13"/>
  <c r="AE91" i="13"/>
  <c r="Z101" i="13"/>
  <c r="Z91" i="13"/>
  <c r="W101" i="13"/>
  <c r="W91" i="13"/>
  <c r="AB101" i="13"/>
  <c r="AB91" i="13"/>
  <c r="Y101" i="13"/>
  <c r="Y91" i="13"/>
  <c r="AF103" i="13"/>
  <c r="U101" i="13"/>
  <c r="U91" i="13"/>
  <c r="X101" i="13"/>
  <c r="X91" i="13"/>
  <c r="V101" i="13"/>
  <c r="V91" i="13"/>
  <c r="AA101" i="13"/>
  <c r="AA91" i="13"/>
  <c r="AF101" i="13" l="1"/>
  <c r="AF91" i="13"/>
  <c r="S13" i="14" l="1"/>
  <c r="S12" i="14" s="1"/>
  <c r="S14" i="14" l="1"/>
  <c r="F1" i="35" l="1"/>
  <c r="D9" i="35" l="1"/>
  <c r="E9" i="35" s="1"/>
  <c r="E6" i="35" s="1"/>
  <c r="E11" i="35" s="1"/>
  <c r="D13" i="35"/>
  <c r="D11" i="35" s="1"/>
  <c r="D6" i="35" l="1"/>
</calcChain>
</file>

<file path=xl/sharedStrings.xml><?xml version="1.0" encoding="utf-8"?>
<sst xmlns="http://schemas.openxmlformats.org/spreadsheetml/2006/main" count="1267" uniqueCount="115">
  <si>
    <t>BASE CASE</t>
  </si>
  <si>
    <t>Growth rate_VDS</t>
  </si>
  <si>
    <t>Product x Partner</t>
  </si>
  <si>
    <t>FY25</t>
  </si>
  <si>
    <t>FY26</t>
  </si>
  <si>
    <t>FY27</t>
  </si>
  <si>
    <t>FY28</t>
  </si>
  <si>
    <t>FY29</t>
  </si>
  <si>
    <t>CL</t>
  </si>
  <si>
    <t>VDS</t>
  </si>
  <si>
    <t>[VDS] - Cashloan</t>
  </si>
  <si>
    <t>PD</t>
  </si>
  <si>
    <t>[VDS] - Payday</t>
  </si>
  <si>
    <t>[Cake] - Cashloan</t>
  </si>
  <si>
    <t>[Cake] - Payday</t>
  </si>
  <si>
    <t>MWG</t>
  </si>
  <si>
    <t>[MWG] - Cashloan</t>
  </si>
  <si>
    <t>ZLP</t>
  </si>
  <si>
    <t>[ZLP] - Cashloan</t>
  </si>
  <si>
    <t>[ZLP] - Payday</t>
  </si>
  <si>
    <t>Other CL + PD</t>
  </si>
  <si>
    <t>PL</t>
  </si>
  <si>
    <t>[MWG] - Paylater (QTV)</t>
  </si>
  <si>
    <t>Other Paylater (BAU)</t>
  </si>
  <si>
    <t>[Ecom] - Paylater</t>
  </si>
  <si>
    <t>OD</t>
  </si>
  <si>
    <t>Cake</t>
  </si>
  <si>
    <t>Other Paylater</t>
  </si>
  <si>
    <t>BY PRODUCT</t>
  </si>
  <si>
    <t>%Mass</t>
  </si>
  <si>
    <t>Others</t>
  </si>
  <si>
    <t>v3</t>
  </si>
  <si>
    <t xml:space="preserve">Tiktok </t>
  </si>
  <si>
    <t>Shoppee</t>
  </si>
  <si>
    <t>Misa</t>
  </si>
  <si>
    <t>Merchant</t>
  </si>
  <si>
    <t>[VDS] - Paylater</t>
  </si>
  <si>
    <t>[TIKOK] - Paylater</t>
  </si>
  <si>
    <t>Number of issued paylater</t>
  </si>
  <si>
    <t>Number of issued paylater (Accum)</t>
  </si>
  <si>
    <t>Number of active paylater</t>
  </si>
  <si>
    <t>Number of application</t>
  </si>
  <si>
    <t>% AR</t>
  </si>
  <si>
    <t>Number of approved paylater</t>
  </si>
  <si>
    <t>%Sign</t>
  </si>
  <si>
    <t>% Active</t>
  </si>
  <si>
    <t>Avg.spending</t>
  </si>
  <si>
    <t>Mass</t>
  </si>
  <si>
    <t>CASH LOAN</t>
  </si>
  <si>
    <t>Cash Loan</t>
  </si>
  <si>
    <t>[KLP] - Cashloan</t>
  </si>
  <si>
    <t>Payday</t>
  </si>
  <si>
    <t>PAYLATER</t>
  </si>
  <si>
    <t>[BE] - Paylater</t>
  </si>
  <si>
    <t>% Sign</t>
  </si>
  <si>
    <t>Spending amount</t>
  </si>
  <si>
    <t>[CAKE] - Payday</t>
  </si>
  <si>
    <t>[Tiktok] - Cashloan</t>
  </si>
  <si>
    <t>[MISA] - Merchant</t>
  </si>
  <si>
    <t>Pre-approved</t>
  </si>
  <si>
    <t>OVERVIEW</t>
  </si>
  <si>
    <t xml:space="preserve">OVERVIEW </t>
  </si>
  <si>
    <t>[CAKE] - CASHLOAN</t>
  </si>
  <si>
    <t>App-in</t>
  </si>
  <si>
    <t>#</t>
  </si>
  <si>
    <t>%Los check</t>
  </si>
  <si>
    <t>%</t>
  </si>
  <si>
    <t>%Los process</t>
  </si>
  <si>
    <t>%AR</t>
  </si>
  <si>
    <t>Approved App</t>
  </si>
  <si>
    <t>Sign App</t>
  </si>
  <si>
    <t>%Disb</t>
  </si>
  <si>
    <t>Disbursed app</t>
  </si>
  <si>
    <t>Ticket size</t>
  </si>
  <si>
    <t>Mil VND</t>
  </si>
  <si>
    <t>Disburse amt</t>
  </si>
  <si>
    <t>[Cake] - Mass</t>
  </si>
  <si>
    <t>[Cake] - Pre-approved</t>
  </si>
  <si>
    <t>ETB</t>
  </si>
  <si>
    <t>**NOTE</t>
  </si>
  <si>
    <t>NTPRODUCT: Credit product đầu tiên KH sửa dụng là Cake CL</t>
  </si>
  <si>
    <t>XSELL: Credit product thứ 2+ của KH là Cake CL (KH trước đó đã dùng các sp vay trước đó trừ Cake CL)</t>
  </si>
  <si>
    <t>ASSUMPTION</t>
  </si>
  <si>
    <t>App - allocation</t>
  </si>
  <si>
    <t>Total Cake CL App</t>
  </si>
  <si>
    <t>%Preapprove</t>
  </si>
  <si>
    <t>Total Mass</t>
  </si>
  <si>
    <t>Total Pre-approve</t>
  </si>
  <si>
    <t>hiện tại %NTP của full Cake CL khoảng 70%</t>
  </si>
  <si>
    <t>%NTP</t>
  </si>
  <si>
    <t>%Xsell</t>
  </si>
  <si>
    <t>hiện tại %NTP của nhóm Mass khoảng 70%</t>
  </si>
  <si>
    <t>Total NTP</t>
  </si>
  <si>
    <t>Total Xsell</t>
  </si>
  <si>
    <t>Total Preapprove</t>
  </si>
  <si>
    <t>hiện tại %NTP của nhóm preapprove khoảng 70%</t>
  </si>
  <si>
    <t>Disbursed amt - allocation</t>
  </si>
  <si>
    <t>DETAIL</t>
  </si>
  <si>
    <t>MASS</t>
  </si>
  <si>
    <t>[Cake] - NTP</t>
  </si>
  <si>
    <t>[Cake] - Xsell</t>
  </si>
  <si>
    <t>PRE-APPROVED</t>
  </si>
  <si>
    <t>[ZALOPAY] - Cashloan</t>
  </si>
  <si>
    <t>Total Cake PD App</t>
  </si>
  <si>
    <t>Xsell</t>
  </si>
  <si>
    <t>Pre-approved - NTC</t>
  </si>
  <si>
    <t>Pre-approved - Xsell</t>
  </si>
  <si>
    <t>Huong</t>
  </si>
  <si>
    <t>Ngoc</t>
  </si>
  <si>
    <t>Ngan</t>
  </si>
  <si>
    <t>Other</t>
  </si>
  <si>
    <t>Disbursement</t>
  </si>
  <si>
    <t>CAKE OD</t>
  </si>
  <si>
    <t>CAKE CL + PD</t>
  </si>
  <si>
    <t>TOI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</si>
</sst>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(* #,##0.00_);_(* \(#,##0.00\);_(* &quot;-&quot;_);_(@_)"/>
    <numFmt numFmtId="168" formatCode="_-* #,##0.0_-;\-* #,##0.0_-;_-* &quot;-&quot;??_-;_-@_-"/>
    <numFmt numFmtId="169" formatCode="0.0%"/>
    <numFmt numFmtId="170" formatCode="_-* #,##0.000_-;\-* #,##0.000_-;_-* &quot;-&quot;??_-;_-@_-"/>
    <numFmt numFmtId="171" formatCode="_(* #,##0.0_);_(* \(#,##0.0\);_(* &quot;-&quot;?_);_(@_)"/>
    <numFmt numFmtId="172" formatCode="_(* #,##0.0_);_(* \(#,##0.0\);_(* &quot;-&quot;??_);_(@_)"/>
  </numFmts>
  <fonts count="2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1"/>
      <color theme="0" tint="-0.499984740745262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b/>
      <sz val="12"/>
      <color rgb="FF002060"/>
      <name val="Arial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FFFFFF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color theme="0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7F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thin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thin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 style="thin">
        <color indexed="64"/>
      </top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/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thin">
        <color indexed="64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/>
      <diagonal/>
    </border>
    <border>
      <left style="dashed">
        <color theme="0" tint="-0.34998626667073579"/>
      </left>
      <right/>
      <top style="dashed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dashed">
        <color theme="0" tint="-0.34998626667073579"/>
      </right>
      <top style="dashed">
        <color theme="0" tint="-0.34998626667073579"/>
      </top>
      <bottom style="thin">
        <color rgb="FF000000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thin">
        <color rgb="FF000000"/>
      </bottom>
      <diagonal/>
    </border>
    <border>
      <left style="dash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thin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indexed="64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34998626667073579"/>
      </left>
      <right/>
      <top/>
      <bottom/>
      <diagonal/>
    </border>
    <border>
      <left style="dashed">
        <color theme="0" tint="-0.34998626667073579"/>
      </left>
      <right style="dashed">
        <color theme="0" tint="-0.34998626667073579"/>
      </right>
      <top/>
      <bottom style="dashed">
        <color theme="0" tint="-0.34998626667073579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dashed">
        <color theme="0" tint="-0.34998626667073579"/>
      </right>
      <top style="thin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medium">
        <color rgb="FF000000"/>
      </right>
      <top style="thin">
        <color indexed="64"/>
      </top>
      <bottom style="dashed">
        <color theme="0" tint="-0.34998626667073579"/>
      </bottom>
      <diagonal/>
    </border>
    <border>
      <left style="medium">
        <color rgb="FF000000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medium">
        <color rgb="FF000000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rgb="FF000000"/>
      </left>
      <right style="dashed">
        <color theme="0" tint="-0.34998626667073579"/>
      </right>
      <top style="dashed">
        <color theme="0" tint="-0.34998626667073579"/>
      </top>
      <bottom style="thin">
        <color indexed="64"/>
      </bottom>
      <diagonal/>
    </border>
    <border>
      <left style="dashed">
        <color theme="0" tint="-0.34998626667073579"/>
      </left>
      <right style="medium">
        <color rgb="FF000000"/>
      </right>
      <top style="dashed">
        <color theme="0" tint="-0.34998626667073579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dashed">
        <color theme="0" tint="-0.34998626667073579"/>
      </right>
      <top style="dashed">
        <color theme="0" tint="-0.34998626667073579"/>
      </top>
      <bottom style="medium">
        <color rgb="FF000000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rgb="FF000000"/>
      </bottom>
      <diagonal/>
    </border>
    <border>
      <left style="dashed">
        <color theme="0" tint="-0.34998626667073579"/>
      </left>
      <right style="medium">
        <color rgb="FF000000"/>
      </right>
      <top style="dashed">
        <color theme="0" tint="-0.34998626667073579"/>
      </top>
      <bottom style="medium">
        <color rgb="FF000000"/>
      </bottom>
      <diagonal/>
    </border>
    <border>
      <left style="dashed">
        <color theme="0" tint="-0.34998626667073579"/>
      </left>
      <right/>
      <top style="thin">
        <color indexed="64"/>
      </top>
      <bottom style="dashed">
        <color theme="0" tint="-0.34998626667073579"/>
      </bottom>
      <diagonal/>
    </border>
    <border>
      <left style="dashed">
        <color theme="0" tint="-0.34998626667073579"/>
      </left>
      <right/>
      <top style="dashed">
        <color theme="0" tint="-0.34998626667073579"/>
      </top>
      <bottom style="thin">
        <color rgb="FF000000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4">
    <xf numFmtId="0" fontId="0" fillId="0" borderId="0" xfId="0"/>
    <xf numFmtId="0" fontId="2" fillId="2" borderId="0" xfId="0" applyFont="1" applyFill="1"/>
    <xf numFmtId="0" fontId="2" fillId="0" borderId="0" xfId="0" applyFont="1"/>
    <xf numFmtId="165" fontId="0" fillId="0" borderId="0" xfId="1" applyNumberFormat="1" applyFont="1"/>
    <xf numFmtId="9" fontId="0" fillId="0" borderId="0" xfId="0" applyNumberFormat="1"/>
    <xf numFmtId="166" fontId="0" fillId="0" borderId="0" xfId="0" applyNumberFormat="1"/>
    <xf numFmtId="43" fontId="0" fillId="0" borderId="0" xfId="0" applyNumberFormat="1"/>
    <xf numFmtId="0" fontId="4" fillId="4" borderId="4" xfId="0" applyFont="1" applyFill="1" applyBorder="1" applyAlignment="1">
      <alignment horizontal="left" vertical="center" wrapText="1" readingOrder="1"/>
    </xf>
    <xf numFmtId="17" fontId="4" fillId="4" borderId="5" xfId="0" applyNumberFormat="1" applyFont="1" applyFill="1" applyBorder="1" applyAlignment="1">
      <alignment horizontal="center" vertical="center" readingOrder="1"/>
    </xf>
    <xf numFmtId="17" fontId="6" fillId="3" borderId="5" xfId="0" applyNumberFormat="1" applyFont="1" applyFill="1" applyBorder="1" applyAlignment="1">
      <alignment horizontal="center" vertical="center" readingOrder="1"/>
    </xf>
    <xf numFmtId="0" fontId="2" fillId="0" borderId="10" xfId="0" applyFont="1" applyBorder="1" applyAlignment="1">
      <alignment horizontal="left" indent="2"/>
    </xf>
    <xf numFmtId="0" fontId="2" fillId="0" borderId="12" xfId="0" applyFont="1" applyBorder="1" applyAlignment="1">
      <alignment horizontal="left" indent="2"/>
    </xf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9" xfId="0" applyNumberFormat="1" applyBorder="1"/>
    <xf numFmtId="166" fontId="0" fillId="0" borderId="9" xfId="1" applyNumberFormat="1" applyFont="1" applyBorder="1"/>
    <xf numFmtId="166" fontId="0" fillId="0" borderId="0" xfId="1" applyNumberFormat="1" applyFont="1"/>
    <xf numFmtId="0" fontId="7" fillId="0" borderId="0" xfId="0" applyFont="1"/>
    <xf numFmtId="0" fontId="8" fillId="0" borderId="0" xfId="0" applyFont="1"/>
    <xf numFmtId="166" fontId="0" fillId="0" borderId="9" xfId="0" applyNumberFormat="1" applyBorder="1"/>
    <xf numFmtId="0" fontId="9" fillId="0" borderId="0" xfId="0" applyFont="1"/>
    <xf numFmtId="0" fontId="10" fillId="0" borderId="0" xfId="0" applyFont="1" applyAlignment="1">
      <alignment horizontal="left" indent="2"/>
    </xf>
    <xf numFmtId="0" fontId="10" fillId="0" borderId="0" xfId="0" applyFont="1"/>
    <xf numFmtId="9" fontId="0" fillId="2" borderId="9" xfId="0" applyNumberFormat="1" applyFill="1" applyBorder="1"/>
    <xf numFmtId="166" fontId="0" fillId="2" borderId="9" xfId="1" applyNumberFormat="1" applyFont="1" applyFill="1" applyBorder="1"/>
    <xf numFmtId="166" fontId="0" fillId="2" borderId="9" xfId="0" applyNumberFormat="1" applyFill="1" applyBorder="1"/>
    <xf numFmtId="0" fontId="5" fillId="0" borderId="0" xfId="0" applyFont="1"/>
    <xf numFmtId="9" fontId="0" fillId="2" borderId="16" xfId="0" applyNumberFormat="1" applyFill="1" applyBorder="1"/>
    <xf numFmtId="166" fontId="0" fillId="0" borderId="16" xfId="0" applyNumberFormat="1" applyBorder="1"/>
    <xf numFmtId="166" fontId="0" fillId="2" borderId="16" xfId="0" applyNumberFormat="1" applyFill="1" applyBorder="1"/>
    <xf numFmtId="0" fontId="0" fillId="0" borderId="16" xfId="0" applyBorder="1"/>
    <xf numFmtId="0" fontId="2" fillId="0" borderId="18" xfId="0" applyFont="1" applyBorder="1" applyAlignment="1">
      <alignment horizontal="left" indent="2"/>
    </xf>
    <xf numFmtId="9" fontId="0" fillId="2" borderId="9" xfId="1" applyNumberFormat="1" applyFont="1" applyFill="1" applyBorder="1"/>
    <xf numFmtId="168" fontId="0" fillId="2" borderId="9" xfId="1" applyNumberFormat="1" applyFont="1" applyFill="1" applyBorder="1"/>
    <xf numFmtId="166" fontId="2" fillId="0" borderId="9" xfId="1" applyNumberFormat="1" applyFont="1" applyBorder="1" applyAlignment="1">
      <alignment horizontal="center"/>
    </xf>
    <xf numFmtId="165" fontId="0" fillId="0" borderId="25" xfId="1" applyNumberFormat="1" applyFont="1" applyBorder="1"/>
    <xf numFmtId="17" fontId="11" fillId="7" borderId="5" xfId="0" applyNumberFormat="1" applyFont="1" applyFill="1" applyBorder="1" applyAlignment="1">
      <alignment horizontal="center" vertical="center" readingOrder="1"/>
    </xf>
    <xf numFmtId="17" fontId="11" fillId="7" borderId="6" xfId="0" applyNumberFormat="1" applyFont="1" applyFill="1" applyBorder="1" applyAlignment="1">
      <alignment horizontal="center" vertical="center" readingOrder="1"/>
    </xf>
    <xf numFmtId="2" fontId="0" fillId="0" borderId="27" xfId="0" applyNumberFormat="1" applyBorder="1"/>
    <xf numFmtId="0" fontId="5" fillId="0" borderId="43" xfId="0" applyFont="1" applyBorder="1"/>
    <xf numFmtId="0" fontId="5" fillId="0" borderId="45" xfId="0" applyFont="1" applyBorder="1"/>
    <xf numFmtId="166" fontId="2" fillId="0" borderId="45" xfId="1" applyNumberFormat="1" applyFont="1" applyBorder="1" applyAlignment="1">
      <alignment horizontal="center"/>
    </xf>
    <xf numFmtId="166" fontId="0" fillId="0" borderId="45" xfId="0" applyNumberFormat="1" applyBorder="1"/>
    <xf numFmtId="9" fontId="0" fillId="0" borderId="45" xfId="0" applyNumberFormat="1" applyBorder="1"/>
    <xf numFmtId="166" fontId="5" fillId="2" borderId="45" xfId="0" applyNumberFormat="1" applyFont="1" applyFill="1" applyBorder="1"/>
    <xf numFmtId="166" fontId="2" fillId="0" borderId="45" xfId="0" applyNumberFormat="1" applyFont="1" applyBorder="1"/>
    <xf numFmtId="9" fontId="2" fillId="0" borderId="45" xfId="0" applyNumberFormat="1" applyFont="1" applyBorder="1"/>
    <xf numFmtId="166" fontId="2" fillId="2" borderId="47" xfId="0" applyNumberFormat="1" applyFont="1" applyFill="1" applyBorder="1"/>
    <xf numFmtId="0" fontId="0" fillId="0" borderId="48" xfId="0" applyBorder="1"/>
    <xf numFmtId="0" fontId="5" fillId="0" borderId="49" xfId="0" applyFont="1" applyBorder="1"/>
    <xf numFmtId="9" fontId="5" fillId="0" borderId="45" xfId="0" applyNumberFormat="1" applyFont="1" applyBorder="1"/>
    <xf numFmtId="166" fontId="5" fillId="0" borderId="45" xfId="1" applyNumberFormat="1" applyFont="1" applyBorder="1"/>
    <xf numFmtId="164" fontId="5" fillId="0" borderId="45" xfId="1" applyFont="1" applyBorder="1"/>
    <xf numFmtId="164" fontId="5" fillId="2" borderId="45" xfId="1" applyFont="1" applyFill="1" applyBorder="1"/>
    <xf numFmtId="166" fontId="2" fillId="0" borderId="45" xfId="1" applyNumberFormat="1" applyFont="1" applyBorder="1"/>
    <xf numFmtId="9" fontId="2" fillId="0" borderId="45" xfId="1" applyNumberFormat="1" applyFont="1" applyBorder="1"/>
    <xf numFmtId="166" fontId="2" fillId="2" borderId="45" xfId="0" applyNumberFormat="1" applyFont="1" applyFill="1" applyBorder="1"/>
    <xf numFmtId="166" fontId="5" fillId="0" borderId="54" xfId="1" applyNumberFormat="1" applyFont="1" applyBorder="1"/>
    <xf numFmtId="166" fontId="2" fillId="0" borderId="44" xfId="1" applyNumberFormat="1" applyFont="1" applyBorder="1" applyAlignment="1">
      <alignment horizontal="center"/>
    </xf>
    <xf numFmtId="166" fontId="2" fillId="0" borderId="45" xfId="0" applyNumberFormat="1" applyFont="1" applyBorder="1" applyAlignment="1">
      <alignment horizontal="center"/>
    </xf>
    <xf numFmtId="166" fontId="2" fillId="2" borderId="16" xfId="1" applyNumberFormat="1" applyFont="1" applyFill="1" applyBorder="1"/>
    <xf numFmtId="9" fontId="2" fillId="2" borderId="16" xfId="3" applyFont="1" applyFill="1" applyBorder="1"/>
    <xf numFmtId="166" fontId="2" fillId="0" borderId="16" xfId="1" applyNumberFormat="1" applyFont="1" applyBorder="1"/>
    <xf numFmtId="166" fontId="2" fillId="0" borderId="16" xfId="1" applyNumberFormat="1" applyFont="1" applyBorder="1" applyAlignment="1">
      <alignment horizontal="center"/>
    </xf>
    <xf numFmtId="168" fontId="2" fillId="2" borderId="16" xfId="1" applyNumberFormat="1" applyFont="1" applyFill="1" applyBorder="1" applyAlignment="1">
      <alignment horizontal="center"/>
    </xf>
    <xf numFmtId="166" fontId="2" fillId="2" borderId="21" xfId="0" applyNumberFormat="1" applyFont="1" applyFill="1" applyBorder="1"/>
    <xf numFmtId="168" fontId="0" fillId="0" borderId="0" xfId="1" applyNumberFormat="1" applyFont="1"/>
    <xf numFmtId="0" fontId="12" fillId="0" borderId="0" xfId="0" applyFont="1"/>
    <xf numFmtId="0" fontId="13" fillId="0" borderId="0" xfId="0" applyFont="1" applyAlignment="1">
      <alignment horizontal="left" indent="3"/>
    </xf>
    <xf numFmtId="0" fontId="13" fillId="0" borderId="0" xfId="0" applyFont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1" applyNumberFormat="1" applyFont="1"/>
    <xf numFmtId="0" fontId="14" fillId="0" borderId="0" xfId="0" applyFont="1" applyAlignment="1">
      <alignment horizontal="center"/>
    </xf>
    <xf numFmtId="166" fontId="14" fillId="0" borderId="0" xfId="1" applyNumberFormat="1" applyFont="1" applyAlignment="1">
      <alignment horizontal="center"/>
    </xf>
    <xf numFmtId="0" fontId="14" fillId="0" borderId="0" xfId="0" applyFont="1" applyAlignment="1">
      <alignment horizontal="left" indent="2"/>
    </xf>
    <xf numFmtId="0" fontId="13" fillId="0" borderId="26" xfId="0" applyFont="1" applyBorder="1" applyAlignment="1">
      <alignment horizontal="center"/>
    </xf>
    <xf numFmtId="166" fontId="13" fillId="0" borderId="26" xfId="1" applyNumberFormat="1" applyFont="1" applyBorder="1" applyAlignment="1">
      <alignment horizontal="center"/>
    </xf>
    <xf numFmtId="166" fontId="13" fillId="0" borderId="26" xfId="1" applyNumberFormat="1" applyFont="1" applyBorder="1"/>
    <xf numFmtId="0" fontId="14" fillId="0" borderId="27" xfId="0" applyFont="1" applyBorder="1" applyAlignment="1">
      <alignment horizontal="center"/>
    </xf>
    <xf numFmtId="166" fontId="14" fillId="0" borderId="27" xfId="1" applyNumberFormat="1" applyFont="1" applyBorder="1" applyAlignment="1">
      <alignment horizontal="center"/>
    </xf>
    <xf numFmtId="166" fontId="14" fillId="0" borderId="27" xfId="1" applyNumberFormat="1" applyFont="1" applyBorder="1"/>
    <xf numFmtId="0" fontId="13" fillId="0" borderId="27" xfId="0" applyFont="1" applyBorder="1" applyAlignment="1">
      <alignment horizontal="center"/>
    </xf>
    <xf numFmtId="166" fontId="13" fillId="0" borderId="27" xfId="1" applyNumberFormat="1" applyFont="1" applyBorder="1" applyAlignment="1">
      <alignment horizontal="center"/>
    </xf>
    <xf numFmtId="166" fontId="13" fillId="0" borderId="27" xfId="1" applyNumberFormat="1" applyFont="1" applyBorder="1"/>
    <xf numFmtId="0" fontId="13" fillId="0" borderId="27" xfId="0" applyFont="1" applyBorder="1" applyAlignment="1">
      <alignment horizontal="left" indent="2"/>
    </xf>
    <xf numFmtId="0" fontId="14" fillId="0" borderId="27" xfId="0" applyFont="1" applyBorder="1" applyAlignment="1">
      <alignment horizontal="left" indent="2"/>
    </xf>
    <xf numFmtId="9" fontId="14" fillId="0" borderId="27" xfId="0" applyNumberFormat="1" applyFont="1" applyBorder="1" applyAlignment="1">
      <alignment horizontal="right"/>
    </xf>
    <xf numFmtId="0" fontId="14" fillId="0" borderId="27" xfId="0" applyFont="1" applyBorder="1"/>
    <xf numFmtId="0" fontId="13" fillId="0" borderId="27" xfId="0" applyFont="1" applyBorder="1"/>
    <xf numFmtId="0" fontId="14" fillId="0" borderId="31" xfId="0" applyFont="1" applyBorder="1" applyAlignment="1">
      <alignment horizontal="left" indent="5"/>
    </xf>
    <xf numFmtId="0" fontId="13" fillId="0" borderId="31" xfId="0" applyFont="1" applyBorder="1" applyAlignment="1">
      <alignment horizontal="left" indent="2"/>
    </xf>
    <xf numFmtId="0" fontId="13" fillId="0" borderId="31" xfId="0" applyFont="1" applyBorder="1" applyAlignment="1">
      <alignment horizontal="left" indent="3"/>
    </xf>
    <xf numFmtId="0" fontId="13" fillId="0" borderId="33" xfId="0" applyFont="1" applyBorder="1" applyAlignment="1">
      <alignment horizontal="left" indent="2"/>
    </xf>
    <xf numFmtId="0" fontId="13" fillId="0" borderId="34" xfId="0" applyFont="1" applyBorder="1" applyAlignment="1">
      <alignment horizontal="left" indent="2"/>
    </xf>
    <xf numFmtId="0" fontId="13" fillId="0" borderId="34" xfId="0" applyFont="1" applyBorder="1"/>
    <xf numFmtId="9" fontId="14" fillId="0" borderId="27" xfId="0" applyNumberFormat="1" applyFont="1" applyBorder="1"/>
    <xf numFmtId="9" fontId="14" fillId="2" borderId="27" xfId="1" applyNumberFormat="1" applyFont="1" applyFill="1" applyBorder="1"/>
    <xf numFmtId="0" fontId="13" fillId="0" borderId="0" xfId="0" applyFont="1" applyAlignment="1">
      <alignment horizontal="left" indent="2"/>
    </xf>
    <xf numFmtId="0" fontId="13" fillId="0" borderId="0" xfId="0" applyFont="1"/>
    <xf numFmtId="166" fontId="13" fillId="0" borderId="0" xfId="1" applyNumberFormat="1" applyFont="1" applyBorder="1" applyAlignment="1">
      <alignment horizontal="right"/>
    </xf>
    <xf numFmtId="9" fontId="14" fillId="0" borderId="27" xfId="1" applyNumberFormat="1" applyFont="1" applyFill="1" applyBorder="1"/>
    <xf numFmtId="0" fontId="13" fillId="0" borderId="58" xfId="0" applyFont="1" applyBorder="1" applyAlignment="1">
      <alignment horizontal="left" indent="2"/>
    </xf>
    <xf numFmtId="9" fontId="14" fillId="0" borderId="27" xfId="1" applyNumberFormat="1" applyFont="1" applyBorder="1" applyAlignment="1"/>
    <xf numFmtId="9" fontId="14" fillId="2" borderId="27" xfId="1" applyNumberFormat="1" applyFont="1" applyFill="1" applyBorder="1" applyAlignment="1"/>
    <xf numFmtId="9" fontId="14" fillId="2" borderId="27" xfId="0" applyNumberFormat="1" applyFont="1" applyFill="1" applyBorder="1" applyAlignment="1">
      <alignment horizontal="right"/>
    </xf>
    <xf numFmtId="166" fontId="10" fillId="0" borderId="9" xfId="1" applyNumberFormat="1" applyFont="1" applyFill="1" applyBorder="1" applyAlignment="1">
      <alignment horizontal="center"/>
    </xf>
    <xf numFmtId="9" fontId="10" fillId="0" borderId="9" xfId="0" applyNumberFormat="1" applyFont="1" applyBorder="1" applyAlignment="1">
      <alignment horizontal="right"/>
    </xf>
    <xf numFmtId="166" fontId="10" fillId="0" borderId="9" xfId="1" applyNumberFormat="1" applyFont="1" applyFill="1" applyBorder="1" applyAlignment="1">
      <alignment horizontal="right"/>
    </xf>
    <xf numFmtId="168" fontId="10" fillId="0" borderId="9" xfId="1" applyNumberFormat="1" applyFont="1" applyFill="1" applyBorder="1" applyAlignment="1">
      <alignment horizontal="center"/>
    </xf>
    <xf numFmtId="9" fontId="10" fillId="0" borderId="9" xfId="1" applyNumberFormat="1" applyFont="1" applyFill="1" applyBorder="1" applyAlignment="1">
      <alignment horizontal="right"/>
    </xf>
    <xf numFmtId="168" fontId="10" fillId="0" borderId="9" xfId="1" applyNumberFormat="1" applyFont="1" applyFill="1" applyBorder="1" applyAlignment="1">
      <alignment horizontal="right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166" fontId="14" fillId="7" borderId="27" xfId="1" applyNumberFormat="1" applyFont="1" applyFill="1" applyBorder="1"/>
    <xf numFmtId="166" fontId="13" fillId="7" borderId="27" xfId="1" applyNumberFormat="1" applyFont="1" applyFill="1" applyBorder="1"/>
    <xf numFmtId="0" fontId="13" fillId="7" borderId="27" xfId="0" applyFont="1" applyFill="1" applyBorder="1" applyAlignment="1">
      <alignment horizontal="left" indent="2"/>
    </xf>
    <xf numFmtId="0" fontId="14" fillId="7" borderId="27" xfId="0" applyFont="1" applyFill="1" applyBorder="1" applyAlignment="1">
      <alignment horizontal="left" indent="2"/>
    </xf>
    <xf numFmtId="0" fontId="14" fillId="7" borderId="27" xfId="0" applyFont="1" applyFill="1" applyBorder="1"/>
    <xf numFmtId="0" fontId="13" fillId="7" borderId="27" xfId="0" applyFont="1" applyFill="1" applyBorder="1"/>
    <xf numFmtId="0" fontId="13" fillId="7" borderId="34" xfId="0" applyFont="1" applyFill="1" applyBorder="1"/>
    <xf numFmtId="166" fontId="14" fillId="7" borderId="32" xfId="1" applyNumberFormat="1" applyFont="1" applyFill="1" applyBorder="1"/>
    <xf numFmtId="166" fontId="13" fillId="7" borderId="32" xfId="1" applyNumberFormat="1" applyFont="1" applyFill="1" applyBorder="1"/>
    <xf numFmtId="0" fontId="13" fillId="7" borderId="32" xfId="0" applyFont="1" applyFill="1" applyBorder="1" applyAlignment="1">
      <alignment horizontal="left" indent="2"/>
    </xf>
    <xf numFmtId="166" fontId="14" fillId="7" borderId="32" xfId="1" applyNumberFormat="1" applyFont="1" applyFill="1" applyBorder="1" applyAlignment="1">
      <alignment horizontal="left" indent="2"/>
    </xf>
    <xf numFmtId="0" fontId="13" fillId="7" borderId="32" xfId="0" applyFont="1" applyFill="1" applyBorder="1"/>
    <xf numFmtId="0" fontId="13" fillId="7" borderId="35" xfId="0" applyFont="1" applyFill="1" applyBorder="1"/>
    <xf numFmtId="0" fontId="7" fillId="3" borderId="0" xfId="0" applyFont="1" applyFill="1"/>
    <xf numFmtId="0" fontId="12" fillId="3" borderId="0" xfId="0" applyFont="1" applyFill="1"/>
    <xf numFmtId="0" fontId="13" fillId="0" borderId="57" xfId="0" applyFont="1" applyBorder="1" applyAlignment="1">
      <alignment horizontal="center"/>
    </xf>
    <xf numFmtId="166" fontId="13" fillId="0" borderId="57" xfId="1" applyNumberFormat="1" applyFont="1" applyBorder="1" applyAlignment="1">
      <alignment horizontal="center"/>
    </xf>
    <xf numFmtId="166" fontId="13" fillId="7" borderId="57" xfId="1" applyNumberFormat="1" applyFont="1" applyFill="1" applyBorder="1"/>
    <xf numFmtId="166" fontId="13" fillId="7" borderId="59" xfId="1" applyNumberFormat="1" applyFont="1" applyFill="1" applyBorder="1"/>
    <xf numFmtId="166" fontId="13" fillId="7" borderId="26" xfId="1" applyNumberFormat="1" applyFont="1" applyFill="1" applyBorder="1"/>
    <xf numFmtId="166" fontId="13" fillId="7" borderId="25" xfId="1" applyNumberFormat="1" applyFont="1" applyFill="1" applyBorder="1"/>
    <xf numFmtId="0" fontId="13" fillId="0" borderId="5" xfId="0" applyFont="1" applyBorder="1" applyAlignment="1">
      <alignment horizontal="center"/>
    </xf>
    <xf numFmtId="166" fontId="13" fillId="0" borderId="5" xfId="1" applyNumberFormat="1" applyFont="1" applyBorder="1" applyAlignment="1">
      <alignment horizontal="center"/>
    </xf>
    <xf numFmtId="166" fontId="13" fillId="7" borderId="5" xfId="1" applyNumberFormat="1" applyFont="1" applyFill="1" applyBorder="1"/>
    <xf numFmtId="166" fontId="13" fillId="7" borderId="6" xfId="1" applyNumberFormat="1" applyFont="1" applyFill="1" applyBorder="1"/>
    <xf numFmtId="0" fontId="13" fillId="0" borderId="36" xfId="0" applyFont="1" applyBorder="1" applyAlignment="1">
      <alignment horizontal="left" indent="3"/>
    </xf>
    <xf numFmtId="0" fontId="13" fillId="0" borderId="4" xfId="0" applyFont="1" applyBorder="1" applyAlignment="1">
      <alignment horizontal="left" indent="2"/>
    </xf>
    <xf numFmtId="0" fontId="15" fillId="0" borderId="28" xfId="0" applyFont="1" applyBorder="1" applyAlignment="1">
      <alignment horizontal="left" indent="2"/>
    </xf>
    <xf numFmtId="0" fontId="15" fillId="0" borderId="29" xfId="0" applyFont="1" applyBorder="1" applyAlignment="1">
      <alignment horizontal="center"/>
    </xf>
    <xf numFmtId="166" fontId="15" fillId="0" borderId="29" xfId="1" applyNumberFormat="1" applyFont="1" applyBorder="1" applyAlignment="1">
      <alignment horizontal="center"/>
    </xf>
    <xf numFmtId="166" fontId="15" fillId="2" borderId="29" xfId="1" applyNumberFormat="1" applyFont="1" applyFill="1" applyBorder="1"/>
    <xf numFmtId="166" fontId="15" fillId="7" borderId="29" xfId="1" applyNumberFormat="1" applyFont="1" applyFill="1" applyBorder="1"/>
    <xf numFmtId="166" fontId="15" fillId="2" borderId="29" xfId="1" applyNumberFormat="1" applyFont="1" applyFill="1" applyBorder="1" applyAlignment="1">
      <alignment horizontal="center"/>
    </xf>
    <xf numFmtId="166" fontId="15" fillId="7" borderId="30" xfId="1" applyNumberFormat="1" applyFont="1" applyFill="1" applyBorder="1"/>
    <xf numFmtId="0" fontId="15" fillId="0" borderId="31" xfId="0" applyFont="1" applyBorder="1" applyAlignment="1">
      <alignment horizontal="left" indent="2"/>
    </xf>
    <xf numFmtId="0" fontId="15" fillId="0" borderId="27" xfId="0" applyFont="1" applyBorder="1" applyAlignment="1">
      <alignment horizontal="left" indent="2"/>
    </xf>
    <xf numFmtId="166" fontId="15" fillId="0" borderId="27" xfId="0" applyNumberFormat="1" applyFont="1" applyBorder="1"/>
    <xf numFmtId="166" fontId="15" fillId="7" borderId="27" xfId="1" applyNumberFormat="1" applyFont="1" applyFill="1" applyBorder="1"/>
    <xf numFmtId="166" fontId="15" fillId="7" borderId="32" xfId="1" applyNumberFormat="1" applyFont="1" applyFill="1" applyBorder="1"/>
    <xf numFmtId="0" fontId="15" fillId="0" borderId="27" xfId="0" applyFont="1" applyBorder="1" applyAlignment="1">
      <alignment horizontal="center"/>
    </xf>
    <xf numFmtId="166" fontId="15" fillId="0" borderId="27" xfId="1" applyNumberFormat="1" applyFont="1" applyBorder="1" applyAlignment="1">
      <alignment horizontal="center"/>
    </xf>
    <xf numFmtId="166" fontId="15" fillId="0" borderId="27" xfId="0" applyNumberFormat="1" applyFont="1" applyBorder="1" applyAlignment="1">
      <alignment horizontal="left" indent="2"/>
    </xf>
    <xf numFmtId="166" fontId="15" fillId="7" borderId="32" xfId="1" applyNumberFormat="1" applyFont="1" applyFill="1" applyBorder="1" applyAlignment="1">
      <alignment horizontal="left" indent="2"/>
    </xf>
    <xf numFmtId="0" fontId="4" fillId="7" borderId="4" xfId="0" applyFont="1" applyFill="1" applyBorder="1" applyAlignment="1">
      <alignment horizontal="left" vertical="center" wrapText="1" readingOrder="1"/>
    </xf>
    <xf numFmtId="0" fontId="14" fillId="0" borderId="0" xfId="0" applyFont="1" applyAlignment="1">
      <alignment horizontal="left"/>
    </xf>
    <xf numFmtId="166" fontId="14" fillId="0" borderId="0" xfId="1" applyNumberFormat="1" applyFont="1" applyAlignment="1">
      <alignment horizontal="left"/>
    </xf>
    <xf numFmtId="0" fontId="14" fillId="0" borderId="0" xfId="0" applyFont="1"/>
    <xf numFmtId="0" fontId="7" fillId="0" borderId="0" xfId="0" applyFont="1" applyAlignment="1">
      <alignment horizontal="left" indent="2"/>
    </xf>
    <xf numFmtId="9" fontId="14" fillId="7" borderId="32" xfId="1" applyNumberFormat="1" applyFont="1" applyFill="1" applyBorder="1"/>
    <xf numFmtId="9" fontId="14" fillId="7" borderId="32" xfId="1" applyNumberFormat="1" applyFont="1" applyFill="1" applyBorder="1" applyAlignment="1"/>
    <xf numFmtId="9" fontId="13" fillId="7" borderId="32" xfId="0" applyNumberFormat="1" applyFont="1" applyFill="1" applyBorder="1"/>
    <xf numFmtId="9" fontId="14" fillId="0" borderId="27" xfId="1" applyNumberFormat="1" applyFont="1" applyFill="1" applyBorder="1" applyAlignment="1"/>
    <xf numFmtId="9" fontId="14" fillId="7" borderId="27" xfId="1" applyNumberFormat="1" applyFont="1" applyFill="1" applyBorder="1"/>
    <xf numFmtId="0" fontId="12" fillId="0" borderId="0" xfId="0" applyFont="1" applyAlignment="1">
      <alignment vertical="center"/>
    </xf>
    <xf numFmtId="0" fontId="15" fillId="0" borderId="28" xfId="0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166" fontId="15" fillId="0" borderId="29" xfId="1" applyNumberFormat="1" applyFont="1" applyBorder="1" applyAlignment="1">
      <alignment horizontal="center" vertical="center"/>
    </xf>
    <xf numFmtId="166" fontId="15" fillId="0" borderId="29" xfId="1" applyNumberFormat="1" applyFont="1" applyFill="1" applyBorder="1" applyAlignment="1">
      <alignment vertical="center"/>
    </xf>
    <xf numFmtId="166" fontId="15" fillId="7" borderId="29" xfId="1" applyNumberFormat="1" applyFont="1" applyFill="1" applyBorder="1" applyAlignment="1">
      <alignment vertical="center"/>
    </xf>
    <xf numFmtId="166" fontId="15" fillId="0" borderId="29" xfId="1" applyNumberFormat="1" applyFont="1" applyFill="1" applyBorder="1" applyAlignment="1">
      <alignment horizontal="center" vertical="center"/>
    </xf>
    <xf numFmtId="166" fontId="15" fillId="7" borderId="30" xfId="1" applyNumberFormat="1" applyFont="1" applyFill="1" applyBorder="1" applyAlignment="1">
      <alignment vertical="center"/>
    </xf>
    <xf numFmtId="0" fontId="2" fillId="8" borderId="10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indent="2"/>
    </xf>
    <xf numFmtId="0" fontId="2" fillId="8" borderId="18" xfId="0" applyFont="1" applyFill="1" applyBorder="1" applyAlignment="1">
      <alignment horizontal="left" indent="2"/>
    </xf>
    <xf numFmtId="0" fontId="16" fillId="0" borderId="0" xfId="0" applyFont="1"/>
    <xf numFmtId="9" fontId="13" fillId="0" borderId="0" xfId="1" applyNumberFormat="1" applyFont="1" applyBorder="1" applyAlignment="1">
      <alignment horizontal="right"/>
    </xf>
    <xf numFmtId="9" fontId="13" fillId="0" borderId="0" xfId="1" applyNumberFormat="1" applyFont="1" applyAlignment="1">
      <alignment horizontal="right"/>
    </xf>
    <xf numFmtId="9" fontId="0" fillId="0" borderId="0" xfId="1" applyNumberFormat="1" applyFont="1"/>
    <xf numFmtId="9" fontId="13" fillId="0" borderId="0" xfId="0" applyNumberFormat="1" applyFont="1"/>
    <xf numFmtId="172" fontId="0" fillId="0" borderId="0" xfId="0" applyNumberFormat="1"/>
    <xf numFmtId="164" fontId="0" fillId="0" borderId="0" xfId="1" applyFont="1"/>
    <xf numFmtId="166" fontId="13" fillId="0" borderId="0" xfId="0" applyNumberFormat="1" applyFont="1"/>
    <xf numFmtId="10" fontId="13" fillId="0" borderId="0" xfId="0" applyNumberFormat="1" applyFont="1"/>
    <xf numFmtId="169" fontId="13" fillId="0" borderId="0" xfId="1" applyNumberFormat="1" applyFont="1" applyAlignment="1">
      <alignment horizontal="right"/>
    </xf>
    <xf numFmtId="167" fontId="17" fillId="0" borderId="0" xfId="2" applyNumberFormat="1" applyFont="1"/>
    <xf numFmtId="0" fontId="18" fillId="6" borderId="0" xfId="0" applyFont="1" applyFill="1"/>
    <xf numFmtId="166" fontId="18" fillId="6" borderId="0" xfId="0" applyNumberFormat="1" applyFont="1" applyFill="1"/>
    <xf numFmtId="0" fontId="19" fillId="3" borderId="1" xfId="0" applyFont="1" applyFill="1" applyBorder="1" applyAlignment="1">
      <alignment horizontal="left" vertical="center" readingOrder="1"/>
    </xf>
    <xf numFmtId="17" fontId="20" fillId="4" borderId="5" xfId="0" applyNumberFormat="1" applyFont="1" applyFill="1" applyBorder="1" applyAlignment="1">
      <alignment horizontal="center" vertical="center" readingOrder="1"/>
    </xf>
    <xf numFmtId="17" fontId="19" fillId="3" borderId="5" xfId="0" applyNumberFormat="1" applyFont="1" applyFill="1" applyBorder="1" applyAlignment="1">
      <alignment horizontal="center" vertical="center" readingOrder="1"/>
    </xf>
    <xf numFmtId="17" fontId="19" fillId="3" borderId="0" xfId="0" applyNumberFormat="1" applyFont="1" applyFill="1" applyAlignment="1">
      <alignment horizontal="center" vertical="center" readingOrder="1"/>
    </xf>
    <xf numFmtId="17" fontId="19" fillId="3" borderId="2" xfId="0" applyNumberFormat="1" applyFont="1" applyFill="1" applyBorder="1" applyAlignment="1">
      <alignment horizontal="center" vertical="center" readingOrder="1"/>
    </xf>
    <xf numFmtId="17" fontId="19" fillId="3" borderId="3" xfId="0" applyNumberFormat="1" applyFont="1" applyFill="1" applyBorder="1" applyAlignment="1">
      <alignment horizontal="center" vertical="center" wrapText="1" readingOrder="1"/>
    </xf>
    <xf numFmtId="0" fontId="17" fillId="6" borderId="0" xfId="0" applyFont="1" applyFill="1" applyAlignment="1">
      <alignment horizontal="left" indent="2"/>
    </xf>
    <xf numFmtId="166" fontId="18" fillId="6" borderId="0" xfId="0" applyNumberFormat="1" applyFont="1" applyFill="1" applyAlignment="1">
      <alignment horizontal="left" indent="2"/>
    </xf>
    <xf numFmtId="166" fontId="17" fillId="6" borderId="0" xfId="0" applyNumberFormat="1" applyFont="1" applyFill="1"/>
    <xf numFmtId="0" fontId="17" fillId="0" borderId="0" xfId="0" applyFont="1" applyAlignment="1">
      <alignment horizontal="left" indent="2"/>
    </xf>
    <xf numFmtId="0" fontId="17" fillId="0" borderId="0" xfId="0" applyFont="1"/>
    <xf numFmtId="166" fontId="17" fillId="6" borderId="0" xfId="0" applyNumberFormat="1" applyFont="1" applyFill="1" applyAlignment="1">
      <alignment horizontal="right" indent="2"/>
    </xf>
    <xf numFmtId="166" fontId="18" fillId="6" borderId="0" xfId="0" applyNumberFormat="1" applyFont="1" applyFill="1" applyAlignment="1">
      <alignment horizontal="right" indent="2"/>
    </xf>
    <xf numFmtId="0" fontId="18" fillId="0" borderId="0" xfId="0" applyFont="1"/>
    <xf numFmtId="0" fontId="18" fillId="0" borderId="0" xfId="0" applyFont="1" applyAlignment="1">
      <alignment horizontal="left"/>
    </xf>
    <xf numFmtId="9" fontId="18" fillId="6" borderId="0" xfId="0" applyNumberFormat="1" applyFont="1" applyFill="1" applyAlignment="1">
      <alignment horizontal="left" indent="2"/>
    </xf>
    <xf numFmtId="9" fontId="17" fillId="0" borderId="0" xfId="2" applyNumberFormat="1" applyFont="1"/>
    <xf numFmtId="166" fontId="18" fillId="6" borderId="0" xfId="0" applyNumberFormat="1" applyFont="1" applyFill="1" applyAlignment="1">
      <alignment indent="2"/>
    </xf>
    <xf numFmtId="166" fontId="18" fillId="6" borderId="0" xfId="0" applyNumberFormat="1" applyFont="1" applyFill="1" applyAlignment="1">
      <alignment horizontal="right"/>
    </xf>
    <xf numFmtId="9" fontId="18" fillId="6" borderId="0" xfId="0" applyNumberFormat="1" applyFont="1" applyFill="1" applyAlignment="1">
      <alignment horizontal="right" indent="2"/>
    </xf>
    <xf numFmtId="0" fontId="18" fillId="5" borderId="0" xfId="0" applyFont="1" applyFill="1"/>
    <xf numFmtId="0" fontId="21" fillId="5" borderId="0" xfId="0" applyFont="1" applyFill="1"/>
    <xf numFmtId="9" fontId="17" fillId="0" borderId="0" xfId="3" applyFont="1"/>
    <xf numFmtId="0" fontId="17" fillId="6" borderId="0" xfId="0" applyFont="1" applyFill="1"/>
    <xf numFmtId="166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166" fontId="18" fillId="0" borderId="0" xfId="0" applyNumberFormat="1" applyFont="1"/>
    <xf numFmtId="166" fontId="18" fillId="0" borderId="0" xfId="0" applyNumberFormat="1" applyFont="1" applyAlignment="1">
      <alignment horizontal="right"/>
    </xf>
    <xf numFmtId="166" fontId="17" fillId="0" borderId="0" xfId="0" applyNumberFormat="1" applyFont="1"/>
    <xf numFmtId="9" fontId="17" fillId="0" borderId="0" xfId="0" applyNumberFormat="1" applyFont="1"/>
    <xf numFmtId="9" fontId="17" fillId="0" borderId="0" xfId="0" applyNumberFormat="1" applyFont="1" applyAlignment="1">
      <alignment horizontal="right"/>
    </xf>
    <xf numFmtId="9" fontId="17" fillId="6" borderId="0" xfId="0" applyNumberFormat="1" applyFont="1" applyFill="1"/>
    <xf numFmtId="166" fontId="13" fillId="0" borderId="0" xfId="1" applyNumberFormat="1" applyFont="1" applyAlignment="1">
      <alignment horizontal="right"/>
    </xf>
    <xf numFmtId="164" fontId="17" fillId="6" borderId="0" xfId="0" applyNumberFormat="1" applyFont="1" applyFill="1"/>
    <xf numFmtId="0" fontId="1" fillId="0" borderId="0" xfId="0" applyFont="1"/>
    <xf numFmtId="0" fontId="1" fillId="0" borderId="8" xfId="0" applyFont="1" applyBorder="1"/>
    <xf numFmtId="0" fontId="1" fillId="0" borderId="9" xfId="0" applyFont="1" applyBorder="1" applyAlignment="1">
      <alignment horizontal="left" indent="2"/>
    </xf>
    <xf numFmtId="0" fontId="1" fillId="0" borderId="9" xfId="0" applyFont="1" applyBorder="1"/>
    <xf numFmtId="0" fontId="1" fillId="0" borderId="12" xfId="0" applyFont="1" applyBorder="1" applyAlignment="1">
      <alignment horizontal="left" indent="3"/>
    </xf>
    <xf numFmtId="0" fontId="1" fillId="0" borderId="9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right"/>
    </xf>
    <xf numFmtId="166" fontId="1" fillId="2" borderId="9" xfId="1" applyNumberFormat="1" applyFont="1" applyFill="1" applyBorder="1"/>
    <xf numFmtId="9" fontId="1" fillId="0" borderId="9" xfId="0" applyNumberFormat="1" applyFont="1" applyBorder="1" applyAlignment="1">
      <alignment horizontal="right"/>
    </xf>
    <xf numFmtId="9" fontId="1" fillId="2" borderId="9" xfId="3" applyFont="1" applyFill="1" applyBorder="1"/>
    <xf numFmtId="166" fontId="1" fillId="0" borderId="9" xfId="1" applyNumberFormat="1" applyFont="1" applyBorder="1"/>
    <xf numFmtId="168" fontId="1" fillId="0" borderId="9" xfId="1" applyNumberFormat="1" applyFont="1" applyBorder="1" applyAlignment="1">
      <alignment horizontal="center"/>
    </xf>
    <xf numFmtId="168" fontId="1" fillId="0" borderId="9" xfId="1" applyNumberFormat="1" applyFont="1" applyBorder="1" applyAlignment="1">
      <alignment horizontal="right"/>
    </xf>
    <xf numFmtId="166" fontId="1" fillId="2" borderId="9" xfId="1" applyNumberFormat="1" applyFont="1" applyFill="1" applyBorder="1" applyAlignment="1">
      <alignment horizontal="center"/>
    </xf>
    <xf numFmtId="166" fontId="1" fillId="2" borderId="9" xfId="0" applyNumberFormat="1" applyFont="1" applyFill="1" applyBorder="1"/>
    <xf numFmtId="9" fontId="1" fillId="2" borderId="9" xfId="0" applyNumberFormat="1" applyFont="1" applyFill="1" applyBorder="1"/>
    <xf numFmtId="166" fontId="1" fillId="0" borderId="9" xfId="0" applyNumberFormat="1" applyFont="1" applyBorder="1"/>
    <xf numFmtId="9" fontId="1" fillId="2" borderId="9" xfId="0" applyNumberFormat="1" applyFont="1" applyFill="1" applyBorder="1" applyAlignment="1">
      <alignment horizontal="center"/>
    </xf>
    <xf numFmtId="166" fontId="1" fillId="0" borderId="9" xfId="1" applyNumberFormat="1" applyFont="1" applyFill="1" applyBorder="1" applyAlignment="1">
      <alignment horizontal="center"/>
    </xf>
    <xf numFmtId="168" fontId="1" fillId="2" borderId="9" xfId="1" applyNumberFormat="1" applyFont="1" applyFill="1" applyBorder="1" applyAlignment="1">
      <alignment horizontal="center"/>
    </xf>
    <xf numFmtId="0" fontId="1" fillId="0" borderId="16" xfId="0" applyFont="1" applyBorder="1"/>
    <xf numFmtId="166" fontId="1" fillId="2" borderId="16" xfId="0" applyNumberFormat="1" applyFont="1" applyFill="1" applyBorder="1"/>
    <xf numFmtId="9" fontId="1" fillId="2" borderId="16" xfId="0" applyNumberFormat="1" applyFont="1" applyFill="1" applyBorder="1"/>
    <xf numFmtId="171" fontId="1" fillId="2" borderId="9" xfId="0" applyNumberFormat="1" applyFont="1" applyFill="1" applyBorder="1"/>
    <xf numFmtId="43" fontId="1" fillId="2" borderId="9" xfId="0" applyNumberFormat="1" applyFont="1" applyFill="1" applyBorder="1"/>
    <xf numFmtId="165" fontId="1" fillId="2" borderId="9" xfId="0" applyNumberFormat="1" applyFont="1" applyFill="1" applyBorder="1"/>
    <xf numFmtId="9" fontId="1" fillId="0" borderId="9" xfId="0" applyNumberFormat="1" applyFont="1" applyBorder="1" applyAlignment="1">
      <alignment horizontal="center"/>
    </xf>
    <xf numFmtId="10" fontId="1" fillId="2" borderId="9" xfId="0" applyNumberFormat="1" applyFont="1" applyFill="1" applyBorder="1" applyAlignment="1">
      <alignment horizontal="center"/>
    </xf>
    <xf numFmtId="166" fontId="1" fillId="0" borderId="16" xfId="1" applyNumberFormat="1" applyFont="1" applyBorder="1"/>
    <xf numFmtId="168" fontId="1" fillId="2" borderId="16" xfId="1" applyNumberFormat="1" applyFont="1" applyFill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left" indent="2"/>
    </xf>
    <xf numFmtId="166" fontId="1" fillId="0" borderId="0" xfId="0" applyNumberFormat="1" applyFont="1"/>
    <xf numFmtId="0" fontId="1" fillId="8" borderId="8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7" borderId="11" xfId="0" applyFont="1" applyFill="1" applyBorder="1" applyAlignment="1">
      <alignment vertical="center"/>
    </xf>
    <xf numFmtId="0" fontId="1" fillId="8" borderId="12" xfId="0" applyFont="1" applyFill="1" applyBorder="1" applyAlignment="1">
      <alignment horizontal="left" indent="3"/>
    </xf>
    <xf numFmtId="0" fontId="1" fillId="8" borderId="9" xfId="0" applyFont="1" applyFill="1" applyBorder="1" applyAlignment="1">
      <alignment horizontal="center"/>
    </xf>
    <xf numFmtId="166" fontId="1" fillId="8" borderId="9" xfId="1" applyNumberFormat="1" applyFont="1" applyFill="1" applyBorder="1" applyAlignment="1">
      <alignment horizontal="right"/>
    </xf>
    <xf numFmtId="166" fontId="1" fillId="8" borderId="9" xfId="1" applyNumberFormat="1" applyFont="1" applyFill="1" applyBorder="1" applyAlignment="1">
      <alignment horizontal="center"/>
    </xf>
    <xf numFmtId="166" fontId="1" fillId="7" borderId="9" xfId="1" applyNumberFormat="1" applyFont="1" applyFill="1" applyBorder="1"/>
    <xf numFmtId="166" fontId="1" fillId="8" borderId="9" xfId="1" applyNumberFormat="1" applyFont="1" applyFill="1" applyBorder="1"/>
    <xf numFmtId="166" fontId="1" fillId="7" borderId="13" xfId="1" applyNumberFormat="1" applyFont="1" applyFill="1" applyBorder="1"/>
    <xf numFmtId="9" fontId="1" fillId="8" borderId="9" xfId="1" applyNumberFormat="1" applyFont="1" applyFill="1" applyBorder="1" applyAlignment="1">
      <alignment horizontal="right"/>
    </xf>
    <xf numFmtId="9" fontId="1" fillId="7" borderId="9" xfId="1" applyNumberFormat="1" applyFont="1" applyFill="1" applyBorder="1" applyAlignment="1">
      <alignment horizontal="right"/>
    </xf>
    <xf numFmtId="9" fontId="1" fillId="8" borderId="9" xfId="3" applyFont="1" applyFill="1" applyBorder="1"/>
    <xf numFmtId="9" fontId="1" fillId="7" borderId="13" xfId="1" applyNumberFormat="1" applyFont="1" applyFill="1" applyBorder="1" applyAlignment="1">
      <alignment horizontal="right"/>
    </xf>
    <xf numFmtId="9" fontId="1" fillId="8" borderId="9" xfId="0" applyNumberFormat="1" applyFont="1" applyFill="1" applyBorder="1" applyAlignment="1">
      <alignment horizontal="right"/>
    </xf>
    <xf numFmtId="169" fontId="1" fillId="8" borderId="9" xfId="3" applyNumberFormat="1" applyFont="1" applyFill="1" applyBorder="1" applyAlignment="1">
      <alignment horizontal="right"/>
    </xf>
    <xf numFmtId="169" fontId="1" fillId="7" borderId="9" xfId="0" applyNumberFormat="1" applyFont="1" applyFill="1" applyBorder="1"/>
    <xf numFmtId="169" fontId="1" fillId="8" borderId="9" xfId="3" applyNumberFormat="1" applyFont="1" applyFill="1" applyBorder="1"/>
    <xf numFmtId="169" fontId="1" fillId="7" borderId="13" xfId="0" applyNumberFormat="1" applyFont="1" applyFill="1" applyBorder="1"/>
    <xf numFmtId="166" fontId="1" fillId="0" borderId="37" xfId="1" applyNumberFormat="1" applyFont="1" applyFill="1" applyBorder="1"/>
    <xf numFmtId="9" fontId="1" fillId="7" borderId="9" xfId="0" applyNumberFormat="1" applyFont="1" applyFill="1" applyBorder="1"/>
    <xf numFmtId="9" fontId="1" fillId="7" borderId="13" xfId="0" applyNumberFormat="1" applyFont="1" applyFill="1" applyBorder="1"/>
    <xf numFmtId="9" fontId="1" fillId="7" borderId="9" xfId="0" applyNumberFormat="1" applyFont="1" applyFill="1" applyBorder="1" applyAlignment="1">
      <alignment horizontal="right"/>
    </xf>
    <xf numFmtId="9" fontId="1" fillId="7" borderId="13" xfId="0" applyNumberFormat="1" applyFont="1" applyFill="1" applyBorder="1" applyAlignment="1">
      <alignment horizontal="right"/>
    </xf>
    <xf numFmtId="168" fontId="1" fillId="8" borderId="9" xfId="1" applyNumberFormat="1" applyFont="1" applyFill="1" applyBorder="1" applyAlignment="1">
      <alignment horizontal="right"/>
    </xf>
    <xf numFmtId="168" fontId="1" fillId="8" borderId="9" xfId="1" applyNumberFormat="1" applyFont="1" applyFill="1" applyBorder="1" applyAlignment="1">
      <alignment horizontal="center"/>
    </xf>
    <xf numFmtId="168" fontId="1" fillId="7" borderId="9" xfId="1" applyNumberFormat="1" applyFont="1" applyFill="1" applyBorder="1" applyAlignment="1">
      <alignment horizontal="center"/>
    </xf>
    <xf numFmtId="168" fontId="1" fillId="8" borderId="9" xfId="1" applyNumberFormat="1" applyFont="1" applyFill="1" applyBorder="1"/>
    <xf numFmtId="168" fontId="1" fillId="7" borderId="13" xfId="1" applyNumberFormat="1" applyFont="1" applyFill="1" applyBorder="1" applyAlignment="1">
      <alignment horizontal="center"/>
    </xf>
    <xf numFmtId="0" fontId="1" fillId="8" borderId="7" xfId="0" applyFont="1" applyFill="1" applyBorder="1" applyAlignment="1">
      <alignment horizontal="left" indent="3"/>
    </xf>
    <xf numFmtId="0" fontId="1" fillId="8" borderId="14" xfId="0" applyFont="1" applyFill="1" applyBorder="1" applyAlignment="1">
      <alignment horizontal="center"/>
    </xf>
    <xf numFmtId="166" fontId="1" fillId="8" borderId="14" xfId="1" applyNumberFormat="1" applyFont="1" applyFill="1" applyBorder="1" applyAlignment="1">
      <alignment horizontal="right"/>
    </xf>
    <xf numFmtId="166" fontId="1" fillId="8" borderId="14" xfId="1" applyNumberFormat="1" applyFont="1" applyFill="1" applyBorder="1" applyAlignment="1">
      <alignment horizontal="center"/>
    </xf>
    <xf numFmtId="166" fontId="1" fillId="7" borderId="14" xfId="1" applyNumberFormat="1" applyFont="1" applyFill="1" applyBorder="1"/>
    <xf numFmtId="166" fontId="1" fillId="8" borderId="14" xfId="1" applyNumberFormat="1" applyFont="1" applyFill="1" applyBorder="1"/>
    <xf numFmtId="166" fontId="1" fillId="7" borderId="15" xfId="1" applyNumberFormat="1" applyFont="1" applyFill="1" applyBorder="1"/>
    <xf numFmtId="0" fontId="4" fillId="8" borderId="60" xfId="0" applyFont="1" applyFill="1" applyBorder="1" applyAlignment="1">
      <alignment horizontal="left" vertical="center" wrapText="1" readingOrder="1"/>
    </xf>
    <xf numFmtId="17" fontId="4" fillId="8" borderId="61" xfId="0" applyNumberFormat="1" applyFont="1" applyFill="1" applyBorder="1" applyAlignment="1">
      <alignment horizontal="center" vertical="center" readingOrder="1"/>
    </xf>
    <xf numFmtId="17" fontId="6" fillId="8" borderId="61" xfId="0" applyNumberFormat="1" applyFont="1" applyFill="1" applyBorder="1" applyAlignment="1">
      <alignment horizontal="center" vertical="center" readingOrder="1"/>
    </xf>
    <xf numFmtId="17" fontId="11" fillId="0" borderId="61" xfId="0" applyNumberFormat="1" applyFont="1" applyBorder="1" applyAlignment="1">
      <alignment horizontal="center" vertical="center" readingOrder="1"/>
    </xf>
    <xf numFmtId="17" fontId="11" fillId="0" borderId="62" xfId="0" applyNumberFormat="1" applyFont="1" applyBorder="1" applyAlignment="1">
      <alignment horizontal="center" vertical="center" readingOrder="1"/>
    </xf>
    <xf numFmtId="0" fontId="1" fillId="8" borderId="8" xfId="0" applyFont="1" applyFill="1" applyBorder="1" applyAlignment="1">
      <alignment horizontal="left" indent="2"/>
    </xf>
    <xf numFmtId="0" fontId="1" fillId="8" borderId="8" xfId="0" applyFont="1" applyFill="1" applyBorder="1"/>
    <xf numFmtId="0" fontId="1" fillId="7" borderId="8" xfId="0" applyFont="1" applyFill="1" applyBorder="1"/>
    <xf numFmtId="0" fontId="1" fillId="7" borderId="11" xfId="0" applyFont="1" applyFill="1" applyBorder="1"/>
    <xf numFmtId="0" fontId="1" fillId="8" borderId="17" xfId="0" applyFont="1" applyFill="1" applyBorder="1" applyAlignment="1">
      <alignment horizontal="left" indent="3"/>
    </xf>
    <xf numFmtId="0" fontId="1" fillId="8" borderId="19" xfId="0" applyFont="1" applyFill="1" applyBorder="1" applyAlignment="1">
      <alignment horizontal="center"/>
    </xf>
    <xf numFmtId="166" fontId="1" fillId="8" borderId="19" xfId="1" applyNumberFormat="1" applyFont="1" applyFill="1" applyBorder="1" applyAlignment="1">
      <alignment horizontal="right"/>
    </xf>
    <xf numFmtId="166" fontId="1" fillId="8" borderId="19" xfId="1" applyNumberFormat="1" applyFont="1" applyFill="1" applyBorder="1" applyAlignment="1">
      <alignment horizontal="center"/>
    </xf>
    <xf numFmtId="166" fontId="1" fillId="7" borderId="19" xfId="1" applyNumberFormat="1" applyFont="1" applyFill="1" applyBorder="1"/>
    <xf numFmtId="166" fontId="1" fillId="8" borderId="19" xfId="1" applyNumberFormat="1" applyFont="1" applyFill="1" applyBorder="1"/>
    <xf numFmtId="166" fontId="1" fillId="7" borderId="20" xfId="1" applyNumberFormat="1" applyFont="1" applyFill="1" applyBorder="1"/>
    <xf numFmtId="0" fontId="1" fillId="8" borderId="4" xfId="0" applyFont="1" applyFill="1" applyBorder="1" applyAlignment="1">
      <alignment horizontal="left" indent="2"/>
    </xf>
    <xf numFmtId="0" fontId="1" fillId="8" borderId="5" xfId="0" applyFont="1" applyFill="1" applyBorder="1" applyAlignment="1">
      <alignment horizontal="left" indent="2"/>
    </xf>
    <xf numFmtId="0" fontId="1" fillId="8" borderId="5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8" borderId="38" xfId="0" applyFont="1" applyFill="1" applyBorder="1" applyAlignment="1">
      <alignment horizontal="left" indent="2"/>
    </xf>
    <xf numFmtId="0" fontId="1" fillId="8" borderId="38" xfId="0" applyFont="1" applyFill="1" applyBorder="1"/>
    <xf numFmtId="0" fontId="1" fillId="7" borderId="38" xfId="0" applyFont="1" applyFill="1" applyBorder="1"/>
    <xf numFmtId="0" fontId="1" fillId="7" borderId="22" xfId="0" applyFont="1" applyFill="1" applyBorder="1"/>
    <xf numFmtId="9" fontId="1" fillId="8" borderId="9" xfId="1" applyNumberFormat="1" applyFont="1" applyFill="1" applyBorder="1" applyAlignment="1">
      <alignment horizontal="center"/>
    </xf>
    <xf numFmtId="9" fontId="1" fillId="8" borderId="9" xfId="0" applyNumberFormat="1" applyFont="1" applyFill="1" applyBorder="1"/>
    <xf numFmtId="9" fontId="1" fillId="8" borderId="9" xfId="0" applyNumberFormat="1" applyFont="1" applyFill="1" applyBorder="1" applyAlignment="1">
      <alignment horizontal="center"/>
    </xf>
    <xf numFmtId="9" fontId="1" fillId="8" borderId="9" xfId="3" applyFont="1" applyFill="1" applyBorder="1" applyAlignment="1">
      <alignment horizontal="right"/>
    </xf>
    <xf numFmtId="166" fontId="1" fillId="8" borderId="9" xfId="0" applyNumberFormat="1" applyFont="1" applyFill="1" applyBorder="1" applyAlignment="1">
      <alignment horizontal="center"/>
    </xf>
    <xf numFmtId="168" fontId="1" fillId="8" borderId="19" xfId="1" applyNumberFormat="1" applyFont="1" applyFill="1" applyBorder="1" applyAlignment="1">
      <alignment horizontal="center"/>
    </xf>
    <xf numFmtId="166" fontId="1" fillId="8" borderId="21" xfId="1" applyNumberFormat="1" applyFont="1" applyFill="1" applyBorder="1" applyAlignment="1">
      <alignment horizontal="center"/>
    </xf>
    <xf numFmtId="166" fontId="1" fillId="8" borderId="21" xfId="1" applyNumberFormat="1" applyFont="1" applyFill="1" applyBorder="1" applyAlignment="1">
      <alignment horizontal="right"/>
    </xf>
    <xf numFmtId="17" fontId="4" fillId="0" borderId="5" xfId="0" applyNumberFormat="1" applyFont="1" applyBorder="1" applyAlignment="1">
      <alignment horizontal="center" vertical="center" readingOrder="1"/>
    </xf>
    <xf numFmtId="17" fontId="6" fillId="0" borderId="5" xfId="0" applyNumberFormat="1" applyFont="1" applyBorder="1" applyAlignment="1">
      <alignment horizontal="center" vertical="center" readingOrder="1"/>
    </xf>
    <xf numFmtId="17" fontId="11" fillId="0" borderId="5" xfId="0" applyNumberFormat="1" applyFont="1" applyBorder="1" applyAlignment="1">
      <alignment horizontal="center" vertical="center" readingOrder="1"/>
    </xf>
    <xf numFmtId="0" fontId="1" fillId="0" borderId="8" xfId="0" applyFont="1" applyBorder="1" applyAlignment="1">
      <alignment horizontal="left" indent="2"/>
    </xf>
    <xf numFmtId="166" fontId="1" fillId="0" borderId="9" xfId="1" applyNumberFormat="1" applyFont="1" applyFill="1" applyBorder="1"/>
    <xf numFmtId="166" fontId="1" fillId="7" borderId="13" xfId="0" applyNumberFormat="1" applyFont="1" applyFill="1" applyBorder="1"/>
    <xf numFmtId="9" fontId="1" fillId="0" borderId="9" xfId="1" applyNumberFormat="1" applyFont="1" applyFill="1" applyBorder="1"/>
    <xf numFmtId="9" fontId="1" fillId="0" borderId="9" xfId="0" applyNumberFormat="1" applyFont="1" applyBorder="1"/>
    <xf numFmtId="166" fontId="1" fillId="0" borderId="9" xfId="1" applyNumberFormat="1" applyFont="1" applyFill="1" applyBorder="1" applyAlignment="1">
      <alignment horizontal="right"/>
    </xf>
    <xf numFmtId="168" fontId="1" fillId="0" borderId="9" xfId="1" applyNumberFormat="1" applyFont="1" applyFill="1" applyBorder="1" applyAlignment="1">
      <alignment horizontal="center"/>
    </xf>
    <xf numFmtId="164" fontId="1" fillId="0" borderId="9" xfId="1" applyFont="1" applyFill="1" applyBorder="1" applyAlignment="1">
      <alignment horizontal="center"/>
    </xf>
    <xf numFmtId="166" fontId="1" fillId="7" borderId="13" xfId="1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left" indent="2"/>
    </xf>
    <xf numFmtId="0" fontId="1" fillId="7" borderId="13" xfId="0" applyFont="1" applyFill="1" applyBorder="1"/>
    <xf numFmtId="169" fontId="1" fillId="0" borderId="9" xfId="3" applyNumberFormat="1" applyFont="1" applyFill="1" applyBorder="1" applyAlignment="1">
      <alignment horizontal="center"/>
    </xf>
    <xf numFmtId="9" fontId="1" fillId="0" borderId="9" xfId="3" applyFont="1" applyFill="1" applyBorder="1" applyAlignment="1">
      <alignment horizontal="center"/>
    </xf>
    <xf numFmtId="9" fontId="1" fillId="0" borderId="9" xfId="3" applyFont="1" applyFill="1" applyBorder="1"/>
    <xf numFmtId="168" fontId="1" fillId="0" borderId="19" xfId="1" applyNumberFormat="1" applyFont="1" applyFill="1" applyBorder="1" applyAlignment="1">
      <alignment horizontal="center"/>
    </xf>
    <xf numFmtId="168" fontId="1" fillId="2" borderId="19" xfId="1" applyNumberFormat="1" applyFont="1" applyFill="1" applyBorder="1" applyAlignment="1">
      <alignment horizontal="center"/>
    </xf>
    <xf numFmtId="168" fontId="1" fillId="7" borderId="20" xfId="1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 indent="3"/>
    </xf>
    <xf numFmtId="0" fontId="1" fillId="0" borderId="14" xfId="0" applyFont="1" applyBorder="1" applyAlignment="1">
      <alignment horizontal="center"/>
    </xf>
    <xf numFmtId="166" fontId="1" fillId="0" borderId="14" xfId="1" applyNumberFormat="1" applyFont="1" applyFill="1" applyBorder="1" applyAlignment="1">
      <alignment horizontal="center"/>
    </xf>
    <xf numFmtId="166" fontId="1" fillId="0" borderId="21" xfId="1" applyNumberFormat="1" applyFont="1" applyFill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7" borderId="15" xfId="1" applyNumberFormat="1" applyFont="1" applyFill="1" applyBorder="1" applyAlignment="1">
      <alignment horizontal="center"/>
    </xf>
    <xf numFmtId="9" fontId="1" fillId="0" borderId="9" xfId="1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 indent="2"/>
    </xf>
    <xf numFmtId="0" fontId="1" fillId="0" borderId="14" xfId="0" applyFont="1" applyBorder="1" applyAlignment="1">
      <alignment horizontal="left" indent="2"/>
    </xf>
    <xf numFmtId="0" fontId="1" fillId="0" borderId="14" xfId="0" applyFont="1" applyBorder="1"/>
    <xf numFmtId="0" fontId="1" fillId="7" borderId="15" xfId="0" applyFont="1" applyFill="1" applyBorder="1"/>
    <xf numFmtId="0" fontId="1" fillId="0" borderId="38" xfId="0" applyFont="1" applyBorder="1" applyAlignment="1">
      <alignment horizontal="left" indent="2"/>
    </xf>
    <xf numFmtId="0" fontId="1" fillId="0" borderId="38" xfId="0" applyFont="1" applyBorder="1"/>
    <xf numFmtId="0" fontId="1" fillId="0" borderId="22" xfId="0" applyFont="1" applyBorder="1"/>
    <xf numFmtId="164" fontId="1" fillId="0" borderId="9" xfId="1" applyFont="1" applyFill="1" applyBorder="1"/>
    <xf numFmtId="166" fontId="1" fillId="0" borderId="19" xfId="1" applyNumberFormat="1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1" fillId="0" borderId="14" xfId="1" applyFont="1" applyFill="1" applyBorder="1" applyAlignment="1">
      <alignment horizontal="center"/>
    </xf>
    <xf numFmtId="164" fontId="1" fillId="0" borderId="14" xfId="1" applyFont="1" applyFill="1" applyBorder="1"/>
    <xf numFmtId="166" fontId="1" fillId="0" borderId="14" xfId="1" applyNumberFormat="1" applyFont="1" applyBorder="1"/>
    <xf numFmtId="166" fontId="1" fillId="0" borderId="37" xfId="1" applyNumberFormat="1" applyFont="1" applyBorder="1"/>
    <xf numFmtId="168" fontId="1" fillId="0" borderId="9" xfId="1" applyNumberFormat="1" applyFont="1" applyFill="1" applyBorder="1" applyAlignment="1">
      <alignment horizontal="right"/>
    </xf>
    <xf numFmtId="166" fontId="1" fillId="7" borderId="9" xfId="1" applyNumberFormat="1" applyFont="1" applyFill="1" applyBorder="1" applyAlignment="1">
      <alignment horizontal="center"/>
    </xf>
    <xf numFmtId="9" fontId="1" fillId="2" borderId="9" xfId="0" applyNumberFormat="1" applyFont="1" applyFill="1" applyBorder="1" applyAlignment="1">
      <alignment horizontal="right"/>
    </xf>
    <xf numFmtId="168" fontId="1" fillId="2" borderId="9" xfId="1" applyNumberFormat="1" applyFont="1" applyFill="1" applyBorder="1"/>
    <xf numFmtId="9" fontId="1" fillId="0" borderId="9" xfId="3" applyFont="1" applyFill="1" applyBorder="1" applyAlignment="1">
      <alignment horizontal="right"/>
    </xf>
    <xf numFmtId="166" fontId="1" fillId="2" borderId="19" xfId="1" applyNumberFormat="1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166" fontId="1" fillId="0" borderId="14" xfId="1" applyNumberFormat="1" applyFont="1" applyBorder="1" applyAlignment="1">
      <alignment horizontal="right"/>
    </xf>
    <xf numFmtId="166" fontId="1" fillId="7" borderId="14" xfId="1" applyNumberFormat="1" applyFont="1" applyFill="1" applyBorder="1" applyAlignment="1">
      <alignment horizontal="center"/>
    </xf>
    <xf numFmtId="9" fontId="1" fillId="0" borderId="9" xfId="1" applyNumberFormat="1" applyFont="1" applyBorder="1" applyAlignment="1">
      <alignment horizontal="right"/>
    </xf>
    <xf numFmtId="169" fontId="1" fillId="0" borderId="9" xfId="3" applyNumberFormat="1" applyFont="1" applyBorder="1" applyAlignment="1">
      <alignment horizontal="right"/>
    </xf>
    <xf numFmtId="168" fontId="1" fillId="0" borderId="19" xfId="1" applyNumberFormat="1" applyFont="1" applyBorder="1" applyAlignment="1">
      <alignment horizontal="right"/>
    </xf>
    <xf numFmtId="9" fontId="1" fillId="0" borderId="9" xfId="1" applyNumberFormat="1" applyFont="1" applyBorder="1" applyAlignment="1">
      <alignment horizontal="center"/>
    </xf>
    <xf numFmtId="9" fontId="1" fillId="0" borderId="9" xfId="3" applyFont="1" applyBorder="1"/>
    <xf numFmtId="168" fontId="1" fillId="0" borderId="9" xfId="1" applyNumberFormat="1" applyFont="1" applyBorder="1"/>
    <xf numFmtId="0" fontId="1" fillId="0" borderId="55" xfId="0" applyFont="1" applyBorder="1"/>
    <xf numFmtId="166" fontId="1" fillId="2" borderId="16" xfId="1" applyNumberFormat="1" applyFont="1" applyFill="1" applyBorder="1" applyAlignment="1">
      <alignment horizontal="center"/>
    </xf>
    <xf numFmtId="10" fontId="1" fillId="0" borderId="9" xfId="0" applyNumberFormat="1" applyFont="1" applyBorder="1"/>
    <xf numFmtId="10" fontId="1" fillId="0" borderId="44" xfId="0" applyNumberFormat="1" applyFont="1" applyBorder="1"/>
    <xf numFmtId="0" fontId="1" fillId="2" borderId="9" xfId="0" applyFont="1" applyFill="1" applyBorder="1"/>
    <xf numFmtId="0" fontId="1" fillId="2" borderId="16" xfId="0" applyFont="1" applyFill="1" applyBorder="1"/>
    <xf numFmtId="164" fontId="1" fillId="0" borderId="9" xfId="1" applyFont="1" applyBorder="1" applyAlignment="1">
      <alignment horizontal="center"/>
    </xf>
    <xf numFmtId="164" fontId="1" fillId="0" borderId="9" xfId="1" applyFont="1" applyBorder="1"/>
    <xf numFmtId="164" fontId="1" fillId="0" borderId="16" xfId="1" applyFont="1" applyBorder="1"/>
    <xf numFmtId="0" fontId="1" fillId="0" borderId="16" xfId="0" applyFont="1" applyBorder="1" applyAlignment="1">
      <alignment horizontal="center"/>
    </xf>
    <xf numFmtId="166" fontId="1" fillId="0" borderId="16" xfId="1" applyNumberFormat="1" applyFont="1" applyBorder="1" applyAlignment="1">
      <alignment horizontal="center"/>
    </xf>
    <xf numFmtId="166" fontId="1" fillId="0" borderId="16" xfId="0" applyNumberFormat="1" applyFont="1" applyBorder="1"/>
    <xf numFmtId="166" fontId="1" fillId="0" borderId="14" xfId="0" applyNumberFormat="1" applyFont="1" applyBorder="1"/>
    <xf numFmtId="9" fontId="1" fillId="2" borderId="9" xfId="1" applyNumberFormat="1" applyFont="1" applyFill="1" applyBorder="1"/>
    <xf numFmtId="9" fontId="1" fillId="2" borderId="16" xfId="1" applyNumberFormat="1" applyFont="1" applyFill="1" applyBorder="1"/>
    <xf numFmtId="170" fontId="1" fillId="2" borderId="9" xfId="1" applyNumberFormat="1" applyFont="1" applyFill="1" applyBorder="1"/>
    <xf numFmtId="164" fontId="1" fillId="2" borderId="16" xfId="1" applyFont="1" applyFill="1" applyBorder="1"/>
    <xf numFmtId="9" fontId="1" fillId="0" borderId="16" xfId="0" applyNumberFormat="1" applyFont="1" applyBorder="1"/>
    <xf numFmtId="166" fontId="1" fillId="2" borderId="16" xfId="1" applyNumberFormat="1" applyFont="1" applyFill="1" applyBorder="1"/>
    <xf numFmtId="166" fontId="1" fillId="0" borderId="9" xfId="1" applyNumberFormat="1" applyFont="1" applyBorder="1" applyAlignment="1">
      <alignment horizontal="left" indent="2"/>
    </xf>
    <xf numFmtId="168" fontId="1" fillId="2" borderId="16" xfId="1" applyNumberFormat="1" applyFont="1" applyFill="1" applyBorder="1"/>
    <xf numFmtId="9" fontId="1" fillId="0" borderId="9" xfId="1" applyNumberFormat="1" applyFont="1" applyBorder="1"/>
    <xf numFmtId="0" fontId="1" fillId="0" borderId="23" xfId="0" applyFont="1" applyBorder="1" applyAlignment="1">
      <alignment horizontal="left" indent="3"/>
    </xf>
    <xf numFmtId="0" fontId="1" fillId="0" borderId="24" xfId="0" applyFont="1" applyBorder="1" applyAlignment="1">
      <alignment horizontal="center"/>
    </xf>
    <xf numFmtId="0" fontId="1" fillId="0" borderId="24" xfId="0" applyFont="1" applyBorder="1"/>
    <xf numFmtId="166" fontId="1" fillId="0" borderId="24" xfId="1" applyNumberFormat="1" applyFont="1" applyBorder="1"/>
    <xf numFmtId="166" fontId="1" fillId="0" borderId="56" xfId="1" applyNumberFormat="1" applyFont="1" applyBorder="1"/>
    <xf numFmtId="168" fontId="1" fillId="0" borderId="0" xfId="1" applyNumberFormat="1" applyFont="1" applyBorder="1"/>
    <xf numFmtId="9" fontId="1" fillId="7" borderId="13" xfId="3" applyFont="1" applyFill="1" applyBorder="1"/>
    <xf numFmtId="168" fontId="1" fillId="7" borderId="13" xfId="1" applyNumberFormat="1" applyFont="1" applyFill="1" applyBorder="1"/>
    <xf numFmtId="168" fontId="1" fillId="0" borderId="37" xfId="1" applyNumberFormat="1" applyFont="1" applyBorder="1"/>
    <xf numFmtId="0" fontId="1" fillId="7" borderId="9" xfId="0" applyFont="1" applyFill="1" applyBorder="1"/>
    <xf numFmtId="166" fontId="1" fillId="6" borderId="9" xfId="1" applyNumberFormat="1" applyFont="1" applyFill="1" applyBorder="1" applyAlignment="1">
      <alignment horizontal="center"/>
    </xf>
    <xf numFmtId="166" fontId="1" fillId="6" borderId="9" xfId="1" applyNumberFormat="1" applyFont="1" applyFill="1" applyBorder="1"/>
    <xf numFmtId="9" fontId="1" fillId="6" borderId="9" xfId="0" applyNumberFormat="1" applyFont="1" applyFill="1" applyBorder="1" applyAlignment="1">
      <alignment horizontal="right"/>
    </xf>
    <xf numFmtId="9" fontId="1" fillId="6" borderId="9" xfId="0" applyNumberFormat="1" applyFont="1" applyFill="1" applyBorder="1" applyAlignment="1">
      <alignment horizontal="center"/>
    </xf>
    <xf numFmtId="9" fontId="1" fillId="6" borderId="9" xfId="3" applyFont="1" applyFill="1" applyBorder="1" applyAlignment="1">
      <alignment horizontal="right"/>
    </xf>
    <xf numFmtId="9" fontId="1" fillId="6" borderId="9" xfId="3" applyFont="1" applyFill="1" applyBorder="1"/>
    <xf numFmtId="164" fontId="1" fillId="6" borderId="9" xfId="1" applyFont="1" applyFill="1" applyBorder="1"/>
    <xf numFmtId="168" fontId="1" fillId="6" borderId="19" xfId="1" applyNumberFormat="1" applyFont="1" applyFill="1" applyBorder="1" applyAlignment="1">
      <alignment horizontal="center"/>
    </xf>
    <xf numFmtId="168" fontId="1" fillId="7" borderId="19" xfId="1" applyNumberFormat="1" applyFont="1" applyFill="1" applyBorder="1" applyAlignment="1">
      <alignment horizontal="center"/>
    </xf>
    <xf numFmtId="166" fontId="1" fillId="0" borderId="21" xfId="1" applyNumberFormat="1" applyFont="1" applyBorder="1" applyAlignment="1">
      <alignment horizontal="center"/>
    </xf>
    <xf numFmtId="166" fontId="1" fillId="0" borderId="21" xfId="1" applyNumberFormat="1" applyFont="1" applyBorder="1" applyAlignment="1">
      <alignment horizontal="right"/>
    </xf>
    <xf numFmtId="166" fontId="1" fillId="6" borderId="14" xfId="1" applyNumberFormat="1" applyFont="1" applyFill="1" applyBorder="1" applyAlignment="1">
      <alignment horizontal="center"/>
    </xf>
    <xf numFmtId="0" fontId="1" fillId="0" borderId="0" xfId="0" applyFont="1" applyAlignment="1">
      <alignment horizontal="left" indent="3"/>
    </xf>
    <xf numFmtId="0" fontId="1" fillId="0" borderId="0" xfId="0" applyFont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66" fontId="1" fillId="0" borderId="0" xfId="1" applyNumberFormat="1" applyFont="1" applyBorder="1"/>
    <xf numFmtId="9" fontId="1" fillId="7" borderId="9" xfId="1" applyNumberFormat="1" applyFont="1" applyFill="1" applyBorder="1"/>
    <xf numFmtId="9" fontId="1" fillId="6" borderId="9" xfId="0" applyNumberFormat="1" applyFont="1" applyFill="1" applyBorder="1"/>
    <xf numFmtId="166" fontId="1" fillId="6" borderId="9" xfId="1" applyNumberFormat="1" applyFont="1" applyFill="1" applyBorder="1" applyAlignment="1">
      <alignment horizontal="right"/>
    </xf>
    <xf numFmtId="168" fontId="1" fillId="6" borderId="9" xfId="1" applyNumberFormat="1" applyFont="1" applyFill="1" applyBorder="1" applyAlignment="1">
      <alignment horizontal="center"/>
    </xf>
    <xf numFmtId="164" fontId="1" fillId="7" borderId="9" xfId="1" applyFont="1" applyFill="1" applyBorder="1" applyAlignment="1">
      <alignment horizontal="center"/>
    </xf>
    <xf numFmtId="169" fontId="1" fillId="0" borderId="9" xfId="3" applyNumberFormat="1" applyFont="1" applyBorder="1" applyAlignment="1">
      <alignment horizontal="center"/>
    </xf>
    <xf numFmtId="9" fontId="1" fillId="6" borderId="9" xfId="3" applyFont="1" applyFill="1" applyBorder="1" applyAlignment="1">
      <alignment horizontal="center"/>
    </xf>
    <xf numFmtId="0" fontId="1" fillId="0" borderId="11" xfId="0" applyFont="1" applyBorder="1"/>
    <xf numFmtId="0" fontId="1" fillId="2" borderId="13" xfId="0" applyFont="1" applyFill="1" applyBorder="1"/>
    <xf numFmtId="164" fontId="1" fillId="0" borderId="13" xfId="1" applyFont="1" applyBorder="1"/>
    <xf numFmtId="166" fontId="1" fillId="2" borderId="13" xfId="1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1" fillId="0" borderId="15" xfId="0" applyFont="1" applyBorder="1"/>
    <xf numFmtId="9" fontId="1" fillId="6" borderId="9" xfId="1" applyNumberFormat="1" applyFont="1" applyFill="1" applyBorder="1" applyAlignment="1">
      <alignment horizontal="center"/>
    </xf>
    <xf numFmtId="0" fontId="1" fillId="7" borderId="14" xfId="0" applyFont="1" applyFill="1" applyBorder="1"/>
    <xf numFmtId="166" fontId="1" fillId="2" borderId="20" xfId="1" applyNumberFormat="1" applyFont="1" applyFill="1" applyBorder="1" applyAlignment="1">
      <alignment horizontal="center"/>
    </xf>
    <xf numFmtId="164" fontId="1" fillId="0" borderId="14" xfId="1" applyFont="1" applyBorder="1" applyAlignment="1">
      <alignment horizontal="center"/>
    </xf>
    <xf numFmtId="164" fontId="1" fillId="0" borderId="14" xfId="1" applyFont="1" applyBorder="1"/>
    <xf numFmtId="164" fontId="1" fillId="0" borderId="15" xfId="1" applyFont="1" applyBorder="1"/>
    <xf numFmtId="17" fontId="6" fillId="3" borderId="39" xfId="0" applyNumberFormat="1" applyFont="1" applyFill="1" applyBorder="1" applyAlignment="1">
      <alignment vertical="center" readingOrder="1"/>
    </xf>
    <xf numFmtId="17" fontId="6" fillId="3" borderId="40" xfId="0" applyNumberFormat="1" applyFont="1" applyFill="1" applyBorder="1" applyAlignment="1">
      <alignment vertical="center" readingOrder="1"/>
    </xf>
    <xf numFmtId="17" fontId="6" fillId="3" borderId="41" xfId="0" applyNumberFormat="1" applyFont="1" applyFill="1" applyBorder="1" applyAlignment="1">
      <alignment horizontal="center" vertical="center" readingOrder="1"/>
    </xf>
    <xf numFmtId="0" fontId="1" fillId="0" borderId="42" xfId="0" applyFont="1" applyBorder="1"/>
    <xf numFmtId="0" fontId="1" fillId="0" borderId="44" xfId="0" applyFont="1" applyBorder="1"/>
    <xf numFmtId="166" fontId="1" fillId="2" borderId="44" xfId="1" applyNumberFormat="1" applyFont="1" applyFill="1" applyBorder="1"/>
    <xf numFmtId="166" fontId="1" fillId="2" borderId="45" xfId="1" applyNumberFormat="1" applyFont="1" applyFill="1" applyBorder="1"/>
    <xf numFmtId="9" fontId="1" fillId="2" borderId="9" xfId="3" applyFont="1" applyFill="1" applyBorder="1" applyAlignment="1">
      <alignment horizontal="center"/>
    </xf>
    <xf numFmtId="9" fontId="1" fillId="2" borderId="44" xfId="3" applyFont="1" applyFill="1" applyBorder="1"/>
    <xf numFmtId="9" fontId="1" fillId="2" borderId="45" xfId="3" applyFont="1" applyFill="1" applyBorder="1"/>
    <xf numFmtId="166" fontId="1" fillId="0" borderId="44" xfId="1" applyNumberFormat="1" applyFont="1" applyBorder="1"/>
    <xf numFmtId="166" fontId="1" fillId="0" borderId="45" xfId="1" applyNumberFormat="1" applyFont="1" applyBorder="1"/>
    <xf numFmtId="166" fontId="1" fillId="2" borderId="44" xfId="1" applyNumberFormat="1" applyFont="1" applyFill="1" applyBorder="1" applyAlignment="1">
      <alignment horizontal="center"/>
    </xf>
    <xf numFmtId="166" fontId="1" fillId="2" borderId="45" xfId="1" applyNumberFormat="1" applyFont="1" applyFill="1" applyBorder="1" applyAlignment="1">
      <alignment horizontal="center"/>
    </xf>
    <xf numFmtId="166" fontId="1" fillId="0" borderId="44" xfId="1" applyNumberFormat="1" applyFont="1" applyBorder="1" applyAlignment="1">
      <alignment horizontal="center"/>
    </xf>
    <xf numFmtId="165" fontId="1" fillId="2" borderId="44" xfId="0" applyNumberFormat="1" applyFont="1" applyFill="1" applyBorder="1"/>
    <xf numFmtId="166" fontId="1" fillId="2" borderId="45" xfId="0" applyNumberFormat="1" applyFont="1" applyFill="1" applyBorder="1"/>
    <xf numFmtId="9" fontId="1" fillId="2" borderId="44" xfId="0" applyNumberFormat="1" applyFont="1" applyFill="1" applyBorder="1" applyAlignment="1">
      <alignment horizontal="center"/>
    </xf>
    <xf numFmtId="9" fontId="1" fillId="2" borderId="45" xfId="0" applyNumberFormat="1" applyFont="1" applyFill="1" applyBorder="1"/>
    <xf numFmtId="10" fontId="1" fillId="2" borderId="44" xfId="0" applyNumberFormat="1" applyFont="1" applyFill="1" applyBorder="1" applyAlignment="1">
      <alignment horizontal="center"/>
    </xf>
    <xf numFmtId="168" fontId="1" fillId="2" borderId="44" xfId="1" applyNumberFormat="1" applyFont="1" applyFill="1" applyBorder="1" applyAlignment="1">
      <alignment horizontal="center"/>
    </xf>
    <xf numFmtId="168" fontId="1" fillId="2" borderId="45" xfId="1" applyNumberFormat="1" applyFont="1" applyFill="1" applyBorder="1" applyAlignment="1">
      <alignment horizontal="center"/>
    </xf>
    <xf numFmtId="0" fontId="1" fillId="2" borderId="44" xfId="0" applyFont="1" applyFill="1" applyBorder="1"/>
    <xf numFmtId="0" fontId="1" fillId="2" borderId="45" xfId="0" applyFont="1" applyFill="1" applyBorder="1"/>
    <xf numFmtId="164" fontId="1" fillId="0" borderId="44" xfId="1" applyFont="1" applyBorder="1"/>
    <xf numFmtId="164" fontId="1" fillId="0" borderId="45" xfId="1" applyFont="1" applyBorder="1"/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166" fontId="1" fillId="0" borderId="45" xfId="0" applyNumberFormat="1" applyFont="1" applyBorder="1" applyAlignment="1">
      <alignment horizontal="center"/>
    </xf>
    <xf numFmtId="166" fontId="1" fillId="2" borderId="44" xfId="0" applyNumberFormat="1" applyFont="1" applyFill="1" applyBorder="1"/>
    <xf numFmtId="9" fontId="1" fillId="2" borderId="44" xfId="0" applyNumberFormat="1" applyFont="1" applyFill="1" applyBorder="1"/>
    <xf numFmtId="166" fontId="1" fillId="0" borderId="44" xfId="0" applyNumberFormat="1" applyFont="1" applyBorder="1"/>
    <xf numFmtId="166" fontId="1" fillId="0" borderId="46" xfId="0" applyNumberFormat="1" applyFont="1" applyBorder="1"/>
    <xf numFmtId="0" fontId="1" fillId="0" borderId="48" xfId="0" applyFont="1" applyBorder="1"/>
    <xf numFmtId="17" fontId="6" fillId="3" borderId="50" xfId="0" applyNumberFormat="1" applyFont="1" applyFill="1" applyBorder="1" applyAlignment="1">
      <alignment horizontal="center" vertical="center" readingOrder="1"/>
    </xf>
    <xf numFmtId="17" fontId="6" fillId="3" borderId="51" xfId="0" applyNumberFormat="1" applyFont="1" applyFill="1" applyBorder="1" applyAlignment="1">
      <alignment horizontal="center" vertical="center" readingOrder="1"/>
    </xf>
    <xf numFmtId="165" fontId="1" fillId="2" borderId="45" xfId="0" applyNumberFormat="1" applyFont="1" applyFill="1" applyBorder="1"/>
    <xf numFmtId="9" fontId="1" fillId="2" borderId="44" xfId="1" applyNumberFormat="1" applyFont="1" applyFill="1" applyBorder="1"/>
    <xf numFmtId="9" fontId="1" fillId="2" borderId="45" xfId="1" applyNumberFormat="1" applyFont="1" applyFill="1" applyBorder="1"/>
    <xf numFmtId="168" fontId="1" fillId="0" borderId="16" xfId="1" applyNumberFormat="1" applyFont="1" applyBorder="1"/>
    <xf numFmtId="168" fontId="1" fillId="0" borderId="44" xfId="1" applyNumberFormat="1" applyFont="1" applyBorder="1"/>
    <xf numFmtId="166" fontId="1" fillId="0" borderId="45" xfId="1" applyNumberFormat="1" applyFont="1" applyBorder="1" applyAlignment="1">
      <alignment horizontal="center"/>
    </xf>
    <xf numFmtId="164" fontId="1" fillId="2" borderId="9" xfId="1" applyFont="1" applyFill="1" applyBorder="1"/>
    <xf numFmtId="170" fontId="1" fillId="2" borderId="44" xfId="1" applyNumberFormat="1" applyFont="1" applyFill="1" applyBorder="1"/>
    <xf numFmtId="170" fontId="1" fillId="2" borderId="45" xfId="1" applyNumberFormat="1" applyFont="1" applyFill="1" applyBorder="1"/>
    <xf numFmtId="9" fontId="1" fillId="0" borderId="44" xfId="0" applyNumberFormat="1" applyFont="1" applyBorder="1"/>
    <xf numFmtId="168" fontId="1" fillId="2" borderId="44" xfId="1" applyNumberFormat="1" applyFont="1" applyFill="1" applyBorder="1"/>
    <xf numFmtId="166" fontId="1" fillId="0" borderId="52" xfId="1" applyNumberFormat="1" applyFont="1" applyBorder="1"/>
    <xf numFmtId="166" fontId="1" fillId="0" borderId="53" xfId="1" applyNumberFormat="1" applyFont="1" applyBorder="1"/>
    <xf numFmtId="164" fontId="1" fillId="0" borderId="53" xfId="1" applyFont="1" applyBorder="1"/>
    <xf numFmtId="166" fontId="17" fillId="0" borderId="0" xfId="1" applyNumberFormat="1" applyFont="1"/>
    <xf numFmtId="166" fontId="17" fillId="6" borderId="0" xfId="1" applyNumberFormat="1" applyFont="1" applyFill="1"/>
    <xf numFmtId="166" fontId="18" fillId="2" borderId="0" xfId="0" applyNumberFormat="1" applyFont="1" applyFill="1" applyAlignment="1">
      <alignment horizontal="right"/>
    </xf>
    <xf numFmtId="166" fontId="17" fillId="6" borderId="0" xfId="1" applyNumberFormat="1" applyFont="1" applyFill="1" applyAlignment="1">
      <alignment horizontal="right"/>
    </xf>
    <xf numFmtId="166" fontId="17" fillId="0" borderId="0" xfId="1" applyNumberFormat="1" applyFont="1" applyFill="1"/>
    <xf numFmtId="17" fontId="19" fillId="0" borderId="0" xfId="0" applyNumberFormat="1" applyFont="1" applyAlignment="1">
      <alignment horizontal="center" vertical="center" wrapText="1" readingOrder="1"/>
    </xf>
    <xf numFmtId="9" fontId="18" fillId="0" borderId="0" xfId="0" applyNumberFormat="1" applyFont="1" applyAlignment="1">
      <alignment horizontal="right" indent="2"/>
    </xf>
    <xf numFmtId="17" fontId="20" fillId="0" borderId="0" xfId="0" applyNumberFormat="1" applyFont="1" applyAlignment="1">
      <alignment horizontal="center" vertical="center" wrapText="1" readingOrder="1"/>
    </xf>
    <xf numFmtId="166" fontId="20" fillId="0" borderId="0" xfId="1" applyNumberFormat="1" applyFont="1" applyFill="1" applyBorder="1" applyAlignment="1">
      <alignment horizontal="center" vertical="center" wrapText="1" readingOrder="1"/>
    </xf>
    <xf numFmtId="166" fontId="18" fillId="0" borderId="0" xfId="1" applyNumberFormat="1" applyFont="1" applyFill="1" applyAlignment="1">
      <alignment horizontal="right"/>
    </xf>
    <xf numFmtId="166" fontId="17" fillId="0" borderId="0" xfId="1" applyNumberFormat="1" applyFont="1" applyFill="1" applyAlignment="1">
      <alignment horizontal="right"/>
    </xf>
    <xf numFmtId="43" fontId="17" fillId="0" borderId="0" xfId="0" applyNumberFormat="1" applyFont="1"/>
    <xf numFmtId="0" fontId="18" fillId="0" borderId="0" xfId="0" applyFont="1" applyAlignment="1">
      <alignment horizontal="left" indent="2"/>
    </xf>
    <xf numFmtId="166" fontId="18" fillId="6" borderId="0" xfId="1" applyNumberFormat="1" applyFont="1" applyFill="1" applyAlignment="1">
      <alignment horizontal="right"/>
    </xf>
    <xf numFmtId="166" fontId="18" fillId="6" borderId="0" xfId="1" applyNumberFormat="1" applyFont="1" applyFill="1"/>
    <xf numFmtId="9" fontId="18" fillId="6" borderId="0" xfId="0" applyNumberFormat="1" applyFont="1" applyFill="1"/>
    <xf numFmtId="166" fontId="18" fillId="0" borderId="0" xfId="0" applyNumberFormat="1" applyFont="1" applyAlignment="1">
      <alignment horizontal="right" indent="2"/>
    </xf>
    <xf numFmtId="9" fontId="22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left" indent="3"/>
    </xf>
    <xf numFmtId="166" fontId="22" fillId="0" borderId="0" xfId="0" applyNumberFormat="1" applyFont="1" applyAlignment="1">
      <alignment horizontal="right" indent="2"/>
    </xf>
    <xf numFmtId="166" fontId="23" fillId="0" borderId="0" xfId="0" applyNumberFormat="1" applyFont="1" applyAlignment="1">
      <alignment horizontal="right" indent="2"/>
    </xf>
    <xf numFmtId="166" fontId="22" fillId="0" borderId="0" xfId="0" applyNumberFormat="1" applyFont="1"/>
    <xf numFmtId="166" fontId="22" fillId="0" borderId="0" xfId="0" applyNumberFormat="1" applyFont="1" applyAlignment="1">
      <alignment horizontal="right"/>
    </xf>
    <xf numFmtId="166" fontId="22" fillId="0" borderId="0" xfId="1" applyNumberFormat="1" applyFont="1" applyFill="1" applyAlignment="1">
      <alignment horizontal="right"/>
    </xf>
    <xf numFmtId="166" fontId="22" fillId="0" borderId="0" xfId="1" applyNumberFormat="1" applyFont="1" applyFill="1"/>
    <xf numFmtId="166" fontId="23" fillId="0" borderId="0" xfId="0" applyNumberFormat="1" applyFont="1" applyAlignment="1">
      <alignment horizontal="right"/>
    </xf>
    <xf numFmtId="9" fontId="18" fillId="0" borderId="0" xfId="0" applyNumberFormat="1" applyFont="1" applyAlignment="1">
      <alignment horizontal="right"/>
    </xf>
    <xf numFmtId="169" fontId="17" fillId="0" borderId="0" xfId="0" applyNumberFormat="1" applyFont="1"/>
    <xf numFmtId="169" fontId="17" fillId="0" borderId="0" xfId="1" applyNumberFormat="1" applyFont="1" applyFill="1"/>
    <xf numFmtId="169" fontId="19" fillId="0" borderId="0" xfId="0" applyNumberFormat="1" applyFont="1" applyAlignment="1">
      <alignment horizontal="center" vertical="center" wrapText="1" readingOrder="1"/>
    </xf>
    <xf numFmtId="169" fontId="18" fillId="0" borderId="0" xfId="0" applyNumberFormat="1" applyFont="1" applyAlignment="1">
      <alignment horizontal="right"/>
    </xf>
    <xf numFmtId="169" fontId="17" fillId="0" borderId="0" xfId="0" applyNumberFormat="1" applyFont="1" applyAlignment="1">
      <alignment horizontal="right"/>
    </xf>
    <xf numFmtId="169" fontId="18" fillId="0" borderId="0" xfId="0" applyNumberFormat="1" applyFont="1" applyAlignment="1">
      <alignment horizontal="right" indent="2"/>
    </xf>
    <xf numFmtId="166" fontId="18" fillId="0" borderId="0" xfId="1" applyNumberFormat="1" applyFont="1" applyFill="1"/>
    <xf numFmtId="166" fontId="20" fillId="0" borderId="0" xfId="1" applyNumberFormat="1" applyFont="1" applyFill="1" applyAlignment="1">
      <alignment horizontal="center" vertical="center" wrapText="1" readingOrder="1"/>
    </xf>
    <xf numFmtId="9" fontId="17" fillId="0" borderId="0" xfId="1" applyNumberFormat="1" applyFont="1" applyFill="1"/>
    <xf numFmtId="9" fontId="17" fillId="6" borderId="0" xfId="1" applyNumberFormat="1" applyFont="1" applyFill="1"/>
    <xf numFmtId="9" fontId="17" fillId="0" borderId="0" xfId="1" applyNumberFormat="1" applyFont="1" applyFill="1" applyAlignment="1">
      <alignment horizontal="right"/>
    </xf>
    <xf numFmtId="41" fontId="0" fillId="0" borderId="0" xfId="2" applyNumberFormat="1" applyFont="1"/>
    <xf numFmtId="41" fontId="0" fillId="0" borderId="0" xfId="0" applyNumberFormat="1"/>
    <xf numFmtId="165" fontId="0" fillId="0" borderId="0" xfId="0" applyNumberFormat="1"/>
    <xf numFmtId="165" fontId="24" fillId="0" borderId="0" xfId="0" applyNumberFormat="1" applyFont="1"/>
    <xf numFmtId="165" fontId="25" fillId="0" borderId="0" xfId="0" applyNumberFormat="1" applyFont="1"/>
    <xf numFmtId="9" fontId="0" fillId="0" borderId="0" xfId="3" applyFont="1"/>
    <xf numFmtId="165" fontId="26" fillId="0" borderId="0" xfId="0" applyNumberFormat="1" applyFont="1"/>
    <xf numFmtId="41" fontId="26" fillId="0" borderId="0" xfId="2" applyNumberFormat="1" applyFont="1"/>
    <xf numFmtId="41" fontId="26" fillId="0" borderId="0" xfId="0" applyNumberFormat="1" applyFont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Medium9"/>
  <colors>
    <mruColors>
      <color rgb="FFFF3399"/>
      <color rgb="FFB931A9"/>
      <color rgb="FFFFE7F3"/>
      <color rgb="FF2D73FF"/>
      <color rgb="FFFFDDEE"/>
      <color rgb="FFFFD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5E1B-7C74-407E-98FD-6B2178B6EBBE}">
  <sheetPr>
    <tabColor rgb="FFFF0000"/>
  </sheetPr>
  <dimension ref="A1:CA62"/>
  <sheetViews>
    <sheetView showGridLines="0" zoomScale="85" zoomScaleNormal="55" workbookViewId="0">
      <pane xSplit="1" ySplit="10" topLeftCell="T15" activePane="bottomRight" state="frozen"/>
      <selection pane="topRight"/>
      <selection pane="bottomLeft"/>
      <selection pane="bottomRight" activeCell="A33" sqref="A33"/>
    </sheetView>
  </sheetViews>
  <sheetFormatPr baseColWidth="10" defaultColWidth="8.5" defaultRowHeight="15" x14ac:dyDescent="0.2"/>
  <cols>
    <col min="1" max="1" width="38.5" style="204" bestFit="1" customWidth="1"/>
    <col min="2" max="28" width="15.5" style="204" customWidth="1"/>
    <col min="29" max="29" width="15.5" style="534" customWidth="1"/>
    <col min="30" max="30" width="15.5" style="204" customWidth="1"/>
    <col min="31" max="31" width="18.5" style="204" bestFit="1" customWidth="1"/>
    <col min="32" max="33" width="18.5" style="204" customWidth="1"/>
    <col min="34" max="34" width="16.1640625" style="204" bestFit="1" customWidth="1"/>
    <col min="35" max="38" width="16.1640625" style="204" customWidth="1"/>
    <col min="39" max="50" width="14.83203125" style="204" customWidth="1"/>
    <col min="51" max="51" width="17.6640625" style="204" bestFit="1" customWidth="1"/>
    <col min="52" max="52" width="14.83203125" style="204" bestFit="1" customWidth="1"/>
    <col min="53" max="65" width="14.5" style="204" customWidth="1"/>
    <col min="66" max="66" width="8.5" style="204"/>
    <col min="67" max="78" width="12.5" style="204" customWidth="1"/>
    <col min="79" max="79" width="14.5" style="204" bestFit="1" customWidth="1"/>
    <col min="80" max="16384" width="8.5" style="204"/>
  </cols>
  <sheetData>
    <row r="1" spans="1:79" x14ac:dyDescent="0.2">
      <c r="U1" s="506"/>
      <c r="V1" s="506"/>
      <c r="W1" s="506"/>
      <c r="X1" s="506">
        <v>875394.3602324489</v>
      </c>
      <c r="Y1" s="506">
        <v>922073.47432388423</v>
      </c>
      <c r="Z1" s="506">
        <v>1002542.3578846802</v>
      </c>
      <c r="AA1" s="506">
        <v>866824.65343453689</v>
      </c>
    </row>
    <row r="2" spans="1:79" x14ac:dyDescent="0.2">
      <c r="U2" s="506"/>
      <c r="V2" s="506"/>
      <c r="W2" s="506"/>
      <c r="X2" s="506">
        <v>474605.63976755104</v>
      </c>
      <c r="Y2" s="506">
        <v>477926.52567611571</v>
      </c>
      <c r="Z2" s="506">
        <v>500457.64211531979</v>
      </c>
      <c r="AA2" s="506">
        <v>633175.346565463</v>
      </c>
    </row>
    <row r="3" spans="1:79" x14ac:dyDescent="0.2">
      <c r="S3" s="506"/>
      <c r="X3" s="517">
        <v>0</v>
      </c>
      <c r="Y3" s="517">
        <v>0</v>
      </c>
      <c r="Z3" s="517">
        <v>0</v>
      </c>
    </row>
    <row r="4" spans="1:79" x14ac:dyDescent="0.2">
      <c r="X4" s="506">
        <v>0</v>
      </c>
      <c r="Y4" s="506">
        <v>0</v>
      </c>
      <c r="Z4" s="506">
        <v>0</v>
      </c>
    </row>
    <row r="5" spans="1:79" x14ac:dyDescent="0.2">
      <c r="X5" s="222">
        <v>1350000</v>
      </c>
      <c r="Y5" s="222">
        <v>1400000</v>
      </c>
      <c r="Z5" s="222">
        <v>1503000</v>
      </c>
    </row>
    <row r="6" spans="1:79" x14ac:dyDescent="0.2">
      <c r="A6" s="214" t="s">
        <v>0</v>
      </c>
      <c r="B6" s="215">
        <v>2</v>
      </c>
      <c r="C6" s="215">
        <v>3</v>
      </c>
      <c r="D6" s="215">
        <v>4</v>
      </c>
      <c r="E6" s="215">
        <v>5</v>
      </c>
      <c r="F6" s="215">
        <v>6</v>
      </c>
      <c r="G6" s="215">
        <v>7</v>
      </c>
      <c r="H6" s="215">
        <v>8</v>
      </c>
      <c r="I6" s="215">
        <v>9</v>
      </c>
      <c r="J6" s="215">
        <v>10</v>
      </c>
      <c r="K6" s="215">
        <v>11</v>
      </c>
      <c r="L6" s="215">
        <v>12</v>
      </c>
      <c r="M6" s="215">
        <v>13</v>
      </c>
      <c r="N6" s="214"/>
      <c r="O6" s="191"/>
      <c r="P6" s="216"/>
      <c r="Q6" s="216"/>
      <c r="R6" s="216"/>
      <c r="S6" s="216"/>
      <c r="T6" s="216"/>
      <c r="U6" s="216"/>
      <c r="V6" s="216"/>
      <c r="W6" s="216"/>
      <c r="X6" s="506">
        <v>1350000</v>
      </c>
      <c r="Y6" s="506">
        <v>1400000</v>
      </c>
      <c r="Z6" s="506">
        <v>1503000</v>
      </c>
      <c r="AA6" s="222"/>
      <c r="AB6" s="222"/>
      <c r="AD6" s="222"/>
      <c r="AE6" s="222"/>
      <c r="AF6" s="222"/>
      <c r="AG6" s="222"/>
    </row>
    <row r="7" spans="1:79" x14ac:dyDescent="0.2">
      <c r="A7" s="204" t="s">
        <v>1</v>
      </c>
      <c r="B7" s="222">
        <v>323385.08999999997</v>
      </c>
      <c r="C7" s="222">
        <v>266374.90000000002</v>
      </c>
      <c r="D7" s="222">
        <v>360136.61</v>
      </c>
      <c r="E7" s="222">
        <v>414390.81799999997</v>
      </c>
      <c r="F7" s="222">
        <v>406686.28200000001</v>
      </c>
      <c r="G7" s="222">
        <v>426354.68200000003</v>
      </c>
      <c r="H7" s="222">
        <v>563773.04999999993</v>
      </c>
      <c r="I7" s="222">
        <v>536583.98</v>
      </c>
      <c r="J7" s="222">
        <v>736960.96799999999</v>
      </c>
      <c r="K7" s="222">
        <v>814274.59600000002</v>
      </c>
      <c r="L7" s="222">
        <v>860000</v>
      </c>
      <c r="M7" s="222">
        <v>903000</v>
      </c>
      <c r="N7" s="506">
        <v>558.33333333333337</v>
      </c>
      <c r="O7" s="210">
        <v>0.03</v>
      </c>
      <c r="P7" s="210">
        <v>-0.1</v>
      </c>
      <c r="Q7" s="210">
        <v>0.03</v>
      </c>
      <c r="R7" s="210">
        <v>0.03</v>
      </c>
      <c r="S7" s="210">
        <v>0.04</v>
      </c>
      <c r="T7" s="210">
        <v>0.04</v>
      </c>
      <c r="U7" s="210">
        <v>0.04</v>
      </c>
      <c r="V7" s="210">
        <v>0.04</v>
      </c>
      <c r="W7" s="210">
        <v>0.05</v>
      </c>
      <c r="X7" s="210">
        <v>0.05</v>
      </c>
      <c r="Y7" s="210">
        <v>0.05</v>
      </c>
      <c r="Z7" s="210">
        <v>0.05</v>
      </c>
      <c r="AA7" s="506">
        <v>3345841.4348900039</v>
      </c>
      <c r="AB7" s="510"/>
      <c r="AC7" s="535"/>
      <c r="AD7" s="542">
        <v>0.81818181818181823</v>
      </c>
      <c r="AE7" s="506"/>
      <c r="AF7" s="506"/>
      <c r="AG7" s="506"/>
      <c r="AM7" s="210">
        <v>0.05</v>
      </c>
      <c r="AN7" s="210">
        <v>-0.1</v>
      </c>
      <c r="AO7" s="210">
        <v>0.05</v>
      </c>
      <c r="AP7" s="210">
        <v>0.05</v>
      </c>
      <c r="AQ7" s="210">
        <v>0.05</v>
      </c>
      <c r="AR7" s="210">
        <v>0.05</v>
      </c>
      <c r="AS7" s="210">
        <v>0.05</v>
      </c>
      <c r="AT7" s="210">
        <v>0.05</v>
      </c>
      <c r="AU7" s="210">
        <v>0.05</v>
      </c>
      <c r="AV7" s="210">
        <v>0.05</v>
      </c>
      <c r="AW7" s="210">
        <v>0.05</v>
      </c>
      <c r="AX7" s="210">
        <v>0.05</v>
      </c>
      <c r="BA7" s="210">
        <v>0.05</v>
      </c>
      <c r="BB7" s="210">
        <v>-0.1</v>
      </c>
      <c r="BC7" s="210">
        <v>0.05</v>
      </c>
      <c r="BD7" s="210">
        <v>0.05</v>
      </c>
      <c r="BE7" s="210">
        <v>0.05</v>
      </c>
      <c r="BF7" s="210">
        <v>0.05</v>
      </c>
      <c r="BG7" s="210">
        <v>0.05</v>
      </c>
      <c r="BH7" s="210">
        <v>0.05</v>
      </c>
      <c r="BI7" s="210">
        <v>0.05</v>
      </c>
      <c r="BJ7" s="210">
        <v>0.05</v>
      </c>
      <c r="BK7" s="210">
        <v>0.05</v>
      </c>
      <c r="BL7" s="210">
        <v>0.05</v>
      </c>
      <c r="BO7" s="210">
        <v>0.05</v>
      </c>
      <c r="BP7" s="210">
        <v>-0.1</v>
      </c>
      <c r="BQ7" s="210">
        <v>0.05</v>
      </c>
      <c r="BR7" s="210">
        <v>0.05</v>
      </c>
      <c r="BS7" s="210">
        <v>0.05</v>
      </c>
      <c r="BT7" s="210">
        <v>0.05</v>
      </c>
      <c r="BU7" s="210">
        <v>0.05</v>
      </c>
      <c r="BV7" s="210">
        <v>0.05</v>
      </c>
      <c r="BW7" s="210">
        <v>0.05</v>
      </c>
      <c r="BX7" s="210">
        <v>0.05</v>
      </c>
      <c r="BY7" s="210">
        <v>0.05</v>
      </c>
      <c r="BZ7" s="210">
        <v>0.05</v>
      </c>
    </row>
    <row r="8" spans="1:79" x14ac:dyDescent="0.2">
      <c r="K8" s="506" t="b">
        <v>1</v>
      </c>
      <c r="M8" s="506" t="b">
        <v>1</v>
      </c>
      <c r="N8" s="506" t="b">
        <v>1</v>
      </c>
      <c r="O8" s="191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506">
        <v>264</v>
      </c>
      <c r="AB8" s="510"/>
      <c r="AC8" s="535"/>
      <c r="AD8" s="510"/>
      <c r="AE8" s="510"/>
      <c r="AF8" s="510"/>
      <c r="AG8" s="510"/>
    </row>
    <row r="9" spans="1:79" s="217" customFormat="1" x14ac:dyDescent="0.2">
      <c r="A9" s="192"/>
      <c r="B9" s="193">
        <v>631570.36475299986</v>
      </c>
      <c r="C9" s="193">
        <v>532086.84362000006</v>
      </c>
      <c r="D9" s="193">
        <v>716597.66596799984</v>
      </c>
      <c r="E9" s="193">
        <v>830767.10737599991</v>
      </c>
      <c r="F9" s="193">
        <v>877642.74260200001</v>
      </c>
      <c r="G9" s="193">
        <v>966595.44040099997</v>
      </c>
      <c r="H9" s="193">
        <v>1316244.086718</v>
      </c>
      <c r="I9" s="193">
        <v>1305289.3721419999</v>
      </c>
      <c r="J9" s="193">
        <v>1760068.3340189995</v>
      </c>
      <c r="K9" s="193">
        <v>1971790.2609999999</v>
      </c>
      <c r="L9" s="193">
        <v>2097305.9804927232</v>
      </c>
      <c r="M9" s="193">
        <v>2203270.8935255776</v>
      </c>
      <c r="N9" s="193">
        <v>15209229.092617298</v>
      </c>
      <c r="O9" s="193">
        <v>2234708.7051833826</v>
      </c>
      <c r="P9" s="193">
        <v>2023260.4933250095</v>
      </c>
      <c r="Q9" s="193">
        <v>2407403.3094829763</v>
      </c>
      <c r="R9" s="193">
        <v>2546233.4655722696</v>
      </c>
      <c r="S9" s="193">
        <v>2766108.3695017765</v>
      </c>
      <c r="T9" s="193">
        <v>3083685.8969060848</v>
      </c>
      <c r="U9" s="193">
        <v>3364946.0154732075</v>
      </c>
      <c r="V9" s="193">
        <v>3649658.9693150748</v>
      </c>
      <c r="W9" s="193">
        <v>3975987.4102914473</v>
      </c>
      <c r="X9" s="193">
        <v>4288782.4759926023</v>
      </c>
      <c r="Y9" s="193">
        <v>4691511.8093862403</v>
      </c>
      <c r="Z9" s="193">
        <v>5117810.2982499702</v>
      </c>
      <c r="AA9" s="193">
        <v>40150097.218680046</v>
      </c>
      <c r="AB9" s="220"/>
      <c r="AC9" s="521">
        <v>0.99999999999999989</v>
      </c>
      <c r="AD9" s="220" t="s">
        <v>31</v>
      </c>
      <c r="AE9" s="507">
        <v>-2075048.6093400232</v>
      </c>
      <c r="AF9" s="220"/>
      <c r="AG9" s="220"/>
      <c r="AH9" s="507"/>
      <c r="AI9" s="507"/>
      <c r="AJ9" s="507"/>
      <c r="AK9" s="507"/>
      <c r="AL9" s="507"/>
      <c r="AM9" s="193">
        <v>4783945.8203049777</v>
      </c>
      <c r="AN9" s="193">
        <v>4459551.2382744793</v>
      </c>
      <c r="AO9" s="193">
        <v>4946143.1113202265</v>
      </c>
      <c r="AP9" s="193">
        <v>5116450.266886238</v>
      </c>
      <c r="AQ9" s="193">
        <v>5295272.7802305501</v>
      </c>
      <c r="AR9" s="193">
        <v>5483036.4192420766</v>
      </c>
      <c r="AS9" s="193">
        <v>5680188.2402041806</v>
      </c>
      <c r="AT9" s="193">
        <v>5887197.6522143912</v>
      </c>
      <c r="AU9" s="193">
        <v>6104557.5348251108</v>
      </c>
      <c r="AV9" s="193">
        <v>6332785.4115663664</v>
      </c>
      <c r="AW9" s="193">
        <v>6572424.6821446847</v>
      </c>
      <c r="AX9" s="193">
        <v>6824045.9162519202</v>
      </c>
      <c r="AY9" s="193">
        <v>67485599.073465198</v>
      </c>
      <c r="AZ9" s="227"/>
      <c r="BA9" s="193">
        <v>6942273.3472339911</v>
      </c>
      <c r="BB9" s="193">
        <v>6693995.7421716386</v>
      </c>
      <c r="BC9" s="193">
        <v>7066412.1497651674</v>
      </c>
      <c r="BD9" s="193">
        <v>7196757.8924229024</v>
      </c>
      <c r="BE9" s="193">
        <v>7333620.9222135255</v>
      </c>
      <c r="BF9" s="193">
        <v>7477327.1034936775</v>
      </c>
      <c r="BG9" s="193">
        <v>7628218.5938378377</v>
      </c>
      <c r="BH9" s="193">
        <v>7786654.6586992079</v>
      </c>
      <c r="BI9" s="193">
        <v>7953012.5268036434</v>
      </c>
      <c r="BJ9" s="193">
        <v>8127688.2883133013</v>
      </c>
      <c r="BK9" s="193">
        <v>8311097.8378984435</v>
      </c>
      <c r="BL9" s="193">
        <v>8503677.8649628423</v>
      </c>
      <c r="BM9" s="193">
        <v>91020736.927816182</v>
      </c>
      <c r="BO9" s="193">
        <v>8705886.8933804613</v>
      </c>
      <c r="BP9" s="193">
        <v>8281247.9337034626</v>
      </c>
      <c r="BQ9" s="193">
        <v>8918206.3732189629</v>
      </c>
      <c r="BR9" s="193">
        <v>9141141.8270493858</v>
      </c>
      <c r="BS9" s="193">
        <v>9375224.0535713322</v>
      </c>
      <c r="BT9" s="193">
        <v>9621010.3914193753</v>
      </c>
      <c r="BU9" s="193">
        <v>9879086.0461598206</v>
      </c>
      <c r="BV9" s="193">
        <v>10150065.483637288</v>
      </c>
      <c r="BW9" s="193">
        <v>10434593.89298863</v>
      </c>
      <c r="BX9" s="193">
        <v>10733348.722807538</v>
      </c>
      <c r="BY9" s="193">
        <v>11047041.294117393</v>
      </c>
      <c r="BZ9" s="193">
        <v>11376418.493992737</v>
      </c>
      <c r="CA9" s="193">
        <v>117663271.40604639</v>
      </c>
    </row>
    <row r="10" spans="1:79" ht="16" x14ac:dyDescent="0.2">
      <c r="A10" s="194" t="s">
        <v>2</v>
      </c>
      <c r="B10" s="195">
        <v>45658</v>
      </c>
      <c r="C10" s="195">
        <v>45689</v>
      </c>
      <c r="D10" s="195">
        <v>45717</v>
      </c>
      <c r="E10" s="195">
        <v>45748</v>
      </c>
      <c r="F10" s="195">
        <v>45778</v>
      </c>
      <c r="G10" s="195">
        <v>45809</v>
      </c>
      <c r="H10" s="195">
        <v>45839</v>
      </c>
      <c r="I10" s="195">
        <v>45870</v>
      </c>
      <c r="J10" s="195">
        <v>45901</v>
      </c>
      <c r="K10" s="195">
        <v>45931</v>
      </c>
      <c r="L10" s="196">
        <v>45962</v>
      </c>
      <c r="M10" s="196">
        <v>45992</v>
      </c>
      <c r="N10" s="197" t="s">
        <v>3</v>
      </c>
      <c r="O10" s="198">
        <v>46023</v>
      </c>
      <c r="P10" s="198">
        <v>46054</v>
      </c>
      <c r="Q10" s="198">
        <v>46082</v>
      </c>
      <c r="R10" s="198">
        <v>46113</v>
      </c>
      <c r="S10" s="198">
        <v>46143</v>
      </c>
      <c r="T10" s="198">
        <v>46174</v>
      </c>
      <c r="U10" s="198">
        <v>46204</v>
      </c>
      <c r="V10" s="198">
        <v>46235</v>
      </c>
      <c r="W10" s="198">
        <v>46266</v>
      </c>
      <c r="X10" s="198">
        <v>46296</v>
      </c>
      <c r="Y10" s="198">
        <v>46327</v>
      </c>
      <c r="Z10" s="198">
        <v>46357</v>
      </c>
      <c r="AA10" s="199" t="s">
        <v>4</v>
      </c>
      <c r="AB10" s="511"/>
      <c r="AC10" s="536"/>
      <c r="AD10" s="514">
        <v>36000000</v>
      </c>
      <c r="AE10" s="540">
        <v>-4150097.2186800465</v>
      </c>
      <c r="AF10" s="513"/>
      <c r="AG10" s="541"/>
      <c r="AH10" s="222">
        <v>40763979.968572788</v>
      </c>
      <c r="AI10" s="222"/>
      <c r="AJ10" s="222"/>
      <c r="AK10" s="222"/>
      <c r="AM10" s="198">
        <v>46388</v>
      </c>
      <c r="AN10" s="198">
        <v>46419</v>
      </c>
      <c r="AO10" s="198">
        <v>46447</v>
      </c>
      <c r="AP10" s="198">
        <v>46478</v>
      </c>
      <c r="AQ10" s="198">
        <v>46508</v>
      </c>
      <c r="AR10" s="198">
        <v>46539</v>
      </c>
      <c r="AS10" s="198">
        <v>46569</v>
      </c>
      <c r="AT10" s="198">
        <v>46600</v>
      </c>
      <c r="AU10" s="198">
        <v>46631</v>
      </c>
      <c r="AV10" s="198">
        <v>46661</v>
      </c>
      <c r="AW10" s="198">
        <v>46692</v>
      </c>
      <c r="AX10" s="198">
        <v>46722</v>
      </c>
      <c r="AY10" s="199" t="s">
        <v>5</v>
      </c>
      <c r="BA10" s="198">
        <v>46753</v>
      </c>
      <c r="BB10" s="198">
        <v>46784</v>
      </c>
      <c r="BC10" s="198">
        <v>46813</v>
      </c>
      <c r="BD10" s="198">
        <v>46844</v>
      </c>
      <c r="BE10" s="198">
        <v>46874</v>
      </c>
      <c r="BF10" s="198">
        <v>46905</v>
      </c>
      <c r="BG10" s="198">
        <v>46935</v>
      </c>
      <c r="BH10" s="198">
        <v>46966</v>
      </c>
      <c r="BI10" s="198">
        <v>46997</v>
      </c>
      <c r="BJ10" s="198">
        <v>47027</v>
      </c>
      <c r="BK10" s="198">
        <v>47058</v>
      </c>
      <c r="BL10" s="198">
        <v>47088</v>
      </c>
      <c r="BM10" s="199" t="s">
        <v>6</v>
      </c>
      <c r="BO10" s="198">
        <v>47119</v>
      </c>
      <c r="BP10" s="198">
        <v>47150</v>
      </c>
      <c r="BQ10" s="198">
        <v>47178</v>
      </c>
      <c r="BR10" s="198">
        <v>47209</v>
      </c>
      <c r="BS10" s="198">
        <v>47239</v>
      </c>
      <c r="BT10" s="198">
        <v>47270</v>
      </c>
      <c r="BU10" s="198">
        <v>47300</v>
      </c>
      <c r="BV10" s="198">
        <v>47331</v>
      </c>
      <c r="BW10" s="198">
        <v>47362</v>
      </c>
      <c r="BX10" s="198">
        <v>47392</v>
      </c>
      <c r="BY10" s="198">
        <v>47423</v>
      </c>
      <c r="BZ10" s="198">
        <v>47453</v>
      </c>
      <c r="CA10" s="199" t="s">
        <v>7</v>
      </c>
    </row>
    <row r="11" spans="1:79" s="217" customFormat="1" x14ac:dyDescent="0.2">
      <c r="A11" s="200" t="s">
        <v>10</v>
      </c>
      <c r="B11" s="205">
        <v>182010.09</v>
      </c>
      <c r="C11" s="205">
        <v>132889.9</v>
      </c>
      <c r="D11" s="205">
        <v>201291.11</v>
      </c>
      <c r="E11" s="205">
        <v>250592.99</v>
      </c>
      <c r="F11" s="205">
        <v>238828.11</v>
      </c>
      <c r="G11" s="205">
        <v>261750.05</v>
      </c>
      <c r="H11" s="205">
        <v>381775.47</v>
      </c>
      <c r="I11" s="205">
        <v>347329.4</v>
      </c>
      <c r="J11" s="205">
        <v>466231.94</v>
      </c>
      <c r="K11" s="205">
        <v>490981.46</v>
      </c>
      <c r="L11" s="205">
        <v>500000</v>
      </c>
      <c r="M11" s="205">
        <v>525000</v>
      </c>
      <c r="N11" s="206">
        <v>3978680.52</v>
      </c>
      <c r="O11" s="202">
        <v>538913.10559687146</v>
      </c>
      <c r="P11" s="202">
        <v>484838.10559687141</v>
      </c>
      <c r="Q11" s="202">
        <v>555135.60559687146</v>
      </c>
      <c r="R11" s="202">
        <v>571844.78059687151</v>
      </c>
      <c r="S11" s="202">
        <v>594792.0475968715</v>
      </c>
      <c r="T11" s="202">
        <v>618657.20527687157</v>
      </c>
      <c r="U11" s="202">
        <v>643476.96926407155</v>
      </c>
      <c r="V11" s="202">
        <v>669289.52381075954</v>
      </c>
      <c r="W11" s="202">
        <v>702845.84472145396</v>
      </c>
      <c r="X11" s="202">
        <v>728588.36265131354</v>
      </c>
      <c r="Y11" s="202">
        <v>783767.78078387922</v>
      </c>
      <c r="Z11" s="202">
        <v>866824.65343453689</v>
      </c>
      <c r="AA11" s="212">
        <v>7758973.9849272445</v>
      </c>
      <c r="AB11" s="221">
        <v>872594.79593938554</v>
      </c>
      <c r="AC11" s="537">
        <v>0.19324919545443442</v>
      </c>
      <c r="AD11" s="516">
        <v>8225920.2937045507</v>
      </c>
      <c r="AE11" s="509">
        <v>-466946.30877730623</v>
      </c>
      <c r="AF11" s="509">
        <v>-38912.192398108855</v>
      </c>
      <c r="AG11" s="509">
        <v>-172920.71744500194</v>
      </c>
      <c r="AH11" s="507">
        <v>9314479.1687680185</v>
      </c>
      <c r="AI11" s="507"/>
      <c r="AJ11" s="507"/>
      <c r="AK11" s="507"/>
      <c r="AL11" s="225">
        <v>0.22849778593623751</v>
      </c>
      <c r="AM11" s="202">
        <v>866824.65343453689</v>
      </c>
      <c r="AN11" s="202">
        <v>866824.65343453689</v>
      </c>
      <c r="AO11" s="202">
        <v>866824.65343453689</v>
      </c>
      <c r="AP11" s="202">
        <v>866824.65343453689</v>
      </c>
      <c r="AQ11" s="202">
        <v>866824.65343453689</v>
      </c>
      <c r="AR11" s="202">
        <v>866824.65343453689</v>
      </c>
      <c r="AS11" s="202">
        <v>866824.65343453689</v>
      </c>
      <c r="AT11" s="202">
        <v>866824.65343453689</v>
      </c>
      <c r="AU11" s="202">
        <v>866824.65343453689</v>
      </c>
      <c r="AV11" s="202">
        <v>866824.65343453689</v>
      </c>
      <c r="AW11" s="202">
        <v>866824.65343453689</v>
      </c>
      <c r="AX11" s="202">
        <v>866824.65343453689</v>
      </c>
      <c r="AY11" s="212">
        <v>10401895.841214446</v>
      </c>
      <c r="BA11" s="202">
        <v>866824.65343453689</v>
      </c>
      <c r="BB11" s="202">
        <v>866824.65343453689</v>
      </c>
      <c r="BC11" s="202">
        <v>866824.65343453689</v>
      </c>
      <c r="BD11" s="202">
        <v>866824.65343453689</v>
      </c>
      <c r="BE11" s="202">
        <v>866824.65343453689</v>
      </c>
      <c r="BF11" s="202">
        <v>866824.65343453689</v>
      </c>
      <c r="BG11" s="202">
        <v>866824.65343453689</v>
      </c>
      <c r="BH11" s="202">
        <v>866824.65343453689</v>
      </c>
      <c r="BI11" s="202">
        <v>866824.65343453689</v>
      </c>
      <c r="BJ11" s="202">
        <v>866824.65343453689</v>
      </c>
      <c r="BK11" s="202">
        <v>866824.65343453689</v>
      </c>
      <c r="BL11" s="202">
        <v>866824.65343453689</v>
      </c>
      <c r="BM11" s="212">
        <v>10401895.841214446</v>
      </c>
      <c r="BO11" s="202">
        <v>866824.65343453689</v>
      </c>
      <c r="BP11" s="202">
        <v>866824.65343453689</v>
      </c>
      <c r="BQ11" s="202">
        <v>866824.65343453689</v>
      </c>
      <c r="BR11" s="202">
        <v>866824.65343453689</v>
      </c>
      <c r="BS11" s="202">
        <v>866824.65343453689</v>
      </c>
      <c r="BT11" s="202">
        <v>866824.65343453689</v>
      </c>
      <c r="BU11" s="202">
        <v>866824.65343453689</v>
      </c>
      <c r="BV11" s="202">
        <v>866824.65343453689</v>
      </c>
      <c r="BW11" s="202">
        <v>866824.65343453689</v>
      </c>
      <c r="BX11" s="202">
        <v>866824.65343453689</v>
      </c>
      <c r="BY11" s="202">
        <v>866824.65343453689</v>
      </c>
      <c r="BZ11" s="202">
        <v>866824.65343453689</v>
      </c>
      <c r="CA11" s="212">
        <v>10401895.841214446</v>
      </c>
    </row>
    <row r="12" spans="1:79" s="217" customFormat="1" x14ac:dyDescent="0.2">
      <c r="A12" s="200" t="s">
        <v>12</v>
      </c>
      <c r="B12" s="205">
        <v>141375</v>
      </c>
      <c r="C12" s="205">
        <v>133485</v>
      </c>
      <c r="D12" s="205">
        <v>158845.5</v>
      </c>
      <c r="E12" s="205">
        <v>163797.82800000001</v>
      </c>
      <c r="F12" s="205">
        <v>167858.17199999999</v>
      </c>
      <c r="G12" s="205">
        <v>164604.63200000001</v>
      </c>
      <c r="H12" s="205">
        <v>181997.58</v>
      </c>
      <c r="I12" s="205">
        <v>189254.58</v>
      </c>
      <c r="J12" s="205">
        <v>270729.02799999999</v>
      </c>
      <c r="K12" s="205">
        <v>323293.136</v>
      </c>
      <c r="L12" s="205">
        <v>360000</v>
      </c>
      <c r="M12" s="205">
        <v>378000</v>
      </c>
      <c r="N12" s="206">
        <v>2633240.4560000002</v>
      </c>
      <c r="O12" s="202">
        <v>387503.10559687141</v>
      </c>
      <c r="P12" s="202">
        <v>348569.10559687141</v>
      </c>
      <c r="Q12" s="202">
        <v>399183.30559687142</v>
      </c>
      <c r="R12" s="202">
        <v>411213.91159687145</v>
      </c>
      <c r="S12" s="202">
        <v>427735.94383687148</v>
      </c>
      <c r="T12" s="202">
        <v>444918.85736647149</v>
      </c>
      <c r="U12" s="202">
        <v>462789.08743725554</v>
      </c>
      <c r="V12" s="202">
        <v>481374.12671087094</v>
      </c>
      <c r="W12" s="202">
        <v>505534.67776657094</v>
      </c>
      <c r="X12" s="202">
        <v>521411.63734868646</v>
      </c>
      <c r="Y12" s="202">
        <v>566232.21921612078</v>
      </c>
      <c r="Z12" s="202">
        <v>633175.346565463</v>
      </c>
      <c r="AA12" s="212">
        <v>5589641.3246357953</v>
      </c>
      <c r="AB12" s="221">
        <v>630405.20406061446</v>
      </c>
      <c r="AC12" s="537">
        <v>0.13921862490622278</v>
      </c>
      <c r="AD12" s="516">
        <v>4482180.5764168845</v>
      </c>
      <c r="AE12" s="509">
        <v>1107460.7482189108</v>
      </c>
      <c r="AF12" s="509">
        <v>92288.395684909236</v>
      </c>
      <c r="AG12" s="509">
        <v>-172920.71744500194</v>
      </c>
      <c r="AH12" s="507">
        <v>5075319.9786828868</v>
      </c>
      <c r="AI12" s="507">
        <v>-1499.9999999999709</v>
      </c>
      <c r="AJ12" s="507"/>
      <c r="AK12" s="507"/>
      <c r="AL12" s="225">
        <v>0.12450501601158014</v>
      </c>
      <c r="AM12" s="202">
        <v>633175.346565463</v>
      </c>
      <c r="AN12" s="202">
        <v>633175.346565463</v>
      </c>
      <c r="AO12" s="202">
        <v>633175.346565463</v>
      </c>
      <c r="AP12" s="202">
        <v>633175.346565463</v>
      </c>
      <c r="AQ12" s="202">
        <v>633175.346565463</v>
      </c>
      <c r="AR12" s="202">
        <v>633175.346565463</v>
      </c>
      <c r="AS12" s="202">
        <v>633175.346565463</v>
      </c>
      <c r="AT12" s="202">
        <v>633175.346565463</v>
      </c>
      <c r="AU12" s="202">
        <v>633175.346565463</v>
      </c>
      <c r="AV12" s="202">
        <v>633175.346565463</v>
      </c>
      <c r="AW12" s="202">
        <v>633175.346565463</v>
      </c>
      <c r="AX12" s="202">
        <v>633175.346565463</v>
      </c>
      <c r="AY12" s="212">
        <v>7598104.1587855546</v>
      </c>
      <c r="BA12" s="202">
        <v>633175.346565463</v>
      </c>
      <c r="BB12" s="202">
        <v>633175.346565463</v>
      </c>
      <c r="BC12" s="202">
        <v>633175.346565463</v>
      </c>
      <c r="BD12" s="202">
        <v>633175.346565463</v>
      </c>
      <c r="BE12" s="202">
        <v>633175.346565463</v>
      </c>
      <c r="BF12" s="202">
        <v>633175.346565463</v>
      </c>
      <c r="BG12" s="202">
        <v>633175.346565463</v>
      </c>
      <c r="BH12" s="202">
        <v>633175.346565463</v>
      </c>
      <c r="BI12" s="202">
        <v>633175.346565463</v>
      </c>
      <c r="BJ12" s="202">
        <v>633175.346565463</v>
      </c>
      <c r="BK12" s="202">
        <v>633175.346565463</v>
      </c>
      <c r="BL12" s="202">
        <v>633175.346565463</v>
      </c>
      <c r="BM12" s="212">
        <v>7598104.1587855546</v>
      </c>
      <c r="BO12" s="202">
        <v>633175.346565463</v>
      </c>
      <c r="BP12" s="202">
        <v>633175.346565463</v>
      </c>
      <c r="BQ12" s="202">
        <v>633175.346565463</v>
      </c>
      <c r="BR12" s="202">
        <v>633175.346565463</v>
      </c>
      <c r="BS12" s="202">
        <v>633175.346565463</v>
      </c>
      <c r="BT12" s="202">
        <v>633175.346565463</v>
      </c>
      <c r="BU12" s="202">
        <v>633175.346565463</v>
      </c>
      <c r="BV12" s="202">
        <v>633175.346565463</v>
      </c>
      <c r="BW12" s="202">
        <v>633175.346565463</v>
      </c>
      <c r="BX12" s="202">
        <v>633175.346565463</v>
      </c>
      <c r="BY12" s="202">
        <v>633175.346565463</v>
      </c>
      <c r="BZ12" s="202">
        <v>633175.346565463</v>
      </c>
      <c r="CA12" s="212">
        <v>7598104.1587855546</v>
      </c>
    </row>
    <row r="13" spans="1:79" s="217" customFormat="1" x14ac:dyDescent="0.2">
      <c r="A13" s="200" t="s">
        <v>13</v>
      </c>
      <c r="B13" s="205">
        <v>148327.82999999999</v>
      </c>
      <c r="C13" s="205">
        <v>111579.44</v>
      </c>
      <c r="D13" s="205">
        <v>175949.31</v>
      </c>
      <c r="E13" s="205">
        <v>227662.41</v>
      </c>
      <c r="F13" s="205">
        <v>232669.35</v>
      </c>
      <c r="G13" s="205">
        <v>273801.46000000002</v>
      </c>
      <c r="H13" s="205">
        <v>377695.15</v>
      </c>
      <c r="I13" s="205">
        <v>338629.71</v>
      </c>
      <c r="J13" s="205">
        <v>486195.06000000006</v>
      </c>
      <c r="K13" s="205">
        <v>501046.57</v>
      </c>
      <c r="L13" s="205">
        <v>518857.68355610431</v>
      </c>
      <c r="M13" s="205">
        <v>544800.56773390959</v>
      </c>
      <c r="N13" s="206">
        <v>3937214.5412900136</v>
      </c>
      <c r="O13" s="202">
        <v>577488.60179794417</v>
      </c>
      <c r="P13" s="202">
        <v>519739.74161814974</v>
      </c>
      <c r="Q13" s="202">
        <v>594813.25985188247</v>
      </c>
      <c r="R13" s="202">
        <v>630502.05544299539</v>
      </c>
      <c r="S13" s="202">
        <v>668332.1787695752</v>
      </c>
      <c r="T13" s="202">
        <v>708432.1094957497</v>
      </c>
      <c r="U13" s="202">
        <v>750938.03606549476</v>
      </c>
      <c r="V13" s="202">
        <v>795994.31822942453</v>
      </c>
      <c r="W13" s="202">
        <v>843753.97732319008</v>
      </c>
      <c r="X13" s="202">
        <v>875394.3602324489</v>
      </c>
      <c r="Y13" s="202">
        <v>922073.47432388423</v>
      </c>
      <c r="Z13" s="202">
        <v>1002542.3578846802</v>
      </c>
      <c r="AA13" s="212">
        <v>8890004.4710354209</v>
      </c>
      <c r="AB13" s="221"/>
      <c r="AC13" s="537">
        <v>0.22141925143083585</v>
      </c>
      <c r="AD13" s="516">
        <v>9252605.7351893131</v>
      </c>
      <c r="AE13" s="509">
        <v>-362601.26415389217</v>
      </c>
      <c r="AF13" s="509">
        <v>-30216.772012824349</v>
      </c>
      <c r="AG13" s="509">
        <v>-172920.71744500194</v>
      </c>
      <c r="AH13" s="507">
        <v>10477028.74573219</v>
      </c>
      <c r="AI13" s="507">
        <v>-2542.3578846801538</v>
      </c>
      <c r="AJ13" s="507">
        <v>8887462.11315074</v>
      </c>
      <c r="AK13" s="543">
        <v>0.22135593009263752</v>
      </c>
      <c r="AL13" s="225">
        <v>0.25701682597748093</v>
      </c>
      <c r="AM13" s="202">
        <v>1236081.4372866102</v>
      </c>
      <c r="AN13" s="202">
        <v>1112473.2935579494</v>
      </c>
      <c r="AO13" s="202">
        <v>1297885.5091509409</v>
      </c>
      <c r="AP13" s="202">
        <v>1362779.784608488</v>
      </c>
      <c r="AQ13" s="202">
        <v>1430918.7738389124</v>
      </c>
      <c r="AR13" s="202">
        <v>1502464.7125308581</v>
      </c>
      <c r="AS13" s="202">
        <v>1577587.9481574011</v>
      </c>
      <c r="AT13" s="202">
        <v>1656467.3455652711</v>
      </c>
      <c r="AU13" s="202">
        <v>1739290.7128435348</v>
      </c>
      <c r="AV13" s="202">
        <v>1826255.2484857116</v>
      </c>
      <c r="AW13" s="202">
        <v>1917568.0109099974</v>
      </c>
      <c r="AX13" s="202">
        <v>2013446.4114554974</v>
      </c>
      <c r="AY13" s="212">
        <v>18673219.188391175</v>
      </c>
      <c r="BA13" s="202">
        <v>2013446.4114554974</v>
      </c>
      <c r="BB13" s="202">
        <v>2013446.4114554974</v>
      </c>
      <c r="BC13" s="202">
        <v>2013446.4114554974</v>
      </c>
      <c r="BD13" s="202">
        <v>2013446.4114554974</v>
      </c>
      <c r="BE13" s="202">
        <v>2013446.4114554974</v>
      </c>
      <c r="BF13" s="202">
        <v>2013446.4114554974</v>
      </c>
      <c r="BG13" s="202">
        <v>2013446.4114554974</v>
      </c>
      <c r="BH13" s="202">
        <v>2013446.4114554974</v>
      </c>
      <c r="BI13" s="202">
        <v>2013446.4114554974</v>
      </c>
      <c r="BJ13" s="202">
        <v>2013446.4114554974</v>
      </c>
      <c r="BK13" s="202">
        <v>2013446.4114554974</v>
      </c>
      <c r="BL13" s="202">
        <v>2013446.4114554974</v>
      </c>
      <c r="BM13" s="212">
        <v>24161356.937465969</v>
      </c>
      <c r="BO13" s="202">
        <v>2013446.4114554974</v>
      </c>
      <c r="BP13" s="202">
        <v>2013446.4114554974</v>
      </c>
      <c r="BQ13" s="202">
        <v>2013446.4114554974</v>
      </c>
      <c r="BR13" s="202">
        <v>2013446.4114554974</v>
      </c>
      <c r="BS13" s="202">
        <v>2013446.4114554974</v>
      </c>
      <c r="BT13" s="202">
        <v>2013446.4114554974</v>
      </c>
      <c r="BU13" s="202">
        <v>2013446.4114554974</v>
      </c>
      <c r="BV13" s="202">
        <v>2013446.4114554974</v>
      </c>
      <c r="BW13" s="202">
        <v>2013446.4114554974</v>
      </c>
      <c r="BX13" s="202">
        <v>2013446.4114554974</v>
      </c>
      <c r="BY13" s="202">
        <v>2013446.4114554974</v>
      </c>
      <c r="BZ13" s="202">
        <v>2013446.4114554974</v>
      </c>
      <c r="CA13" s="212">
        <v>24161356.937465969</v>
      </c>
    </row>
    <row r="14" spans="1:79" s="217" customFormat="1" x14ac:dyDescent="0.2">
      <c r="A14" s="200" t="s">
        <v>14</v>
      </c>
      <c r="B14" s="205">
        <v>0</v>
      </c>
      <c r="C14" s="205">
        <v>0</v>
      </c>
      <c r="D14" s="205">
        <v>0</v>
      </c>
      <c r="E14" s="205">
        <v>0</v>
      </c>
      <c r="F14" s="205">
        <v>0</v>
      </c>
      <c r="G14" s="205">
        <v>0</v>
      </c>
      <c r="H14" s="205">
        <v>54666.36</v>
      </c>
      <c r="I14" s="205">
        <v>124745.61599999999</v>
      </c>
      <c r="J14" s="205">
        <v>196888.96799999999</v>
      </c>
      <c r="K14" s="205">
        <v>261541.764</v>
      </c>
      <c r="L14" s="205">
        <v>280000</v>
      </c>
      <c r="M14" s="205">
        <v>294000</v>
      </c>
      <c r="N14" s="206">
        <v>1211842.7080000001</v>
      </c>
      <c r="O14" s="202">
        <v>308700</v>
      </c>
      <c r="P14" s="202">
        <v>277830</v>
      </c>
      <c r="Q14" s="202">
        <v>324135</v>
      </c>
      <c r="R14" s="202">
        <v>340341.75</v>
      </c>
      <c r="S14" s="202">
        <v>357358.83750000002</v>
      </c>
      <c r="T14" s="202">
        <v>375226.77937500004</v>
      </c>
      <c r="U14" s="202">
        <v>393988.11834375007</v>
      </c>
      <c r="V14" s="202">
        <v>413687.52426093759</v>
      </c>
      <c r="W14" s="202">
        <v>434371.90047398448</v>
      </c>
      <c r="X14" s="202">
        <v>474605.63976755104</v>
      </c>
      <c r="Y14" s="202">
        <v>477926.52567611571</v>
      </c>
      <c r="Z14" s="202">
        <v>500457.64211531979</v>
      </c>
      <c r="AA14" s="212">
        <v>4678629.7175126588</v>
      </c>
      <c r="AB14" s="221"/>
      <c r="AC14" s="537">
        <v>0.11652847792697003</v>
      </c>
      <c r="AD14" s="516">
        <v>4163672.5808351906</v>
      </c>
      <c r="AE14" s="509">
        <v>514957.1366774682</v>
      </c>
      <c r="AF14" s="509">
        <v>42913.094723122347</v>
      </c>
      <c r="AG14" s="509">
        <v>-172920.71744500194</v>
      </c>
      <c r="AH14" s="507">
        <v>4714662.9355794853</v>
      </c>
      <c r="AI14" s="507">
        <v>-457.64211531978799</v>
      </c>
      <c r="AJ14" s="507">
        <v>4678172.0753973387</v>
      </c>
      <c r="AK14" s="543">
        <v>0.11651707964534627</v>
      </c>
      <c r="AL14" s="225">
        <v>0.1156575716898664</v>
      </c>
      <c r="AM14" s="202">
        <v>556236.64677897457</v>
      </c>
      <c r="AN14" s="202">
        <v>500612.9821010771</v>
      </c>
      <c r="AO14" s="202">
        <v>584048.4791179233</v>
      </c>
      <c r="AP14" s="202">
        <v>613250.90307381947</v>
      </c>
      <c r="AQ14" s="202">
        <v>643913.44822751044</v>
      </c>
      <c r="AR14" s="202">
        <v>676109.120638886</v>
      </c>
      <c r="AS14" s="202">
        <v>709914.57667083037</v>
      </c>
      <c r="AT14" s="202">
        <v>745410.30550437188</v>
      </c>
      <c r="AU14" s="202">
        <v>782680.82077959052</v>
      </c>
      <c r="AV14" s="202">
        <v>821814.86181857006</v>
      </c>
      <c r="AW14" s="202">
        <v>862905.60490949859</v>
      </c>
      <c r="AX14" s="202">
        <v>906050.8851549736</v>
      </c>
      <c r="AY14" s="212">
        <v>8402948.634776026</v>
      </c>
      <c r="BA14" s="202">
        <v>906050.8851549736</v>
      </c>
      <c r="BB14" s="202">
        <v>906050.8851549736</v>
      </c>
      <c r="BC14" s="202">
        <v>906050.8851549736</v>
      </c>
      <c r="BD14" s="202">
        <v>906050.8851549736</v>
      </c>
      <c r="BE14" s="202">
        <v>906050.8851549736</v>
      </c>
      <c r="BF14" s="202">
        <v>906050.8851549736</v>
      </c>
      <c r="BG14" s="202">
        <v>906050.8851549736</v>
      </c>
      <c r="BH14" s="202">
        <v>906050.8851549736</v>
      </c>
      <c r="BI14" s="202">
        <v>906050.8851549736</v>
      </c>
      <c r="BJ14" s="202">
        <v>906050.8851549736</v>
      </c>
      <c r="BK14" s="202">
        <v>906050.8851549736</v>
      </c>
      <c r="BL14" s="202">
        <v>906050.8851549736</v>
      </c>
      <c r="BM14" s="212">
        <v>10872610.621859683</v>
      </c>
      <c r="BO14" s="202">
        <v>906050.8851549736</v>
      </c>
      <c r="BP14" s="202">
        <v>906050.8851549736</v>
      </c>
      <c r="BQ14" s="202">
        <v>906050.8851549736</v>
      </c>
      <c r="BR14" s="202">
        <v>906050.8851549736</v>
      </c>
      <c r="BS14" s="202">
        <v>906050.8851549736</v>
      </c>
      <c r="BT14" s="202">
        <v>906050.8851549736</v>
      </c>
      <c r="BU14" s="202">
        <v>906050.8851549736</v>
      </c>
      <c r="BV14" s="202">
        <v>906050.8851549736</v>
      </c>
      <c r="BW14" s="202">
        <v>906050.8851549736</v>
      </c>
      <c r="BX14" s="202">
        <v>906050.8851549736</v>
      </c>
      <c r="BY14" s="202">
        <v>906050.8851549736</v>
      </c>
      <c r="BZ14" s="202">
        <v>906050.8851549736</v>
      </c>
      <c r="CA14" s="212">
        <v>10872610.621859683</v>
      </c>
    </row>
    <row r="15" spans="1:79" s="217" customFormat="1" x14ac:dyDescent="0.2">
      <c r="A15" s="200" t="s">
        <v>16</v>
      </c>
      <c r="B15" s="205">
        <v>16174.22</v>
      </c>
      <c r="C15" s="205">
        <v>12849.79</v>
      </c>
      <c r="D15" s="205">
        <v>23384.84</v>
      </c>
      <c r="E15" s="205">
        <v>28065.69</v>
      </c>
      <c r="F15" s="205">
        <v>33835.15</v>
      </c>
      <c r="G15" s="205">
        <v>40487.379999999997</v>
      </c>
      <c r="H15" s="205">
        <v>52339.69</v>
      </c>
      <c r="I15" s="205">
        <v>63562</v>
      </c>
      <c r="J15" s="205">
        <v>100769.4</v>
      </c>
      <c r="K15" s="205">
        <v>93235.54</v>
      </c>
      <c r="L15" s="205">
        <v>120000</v>
      </c>
      <c r="M15" s="205">
        <v>126000</v>
      </c>
      <c r="N15" s="206">
        <v>710703.7</v>
      </c>
      <c r="O15" s="202">
        <v>127800.75081181861</v>
      </c>
      <c r="P15" s="202">
        <v>121410.71327122767</v>
      </c>
      <c r="Q15" s="202">
        <v>140580.8258930005</v>
      </c>
      <c r="R15" s="202">
        <v>170916.6883225427</v>
      </c>
      <c r="S15" s="202">
        <v>188008.35715479698</v>
      </c>
      <c r="T15" s="202">
        <v>206809.19287027675</v>
      </c>
      <c r="U15" s="202">
        <v>249155.83712466675</v>
      </c>
      <c r="V15" s="202">
        <v>274071.42083713342</v>
      </c>
      <c r="W15" s="202">
        <v>301478.56292084674</v>
      </c>
      <c r="X15" s="202">
        <v>331626.41921293148</v>
      </c>
      <c r="Y15" s="202">
        <v>396509.8490589399</v>
      </c>
      <c r="Z15" s="202">
        <v>436160.83396483393</v>
      </c>
      <c r="AA15" s="212">
        <v>2944529.4514430156</v>
      </c>
      <c r="AB15" s="221"/>
      <c r="AC15" s="537">
        <v>7.3338040388929812E-2</v>
      </c>
      <c r="AD15" s="516">
        <v>2369386.2791607152</v>
      </c>
      <c r="AE15" s="509">
        <v>575143.17228230042</v>
      </c>
      <c r="AF15" s="509">
        <v>47928.597690191702</v>
      </c>
      <c r="AG15" s="509"/>
      <c r="AH15" s="507">
        <v>2682933.7450421834</v>
      </c>
      <c r="AI15" s="507"/>
      <c r="AK15" s="543"/>
      <c r="AL15" s="225">
        <v>6.5816285532242086E-2</v>
      </c>
      <c r="AM15" s="202">
        <v>457968.87566307565</v>
      </c>
      <c r="AN15" s="202">
        <v>412171.98809676809</v>
      </c>
      <c r="AO15" s="202">
        <v>480867.31944622943</v>
      </c>
      <c r="AP15" s="202">
        <v>504910.6854185409</v>
      </c>
      <c r="AQ15" s="202">
        <v>530156.21968946792</v>
      </c>
      <c r="AR15" s="202">
        <v>556664.03067394136</v>
      </c>
      <c r="AS15" s="202">
        <v>584497.23220763844</v>
      </c>
      <c r="AT15" s="202">
        <v>613722.09381802042</v>
      </c>
      <c r="AU15" s="202">
        <v>644408.19850892143</v>
      </c>
      <c r="AV15" s="202">
        <v>676628.60843436758</v>
      </c>
      <c r="AW15" s="202">
        <v>710460.03885608597</v>
      </c>
      <c r="AX15" s="202">
        <v>745983.04079889029</v>
      </c>
      <c r="AY15" s="212">
        <v>6918438.3316119481</v>
      </c>
      <c r="BA15" s="202">
        <v>783282.19283883483</v>
      </c>
      <c r="BB15" s="202">
        <v>704953.97355495137</v>
      </c>
      <c r="BC15" s="202">
        <v>822446.30248077656</v>
      </c>
      <c r="BD15" s="202">
        <v>863568.6176048154</v>
      </c>
      <c r="BE15" s="202">
        <v>906747.04848505626</v>
      </c>
      <c r="BF15" s="202">
        <v>952084.40090930916</v>
      </c>
      <c r="BG15" s="202">
        <v>999688.62095477467</v>
      </c>
      <c r="BH15" s="202">
        <v>1049673.0520025135</v>
      </c>
      <c r="BI15" s="202">
        <v>1102156.7046026392</v>
      </c>
      <c r="BJ15" s="202">
        <v>1157264.5398327713</v>
      </c>
      <c r="BK15" s="202">
        <v>1215127.7668244098</v>
      </c>
      <c r="BL15" s="202">
        <v>1275884.1551656304</v>
      </c>
      <c r="BM15" s="212">
        <v>11832877.375256483</v>
      </c>
      <c r="BO15" s="202">
        <v>1339678.362923912</v>
      </c>
      <c r="BP15" s="202">
        <v>1205710.5266315208</v>
      </c>
      <c r="BQ15" s="202">
        <v>1406662.2810701076</v>
      </c>
      <c r="BR15" s="202">
        <v>1476995.3951236131</v>
      </c>
      <c r="BS15" s="202">
        <v>1550845.1648797938</v>
      </c>
      <c r="BT15" s="202">
        <v>1628387.4231237834</v>
      </c>
      <c r="BU15" s="202">
        <v>1709806.7942799728</v>
      </c>
      <c r="BV15" s="202">
        <v>1795297.1339939714</v>
      </c>
      <c r="BW15" s="202">
        <v>1885061.99069367</v>
      </c>
      <c r="BX15" s="202">
        <v>1979315.0902283536</v>
      </c>
      <c r="BY15" s="202">
        <v>2078280.8447397714</v>
      </c>
      <c r="BZ15" s="202">
        <v>2182194.8869767599</v>
      </c>
      <c r="CA15" s="212">
        <v>20238235.89466523</v>
      </c>
    </row>
    <row r="16" spans="1:79" x14ac:dyDescent="0.2">
      <c r="A16" s="203" t="s">
        <v>18</v>
      </c>
      <c r="B16" s="205">
        <v>0</v>
      </c>
      <c r="C16" s="205">
        <v>0</v>
      </c>
      <c r="D16" s="205">
        <v>20.329999999999998</v>
      </c>
      <c r="E16" s="205">
        <v>0</v>
      </c>
      <c r="F16" s="205">
        <v>29177</v>
      </c>
      <c r="G16" s="205">
        <v>47654.46</v>
      </c>
      <c r="H16" s="205">
        <v>87997.15</v>
      </c>
      <c r="I16" s="205">
        <v>83818.31</v>
      </c>
      <c r="J16" s="205">
        <v>83034.23</v>
      </c>
      <c r="K16" s="205">
        <v>126424.86</v>
      </c>
      <c r="L16" s="205">
        <v>128428.70215430135</v>
      </c>
      <c r="M16" s="205">
        <v>134850.13726201642</v>
      </c>
      <c r="N16" s="206">
        <v>721405.17941631773</v>
      </c>
      <c r="O16" s="202">
        <v>138895.64137987691</v>
      </c>
      <c r="P16" s="202">
        <v>125006.07724188922</v>
      </c>
      <c r="Q16" s="202">
        <v>143062.51062127322</v>
      </c>
      <c r="R16" s="202">
        <v>147354.38593991142</v>
      </c>
      <c r="S16" s="202">
        <v>153248.56137750787</v>
      </c>
      <c r="T16" s="202">
        <v>159378.5038326082</v>
      </c>
      <c r="U16" s="202">
        <v>165753.64398591252</v>
      </c>
      <c r="V16" s="202">
        <v>172383.78974534903</v>
      </c>
      <c r="W16" s="202">
        <v>181002.97923261649</v>
      </c>
      <c r="X16" s="202">
        <v>190053.12819424731</v>
      </c>
      <c r="Y16" s="202">
        <v>199555.78460395968</v>
      </c>
      <c r="Z16" s="202">
        <v>209533.57383415767</v>
      </c>
      <c r="AA16" s="508">
        <v>1985228.5799893099</v>
      </c>
      <c r="AB16" s="221"/>
      <c r="AC16" s="537">
        <v>4.9445174918920788E-2</v>
      </c>
      <c r="AD16" s="516">
        <v>1985097.5391458916</v>
      </c>
      <c r="AE16" s="509">
        <v>131.04084341833368</v>
      </c>
      <c r="AF16" s="509">
        <v>10.92007028486114</v>
      </c>
      <c r="AG16" s="509"/>
      <c r="AH16" s="509">
        <v>2247791.0089279516</v>
      </c>
      <c r="AI16" s="509"/>
      <c r="AK16" s="543"/>
      <c r="AL16" s="225">
        <v>5.5141598309608096E-2</v>
      </c>
      <c r="AM16" s="202">
        <v>220010.25252586557</v>
      </c>
      <c r="AN16" s="202">
        <v>198009.22727327902</v>
      </c>
      <c r="AO16" s="202">
        <v>231010.76515215886</v>
      </c>
      <c r="AP16" s="202">
        <v>242561.30340976681</v>
      </c>
      <c r="AQ16" s="202">
        <v>254689.36858025516</v>
      </c>
      <c r="AR16" s="202">
        <v>267423.83700926794</v>
      </c>
      <c r="AS16" s="202">
        <v>280795.02885973133</v>
      </c>
      <c r="AT16" s="202">
        <v>294834.78030271793</v>
      </c>
      <c r="AU16" s="202">
        <v>309576.51931785385</v>
      </c>
      <c r="AV16" s="202">
        <v>325055.34528374654</v>
      </c>
      <c r="AW16" s="202">
        <v>341308.11254793388</v>
      </c>
      <c r="AX16" s="202">
        <v>358373.5181753306</v>
      </c>
      <c r="AY16" s="212">
        <v>3323648.0584379076</v>
      </c>
      <c r="BA16" s="202">
        <v>376292.19408409717</v>
      </c>
      <c r="BB16" s="202">
        <v>338662.97467568744</v>
      </c>
      <c r="BC16" s="202">
        <v>395106.80378830206</v>
      </c>
      <c r="BD16" s="202">
        <v>414862.14397771721</v>
      </c>
      <c r="BE16" s="202">
        <v>435605.25117660308</v>
      </c>
      <c r="BF16" s="202">
        <v>457385.51373543323</v>
      </c>
      <c r="BG16" s="202">
        <v>480254.78942220489</v>
      </c>
      <c r="BH16" s="202">
        <v>504267.52889331518</v>
      </c>
      <c r="BI16" s="202">
        <v>529480.90533798095</v>
      </c>
      <c r="BJ16" s="202">
        <v>555954.95060488</v>
      </c>
      <c r="BK16" s="202">
        <v>583752.69813512405</v>
      </c>
      <c r="BL16" s="202">
        <v>612940.33304188028</v>
      </c>
      <c r="BM16" s="212">
        <v>5684566.0868732259</v>
      </c>
      <c r="BO16" s="202">
        <v>643587.34969397436</v>
      </c>
      <c r="BP16" s="202">
        <v>579228.61472457694</v>
      </c>
      <c r="BQ16" s="202">
        <v>675766.71717867313</v>
      </c>
      <c r="BR16" s="202">
        <v>709555.05303760688</v>
      </c>
      <c r="BS16" s="202">
        <v>745032.80568948726</v>
      </c>
      <c r="BT16" s="202">
        <v>782284.44597396161</v>
      </c>
      <c r="BU16" s="202">
        <v>821398.66827265976</v>
      </c>
      <c r="BV16" s="202">
        <v>862468.60168629279</v>
      </c>
      <c r="BW16" s="202">
        <v>905592.03177060746</v>
      </c>
      <c r="BX16" s="202">
        <v>950871.63335913792</v>
      </c>
      <c r="BY16" s="202">
        <v>998415.21502709482</v>
      </c>
      <c r="BZ16" s="202">
        <v>1048335.9757784496</v>
      </c>
      <c r="CA16" s="212">
        <v>9722537.1121925227</v>
      </c>
    </row>
    <row r="17" spans="1:79" x14ac:dyDescent="0.2">
      <c r="A17" s="203" t="s">
        <v>19</v>
      </c>
      <c r="B17" s="205">
        <v>0</v>
      </c>
      <c r="C17" s="205">
        <v>0</v>
      </c>
      <c r="D17" s="205">
        <v>0</v>
      </c>
      <c r="E17" s="205">
        <v>0</v>
      </c>
      <c r="F17" s="205">
        <v>0</v>
      </c>
      <c r="G17" s="205">
        <v>0</v>
      </c>
      <c r="H17" s="205">
        <v>0</v>
      </c>
      <c r="I17" s="205">
        <v>0</v>
      </c>
      <c r="J17" s="205">
        <v>0</v>
      </c>
      <c r="K17" s="205">
        <v>0</v>
      </c>
      <c r="L17" s="205">
        <v>5000</v>
      </c>
      <c r="M17" s="205">
        <v>5250</v>
      </c>
      <c r="N17" s="206">
        <v>10250</v>
      </c>
      <c r="O17" s="202">
        <v>5407.5</v>
      </c>
      <c r="P17" s="202">
        <v>4866.75</v>
      </c>
      <c r="Q17" s="202">
        <v>5569.7250000000004</v>
      </c>
      <c r="R17" s="202">
        <v>5736.8167500000009</v>
      </c>
      <c r="S17" s="202">
        <v>5966.289420000001</v>
      </c>
      <c r="T17" s="202">
        <v>6204.9409968000009</v>
      </c>
      <c r="U17" s="202">
        <v>6453.1386366720008</v>
      </c>
      <c r="V17" s="202">
        <v>6711.2641821388806</v>
      </c>
      <c r="W17" s="202">
        <v>7046.8273912458253</v>
      </c>
      <c r="X17" s="202">
        <v>7399.1687608081165</v>
      </c>
      <c r="Y17" s="202">
        <v>7769.1271988485223</v>
      </c>
      <c r="Z17" s="202">
        <v>8157.5835587909487</v>
      </c>
      <c r="AA17" s="508">
        <v>77289.131895304308</v>
      </c>
      <c r="AB17" s="221"/>
      <c r="AC17" s="537">
        <v>1.9250048505323452E-3</v>
      </c>
      <c r="AD17" s="516">
        <v>794039.01565835625</v>
      </c>
      <c r="AE17" s="509">
        <v>-716749.88376305194</v>
      </c>
      <c r="AF17" s="509">
        <v>-59729.156980254331</v>
      </c>
      <c r="AG17" s="509"/>
      <c r="AH17" s="509">
        <v>899116.4035711803</v>
      </c>
      <c r="AI17" s="509"/>
      <c r="AJ17" s="509"/>
      <c r="AK17" s="509"/>
      <c r="AL17" s="225">
        <v>2.2056639323843229E-2</v>
      </c>
      <c r="AM17" s="202">
        <v>8565.4627367304965</v>
      </c>
      <c r="AN17" s="202">
        <v>7708.9164630574469</v>
      </c>
      <c r="AO17" s="202">
        <v>8993.7358735670223</v>
      </c>
      <c r="AP17" s="202">
        <v>9443.4226672453733</v>
      </c>
      <c r="AQ17" s="202">
        <v>9915.5938006076431</v>
      </c>
      <c r="AR17" s="202">
        <v>10411.373490638025</v>
      </c>
      <c r="AS17" s="202">
        <v>10931.942165169927</v>
      </c>
      <c r="AT17" s="202">
        <v>11478.539273428423</v>
      </c>
      <c r="AU17" s="202">
        <v>12052.466237099845</v>
      </c>
      <c r="AV17" s="202">
        <v>12655.089548954838</v>
      </c>
      <c r="AW17" s="202">
        <v>13287.844026402581</v>
      </c>
      <c r="AX17" s="202">
        <v>13952.236227722711</v>
      </c>
      <c r="AY17" s="212">
        <v>129396.62251062434</v>
      </c>
      <c r="BA17" s="202">
        <v>14649.848039108847</v>
      </c>
      <c r="BB17" s="202">
        <v>13184.863235197963</v>
      </c>
      <c r="BC17" s="202">
        <v>15382.340441064291</v>
      </c>
      <c r="BD17" s="202">
        <v>16151.457463117506</v>
      </c>
      <c r="BE17" s="202">
        <v>16959.030336273383</v>
      </c>
      <c r="BF17" s="202">
        <v>17806.981853087054</v>
      </c>
      <c r="BG17" s="202">
        <v>18697.330945741407</v>
      </c>
      <c r="BH17" s="202">
        <v>19632.197493028478</v>
      </c>
      <c r="BI17" s="202">
        <v>20613.807367679903</v>
      </c>
      <c r="BJ17" s="202">
        <v>21644.497736063899</v>
      </c>
      <c r="BK17" s="202">
        <v>22726.722622867095</v>
      </c>
      <c r="BL17" s="202">
        <v>23863.05875401045</v>
      </c>
      <c r="BM17" s="212">
        <v>221312.13628724025</v>
      </c>
      <c r="BO17" s="202">
        <v>25056.211691710974</v>
      </c>
      <c r="BP17" s="202">
        <v>22550.590522539878</v>
      </c>
      <c r="BQ17" s="202">
        <v>26309.022276296524</v>
      </c>
      <c r="BR17" s="202">
        <v>27624.47339011135</v>
      </c>
      <c r="BS17" s="202">
        <v>29005.697059616919</v>
      </c>
      <c r="BT17" s="202">
        <v>30455.981912597766</v>
      </c>
      <c r="BU17" s="202">
        <v>31978.781008227656</v>
      </c>
      <c r="BV17" s="202">
        <v>33577.720058639039</v>
      </c>
      <c r="BW17" s="202">
        <v>35256.606061570994</v>
      </c>
      <c r="BX17" s="202">
        <v>37019.436364649548</v>
      </c>
      <c r="BY17" s="202">
        <v>38870.408182882027</v>
      </c>
      <c r="BZ17" s="202">
        <v>40813.928592026132</v>
      </c>
      <c r="CA17" s="212">
        <v>378518.85712086875</v>
      </c>
    </row>
    <row r="18" spans="1:79" s="207" customFormat="1" x14ac:dyDescent="0.2">
      <c r="A18" s="518" t="s">
        <v>20</v>
      </c>
      <c r="B18" s="206">
        <v>10537.81</v>
      </c>
      <c r="C18" s="206">
        <v>9389.08</v>
      </c>
      <c r="D18" s="206">
        <v>12006.33</v>
      </c>
      <c r="E18" s="206">
        <v>13583.92</v>
      </c>
      <c r="F18" s="206">
        <v>19045.68</v>
      </c>
      <c r="G18" s="206">
        <v>16901.63</v>
      </c>
      <c r="H18" s="206">
        <v>13994.08</v>
      </c>
      <c r="I18" s="206">
        <v>14114.9</v>
      </c>
      <c r="J18" s="206">
        <v>24352.15</v>
      </c>
      <c r="K18" s="206">
        <v>35509.82</v>
      </c>
      <c r="L18" s="206">
        <v>35836.152877715169</v>
      </c>
      <c r="M18" s="206">
        <v>37627.960521600937</v>
      </c>
      <c r="N18" s="206">
        <v>242899.51339931609</v>
      </c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508">
        <v>0</v>
      </c>
      <c r="AB18" s="221"/>
      <c r="AC18" s="537">
        <v>0</v>
      </c>
      <c r="AD18" s="515">
        <v>529879.56565214286</v>
      </c>
      <c r="AE18" s="519">
        <v>-529879.56565214286</v>
      </c>
      <c r="AF18" s="519">
        <v>-44156.630471011908</v>
      </c>
      <c r="AG18" s="519"/>
      <c r="AH18" s="520">
        <v>600000</v>
      </c>
      <c r="AI18" s="520"/>
      <c r="AJ18" s="507">
        <v>1499.9999999999709</v>
      </c>
      <c r="AK18" s="520"/>
      <c r="AL18" s="521">
        <v>1.4718876823670634E-2</v>
      </c>
      <c r="AM18" s="193">
        <v>0</v>
      </c>
      <c r="AN18" s="193">
        <v>0</v>
      </c>
      <c r="AO18" s="193">
        <v>0</v>
      </c>
      <c r="AP18" s="193">
        <v>0</v>
      </c>
      <c r="AQ18" s="193">
        <v>0</v>
      </c>
      <c r="AR18" s="193">
        <v>0</v>
      </c>
      <c r="AS18" s="193">
        <v>0</v>
      </c>
      <c r="AT18" s="193">
        <v>0</v>
      </c>
      <c r="AU18" s="193">
        <v>0</v>
      </c>
      <c r="AV18" s="193">
        <v>0</v>
      </c>
      <c r="AW18" s="193">
        <v>0</v>
      </c>
      <c r="AX18" s="193">
        <v>0</v>
      </c>
      <c r="AY18" s="212">
        <v>0</v>
      </c>
      <c r="BA18" s="193">
        <v>0</v>
      </c>
      <c r="BB18" s="193">
        <v>0</v>
      </c>
      <c r="BC18" s="193">
        <v>0</v>
      </c>
      <c r="BD18" s="193">
        <v>0</v>
      </c>
      <c r="BE18" s="193">
        <v>0</v>
      </c>
      <c r="BF18" s="193">
        <v>0</v>
      </c>
      <c r="BG18" s="193">
        <v>0</v>
      </c>
      <c r="BH18" s="193">
        <v>0</v>
      </c>
      <c r="BI18" s="193">
        <v>0</v>
      </c>
      <c r="BJ18" s="193">
        <v>0</v>
      </c>
      <c r="BK18" s="193">
        <v>0</v>
      </c>
      <c r="BL18" s="193">
        <v>0</v>
      </c>
      <c r="BM18" s="212">
        <v>0</v>
      </c>
      <c r="BO18" s="193">
        <v>0</v>
      </c>
      <c r="BP18" s="193">
        <v>0</v>
      </c>
      <c r="BQ18" s="193">
        <v>0</v>
      </c>
      <c r="BR18" s="193">
        <v>0</v>
      </c>
      <c r="BS18" s="193">
        <v>0</v>
      </c>
      <c r="BT18" s="193">
        <v>0</v>
      </c>
      <c r="BU18" s="193">
        <v>0</v>
      </c>
      <c r="BV18" s="193">
        <v>0</v>
      </c>
      <c r="BW18" s="193">
        <v>0</v>
      </c>
      <c r="BX18" s="193">
        <v>0</v>
      </c>
      <c r="BY18" s="193">
        <v>0</v>
      </c>
      <c r="BZ18" s="193">
        <v>0</v>
      </c>
      <c r="CA18" s="212">
        <v>0</v>
      </c>
    </row>
    <row r="19" spans="1:79" s="524" customFormat="1" x14ac:dyDescent="0.2">
      <c r="A19" s="525" t="s">
        <v>32</v>
      </c>
      <c r="B19" s="526"/>
      <c r="C19" s="526"/>
      <c r="D19" s="526"/>
      <c r="E19" s="526"/>
      <c r="F19" s="526"/>
      <c r="G19" s="526"/>
      <c r="H19" s="526"/>
      <c r="I19" s="526"/>
      <c r="J19" s="526"/>
      <c r="K19" s="526"/>
      <c r="L19" s="526"/>
      <c r="M19" s="526"/>
      <c r="N19" s="527"/>
      <c r="O19" s="528">
        <v>0</v>
      </c>
      <c r="P19" s="528">
        <v>0</v>
      </c>
      <c r="Q19" s="528">
        <v>0</v>
      </c>
      <c r="R19" s="528">
        <v>0</v>
      </c>
      <c r="S19" s="528">
        <v>0</v>
      </c>
      <c r="T19" s="528">
        <v>0</v>
      </c>
      <c r="U19" s="528">
        <v>0</v>
      </c>
      <c r="V19" s="528">
        <v>0</v>
      </c>
      <c r="W19" s="528">
        <v>0</v>
      </c>
      <c r="X19" s="528">
        <v>0</v>
      </c>
      <c r="Y19" s="528">
        <v>0</v>
      </c>
      <c r="Z19" s="528">
        <v>0</v>
      </c>
      <c r="AA19" s="529">
        <v>0</v>
      </c>
      <c r="AB19" s="529"/>
      <c r="AC19" s="538">
        <v>0</v>
      </c>
      <c r="AD19" s="530"/>
      <c r="AE19" s="530"/>
      <c r="AF19" s="530"/>
      <c r="AG19" s="530"/>
      <c r="AH19" s="531"/>
      <c r="AI19" s="531"/>
      <c r="AJ19" s="531"/>
      <c r="AK19" s="531"/>
      <c r="AL19" s="523"/>
      <c r="AM19" s="528"/>
      <c r="AN19" s="528"/>
      <c r="AO19" s="528"/>
      <c r="AP19" s="528"/>
      <c r="AQ19" s="528"/>
      <c r="AR19" s="528"/>
      <c r="AS19" s="528"/>
      <c r="AT19" s="528"/>
      <c r="AU19" s="528"/>
      <c r="AV19" s="528"/>
      <c r="AW19" s="528"/>
      <c r="AX19" s="528"/>
      <c r="AY19" s="532"/>
      <c r="BA19" s="528"/>
      <c r="BB19" s="528"/>
      <c r="BC19" s="528"/>
      <c r="BD19" s="528"/>
      <c r="BE19" s="528"/>
      <c r="BF19" s="528"/>
      <c r="BG19" s="528"/>
      <c r="BH19" s="528"/>
      <c r="BI19" s="528"/>
      <c r="BJ19" s="528"/>
      <c r="BK19" s="528"/>
      <c r="BL19" s="528"/>
      <c r="BM19" s="532"/>
      <c r="BO19" s="528"/>
      <c r="BP19" s="528"/>
      <c r="BQ19" s="528"/>
      <c r="BR19" s="528"/>
      <c r="BS19" s="528"/>
      <c r="BT19" s="528"/>
      <c r="BU19" s="528"/>
      <c r="BV19" s="528"/>
      <c r="BW19" s="528"/>
      <c r="BX19" s="528"/>
      <c r="BY19" s="528"/>
      <c r="BZ19" s="528"/>
      <c r="CA19" s="532"/>
    </row>
    <row r="20" spans="1:79" s="524" customFormat="1" x14ac:dyDescent="0.2">
      <c r="A20" s="525" t="s">
        <v>33</v>
      </c>
      <c r="B20" s="526"/>
      <c r="C20" s="526"/>
      <c r="D20" s="526"/>
      <c r="E20" s="526"/>
      <c r="F20" s="526"/>
      <c r="G20" s="526"/>
      <c r="H20" s="526"/>
      <c r="I20" s="526"/>
      <c r="J20" s="526"/>
      <c r="K20" s="526"/>
      <c r="L20" s="526"/>
      <c r="M20" s="526"/>
      <c r="N20" s="527"/>
      <c r="O20" s="528">
        <v>0</v>
      </c>
      <c r="P20" s="528">
        <v>0</v>
      </c>
      <c r="Q20" s="528">
        <v>0</v>
      </c>
      <c r="R20" s="528">
        <v>0</v>
      </c>
      <c r="S20" s="528">
        <v>0</v>
      </c>
      <c r="T20" s="528">
        <v>0</v>
      </c>
      <c r="U20" s="528">
        <v>0</v>
      </c>
      <c r="V20" s="528">
        <v>0</v>
      </c>
      <c r="W20" s="528">
        <v>0</v>
      </c>
      <c r="X20" s="528">
        <v>0</v>
      </c>
      <c r="Y20" s="528">
        <v>0</v>
      </c>
      <c r="Z20" s="528">
        <v>0</v>
      </c>
      <c r="AA20" s="529">
        <v>0</v>
      </c>
      <c r="AB20" s="529"/>
      <c r="AC20" s="538">
        <v>0</v>
      </c>
      <c r="AD20" s="530"/>
      <c r="AE20" s="530"/>
      <c r="AF20" s="530"/>
      <c r="AG20" s="530"/>
      <c r="AH20" s="531"/>
      <c r="AI20" s="531"/>
      <c r="AJ20" s="531"/>
      <c r="AK20" s="531"/>
      <c r="AL20" s="523"/>
      <c r="AM20" s="528"/>
      <c r="AN20" s="528"/>
      <c r="AO20" s="528"/>
      <c r="AP20" s="528"/>
      <c r="AQ20" s="528"/>
      <c r="AR20" s="528"/>
      <c r="AS20" s="528"/>
      <c r="AT20" s="528"/>
      <c r="AU20" s="528"/>
      <c r="AV20" s="528"/>
      <c r="AW20" s="528"/>
      <c r="AX20" s="528"/>
      <c r="AY20" s="532"/>
      <c r="BA20" s="528"/>
      <c r="BB20" s="528"/>
      <c r="BC20" s="528"/>
      <c r="BD20" s="528"/>
      <c r="BE20" s="528"/>
      <c r="BF20" s="528"/>
      <c r="BG20" s="528"/>
      <c r="BH20" s="528"/>
      <c r="BI20" s="528"/>
      <c r="BJ20" s="528"/>
      <c r="BK20" s="528"/>
      <c r="BL20" s="528"/>
      <c r="BM20" s="532"/>
      <c r="BO20" s="528"/>
      <c r="BP20" s="528"/>
      <c r="BQ20" s="528"/>
      <c r="BR20" s="528"/>
      <c r="BS20" s="528"/>
      <c r="BT20" s="528"/>
      <c r="BU20" s="528"/>
      <c r="BV20" s="528"/>
      <c r="BW20" s="528"/>
      <c r="BX20" s="528"/>
      <c r="BY20" s="528"/>
      <c r="BZ20" s="528"/>
      <c r="CA20" s="532"/>
    </row>
    <row r="21" spans="1:79" s="524" customFormat="1" x14ac:dyDescent="0.2">
      <c r="A21" s="525" t="s">
        <v>34</v>
      </c>
      <c r="B21" s="526"/>
      <c r="C21" s="526"/>
      <c r="D21" s="526"/>
      <c r="E21" s="526"/>
      <c r="F21" s="526"/>
      <c r="G21" s="526"/>
      <c r="H21" s="526"/>
      <c r="I21" s="526"/>
      <c r="J21" s="526"/>
      <c r="K21" s="526"/>
      <c r="L21" s="526"/>
      <c r="M21" s="526"/>
      <c r="N21" s="527"/>
      <c r="O21" s="528">
        <v>0</v>
      </c>
      <c r="P21" s="528">
        <v>0</v>
      </c>
      <c r="Q21" s="528">
        <v>0</v>
      </c>
      <c r="R21" s="528">
        <v>0</v>
      </c>
      <c r="S21" s="528">
        <v>0</v>
      </c>
      <c r="T21" s="528">
        <v>0</v>
      </c>
      <c r="U21" s="528">
        <v>0</v>
      </c>
      <c r="V21" s="528">
        <v>0</v>
      </c>
      <c r="W21" s="528">
        <v>0</v>
      </c>
      <c r="X21" s="528">
        <v>0</v>
      </c>
      <c r="Y21" s="528">
        <v>0</v>
      </c>
      <c r="Z21" s="528">
        <v>0</v>
      </c>
      <c r="AA21" s="529">
        <v>0</v>
      </c>
      <c r="AB21" s="529"/>
      <c r="AC21" s="538">
        <v>0</v>
      </c>
      <c r="AD21" s="530"/>
      <c r="AE21" s="530"/>
      <c r="AF21" s="530"/>
      <c r="AG21" s="530"/>
      <c r="AH21" s="531"/>
      <c r="AI21" s="531"/>
      <c r="AJ21" s="531"/>
      <c r="AK21" s="531"/>
      <c r="AL21" s="523"/>
      <c r="AM21" s="528"/>
      <c r="AN21" s="528"/>
      <c r="AO21" s="528"/>
      <c r="AP21" s="528"/>
      <c r="AQ21" s="528"/>
      <c r="AR21" s="528"/>
      <c r="AS21" s="528"/>
      <c r="AT21" s="528"/>
      <c r="AU21" s="528"/>
      <c r="AV21" s="528"/>
      <c r="AW21" s="528"/>
      <c r="AX21" s="528"/>
      <c r="AY21" s="532"/>
      <c r="BA21" s="528"/>
      <c r="BB21" s="528"/>
      <c r="BC21" s="528"/>
      <c r="BD21" s="528"/>
      <c r="BE21" s="528"/>
      <c r="BF21" s="528"/>
      <c r="BG21" s="528"/>
      <c r="BH21" s="528"/>
      <c r="BI21" s="528"/>
      <c r="BJ21" s="528"/>
      <c r="BK21" s="528"/>
      <c r="BL21" s="528"/>
      <c r="BM21" s="532"/>
      <c r="BO21" s="528"/>
      <c r="BP21" s="528"/>
      <c r="BQ21" s="528"/>
      <c r="BR21" s="528"/>
      <c r="BS21" s="528"/>
      <c r="BT21" s="528"/>
      <c r="BU21" s="528"/>
      <c r="BV21" s="528"/>
      <c r="BW21" s="528"/>
      <c r="BX21" s="528"/>
      <c r="BY21" s="528"/>
      <c r="BZ21" s="528"/>
      <c r="CA21" s="532"/>
    </row>
    <row r="22" spans="1:79" s="524" customFormat="1" x14ac:dyDescent="0.2">
      <c r="A22" s="525" t="s">
        <v>30</v>
      </c>
      <c r="B22" s="526"/>
      <c r="C22" s="526"/>
      <c r="D22" s="526"/>
      <c r="E22" s="526"/>
      <c r="F22" s="526"/>
      <c r="G22" s="526"/>
      <c r="H22" s="526"/>
      <c r="I22" s="526"/>
      <c r="J22" s="526"/>
      <c r="K22" s="526"/>
      <c r="L22" s="526"/>
      <c r="M22" s="526"/>
      <c r="N22" s="527"/>
      <c r="O22" s="528">
        <v>0</v>
      </c>
      <c r="P22" s="528">
        <v>0</v>
      </c>
      <c r="Q22" s="528">
        <v>0</v>
      </c>
      <c r="R22" s="528">
        <v>0</v>
      </c>
      <c r="S22" s="528">
        <v>0</v>
      </c>
      <c r="T22" s="528">
        <v>0</v>
      </c>
      <c r="U22" s="528">
        <v>0</v>
      </c>
      <c r="V22" s="528">
        <v>0</v>
      </c>
      <c r="W22" s="528">
        <v>0</v>
      </c>
      <c r="X22" s="528">
        <v>0</v>
      </c>
      <c r="Y22" s="528">
        <v>0</v>
      </c>
      <c r="Z22" s="528">
        <v>0</v>
      </c>
      <c r="AA22" s="529">
        <v>0</v>
      </c>
      <c r="AB22" s="529"/>
      <c r="AC22" s="538">
        <v>0</v>
      </c>
      <c r="AD22" s="530"/>
      <c r="AE22" s="530"/>
      <c r="AF22" s="530"/>
      <c r="AG22" s="530"/>
      <c r="AH22" s="531"/>
      <c r="AI22" s="531"/>
      <c r="AJ22" s="531"/>
      <c r="AK22" s="531"/>
      <c r="AL22" s="523"/>
      <c r="AM22" s="528"/>
      <c r="AN22" s="528"/>
      <c r="AO22" s="528"/>
      <c r="AP22" s="528"/>
      <c r="AQ22" s="528"/>
      <c r="AR22" s="528"/>
      <c r="AS22" s="528"/>
      <c r="AT22" s="528"/>
      <c r="AU22" s="528"/>
      <c r="AV22" s="528"/>
      <c r="AW22" s="528"/>
      <c r="AX22" s="528"/>
      <c r="AY22" s="532"/>
      <c r="BA22" s="528"/>
      <c r="BB22" s="528"/>
      <c r="BC22" s="528"/>
      <c r="BD22" s="528"/>
      <c r="BE22" s="528"/>
      <c r="BF22" s="528"/>
      <c r="BG22" s="528"/>
      <c r="BH22" s="528"/>
      <c r="BI22" s="528"/>
      <c r="BJ22" s="528"/>
      <c r="BK22" s="528"/>
      <c r="BL22" s="528"/>
      <c r="BM22" s="532"/>
      <c r="BO22" s="528"/>
      <c r="BP22" s="528"/>
      <c r="BQ22" s="528"/>
      <c r="BR22" s="528"/>
      <c r="BS22" s="528"/>
      <c r="BT22" s="528"/>
      <c r="BU22" s="528"/>
      <c r="BV22" s="528"/>
      <c r="BW22" s="528"/>
      <c r="BX22" s="528"/>
      <c r="BY22" s="528"/>
      <c r="BZ22" s="528"/>
      <c r="CA22" s="532"/>
    </row>
    <row r="23" spans="1:79" x14ac:dyDescent="0.2">
      <c r="A23" s="203" t="s">
        <v>22</v>
      </c>
      <c r="B23" s="205">
        <v>0</v>
      </c>
      <c r="C23" s="205">
        <v>0</v>
      </c>
      <c r="D23" s="205">
        <v>0</v>
      </c>
      <c r="E23" s="205">
        <v>0</v>
      </c>
      <c r="F23" s="205">
        <v>17.32</v>
      </c>
      <c r="G23" s="205">
        <v>2109.7991499999998</v>
      </c>
      <c r="H23" s="205">
        <v>6670.132098</v>
      </c>
      <c r="I23" s="205">
        <v>10652.88365</v>
      </c>
      <c r="J23" s="205">
        <v>11801.154064</v>
      </c>
      <c r="K23" s="205">
        <v>19076.948188999999</v>
      </c>
      <c r="L23" s="205">
        <v>23421.773469302407</v>
      </c>
      <c r="M23" s="205">
        <v>31453.426001835691</v>
      </c>
      <c r="N23" s="206">
        <v>105203.43662213809</v>
      </c>
      <c r="O23" s="202">
        <v>60000</v>
      </c>
      <c r="P23" s="202">
        <v>51000</v>
      </c>
      <c r="Q23" s="202">
        <v>78000</v>
      </c>
      <c r="R23" s="202">
        <v>101400</v>
      </c>
      <c r="S23" s="202">
        <v>131820</v>
      </c>
      <c r="T23" s="202">
        <v>171366</v>
      </c>
      <c r="U23" s="202">
        <v>222775.80000000002</v>
      </c>
      <c r="V23" s="202">
        <v>289608.54000000004</v>
      </c>
      <c r="W23" s="202">
        <v>376491.10200000007</v>
      </c>
      <c r="X23" s="202">
        <v>459319.14444000006</v>
      </c>
      <c r="Y23" s="202">
        <v>560369.35621680005</v>
      </c>
      <c r="Z23" s="202">
        <v>683650.61458449601</v>
      </c>
      <c r="AA23" s="212">
        <v>3185800.5572412964</v>
      </c>
      <c r="AB23" s="221"/>
      <c r="AC23" s="537">
        <v>7.9347268822031289E-2</v>
      </c>
      <c r="AD23" s="516">
        <v>357611.49843465263</v>
      </c>
      <c r="AE23" s="509">
        <v>2828189.0588066438</v>
      </c>
      <c r="AF23" s="509">
        <v>235682.42156722033</v>
      </c>
      <c r="AG23" s="509"/>
      <c r="AH23" s="507">
        <v>404935.22107559664</v>
      </c>
      <c r="AI23" s="507"/>
      <c r="AJ23" s="507"/>
      <c r="AK23" s="507"/>
      <c r="AL23" s="225">
        <v>9.9336527342959065E-3</v>
      </c>
      <c r="AM23" s="202">
        <v>717833.1453137208</v>
      </c>
      <c r="AN23" s="202">
        <v>646049.83078234876</v>
      </c>
      <c r="AO23" s="202">
        <v>753724.80257940688</v>
      </c>
      <c r="AP23" s="202">
        <v>791411.04270837724</v>
      </c>
      <c r="AQ23" s="202">
        <v>830981.59484379611</v>
      </c>
      <c r="AR23" s="202">
        <v>872530.67458598595</v>
      </c>
      <c r="AS23" s="202">
        <v>916157.20831528527</v>
      </c>
      <c r="AT23" s="202">
        <v>961965.06873104954</v>
      </c>
      <c r="AU23" s="202">
        <v>1010063.322167602</v>
      </c>
      <c r="AV23" s="202">
        <v>1060566.4882759822</v>
      </c>
      <c r="AW23" s="202">
        <v>1113594.8126897814</v>
      </c>
      <c r="AX23" s="202">
        <v>1169274.5533242705</v>
      </c>
      <c r="AY23" s="212">
        <v>10844152.544317605</v>
      </c>
      <c r="BA23" s="202">
        <v>1227738.2809904842</v>
      </c>
      <c r="BB23" s="202">
        <v>1104964.4528914357</v>
      </c>
      <c r="BC23" s="202">
        <v>1289125.1950400085</v>
      </c>
      <c r="BD23" s="202">
        <v>1353581.454792009</v>
      </c>
      <c r="BE23" s="202">
        <v>1421260.5275316094</v>
      </c>
      <c r="BF23" s="202">
        <v>1492323.55390819</v>
      </c>
      <c r="BG23" s="202">
        <v>1566939.7316035996</v>
      </c>
      <c r="BH23" s="202">
        <v>1645286.7181837796</v>
      </c>
      <c r="BI23" s="202">
        <v>1727551.0540929686</v>
      </c>
      <c r="BJ23" s="202">
        <v>1813928.6067976172</v>
      </c>
      <c r="BK23" s="202">
        <v>1904625.0371374981</v>
      </c>
      <c r="BL23" s="202">
        <v>1999856.2889943731</v>
      </c>
      <c r="BM23" s="212">
        <v>18547180.901963573</v>
      </c>
      <c r="BO23" s="202">
        <v>2099849.103444092</v>
      </c>
      <c r="BP23" s="202">
        <v>1889864.1930996829</v>
      </c>
      <c r="BQ23" s="202">
        <v>2204841.5586162969</v>
      </c>
      <c r="BR23" s="202">
        <v>2315083.6365471119</v>
      </c>
      <c r="BS23" s="202">
        <v>2430837.8183744675</v>
      </c>
      <c r="BT23" s="202">
        <v>2552379.7092931909</v>
      </c>
      <c r="BU23" s="202">
        <v>2679998.6947578504</v>
      </c>
      <c r="BV23" s="202">
        <v>2813998.6294957432</v>
      </c>
      <c r="BW23" s="202">
        <v>2954698.5609705304</v>
      </c>
      <c r="BX23" s="202">
        <v>3102433.4890190572</v>
      </c>
      <c r="BY23" s="202">
        <v>3257555.1634700103</v>
      </c>
      <c r="BZ23" s="202">
        <v>3420432.9216435109</v>
      </c>
      <c r="CA23" s="212">
        <v>31721973.478731547</v>
      </c>
    </row>
    <row r="24" spans="1:79" x14ac:dyDescent="0.2">
      <c r="A24" s="203" t="s">
        <v>23</v>
      </c>
      <c r="B24" s="205">
        <v>24083.991478</v>
      </c>
      <c r="C24" s="205">
        <v>36640.461414000005</v>
      </c>
      <c r="D24" s="205">
        <v>33026.916150000005</v>
      </c>
      <c r="E24" s="205">
        <v>32576.933247000001</v>
      </c>
      <c r="F24" s="205">
        <v>36674.358942999999</v>
      </c>
      <c r="G24" s="205">
        <v>40526.527931999997</v>
      </c>
      <c r="H24" s="205">
        <v>41027.761362999998</v>
      </c>
      <c r="I24" s="205">
        <v>35877.703344000001</v>
      </c>
      <c r="J24" s="205">
        <v>33807.240818999999</v>
      </c>
      <c r="K24" s="205">
        <v>36440.748063999999</v>
      </c>
      <c r="L24" s="205">
        <v>41522.253688299999</v>
      </c>
      <c r="M24" s="205">
        <v>42049.387259215</v>
      </c>
      <c r="N24" s="206">
        <v>434254.28370151494</v>
      </c>
      <c r="O24" s="202">
        <v>45000</v>
      </c>
      <c r="P24" s="202">
        <v>45000</v>
      </c>
      <c r="Q24" s="202">
        <v>45000</v>
      </c>
      <c r="R24" s="202">
        <v>45000</v>
      </c>
      <c r="S24" s="202">
        <v>45000</v>
      </c>
      <c r="T24" s="202">
        <v>45000</v>
      </c>
      <c r="U24" s="202">
        <v>45000</v>
      </c>
      <c r="V24" s="202">
        <v>45000</v>
      </c>
      <c r="W24" s="202">
        <v>45000</v>
      </c>
      <c r="X24" s="202">
        <v>45000</v>
      </c>
      <c r="Y24" s="202">
        <v>45000</v>
      </c>
      <c r="Z24" s="202">
        <v>45000</v>
      </c>
      <c r="AA24" s="508">
        <v>540000</v>
      </c>
      <c r="AB24" s="221"/>
      <c r="AC24" s="537">
        <v>1.3449531567977428E-2</v>
      </c>
      <c r="AD24" s="516">
        <v>589678.9131358295</v>
      </c>
      <c r="AE24" s="509">
        <v>-49678.913135829498</v>
      </c>
      <c r="AF24" s="509">
        <v>-4139.9094279857918</v>
      </c>
      <c r="AG24" s="509"/>
      <c r="AH24" s="507">
        <v>667712.76119329804</v>
      </c>
      <c r="AI24" s="507"/>
      <c r="AJ24" s="507">
        <v>541500</v>
      </c>
      <c r="AK24" s="507"/>
      <c r="AL24" s="225">
        <v>1.6379969809328598E-2</v>
      </c>
      <c r="AM24" s="202">
        <v>47250</v>
      </c>
      <c r="AN24" s="202">
        <v>42525</v>
      </c>
      <c r="AO24" s="202">
        <v>49612.5</v>
      </c>
      <c r="AP24" s="202">
        <v>52093.125</v>
      </c>
      <c r="AQ24" s="202">
        <v>54697.78125</v>
      </c>
      <c r="AR24" s="202">
        <v>57432.670312500006</v>
      </c>
      <c r="AS24" s="202">
        <v>60304.303828125012</v>
      </c>
      <c r="AT24" s="202">
        <v>63319.519019531268</v>
      </c>
      <c r="AU24" s="202">
        <v>66485.494970507832</v>
      </c>
      <c r="AV24" s="202">
        <v>69809.769719033226</v>
      </c>
      <c r="AW24" s="202">
        <v>73300.258204984886</v>
      </c>
      <c r="AX24" s="202">
        <v>76965.271115234136</v>
      </c>
      <c r="AY24" s="212">
        <v>713795.69341991632</v>
      </c>
      <c r="BA24" s="202">
        <v>80813.534670995839</v>
      </c>
      <c r="BB24" s="202">
        <v>72732.181203896253</v>
      </c>
      <c r="BC24" s="202">
        <v>84854.21140454564</v>
      </c>
      <c r="BD24" s="202">
        <v>89096.921974772922</v>
      </c>
      <c r="BE24" s="202">
        <v>93551.768073511572</v>
      </c>
      <c r="BF24" s="202">
        <v>98229.356477187161</v>
      </c>
      <c r="BG24" s="202">
        <v>103140.82430104652</v>
      </c>
      <c r="BH24" s="202">
        <v>108297.86551609886</v>
      </c>
      <c r="BI24" s="202">
        <v>113712.75879190381</v>
      </c>
      <c r="BJ24" s="202">
        <v>119398.396731499</v>
      </c>
      <c r="BK24" s="202">
        <v>125368.31656807396</v>
      </c>
      <c r="BL24" s="202">
        <v>131636.73239647766</v>
      </c>
      <c r="BM24" s="212">
        <v>1220832.8681100092</v>
      </c>
      <c r="BO24" s="202">
        <v>138218.56901630154</v>
      </c>
      <c r="BP24" s="202">
        <v>124396.71211467139</v>
      </c>
      <c r="BQ24" s="202">
        <v>145129.49746711663</v>
      </c>
      <c r="BR24" s="202">
        <v>152385.97234047248</v>
      </c>
      <c r="BS24" s="202">
        <v>160005.2709574961</v>
      </c>
      <c r="BT24" s="202">
        <v>168005.53450537092</v>
      </c>
      <c r="BU24" s="202">
        <v>176405.81123063946</v>
      </c>
      <c r="BV24" s="202">
        <v>185226.10179217145</v>
      </c>
      <c r="BW24" s="202">
        <v>194487.40688178004</v>
      </c>
      <c r="BX24" s="202">
        <v>204211.77722586907</v>
      </c>
      <c r="BY24" s="202">
        <v>214422.36608716252</v>
      </c>
      <c r="BZ24" s="202">
        <v>225143.48439152064</v>
      </c>
      <c r="CA24" s="212">
        <v>2088038.5040105721</v>
      </c>
    </row>
    <row r="25" spans="1:79" x14ac:dyDescent="0.2">
      <c r="A25" s="203" t="s">
        <v>24</v>
      </c>
      <c r="B25" s="205">
        <v>0</v>
      </c>
      <c r="C25" s="205">
        <v>0</v>
      </c>
      <c r="D25" s="205">
        <v>0</v>
      </c>
      <c r="E25" s="205">
        <v>0</v>
      </c>
      <c r="F25" s="205">
        <v>0</v>
      </c>
      <c r="G25" s="205">
        <v>0</v>
      </c>
      <c r="H25" s="205">
        <v>0</v>
      </c>
      <c r="I25" s="205">
        <v>0</v>
      </c>
      <c r="J25" s="205">
        <v>0</v>
      </c>
      <c r="K25" s="205">
        <v>0</v>
      </c>
      <c r="L25" s="205">
        <v>0</v>
      </c>
      <c r="M25" s="205">
        <v>0</v>
      </c>
      <c r="N25" s="206">
        <v>0</v>
      </c>
      <c r="O25" s="202"/>
      <c r="P25" s="202"/>
      <c r="Q25" s="202">
        <v>76923.076923076922</v>
      </c>
      <c r="R25" s="202">
        <v>76923.076923076922</v>
      </c>
      <c r="S25" s="202">
        <v>153846.15384615384</v>
      </c>
      <c r="T25" s="202">
        <v>307692.30769230769</v>
      </c>
      <c r="U25" s="202">
        <v>384615.38461538462</v>
      </c>
      <c r="V25" s="202">
        <v>461538.46153846156</v>
      </c>
      <c r="W25" s="202">
        <v>538461.53846153838</v>
      </c>
      <c r="X25" s="202">
        <v>615384.61538461538</v>
      </c>
      <c r="Y25" s="202">
        <v>692307.69230769225</v>
      </c>
      <c r="Z25" s="202">
        <v>692307.69230769225</v>
      </c>
      <c r="AA25" s="508">
        <v>4000000</v>
      </c>
      <c r="AB25" s="221"/>
      <c r="AC25" s="537">
        <v>9.9626159762795763E-2</v>
      </c>
      <c r="AD25" s="516">
        <v>2296144.7844926193</v>
      </c>
      <c r="AE25" s="509">
        <v>1703855.2155073807</v>
      </c>
      <c r="AF25" s="509">
        <v>170385.52155073808</v>
      </c>
      <c r="AG25" s="509"/>
      <c r="AH25" s="507">
        <v>2600000</v>
      </c>
      <c r="AI25" s="507"/>
      <c r="AJ25" s="507"/>
      <c r="AK25" s="507"/>
      <c r="AL25" s="225">
        <v>6.378179956923942E-2</v>
      </c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1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1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12"/>
    </row>
    <row r="26" spans="1:79" x14ac:dyDescent="0.2">
      <c r="A26" s="203" t="s">
        <v>25</v>
      </c>
      <c r="B26" s="218">
        <v>109061.42327499999</v>
      </c>
      <c r="C26" s="218">
        <v>95253.172206000003</v>
      </c>
      <c r="D26" s="218">
        <v>112073.329818</v>
      </c>
      <c r="E26" s="218">
        <v>114487.336129</v>
      </c>
      <c r="F26" s="218">
        <v>119537.60165900001</v>
      </c>
      <c r="G26" s="218">
        <v>118759.501319</v>
      </c>
      <c r="H26" s="218">
        <v>118080.713257</v>
      </c>
      <c r="I26" s="218">
        <v>97304.269148000007</v>
      </c>
      <c r="J26" s="218">
        <v>86259.163136000003</v>
      </c>
      <c r="K26" s="218">
        <v>84239.414747000003</v>
      </c>
      <c r="L26" s="218">
        <v>84239.414747000003</v>
      </c>
      <c r="M26" s="218">
        <v>84239.414747000003</v>
      </c>
      <c r="N26" s="206">
        <v>1223534.754188</v>
      </c>
      <c r="O26" s="202">
        <v>45000</v>
      </c>
      <c r="P26" s="202">
        <v>45000</v>
      </c>
      <c r="Q26" s="202">
        <v>45000</v>
      </c>
      <c r="R26" s="202">
        <v>45000</v>
      </c>
      <c r="S26" s="202">
        <v>40000</v>
      </c>
      <c r="T26" s="202">
        <v>40000</v>
      </c>
      <c r="U26" s="202">
        <v>40000</v>
      </c>
      <c r="V26" s="202">
        <v>40000</v>
      </c>
      <c r="W26" s="202">
        <v>40000</v>
      </c>
      <c r="X26" s="202">
        <v>40000</v>
      </c>
      <c r="Y26" s="202">
        <v>40000</v>
      </c>
      <c r="Z26" s="202">
        <v>40000</v>
      </c>
      <c r="AA26" s="508">
        <v>500000</v>
      </c>
      <c r="AB26" s="221"/>
      <c r="AC26" s="537">
        <v>1.245326997034947E-2</v>
      </c>
      <c r="AD26" s="516">
        <v>953783.21817385708</v>
      </c>
      <c r="AE26" s="509">
        <v>-453783.21817385708</v>
      </c>
      <c r="AF26" s="509">
        <v>-37815.268181154759</v>
      </c>
      <c r="AG26" s="509"/>
      <c r="AH26" s="507">
        <v>1080000</v>
      </c>
      <c r="AI26" s="507"/>
      <c r="AJ26" s="507"/>
      <c r="AK26" s="507"/>
      <c r="AL26" s="225">
        <v>2.649397828260714E-2</v>
      </c>
      <c r="AM26" s="202">
        <v>40000</v>
      </c>
      <c r="AN26" s="202">
        <v>40000</v>
      </c>
      <c r="AO26" s="202">
        <v>40000</v>
      </c>
      <c r="AP26" s="202">
        <v>40000</v>
      </c>
      <c r="AQ26" s="202">
        <v>40000</v>
      </c>
      <c r="AR26" s="202">
        <v>40000</v>
      </c>
      <c r="AS26" s="202">
        <v>40000</v>
      </c>
      <c r="AT26" s="202">
        <v>40000</v>
      </c>
      <c r="AU26" s="202">
        <v>40000</v>
      </c>
      <c r="AV26" s="202">
        <v>40000</v>
      </c>
      <c r="AW26" s="202">
        <v>40000</v>
      </c>
      <c r="AX26" s="202">
        <v>40000</v>
      </c>
      <c r="AY26" s="212">
        <v>480000</v>
      </c>
      <c r="BA26" s="202">
        <v>40000</v>
      </c>
      <c r="BB26" s="202">
        <v>40000</v>
      </c>
      <c r="BC26" s="202">
        <v>40000</v>
      </c>
      <c r="BD26" s="202">
        <v>40000</v>
      </c>
      <c r="BE26" s="202">
        <v>40000</v>
      </c>
      <c r="BF26" s="202">
        <v>40000</v>
      </c>
      <c r="BG26" s="202">
        <v>40000</v>
      </c>
      <c r="BH26" s="202">
        <v>40000</v>
      </c>
      <c r="BI26" s="202">
        <v>40000</v>
      </c>
      <c r="BJ26" s="202">
        <v>40000</v>
      </c>
      <c r="BK26" s="202">
        <v>40000</v>
      </c>
      <c r="BL26" s="202">
        <v>40000</v>
      </c>
      <c r="BM26" s="212">
        <v>480000</v>
      </c>
      <c r="BO26" s="202">
        <v>40000</v>
      </c>
      <c r="BP26" s="202">
        <v>40000</v>
      </c>
      <c r="BQ26" s="202">
        <v>40000</v>
      </c>
      <c r="BR26" s="202">
        <v>40000</v>
      </c>
      <c r="BS26" s="202">
        <v>40000</v>
      </c>
      <c r="BT26" s="202">
        <v>40000</v>
      </c>
      <c r="BU26" s="202">
        <v>40000</v>
      </c>
      <c r="BV26" s="202">
        <v>40000</v>
      </c>
      <c r="BW26" s="202">
        <v>40000</v>
      </c>
      <c r="BX26" s="202">
        <v>40000</v>
      </c>
      <c r="BY26" s="202">
        <v>40000</v>
      </c>
      <c r="BZ26" s="202">
        <v>40000</v>
      </c>
      <c r="CA26" s="212">
        <v>480000</v>
      </c>
    </row>
    <row r="27" spans="1:79" x14ac:dyDescent="0.2">
      <c r="A27" s="203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06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508"/>
      <c r="AB27" s="221"/>
      <c r="AC27" s="537"/>
      <c r="AD27" s="516"/>
      <c r="AE27" s="509"/>
      <c r="AF27" s="509"/>
      <c r="AG27" s="509"/>
      <c r="AH27" s="507"/>
      <c r="AI27" s="507"/>
      <c r="AJ27" s="507"/>
      <c r="AK27" s="507"/>
      <c r="AL27" s="225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1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1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12"/>
    </row>
    <row r="28" spans="1:79" x14ac:dyDescent="0.2">
      <c r="A28" s="203"/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06"/>
      <c r="O28" s="225">
        <v>7.0000000000000007E-2</v>
      </c>
      <c r="P28" s="225">
        <v>-0.1</v>
      </c>
      <c r="Q28" s="225">
        <v>0.05</v>
      </c>
      <c r="R28" s="225">
        <v>0.05</v>
      </c>
      <c r="S28" s="225">
        <v>0.05</v>
      </c>
      <c r="T28" s="225">
        <v>0.05</v>
      </c>
      <c r="U28" s="225">
        <v>0.05</v>
      </c>
      <c r="V28" s="225">
        <v>0.05</v>
      </c>
      <c r="W28" s="225">
        <v>0.05</v>
      </c>
      <c r="X28" s="225">
        <v>0.05</v>
      </c>
      <c r="Y28" s="225">
        <v>0.05</v>
      </c>
      <c r="Z28" s="225">
        <v>0.05</v>
      </c>
      <c r="AA28" s="508"/>
      <c r="AB28" s="221"/>
      <c r="AC28" s="537"/>
      <c r="AD28" s="516"/>
      <c r="AE28" s="509"/>
      <c r="AF28" s="509"/>
      <c r="AG28" s="509"/>
      <c r="AH28" s="507"/>
      <c r="AI28" s="507"/>
      <c r="AJ28" s="507"/>
      <c r="AK28" s="507"/>
      <c r="AL28" s="225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1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2"/>
      <c r="BL28" s="202"/>
      <c r="BM28" s="21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12"/>
    </row>
    <row r="29" spans="1:79" x14ac:dyDescent="0.2">
      <c r="A29" s="203"/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522"/>
      <c r="O29" s="222">
        <v>314580</v>
      </c>
      <c r="P29" s="222">
        <v>1090658.4372</v>
      </c>
      <c r="Q29" s="222">
        <v>324135</v>
      </c>
      <c r="R29" s="222">
        <v>291721.5</v>
      </c>
      <c r="S29" s="222">
        <v>340341.75</v>
      </c>
      <c r="T29" s="222">
        <v>357358.83750000002</v>
      </c>
      <c r="U29" s="222">
        <v>375226.77937500004</v>
      </c>
      <c r="V29" s="222">
        <v>393988.11834375007</v>
      </c>
      <c r="W29" s="222">
        <v>413687.52426093759</v>
      </c>
      <c r="X29" s="222">
        <v>434371.90047398448</v>
      </c>
      <c r="Y29" s="222">
        <v>456090.4954976837</v>
      </c>
      <c r="Z29" s="222">
        <v>498335.9217559286</v>
      </c>
      <c r="AA29" s="533"/>
      <c r="AB29" s="533"/>
      <c r="AC29" s="537"/>
      <c r="AD29" s="544">
        <v>0.10033392701015971</v>
      </c>
      <c r="AE29" s="516"/>
      <c r="AF29" s="516"/>
      <c r="AG29" s="516"/>
      <c r="AH29" s="510"/>
      <c r="AI29" s="510"/>
      <c r="AJ29" s="510"/>
      <c r="AK29" s="510"/>
      <c r="AL29" s="223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1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1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1"/>
    </row>
    <row r="30" spans="1:79" x14ac:dyDescent="0.2">
      <c r="A30" s="203"/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06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21"/>
      <c r="AB30" s="221"/>
      <c r="AC30" s="537"/>
      <c r="AD30" s="516"/>
      <c r="AE30" s="509"/>
      <c r="AF30" s="509">
        <v>0</v>
      </c>
      <c r="AG30" s="509"/>
      <c r="AH30" s="507"/>
      <c r="AI30" s="507"/>
      <c r="AJ30" s="507"/>
      <c r="AK30" s="507"/>
      <c r="AL30" s="225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1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1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12"/>
    </row>
    <row r="31" spans="1:79" x14ac:dyDescent="0.2">
      <c r="B31" s="220">
        <v>631570.36475299986</v>
      </c>
      <c r="C31" s="220">
        <v>532086.84362000006</v>
      </c>
      <c r="D31" s="220">
        <v>716597.66596799984</v>
      </c>
      <c r="E31" s="220">
        <v>830767.10737599991</v>
      </c>
      <c r="F31" s="220">
        <v>877642.74260200001</v>
      </c>
      <c r="G31" s="220">
        <v>966595.44040099997</v>
      </c>
      <c r="H31" s="220">
        <v>1316244.086718</v>
      </c>
      <c r="I31" s="220">
        <v>1305289.3721419999</v>
      </c>
      <c r="J31" s="220">
        <v>1760068.3340189997</v>
      </c>
      <c r="K31" s="220">
        <v>1971790.2610000002</v>
      </c>
      <c r="L31" s="220">
        <v>2097305.9804927232</v>
      </c>
      <c r="M31" s="220">
        <v>2203270.8935255776</v>
      </c>
      <c r="N31" s="220">
        <v>15209229.092617298</v>
      </c>
      <c r="O31" s="220">
        <f>SUM(O32:O40)</f>
        <v>2234708.7051833826</v>
      </c>
      <c r="P31" s="220">
        <f t="shared" ref="P31:AA31" si="0">SUM(P32:P40)</f>
        <v>2023260.4933250095</v>
      </c>
      <c r="Q31" s="220">
        <f t="shared" si="0"/>
        <v>2407403.3094829759</v>
      </c>
      <c r="R31" s="220">
        <f t="shared" si="0"/>
        <v>2546233.4655722692</v>
      </c>
      <c r="S31" s="220">
        <f t="shared" si="0"/>
        <v>2766108.369501777</v>
      </c>
      <c r="T31" s="220">
        <f t="shared" si="0"/>
        <v>3083685.8969060848</v>
      </c>
      <c r="U31" s="220">
        <f t="shared" si="0"/>
        <v>3364946.0154732079</v>
      </c>
      <c r="V31" s="220">
        <f t="shared" si="0"/>
        <v>3649658.9693150748</v>
      </c>
      <c r="W31" s="220">
        <f t="shared" si="0"/>
        <v>3975987.4102914468</v>
      </c>
      <c r="X31" s="220">
        <f t="shared" si="0"/>
        <v>4288782.4759926023</v>
      </c>
      <c r="Y31" s="220">
        <f t="shared" si="0"/>
        <v>4691511.8093862403</v>
      </c>
      <c r="Z31" s="220">
        <f t="shared" si="0"/>
        <v>5117810.2982499702</v>
      </c>
      <c r="AA31" s="220">
        <f t="shared" si="0"/>
        <v>40150097.218680046</v>
      </c>
      <c r="AB31" s="221"/>
      <c r="AC31" s="537"/>
      <c r="AD31" s="221"/>
      <c r="AE31" s="221"/>
      <c r="AF31" s="221"/>
      <c r="AG31" s="221"/>
      <c r="AM31" s="220">
        <v>4783945.8203049777</v>
      </c>
      <c r="AN31" s="220">
        <v>4459551.2382744793</v>
      </c>
      <c r="AO31" s="220">
        <v>4946143.1113202265</v>
      </c>
      <c r="AP31" s="220">
        <v>5116450.266886238</v>
      </c>
      <c r="AQ31" s="220">
        <v>5295272.7802305501</v>
      </c>
      <c r="AR31" s="220">
        <v>5483036.4192420775</v>
      </c>
      <c r="AS31" s="220">
        <v>5680188.2402041815</v>
      </c>
      <c r="AT31" s="220">
        <v>5887197.6522143893</v>
      </c>
      <c r="AU31" s="220">
        <v>6104557.5348251108</v>
      </c>
      <c r="AV31" s="220">
        <v>6332785.4115663664</v>
      </c>
      <c r="AW31" s="220">
        <v>6572424.6821446847</v>
      </c>
      <c r="AX31" s="220">
        <v>6824045.9162519202</v>
      </c>
      <c r="AY31" s="221">
        <v>67485599.073465198</v>
      </c>
      <c r="BA31" s="220">
        <v>6942273.3472339911</v>
      </c>
      <c r="BB31" s="220">
        <v>6693995.7421716386</v>
      </c>
      <c r="BC31" s="220">
        <v>7066412.1497651674</v>
      </c>
      <c r="BD31" s="220">
        <v>7196757.8924229024</v>
      </c>
      <c r="BE31" s="220">
        <v>7333620.9222135236</v>
      </c>
      <c r="BF31" s="220">
        <v>7477327.1034936775</v>
      </c>
      <c r="BG31" s="220">
        <v>7628218.5938378377</v>
      </c>
      <c r="BH31" s="220">
        <v>7786654.6586992079</v>
      </c>
      <c r="BI31" s="220">
        <v>7953012.5268036434</v>
      </c>
      <c r="BJ31" s="220">
        <v>8127688.2883133013</v>
      </c>
      <c r="BK31" s="220">
        <v>8311097.8378984435</v>
      </c>
      <c r="BL31" s="220">
        <v>8503677.8649628423</v>
      </c>
      <c r="BM31" s="221">
        <v>91020736.927816182</v>
      </c>
      <c r="BO31" s="220">
        <v>8705886.8933804613</v>
      </c>
      <c r="BP31" s="220">
        <v>8281247.9337034635</v>
      </c>
      <c r="BQ31" s="220">
        <v>8918206.3732189629</v>
      </c>
      <c r="BR31" s="220">
        <v>9141141.8270493858</v>
      </c>
      <c r="BS31" s="220">
        <v>9375224.0535713322</v>
      </c>
      <c r="BT31" s="220">
        <v>9621010.3914193753</v>
      </c>
      <c r="BU31" s="220">
        <v>9879086.0461598206</v>
      </c>
      <c r="BV31" s="220">
        <v>10150065.483637288</v>
      </c>
      <c r="BW31" s="220">
        <v>10434593.89298863</v>
      </c>
      <c r="BX31" s="220">
        <v>10733348.722807538</v>
      </c>
      <c r="BY31" s="220">
        <v>11047041.294117393</v>
      </c>
      <c r="BZ31" s="220">
        <v>11376418.493992737</v>
      </c>
      <c r="CA31" s="221">
        <v>117663271.40604639</v>
      </c>
    </row>
    <row r="32" spans="1:79" x14ac:dyDescent="0.2">
      <c r="A32" s="207" t="s">
        <v>9</v>
      </c>
      <c r="B32" s="222">
        <v>323385.08999999997</v>
      </c>
      <c r="C32" s="222">
        <v>266374.90000000002</v>
      </c>
      <c r="D32" s="222">
        <v>360136.61</v>
      </c>
      <c r="E32" s="222">
        <v>414390.81799999997</v>
      </c>
      <c r="F32" s="222">
        <v>406686.28200000001</v>
      </c>
      <c r="G32" s="222">
        <v>426354.68200000003</v>
      </c>
      <c r="H32" s="222">
        <v>563773.04999999993</v>
      </c>
      <c r="I32" s="222">
        <v>536583.98</v>
      </c>
      <c r="J32" s="222">
        <v>736960.96799999999</v>
      </c>
      <c r="K32" s="222">
        <v>814274.59600000002</v>
      </c>
      <c r="L32" s="222">
        <v>860000</v>
      </c>
      <c r="M32" s="222">
        <v>903000</v>
      </c>
      <c r="N32" s="201">
        <v>6611920.9759999998</v>
      </c>
      <c r="O32" s="222">
        <v>926416.21119374293</v>
      </c>
      <c r="P32" s="222">
        <v>833407.21119374281</v>
      </c>
      <c r="Q32" s="222">
        <v>954318.91119374288</v>
      </c>
      <c r="R32" s="222">
        <v>983058.69219374296</v>
      </c>
      <c r="S32" s="222">
        <v>1022527.9914337429</v>
      </c>
      <c r="T32" s="222">
        <v>1063576.0626433431</v>
      </c>
      <c r="U32" s="222">
        <v>1106266.0567013272</v>
      </c>
      <c r="V32" s="222">
        <v>1150663.6505216304</v>
      </c>
      <c r="W32" s="222">
        <v>1208380.522488025</v>
      </c>
      <c r="X32" s="222">
        <v>1250000</v>
      </c>
      <c r="Y32" s="222">
        <v>1350000</v>
      </c>
      <c r="Z32" s="222">
        <v>1500000</v>
      </c>
      <c r="AA32" s="212">
        <v>13348615.309563041</v>
      </c>
      <c r="AB32" s="221"/>
      <c r="AC32" s="537"/>
      <c r="AD32" s="221"/>
      <c r="AE32" s="212"/>
      <c r="AF32" s="212"/>
      <c r="AG32" s="212"/>
      <c r="AM32" s="222">
        <v>1500000</v>
      </c>
      <c r="AN32" s="222">
        <v>1500000</v>
      </c>
      <c r="AO32" s="222">
        <v>1500000</v>
      </c>
      <c r="AP32" s="222">
        <v>1500000</v>
      </c>
      <c r="AQ32" s="222">
        <v>1500000</v>
      </c>
      <c r="AR32" s="222">
        <v>1500000</v>
      </c>
      <c r="AS32" s="222">
        <v>1500000</v>
      </c>
      <c r="AT32" s="222">
        <v>1500000</v>
      </c>
      <c r="AU32" s="222">
        <v>1500000</v>
      </c>
      <c r="AV32" s="222">
        <v>1500000</v>
      </c>
      <c r="AW32" s="222">
        <v>1500000</v>
      </c>
      <c r="AX32" s="222">
        <v>1500000</v>
      </c>
      <c r="AY32" s="212">
        <v>18000000</v>
      </c>
      <c r="BA32" s="222">
        <v>1500000</v>
      </c>
      <c r="BB32" s="222">
        <v>1500000</v>
      </c>
      <c r="BC32" s="222">
        <v>1500000</v>
      </c>
      <c r="BD32" s="222">
        <v>1500000</v>
      </c>
      <c r="BE32" s="222">
        <v>1500000</v>
      </c>
      <c r="BF32" s="222">
        <v>1500000</v>
      </c>
      <c r="BG32" s="222">
        <v>1500000</v>
      </c>
      <c r="BH32" s="222">
        <v>1500000</v>
      </c>
      <c r="BI32" s="222">
        <v>1500000</v>
      </c>
      <c r="BJ32" s="222">
        <v>1500000</v>
      </c>
      <c r="BK32" s="222">
        <v>1500000</v>
      </c>
      <c r="BL32" s="222">
        <v>1500000</v>
      </c>
      <c r="BM32" s="212">
        <v>18000000</v>
      </c>
      <c r="BO32" s="222">
        <v>1500000</v>
      </c>
      <c r="BP32" s="222">
        <v>1500000</v>
      </c>
      <c r="BQ32" s="222">
        <v>1500000</v>
      </c>
      <c r="BR32" s="222">
        <v>1500000</v>
      </c>
      <c r="BS32" s="222">
        <v>1500000</v>
      </c>
      <c r="BT32" s="222">
        <v>1500000</v>
      </c>
      <c r="BU32" s="222">
        <v>1500000</v>
      </c>
      <c r="BV32" s="222">
        <v>1500000</v>
      </c>
      <c r="BW32" s="222">
        <v>1500000</v>
      </c>
      <c r="BX32" s="222">
        <v>1500000</v>
      </c>
      <c r="BY32" s="222">
        <v>1500000</v>
      </c>
      <c r="BZ32" s="222">
        <v>1500000</v>
      </c>
      <c r="CA32" s="212">
        <v>18000000</v>
      </c>
    </row>
    <row r="33" spans="1:79" x14ac:dyDescent="0.2">
      <c r="A33" s="207" t="s">
        <v>26</v>
      </c>
      <c r="B33" s="222">
        <v>148327.82999999999</v>
      </c>
      <c r="C33" s="222">
        <v>111579.44</v>
      </c>
      <c r="D33" s="222">
        <v>175949.31</v>
      </c>
      <c r="E33" s="222">
        <v>227662.41</v>
      </c>
      <c r="F33" s="222">
        <v>232669.35</v>
      </c>
      <c r="G33" s="222">
        <v>273801.46000000002</v>
      </c>
      <c r="H33" s="222">
        <v>432361.51</v>
      </c>
      <c r="I33" s="222">
        <v>463375.326</v>
      </c>
      <c r="J33" s="222">
        <v>683084.02800000005</v>
      </c>
      <c r="K33" s="222">
        <v>762588.33400000003</v>
      </c>
      <c r="L33" s="222">
        <v>798857.68355610431</v>
      </c>
      <c r="M33" s="222">
        <v>838800.56773390959</v>
      </c>
      <c r="N33" s="201">
        <v>5149057.2492900137</v>
      </c>
      <c r="O33" s="222">
        <v>886188.60179794417</v>
      </c>
      <c r="P33" s="222">
        <v>797569.74161814968</v>
      </c>
      <c r="Q33" s="222">
        <v>918948.25985188247</v>
      </c>
      <c r="R33" s="222">
        <v>970843.80544299539</v>
      </c>
      <c r="S33" s="222">
        <v>1025691.0162695752</v>
      </c>
      <c r="T33" s="222">
        <v>1083658.8888707496</v>
      </c>
      <c r="U33" s="222">
        <v>1144926.1544092449</v>
      </c>
      <c r="V33" s="222">
        <v>1209681.842490362</v>
      </c>
      <c r="W33" s="222">
        <v>1278125.8777971745</v>
      </c>
      <c r="X33" s="222">
        <v>1350000</v>
      </c>
      <c r="Y33" s="222">
        <v>1400000</v>
      </c>
      <c r="Z33" s="222">
        <v>1503000</v>
      </c>
      <c r="AA33" s="212">
        <v>13568634.188548077</v>
      </c>
      <c r="AB33" s="221"/>
      <c r="AC33" s="537"/>
      <c r="AD33" s="221"/>
      <c r="AE33" s="212"/>
      <c r="AF33" s="212"/>
      <c r="AG33" s="212"/>
      <c r="AM33" s="222">
        <v>1792318.0840655849</v>
      </c>
      <c r="AN33" s="222">
        <v>1613086.2756590266</v>
      </c>
      <c r="AO33" s="222">
        <v>1881933.9882688643</v>
      </c>
      <c r="AP33" s="222">
        <v>1976030.6876823073</v>
      </c>
      <c r="AQ33" s="222">
        <v>2074832.2220664229</v>
      </c>
      <c r="AR33" s="222">
        <v>2178573.8331697444</v>
      </c>
      <c r="AS33" s="222">
        <v>2287502.5248282314</v>
      </c>
      <c r="AT33" s="222">
        <v>2401877.651069643</v>
      </c>
      <c r="AU33" s="222">
        <v>2521971.5336231254</v>
      </c>
      <c r="AV33" s="222">
        <v>2648070.1103042816</v>
      </c>
      <c r="AW33" s="222">
        <v>2780473.6158194961</v>
      </c>
      <c r="AX33" s="222">
        <v>2919497.2966104709</v>
      </c>
      <c r="AY33" s="212">
        <v>27076167.823167197</v>
      </c>
      <c r="BA33" s="222">
        <v>2919497.2966104709</v>
      </c>
      <c r="BB33" s="222">
        <v>2919497.2966104709</v>
      </c>
      <c r="BC33" s="222">
        <v>2919497.2966104709</v>
      </c>
      <c r="BD33" s="222">
        <v>2919497.2966104709</v>
      </c>
      <c r="BE33" s="222">
        <v>2919497.2966104709</v>
      </c>
      <c r="BF33" s="222">
        <v>2919497.2966104709</v>
      </c>
      <c r="BG33" s="222">
        <v>2919497.2966104709</v>
      </c>
      <c r="BH33" s="222">
        <v>2919497.2966104709</v>
      </c>
      <c r="BI33" s="222">
        <v>2919497.2966104709</v>
      </c>
      <c r="BJ33" s="222">
        <v>2919497.2966104709</v>
      </c>
      <c r="BK33" s="222">
        <v>2919497.2966104709</v>
      </c>
      <c r="BL33" s="222">
        <v>2919497.2966104709</v>
      </c>
      <c r="BM33" s="212">
        <v>35033967.55932565</v>
      </c>
      <c r="BO33" s="222">
        <v>2919497.2966104709</v>
      </c>
      <c r="BP33" s="222">
        <v>2919497.2966104709</v>
      </c>
      <c r="BQ33" s="222">
        <v>2919497.2966104709</v>
      </c>
      <c r="BR33" s="222">
        <v>2919497.2966104709</v>
      </c>
      <c r="BS33" s="222">
        <v>2919497.2966104709</v>
      </c>
      <c r="BT33" s="222">
        <v>2919497.2966104709</v>
      </c>
      <c r="BU33" s="222">
        <v>2919497.2966104709</v>
      </c>
      <c r="BV33" s="222">
        <v>2919497.2966104709</v>
      </c>
      <c r="BW33" s="222">
        <v>2919497.2966104709</v>
      </c>
      <c r="BX33" s="222">
        <v>2919497.2966104709</v>
      </c>
      <c r="BY33" s="222">
        <v>2919497.2966104709</v>
      </c>
      <c r="BZ33" s="222">
        <v>2919497.2966104709</v>
      </c>
      <c r="CA33" s="212">
        <v>35033967.55932565</v>
      </c>
    </row>
    <row r="34" spans="1:79" x14ac:dyDescent="0.2">
      <c r="A34" s="207" t="s">
        <v>15</v>
      </c>
      <c r="B34" s="222">
        <v>16174.22</v>
      </c>
      <c r="C34" s="222">
        <v>12849.79</v>
      </c>
      <c r="D34" s="222">
        <v>23384.84</v>
      </c>
      <c r="E34" s="222">
        <v>28065.69</v>
      </c>
      <c r="F34" s="222">
        <v>33835.15</v>
      </c>
      <c r="G34" s="222">
        <v>40487.379999999997</v>
      </c>
      <c r="H34" s="222">
        <v>52339.69</v>
      </c>
      <c r="I34" s="222">
        <v>63562</v>
      </c>
      <c r="J34" s="222">
        <v>100769.4</v>
      </c>
      <c r="K34" s="222">
        <v>93235.54</v>
      </c>
      <c r="L34" s="222">
        <v>120000</v>
      </c>
      <c r="M34" s="222">
        <v>126000</v>
      </c>
      <c r="N34" s="201">
        <v>710703.7</v>
      </c>
      <c r="O34" s="222">
        <v>127800.75081181861</v>
      </c>
      <c r="P34" s="222">
        <v>121410.71327122767</v>
      </c>
      <c r="Q34" s="222">
        <v>140580.8258930005</v>
      </c>
      <c r="R34" s="222">
        <v>170916.6883225427</v>
      </c>
      <c r="S34" s="222">
        <v>188008.35715479698</v>
      </c>
      <c r="T34" s="222">
        <v>206809.19287027675</v>
      </c>
      <c r="U34" s="222">
        <v>249155.83712466675</v>
      </c>
      <c r="V34" s="222">
        <v>274071.42083713342</v>
      </c>
      <c r="W34" s="222">
        <v>301478.56292084674</v>
      </c>
      <c r="X34" s="222">
        <v>331626.41921293148</v>
      </c>
      <c r="Y34" s="222">
        <v>396509.8490589399</v>
      </c>
      <c r="Z34" s="222">
        <v>436160.83396483393</v>
      </c>
      <c r="AA34" s="212">
        <v>2944529.4514430156</v>
      </c>
      <c r="AB34" s="221"/>
      <c r="AC34" s="537"/>
      <c r="AD34" s="221"/>
      <c r="AE34" s="212"/>
      <c r="AF34" s="212"/>
      <c r="AG34" s="212"/>
      <c r="AM34" s="222">
        <v>457968.87566307565</v>
      </c>
      <c r="AN34" s="222">
        <v>412171.98809676809</v>
      </c>
      <c r="AO34" s="222">
        <v>480867.31944622943</v>
      </c>
      <c r="AP34" s="222">
        <v>504910.6854185409</v>
      </c>
      <c r="AQ34" s="222">
        <v>530156.21968946792</v>
      </c>
      <c r="AR34" s="222">
        <v>556664.03067394136</v>
      </c>
      <c r="AS34" s="222">
        <v>584497.23220763844</v>
      </c>
      <c r="AT34" s="222">
        <v>613722.09381802042</v>
      </c>
      <c r="AU34" s="222">
        <v>644408.19850892143</v>
      </c>
      <c r="AV34" s="222">
        <v>676628.60843436758</v>
      </c>
      <c r="AW34" s="222">
        <v>710460.03885608597</v>
      </c>
      <c r="AX34" s="222">
        <v>745983.04079889029</v>
      </c>
      <c r="AY34" s="212">
        <v>6918438.3316119481</v>
      </c>
      <c r="BA34" s="222">
        <v>783282.19283883483</v>
      </c>
      <c r="BB34" s="222">
        <v>704953.97355495137</v>
      </c>
      <c r="BC34" s="222">
        <v>822446.30248077656</v>
      </c>
      <c r="BD34" s="222">
        <v>863568.6176048154</v>
      </c>
      <c r="BE34" s="222">
        <v>906747.04848505626</v>
      </c>
      <c r="BF34" s="222">
        <v>952084.40090930916</v>
      </c>
      <c r="BG34" s="222">
        <v>999688.62095477467</v>
      </c>
      <c r="BH34" s="222">
        <v>1049673.0520025135</v>
      </c>
      <c r="BI34" s="222">
        <v>1102156.7046026392</v>
      </c>
      <c r="BJ34" s="222">
        <v>1157264.5398327713</v>
      </c>
      <c r="BK34" s="222">
        <v>1215127.7668244098</v>
      </c>
      <c r="BL34" s="222">
        <v>1275884.1551656304</v>
      </c>
      <c r="BM34" s="212">
        <v>11832877.375256483</v>
      </c>
      <c r="BO34" s="222">
        <v>1339678.362923912</v>
      </c>
      <c r="BP34" s="222">
        <v>1205710.5266315208</v>
      </c>
      <c r="BQ34" s="222">
        <v>1406662.2810701076</v>
      </c>
      <c r="BR34" s="222">
        <v>1476995.3951236131</v>
      </c>
      <c r="BS34" s="222">
        <v>1550845.1648797938</v>
      </c>
      <c r="BT34" s="222">
        <v>1628387.4231237834</v>
      </c>
      <c r="BU34" s="222">
        <v>1709806.7942799728</v>
      </c>
      <c r="BV34" s="222">
        <v>1795297.1339939714</v>
      </c>
      <c r="BW34" s="222">
        <v>1885061.99069367</v>
      </c>
      <c r="BX34" s="222">
        <v>1979315.0902283536</v>
      </c>
      <c r="BY34" s="222">
        <v>2078280.8447397714</v>
      </c>
      <c r="BZ34" s="222">
        <v>2182194.8869767599</v>
      </c>
      <c r="CA34" s="212">
        <v>20238235.89466523</v>
      </c>
    </row>
    <row r="35" spans="1:79" x14ac:dyDescent="0.2">
      <c r="A35" s="207" t="s">
        <v>17</v>
      </c>
      <c r="B35" s="222">
        <v>0</v>
      </c>
      <c r="C35" s="222">
        <v>0</v>
      </c>
      <c r="D35" s="222">
        <v>20.329999999999998</v>
      </c>
      <c r="E35" s="222">
        <v>0</v>
      </c>
      <c r="F35" s="222">
        <v>29177</v>
      </c>
      <c r="G35" s="222">
        <v>47654.46</v>
      </c>
      <c r="H35" s="222">
        <v>87997.15</v>
      </c>
      <c r="I35" s="222">
        <v>83818.31</v>
      </c>
      <c r="J35" s="222">
        <v>83034.23</v>
      </c>
      <c r="K35" s="222">
        <v>126424.86</v>
      </c>
      <c r="L35" s="222">
        <v>133428.70215430134</v>
      </c>
      <c r="M35" s="222">
        <v>140100.13726201642</v>
      </c>
      <c r="N35" s="201">
        <v>731655.17941631773</v>
      </c>
      <c r="O35" s="222">
        <v>144303.14137987691</v>
      </c>
      <c r="P35" s="222">
        <v>129872.82724188922</v>
      </c>
      <c r="Q35" s="222">
        <v>148632.23562127323</v>
      </c>
      <c r="R35" s="222">
        <v>153091.20268991141</v>
      </c>
      <c r="S35" s="222">
        <v>159214.85079750785</v>
      </c>
      <c r="T35" s="222">
        <v>165583.4448294082</v>
      </c>
      <c r="U35" s="222">
        <v>172206.78262258452</v>
      </c>
      <c r="V35" s="222">
        <v>179095.0539274879</v>
      </c>
      <c r="W35" s="222">
        <v>188049.80662386233</v>
      </c>
      <c r="X35" s="222">
        <v>197452.29695505544</v>
      </c>
      <c r="Y35" s="222">
        <v>207324.9118028082</v>
      </c>
      <c r="Z35" s="222">
        <v>217691.1573929486</v>
      </c>
      <c r="AA35" s="212">
        <v>2062517.7118846138</v>
      </c>
      <c r="AB35" s="221"/>
      <c r="AC35" s="537"/>
      <c r="AD35" s="221"/>
      <c r="AE35" s="212"/>
      <c r="AF35" s="212"/>
      <c r="AG35" s="212"/>
      <c r="AM35" s="222">
        <v>228575.71526259606</v>
      </c>
      <c r="AN35" s="222">
        <v>205718.14373633647</v>
      </c>
      <c r="AO35" s="222">
        <v>240004.50102572588</v>
      </c>
      <c r="AP35" s="222">
        <v>252004.72607701219</v>
      </c>
      <c r="AQ35" s="222">
        <v>264604.96238086279</v>
      </c>
      <c r="AR35" s="222">
        <v>277835.21049990598</v>
      </c>
      <c r="AS35" s="222">
        <v>291726.97102490126</v>
      </c>
      <c r="AT35" s="222">
        <v>306313.31957614637</v>
      </c>
      <c r="AU35" s="222">
        <v>321628.98555495369</v>
      </c>
      <c r="AV35" s="222">
        <v>337710.4348327014</v>
      </c>
      <c r="AW35" s="222">
        <v>354595.95657433645</v>
      </c>
      <c r="AX35" s="222">
        <v>372325.75440305332</v>
      </c>
      <c r="AY35" s="212">
        <v>3453044.6809485322</v>
      </c>
      <c r="BA35" s="222">
        <v>390942.04212320602</v>
      </c>
      <c r="BB35" s="222">
        <v>351847.8379108854</v>
      </c>
      <c r="BC35" s="222">
        <v>410489.14422936633</v>
      </c>
      <c r="BD35" s="222">
        <v>431013.6014408347</v>
      </c>
      <c r="BE35" s="222">
        <v>452564.28151287645</v>
      </c>
      <c r="BF35" s="222">
        <v>475192.49558852031</v>
      </c>
      <c r="BG35" s="222">
        <v>498952.12036794628</v>
      </c>
      <c r="BH35" s="222">
        <v>523899.72638634365</v>
      </c>
      <c r="BI35" s="222">
        <v>550094.71270566084</v>
      </c>
      <c r="BJ35" s="222">
        <v>577599.4483409439</v>
      </c>
      <c r="BK35" s="222">
        <v>606479.42075799115</v>
      </c>
      <c r="BL35" s="222">
        <v>636803.39179589076</v>
      </c>
      <c r="BM35" s="212">
        <v>5905878.2231604662</v>
      </c>
      <c r="BO35" s="222">
        <v>668643.56138568535</v>
      </c>
      <c r="BP35" s="222">
        <v>601779.20524711686</v>
      </c>
      <c r="BQ35" s="222">
        <v>702075.73945496965</v>
      </c>
      <c r="BR35" s="222">
        <v>737179.52642771823</v>
      </c>
      <c r="BS35" s="222">
        <v>774038.50274910417</v>
      </c>
      <c r="BT35" s="222">
        <v>812740.4278865594</v>
      </c>
      <c r="BU35" s="222">
        <v>853377.44928088738</v>
      </c>
      <c r="BV35" s="222">
        <v>896046.32174493186</v>
      </c>
      <c r="BW35" s="222">
        <v>940848.6378321785</v>
      </c>
      <c r="BX35" s="222">
        <v>987891.06972378748</v>
      </c>
      <c r="BY35" s="222">
        <v>1037285.6232099768</v>
      </c>
      <c r="BZ35" s="222">
        <v>1089149.9043704758</v>
      </c>
      <c r="CA35" s="212">
        <v>10101055.969313392</v>
      </c>
    </row>
    <row r="36" spans="1:79" x14ac:dyDescent="0.2">
      <c r="A36" s="208" t="s">
        <v>20</v>
      </c>
      <c r="B36" s="222">
        <v>10537.81</v>
      </c>
      <c r="C36" s="222">
        <v>9389.08</v>
      </c>
      <c r="D36" s="222">
        <v>12006.33</v>
      </c>
      <c r="E36" s="222">
        <v>13583.92</v>
      </c>
      <c r="F36" s="222">
        <v>19045.68</v>
      </c>
      <c r="G36" s="222">
        <v>16901.63</v>
      </c>
      <c r="H36" s="222">
        <v>13994.08</v>
      </c>
      <c r="I36" s="222">
        <v>14114.9</v>
      </c>
      <c r="J36" s="222">
        <v>24352.15</v>
      </c>
      <c r="K36" s="222">
        <v>35509.82</v>
      </c>
      <c r="L36" s="222">
        <v>35836.152877715169</v>
      </c>
      <c r="M36" s="222">
        <v>37627.960521600937</v>
      </c>
      <c r="N36" s="201">
        <v>242899.51339931609</v>
      </c>
      <c r="O36" s="222">
        <v>0</v>
      </c>
      <c r="P36" s="222">
        <v>0</v>
      </c>
      <c r="Q36" s="222">
        <v>0</v>
      </c>
      <c r="R36" s="222">
        <v>0</v>
      </c>
      <c r="S36" s="222">
        <v>0</v>
      </c>
      <c r="T36" s="2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12">
        <v>0</v>
      </c>
      <c r="AB36" s="221"/>
      <c r="AC36" s="537"/>
      <c r="AD36" s="221"/>
      <c r="AE36" s="212"/>
      <c r="AF36" s="212"/>
      <c r="AG36" s="212"/>
      <c r="AM36" s="222">
        <v>0</v>
      </c>
      <c r="AN36" s="222">
        <v>0</v>
      </c>
      <c r="AO36" s="222">
        <v>0</v>
      </c>
      <c r="AP36" s="222">
        <v>0</v>
      </c>
      <c r="AQ36" s="222">
        <v>0</v>
      </c>
      <c r="AR36" s="222">
        <v>0</v>
      </c>
      <c r="AS36" s="222">
        <v>0</v>
      </c>
      <c r="AT36" s="222">
        <v>0</v>
      </c>
      <c r="AU36" s="222">
        <v>0</v>
      </c>
      <c r="AV36" s="222">
        <v>0</v>
      </c>
      <c r="AW36" s="222">
        <v>0</v>
      </c>
      <c r="AX36" s="222">
        <v>0</v>
      </c>
      <c r="AY36" s="212">
        <v>0</v>
      </c>
      <c r="BA36" s="222">
        <v>0</v>
      </c>
      <c r="BB36" s="222">
        <v>0</v>
      </c>
      <c r="BC36" s="222">
        <v>0</v>
      </c>
      <c r="BD36" s="222">
        <v>0</v>
      </c>
      <c r="BE36" s="222">
        <v>0</v>
      </c>
      <c r="BF36" s="222">
        <v>0</v>
      </c>
      <c r="BG36" s="222">
        <v>0</v>
      </c>
      <c r="BH36" s="222">
        <v>0</v>
      </c>
      <c r="BI36" s="222">
        <v>0</v>
      </c>
      <c r="BJ36" s="222">
        <v>0</v>
      </c>
      <c r="BK36" s="222">
        <v>0</v>
      </c>
      <c r="BL36" s="222">
        <v>0</v>
      </c>
      <c r="BM36" s="212">
        <v>0</v>
      </c>
      <c r="BO36" s="222">
        <v>0</v>
      </c>
      <c r="BP36" s="222">
        <v>0</v>
      </c>
      <c r="BQ36" s="222">
        <v>0</v>
      </c>
      <c r="BR36" s="222">
        <v>0</v>
      </c>
      <c r="BS36" s="222">
        <v>0</v>
      </c>
      <c r="BT36" s="222">
        <v>0</v>
      </c>
      <c r="BU36" s="222">
        <v>0</v>
      </c>
      <c r="BV36" s="222">
        <v>0</v>
      </c>
      <c r="BW36" s="222">
        <v>0</v>
      </c>
      <c r="BX36" s="222">
        <v>0</v>
      </c>
      <c r="BY36" s="222">
        <v>0</v>
      </c>
      <c r="BZ36" s="222">
        <v>0</v>
      </c>
      <c r="CA36" s="212">
        <v>0</v>
      </c>
    </row>
    <row r="37" spans="1:79" x14ac:dyDescent="0.2">
      <c r="A37" s="208" t="s">
        <v>22</v>
      </c>
      <c r="B37" s="222">
        <v>0</v>
      </c>
      <c r="C37" s="222">
        <v>0</v>
      </c>
      <c r="D37" s="222">
        <v>0</v>
      </c>
      <c r="E37" s="222">
        <v>0</v>
      </c>
      <c r="F37" s="222">
        <v>17.32</v>
      </c>
      <c r="G37" s="222">
        <v>2109.7991499999998</v>
      </c>
      <c r="H37" s="222">
        <v>6670.132098</v>
      </c>
      <c r="I37" s="222">
        <v>10652.88365</v>
      </c>
      <c r="J37" s="222">
        <v>11801.154064</v>
      </c>
      <c r="K37" s="222">
        <v>19076.948188999999</v>
      </c>
      <c r="L37" s="222">
        <v>23421.773469302407</v>
      </c>
      <c r="M37" s="222">
        <v>31453.426001835691</v>
      </c>
      <c r="N37" s="201">
        <v>105203.43662213809</v>
      </c>
      <c r="O37" s="222">
        <v>60000</v>
      </c>
      <c r="P37" s="222">
        <v>51000</v>
      </c>
      <c r="Q37" s="222">
        <v>78000</v>
      </c>
      <c r="R37" s="222">
        <v>101400</v>
      </c>
      <c r="S37" s="222">
        <v>131820</v>
      </c>
      <c r="T37" s="222">
        <v>171366</v>
      </c>
      <c r="U37" s="222">
        <v>222775.80000000002</v>
      </c>
      <c r="V37" s="222">
        <v>289608.54000000004</v>
      </c>
      <c r="W37" s="222">
        <v>376491.10200000007</v>
      </c>
      <c r="X37" s="222">
        <v>459319.14444000006</v>
      </c>
      <c r="Y37" s="222">
        <v>560369.35621680005</v>
      </c>
      <c r="Z37" s="222">
        <v>683650.61458449601</v>
      </c>
      <c r="AA37" s="212">
        <v>3185800.5572412964</v>
      </c>
      <c r="AB37" s="221"/>
      <c r="AC37" s="537"/>
      <c r="AD37" s="221"/>
      <c r="AE37" s="212"/>
      <c r="AF37" s="212"/>
      <c r="AG37" s="212"/>
      <c r="AM37" s="222">
        <v>717833.1453137208</v>
      </c>
      <c r="AN37" s="222">
        <v>646049.83078234876</v>
      </c>
      <c r="AO37" s="222">
        <v>753724.80257940688</v>
      </c>
      <c r="AP37" s="222">
        <v>791411.04270837724</v>
      </c>
      <c r="AQ37" s="222">
        <v>830981.59484379611</v>
      </c>
      <c r="AR37" s="222">
        <v>872530.67458598595</v>
      </c>
      <c r="AS37" s="222">
        <v>916157.20831528527</v>
      </c>
      <c r="AT37" s="222">
        <v>961965.06873104954</v>
      </c>
      <c r="AU37" s="222">
        <v>1010063.322167602</v>
      </c>
      <c r="AV37" s="222">
        <v>1060566.4882759822</v>
      </c>
      <c r="AW37" s="222">
        <v>1113594.8126897814</v>
      </c>
      <c r="AX37" s="222">
        <v>1169274.5533242705</v>
      </c>
      <c r="AY37" s="212">
        <v>10844152.544317605</v>
      </c>
      <c r="BA37" s="222">
        <v>1227738.2809904842</v>
      </c>
      <c r="BB37" s="222">
        <v>1104964.4528914357</v>
      </c>
      <c r="BC37" s="222">
        <v>1289125.1950400085</v>
      </c>
      <c r="BD37" s="222">
        <v>1353581.454792009</v>
      </c>
      <c r="BE37" s="222">
        <v>1421260.5275316094</v>
      </c>
      <c r="BF37" s="222">
        <v>1492323.55390819</v>
      </c>
      <c r="BG37" s="222">
        <v>1566939.7316035996</v>
      </c>
      <c r="BH37" s="222">
        <v>1645286.7181837796</v>
      </c>
      <c r="BI37" s="222">
        <v>1727551.0540929686</v>
      </c>
      <c r="BJ37" s="222">
        <v>1813928.6067976172</v>
      </c>
      <c r="BK37" s="222">
        <v>1904625.0371374981</v>
      </c>
      <c r="BL37" s="222">
        <v>1999856.2889943731</v>
      </c>
      <c r="BM37" s="212">
        <v>18547180.901963573</v>
      </c>
      <c r="BO37" s="222">
        <v>2099849.103444092</v>
      </c>
      <c r="BP37" s="222">
        <v>1889864.1930996829</v>
      </c>
      <c r="BQ37" s="222">
        <v>2204841.5586162969</v>
      </c>
      <c r="BR37" s="222">
        <v>2315083.6365471119</v>
      </c>
      <c r="BS37" s="222">
        <v>2430837.8183744675</v>
      </c>
      <c r="BT37" s="222">
        <v>2552379.7092931909</v>
      </c>
      <c r="BU37" s="222">
        <v>2679998.6947578504</v>
      </c>
      <c r="BV37" s="222">
        <v>2813998.6294957432</v>
      </c>
      <c r="BW37" s="222">
        <v>2954698.5609705304</v>
      </c>
      <c r="BX37" s="222">
        <v>3102433.4890190572</v>
      </c>
      <c r="BY37" s="222">
        <v>3257555.1634700103</v>
      </c>
      <c r="BZ37" s="222">
        <v>3420432.9216435109</v>
      </c>
      <c r="CA37" s="212">
        <v>31721973.478731547</v>
      </c>
    </row>
    <row r="38" spans="1:79" x14ac:dyDescent="0.2">
      <c r="A38" s="208" t="s">
        <v>27</v>
      </c>
      <c r="B38" s="222">
        <v>24083.991478</v>
      </c>
      <c r="C38" s="222">
        <v>36640.461414000005</v>
      </c>
      <c r="D38" s="222">
        <v>33026.916150000005</v>
      </c>
      <c r="E38" s="222">
        <v>32576.933247000001</v>
      </c>
      <c r="F38" s="222">
        <v>36674.358942999999</v>
      </c>
      <c r="G38" s="222">
        <v>40526.527931999997</v>
      </c>
      <c r="H38" s="222">
        <v>41027.761362999998</v>
      </c>
      <c r="I38" s="222">
        <v>35877.703344000001</v>
      </c>
      <c r="J38" s="222">
        <v>33807.240818999999</v>
      </c>
      <c r="K38" s="222">
        <v>36440.748063999999</v>
      </c>
      <c r="L38" s="222">
        <v>41522.253688299999</v>
      </c>
      <c r="M38" s="222">
        <v>42049.387259215</v>
      </c>
      <c r="N38" s="201">
        <v>434254.28370151494</v>
      </c>
      <c r="O38" s="222">
        <v>45000</v>
      </c>
      <c r="P38" s="222">
        <v>45000</v>
      </c>
      <c r="Q38" s="222">
        <v>45000</v>
      </c>
      <c r="R38" s="222">
        <v>45000</v>
      </c>
      <c r="S38" s="222">
        <v>45000</v>
      </c>
      <c r="T38" s="222">
        <v>45000</v>
      </c>
      <c r="U38" s="222">
        <v>45000</v>
      </c>
      <c r="V38" s="222">
        <v>45000</v>
      </c>
      <c r="W38" s="222">
        <v>45000</v>
      </c>
      <c r="X38" s="222">
        <v>45000</v>
      </c>
      <c r="Y38" s="222">
        <v>45000</v>
      </c>
      <c r="Z38" s="222">
        <v>45000</v>
      </c>
      <c r="AA38" s="212">
        <v>540000</v>
      </c>
      <c r="AB38" s="221"/>
      <c r="AC38" s="537"/>
      <c r="AD38" s="221"/>
      <c r="AE38" s="212"/>
      <c r="AF38" s="212"/>
      <c r="AG38" s="212"/>
      <c r="AM38" s="222">
        <v>47250</v>
      </c>
      <c r="AN38" s="222">
        <v>42525</v>
      </c>
      <c r="AO38" s="222">
        <v>49612.5</v>
      </c>
      <c r="AP38" s="222">
        <v>52093.125</v>
      </c>
      <c r="AQ38" s="222">
        <v>54697.78125</v>
      </c>
      <c r="AR38" s="222">
        <v>57432.670312500006</v>
      </c>
      <c r="AS38" s="222">
        <v>60304.303828125012</v>
      </c>
      <c r="AT38" s="222">
        <v>63319.519019531268</v>
      </c>
      <c r="AU38" s="222">
        <v>66485.494970507832</v>
      </c>
      <c r="AV38" s="222">
        <v>69809.769719033226</v>
      </c>
      <c r="AW38" s="222">
        <v>73300.258204984886</v>
      </c>
      <c r="AX38" s="222">
        <v>76965.271115234136</v>
      </c>
      <c r="AY38" s="212">
        <v>713795.69341991632</v>
      </c>
      <c r="BA38" s="222">
        <v>80813.534670995839</v>
      </c>
      <c r="BB38" s="222">
        <v>72732.181203896253</v>
      </c>
      <c r="BC38" s="222">
        <v>84854.21140454564</v>
      </c>
      <c r="BD38" s="222">
        <v>89096.921974772922</v>
      </c>
      <c r="BE38" s="222">
        <v>93551.768073511572</v>
      </c>
      <c r="BF38" s="222">
        <v>98229.356477187161</v>
      </c>
      <c r="BG38" s="222">
        <v>103140.82430104652</v>
      </c>
      <c r="BH38" s="222">
        <v>108297.86551609886</v>
      </c>
      <c r="BI38" s="222">
        <v>113712.75879190381</v>
      </c>
      <c r="BJ38" s="222">
        <v>119398.396731499</v>
      </c>
      <c r="BK38" s="222">
        <v>125368.31656807396</v>
      </c>
      <c r="BL38" s="222">
        <v>131636.73239647766</v>
      </c>
      <c r="BM38" s="212">
        <v>1220832.8681100092</v>
      </c>
      <c r="BO38" s="222">
        <v>138218.56901630154</v>
      </c>
      <c r="BP38" s="222">
        <v>124396.71211467139</v>
      </c>
      <c r="BQ38" s="222">
        <v>145129.49746711663</v>
      </c>
      <c r="BR38" s="222">
        <v>152385.97234047248</v>
      </c>
      <c r="BS38" s="222">
        <v>160005.2709574961</v>
      </c>
      <c r="BT38" s="222">
        <v>168005.53450537092</v>
      </c>
      <c r="BU38" s="222">
        <v>176405.81123063946</v>
      </c>
      <c r="BV38" s="222">
        <v>185226.10179217145</v>
      </c>
      <c r="BW38" s="222">
        <v>194487.40688178004</v>
      </c>
      <c r="BX38" s="222">
        <v>204211.77722586907</v>
      </c>
      <c r="BY38" s="222">
        <v>214422.36608716252</v>
      </c>
      <c r="BZ38" s="222">
        <v>225143.48439152064</v>
      </c>
      <c r="CA38" s="212">
        <v>2088038.5040105721</v>
      </c>
    </row>
    <row r="39" spans="1:79" x14ac:dyDescent="0.2">
      <c r="A39" s="208" t="s">
        <v>25</v>
      </c>
      <c r="B39" s="222">
        <v>109061.42327499999</v>
      </c>
      <c r="C39" s="222">
        <v>95253.172206000003</v>
      </c>
      <c r="D39" s="222">
        <v>112073.329818</v>
      </c>
      <c r="E39" s="222">
        <v>114487.336129</v>
      </c>
      <c r="F39" s="222">
        <v>119537.60165900001</v>
      </c>
      <c r="G39" s="222">
        <v>118759.501319</v>
      </c>
      <c r="H39" s="222">
        <v>118080.713257</v>
      </c>
      <c r="I39" s="222">
        <v>97304.269148000007</v>
      </c>
      <c r="J39" s="222">
        <v>86259.163136000003</v>
      </c>
      <c r="K39" s="222">
        <v>84239.414747000003</v>
      </c>
      <c r="L39" s="222">
        <v>84239.414747000003</v>
      </c>
      <c r="M39" s="222">
        <v>84239.414747000003</v>
      </c>
      <c r="N39" s="201">
        <v>1223534.754188</v>
      </c>
      <c r="O39" s="222">
        <v>45000</v>
      </c>
      <c r="P39" s="222">
        <v>45000</v>
      </c>
      <c r="Q39" s="222">
        <v>45000</v>
      </c>
      <c r="R39" s="222">
        <v>45000</v>
      </c>
      <c r="S39" s="222">
        <v>40000</v>
      </c>
      <c r="T39" s="222">
        <v>40000</v>
      </c>
      <c r="U39" s="222">
        <v>40000</v>
      </c>
      <c r="V39" s="222">
        <v>40000</v>
      </c>
      <c r="W39" s="222">
        <v>40000</v>
      </c>
      <c r="X39" s="222">
        <v>40000</v>
      </c>
      <c r="Y39" s="222">
        <v>40000</v>
      </c>
      <c r="Z39" s="222">
        <v>40000</v>
      </c>
      <c r="AA39" s="212">
        <v>500000</v>
      </c>
      <c r="AB39" s="221"/>
      <c r="AC39" s="537"/>
      <c r="AD39" s="221"/>
      <c r="AE39" s="212"/>
      <c r="AF39" s="212"/>
      <c r="AG39" s="212"/>
      <c r="AM39" s="222">
        <v>40000</v>
      </c>
      <c r="AN39" s="222">
        <v>40000</v>
      </c>
      <c r="AO39" s="222">
        <v>40000</v>
      </c>
      <c r="AP39" s="222">
        <v>40000</v>
      </c>
      <c r="AQ39" s="222">
        <v>40000</v>
      </c>
      <c r="AR39" s="222">
        <v>40000</v>
      </c>
      <c r="AS39" s="222">
        <v>40000</v>
      </c>
      <c r="AT39" s="222">
        <v>40000</v>
      </c>
      <c r="AU39" s="222">
        <v>40000</v>
      </c>
      <c r="AV39" s="222">
        <v>40000</v>
      </c>
      <c r="AW39" s="222">
        <v>40000</v>
      </c>
      <c r="AX39" s="222">
        <v>40000</v>
      </c>
      <c r="AY39" s="212">
        <v>480000</v>
      </c>
      <c r="BA39" s="222">
        <v>40000</v>
      </c>
      <c r="BB39" s="222">
        <v>40000</v>
      </c>
      <c r="BC39" s="222">
        <v>40000</v>
      </c>
      <c r="BD39" s="222">
        <v>40000</v>
      </c>
      <c r="BE39" s="222">
        <v>40000</v>
      </c>
      <c r="BF39" s="222">
        <v>40000</v>
      </c>
      <c r="BG39" s="222">
        <v>40000</v>
      </c>
      <c r="BH39" s="222">
        <v>40000</v>
      </c>
      <c r="BI39" s="222">
        <v>40000</v>
      </c>
      <c r="BJ39" s="222">
        <v>40000</v>
      </c>
      <c r="BK39" s="222">
        <v>40000</v>
      </c>
      <c r="BL39" s="222">
        <v>40000</v>
      </c>
      <c r="BM39" s="212">
        <v>480000</v>
      </c>
      <c r="BO39" s="222">
        <v>40000</v>
      </c>
      <c r="BP39" s="222">
        <v>40000</v>
      </c>
      <c r="BQ39" s="222">
        <v>40000</v>
      </c>
      <c r="BR39" s="222">
        <v>40000</v>
      </c>
      <c r="BS39" s="222">
        <v>40000</v>
      </c>
      <c r="BT39" s="222">
        <v>40000</v>
      </c>
      <c r="BU39" s="222">
        <v>40000</v>
      </c>
      <c r="BV39" s="222">
        <v>40000</v>
      </c>
      <c r="BW39" s="222">
        <v>40000</v>
      </c>
      <c r="BX39" s="222">
        <v>40000</v>
      </c>
      <c r="BY39" s="222">
        <v>40000</v>
      </c>
      <c r="BZ39" s="222">
        <v>40000</v>
      </c>
      <c r="CA39" s="212">
        <v>480000</v>
      </c>
    </row>
    <row r="40" spans="1:79" x14ac:dyDescent="0.2">
      <c r="A40" s="208" t="s">
        <v>24</v>
      </c>
      <c r="B40" s="222">
        <v>0</v>
      </c>
      <c r="C40" s="222">
        <v>0</v>
      </c>
      <c r="D40" s="222">
        <v>0</v>
      </c>
      <c r="E40" s="222">
        <v>0</v>
      </c>
      <c r="F40" s="222">
        <v>0</v>
      </c>
      <c r="G40" s="222">
        <v>0</v>
      </c>
      <c r="H40" s="222">
        <v>0</v>
      </c>
      <c r="I40" s="222">
        <v>0</v>
      </c>
      <c r="J40" s="222">
        <v>0</v>
      </c>
      <c r="K40" s="222">
        <v>0</v>
      </c>
      <c r="L40" s="222">
        <v>0</v>
      </c>
      <c r="M40" s="222">
        <v>0</v>
      </c>
      <c r="N40" s="201">
        <v>0</v>
      </c>
      <c r="O40" s="222">
        <v>0</v>
      </c>
      <c r="P40" s="222">
        <v>0</v>
      </c>
      <c r="Q40" s="222">
        <v>76923.076923076922</v>
      </c>
      <c r="R40" s="222">
        <v>76923.076923076922</v>
      </c>
      <c r="S40" s="222">
        <v>153846.15384615384</v>
      </c>
      <c r="T40" s="222">
        <v>307692.30769230769</v>
      </c>
      <c r="U40" s="222">
        <v>384615.38461538462</v>
      </c>
      <c r="V40" s="222">
        <v>461538.46153846156</v>
      </c>
      <c r="W40" s="222">
        <v>538461.53846153838</v>
      </c>
      <c r="X40" s="222">
        <v>615384.61538461538</v>
      </c>
      <c r="Y40" s="222">
        <v>692307.69230769225</v>
      </c>
      <c r="Z40" s="222">
        <v>692307.69230769225</v>
      </c>
      <c r="AA40" s="212">
        <v>4000000</v>
      </c>
      <c r="AB40" s="221"/>
      <c r="AC40" s="537"/>
      <c r="AD40" s="221"/>
      <c r="AE40" s="212"/>
      <c r="AF40" s="212"/>
      <c r="AG40" s="21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12"/>
      <c r="BA40" s="222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  <c r="BM40" s="212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12"/>
    </row>
    <row r="41" spans="1:79" x14ac:dyDescent="0.2">
      <c r="AA41" s="219"/>
      <c r="AB41" s="219"/>
      <c r="AC41" s="538"/>
      <c r="AD41" s="219"/>
      <c r="AE41" s="219"/>
      <c r="AF41" s="219"/>
      <c r="AG41" s="219"/>
      <c r="AY41" s="219"/>
      <c r="BM41" s="219"/>
      <c r="CA41" s="219"/>
    </row>
    <row r="42" spans="1:79" x14ac:dyDescent="0.2">
      <c r="A42" s="207" t="s">
        <v>9</v>
      </c>
      <c r="B42" s="223">
        <v>0.51203335059344068</v>
      </c>
      <c r="C42" s="223">
        <v>0.50062297760971652</v>
      </c>
      <c r="D42" s="223">
        <v>0.50256458694087081</v>
      </c>
      <c r="E42" s="223">
        <v>0.4988050373213071</v>
      </c>
      <c r="F42" s="223">
        <v>0.46338477179709003</v>
      </c>
      <c r="G42" s="223">
        <v>0.44108906806256332</v>
      </c>
      <c r="H42" s="223">
        <v>0.42831953107249632</v>
      </c>
      <c r="I42" s="223">
        <v>0.41108430931254536</v>
      </c>
      <c r="J42" s="223">
        <v>0.41871156577040303</v>
      </c>
      <c r="K42" s="223">
        <v>0.41296207416454017</v>
      </c>
      <c r="L42" s="223">
        <v>0.41004984871018152</v>
      </c>
      <c r="M42" s="223">
        <v>0.40984519999493069</v>
      </c>
      <c r="N42" s="209">
        <v>0.43473084242050691</v>
      </c>
      <c r="O42" s="223">
        <v>0.41455792830847732</v>
      </c>
      <c r="P42" s="223">
        <v>0.41191295631148728</v>
      </c>
      <c r="Q42" s="223">
        <v>0.39641006865554917</v>
      </c>
      <c r="R42" s="223">
        <v>0.38608348585694169</v>
      </c>
      <c r="S42" s="223">
        <v>0.36966302647712884</v>
      </c>
      <c r="T42" s="223">
        <v>0.34490414983914131</v>
      </c>
      <c r="U42" s="223">
        <v>0.32876190334535116</v>
      </c>
      <c r="V42" s="223">
        <v>0.31527977276670688</v>
      </c>
      <c r="W42" s="223">
        <v>0.30391960481571256</v>
      </c>
      <c r="X42" s="223">
        <v>0.29145800865330623</v>
      </c>
      <c r="Y42" s="223">
        <v>0.28775372520624892</v>
      </c>
      <c r="Z42" s="223">
        <v>0.29309409934809882</v>
      </c>
      <c r="AA42" s="213">
        <v>0.3324678203606572</v>
      </c>
      <c r="AB42" s="512"/>
      <c r="AC42" s="539"/>
      <c r="AD42" s="512"/>
      <c r="AE42" s="213"/>
      <c r="AF42" s="213"/>
      <c r="AG42" s="213"/>
      <c r="AH42" s="223"/>
      <c r="AI42" s="223"/>
      <c r="AJ42" s="223"/>
      <c r="AK42" s="223"/>
      <c r="AL42" s="223"/>
      <c r="AM42" s="223">
        <v>0.31354870149937747</v>
      </c>
      <c r="AN42" s="223">
        <v>0.33635671390567773</v>
      </c>
      <c r="AO42" s="223">
        <v>0.30326659909353482</v>
      </c>
      <c r="AP42" s="223">
        <v>0.29317200827847933</v>
      </c>
      <c r="AQ42" s="223">
        <v>0.28327152580318848</v>
      </c>
      <c r="AR42" s="223">
        <v>0.27357104445557301</v>
      </c>
      <c r="AS42" s="223">
        <v>0.26407575533906619</v>
      </c>
      <c r="AT42" s="223">
        <v>0.25479015460535709</v>
      </c>
      <c r="AU42" s="223">
        <v>0.24571805432954666</v>
      </c>
      <c r="AV42" s="223">
        <v>0.23686259718517549</v>
      </c>
      <c r="AW42" s="223">
        <v>0.22822627455511998</v>
      </c>
      <c r="AX42" s="223">
        <v>0.21981094770005138</v>
      </c>
      <c r="AY42" s="213">
        <v>0.26672357135638819</v>
      </c>
      <c r="BA42" s="223">
        <v>0.21606755092662042</v>
      </c>
      <c r="BB42" s="223">
        <v>0.22408140933674633</v>
      </c>
      <c r="BC42" s="223">
        <v>0.21227179623960207</v>
      </c>
      <c r="BD42" s="223">
        <v>0.20842718657789963</v>
      </c>
      <c r="BE42" s="223">
        <v>0.20453743326935572</v>
      </c>
      <c r="BF42" s="223">
        <v>0.20060644388542875</v>
      </c>
      <c r="BG42" s="223">
        <v>0.19663830834786475</v>
      </c>
      <c r="BH42" s="223">
        <v>0.19263728337100558</v>
      </c>
      <c r="BI42" s="223">
        <v>0.1886077753486021</v>
      </c>
      <c r="BJ42" s="223">
        <v>0.18455432181827527</v>
      </c>
      <c r="BK42" s="223">
        <v>0.18048157165952605</v>
      </c>
      <c r="BL42" s="223">
        <v>0.1763942642018877</v>
      </c>
      <c r="BM42" s="213">
        <v>0.19775713323739474</v>
      </c>
      <c r="BO42" s="223">
        <v>0.17229720743793811</v>
      </c>
      <c r="BP42" s="223">
        <v>0.18113212066688891</v>
      </c>
      <c r="BQ42" s="223">
        <v>0.16819525555098649</v>
      </c>
      <c r="BR42" s="223">
        <v>0.16409328597893288</v>
      </c>
      <c r="BS42" s="223">
        <v>0.15999617624376672</v>
      </c>
      <c r="BT42" s="223">
        <v>0.15590878078021772</v>
      </c>
      <c r="BU42" s="223">
        <v>0.1518359079970841</v>
      </c>
      <c r="BV42" s="223">
        <v>0.14778229780075006</v>
      </c>
      <c r="BW42" s="223">
        <v>0.14375259980246119</v>
      </c>
      <c r="BX42" s="223">
        <v>0.1397513524192702</v>
      </c>
      <c r="BY42" s="223">
        <v>0.13578296306349083</v>
      </c>
      <c r="BZ42" s="223">
        <v>0.13185168959739552</v>
      </c>
      <c r="CA42" s="213">
        <v>0.15297891844162195</v>
      </c>
    </row>
    <row r="43" spans="1:79" x14ac:dyDescent="0.2">
      <c r="A43" s="207" t="s">
        <v>26</v>
      </c>
      <c r="B43" s="223">
        <v>0.23485558898573297</v>
      </c>
      <c r="C43" s="223">
        <v>0.20970155781503702</v>
      </c>
      <c r="D43" s="223">
        <v>0.2455343051701443</v>
      </c>
      <c r="E43" s="223">
        <v>0.27403878653679226</v>
      </c>
      <c r="F43" s="223">
        <v>0.26510713153075388</v>
      </c>
      <c r="G43" s="223">
        <v>0.28326376119300878</v>
      </c>
      <c r="H43" s="223">
        <v>0.32848125538635886</v>
      </c>
      <c r="I43" s="223">
        <v>0.35499816047654931</v>
      </c>
      <c r="J43" s="223">
        <v>0.38810085653903159</v>
      </c>
      <c r="K43" s="223">
        <v>0.38674921419545444</v>
      </c>
      <c r="L43" s="223">
        <v>0.38089706079435653</v>
      </c>
      <c r="M43" s="223">
        <v>0.38070696172620772</v>
      </c>
      <c r="N43" s="209">
        <v>0.33854820766618698</v>
      </c>
      <c r="O43" s="223">
        <v>0.39655665176514476</v>
      </c>
      <c r="P43" s="223">
        <v>0.39420022495839385</v>
      </c>
      <c r="Q43" s="223">
        <v>0.3817176192423028</v>
      </c>
      <c r="R43" s="223">
        <v>0.38128624832318619</v>
      </c>
      <c r="S43" s="223">
        <v>0.37080651921613605</v>
      </c>
      <c r="T43" s="223">
        <v>0.35141675420249618</v>
      </c>
      <c r="U43" s="223">
        <v>0.3402509725696849</v>
      </c>
      <c r="V43" s="223">
        <v>0.33145065132411011</v>
      </c>
      <c r="W43" s="223">
        <v>0.32146124871745646</v>
      </c>
      <c r="X43" s="223">
        <v>0.31477464934557076</v>
      </c>
      <c r="Y43" s="223">
        <v>0.29841127058425815</v>
      </c>
      <c r="Z43" s="223">
        <v>0.29368028754679504</v>
      </c>
      <c r="AA43" s="213">
        <v>0.33794772935780582</v>
      </c>
      <c r="AB43" s="512"/>
      <c r="AC43" s="539"/>
      <c r="AD43" s="512"/>
      <c r="AE43" s="213"/>
      <c r="AF43" s="213"/>
      <c r="AG43" s="213"/>
      <c r="AM43" s="223">
        <v>0.37465267195507751</v>
      </c>
      <c r="AN43" s="223">
        <v>0.3617149326180123</v>
      </c>
      <c r="AO43" s="223">
        <v>0.38048514689388713</v>
      </c>
      <c r="AP43" s="223">
        <v>0.38621125675181778</v>
      </c>
      <c r="AQ43" s="223">
        <v>0.39182725955358377</v>
      </c>
      <c r="AR43" s="223">
        <v>0.39732981264255218</v>
      </c>
      <c r="AS43" s="223">
        <v>0.40271597138935744</v>
      </c>
      <c r="AT43" s="223">
        <v>0.40798318537279082</v>
      </c>
      <c r="AU43" s="223">
        <v>0.41312929221091815</v>
      </c>
      <c r="AV43" s="223">
        <v>0.41815250923673752</v>
      </c>
      <c r="AW43" s="223">
        <v>0.42305142322485834</v>
      </c>
      <c r="AX43" s="223">
        <v>0.42782497838379041</v>
      </c>
      <c r="AY43" s="213">
        <v>0.40121401002444879</v>
      </c>
      <c r="BA43" s="223">
        <v>0.42053908721034239</v>
      </c>
      <c r="BB43" s="223">
        <v>0.43613671251953018</v>
      </c>
      <c r="BC43" s="223">
        <v>0.41315129017877794</v>
      </c>
      <c r="BD43" s="223">
        <v>0.40566840516953612</v>
      </c>
      <c r="BE43" s="223">
        <v>0.3980976556570191</v>
      </c>
      <c r="BF43" s="223">
        <v>0.39044664707076626</v>
      </c>
      <c r="BG43" s="223">
        <v>0.38272333975443157</v>
      </c>
      <c r="BH43" s="223">
        <v>0.37493601868535731</v>
      </c>
      <c r="BI43" s="223">
        <v>0.36709326016663923</v>
      </c>
      <c r="BJ43" s="223">
        <v>0.35920389575082234</v>
      </c>
      <c r="BK43" s="223">
        <v>0.35127697369866351</v>
      </c>
      <c r="BL43" s="223">
        <v>0.34332171831666952</v>
      </c>
      <c r="BM43" s="213">
        <v>0.38490094391467378</v>
      </c>
      <c r="BO43" s="223">
        <v>0.33534748755239591</v>
      </c>
      <c r="BP43" s="223">
        <v>0.35254315774420253</v>
      </c>
      <c r="BQ43" s="223">
        <v>0.32736372925587492</v>
      </c>
      <c r="BR43" s="223">
        <v>0.31937993653828234</v>
      </c>
      <c r="BS43" s="223">
        <v>0.3114056026744596</v>
      </c>
      <c r="BT43" s="223">
        <v>0.30345017600378676</v>
      </c>
      <c r="BU43" s="223">
        <v>0.29552301528392216</v>
      </c>
      <c r="BV43" s="223">
        <v>0.28763334594411555</v>
      </c>
      <c r="BW43" s="223">
        <v>0.27979021766934159</v>
      </c>
      <c r="BX43" s="223">
        <v>0.27200246372381104</v>
      </c>
      <c r="BY43" s="223">
        <v>0.26427866239308062</v>
      </c>
      <c r="BZ43" s="223">
        <v>0.25662710088874607</v>
      </c>
      <c r="CA43" s="213">
        <v>0.29774769255247269</v>
      </c>
    </row>
    <row r="44" spans="1:79" x14ac:dyDescent="0.2">
      <c r="A44" s="207" t="s">
        <v>15</v>
      </c>
      <c r="B44" s="223">
        <v>2.5609529678178547E-2</v>
      </c>
      <c r="C44" s="223">
        <v>2.4149798391138049E-2</v>
      </c>
      <c r="D44" s="223">
        <v>3.2633151223582506E-2</v>
      </c>
      <c r="E44" s="223">
        <v>3.3782861346841511E-2</v>
      </c>
      <c r="F44" s="223">
        <v>3.8552304209440516E-2</v>
      </c>
      <c r="G44" s="223">
        <v>4.1886582853322252E-2</v>
      </c>
      <c r="H44" s="223">
        <v>3.9764425556134388E-2</v>
      </c>
      <c r="I44" s="223">
        <v>4.8695715568183771E-2</v>
      </c>
      <c r="J44" s="223">
        <v>5.7253117991106481E-2</v>
      </c>
      <c r="K44" s="223">
        <v>4.7284714730620125E-2</v>
      </c>
      <c r="L44" s="223">
        <v>5.7216257959560209E-2</v>
      </c>
      <c r="M44" s="223">
        <v>5.7187702324874051E-2</v>
      </c>
      <c r="N44" s="209">
        <v>4.6728449921566516E-2</v>
      </c>
      <c r="O44" s="223">
        <v>5.7188997615387704E-2</v>
      </c>
      <c r="P44" s="223">
        <v>6.000745513085283E-2</v>
      </c>
      <c r="Q44" s="223">
        <v>5.8395211695207068E-2</v>
      </c>
      <c r="R44" s="223">
        <v>6.7125301208044927E-2</v>
      </c>
      <c r="S44" s="223">
        <v>6.7968543542153592E-2</v>
      </c>
      <c r="T44" s="223">
        <v>6.7065583131463546E-2</v>
      </c>
      <c r="U44" s="223">
        <v>7.4044527305627023E-2</v>
      </c>
      <c r="V44" s="223">
        <v>7.5095076866474444E-2</v>
      </c>
      <c r="W44" s="223">
        <v>7.5824828353454929E-2</v>
      </c>
      <c r="X44" s="223">
        <v>7.732414060850204E-2</v>
      </c>
      <c r="Y44" s="223">
        <v>8.4516434183464773E-2</v>
      </c>
      <c r="Z44" s="223">
        <v>8.5224111201225777E-2</v>
      </c>
      <c r="AA44" s="213">
        <v>7.3338040388929812E-2</v>
      </c>
      <c r="AB44" s="512"/>
      <c r="AC44" s="539"/>
      <c r="AD44" s="512"/>
      <c r="AE44" s="213"/>
      <c r="AF44" s="213"/>
      <c r="AG44" s="213"/>
      <c r="AM44" s="223">
        <v>9.5730364194191481E-2</v>
      </c>
      <c r="AN44" s="223">
        <v>9.2424543653466029E-2</v>
      </c>
      <c r="AO44" s="223">
        <v>9.7220664389121594E-2</v>
      </c>
      <c r="AP44" s="223">
        <v>9.86837864302781E-2</v>
      </c>
      <c r="AQ44" s="223">
        <v>0.10011877417699065</v>
      </c>
      <c r="AR44" s="223">
        <v>0.10152477352154618</v>
      </c>
      <c r="AS44" s="223">
        <v>0.10290103205921712</v>
      </c>
      <c r="AT44" s="223">
        <v>0.10424689811241127</v>
      </c>
      <c r="AU44" s="223">
        <v>0.10556181915441364</v>
      </c>
      <c r="AV44" s="223">
        <v>0.1068453396823703</v>
      </c>
      <c r="AW44" s="223">
        <v>0.10809709859227352</v>
      </c>
      <c r="AX44" s="223">
        <v>0.10931682611078011</v>
      </c>
      <c r="AY44" s="213">
        <v>0.10251725444535949</v>
      </c>
      <c r="BA44" s="223">
        <v>0.11282791006074658</v>
      </c>
      <c r="BB44" s="223">
        <v>0.10531138660782194</v>
      </c>
      <c r="BC44" s="223">
        <v>0.11638810262547569</v>
      </c>
      <c r="BD44" s="223">
        <v>0.11999411825622515</v>
      </c>
      <c r="BE44" s="223">
        <v>0.1236424759477983</v>
      </c>
      <c r="BF44" s="223">
        <v>0.12732951063013692</v>
      </c>
      <c r="BG44" s="223">
        <v>0.13105138619943779</v>
      </c>
      <c r="BH44" s="223">
        <v>0.13480411011034432</v>
      </c>
      <c r="BI44" s="223">
        <v>0.13858354942710013</v>
      </c>
      <c r="BJ44" s="223">
        <v>0.14238544820878368</v>
      </c>
      <c r="BK44" s="223">
        <v>0.14620544608239971</v>
      </c>
      <c r="BL44" s="223">
        <v>0.15003909783819233</v>
      </c>
      <c r="BM44" s="213">
        <v>0.13000199487113054</v>
      </c>
      <c r="BO44" s="223">
        <v>0.15388189386454573</v>
      </c>
      <c r="BP44" s="223">
        <v>0.14559526973277254</v>
      </c>
      <c r="BQ44" s="223">
        <v>0.15772928122568022</v>
      </c>
      <c r="BR44" s="223">
        <v>0.16157668517439069</v>
      </c>
      <c r="BS44" s="223">
        <v>0.16541953088460062</v>
      </c>
      <c r="BT44" s="223">
        <v>0.16925326518471304</v>
      </c>
      <c r="BU44" s="223">
        <v>0.17307337807272219</v>
      </c>
      <c r="BV44" s="223">
        <v>0.17687542379782012</v>
      </c>
      <c r="BW44" s="223">
        <v>0.18065504130067864</v>
      </c>
      <c r="BX44" s="223">
        <v>0.18440797381552151</v>
      </c>
      <c r="BY44" s="223">
        <v>0.18813008745124063</v>
      </c>
      <c r="BZ44" s="223">
        <v>0.19181738858578889</v>
      </c>
      <c r="CA44" s="213">
        <v>0.17200130212957213</v>
      </c>
    </row>
    <row r="45" spans="1:79" x14ac:dyDescent="0.2">
      <c r="A45" s="207" t="s">
        <v>17</v>
      </c>
      <c r="B45" s="223">
        <v>0</v>
      </c>
      <c r="C45" s="223">
        <v>0</v>
      </c>
      <c r="D45" s="223">
        <v>2.8370173342021253E-5</v>
      </c>
      <c r="E45" s="223">
        <v>0</v>
      </c>
      <c r="F45" s="223">
        <v>3.3244734541411691E-2</v>
      </c>
      <c r="G45" s="223">
        <v>4.9301349880390664E-2</v>
      </c>
      <c r="H45" s="223">
        <v>6.6854735294133202E-2</v>
      </c>
      <c r="I45" s="223">
        <v>6.4214351077150705E-2</v>
      </c>
      <c r="J45" s="223">
        <v>4.7176708082916775E-2</v>
      </c>
      <c r="K45" s="223">
        <v>6.4116788940768582E-2</v>
      </c>
      <c r="L45" s="223">
        <v>6.3619092013915274E-2</v>
      </c>
      <c r="M45" s="223">
        <v>6.3587340836620557E-2</v>
      </c>
      <c r="N45" s="209">
        <v>4.8106000308159605E-2</v>
      </c>
      <c r="O45" s="223">
        <v>6.4573580012986631E-2</v>
      </c>
      <c r="P45" s="223">
        <v>6.4189869604213592E-2</v>
      </c>
      <c r="Q45" s="223">
        <v>6.1739649121440351E-2</v>
      </c>
      <c r="R45" s="223">
        <v>6.0124574105188719E-2</v>
      </c>
      <c r="S45" s="223">
        <v>5.7559151533236992E-2</v>
      </c>
      <c r="T45" s="223">
        <v>5.3696598929074107E-2</v>
      </c>
      <c r="U45" s="223">
        <v>5.1176685103034955E-2</v>
      </c>
      <c r="V45" s="223">
        <v>4.9071722983777398E-2</v>
      </c>
      <c r="W45" s="223">
        <v>4.729637879061542E-2</v>
      </c>
      <c r="X45" s="223">
        <v>4.6039242619633394E-2</v>
      </c>
      <c r="Y45" s="223">
        <v>4.4191493110603754E-2</v>
      </c>
      <c r="Z45" s="223">
        <v>4.2535995808087666E-2</v>
      </c>
      <c r="AA45" s="213">
        <v>5.1370179769453121E-2</v>
      </c>
      <c r="AB45" s="512"/>
      <c r="AC45" s="539"/>
      <c r="AD45" s="512"/>
      <c r="AE45" s="213"/>
      <c r="AF45" s="213"/>
      <c r="AG45" s="213"/>
      <c r="AM45" s="223">
        <v>4.7779745809918957E-2</v>
      </c>
      <c r="AN45" s="223">
        <v>4.612978587862001E-2</v>
      </c>
      <c r="AO45" s="223">
        <v>4.8523565862141779E-2</v>
      </c>
      <c r="AP45" s="223">
        <v>4.9253821093110495E-2</v>
      </c>
      <c r="AQ45" s="223">
        <v>4.9970034285814868E-2</v>
      </c>
      <c r="AR45" s="223">
        <v>5.067177914866218E-2</v>
      </c>
      <c r="AS45" s="223">
        <v>5.1358680150785777E-2</v>
      </c>
      <c r="AT45" s="223">
        <v>5.2030412034990994E-2</v>
      </c>
      <c r="AU45" s="223">
        <v>5.2686699031032729E-2</v>
      </c>
      <c r="AV45" s="223">
        <v>5.3327313794005737E-2</v>
      </c>
      <c r="AW45" s="223">
        <v>5.3952076094179943E-2</v>
      </c>
      <c r="AX45" s="223">
        <v>5.4560851285647818E-2</v>
      </c>
      <c r="AY45" s="213">
        <v>5.1167133853098477E-2</v>
      </c>
      <c r="BA45" s="223">
        <v>5.6313259730541868E-2</v>
      </c>
      <c r="BB45" s="223">
        <v>5.2561706260772188E-2</v>
      </c>
      <c r="BC45" s="223">
        <v>5.8090178654949781E-2</v>
      </c>
      <c r="BD45" s="223">
        <v>5.9889968216747545E-2</v>
      </c>
      <c r="BE45" s="223">
        <v>6.1710891020022592E-2</v>
      </c>
      <c r="BF45" s="223">
        <v>6.3551117800703563E-2</v>
      </c>
      <c r="BG45" s="223">
        <v>6.5408733930488766E-2</v>
      </c>
      <c r="BH45" s="223">
        <v>6.7281746699918918E-2</v>
      </c>
      <c r="BI45" s="223">
        <v>6.9168093329628727E-2</v>
      </c>
      <c r="BJ45" s="223">
        <v>7.1065649647448548E-2</v>
      </c>
      <c r="BK45" s="223">
        <v>7.2972239358374158E-2</v>
      </c>
      <c r="BL45" s="223">
        <v>7.4885643824735046E-2</v>
      </c>
      <c r="BM45" s="213">
        <v>6.4884974814520685E-2</v>
      </c>
      <c r="BO45" s="223">
        <v>7.6803612265407425E-2</v>
      </c>
      <c r="BP45" s="223">
        <v>7.2667695746430186E-2</v>
      </c>
      <c r="BQ45" s="223">
        <v>7.8723872275850953E-2</v>
      </c>
      <c r="BR45" s="223">
        <v>8.0644140565278591E-2</v>
      </c>
      <c r="BS45" s="223">
        <v>8.2562133803537996E-2</v>
      </c>
      <c r="BT45" s="223">
        <v>8.4475579468390627E-2</v>
      </c>
      <c r="BU45" s="223">
        <v>8.6382226583866087E-2</v>
      </c>
      <c r="BV45" s="223">
        <v>8.827985624225082E-2</v>
      </c>
      <c r="BW45" s="223">
        <v>9.0166291805986606E-2</v>
      </c>
      <c r="BX45" s="223">
        <v>9.2039408691212576E-2</v>
      </c>
      <c r="BY45" s="223">
        <v>9.3897143641740233E-2</v>
      </c>
      <c r="BZ45" s="223">
        <v>9.5737503410725983E-2</v>
      </c>
      <c r="CA45" s="213">
        <v>8.5847145405769557E-2</v>
      </c>
    </row>
    <row r="46" spans="1:79" x14ac:dyDescent="0.2">
      <c r="A46" s="208" t="s">
        <v>20</v>
      </c>
      <c r="B46" s="223">
        <v>1.668509256941025E-2</v>
      </c>
      <c r="C46" s="223">
        <v>1.7645766123669446E-2</v>
      </c>
      <c r="D46" s="223">
        <v>1.6754631741343336E-2</v>
      </c>
      <c r="E46" s="223">
        <v>1.635105660707388E-2</v>
      </c>
      <c r="F46" s="223">
        <v>2.1700948547166393E-2</v>
      </c>
      <c r="G46" s="223">
        <v>1.7485733217392607E-2</v>
      </c>
      <c r="H46" s="223">
        <v>1.0631827440831023E-2</v>
      </c>
      <c r="I46" s="223">
        <v>1.0813617502176727E-2</v>
      </c>
      <c r="J46" s="223">
        <v>1.3835911668493848E-2</v>
      </c>
      <c r="K46" s="223">
        <v>1.8008923516029073E-2</v>
      </c>
      <c r="L46" s="223">
        <v>1.708675472774656E-2</v>
      </c>
      <c r="M46" s="223">
        <v>1.7078227026995452E-2</v>
      </c>
      <c r="N46" s="209">
        <v>1.5970534201317395E-2</v>
      </c>
      <c r="O46" s="223">
        <v>0</v>
      </c>
      <c r="P46" s="223">
        <v>0</v>
      </c>
      <c r="Q46" s="223">
        <v>0</v>
      </c>
      <c r="R46" s="223">
        <v>0</v>
      </c>
      <c r="S46" s="223">
        <v>0</v>
      </c>
      <c r="T46" s="223">
        <v>0</v>
      </c>
      <c r="U46" s="223">
        <v>0</v>
      </c>
      <c r="V46" s="223">
        <v>0</v>
      </c>
      <c r="W46" s="223">
        <v>0</v>
      </c>
      <c r="X46" s="223">
        <v>0</v>
      </c>
      <c r="Y46" s="223">
        <v>0</v>
      </c>
      <c r="Z46" s="223">
        <v>0</v>
      </c>
      <c r="AA46" s="213">
        <v>0</v>
      </c>
      <c r="AB46" s="512"/>
      <c r="AC46" s="539"/>
      <c r="AD46" s="512"/>
      <c r="AE46" s="213"/>
      <c r="AF46" s="213"/>
      <c r="AG46" s="213"/>
      <c r="AM46" s="223">
        <v>0</v>
      </c>
      <c r="AN46" s="223">
        <v>0</v>
      </c>
      <c r="AO46" s="223">
        <v>0</v>
      </c>
      <c r="AP46" s="223">
        <v>0</v>
      </c>
      <c r="AQ46" s="223">
        <v>0</v>
      </c>
      <c r="AR46" s="223">
        <v>0</v>
      </c>
      <c r="AS46" s="223">
        <v>0</v>
      </c>
      <c r="AT46" s="223">
        <v>0</v>
      </c>
      <c r="AU46" s="223">
        <v>0</v>
      </c>
      <c r="AV46" s="223">
        <v>0</v>
      </c>
      <c r="AW46" s="223">
        <v>0</v>
      </c>
      <c r="AX46" s="223">
        <v>0</v>
      </c>
      <c r="AY46" s="213">
        <v>0</v>
      </c>
      <c r="BA46" s="223">
        <v>0</v>
      </c>
      <c r="BB46" s="223">
        <v>0</v>
      </c>
      <c r="BC46" s="223">
        <v>0</v>
      </c>
      <c r="BD46" s="223">
        <v>0</v>
      </c>
      <c r="BE46" s="223">
        <v>0</v>
      </c>
      <c r="BF46" s="223">
        <v>0</v>
      </c>
      <c r="BG46" s="223">
        <v>0</v>
      </c>
      <c r="BH46" s="223">
        <v>0</v>
      </c>
      <c r="BI46" s="223">
        <v>0</v>
      </c>
      <c r="BJ46" s="223">
        <v>0</v>
      </c>
      <c r="BK46" s="223">
        <v>0</v>
      </c>
      <c r="BL46" s="223">
        <v>0</v>
      </c>
      <c r="BM46" s="213">
        <v>0</v>
      </c>
      <c r="BO46" s="223">
        <v>0</v>
      </c>
      <c r="BP46" s="223">
        <v>0</v>
      </c>
      <c r="BQ46" s="223">
        <v>0</v>
      </c>
      <c r="BR46" s="223">
        <v>0</v>
      </c>
      <c r="BS46" s="223">
        <v>0</v>
      </c>
      <c r="BT46" s="223">
        <v>0</v>
      </c>
      <c r="BU46" s="223">
        <v>0</v>
      </c>
      <c r="BV46" s="223">
        <v>0</v>
      </c>
      <c r="BW46" s="223">
        <v>0</v>
      </c>
      <c r="BX46" s="223">
        <v>0</v>
      </c>
      <c r="BY46" s="223">
        <v>0</v>
      </c>
      <c r="BZ46" s="223">
        <v>0</v>
      </c>
      <c r="CA46" s="213">
        <v>0</v>
      </c>
    </row>
    <row r="47" spans="1:79" x14ac:dyDescent="0.2">
      <c r="A47" s="208" t="s">
        <v>22</v>
      </c>
      <c r="B47" s="223">
        <v>0</v>
      </c>
      <c r="C47" s="223">
        <v>0</v>
      </c>
      <c r="D47" s="223">
        <v>0</v>
      </c>
      <c r="E47" s="223">
        <v>0</v>
      </c>
      <c r="F47" s="223">
        <v>1.9734681504515562E-5</v>
      </c>
      <c r="G47" s="223">
        <v>2.1827116721394139E-3</v>
      </c>
      <c r="H47" s="223">
        <v>5.0675495261913754E-3</v>
      </c>
      <c r="I47" s="223">
        <v>8.1613195337049693E-3</v>
      </c>
      <c r="J47" s="223">
        <v>6.7049408457073066E-3</v>
      </c>
      <c r="K47" s="223">
        <v>9.6749378300129453E-3</v>
      </c>
      <c r="L47" s="223">
        <v>1.116755193908325E-2</v>
      </c>
      <c r="M47" s="223">
        <v>1.427578701024153E-2</v>
      </c>
      <c r="N47" s="209">
        <v>6.9170788329570776E-3</v>
      </c>
      <c r="O47" s="223">
        <v>2.6849136919201436E-2</v>
      </c>
      <c r="P47" s="223">
        <v>2.5206838253529592E-2</v>
      </c>
      <c r="Q47" s="223">
        <v>3.2400055151852222E-2</v>
      </c>
      <c r="R47" s="223">
        <v>3.9823528113597469E-2</v>
      </c>
      <c r="S47" s="223">
        <v>4.7655399713693446E-2</v>
      </c>
      <c r="T47" s="223">
        <v>5.557180780699307E-2</v>
      </c>
      <c r="U47" s="223">
        <v>6.6204865984654249E-2</v>
      </c>
      <c r="V47" s="223">
        <v>7.9352219600493351E-2</v>
      </c>
      <c r="W47" s="223">
        <v>9.4691220858871522E-2</v>
      </c>
      <c r="X47" s="223">
        <v>0.1070977945398582</v>
      </c>
      <c r="Y47" s="223">
        <v>0.11944323684652719</v>
      </c>
      <c r="Z47" s="223">
        <v>0.13358264076694473</v>
      </c>
      <c r="AA47" s="213">
        <v>7.9347268822031289E-2</v>
      </c>
      <c r="AB47" s="512"/>
      <c r="AC47" s="539"/>
      <c r="AD47" s="512"/>
      <c r="AE47" s="213"/>
      <c r="AF47" s="213"/>
      <c r="AG47" s="213"/>
      <c r="AM47" s="223">
        <v>0.15005043373755406</v>
      </c>
      <c r="AN47" s="223">
        <v>0.14486879873418002</v>
      </c>
      <c r="AO47" s="223">
        <v>0.15238637168713509</v>
      </c>
      <c r="AP47" s="223">
        <v>0.15467970984305357</v>
      </c>
      <c r="AQ47" s="223">
        <v>0.15692894952384609</v>
      </c>
      <c r="AR47" s="223">
        <v>0.15913275197734258</v>
      </c>
      <c r="AS47" s="223">
        <v>0.16128993786345944</v>
      </c>
      <c r="AT47" s="223">
        <v>0.1633994857246247</v>
      </c>
      <c r="AU47" s="223">
        <v>0.16546052951510748</v>
      </c>
      <c r="AV47" s="223">
        <v>0.16747235526707341</v>
      </c>
      <c r="AW47" s="223">
        <v>0.16943439697606363</v>
      </c>
      <c r="AX47" s="223">
        <v>0.17134623179184144</v>
      </c>
      <c r="AY47" s="213">
        <v>0.16068839416410308</v>
      </c>
      <c r="BA47" s="223">
        <v>0.17684960236831523</v>
      </c>
      <c r="BB47" s="223">
        <v>0.16506799458061316</v>
      </c>
      <c r="BC47" s="223">
        <v>0.18242994715257999</v>
      </c>
      <c r="BD47" s="223">
        <v>0.18808211628421259</v>
      </c>
      <c r="BE47" s="223">
        <v>0.1938006535389106</v>
      </c>
      <c r="BF47" s="223">
        <v>0.19957981418399129</v>
      </c>
      <c r="BG47" s="223">
        <v>0.20541358540372603</v>
      </c>
      <c r="BH47" s="223">
        <v>0.21129570917154702</v>
      </c>
      <c r="BI47" s="223">
        <v>0.21721970740907159</v>
      </c>
      <c r="BJ47" s="223">
        <v>0.22317890923620212</v>
      </c>
      <c r="BK47" s="223">
        <v>0.22916648008310589</v>
      </c>
      <c r="BL47" s="223">
        <v>0.23517545240445342</v>
      </c>
      <c r="BM47" s="213">
        <v>0.20376874026709296</v>
      </c>
      <c r="BO47" s="223">
        <v>0.24119875770965007</v>
      </c>
      <c r="BP47" s="223">
        <v>0.22821007271237626</v>
      </c>
      <c r="BQ47" s="223">
        <v>0.2472292596006023</v>
      </c>
      <c r="BR47" s="223">
        <v>0.25325978749138212</v>
      </c>
      <c r="BS47" s="223">
        <v>0.2592831706724365</v>
      </c>
      <c r="BT47" s="223">
        <v>0.26529227237604525</v>
      </c>
      <c r="BU47" s="223">
        <v>0.27128002349970565</v>
      </c>
      <c r="BV47" s="223">
        <v>0.27723945565002833</v>
      </c>
      <c r="BW47" s="223">
        <v>0.28316373318140309</v>
      </c>
      <c r="BX47" s="223">
        <v>0.2890461839208322</v>
      </c>
      <c r="BY47" s="223">
        <v>0.29488032829248817</v>
      </c>
      <c r="BZ47" s="223">
        <v>0.30065990658216857</v>
      </c>
      <c r="CA47" s="213">
        <v>0.26959962186723158</v>
      </c>
    </row>
    <row r="48" spans="1:79" x14ac:dyDescent="0.2">
      <c r="A48" s="208" t="s">
        <v>27</v>
      </c>
      <c r="B48" s="223">
        <v>3.8133504708408823E-2</v>
      </c>
      <c r="C48" s="223">
        <v>6.8861806777104767E-2</v>
      </c>
      <c r="D48" s="223">
        <v>4.6088506449970555E-2</v>
      </c>
      <c r="E48" s="223">
        <v>3.9213075430845012E-2</v>
      </c>
      <c r="F48" s="223">
        <v>4.1787343713763678E-2</v>
      </c>
      <c r="G48" s="223">
        <v>4.1927083698209085E-2</v>
      </c>
      <c r="H48" s="223">
        <v>3.1170329103092892E-2</v>
      </c>
      <c r="I48" s="223">
        <v>2.7486398119617061E-2</v>
      </c>
      <c r="J48" s="223">
        <v>1.9207913786962693E-2</v>
      </c>
      <c r="K48" s="223">
        <v>1.848104678512762E-2</v>
      </c>
      <c r="L48" s="223">
        <v>1.9797899817433941E-2</v>
      </c>
      <c r="M48" s="223">
        <v>1.9084982869232849E-2</v>
      </c>
      <c r="N48" s="209">
        <v>2.8552024633010889E-2</v>
      </c>
      <c r="O48" s="223">
        <v>2.0136852689401078E-2</v>
      </c>
      <c r="P48" s="223">
        <v>2.2241327870761402E-2</v>
      </c>
      <c r="Q48" s="223">
        <v>1.8692339510683977E-2</v>
      </c>
      <c r="R48" s="223">
        <v>1.7673163364022547E-2</v>
      </c>
      <c r="S48" s="223">
        <v>1.6268343097528486E-2</v>
      </c>
      <c r="T48" s="223">
        <v>1.4592925967313751E-2</v>
      </c>
      <c r="U48" s="223">
        <v>1.3373171454482224E-2</v>
      </c>
      <c r="V48" s="223">
        <v>1.2329919145416776E-2</v>
      </c>
      <c r="W48" s="223">
        <v>1.13179432820944E-2</v>
      </c>
      <c r="X48" s="223">
        <v>1.0492488311519024E-2</v>
      </c>
      <c r="Y48" s="223">
        <v>9.5917908402082981E-3</v>
      </c>
      <c r="Z48" s="223">
        <v>8.7928229804429651E-3</v>
      </c>
      <c r="AA48" s="213">
        <v>1.3449531567977428E-2</v>
      </c>
      <c r="AB48" s="512"/>
      <c r="AC48" s="539"/>
      <c r="AD48" s="512"/>
      <c r="AE48" s="213"/>
      <c r="AF48" s="213"/>
      <c r="AG48" s="213"/>
      <c r="AM48" s="223">
        <v>9.87678409723039E-3</v>
      </c>
      <c r="AN48" s="223">
        <v>9.5357128392259648E-3</v>
      </c>
      <c r="AO48" s="223">
        <v>1.0030542765018663E-2</v>
      </c>
      <c r="AP48" s="223">
        <v>1.018149738250124E-2</v>
      </c>
      <c r="AQ48" s="223">
        <v>1.0329549301824358E-2</v>
      </c>
      <c r="AR48" s="223">
        <v>1.0474610402175472E-2</v>
      </c>
      <c r="AS48" s="223">
        <v>1.0616603055739101E-2</v>
      </c>
      <c r="AT48" s="223">
        <v>1.075546002701548E-2</v>
      </c>
      <c r="AU48" s="223">
        <v>1.0891124310193363E-2</v>
      </c>
      <c r="AV48" s="223">
        <v>1.1023548909699485E-2</v>
      </c>
      <c r="AW48" s="223">
        <v>1.1152696569368044E-2</v>
      </c>
      <c r="AX48" s="223">
        <v>1.1278539455887337E-2</v>
      </c>
      <c r="AY48" s="213">
        <v>1.0577007587098314E-2</v>
      </c>
      <c r="BA48" s="223">
        <v>1.1640788345390399E-2</v>
      </c>
      <c r="BB48" s="223">
        <v>1.0865286445536455E-2</v>
      </c>
      <c r="BC48" s="223">
        <v>1.2008103915558553E-2</v>
      </c>
      <c r="BD48" s="223">
        <v>1.2380147186635042E-2</v>
      </c>
      <c r="BE48" s="223">
        <v>1.2756559013044079E-2</v>
      </c>
      <c r="BF48" s="223">
        <v>1.3136961258695084E-2</v>
      </c>
      <c r="BG48" s="223">
        <v>1.3520958141441419E-2</v>
      </c>
      <c r="BH48" s="223">
        <v>1.3908137738599859E-2</v>
      </c>
      <c r="BI48" s="223">
        <v>1.4298073642995448E-2</v>
      </c>
      <c r="BJ48" s="223">
        <v>1.469032675664745E-2</v>
      </c>
      <c r="BK48" s="223">
        <v>1.5084447207009992E-2</v>
      </c>
      <c r="BL48" s="223">
        <v>1.5479976368678315E-2</v>
      </c>
      <c r="BM48" s="213">
        <v>1.3412689342190103E-2</v>
      </c>
      <c r="BO48" s="223">
        <v>1.587644897171778E-2</v>
      </c>
      <c r="BP48" s="223">
        <v>1.5021493512879265E-2</v>
      </c>
      <c r="BQ48" s="223">
        <v>1.6273395276311952E-2</v>
      </c>
      <c r="BR48" s="223">
        <v>1.6670343292295272E-2</v>
      </c>
      <c r="BS48" s="223">
        <v>1.7066821021364798E-2</v>
      </c>
      <c r="BT48" s="223">
        <v>1.7462358699374118E-2</v>
      </c>
      <c r="BU48" s="223">
        <v>1.7856491016110906E-2</v>
      </c>
      <c r="BV48" s="223">
        <v>1.8248759290348485E-2</v>
      </c>
      <c r="BW48" s="223">
        <v>1.8638713578729975E-2</v>
      </c>
      <c r="BX48" s="223">
        <v>1.9025914698171952E-2</v>
      </c>
      <c r="BY48" s="223">
        <v>1.9409936142932998E-2</v>
      </c>
      <c r="BZ48" s="223">
        <v>1.979036587924456E-2</v>
      </c>
      <c r="CA48" s="213">
        <v>1.7745881778222204E-2</v>
      </c>
    </row>
    <row r="49" spans="1:79" x14ac:dyDescent="0.2">
      <c r="A49" s="208" t="s">
        <v>25</v>
      </c>
      <c r="B49" s="223">
        <v>0.17268293346482891</v>
      </c>
      <c r="C49" s="223">
        <v>0.17901809328333415</v>
      </c>
      <c r="D49" s="223">
        <v>0.15639644830074664</v>
      </c>
      <c r="E49" s="223">
        <v>0.13780918275714032</v>
      </c>
      <c r="F49" s="223">
        <v>0.13620303097886929</v>
      </c>
      <c r="G49" s="223">
        <v>0.12286370942297396</v>
      </c>
      <c r="H49" s="223">
        <v>8.9710346620761924E-2</v>
      </c>
      <c r="I49" s="223">
        <v>7.4546128410072174E-2</v>
      </c>
      <c r="J49" s="223">
        <v>4.9008985315378589E-2</v>
      </c>
      <c r="K49" s="223">
        <v>4.2722299837447061E-2</v>
      </c>
      <c r="L49" s="223">
        <v>4.0165534037722772E-2</v>
      </c>
      <c r="M49" s="223">
        <v>3.8233798210897153E-2</v>
      </c>
      <c r="N49" s="209">
        <v>8.0446862016294779E-2</v>
      </c>
      <c r="O49" s="223">
        <v>2.0136852689401078E-2</v>
      </c>
      <c r="P49" s="223">
        <v>2.2241327870761402E-2</v>
      </c>
      <c r="Q49" s="223">
        <v>1.8692339510683977E-2</v>
      </c>
      <c r="R49" s="223">
        <v>1.7673163364022547E-2</v>
      </c>
      <c r="S49" s="223">
        <v>1.446074942002532E-2</v>
      </c>
      <c r="T49" s="223">
        <v>1.2971489748723334E-2</v>
      </c>
      <c r="U49" s="223">
        <v>1.188726351509531E-2</v>
      </c>
      <c r="V49" s="223">
        <v>1.0959928129259357E-2</v>
      </c>
      <c r="W49" s="223">
        <v>1.0060394028528357E-2</v>
      </c>
      <c r="X49" s="223">
        <v>9.3266562769057995E-3</v>
      </c>
      <c r="Y49" s="223">
        <v>8.5260363024073759E-3</v>
      </c>
      <c r="Z49" s="223">
        <v>7.8158426492826345E-3</v>
      </c>
      <c r="AA49" s="213">
        <v>1.245326997034947E-2</v>
      </c>
      <c r="AB49" s="512"/>
      <c r="AC49" s="539"/>
      <c r="AD49" s="512"/>
      <c r="AE49" s="213"/>
      <c r="AF49" s="213"/>
      <c r="AG49" s="213"/>
      <c r="AM49" s="223">
        <v>8.3612987066500662E-3</v>
      </c>
      <c r="AN49" s="223">
        <v>8.9695123708180731E-3</v>
      </c>
      <c r="AO49" s="223">
        <v>8.0871093091609281E-3</v>
      </c>
      <c r="AP49" s="223">
        <v>7.8179202207594497E-3</v>
      </c>
      <c r="AQ49" s="223">
        <v>7.5539073547516936E-3</v>
      </c>
      <c r="AR49" s="223">
        <v>7.2952278521486134E-3</v>
      </c>
      <c r="AS49" s="223">
        <v>7.0420201423750982E-3</v>
      </c>
      <c r="AT49" s="223">
        <v>6.7944041228095225E-3</v>
      </c>
      <c r="AU49" s="223">
        <v>6.5524814487879111E-3</v>
      </c>
      <c r="AV49" s="223">
        <v>6.3163359249380126E-3</v>
      </c>
      <c r="AW49" s="223">
        <v>6.0860339881365329E-3</v>
      </c>
      <c r="AX49" s="223">
        <v>5.8616252720013699E-3</v>
      </c>
      <c r="AY49" s="213">
        <v>7.1126285695036848E-3</v>
      </c>
      <c r="BA49" s="223">
        <v>5.761801358043211E-3</v>
      </c>
      <c r="BB49" s="223">
        <v>5.9755042489799022E-3</v>
      </c>
      <c r="BC49" s="223">
        <v>5.660581233056055E-3</v>
      </c>
      <c r="BD49" s="223">
        <v>5.5580583087439898E-3</v>
      </c>
      <c r="BE49" s="223">
        <v>5.454331553849486E-3</v>
      </c>
      <c r="BF49" s="223">
        <v>5.3495051702781007E-3</v>
      </c>
      <c r="BG49" s="223">
        <v>5.2436882226097265E-3</v>
      </c>
      <c r="BH49" s="223">
        <v>5.1369942232268153E-3</v>
      </c>
      <c r="BI49" s="223">
        <v>5.0295406759627232E-3</v>
      </c>
      <c r="BJ49" s="223">
        <v>4.9214485818206742E-3</v>
      </c>
      <c r="BK49" s="223">
        <v>4.8128419109206948E-3</v>
      </c>
      <c r="BL49" s="223">
        <v>4.7038470453836722E-3</v>
      </c>
      <c r="BM49" s="213">
        <v>5.2735235529971928E-3</v>
      </c>
      <c r="BO49" s="223">
        <v>4.5945921983450164E-3</v>
      </c>
      <c r="BP49" s="223">
        <v>4.8301898844503709E-3</v>
      </c>
      <c r="BQ49" s="223">
        <v>4.4852068146929731E-3</v>
      </c>
      <c r="BR49" s="223">
        <v>4.3758209594382102E-3</v>
      </c>
      <c r="BS49" s="223">
        <v>4.2665646998337791E-3</v>
      </c>
      <c r="BT49" s="223">
        <v>4.1575674874724721E-3</v>
      </c>
      <c r="BU49" s="223">
        <v>4.0489575465889101E-3</v>
      </c>
      <c r="BV49" s="223">
        <v>3.9408612746866687E-3</v>
      </c>
      <c r="BW49" s="223">
        <v>3.8334026613989652E-3</v>
      </c>
      <c r="BX49" s="223">
        <v>3.726702731180539E-3</v>
      </c>
      <c r="BY49" s="223">
        <v>3.6208790150264224E-3</v>
      </c>
      <c r="BZ49" s="223">
        <v>3.5160450559305468E-3</v>
      </c>
      <c r="CA49" s="213">
        <v>4.0794378251099188E-3</v>
      </c>
    </row>
    <row r="50" spans="1:79" x14ac:dyDescent="0.2">
      <c r="A50" s="208" t="s">
        <v>24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09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13"/>
      <c r="AB50" s="512"/>
      <c r="AC50" s="539"/>
      <c r="AD50" s="512"/>
      <c r="AE50" s="213"/>
      <c r="AF50" s="213"/>
      <c r="AG50" s="21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3"/>
      <c r="AX50" s="223"/>
      <c r="AY50" s="213"/>
      <c r="BA50" s="223"/>
      <c r="BB50" s="223"/>
      <c r="BC50" s="223"/>
      <c r="BD50" s="223"/>
      <c r="BE50" s="223"/>
      <c r="BF50" s="223"/>
      <c r="BG50" s="223"/>
      <c r="BH50" s="223"/>
      <c r="BI50" s="223"/>
      <c r="BJ50" s="223"/>
      <c r="BK50" s="223"/>
      <c r="BL50" s="223"/>
      <c r="BM50" s="213"/>
      <c r="BO50" s="223"/>
      <c r="BP50" s="223"/>
      <c r="BQ50" s="223"/>
      <c r="BR50" s="223"/>
      <c r="BS50" s="223"/>
      <c r="BT50" s="223"/>
      <c r="BU50" s="223"/>
      <c r="BV50" s="223"/>
      <c r="BW50" s="223"/>
      <c r="BX50" s="223"/>
      <c r="BY50" s="223"/>
      <c r="BZ50" s="223"/>
      <c r="CA50" s="213"/>
    </row>
    <row r="51" spans="1:79" x14ac:dyDescent="0.2">
      <c r="A51" s="208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09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13"/>
      <c r="AB51" s="512"/>
      <c r="AC51" s="539"/>
      <c r="AD51" s="512"/>
      <c r="AE51" s="213"/>
      <c r="AF51" s="213"/>
      <c r="AG51" s="213"/>
    </row>
    <row r="52" spans="1:79" x14ac:dyDescent="0.2">
      <c r="A52" s="207" t="s">
        <v>28</v>
      </c>
      <c r="B52" s="220">
        <v>631570.36475299997</v>
      </c>
      <c r="C52" s="220">
        <v>532086.84362000006</v>
      </c>
      <c r="D52" s="220">
        <v>716597.66596800007</v>
      </c>
      <c r="E52" s="220">
        <v>830767.10737599991</v>
      </c>
      <c r="F52" s="220">
        <v>877642.74260200013</v>
      </c>
      <c r="G52" s="220">
        <v>966595.44040099997</v>
      </c>
      <c r="H52" s="220">
        <v>1316244.086718</v>
      </c>
      <c r="I52" s="220">
        <v>1305289.3721420004</v>
      </c>
      <c r="J52" s="220">
        <v>1760068.3340189999</v>
      </c>
      <c r="K52" s="220">
        <v>1971790.2610000004</v>
      </c>
      <c r="L52" s="220">
        <v>2097305.9804927232</v>
      </c>
      <c r="M52" s="220">
        <v>2203270.8935255776</v>
      </c>
      <c r="N52" s="220">
        <v>15209229.092617299</v>
      </c>
      <c r="O52" s="220">
        <v>2234708.7051833821</v>
      </c>
      <c r="P52" s="220">
        <v>2023260.4933250092</v>
      </c>
      <c r="Q52" s="220">
        <v>2407403.3094829759</v>
      </c>
      <c r="R52" s="220">
        <v>2546233.4655722696</v>
      </c>
      <c r="S52" s="220">
        <v>2766108.369501777</v>
      </c>
      <c r="T52" s="220">
        <v>3083685.8969060853</v>
      </c>
      <c r="U52" s="220">
        <v>3364946.0154732079</v>
      </c>
      <c r="V52" s="220">
        <v>3649658.9693150753</v>
      </c>
      <c r="W52" s="220">
        <v>3975987.4102914468</v>
      </c>
      <c r="X52" s="220">
        <v>4288782.4759926014</v>
      </c>
      <c r="Y52" s="220">
        <v>4691511.8093862403</v>
      </c>
      <c r="Z52" s="220">
        <v>5117810.2982499702</v>
      </c>
      <c r="AA52" s="221">
        <v>40150097.218680039</v>
      </c>
      <c r="AB52" s="221"/>
      <c r="AC52" s="537"/>
      <c r="AD52" s="221"/>
      <c r="AE52" s="221"/>
      <c r="AF52" s="221"/>
      <c r="AG52" s="221"/>
      <c r="AM52" s="220">
        <v>4783945.8203049777</v>
      </c>
      <c r="AN52" s="220">
        <v>4459551.2382744793</v>
      </c>
      <c r="AO52" s="220">
        <v>4946143.1113202255</v>
      </c>
      <c r="AP52" s="220">
        <v>5116450.266886238</v>
      </c>
      <c r="AQ52" s="220">
        <v>5295272.7802305501</v>
      </c>
      <c r="AR52" s="220">
        <v>5483036.4192420775</v>
      </c>
      <c r="AS52" s="220">
        <v>5680188.2402041815</v>
      </c>
      <c r="AT52" s="220">
        <v>5887197.6522143912</v>
      </c>
      <c r="AU52" s="220">
        <v>6104557.5348251108</v>
      </c>
      <c r="AV52" s="220">
        <v>6332785.4115663655</v>
      </c>
      <c r="AW52" s="220">
        <v>6572424.6821446847</v>
      </c>
      <c r="AX52" s="220">
        <v>6824045.9162519202</v>
      </c>
      <c r="AY52" s="221">
        <v>67485599.073465198</v>
      </c>
      <c r="BA52" s="220">
        <v>6942273.3472339911</v>
      </c>
      <c r="BB52" s="220">
        <v>6693995.7421716396</v>
      </c>
      <c r="BC52" s="220">
        <v>7066412.1497651683</v>
      </c>
      <c r="BD52" s="220">
        <v>7196757.8924229033</v>
      </c>
      <c r="BE52" s="220">
        <v>7333620.9222135255</v>
      </c>
      <c r="BF52" s="220">
        <v>7477327.1034936775</v>
      </c>
      <c r="BG52" s="220">
        <v>7628218.5938378386</v>
      </c>
      <c r="BH52" s="220">
        <v>7786654.658699207</v>
      </c>
      <c r="BI52" s="220">
        <v>7953012.5268036444</v>
      </c>
      <c r="BJ52" s="220">
        <v>8127688.2883133013</v>
      </c>
      <c r="BK52" s="220">
        <v>8311097.8378984444</v>
      </c>
      <c r="BL52" s="220">
        <v>8503677.8649628423</v>
      </c>
      <c r="BM52" s="221">
        <v>91020736.927816182</v>
      </c>
      <c r="BO52" s="220">
        <v>8705886.8933804613</v>
      </c>
      <c r="BP52" s="220">
        <v>8281247.9337034626</v>
      </c>
      <c r="BQ52" s="220">
        <v>8918206.3732189611</v>
      </c>
      <c r="BR52" s="220">
        <v>9141141.8270493876</v>
      </c>
      <c r="BS52" s="220">
        <v>9375224.0535713322</v>
      </c>
      <c r="BT52" s="220">
        <v>9621010.3914193753</v>
      </c>
      <c r="BU52" s="220">
        <v>9879086.0461598225</v>
      </c>
      <c r="BV52" s="220">
        <v>10150065.483637288</v>
      </c>
      <c r="BW52" s="220">
        <v>10434593.89298863</v>
      </c>
      <c r="BX52" s="220">
        <v>10733348.722807538</v>
      </c>
      <c r="BY52" s="220">
        <v>11047041.294117391</v>
      </c>
      <c r="BZ52" s="220">
        <v>11376418.493992738</v>
      </c>
      <c r="CA52" s="221">
        <v>117663271.40604639</v>
      </c>
    </row>
    <row r="53" spans="1:79" x14ac:dyDescent="0.2">
      <c r="A53" s="207" t="s">
        <v>8</v>
      </c>
      <c r="B53" s="222">
        <v>357049.94999999995</v>
      </c>
      <c r="C53" s="222">
        <v>266708.21000000002</v>
      </c>
      <c r="D53" s="222">
        <v>412651.92000000004</v>
      </c>
      <c r="E53" s="222">
        <v>519905.01</v>
      </c>
      <c r="F53" s="222">
        <v>553555.29</v>
      </c>
      <c r="G53" s="222">
        <v>640594.98</v>
      </c>
      <c r="H53" s="222">
        <v>913801.54</v>
      </c>
      <c r="I53" s="222">
        <v>847454.32000000018</v>
      </c>
      <c r="J53" s="222">
        <v>1160582.7799999998</v>
      </c>
      <c r="K53" s="222">
        <v>1247198.2500000002</v>
      </c>
      <c r="L53" s="222">
        <v>1303122.5385881208</v>
      </c>
      <c r="M53" s="222">
        <v>1368278.6655175269</v>
      </c>
      <c r="N53" s="211">
        <v>9590903.4541056473</v>
      </c>
      <c r="O53" s="222">
        <v>1383098.099586511</v>
      </c>
      <c r="P53" s="222">
        <v>1250994.6377281379</v>
      </c>
      <c r="Q53" s="222">
        <v>1433592.2019630275</v>
      </c>
      <c r="R53" s="222">
        <v>1520617.910302321</v>
      </c>
      <c r="S53" s="222">
        <v>1604381.1448987518</v>
      </c>
      <c r="T53" s="222">
        <v>1693277.0114755062</v>
      </c>
      <c r="U53" s="222">
        <v>1809324.4864401454</v>
      </c>
      <c r="V53" s="222">
        <v>1911739.0526226663</v>
      </c>
      <c r="W53" s="222">
        <v>2029081.3641981073</v>
      </c>
      <c r="X53" s="222">
        <v>2125662.270290941</v>
      </c>
      <c r="Y53" s="222">
        <v>2301906.8887706632</v>
      </c>
      <c r="Z53" s="222">
        <v>2515061.4191182083</v>
      </c>
      <c r="AA53" s="212">
        <v>21578736.487394985</v>
      </c>
      <c r="AB53" s="221"/>
      <c r="AC53" s="537"/>
      <c r="AD53" s="221"/>
      <c r="AE53" s="212"/>
      <c r="AF53" s="212"/>
      <c r="AG53" s="212"/>
      <c r="AH53" s="222"/>
      <c r="AI53" s="222"/>
      <c r="AJ53" s="222"/>
      <c r="AK53" s="222"/>
      <c r="AL53" s="222"/>
      <c r="AM53" s="222">
        <v>2780885.2189100883</v>
      </c>
      <c r="AN53" s="222">
        <v>2589479.1623625332</v>
      </c>
      <c r="AO53" s="222">
        <v>2876588.2471838659</v>
      </c>
      <c r="AP53" s="222">
        <v>2977076.4268713328</v>
      </c>
      <c r="AQ53" s="222">
        <v>3082589.0155431726</v>
      </c>
      <c r="AR53" s="222">
        <v>3193377.2336486047</v>
      </c>
      <c r="AS53" s="222">
        <v>3309704.8626593077</v>
      </c>
      <c r="AT53" s="222">
        <v>3431848.8731205463</v>
      </c>
      <c r="AU53" s="222">
        <v>3560100.0841048472</v>
      </c>
      <c r="AV53" s="222">
        <v>3694763.8556383629</v>
      </c>
      <c r="AW53" s="222">
        <v>3836160.8157485542</v>
      </c>
      <c r="AX53" s="222">
        <v>3984627.6238642554</v>
      </c>
      <c r="AY53" s="212">
        <v>39317201.419655472</v>
      </c>
      <c r="BA53" s="222">
        <v>4039845.4518129663</v>
      </c>
      <c r="BB53" s="222">
        <v>3923888.0131206731</v>
      </c>
      <c r="BC53" s="222">
        <v>4097824.1711591133</v>
      </c>
      <c r="BD53" s="222">
        <v>4158701.8264725669</v>
      </c>
      <c r="BE53" s="222">
        <v>4222623.3645516941</v>
      </c>
      <c r="BF53" s="222">
        <v>4289740.9795347769</v>
      </c>
      <c r="BG53" s="222">
        <v>4360214.4752670145</v>
      </c>
      <c r="BH53" s="222">
        <v>4434211.6457858635</v>
      </c>
      <c r="BI53" s="222">
        <v>4511908.6748306546</v>
      </c>
      <c r="BJ53" s="222">
        <v>4593490.5553276855</v>
      </c>
      <c r="BK53" s="222">
        <v>4679151.5298495684</v>
      </c>
      <c r="BL53" s="222">
        <v>4769095.5530975452</v>
      </c>
      <c r="BM53" s="212">
        <v>52080696.240810126</v>
      </c>
      <c r="BO53" s="222">
        <v>4863536.7775079207</v>
      </c>
      <c r="BP53" s="222">
        <v>4665210.206246132</v>
      </c>
      <c r="BQ53" s="222">
        <v>4962700.0631388156</v>
      </c>
      <c r="BR53" s="222">
        <v>5066821.5130512547</v>
      </c>
      <c r="BS53" s="222">
        <v>5176149.0354593154</v>
      </c>
      <c r="BT53" s="222">
        <v>5290942.9339877795</v>
      </c>
      <c r="BU53" s="222">
        <v>5411476.5274426676</v>
      </c>
      <c r="BV53" s="222">
        <v>5538036.800570298</v>
      </c>
      <c r="BW53" s="222">
        <v>5670925.0873543117</v>
      </c>
      <c r="BX53" s="222">
        <v>5810457.788477526</v>
      </c>
      <c r="BY53" s="222">
        <v>5956967.1246569008</v>
      </c>
      <c r="BZ53" s="222">
        <v>6110801.9276452437</v>
      </c>
      <c r="CA53" s="212">
        <v>64524025.785538167</v>
      </c>
    </row>
    <row r="54" spans="1:79" x14ac:dyDescent="0.2">
      <c r="A54" s="207" t="s">
        <v>11</v>
      </c>
      <c r="B54" s="222">
        <v>141375</v>
      </c>
      <c r="C54" s="222">
        <v>133485</v>
      </c>
      <c r="D54" s="222">
        <v>158845.5</v>
      </c>
      <c r="E54" s="222">
        <v>163797.82800000001</v>
      </c>
      <c r="F54" s="222">
        <v>167858.17199999999</v>
      </c>
      <c r="G54" s="222">
        <v>164604.63200000001</v>
      </c>
      <c r="H54" s="222">
        <v>236663.94</v>
      </c>
      <c r="I54" s="222">
        <v>314000.196</v>
      </c>
      <c r="J54" s="222">
        <v>467617.99599999998</v>
      </c>
      <c r="K54" s="222">
        <v>584834.9</v>
      </c>
      <c r="L54" s="222">
        <v>645000</v>
      </c>
      <c r="M54" s="222">
        <v>677250</v>
      </c>
      <c r="N54" s="211">
        <v>3855333.1639999999</v>
      </c>
      <c r="O54" s="222">
        <v>701610.60559687135</v>
      </c>
      <c r="P54" s="222">
        <v>631265.85559687135</v>
      </c>
      <c r="Q54" s="222">
        <v>728888.03059687139</v>
      </c>
      <c r="R54" s="222">
        <v>757292.47834687144</v>
      </c>
      <c r="S54" s="222">
        <v>791061.07075687149</v>
      </c>
      <c r="T54" s="222">
        <v>826350.57773827144</v>
      </c>
      <c r="U54" s="222">
        <v>863230.34441767761</v>
      </c>
      <c r="V54" s="222">
        <v>901772.91515394731</v>
      </c>
      <c r="W54" s="222">
        <v>946953.40563180135</v>
      </c>
      <c r="X54" s="222">
        <v>1003416.4458770455</v>
      </c>
      <c r="Y54" s="222">
        <v>1051927.872091085</v>
      </c>
      <c r="Z54" s="222">
        <v>1141790.5722395736</v>
      </c>
      <c r="AA54" s="212">
        <v>10345560.174043758</v>
      </c>
      <c r="AB54" s="221"/>
      <c r="AC54" s="537"/>
      <c r="AD54" s="221"/>
      <c r="AE54" s="212"/>
      <c r="AF54" s="212"/>
      <c r="AG54" s="212"/>
      <c r="AM54" s="222">
        <v>1197977.456081168</v>
      </c>
      <c r="AN54" s="222">
        <v>1141497.2451295976</v>
      </c>
      <c r="AO54" s="222">
        <v>1226217.5615569532</v>
      </c>
      <c r="AP54" s="222">
        <v>1255869.6723065278</v>
      </c>
      <c r="AQ54" s="222">
        <v>1287004.388593581</v>
      </c>
      <c r="AR54" s="222">
        <v>1319695.8406949872</v>
      </c>
      <c r="AS54" s="222">
        <v>1354021.8654014631</v>
      </c>
      <c r="AT54" s="222">
        <v>1390064.1913432635</v>
      </c>
      <c r="AU54" s="222">
        <v>1427908.6335821534</v>
      </c>
      <c r="AV54" s="222">
        <v>1467645.2979329878</v>
      </c>
      <c r="AW54" s="222">
        <v>1509368.7955013642</v>
      </c>
      <c r="AX54" s="222">
        <v>1553178.4679481592</v>
      </c>
      <c r="AY54" s="212">
        <v>16130449.416072207</v>
      </c>
      <c r="BA54" s="222">
        <v>1553876.0797595454</v>
      </c>
      <c r="BB54" s="222">
        <v>1552411.0949556346</v>
      </c>
      <c r="BC54" s="222">
        <v>1554608.5721615008</v>
      </c>
      <c r="BD54" s="222">
        <v>1555377.6891835541</v>
      </c>
      <c r="BE54" s="222">
        <v>1556185.26205671</v>
      </c>
      <c r="BF54" s="222">
        <v>1557033.2135735236</v>
      </c>
      <c r="BG54" s="222">
        <v>1557923.562666178</v>
      </c>
      <c r="BH54" s="222">
        <v>1558858.4292134652</v>
      </c>
      <c r="BI54" s="222">
        <v>1559840.0390881165</v>
      </c>
      <c r="BJ54" s="222">
        <v>1560870.7294565004</v>
      </c>
      <c r="BK54" s="222">
        <v>1561952.9543433038</v>
      </c>
      <c r="BL54" s="222">
        <v>1563089.290474447</v>
      </c>
      <c r="BM54" s="212">
        <v>18692026.916932482</v>
      </c>
      <c r="BO54" s="222">
        <v>1564282.4434121475</v>
      </c>
      <c r="BP54" s="222">
        <v>1561776.8222429764</v>
      </c>
      <c r="BQ54" s="222">
        <v>1565535.2539967331</v>
      </c>
      <c r="BR54" s="222">
        <v>1566850.7051105481</v>
      </c>
      <c r="BS54" s="222">
        <v>1568231.9287800535</v>
      </c>
      <c r="BT54" s="222">
        <v>1569682.2136330344</v>
      </c>
      <c r="BU54" s="222">
        <v>1571205.0127286643</v>
      </c>
      <c r="BV54" s="222">
        <v>1572803.9517790757</v>
      </c>
      <c r="BW54" s="222">
        <v>1574482.8377820076</v>
      </c>
      <c r="BX54" s="222">
        <v>1576245.6680850862</v>
      </c>
      <c r="BY54" s="222">
        <v>1578096.6399033186</v>
      </c>
      <c r="BZ54" s="222">
        <v>1580040.1603124628</v>
      </c>
      <c r="CA54" s="212">
        <v>18849233.637766108</v>
      </c>
    </row>
    <row r="55" spans="1:79" x14ac:dyDescent="0.2">
      <c r="A55" s="207" t="s">
        <v>21</v>
      </c>
      <c r="B55" s="222">
        <v>24083.991478</v>
      </c>
      <c r="C55" s="222">
        <v>36640.461414000005</v>
      </c>
      <c r="D55" s="222">
        <v>33026.916150000005</v>
      </c>
      <c r="E55" s="222">
        <v>32576.933247000001</v>
      </c>
      <c r="F55" s="222">
        <v>36691.678942999999</v>
      </c>
      <c r="G55" s="222">
        <v>42636.327081999996</v>
      </c>
      <c r="H55" s="222">
        <v>47697.893461</v>
      </c>
      <c r="I55" s="222">
        <v>46530.586993999998</v>
      </c>
      <c r="J55" s="222">
        <v>45608.394883000001</v>
      </c>
      <c r="K55" s="222">
        <v>55517.696253000002</v>
      </c>
      <c r="L55" s="222">
        <v>64944.02715760241</v>
      </c>
      <c r="M55" s="222">
        <v>73502.813261050687</v>
      </c>
      <c r="N55" s="211">
        <v>539457.72032365319</v>
      </c>
      <c r="O55" s="222">
        <v>105000</v>
      </c>
      <c r="P55" s="222">
        <v>96000</v>
      </c>
      <c r="Q55" s="222">
        <v>199923.07692307694</v>
      </c>
      <c r="R55" s="222">
        <v>223323.07692307694</v>
      </c>
      <c r="S55" s="222">
        <v>330666.15384615387</v>
      </c>
      <c r="T55" s="222">
        <v>524058.30769230769</v>
      </c>
      <c r="U55" s="222">
        <v>652391.18461538467</v>
      </c>
      <c r="V55" s="222">
        <v>796147.00153846154</v>
      </c>
      <c r="W55" s="222">
        <v>959952.64046153845</v>
      </c>
      <c r="X55" s="222">
        <v>1119703.7598246154</v>
      </c>
      <c r="Y55" s="222">
        <v>1297677.0485244924</v>
      </c>
      <c r="Z55" s="222">
        <v>1420958.3068921883</v>
      </c>
      <c r="AA55" s="212">
        <v>7725800.5572412964</v>
      </c>
      <c r="AB55" s="221"/>
      <c r="AC55" s="537"/>
      <c r="AD55" s="221"/>
      <c r="AE55" s="212"/>
      <c r="AF55" s="212"/>
      <c r="AG55" s="212"/>
      <c r="AM55" s="222">
        <v>765083.1453137208</v>
      </c>
      <c r="AN55" s="222">
        <v>688574.83078234876</v>
      </c>
      <c r="AO55" s="222">
        <v>803337.30257940688</v>
      </c>
      <c r="AP55" s="222">
        <v>843504.16770837724</v>
      </c>
      <c r="AQ55" s="222">
        <v>885679.37609379611</v>
      </c>
      <c r="AR55" s="222">
        <v>929963.34489848593</v>
      </c>
      <c r="AS55" s="222">
        <v>976461.51214341028</v>
      </c>
      <c r="AT55" s="222">
        <v>1025284.5877505809</v>
      </c>
      <c r="AU55" s="222">
        <v>1076548.8171381098</v>
      </c>
      <c r="AV55" s="222">
        <v>1130376.2579950155</v>
      </c>
      <c r="AW55" s="222">
        <v>1186895.0708947664</v>
      </c>
      <c r="AX55" s="222">
        <v>1246239.8244395046</v>
      </c>
      <c r="AY55" s="212">
        <v>11557948.237737523</v>
      </c>
      <c r="BA55" s="222">
        <v>1308551.81566148</v>
      </c>
      <c r="BB55" s="222">
        <v>1177696.6340953319</v>
      </c>
      <c r="BC55" s="222">
        <v>1373979.4064445542</v>
      </c>
      <c r="BD55" s="222">
        <v>1442678.3767667818</v>
      </c>
      <c r="BE55" s="222">
        <v>1514812.2956051209</v>
      </c>
      <c r="BF55" s="222">
        <v>1590552.9103853772</v>
      </c>
      <c r="BG55" s="222">
        <v>1670080.5559046462</v>
      </c>
      <c r="BH55" s="222">
        <v>1753584.5836998785</v>
      </c>
      <c r="BI55" s="222">
        <v>1841263.8128848723</v>
      </c>
      <c r="BJ55" s="222">
        <v>1933327.003529116</v>
      </c>
      <c r="BK55" s="222">
        <v>2029993.3537055722</v>
      </c>
      <c r="BL55" s="222">
        <v>2131493.0213908507</v>
      </c>
      <c r="BM55" s="212">
        <v>19768013.770073585</v>
      </c>
      <c r="BO55" s="222">
        <v>2238067.6724603935</v>
      </c>
      <c r="BP55" s="222">
        <v>2014260.9052143544</v>
      </c>
      <c r="BQ55" s="222">
        <v>2349971.0560834133</v>
      </c>
      <c r="BR55" s="222">
        <v>2467469.6088875844</v>
      </c>
      <c r="BS55" s="222">
        <v>2590843.0893319636</v>
      </c>
      <c r="BT55" s="222">
        <v>2720385.2437985619</v>
      </c>
      <c r="BU55" s="222">
        <v>2856404.5059884898</v>
      </c>
      <c r="BV55" s="222">
        <v>2999224.7312879148</v>
      </c>
      <c r="BW55" s="222">
        <v>3149185.9678523103</v>
      </c>
      <c r="BX55" s="222">
        <v>3306645.2662449265</v>
      </c>
      <c r="BY55" s="222">
        <v>3471977.5295571727</v>
      </c>
      <c r="BZ55" s="222">
        <v>3645576.4060350317</v>
      </c>
      <c r="CA55" s="212">
        <v>33810011.982742116</v>
      </c>
    </row>
    <row r="56" spans="1:79" x14ac:dyDescent="0.2">
      <c r="A56" s="207" t="s">
        <v>25</v>
      </c>
      <c r="B56" s="222">
        <v>109061.42327499999</v>
      </c>
      <c r="C56" s="222">
        <v>95253.172206000003</v>
      </c>
      <c r="D56" s="222">
        <v>112073.329818</v>
      </c>
      <c r="E56" s="222">
        <v>114487.336129</v>
      </c>
      <c r="F56" s="222">
        <v>119537.60165900001</v>
      </c>
      <c r="G56" s="222">
        <v>118759.501319</v>
      </c>
      <c r="H56" s="222">
        <v>118080.713257</v>
      </c>
      <c r="I56" s="222">
        <v>97304.269148000007</v>
      </c>
      <c r="J56" s="222">
        <v>86259.163136000003</v>
      </c>
      <c r="K56" s="222">
        <v>84239.414747000003</v>
      </c>
      <c r="L56" s="222">
        <v>84239.414747000003</v>
      </c>
      <c r="M56" s="222">
        <v>84239.414747000003</v>
      </c>
      <c r="N56" s="211">
        <v>1223534.754188</v>
      </c>
      <c r="O56" s="222">
        <v>45000</v>
      </c>
      <c r="P56" s="222">
        <v>45000</v>
      </c>
      <c r="Q56" s="222">
        <v>45000</v>
      </c>
      <c r="R56" s="222">
        <v>45000</v>
      </c>
      <c r="S56" s="222">
        <v>40000</v>
      </c>
      <c r="T56" s="222">
        <v>40000</v>
      </c>
      <c r="U56" s="222">
        <v>40000</v>
      </c>
      <c r="V56" s="222">
        <v>40000</v>
      </c>
      <c r="W56" s="222">
        <v>40000</v>
      </c>
      <c r="X56" s="222">
        <v>40000</v>
      </c>
      <c r="Y56" s="222">
        <v>40000</v>
      </c>
      <c r="Z56" s="222">
        <v>40000</v>
      </c>
      <c r="AA56" s="212">
        <v>500000</v>
      </c>
      <c r="AB56" s="221"/>
      <c r="AC56" s="537"/>
      <c r="AD56" s="221"/>
      <c r="AE56" s="212"/>
      <c r="AF56" s="212"/>
      <c r="AG56" s="212"/>
      <c r="AM56" s="222">
        <v>40000</v>
      </c>
      <c r="AN56" s="222">
        <v>40000</v>
      </c>
      <c r="AO56" s="222">
        <v>40000</v>
      </c>
      <c r="AP56" s="222">
        <v>40000</v>
      </c>
      <c r="AQ56" s="222">
        <v>40000</v>
      </c>
      <c r="AR56" s="222">
        <v>40000</v>
      </c>
      <c r="AS56" s="222">
        <v>40000</v>
      </c>
      <c r="AT56" s="222">
        <v>40000</v>
      </c>
      <c r="AU56" s="222">
        <v>40000</v>
      </c>
      <c r="AV56" s="222">
        <v>40000</v>
      </c>
      <c r="AW56" s="222">
        <v>40000</v>
      </c>
      <c r="AX56" s="222">
        <v>40000</v>
      </c>
      <c r="AY56" s="212">
        <v>480000</v>
      </c>
      <c r="BA56" s="222">
        <v>40000</v>
      </c>
      <c r="BB56" s="222">
        <v>40000</v>
      </c>
      <c r="BC56" s="222">
        <v>40000</v>
      </c>
      <c r="BD56" s="222">
        <v>40000</v>
      </c>
      <c r="BE56" s="222">
        <v>40000</v>
      </c>
      <c r="BF56" s="222">
        <v>40000</v>
      </c>
      <c r="BG56" s="222">
        <v>40000</v>
      </c>
      <c r="BH56" s="222">
        <v>40000</v>
      </c>
      <c r="BI56" s="222">
        <v>40000</v>
      </c>
      <c r="BJ56" s="222">
        <v>40000</v>
      </c>
      <c r="BK56" s="222">
        <v>40000</v>
      </c>
      <c r="BL56" s="222">
        <v>40000</v>
      </c>
      <c r="BM56" s="212">
        <v>480000</v>
      </c>
      <c r="BO56" s="222">
        <v>40000</v>
      </c>
      <c r="BP56" s="222">
        <v>40000</v>
      </c>
      <c r="BQ56" s="222">
        <v>40000</v>
      </c>
      <c r="BR56" s="222">
        <v>40000</v>
      </c>
      <c r="BS56" s="222">
        <v>40000</v>
      </c>
      <c r="BT56" s="222">
        <v>40000</v>
      </c>
      <c r="BU56" s="222">
        <v>40000</v>
      </c>
      <c r="BV56" s="222">
        <v>40000</v>
      </c>
      <c r="BW56" s="222">
        <v>40000</v>
      </c>
      <c r="BX56" s="222">
        <v>40000</v>
      </c>
      <c r="BY56" s="222">
        <v>40000</v>
      </c>
      <c r="BZ56" s="222">
        <v>40000</v>
      </c>
      <c r="CA56" s="212">
        <v>480000</v>
      </c>
    </row>
    <row r="57" spans="1:79" x14ac:dyDescent="0.2">
      <c r="AA57" s="219"/>
      <c r="AB57" s="219"/>
      <c r="AC57" s="538"/>
      <c r="AD57" s="219"/>
      <c r="AE57" s="219"/>
      <c r="AF57" s="219"/>
      <c r="AG57" s="219"/>
      <c r="AY57" s="219"/>
      <c r="BM57" s="219"/>
      <c r="CA57" s="219"/>
    </row>
    <row r="58" spans="1:79" x14ac:dyDescent="0.2">
      <c r="A58" s="207" t="s">
        <v>8</v>
      </c>
      <c r="B58" s="223">
        <v>0.56533676994112625</v>
      </c>
      <c r="C58" s="223">
        <v>0.50124939790932843</v>
      </c>
      <c r="D58" s="223">
        <v>0.57584881949423927</v>
      </c>
      <c r="E58" s="223">
        <v>0.62581318564974708</v>
      </c>
      <c r="F58" s="223">
        <v>0.63072963875806853</v>
      </c>
      <c r="G58" s="223">
        <v>0.66273329381136326</v>
      </c>
      <c r="H58" s="223">
        <v>0.69424930316574207</v>
      </c>
      <c r="I58" s="223">
        <v>0.64924631892874018</v>
      </c>
      <c r="J58" s="223">
        <v>0.6593964322679936</v>
      </c>
      <c r="K58" s="223">
        <v>0.63252074760095389</v>
      </c>
      <c r="L58" s="223">
        <v>0.621331627673124</v>
      </c>
      <c r="M58" s="223">
        <v>0.62102153191343046</v>
      </c>
      <c r="N58" s="223">
        <v>0.63059760594711278</v>
      </c>
      <c r="O58" s="223">
        <v>0.61891650414142585</v>
      </c>
      <c r="P58" s="223">
        <v>0.61830626449502002</v>
      </c>
      <c r="Q58" s="223">
        <v>0.59549315908804323</v>
      </c>
      <c r="R58" s="223">
        <v>0.59720286095625563</v>
      </c>
      <c r="S58" s="223">
        <v>0.58001384276485446</v>
      </c>
      <c r="T58" s="223">
        <v>0.54910813490258525</v>
      </c>
      <c r="U58" s="223">
        <v>0.53769792386571247</v>
      </c>
      <c r="V58" s="223">
        <v>0.52381306546606976</v>
      </c>
      <c r="W58" s="223">
        <v>0.51033395099442025</v>
      </c>
      <c r="X58" s="223">
        <v>0.49563303389477104</v>
      </c>
      <c r="Y58" s="223">
        <v>0.4906535424605073</v>
      </c>
      <c r="Z58" s="223">
        <v>0.49143310762773501</v>
      </c>
      <c r="AA58" s="224">
        <v>0.53745166219312079</v>
      </c>
      <c r="AB58" s="224"/>
      <c r="AC58" s="538"/>
      <c r="AD58" s="224"/>
      <c r="AE58" s="224"/>
      <c r="AF58" s="224"/>
      <c r="AG58" s="224"/>
      <c r="AM58" s="223">
        <v>0.58129529960538018</v>
      </c>
      <c r="AN58" s="223">
        <v>0.58065913451965911</v>
      </c>
      <c r="AO58" s="223">
        <v>0.58158208981058912</v>
      </c>
      <c r="AP58" s="223">
        <v>0.58186364990959205</v>
      </c>
      <c r="AQ58" s="223">
        <v>0.58213979590470888</v>
      </c>
      <c r="AR58" s="223">
        <v>0.58241036343326469</v>
      </c>
      <c r="AS58" s="223">
        <v>0.5826752077040912</v>
      </c>
      <c r="AT58" s="223">
        <v>0.58293420330973633</v>
      </c>
      <c r="AU58" s="223">
        <v>0.58318724392313226</v>
      </c>
      <c r="AV58" s="223">
        <v>0.58343424188827708</v>
      </c>
      <c r="AW58" s="223">
        <v>0.58367512771508168</v>
      </c>
      <c r="AX58" s="223">
        <v>0.5839098494889372</v>
      </c>
      <c r="AY58" s="224">
        <v>0.58260135435494242</v>
      </c>
      <c r="BA58" s="223">
        <v>0.58191967526351596</v>
      </c>
      <c r="BB58" s="223">
        <v>0.5861802373730971</v>
      </c>
      <c r="BC58" s="223">
        <v>0.57990166499066897</v>
      </c>
      <c r="BD58" s="223">
        <v>0.57785768100536639</v>
      </c>
      <c r="BE58" s="223">
        <v>0.57578969643240963</v>
      </c>
      <c r="BF58" s="223">
        <v>0.57369978872937832</v>
      </c>
      <c r="BG58" s="223">
        <v>0.57159013230025224</v>
      </c>
      <c r="BH58" s="223">
        <v>0.56946299022417635</v>
      </c>
      <c r="BI58" s="223">
        <v>0.56732070515724609</v>
      </c>
      <c r="BJ58" s="223">
        <v>0.56516568947810253</v>
      </c>
      <c r="BK58" s="223">
        <v>0.56300041476021723</v>
      </c>
      <c r="BL58" s="223">
        <v>0.56082740066475745</v>
      </c>
      <c r="BM58" s="224">
        <v>0.57218495475500952</v>
      </c>
      <c r="BO58" s="223">
        <v>0.55864920335754886</v>
      </c>
      <c r="BP58" s="223">
        <v>0.56334627867611742</v>
      </c>
      <c r="BQ58" s="223">
        <v>0.5564684035616867</v>
      </c>
      <c r="BR58" s="223">
        <v>0.55428759436355257</v>
      </c>
      <c r="BS58" s="223">
        <v>0.55210936889423456</v>
      </c>
      <c r="BT58" s="223">
        <v>0.54993630801049509</v>
      </c>
      <c r="BU58" s="223">
        <v>0.54777096809944326</v>
      </c>
      <c r="BV58" s="223">
        <v>0.54561586912892857</v>
      </c>
      <c r="BW58" s="223">
        <v>0.54347348306145438</v>
      </c>
      <c r="BX58" s="223">
        <v>0.54134622274321076</v>
      </c>
      <c r="BY58" s="223">
        <v>0.53923643137181154</v>
      </c>
      <c r="BZ58" s="223">
        <v>0.53714637263669773</v>
      </c>
      <c r="CA58" s="224">
        <v>0.54837864878727527</v>
      </c>
    </row>
    <row r="59" spans="1:79" x14ac:dyDescent="0.2">
      <c r="A59" s="207" t="s">
        <v>11</v>
      </c>
      <c r="B59" s="223">
        <v>0.223846791885636</v>
      </c>
      <c r="C59" s="223">
        <v>0.2508707020302326</v>
      </c>
      <c r="D59" s="223">
        <v>0.22166622575504355</v>
      </c>
      <c r="E59" s="223">
        <v>0.19716455616226769</v>
      </c>
      <c r="F59" s="223">
        <v>0.19126025186779394</v>
      </c>
      <c r="G59" s="223">
        <v>0.17029320139531431</v>
      </c>
      <c r="H59" s="223">
        <v>0.17980247158421178</v>
      </c>
      <c r="I59" s="223">
        <v>0.24055983500786554</v>
      </c>
      <c r="J59" s="223">
        <v>0.26568172778395777</v>
      </c>
      <c r="K59" s="223">
        <v>0.2966009679464584</v>
      </c>
      <c r="L59" s="223">
        <v>0.30753738653263613</v>
      </c>
      <c r="M59" s="223">
        <v>0.30738389999619803</v>
      </c>
      <c r="N59" s="223">
        <v>0.25348642857062453</v>
      </c>
      <c r="O59" s="223">
        <v>0.31396065356057068</v>
      </c>
      <c r="P59" s="223">
        <v>0.31200424150992756</v>
      </c>
      <c r="Q59" s="223">
        <v>0.30276938962645628</v>
      </c>
      <c r="R59" s="223">
        <v>0.29741674853710592</v>
      </c>
      <c r="S59" s="223">
        <v>0.2859833980038009</v>
      </c>
      <c r="T59" s="223">
        <v>0.26797495119958975</v>
      </c>
      <c r="U59" s="223">
        <v>0.25653616445798544</v>
      </c>
      <c r="V59" s="223">
        <v>0.24708415847499893</v>
      </c>
      <c r="W59" s="223">
        <v>0.23816810968281915</v>
      </c>
      <c r="X59" s="223">
        <v>0.23396300733224143</v>
      </c>
      <c r="Y59" s="223">
        <v>0.22421938062406835</v>
      </c>
      <c r="Z59" s="223">
        <v>0.22310138627647211</v>
      </c>
      <c r="AA59" s="224">
        <v>0.25767210768372517</v>
      </c>
      <c r="AB59" s="224"/>
      <c r="AC59" s="538"/>
      <c r="AD59" s="224"/>
      <c r="AE59" s="224"/>
      <c r="AF59" s="224"/>
      <c r="AG59" s="224"/>
      <c r="AM59" s="223">
        <v>0.25041618385318515</v>
      </c>
      <c r="AN59" s="223">
        <v>0.25596684153611693</v>
      </c>
      <c r="AO59" s="223">
        <v>0.24791388642809631</v>
      </c>
      <c r="AP59" s="223">
        <v>0.24545722264409367</v>
      </c>
      <c r="AQ59" s="223">
        <v>0.24304779791486897</v>
      </c>
      <c r="AR59" s="223">
        <v>0.24068704633506874</v>
      </c>
      <c r="AS59" s="223">
        <v>0.23837623123433513</v>
      </c>
      <c r="AT59" s="223">
        <v>0.23611644681581387</v>
      </c>
      <c r="AU59" s="223">
        <v>0.23390862080277885</v>
      </c>
      <c r="AV59" s="223">
        <v>0.23175351801001212</v>
      </c>
      <c r="AW59" s="223">
        <v>0.22965174475135006</v>
      </c>
      <c r="AX59" s="223">
        <v>0.22760375399133251</v>
      </c>
      <c r="AY59" s="224">
        <v>0.23902061532435254</v>
      </c>
      <c r="BA59" s="223">
        <v>0.22382813266473525</v>
      </c>
      <c r="BB59" s="223">
        <v>0.23191097735177338</v>
      </c>
      <c r="BC59" s="223">
        <v>0.21999970270813651</v>
      </c>
      <c r="BD59" s="223">
        <v>0.21612199721504199</v>
      </c>
      <c r="BE59" s="223">
        <v>0.21219875946178612</v>
      </c>
      <c r="BF59" s="223">
        <v>0.20823393065765725</v>
      </c>
      <c r="BG59" s="223">
        <v>0.20423163593197058</v>
      </c>
      <c r="BH59" s="223">
        <v>0.20019616864244996</v>
      </c>
      <c r="BI59" s="223">
        <v>0.19613197311472411</v>
      </c>
      <c r="BJ59" s="223">
        <v>0.19204362594722738</v>
      </c>
      <c r="BK59" s="223">
        <v>0.18793581603874626</v>
      </c>
      <c r="BL59" s="223">
        <v>0.18381332351672719</v>
      </c>
      <c r="BM59" s="224">
        <v>0.2053600920827103</v>
      </c>
      <c r="BO59" s="223">
        <v>0.17968099776273833</v>
      </c>
      <c r="BP59" s="223">
        <v>0.18859196521417673</v>
      </c>
      <c r="BQ59" s="223">
        <v>0.17554373474670609</v>
      </c>
      <c r="BR59" s="223">
        <v>0.17140645389333184</v>
      </c>
      <c r="BS59" s="223">
        <v>0.16727407471213046</v>
      </c>
      <c r="BT59" s="223">
        <v>0.16315149342661309</v>
      </c>
      <c r="BU59" s="223">
        <v>0.15904355983815122</v>
      </c>
      <c r="BV59" s="223">
        <v>0.15495505465600795</v>
      </c>
      <c r="BW59" s="223">
        <v>0.15089066751701358</v>
      </c>
      <c r="BX59" s="223">
        <v>0.1468549759066046</v>
      </c>
      <c r="BY59" s="223">
        <v>0.14285242517774091</v>
      </c>
      <c r="BZ59" s="223">
        <v>0.13888730984595857</v>
      </c>
      <c r="CA59" s="224">
        <v>0.16019640974216104</v>
      </c>
    </row>
    <row r="60" spans="1:79" x14ac:dyDescent="0.2">
      <c r="A60" s="207" t="s">
        <v>21</v>
      </c>
      <c r="B60" s="223">
        <v>3.8133504708408816E-2</v>
      </c>
      <c r="C60" s="223">
        <v>6.8861806777104767E-2</v>
      </c>
      <c r="D60" s="223">
        <v>4.6088506449970541E-2</v>
      </c>
      <c r="E60" s="223">
        <v>3.9213075430845012E-2</v>
      </c>
      <c r="F60" s="223">
        <v>4.1807078395268191E-2</v>
      </c>
      <c r="G60" s="223">
        <v>4.4109795370348495E-2</v>
      </c>
      <c r="H60" s="223">
        <v>3.6237878629284265E-2</v>
      </c>
      <c r="I60" s="223">
        <v>3.5647717653322017E-2</v>
      </c>
      <c r="J60" s="223">
        <v>2.5912854632669995E-2</v>
      </c>
      <c r="K60" s="223">
        <v>2.8155984615140562E-2</v>
      </c>
      <c r="L60" s="223">
        <v>3.0965451756517194E-2</v>
      </c>
      <c r="M60" s="223">
        <v>3.3360769879474374E-2</v>
      </c>
      <c r="N60" s="223">
        <v>3.5469103465967974E-2</v>
      </c>
      <c r="O60" s="223">
        <v>4.6985989608602528E-2</v>
      </c>
      <c r="P60" s="223">
        <v>4.7448166124291001E-2</v>
      </c>
      <c r="Q60" s="223">
        <v>8.3045111774816521E-2</v>
      </c>
      <c r="R60" s="223">
        <v>8.7707227142615835E-2</v>
      </c>
      <c r="S60" s="223">
        <v>0.11954200981131931</v>
      </c>
      <c r="T60" s="223">
        <v>0.16994542414910169</v>
      </c>
      <c r="U60" s="223">
        <v>0.19387864816120676</v>
      </c>
      <c r="V60" s="223">
        <v>0.2181428479296719</v>
      </c>
      <c r="W60" s="223">
        <v>0.24143754529423228</v>
      </c>
      <c r="X60" s="223">
        <v>0.26107730249608191</v>
      </c>
      <c r="Y60" s="223">
        <v>0.27660104061301705</v>
      </c>
      <c r="Z60" s="223">
        <v>0.27764966344651021</v>
      </c>
      <c r="AA60" s="224">
        <v>0.19242296015280452</v>
      </c>
      <c r="AB60" s="224"/>
      <c r="AC60" s="538"/>
      <c r="AD60" s="224"/>
      <c r="AE60" s="224"/>
      <c r="AF60" s="224"/>
      <c r="AG60" s="224"/>
      <c r="AM60" s="223">
        <v>0.15992721783478445</v>
      </c>
      <c r="AN60" s="223">
        <v>0.15440451157340596</v>
      </c>
      <c r="AO60" s="223">
        <v>0.16241691445215381</v>
      </c>
      <c r="AP60" s="223">
        <v>0.16486120722555481</v>
      </c>
      <c r="AQ60" s="223">
        <v>0.16725849882567043</v>
      </c>
      <c r="AR60" s="223">
        <v>0.16960736237951801</v>
      </c>
      <c r="AS60" s="223">
        <v>0.17190654091919849</v>
      </c>
      <c r="AT60" s="223">
        <v>0.1741549457516402</v>
      </c>
      <c r="AU60" s="223">
        <v>0.17635165382530085</v>
      </c>
      <c r="AV60" s="223">
        <v>0.17849590417677291</v>
      </c>
      <c r="AW60" s="223">
        <v>0.1805870935454317</v>
      </c>
      <c r="AX60" s="223">
        <v>0.18262477124772877</v>
      </c>
      <c r="AY60" s="224">
        <v>0.17126540175120142</v>
      </c>
      <c r="BA60" s="223">
        <v>0.18849039071370563</v>
      </c>
      <c r="BB60" s="223">
        <v>0.17593328102614961</v>
      </c>
      <c r="BC60" s="223">
        <v>0.1944380510681385</v>
      </c>
      <c r="BD60" s="223">
        <v>0.20046226347084758</v>
      </c>
      <c r="BE60" s="223">
        <v>0.20655721255195467</v>
      </c>
      <c r="BF60" s="223">
        <v>0.21271677544268638</v>
      </c>
      <c r="BG60" s="223">
        <v>0.21893454354516742</v>
      </c>
      <c r="BH60" s="223">
        <v>0.22520384691014692</v>
      </c>
      <c r="BI60" s="223">
        <v>0.231517781052067</v>
      </c>
      <c r="BJ60" s="223">
        <v>0.23786923599284954</v>
      </c>
      <c r="BK60" s="223">
        <v>0.24425092729011588</v>
      </c>
      <c r="BL60" s="223">
        <v>0.25065542877313174</v>
      </c>
      <c r="BM60" s="224">
        <v>0.21718142960928311</v>
      </c>
      <c r="BO60" s="223">
        <v>0.25707520668136785</v>
      </c>
      <c r="BP60" s="223">
        <v>0.24323156622525555</v>
      </c>
      <c r="BQ60" s="223">
        <v>0.26350265487691427</v>
      </c>
      <c r="BR60" s="223">
        <v>0.26993013078367734</v>
      </c>
      <c r="BS60" s="223">
        <v>0.27634999169380126</v>
      </c>
      <c r="BT60" s="223">
        <v>0.28275463107541943</v>
      </c>
      <c r="BU60" s="223">
        <v>0.28913651451581651</v>
      </c>
      <c r="BV60" s="223">
        <v>0.2954882149403768</v>
      </c>
      <c r="BW60" s="223">
        <v>0.30180244676013307</v>
      </c>
      <c r="BX60" s="223">
        <v>0.3080720986190042</v>
      </c>
      <c r="BY60" s="223">
        <v>0.31429026443542124</v>
      </c>
      <c r="BZ60" s="223">
        <v>0.32045027246141305</v>
      </c>
      <c r="CA60" s="224">
        <v>0.28734550364545375</v>
      </c>
    </row>
    <row r="61" spans="1:79" x14ac:dyDescent="0.2">
      <c r="A61" s="207" t="s">
        <v>25</v>
      </c>
      <c r="B61" s="223">
        <v>0.17268293346482888</v>
      </c>
      <c r="C61" s="223">
        <v>0.17901809328333415</v>
      </c>
      <c r="D61" s="223">
        <v>0.15639644830074659</v>
      </c>
      <c r="E61" s="223">
        <v>0.13780918275714032</v>
      </c>
      <c r="F61" s="223">
        <v>0.13620303097886927</v>
      </c>
      <c r="G61" s="223">
        <v>0.12286370942297396</v>
      </c>
      <c r="H61" s="223">
        <v>8.9710346620761924E-2</v>
      </c>
      <c r="I61" s="223">
        <v>7.4546128410072146E-2</v>
      </c>
      <c r="J61" s="223">
        <v>4.9008985315378575E-2</v>
      </c>
      <c r="K61" s="223">
        <v>4.2722299837447054E-2</v>
      </c>
      <c r="L61" s="223">
        <v>4.0165534037722772E-2</v>
      </c>
      <c r="M61" s="223">
        <v>3.8233798210897153E-2</v>
      </c>
      <c r="N61" s="223">
        <v>8.0446862016294765E-2</v>
      </c>
      <c r="O61" s="223">
        <v>2.0136852689401082E-2</v>
      </c>
      <c r="P61" s="223">
        <v>2.2241327870761406E-2</v>
      </c>
      <c r="Q61" s="223">
        <v>1.869233951068398E-2</v>
      </c>
      <c r="R61" s="223">
        <v>1.7673163364022547E-2</v>
      </c>
      <c r="S61" s="223">
        <v>1.4460749420025319E-2</v>
      </c>
      <c r="T61" s="223">
        <v>1.2971489748723333E-2</v>
      </c>
      <c r="U61" s="223">
        <v>1.1887263515095309E-2</v>
      </c>
      <c r="V61" s="223">
        <v>1.0959928129259356E-2</v>
      </c>
      <c r="W61" s="223">
        <v>1.0060394028528357E-2</v>
      </c>
      <c r="X61" s="223">
        <v>9.3266562769058012E-3</v>
      </c>
      <c r="Y61" s="223">
        <v>8.5260363024073759E-3</v>
      </c>
      <c r="Z61" s="223">
        <v>7.8158426492826345E-3</v>
      </c>
      <c r="AA61" s="224">
        <v>1.2453269970349472E-2</v>
      </c>
      <c r="AB61" s="224"/>
      <c r="AC61" s="538"/>
      <c r="AD61" s="224"/>
      <c r="AE61" s="224"/>
      <c r="AF61" s="224"/>
      <c r="AG61" s="224"/>
      <c r="AM61" s="223">
        <v>8.3612987066500662E-3</v>
      </c>
      <c r="AN61" s="223">
        <v>8.9695123708180731E-3</v>
      </c>
      <c r="AO61" s="223">
        <v>8.0871093091609298E-3</v>
      </c>
      <c r="AP61" s="223">
        <v>7.8179202207594497E-3</v>
      </c>
      <c r="AQ61" s="223">
        <v>7.5539073547516936E-3</v>
      </c>
      <c r="AR61" s="223">
        <v>7.2952278521486126E-3</v>
      </c>
      <c r="AS61" s="223">
        <v>7.0420201423750965E-3</v>
      </c>
      <c r="AT61" s="223">
        <v>6.7944041228095225E-3</v>
      </c>
      <c r="AU61" s="223">
        <v>6.5524814487879111E-3</v>
      </c>
      <c r="AV61" s="223">
        <v>6.3163359249380135E-3</v>
      </c>
      <c r="AW61" s="223">
        <v>6.0860339881365329E-3</v>
      </c>
      <c r="AX61" s="223">
        <v>5.8616252720013699E-3</v>
      </c>
      <c r="AY61" s="224">
        <v>7.1126285695036848E-3</v>
      </c>
      <c r="BA61" s="223">
        <v>5.761801358043211E-3</v>
      </c>
      <c r="BB61" s="223">
        <v>5.9755042489799013E-3</v>
      </c>
      <c r="BC61" s="223">
        <v>5.6605812330560541E-3</v>
      </c>
      <c r="BD61" s="223">
        <v>5.5580583087439898E-3</v>
      </c>
      <c r="BE61" s="223">
        <v>5.454331553849486E-3</v>
      </c>
      <c r="BF61" s="223">
        <v>5.3495051702781007E-3</v>
      </c>
      <c r="BG61" s="223">
        <v>5.2436882226097265E-3</v>
      </c>
      <c r="BH61" s="223">
        <v>5.1369942232268161E-3</v>
      </c>
      <c r="BI61" s="223">
        <v>5.0295406759627223E-3</v>
      </c>
      <c r="BJ61" s="223">
        <v>4.9214485818206742E-3</v>
      </c>
      <c r="BK61" s="223">
        <v>4.8128419109206939E-3</v>
      </c>
      <c r="BL61" s="223">
        <v>4.7038470453836722E-3</v>
      </c>
      <c r="BM61" s="224">
        <v>5.2735235529971928E-3</v>
      </c>
      <c r="BO61" s="223">
        <v>4.5945921983450164E-3</v>
      </c>
      <c r="BP61" s="223">
        <v>4.8301898844503709E-3</v>
      </c>
      <c r="BQ61" s="223">
        <v>4.4852068146929748E-3</v>
      </c>
      <c r="BR61" s="223">
        <v>4.3758209594382093E-3</v>
      </c>
      <c r="BS61" s="223">
        <v>4.2665646998337791E-3</v>
      </c>
      <c r="BT61" s="223">
        <v>4.1575674874724721E-3</v>
      </c>
      <c r="BU61" s="223">
        <v>4.0489575465889093E-3</v>
      </c>
      <c r="BV61" s="223">
        <v>3.9408612746866687E-3</v>
      </c>
      <c r="BW61" s="223">
        <v>3.8334026613989652E-3</v>
      </c>
      <c r="BX61" s="223">
        <v>3.726702731180539E-3</v>
      </c>
      <c r="BY61" s="223">
        <v>3.6208790150264228E-3</v>
      </c>
      <c r="BZ61" s="223">
        <v>3.5160450559305464E-3</v>
      </c>
      <c r="CA61" s="224">
        <v>4.0794378251099188E-3</v>
      </c>
    </row>
    <row r="62" spans="1:79" x14ac:dyDescent="0.2">
      <c r="A62" s="207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4"/>
      <c r="AB62" s="224"/>
      <c r="AC62" s="538"/>
      <c r="AD62" s="224"/>
      <c r="AE62" s="224"/>
      <c r="AF62" s="224"/>
      <c r="AG62" s="22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77DC-E654-5849-BADB-46CE2EDBCDBB}">
  <dimension ref="C1:K18"/>
  <sheetViews>
    <sheetView tabSelected="1" zoomScale="120" zoomScaleNormal="120" workbookViewId="0">
      <selection activeCell="A13" sqref="A13"/>
    </sheetView>
  </sheetViews>
  <sheetFormatPr baseColWidth="10" defaultRowHeight="15" x14ac:dyDescent="0.2"/>
  <cols>
    <col min="4" max="4" width="13.6640625" bestFit="1" customWidth="1"/>
    <col min="5" max="5" width="11.6640625" bestFit="1" customWidth="1"/>
  </cols>
  <sheetData>
    <row r="1" spans="3:11" x14ac:dyDescent="0.2">
      <c r="E1" s="545">
        <v>35610097.218680039</v>
      </c>
      <c r="F1" s="546">
        <f>D4-E1</f>
        <v>4540000.0000000075</v>
      </c>
    </row>
    <row r="4" spans="3:11" x14ac:dyDescent="0.2">
      <c r="D4" s="552">
        <f>'Sales Plan 2026 - fin v4'!AA9</f>
        <v>40150097.218680046</v>
      </c>
      <c r="E4" s="552">
        <v>5633</v>
      </c>
    </row>
    <row r="5" spans="3:11" x14ac:dyDescent="0.2">
      <c r="D5" t="s">
        <v>111</v>
      </c>
      <c r="E5" t="s">
        <v>114</v>
      </c>
      <c r="F5" t="s">
        <v>8</v>
      </c>
      <c r="G5" t="s">
        <v>11</v>
      </c>
      <c r="H5" t="s">
        <v>25</v>
      </c>
    </row>
    <row r="6" spans="3:11" x14ac:dyDescent="0.2">
      <c r="C6" t="s">
        <v>107</v>
      </c>
      <c r="D6" s="553">
        <f>SUM(D7:D9)</f>
        <v>17681133.021447659</v>
      </c>
      <c r="E6" s="553">
        <f>SUM(E7:E9)</f>
        <v>3268.8563075881839</v>
      </c>
    </row>
    <row r="7" spans="3:11" x14ac:dyDescent="0.2">
      <c r="C7" t="s">
        <v>9</v>
      </c>
      <c r="D7" s="545">
        <f>'Sales Plan 2026 - fin v4'!AA32</f>
        <v>13348615.309563041</v>
      </c>
      <c r="E7" s="547">
        <f>SUM(F7:G7)</f>
        <v>2399</v>
      </c>
      <c r="F7" s="548">
        <v>1852</v>
      </c>
      <c r="G7" s="548">
        <v>547</v>
      </c>
    </row>
    <row r="8" spans="3:11" x14ac:dyDescent="0.2">
      <c r="C8" t="s">
        <v>17</v>
      </c>
      <c r="D8" s="545">
        <f>'Sales Plan 2026 - fin v4'!AA35</f>
        <v>2062517.7118846138</v>
      </c>
      <c r="E8" s="545">
        <f>D8*K8/1000</f>
        <v>414.0996437876675</v>
      </c>
      <c r="I8" s="549">
        <v>2326</v>
      </c>
      <c r="J8" s="548">
        <v>467</v>
      </c>
      <c r="K8" s="550">
        <f>J8/I8</f>
        <v>0.20077386070507308</v>
      </c>
    </row>
    <row r="9" spans="3:11" x14ac:dyDescent="0.2">
      <c r="C9" t="s">
        <v>110</v>
      </c>
      <c r="D9" s="545">
        <f>F1*50%</f>
        <v>2270000.0000000037</v>
      </c>
      <c r="E9" s="545">
        <f>D9*K8/1000</f>
        <v>455.75666380051661</v>
      </c>
      <c r="I9" s="549"/>
    </row>
    <row r="10" spans="3:11" x14ac:dyDescent="0.2">
      <c r="D10" s="545"/>
      <c r="E10" s="545"/>
      <c r="I10" s="549"/>
    </row>
    <row r="11" spans="3:11" x14ac:dyDescent="0.2">
      <c r="C11" t="s">
        <v>108</v>
      </c>
      <c r="D11" s="552">
        <f>SUM(D12:D13)</f>
        <v>8400330.0086843148</v>
      </c>
      <c r="E11" s="553">
        <f>5633-E6-E16</f>
        <v>611.14369241181612</v>
      </c>
      <c r="I11" s="549"/>
    </row>
    <row r="12" spans="3:11" x14ac:dyDescent="0.2">
      <c r="C12" t="s">
        <v>15</v>
      </c>
      <c r="D12" s="545">
        <f>'Sales Plan 2026 - fin v4'!AA34+'Sales Plan 2026 - fin v4'!AA37</f>
        <v>6130330.008684312</v>
      </c>
      <c r="E12" s="552">
        <f>SUM(E13:E14)</f>
        <v>0</v>
      </c>
    </row>
    <row r="13" spans="3:11" x14ac:dyDescent="0.2">
      <c r="C13" t="s">
        <v>110</v>
      </c>
      <c r="D13" s="545">
        <f>F1*50%</f>
        <v>2270000.0000000037</v>
      </c>
    </row>
    <row r="14" spans="3:11" x14ac:dyDescent="0.2">
      <c r="D14" s="545"/>
    </row>
    <row r="15" spans="3:11" x14ac:dyDescent="0.2">
      <c r="D15" s="545"/>
    </row>
    <row r="16" spans="3:11" x14ac:dyDescent="0.2">
      <c r="C16" t="s">
        <v>109</v>
      </c>
      <c r="D16" s="552">
        <f>SUM(D17:D18)</f>
        <v>14068634.188548077</v>
      </c>
      <c r="E16" s="552">
        <f>SUM(E17:E18)</f>
        <v>1753</v>
      </c>
    </row>
    <row r="17" spans="3:8" x14ac:dyDescent="0.2">
      <c r="C17" t="s">
        <v>113</v>
      </c>
      <c r="D17" s="545">
        <f>'Sales Plan 2026 - fin v4'!AA33</f>
        <v>13568634.188548077</v>
      </c>
      <c r="E17" s="552">
        <f>SUM(F17:G17)</f>
        <v>1699</v>
      </c>
      <c r="F17" s="548">
        <v>1285</v>
      </c>
      <c r="G17" s="548">
        <v>414</v>
      </c>
      <c r="H17">
        <v>54</v>
      </c>
    </row>
    <row r="18" spans="3:8" x14ac:dyDescent="0.2">
      <c r="C18" t="s">
        <v>112</v>
      </c>
      <c r="D18" s="545">
        <f>'Sales Plan 2026 - fin v4'!AA39</f>
        <v>500000</v>
      </c>
      <c r="E18" s="551">
        <f>H17</f>
        <v>54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65FA-182A-4739-B27E-73CBA5F5E241}">
  <sheetPr>
    <tabColor rgb="FF2D73FF"/>
  </sheetPr>
  <dimension ref="A3:AS174"/>
  <sheetViews>
    <sheetView showGridLines="0" topLeftCell="D84" zoomScale="70" zoomScaleNormal="40" workbookViewId="0">
      <selection activeCell="L19" sqref="L19"/>
    </sheetView>
  </sheetViews>
  <sheetFormatPr baseColWidth="10" defaultColWidth="8.5" defaultRowHeight="15" x14ac:dyDescent="0.2"/>
  <cols>
    <col min="1" max="1" width="0" style="21" hidden="1" customWidth="1"/>
    <col min="2" max="2" width="3.5" style="21" customWidth="1"/>
    <col min="3" max="3" width="2.5" style="21" customWidth="1"/>
    <col min="4" max="4" width="1" style="21" customWidth="1"/>
    <col min="5" max="5" width="37.5" customWidth="1"/>
    <col min="6" max="6" width="9.5" bestFit="1" customWidth="1"/>
    <col min="7" max="7" width="14.5" bestFit="1" customWidth="1"/>
    <col min="8" max="8" width="13.5" bestFit="1" customWidth="1"/>
    <col min="9" max="9" width="14.5" bestFit="1" customWidth="1"/>
    <col min="10" max="11" width="15.1640625" bestFit="1" customWidth="1"/>
    <col min="12" max="12" width="14.5" bestFit="1" customWidth="1"/>
    <col min="13" max="14" width="15.1640625" bestFit="1" customWidth="1"/>
    <col min="15" max="18" width="14.5" bestFit="1" customWidth="1"/>
    <col min="19" max="19" width="16.83203125" bestFit="1" customWidth="1"/>
    <col min="20" max="20" width="17.5" bestFit="1" customWidth="1"/>
    <col min="21" max="21" width="16.5" bestFit="1" customWidth="1"/>
    <col min="22" max="22" width="17.5" bestFit="1" customWidth="1"/>
    <col min="23" max="23" width="17.1640625" bestFit="1" customWidth="1"/>
    <col min="24" max="24" width="17.5" bestFit="1" customWidth="1"/>
    <col min="25" max="25" width="16.5" bestFit="1" customWidth="1"/>
    <col min="26" max="27" width="17.5" bestFit="1" customWidth="1"/>
    <col min="28" max="28" width="17.1640625" bestFit="1" customWidth="1"/>
    <col min="29" max="29" width="17.5" bestFit="1" customWidth="1"/>
    <col min="30" max="30" width="17.1640625" bestFit="1" customWidth="1"/>
    <col min="31" max="31" width="16.5" bestFit="1" customWidth="1"/>
    <col min="32" max="32" width="19.5" bestFit="1" customWidth="1"/>
    <col min="33" max="33" width="9.5" bestFit="1" customWidth="1"/>
    <col min="34" max="34" width="10.5" bestFit="1" customWidth="1"/>
    <col min="35" max="35" width="13.5" bestFit="1" customWidth="1"/>
    <col min="36" max="44" width="10.5" bestFit="1" customWidth="1"/>
    <col min="45" max="45" width="12.5" bestFit="1" customWidth="1"/>
  </cols>
  <sheetData>
    <row r="3" spans="1:45" ht="16" x14ac:dyDescent="0.2">
      <c r="E3" s="1" t="s">
        <v>48</v>
      </c>
      <c r="F3" s="2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</row>
    <row r="4" spans="1:45" ht="16" x14ac:dyDescent="0.2">
      <c r="E4" s="2"/>
      <c r="F4" s="2"/>
      <c r="P4" s="228"/>
      <c r="Q4" s="228"/>
      <c r="R4" s="228"/>
      <c r="S4" s="228"/>
      <c r="T4" s="261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</row>
    <row r="5" spans="1:45" ht="16" x14ac:dyDescent="0.2">
      <c r="E5" s="181" t="s">
        <v>60</v>
      </c>
      <c r="F5" s="2"/>
      <c r="G5" s="22"/>
      <c r="H5" s="22"/>
      <c r="I5" s="22"/>
      <c r="J5" s="22"/>
      <c r="K5" s="22"/>
      <c r="L5" s="22"/>
      <c r="M5" s="22"/>
      <c r="N5" s="22"/>
      <c r="O5" s="22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</row>
    <row r="6" spans="1:45" ht="16" x14ac:dyDescent="0.2">
      <c r="E6" s="2"/>
      <c r="F6" s="2"/>
      <c r="G6" s="22">
        <f t="shared" ref="G6:N6" si="0">MONTH(G7)</f>
        <v>1</v>
      </c>
      <c r="H6" s="22">
        <f t="shared" si="0"/>
        <v>2</v>
      </c>
      <c r="I6" s="22">
        <f t="shared" si="0"/>
        <v>3</v>
      </c>
      <c r="J6" s="22">
        <f t="shared" si="0"/>
        <v>4</v>
      </c>
      <c r="K6" s="22">
        <f t="shared" si="0"/>
        <v>5</v>
      </c>
      <c r="L6" s="22">
        <f t="shared" si="0"/>
        <v>6</v>
      </c>
      <c r="M6" s="22">
        <f t="shared" si="0"/>
        <v>7</v>
      </c>
      <c r="N6" s="22">
        <f t="shared" si="0"/>
        <v>8</v>
      </c>
      <c r="O6" s="22">
        <v>9</v>
      </c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</row>
    <row r="7" spans="1:45" ht="30" customHeight="1" x14ac:dyDescent="0.2">
      <c r="C7" s="130"/>
      <c r="E7" s="7" t="s">
        <v>61</v>
      </c>
      <c r="F7" s="8"/>
      <c r="G7" s="8">
        <v>45658</v>
      </c>
      <c r="H7" s="8">
        <f t="shared" ref="H7:R7" si="1">EDATE(G7,1)</f>
        <v>45689</v>
      </c>
      <c r="I7" s="8">
        <f t="shared" si="1"/>
        <v>45717</v>
      </c>
      <c r="J7" s="8">
        <f t="shared" si="1"/>
        <v>45748</v>
      </c>
      <c r="K7" s="8">
        <f t="shared" si="1"/>
        <v>45778</v>
      </c>
      <c r="L7" s="8">
        <f t="shared" si="1"/>
        <v>45809</v>
      </c>
      <c r="M7" s="8">
        <f t="shared" si="1"/>
        <v>45839</v>
      </c>
      <c r="N7" s="8">
        <f t="shared" si="1"/>
        <v>45870</v>
      </c>
      <c r="O7" s="8">
        <f t="shared" si="1"/>
        <v>45901</v>
      </c>
      <c r="P7" s="9">
        <f t="shared" si="1"/>
        <v>45931</v>
      </c>
      <c r="Q7" s="9">
        <f t="shared" si="1"/>
        <v>45962</v>
      </c>
      <c r="R7" s="9">
        <f t="shared" si="1"/>
        <v>45992</v>
      </c>
      <c r="S7" s="40" t="s">
        <v>3</v>
      </c>
      <c r="T7" s="9">
        <f>EDATE(R7,1)</f>
        <v>46023</v>
      </c>
      <c r="U7" s="9">
        <f t="shared" ref="U7:AE7" si="2">EDATE(T7,1)</f>
        <v>46054</v>
      </c>
      <c r="V7" s="9">
        <f t="shared" si="2"/>
        <v>46082</v>
      </c>
      <c r="W7" s="9">
        <f t="shared" si="2"/>
        <v>46113</v>
      </c>
      <c r="X7" s="9">
        <f t="shared" si="2"/>
        <v>46143</v>
      </c>
      <c r="Y7" s="9">
        <f t="shared" si="2"/>
        <v>46174</v>
      </c>
      <c r="Z7" s="9">
        <f t="shared" si="2"/>
        <v>46204</v>
      </c>
      <c r="AA7" s="9">
        <f t="shared" si="2"/>
        <v>46235</v>
      </c>
      <c r="AB7" s="9">
        <f t="shared" si="2"/>
        <v>46266</v>
      </c>
      <c r="AC7" s="9">
        <f t="shared" si="2"/>
        <v>46296</v>
      </c>
      <c r="AD7" s="9">
        <f t="shared" si="2"/>
        <v>46327</v>
      </c>
      <c r="AE7" s="9">
        <f t="shared" si="2"/>
        <v>46357</v>
      </c>
      <c r="AF7" s="41" t="s">
        <v>4</v>
      </c>
    </row>
    <row r="8" spans="1:45" s="116" customFormat="1" ht="23.25" customHeight="1" x14ac:dyDescent="0.2">
      <c r="A8" s="115"/>
      <c r="B8" s="115"/>
      <c r="C8" s="115"/>
      <c r="D8" s="115"/>
      <c r="E8" s="178" t="s">
        <v>62</v>
      </c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3"/>
      <c r="Q8" s="263"/>
      <c r="R8" s="263"/>
      <c r="S8" s="264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5"/>
    </row>
    <row r="9" spans="1:45" ht="16" x14ac:dyDescent="0.2">
      <c r="E9" s="266" t="s">
        <v>63</v>
      </c>
      <c r="F9" s="267" t="s">
        <v>64</v>
      </c>
      <c r="G9" s="268">
        <f t="shared" ref="G9:R9" si="3">SUM(G22,G35)</f>
        <v>82211</v>
      </c>
      <c r="H9" s="268">
        <f t="shared" si="3"/>
        <v>68741</v>
      </c>
      <c r="I9" s="268">
        <f t="shared" si="3"/>
        <v>89225</v>
      </c>
      <c r="J9" s="268">
        <f t="shared" si="3"/>
        <v>104138</v>
      </c>
      <c r="K9" s="268">
        <f t="shared" si="3"/>
        <v>106864</v>
      </c>
      <c r="L9" s="268">
        <f t="shared" si="3"/>
        <v>118112</v>
      </c>
      <c r="M9" s="268">
        <f t="shared" si="3"/>
        <v>143445</v>
      </c>
      <c r="N9" s="268">
        <f t="shared" si="3"/>
        <v>149102</v>
      </c>
      <c r="O9" s="268">
        <f t="shared" si="3"/>
        <v>158948</v>
      </c>
      <c r="P9" s="269">
        <f t="shared" si="3"/>
        <v>160000.00000000003</v>
      </c>
      <c r="Q9" s="269">
        <f t="shared" si="3"/>
        <v>160000.00000000003</v>
      </c>
      <c r="R9" s="269">
        <f t="shared" si="3"/>
        <v>160000.00000000003</v>
      </c>
      <c r="S9" s="270">
        <f>SUM(G9:R9)</f>
        <v>1500786</v>
      </c>
      <c r="T9" s="271">
        <f t="shared" ref="T9:AE9" si="4">SUM(T22,T35)</f>
        <v>160270.02044876432</v>
      </c>
      <c r="U9" s="271">
        <f t="shared" si="4"/>
        <v>143025.28249746721</v>
      </c>
      <c r="V9" s="271">
        <f t="shared" si="4"/>
        <v>160729.30624230317</v>
      </c>
      <c r="W9" s="271">
        <f t="shared" si="4"/>
        <v>169972.38465801603</v>
      </c>
      <c r="X9" s="271">
        <f t="shared" si="4"/>
        <v>170188.10487674567</v>
      </c>
      <c r="Y9" s="271">
        <f t="shared" si="4"/>
        <v>170349.34084946165</v>
      </c>
      <c r="Z9" s="271">
        <f t="shared" si="4"/>
        <v>180159.26464985474</v>
      </c>
      <c r="AA9" s="271">
        <f t="shared" si="4"/>
        <v>180255.22540502896</v>
      </c>
      <c r="AB9" s="271">
        <f t="shared" si="4"/>
        <v>180389.41977707524</v>
      </c>
      <c r="AC9" s="271">
        <f t="shared" si="4"/>
        <v>190489.08718071197</v>
      </c>
      <c r="AD9" s="271">
        <f t="shared" si="4"/>
        <v>190640.16431637161</v>
      </c>
      <c r="AE9" s="271">
        <f t="shared" si="4"/>
        <v>190791.50997770799</v>
      </c>
      <c r="AF9" s="272">
        <f>SUM(T9:AE9)</f>
        <v>2087259.1108795088</v>
      </c>
    </row>
    <row r="10" spans="1:45" ht="16" x14ac:dyDescent="0.2">
      <c r="E10" s="266" t="s">
        <v>65</v>
      </c>
      <c r="F10" s="267" t="s">
        <v>66</v>
      </c>
      <c r="G10" s="273">
        <v>1</v>
      </c>
      <c r="H10" s="273">
        <v>1</v>
      </c>
      <c r="I10" s="273">
        <v>0.99992154665172317</v>
      </c>
      <c r="J10" s="273">
        <v>0.99998051745635907</v>
      </c>
      <c r="K10" s="273">
        <v>1</v>
      </c>
      <c r="L10" s="273">
        <v>0.99998276441541201</v>
      </c>
      <c r="M10" s="273">
        <v>1</v>
      </c>
      <c r="N10" s="273">
        <v>0.9999864235578424</v>
      </c>
      <c r="O10" s="273">
        <v>0.99999364356951714</v>
      </c>
      <c r="P10" s="273">
        <v>0.99999364356951714</v>
      </c>
      <c r="Q10" s="273">
        <v>0.99999364356951714</v>
      </c>
      <c r="R10" s="273">
        <v>0.99999364356951714</v>
      </c>
      <c r="S10" s="274">
        <v>1</v>
      </c>
      <c r="T10" s="275">
        <v>1</v>
      </c>
      <c r="U10" s="275">
        <v>1</v>
      </c>
      <c r="V10" s="275">
        <v>1</v>
      </c>
      <c r="W10" s="275">
        <v>1</v>
      </c>
      <c r="X10" s="275">
        <v>1</v>
      </c>
      <c r="Y10" s="275">
        <v>1</v>
      </c>
      <c r="Z10" s="275">
        <v>1</v>
      </c>
      <c r="AA10" s="275">
        <v>1</v>
      </c>
      <c r="AB10" s="275">
        <v>1</v>
      </c>
      <c r="AC10" s="275">
        <v>1</v>
      </c>
      <c r="AD10" s="275">
        <v>1</v>
      </c>
      <c r="AE10" s="275">
        <v>1</v>
      </c>
      <c r="AF10" s="276">
        <v>1</v>
      </c>
    </row>
    <row r="11" spans="1:45" ht="16" x14ac:dyDescent="0.2">
      <c r="E11" s="266" t="s">
        <v>67</v>
      </c>
      <c r="F11" s="267" t="s">
        <v>66</v>
      </c>
      <c r="G11" s="273">
        <v>0.9947452287406795</v>
      </c>
      <c r="H11" s="273">
        <v>0.99349733055963685</v>
      </c>
      <c r="I11" s="273">
        <v>0.99565110179560179</v>
      </c>
      <c r="J11" s="273">
        <v>0.99356089387651725</v>
      </c>
      <c r="K11" s="273">
        <v>0.99546940903274728</v>
      </c>
      <c r="L11" s="273">
        <v>0.99756112274533126</v>
      </c>
      <c r="M11" s="273">
        <v>0.99876942226497023</v>
      </c>
      <c r="N11" s="273">
        <v>0.99081541218637992</v>
      </c>
      <c r="O11" s="273">
        <v>0.99805491990846684</v>
      </c>
      <c r="P11" s="273">
        <v>0.99805491990846684</v>
      </c>
      <c r="Q11" s="273">
        <v>0.99805491990846684</v>
      </c>
      <c r="R11" s="273">
        <v>0.99805491990846684</v>
      </c>
      <c r="S11" s="274">
        <v>1</v>
      </c>
      <c r="T11" s="275">
        <v>1</v>
      </c>
      <c r="U11" s="275">
        <v>1</v>
      </c>
      <c r="V11" s="275">
        <v>1</v>
      </c>
      <c r="W11" s="275">
        <v>1</v>
      </c>
      <c r="X11" s="275">
        <v>1</v>
      </c>
      <c r="Y11" s="275">
        <v>1</v>
      </c>
      <c r="Z11" s="275">
        <v>1</v>
      </c>
      <c r="AA11" s="275">
        <v>1</v>
      </c>
      <c r="AB11" s="275">
        <v>1</v>
      </c>
      <c r="AC11" s="275">
        <v>1</v>
      </c>
      <c r="AD11" s="275">
        <v>1</v>
      </c>
      <c r="AE11" s="275">
        <v>1</v>
      </c>
      <c r="AF11" s="276">
        <v>1</v>
      </c>
    </row>
    <row r="12" spans="1:45" ht="16" x14ac:dyDescent="0.2">
      <c r="E12" s="266" t="s">
        <v>68</v>
      </c>
      <c r="F12" s="267" t="s">
        <v>66</v>
      </c>
      <c r="G12" s="277">
        <f t="shared" ref="G12:AF12" si="5">G13/G9</f>
        <v>0.20667550571091459</v>
      </c>
      <c r="H12" s="277">
        <f t="shared" si="5"/>
        <v>0.17845245195734713</v>
      </c>
      <c r="I12" s="277">
        <f t="shared" si="5"/>
        <v>0.21013168954889325</v>
      </c>
      <c r="J12" s="277">
        <f t="shared" si="5"/>
        <v>0.17678465113599262</v>
      </c>
      <c r="K12" s="277">
        <f t="shared" si="5"/>
        <v>0.16804536607276538</v>
      </c>
      <c r="L12" s="277">
        <f t="shared" si="5"/>
        <v>0.18372392305608237</v>
      </c>
      <c r="M12" s="277">
        <f t="shared" si="5"/>
        <v>0.19350273624037087</v>
      </c>
      <c r="N12" s="277">
        <f t="shared" si="5"/>
        <v>0.16606752424514762</v>
      </c>
      <c r="O12" s="278">
        <f t="shared" si="5"/>
        <v>0.183877746181141</v>
      </c>
      <c r="P12" s="278">
        <f t="shared" si="5"/>
        <v>0.18390131024582998</v>
      </c>
      <c r="Q12" s="278">
        <f t="shared" si="5"/>
        <v>0.18390131024582998</v>
      </c>
      <c r="R12" s="278">
        <f t="shared" si="5"/>
        <v>0.18390131024582998</v>
      </c>
      <c r="S12" s="279">
        <f t="shared" si="5"/>
        <v>0.18396535476610149</v>
      </c>
      <c r="T12" s="280">
        <f t="shared" si="5"/>
        <v>0.22320000000000004</v>
      </c>
      <c r="U12" s="280">
        <f t="shared" si="5"/>
        <v>0.22654545454545452</v>
      </c>
      <c r="V12" s="280">
        <f t="shared" si="5"/>
        <v>0.23229090909090908</v>
      </c>
      <c r="W12" s="280">
        <f t="shared" si="5"/>
        <v>0.24043636363636364</v>
      </c>
      <c r="X12" s="280">
        <f t="shared" si="5"/>
        <v>0.2453818181818182</v>
      </c>
      <c r="Y12" s="280">
        <f t="shared" si="5"/>
        <v>0.25112727272727275</v>
      </c>
      <c r="Z12" s="280">
        <f t="shared" si="5"/>
        <v>0.2624727272727273</v>
      </c>
      <c r="AA12" s="280">
        <f t="shared" si="5"/>
        <v>0.26741818181818183</v>
      </c>
      <c r="AB12" s="280">
        <f t="shared" si="5"/>
        <v>0.27076363636363643</v>
      </c>
      <c r="AC12" s="280">
        <f t="shared" si="5"/>
        <v>0.28327272727272734</v>
      </c>
      <c r="AD12" s="280">
        <f t="shared" si="5"/>
        <v>0.28465454545454555</v>
      </c>
      <c r="AE12" s="280">
        <f t="shared" si="5"/>
        <v>0.28800000000000009</v>
      </c>
      <c r="AF12" s="281">
        <f t="shared" si="5"/>
        <v>0.25795846093100472</v>
      </c>
      <c r="AG12" s="282">
        <f t="shared" ref="AG12:AR12" si="6">AG13/(T10*T11*T12*T14*T16*T18)</f>
        <v>126869.23994124134</v>
      </c>
      <c r="AH12" s="20">
        <f t="shared" si="6"/>
        <v>110201.64335516513</v>
      </c>
      <c r="AI12" s="20">
        <f t="shared" si="6"/>
        <v>128832.03238852958</v>
      </c>
      <c r="AJ12" s="20">
        <f t="shared" si="6"/>
        <v>139225.16134258185</v>
      </c>
      <c r="AK12" s="20">
        <f t="shared" si="6"/>
        <v>140147.79110656958</v>
      </c>
      <c r="AL12" s="20">
        <f t="shared" si="6"/>
        <v>141086.80986701814</v>
      </c>
      <c r="AM12" s="20">
        <f t="shared" si="6"/>
        <v>152208.19760059862</v>
      </c>
      <c r="AN12" s="20">
        <f t="shared" si="6"/>
        <v>152889.56520749259</v>
      </c>
      <c r="AO12" s="20">
        <f t="shared" si="6"/>
        <v>153412.39187574937</v>
      </c>
      <c r="AP12" s="20">
        <f t="shared" si="6"/>
        <v>164835.89700258899</v>
      </c>
      <c r="AQ12" s="20">
        <f t="shared" si="6"/>
        <v>165097.05568289568</v>
      </c>
      <c r="AR12" s="20">
        <f t="shared" si="6"/>
        <v>165587.31220516589</v>
      </c>
    </row>
    <row r="13" spans="1:45" ht="16" x14ac:dyDescent="0.2">
      <c r="E13" s="266" t="s">
        <v>69</v>
      </c>
      <c r="F13" s="267" t="s">
        <v>64</v>
      </c>
      <c r="G13" s="268">
        <f t="shared" ref="G13:R13" si="7">SUM(G26,G39)</f>
        <v>16991</v>
      </c>
      <c r="H13" s="268">
        <f t="shared" si="7"/>
        <v>12267</v>
      </c>
      <c r="I13" s="268">
        <f t="shared" si="7"/>
        <v>18749</v>
      </c>
      <c r="J13" s="268">
        <f t="shared" si="7"/>
        <v>18410</v>
      </c>
      <c r="K13" s="268">
        <f t="shared" si="7"/>
        <v>17958</v>
      </c>
      <c r="L13" s="268">
        <f t="shared" si="7"/>
        <v>21700</v>
      </c>
      <c r="M13" s="268">
        <f t="shared" si="7"/>
        <v>27757</v>
      </c>
      <c r="N13" s="268">
        <f t="shared" si="7"/>
        <v>24761</v>
      </c>
      <c r="O13" s="268">
        <f t="shared" si="7"/>
        <v>29227</v>
      </c>
      <c r="P13" s="268">
        <f t="shared" si="7"/>
        <v>29424.209639332803</v>
      </c>
      <c r="Q13" s="268">
        <f t="shared" si="7"/>
        <v>29424.209639332803</v>
      </c>
      <c r="R13" s="268">
        <f t="shared" si="7"/>
        <v>29424.209639332803</v>
      </c>
      <c r="S13" s="270">
        <f>SUM(G13:R13)</f>
        <v>276092.6289179984</v>
      </c>
      <c r="T13" s="271">
        <f t="shared" ref="T13:AE13" si="8">SUM(T26,T39)</f>
        <v>35772.268564164202</v>
      </c>
      <c r="U13" s="271">
        <f t="shared" si="8"/>
        <v>32401.72763488075</v>
      </c>
      <c r="V13" s="271">
        <f t="shared" si="8"/>
        <v>37335.95666457573</v>
      </c>
      <c r="W13" s="271">
        <f t="shared" si="8"/>
        <v>40867.542085774621</v>
      </c>
      <c r="X13" s="271">
        <f t="shared" si="8"/>
        <v>41761.066607573812</v>
      </c>
      <c r="Y13" s="271">
        <f t="shared" si="8"/>
        <v>42779.365378413902</v>
      </c>
      <c r="Z13" s="271">
        <f t="shared" si="8"/>
        <v>47286.893536096424</v>
      </c>
      <c r="AA13" s="271">
        <f t="shared" si="8"/>
        <v>48203.524641039388</v>
      </c>
      <c r="AB13" s="271">
        <f t="shared" si="8"/>
        <v>48842.895260367361</v>
      </c>
      <c r="AC13" s="271">
        <f t="shared" si="8"/>
        <v>53960.363241372601</v>
      </c>
      <c r="AD13" s="271">
        <f t="shared" si="8"/>
        <v>54266.589318856633</v>
      </c>
      <c r="AE13" s="271">
        <f t="shared" si="8"/>
        <v>54947.954873579918</v>
      </c>
      <c r="AF13" s="272">
        <f>SUM(T13:AE13)</f>
        <v>538426.14780669543</v>
      </c>
      <c r="AG13" s="20">
        <f t="shared" ref="AG13:AR13" si="9">T19-$AK$19</f>
        <v>540033.78047540237</v>
      </c>
      <c r="AH13" s="20">
        <f t="shared" si="9"/>
        <v>477334.1934018262</v>
      </c>
      <c r="AI13" s="20">
        <f t="shared" si="9"/>
        <v>574237.42738650937</v>
      </c>
      <c r="AJ13" s="20">
        <f t="shared" si="9"/>
        <v>643773.40577044745</v>
      </c>
      <c r="AK13" s="20">
        <f t="shared" si="9"/>
        <v>663289.30839295511</v>
      </c>
      <c r="AL13" s="20">
        <f t="shared" si="9"/>
        <v>685481.48907537479</v>
      </c>
      <c r="AM13" s="20">
        <f t="shared" si="9"/>
        <v>774213.70620805596</v>
      </c>
      <c r="AN13" s="20">
        <f t="shared" si="9"/>
        <v>794315.65114410035</v>
      </c>
      <c r="AO13" s="20">
        <f t="shared" si="9"/>
        <v>808513.99984601326</v>
      </c>
      <c r="AP13" s="20">
        <f t="shared" si="9"/>
        <v>913548.52202799416</v>
      </c>
      <c r="AQ13" s="20">
        <f t="shared" si="9"/>
        <v>918939.20865056419</v>
      </c>
      <c r="AR13" s="20">
        <f t="shared" si="9"/>
        <v>934061.30762075575</v>
      </c>
      <c r="AS13" s="20"/>
    </row>
    <row r="14" spans="1:45" ht="16" x14ac:dyDescent="0.2">
      <c r="E14" s="266" t="s">
        <v>44</v>
      </c>
      <c r="F14" s="267" t="s">
        <v>66</v>
      </c>
      <c r="G14" s="277">
        <f t="shared" ref="G14:AF14" si="10">G15/G13</f>
        <v>0.8171384850803366</v>
      </c>
      <c r="H14" s="277">
        <f t="shared" si="10"/>
        <v>0.84225972120322812</v>
      </c>
      <c r="I14" s="277">
        <f t="shared" si="10"/>
        <v>0.8485785908581791</v>
      </c>
      <c r="J14" s="277">
        <f t="shared" si="10"/>
        <v>0.85214557305812055</v>
      </c>
      <c r="K14" s="277">
        <f t="shared" si="10"/>
        <v>0.86373760997883953</v>
      </c>
      <c r="L14" s="277">
        <f t="shared" si="10"/>
        <v>0.85857142857142854</v>
      </c>
      <c r="M14" s="277">
        <f t="shared" si="10"/>
        <v>0.87113160644161836</v>
      </c>
      <c r="N14" s="277">
        <f t="shared" si="10"/>
        <v>0.86155647994830575</v>
      </c>
      <c r="O14" s="278">
        <f t="shared" si="10"/>
        <v>0.86546686283231256</v>
      </c>
      <c r="P14" s="278">
        <f t="shared" si="10"/>
        <v>0.86546501850655444</v>
      </c>
      <c r="Q14" s="278">
        <f t="shared" si="10"/>
        <v>0.86546501850655444</v>
      </c>
      <c r="R14" s="278">
        <f t="shared" si="10"/>
        <v>0.86546501850655444</v>
      </c>
      <c r="S14" s="283">
        <f t="shared" si="10"/>
        <v>0.85899023581167844</v>
      </c>
      <c r="T14" s="275">
        <f t="shared" si="10"/>
        <v>0.86632458650486366</v>
      </c>
      <c r="U14" s="275">
        <f t="shared" si="10"/>
        <v>0.86633126761180501</v>
      </c>
      <c r="V14" s="275">
        <f t="shared" si="10"/>
        <v>0.86616041593952597</v>
      </c>
      <c r="W14" s="275">
        <f t="shared" si="10"/>
        <v>0.86624564765220557</v>
      </c>
      <c r="X14" s="275">
        <f t="shared" si="10"/>
        <v>0.86614157437680972</v>
      </c>
      <c r="Y14" s="275">
        <f t="shared" si="10"/>
        <v>0.86598787774324604</v>
      </c>
      <c r="Z14" s="275">
        <f t="shared" si="10"/>
        <v>0.86612022290794521</v>
      </c>
      <c r="AA14" s="275">
        <f t="shared" si="10"/>
        <v>0.86602704522271912</v>
      </c>
      <c r="AB14" s="275">
        <f t="shared" si="10"/>
        <v>0.86603631155285643</v>
      </c>
      <c r="AC14" s="275">
        <f t="shared" si="10"/>
        <v>0.86584494078505425</v>
      </c>
      <c r="AD14" s="275">
        <f t="shared" si="10"/>
        <v>0.86586132310181962</v>
      </c>
      <c r="AE14" s="275">
        <f t="shared" si="10"/>
        <v>0.86587195991107768</v>
      </c>
      <c r="AF14" s="284">
        <f t="shared" si="10"/>
        <v>0.86605497678919607</v>
      </c>
    </row>
    <row r="15" spans="1:45" ht="16" x14ac:dyDescent="0.2">
      <c r="E15" s="266" t="s">
        <v>70</v>
      </c>
      <c r="F15" s="267" t="s">
        <v>64</v>
      </c>
      <c r="G15" s="268">
        <f t="shared" ref="G15:R15" si="11">SUM(G28,G41)</f>
        <v>13884</v>
      </c>
      <c r="H15" s="268">
        <f t="shared" si="11"/>
        <v>10332</v>
      </c>
      <c r="I15" s="268">
        <f t="shared" si="11"/>
        <v>15910</v>
      </c>
      <c r="J15" s="268">
        <f t="shared" si="11"/>
        <v>15688</v>
      </c>
      <c r="K15" s="268">
        <f t="shared" si="11"/>
        <v>15511</v>
      </c>
      <c r="L15" s="268">
        <f t="shared" si="11"/>
        <v>18631</v>
      </c>
      <c r="M15" s="268">
        <f t="shared" si="11"/>
        <v>24180</v>
      </c>
      <c r="N15" s="268">
        <f t="shared" si="11"/>
        <v>21333</v>
      </c>
      <c r="O15" s="268">
        <f t="shared" si="11"/>
        <v>25295</v>
      </c>
      <c r="P15" s="268">
        <f t="shared" si="11"/>
        <v>25465.6241400459</v>
      </c>
      <c r="Q15" s="268">
        <f t="shared" si="11"/>
        <v>25465.6241400459</v>
      </c>
      <c r="R15" s="268">
        <f t="shared" si="11"/>
        <v>25465.6241400459</v>
      </c>
      <c r="S15" s="270">
        <f>SUM(G15:R15)</f>
        <v>237160.87242013769</v>
      </c>
      <c r="T15" s="271">
        <f t="shared" ref="T15:AE15" si="12">SUM(T28,T41)</f>
        <v>30990.395772190484</v>
      </c>
      <c r="U15" s="271">
        <f t="shared" si="12"/>
        <v>28070.629774738693</v>
      </c>
      <c r="V15" s="271">
        <f t="shared" si="12"/>
        <v>32338.927754089033</v>
      </c>
      <c r="W15" s="271">
        <f t="shared" si="12"/>
        <v>35401.330462045604</v>
      </c>
      <c r="X15" s="271">
        <f t="shared" si="12"/>
        <v>36170.995979138796</v>
      </c>
      <c r="Y15" s="271">
        <f t="shared" si="12"/>
        <v>37046.411835255552</v>
      </c>
      <c r="Z15" s="271">
        <f t="shared" si="12"/>
        <v>40956.13477010811</v>
      </c>
      <c r="AA15" s="271">
        <f t="shared" si="12"/>
        <v>41745.556014199872</v>
      </c>
      <c r="AB15" s="271">
        <f t="shared" si="12"/>
        <v>42299.72085685104</v>
      </c>
      <c r="AC15" s="271">
        <f t="shared" si="12"/>
        <v>46721.30751546628</v>
      </c>
      <c r="AD15" s="271">
        <f t="shared" si="12"/>
        <v>46987.340827848275</v>
      </c>
      <c r="AE15" s="271">
        <f t="shared" si="12"/>
        <v>47577.893379492096</v>
      </c>
      <c r="AF15" s="272">
        <f>SUM(T15:AE15)</f>
        <v>466306.64494142385</v>
      </c>
    </row>
    <row r="16" spans="1:45" ht="16" x14ac:dyDescent="0.2">
      <c r="E16" s="266" t="s">
        <v>71</v>
      </c>
      <c r="F16" s="267" t="s">
        <v>66</v>
      </c>
      <c r="G16" s="277">
        <f t="shared" ref="G16:AF16" si="13">G17/G15</f>
        <v>1</v>
      </c>
      <c r="H16" s="277">
        <f t="shared" si="13"/>
        <v>0.99970963995354234</v>
      </c>
      <c r="I16" s="277">
        <f t="shared" si="13"/>
        <v>0.99993714644877441</v>
      </c>
      <c r="J16" s="277">
        <f t="shared" si="13"/>
        <v>1</v>
      </c>
      <c r="K16" s="277">
        <f t="shared" si="13"/>
        <v>0.99993552962413768</v>
      </c>
      <c r="L16" s="277">
        <f t="shared" si="13"/>
        <v>0.99978530406312061</v>
      </c>
      <c r="M16" s="277">
        <f t="shared" si="13"/>
        <v>1</v>
      </c>
      <c r="N16" s="277">
        <f t="shared" si="13"/>
        <v>1</v>
      </c>
      <c r="O16" s="277">
        <f t="shared" si="13"/>
        <v>1</v>
      </c>
      <c r="P16" s="277">
        <f t="shared" si="13"/>
        <v>1</v>
      </c>
      <c r="Q16" s="277">
        <f t="shared" si="13"/>
        <v>1</v>
      </c>
      <c r="R16" s="277">
        <f t="shared" si="13"/>
        <v>1</v>
      </c>
      <c r="S16" s="285">
        <f t="shared" si="13"/>
        <v>0.99996205107567637</v>
      </c>
      <c r="T16" s="275">
        <f t="shared" si="13"/>
        <v>1</v>
      </c>
      <c r="U16" s="275">
        <f t="shared" si="13"/>
        <v>1</v>
      </c>
      <c r="V16" s="275">
        <f t="shared" si="13"/>
        <v>1</v>
      </c>
      <c r="W16" s="275">
        <f t="shared" si="13"/>
        <v>1</v>
      </c>
      <c r="X16" s="275">
        <f t="shared" si="13"/>
        <v>1</v>
      </c>
      <c r="Y16" s="275">
        <f t="shared" si="13"/>
        <v>1</v>
      </c>
      <c r="Z16" s="275">
        <f t="shared" si="13"/>
        <v>1</v>
      </c>
      <c r="AA16" s="275">
        <f t="shared" si="13"/>
        <v>1</v>
      </c>
      <c r="AB16" s="275">
        <f t="shared" si="13"/>
        <v>1</v>
      </c>
      <c r="AC16" s="275">
        <f t="shared" si="13"/>
        <v>1</v>
      </c>
      <c r="AD16" s="275">
        <f t="shared" si="13"/>
        <v>1</v>
      </c>
      <c r="AE16" s="275">
        <f t="shared" si="13"/>
        <v>1</v>
      </c>
      <c r="AF16" s="286">
        <f t="shared" si="13"/>
        <v>1</v>
      </c>
    </row>
    <row r="17" spans="1:38" ht="16" x14ac:dyDescent="0.2">
      <c r="E17" s="266" t="s">
        <v>72</v>
      </c>
      <c r="F17" s="267" t="s">
        <v>64</v>
      </c>
      <c r="G17" s="268">
        <f t="shared" ref="G17:R17" si="14">SUM(G30,G43)</f>
        <v>13884</v>
      </c>
      <c r="H17" s="268">
        <f t="shared" si="14"/>
        <v>10329</v>
      </c>
      <c r="I17" s="268">
        <f t="shared" si="14"/>
        <v>15909</v>
      </c>
      <c r="J17" s="268">
        <f t="shared" si="14"/>
        <v>15688</v>
      </c>
      <c r="K17" s="268">
        <f t="shared" si="14"/>
        <v>15510</v>
      </c>
      <c r="L17" s="268">
        <f t="shared" si="14"/>
        <v>18627</v>
      </c>
      <c r="M17" s="268">
        <f t="shared" si="14"/>
        <v>24180</v>
      </c>
      <c r="N17" s="268">
        <f t="shared" si="14"/>
        <v>21333</v>
      </c>
      <c r="O17" s="268">
        <f t="shared" si="14"/>
        <v>25295</v>
      </c>
      <c r="P17" s="268">
        <f t="shared" si="14"/>
        <v>25465.6241400459</v>
      </c>
      <c r="Q17" s="268">
        <f t="shared" si="14"/>
        <v>25465.6241400459</v>
      </c>
      <c r="R17" s="268">
        <f t="shared" si="14"/>
        <v>25465.6241400459</v>
      </c>
      <c r="S17" s="270">
        <f>SUM(G17:R17)</f>
        <v>237151.87242013769</v>
      </c>
      <c r="T17" s="271">
        <f t="shared" ref="T17:AE17" si="15">SUM(T30,T43)</f>
        <v>30990.395772190484</v>
      </c>
      <c r="U17" s="271">
        <f t="shared" si="15"/>
        <v>28070.629774738693</v>
      </c>
      <c r="V17" s="271">
        <f t="shared" si="15"/>
        <v>32338.927754089033</v>
      </c>
      <c r="W17" s="271">
        <f t="shared" si="15"/>
        <v>35401.330462045604</v>
      </c>
      <c r="X17" s="271">
        <f t="shared" si="15"/>
        <v>36170.995979138796</v>
      </c>
      <c r="Y17" s="271">
        <f t="shared" si="15"/>
        <v>37046.411835255552</v>
      </c>
      <c r="Z17" s="271">
        <f t="shared" si="15"/>
        <v>40956.13477010811</v>
      </c>
      <c r="AA17" s="271">
        <f t="shared" si="15"/>
        <v>41745.556014199872</v>
      </c>
      <c r="AB17" s="271">
        <f t="shared" si="15"/>
        <v>42299.72085685104</v>
      </c>
      <c r="AC17" s="271">
        <f t="shared" si="15"/>
        <v>46721.30751546628</v>
      </c>
      <c r="AD17" s="271">
        <f t="shared" si="15"/>
        <v>46987.340827848275</v>
      </c>
      <c r="AE17" s="271">
        <f t="shared" si="15"/>
        <v>47577.893379492096</v>
      </c>
      <c r="AF17" s="272">
        <f>SUM(T17:AE17)</f>
        <v>466306.64494142385</v>
      </c>
    </row>
    <row r="18" spans="1:38" ht="16" x14ac:dyDescent="0.2">
      <c r="E18" s="266" t="s">
        <v>73</v>
      </c>
      <c r="F18" s="267" t="s">
        <v>74</v>
      </c>
      <c r="G18" s="287">
        <f t="shared" ref="G18:AF18" si="16">G19/G17</f>
        <v>10.683364304235011</v>
      </c>
      <c r="H18" s="287">
        <f t="shared" si="16"/>
        <v>10.802540420176193</v>
      </c>
      <c r="I18" s="287">
        <f t="shared" si="16"/>
        <v>11.059734112766296</v>
      </c>
      <c r="J18" s="287">
        <f t="shared" si="16"/>
        <v>14.511882330443582</v>
      </c>
      <c r="K18" s="287">
        <f t="shared" si="16"/>
        <v>15.001247582205021</v>
      </c>
      <c r="L18" s="287">
        <f t="shared" si="16"/>
        <v>14.69917109572126</v>
      </c>
      <c r="M18" s="287">
        <f t="shared" si="16"/>
        <v>15.620146815549994</v>
      </c>
      <c r="N18" s="287">
        <f t="shared" si="16"/>
        <v>15.873515679932451</v>
      </c>
      <c r="O18" s="288">
        <f t="shared" si="16"/>
        <v>19.220994662976874</v>
      </c>
      <c r="P18" s="288">
        <f t="shared" si="16"/>
        <v>19.222881153315917</v>
      </c>
      <c r="Q18" s="288">
        <f t="shared" si="16"/>
        <v>19.222881153315917</v>
      </c>
      <c r="R18" s="288">
        <f t="shared" si="16"/>
        <v>19.222881153315917</v>
      </c>
      <c r="S18" s="289">
        <f t="shared" si="16"/>
        <v>16.196699945141045</v>
      </c>
      <c r="T18" s="290">
        <f t="shared" si="16"/>
        <v>22.01353348560313</v>
      </c>
      <c r="U18" s="290">
        <f t="shared" si="16"/>
        <v>22.069634096600872</v>
      </c>
      <c r="V18" s="290">
        <f t="shared" si="16"/>
        <v>22.153231777566607</v>
      </c>
      <c r="W18" s="290">
        <f t="shared" si="16"/>
        <v>22.201079171328956</v>
      </c>
      <c r="X18" s="290">
        <f t="shared" si="16"/>
        <v>22.268218531922745</v>
      </c>
      <c r="Y18" s="290">
        <f t="shared" si="16"/>
        <v>22.341052281763361</v>
      </c>
      <c r="Z18" s="290">
        <f t="shared" si="16"/>
        <v>22.374866328076678</v>
      </c>
      <c r="AA18" s="290">
        <f t="shared" si="16"/>
        <v>22.433285722996647</v>
      </c>
      <c r="AB18" s="290">
        <f t="shared" si="16"/>
        <v>22.475049839007205</v>
      </c>
      <c r="AC18" s="290">
        <f t="shared" si="16"/>
        <v>22.596175337480055</v>
      </c>
      <c r="AD18" s="290">
        <f t="shared" si="16"/>
        <v>22.582966487209127</v>
      </c>
      <c r="AE18" s="290">
        <f t="shared" si="16"/>
        <v>22.620498003647661</v>
      </c>
      <c r="AF18" s="291">
        <f t="shared" si="16"/>
        <v>22.375477871142813</v>
      </c>
    </row>
    <row r="19" spans="1:38" ht="16" x14ac:dyDescent="0.2">
      <c r="E19" s="292" t="s">
        <v>75</v>
      </c>
      <c r="F19" s="293" t="s">
        <v>74</v>
      </c>
      <c r="G19" s="294">
        <f t="shared" ref="G19:R19" si="17">SUM(G32,G45)</f>
        <v>148327.82999999891</v>
      </c>
      <c r="H19" s="294">
        <f t="shared" si="17"/>
        <v>111579.4399999999</v>
      </c>
      <c r="I19" s="294">
        <f t="shared" si="17"/>
        <v>175949.30999999901</v>
      </c>
      <c r="J19" s="294">
        <f t="shared" si="17"/>
        <v>227662.4099999989</v>
      </c>
      <c r="K19" s="294">
        <f t="shared" si="17"/>
        <v>232669.34999999989</v>
      </c>
      <c r="L19" s="294">
        <f t="shared" si="17"/>
        <v>273801.4599999999</v>
      </c>
      <c r="M19" s="294">
        <f t="shared" si="17"/>
        <v>377695.14999999886</v>
      </c>
      <c r="N19" s="294">
        <f t="shared" si="17"/>
        <v>338629.70999999897</v>
      </c>
      <c r="O19" s="295">
        <f t="shared" si="17"/>
        <v>486195.06000000006</v>
      </c>
      <c r="P19" s="295">
        <f t="shared" si="17"/>
        <v>489522.66633911524</v>
      </c>
      <c r="Q19" s="295">
        <f t="shared" si="17"/>
        <v>489522.66633911524</v>
      </c>
      <c r="R19" s="295">
        <f t="shared" si="17"/>
        <v>489522.66633911524</v>
      </c>
      <c r="S19" s="296">
        <f>SUM(G19:R19)</f>
        <v>3841077.7190173403</v>
      </c>
      <c r="T19" s="297">
        <f t="shared" ref="T19:AE19" si="18">SUM(T32,T45)</f>
        <v>682208.11506320885</v>
      </c>
      <c r="U19" s="297">
        <f t="shared" si="18"/>
        <v>619508.52798963268</v>
      </c>
      <c r="V19" s="297">
        <f t="shared" si="18"/>
        <v>716411.76197431586</v>
      </c>
      <c r="W19" s="297">
        <f t="shared" si="18"/>
        <v>785947.74035825394</v>
      </c>
      <c r="X19" s="297">
        <f t="shared" si="18"/>
        <v>805463.64298076159</v>
      </c>
      <c r="Y19" s="297">
        <f t="shared" si="18"/>
        <v>827655.82366318128</v>
      </c>
      <c r="Z19" s="297">
        <f t="shared" si="18"/>
        <v>916388.04079586244</v>
      </c>
      <c r="AA19" s="297">
        <f t="shared" si="18"/>
        <v>936489.98573190684</v>
      </c>
      <c r="AB19" s="297">
        <f t="shared" si="18"/>
        <v>950688.33443381975</v>
      </c>
      <c r="AC19" s="297">
        <f t="shared" si="18"/>
        <v>1055722.8566158006</v>
      </c>
      <c r="AD19" s="297">
        <f t="shared" si="18"/>
        <v>1061113.5432383707</v>
      </c>
      <c r="AE19" s="297">
        <f t="shared" si="18"/>
        <v>1076235.6422085622</v>
      </c>
      <c r="AF19" s="298">
        <f>SUM(T19:AE19)</f>
        <v>10433834.015053678</v>
      </c>
      <c r="AG19" s="5">
        <f>AF19/12</f>
        <v>869486.16792113986</v>
      </c>
      <c r="AI19" s="20">
        <v>8727742</v>
      </c>
      <c r="AJ19" s="20">
        <f>AF19-AI19</f>
        <v>1706092.0150536783</v>
      </c>
      <c r="AK19" s="20">
        <f>AJ19/12</f>
        <v>142174.33458780652</v>
      </c>
      <c r="AL19" s="5">
        <f>AK19/2</f>
        <v>71087.167293903258</v>
      </c>
    </row>
    <row r="20" spans="1:38" ht="16" x14ac:dyDescent="0.2">
      <c r="E20" s="299"/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1"/>
      <c r="Q20" s="301"/>
      <c r="R20" s="301"/>
      <c r="S20" s="302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3"/>
      <c r="AK20" s="20">
        <f>AK19/4</f>
        <v>35543.583646951629</v>
      </c>
    </row>
    <row r="21" spans="1:38" ht="16" x14ac:dyDescent="0.2">
      <c r="A21" s="21" t="s">
        <v>13</v>
      </c>
      <c r="E21" s="179" t="s">
        <v>76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5"/>
      <c r="Q21" s="305"/>
      <c r="R21" s="305"/>
      <c r="S21" s="306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7"/>
      <c r="AK21" s="20">
        <f>AK20*2</f>
        <v>71087.167293903258</v>
      </c>
    </row>
    <row r="22" spans="1:38" ht="16" x14ac:dyDescent="0.2">
      <c r="A22" s="21" t="s">
        <v>13</v>
      </c>
      <c r="E22" s="266" t="s">
        <v>63</v>
      </c>
      <c r="F22" s="267" t="s">
        <v>64</v>
      </c>
      <c r="G22" s="268">
        <v>82211</v>
      </c>
      <c r="H22" s="268">
        <v>68741</v>
      </c>
      <c r="I22" s="268">
        <v>89225</v>
      </c>
      <c r="J22" s="268">
        <v>102656</v>
      </c>
      <c r="K22" s="268">
        <v>105505</v>
      </c>
      <c r="L22" s="268">
        <v>116039</v>
      </c>
      <c r="M22" s="268">
        <v>141397</v>
      </c>
      <c r="N22" s="268">
        <v>147314</v>
      </c>
      <c r="O22" s="269">
        <v>157321</v>
      </c>
      <c r="P22" s="269">
        <f>P57</f>
        <v>158356.67600373484</v>
      </c>
      <c r="Q22" s="269">
        <f>Q57</f>
        <v>158356.67600373484</v>
      </c>
      <c r="R22" s="269">
        <f>R57</f>
        <v>158356.67600373484</v>
      </c>
      <c r="S22" s="270">
        <f>SUM(G22:R22)</f>
        <v>1485479.0280112044</v>
      </c>
      <c r="T22" s="271">
        <f>SUM(T112,T125)</f>
        <v>128216.01635901147</v>
      </c>
      <c r="U22" s="271">
        <f t="shared" ref="U22:AF22" si="19">SUM(U112,U125)</f>
        <v>114420.22599797377</v>
      </c>
      <c r="V22" s="271">
        <f t="shared" si="19"/>
        <v>128583.44499384254</v>
      </c>
      <c r="W22" s="271">
        <f t="shared" si="19"/>
        <v>135977.90772641284</v>
      </c>
      <c r="X22" s="271">
        <f t="shared" si="19"/>
        <v>136150.48390139654</v>
      </c>
      <c r="Y22" s="271">
        <f t="shared" si="19"/>
        <v>136279.47267956933</v>
      </c>
      <c r="Z22" s="271">
        <f t="shared" si="19"/>
        <v>144127.41171988379</v>
      </c>
      <c r="AA22" s="271">
        <f t="shared" si="19"/>
        <v>144204.18032402318</v>
      </c>
      <c r="AB22" s="271">
        <f t="shared" si="19"/>
        <v>144311.53582166019</v>
      </c>
      <c r="AC22" s="271">
        <f t="shared" si="19"/>
        <v>152391.26974456958</v>
      </c>
      <c r="AD22" s="271">
        <f t="shared" si="19"/>
        <v>152512.1314530973</v>
      </c>
      <c r="AE22" s="271">
        <f t="shared" si="19"/>
        <v>152633.20798216641</v>
      </c>
      <c r="AF22" s="272">
        <f t="shared" si="19"/>
        <v>1669807.2887036069</v>
      </c>
    </row>
    <row r="23" spans="1:38" ht="16" x14ac:dyDescent="0.2">
      <c r="A23" s="21" t="s">
        <v>13</v>
      </c>
      <c r="E23" s="266" t="s">
        <v>65</v>
      </c>
      <c r="F23" s="267" t="s">
        <v>66</v>
      </c>
      <c r="G23" s="273">
        <v>1</v>
      </c>
      <c r="H23" s="273">
        <v>1</v>
      </c>
      <c r="I23" s="273">
        <v>0.99992154665172317</v>
      </c>
      <c r="J23" s="273">
        <v>0.99998051745635907</v>
      </c>
      <c r="K23" s="273">
        <v>1</v>
      </c>
      <c r="L23" s="273">
        <v>0.99998276441541201</v>
      </c>
      <c r="M23" s="273">
        <v>1</v>
      </c>
      <c r="N23" s="273">
        <v>0.9999864235578424</v>
      </c>
      <c r="O23" s="273">
        <v>0.99999364356951714</v>
      </c>
      <c r="P23" s="273">
        <f>O23</f>
        <v>0.99999364356951714</v>
      </c>
      <c r="Q23" s="273">
        <f t="shared" ref="Q23:R23" si="20">P23</f>
        <v>0.99999364356951714</v>
      </c>
      <c r="R23" s="273">
        <f t="shared" si="20"/>
        <v>0.99999364356951714</v>
      </c>
      <c r="S23" s="274">
        <v>1</v>
      </c>
      <c r="T23" s="275">
        <v>1</v>
      </c>
      <c r="U23" s="275">
        <v>1</v>
      </c>
      <c r="V23" s="275">
        <v>1</v>
      </c>
      <c r="W23" s="275">
        <v>1</v>
      </c>
      <c r="X23" s="275">
        <v>1</v>
      </c>
      <c r="Y23" s="275">
        <v>1</v>
      </c>
      <c r="Z23" s="275">
        <v>1</v>
      </c>
      <c r="AA23" s="275">
        <v>1</v>
      </c>
      <c r="AB23" s="275">
        <v>1</v>
      </c>
      <c r="AC23" s="275">
        <v>1</v>
      </c>
      <c r="AD23" s="275">
        <v>1</v>
      </c>
      <c r="AE23" s="275">
        <v>1</v>
      </c>
      <c r="AF23" s="276">
        <v>1</v>
      </c>
    </row>
    <row r="24" spans="1:38" ht="16" x14ac:dyDescent="0.2">
      <c r="A24" s="21" t="s">
        <v>13</v>
      </c>
      <c r="E24" s="266" t="s">
        <v>67</v>
      </c>
      <c r="F24" s="267" t="s">
        <v>66</v>
      </c>
      <c r="G24" s="273">
        <v>0.9947452287406795</v>
      </c>
      <c r="H24" s="273">
        <v>0.99349733055963685</v>
      </c>
      <c r="I24" s="273">
        <v>0.99565110179560179</v>
      </c>
      <c r="J24" s="273">
        <v>0.99356089387651725</v>
      </c>
      <c r="K24" s="273">
        <v>0.99546940903274728</v>
      </c>
      <c r="L24" s="273">
        <v>0.99756112274533126</v>
      </c>
      <c r="M24" s="273">
        <v>0.99876942226497023</v>
      </c>
      <c r="N24" s="273">
        <v>0.99081541218637992</v>
      </c>
      <c r="O24" s="273">
        <v>0.99805491990846684</v>
      </c>
      <c r="P24" s="273">
        <f t="shared" ref="P24:R24" si="21">O24</f>
        <v>0.99805491990846684</v>
      </c>
      <c r="Q24" s="273">
        <f t="shared" si="21"/>
        <v>0.99805491990846684</v>
      </c>
      <c r="R24" s="273">
        <f t="shared" si="21"/>
        <v>0.99805491990846684</v>
      </c>
      <c r="S24" s="274">
        <v>1</v>
      </c>
      <c r="T24" s="275">
        <v>1</v>
      </c>
      <c r="U24" s="275">
        <v>1</v>
      </c>
      <c r="V24" s="275">
        <v>1</v>
      </c>
      <c r="W24" s="275">
        <v>1</v>
      </c>
      <c r="X24" s="275">
        <v>1</v>
      </c>
      <c r="Y24" s="275">
        <v>1</v>
      </c>
      <c r="Z24" s="275">
        <v>1</v>
      </c>
      <c r="AA24" s="275">
        <v>1</v>
      </c>
      <c r="AB24" s="275">
        <v>1</v>
      </c>
      <c r="AC24" s="275">
        <v>1</v>
      </c>
      <c r="AD24" s="275">
        <v>1</v>
      </c>
      <c r="AE24" s="275">
        <v>1</v>
      </c>
      <c r="AF24" s="276">
        <v>1</v>
      </c>
    </row>
    <row r="25" spans="1:38" ht="16" x14ac:dyDescent="0.2">
      <c r="A25" s="21" t="s">
        <v>13</v>
      </c>
      <c r="E25" s="266" t="s">
        <v>68</v>
      </c>
      <c r="F25" s="267" t="s">
        <v>66</v>
      </c>
      <c r="G25" s="277">
        <v>0.20776727521735408</v>
      </c>
      <c r="H25" s="277">
        <v>0.17962046446247107</v>
      </c>
      <c r="I25" s="277">
        <v>0.21106608127884724</v>
      </c>
      <c r="J25" s="277">
        <v>0.16941358720696517</v>
      </c>
      <c r="K25" s="277">
        <v>0.1618345758709665</v>
      </c>
      <c r="L25" s="277">
        <v>0.1767368730238264</v>
      </c>
      <c r="M25" s="277">
        <v>0.18676136323403411</v>
      </c>
      <c r="N25" s="277">
        <v>0.16075747298899007</v>
      </c>
      <c r="O25" s="278">
        <v>0.17727718547390678</v>
      </c>
      <c r="P25" s="278">
        <f>O25</f>
        <v>0.17727718547390678</v>
      </c>
      <c r="Q25" s="278">
        <f t="shared" ref="Q25:R25" si="22">P25</f>
        <v>0.17727718547390678</v>
      </c>
      <c r="R25" s="278">
        <f t="shared" si="22"/>
        <v>0.17727718547390678</v>
      </c>
      <c r="S25" s="283">
        <f>S26/S22</f>
        <v>0.17803666382322256</v>
      </c>
      <c r="T25" s="275">
        <f>T26/T22</f>
        <v>0.184</v>
      </c>
      <c r="U25" s="275">
        <f t="shared" ref="U25:AF25" si="23">U26/U22</f>
        <v>0.18545454545454546</v>
      </c>
      <c r="V25" s="275">
        <f t="shared" si="23"/>
        <v>0.18690909090909091</v>
      </c>
      <c r="W25" s="275">
        <f t="shared" si="23"/>
        <v>0.19436363636363638</v>
      </c>
      <c r="X25" s="275">
        <f t="shared" si="23"/>
        <v>0.19581818181818184</v>
      </c>
      <c r="Y25" s="275">
        <f t="shared" si="23"/>
        <v>0.19727272727272732</v>
      </c>
      <c r="Z25" s="275">
        <f t="shared" si="23"/>
        <v>0.20872727272727279</v>
      </c>
      <c r="AA25" s="275">
        <f t="shared" si="23"/>
        <v>0.21018181818181822</v>
      </c>
      <c r="AB25" s="275">
        <f t="shared" si="23"/>
        <v>0.21163636363636371</v>
      </c>
      <c r="AC25" s="275">
        <f t="shared" si="23"/>
        <v>0.21709090909090917</v>
      </c>
      <c r="AD25" s="275">
        <f t="shared" si="23"/>
        <v>0.21854545454545465</v>
      </c>
      <c r="AE25" s="275">
        <f t="shared" si="23"/>
        <v>0.22000000000000008</v>
      </c>
      <c r="AF25" s="284">
        <f t="shared" si="23"/>
        <v>0.20346415085167191</v>
      </c>
    </row>
    <row r="26" spans="1:38" ht="16" x14ac:dyDescent="0.2">
      <c r="A26" s="21" t="s">
        <v>13</v>
      </c>
      <c r="E26" s="266" t="s">
        <v>69</v>
      </c>
      <c r="F26" s="267" t="s">
        <v>64</v>
      </c>
      <c r="G26" s="268">
        <f>G22*G23*G24*G25</f>
        <v>16991</v>
      </c>
      <c r="H26" s="268">
        <f t="shared" ref="H26:R26" si="24">H22*H23*H24*H25</f>
        <v>12267</v>
      </c>
      <c r="I26" s="268">
        <f t="shared" si="24"/>
        <v>18749</v>
      </c>
      <c r="J26" s="268">
        <f t="shared" si="24"/>
        <v>17279</v>
      </c>
      <c r="K26" s="268">
        <f t="shared" si="24"/>
        <v>16997</v>
      </c>
      <c r="L26" s="268">
        <f t="shared" si="24"/>
        <v>20458</v>
      </c>
      <c r="M26" s="268">
        <f t="shared" si="24"/>
        <v>26375</v>
      </c>
      <c r="N26" s="268">
        <f t="shared" si="24"/>
        <v>23464</v>
      </c>
      <c r="O26" s="268">
        <f t="shared" si="24"/>
        <v>27835</v>
      </c>
      <c r="P26" s="268">
        <f t="shared" si="24"/>
        <v>28018.243442159404</v>
      </c>
      <c r="Q26" s="268">
        <f t="shared" si="24"/>
        <v>28018.243442159404</v>
      </c>
      <c r="R26" s="268">
        <f t="shared" si="24"/>
        <v>28018.243442159404</v>
      </c>
      <c r="S26" s="270">
        <f>SUM(G26:R26)</f>
        <v>264469.73032647819</v>
      </c>
      <c r="T26" s="271">
        <f t="shared" ref="T26:AE26" si="25">SUM(T116,T129)</f>
        <v>23591.747010058109</v>
      </c>
      <c r="U26" s="271">
        <f t="shared" si="25"/>
        <v>21219.75100326059</v>
      </c>
      <c r="V26" s="271">
        <f t="shared" si="25"/>
        <v>24033.414809758207</v>
      </c>
      <c r="W26" s="271">
        <f t="shared" si="25"/>
        <v>26429.160610824609</v>
      </c>
      <c r="X26" s="271">
        <f t="shared" si="25"/>
        <v>26660.740211237106</v>
      </c>
      <c r="Y26" s="271">
        <f t="shared" si="25"/>
        <v>26884.223246787773</v>
      </c>
      <c r="Z26" s="271">
        <f t="shared" si="25"/>
        <v>30083.321573532117</v>
      </c>
      <c r="AA26" s="271">
        <f t="shared" si="25"/>
        <v>30309.096809921968</v>
      </c>
      <c r="AB26" s="271">
        <f t="shared" si="25"/>
        <v>30541.568672075002</v>
      </c>
      <c r="AC26" s="271">
        <f t="shared" si="25"/>
        <v>33082.75928636657</v>
      </c>
      <c r="AD26" s="271">
        <f t="shared" si="25"/>
        <v>33330.83309211328</v>
      </c>
      <c r="AE26" s="271">
        <f t="shared" si="25"/>
        <v>33579.305756076625</v>
      </c>
      <c r="AF26" s="272">
        <f>SUM(T26:AE26)</f>
        <v>339745.92208201194</v>
      </c>
    </row>
    <row r="27" spans="1:38" ht="16" x14ac:dyDescent="0.2">
      <c r="A27" s="21" t="s">
        <v>13</v>
      </c>
      <c r="E27" s="266" t="s">
        <v>44</v>
      </c>
      <c r="F27" s="267" t="s">
        <v>66</v>
      </c>
      <c r="G27" s="277">
        <v>0.8171384850803366</v>
      </c>
      <c r="H27" s="277">
        <v>0.84225972120322812</v>
      </c>
      <c r="I27" s="277">
        <v>0.8485785908581791</v>
      </c>
      <c r="J27" s="277">
        <v>0.85548932229874419</v>
      </c>
      <c r="K27" s="277">
        <v>0.86644702006236396</v>
      </c>
      <c r="L27" s="277">
        <v>0.86108123961286542</v>
      </c>
      <c r="M27" s="277">
        <v>0.87272037914691947</v>
      </c>
      <c r="N27" s="277">
        <v>0.86387657688373676</v>
      </c>
      <c r="O27" s="278">
        <v>0.86603197413328548</v>
      </c>
      <c r="P27" s="278">
        <f>O27</f>
        <v>0.86603197413328548</v>
      </c>
      <c r="Q27" s="278">
        <f t="shared" ref="Q27:R27" si="26">P27</f>
        <v>0.86603197413328548</v>
      </c>
      <c r="R27" s="278">
        <f t="shared" si="26"/>
        <v>0.86603197413328548</v>
      </c>
      <c r="S27" s="283">
        <f>S28/S26</f>
        <v>0.85998153270363176</v>
      </c>
      <c r="T27" s="275">
        <f>T28/T26</f>
        <v>0.87000000000000011</v>
      </c>
      <c r="U27" s="275">
        <f t="shared" ref="U27:AF27" si="27">U28/U26</f>
        <v>0.87</v>
      </c>
      <c r="V27" s="275">
        <f t="shared" si="27"/>
        <v>0.87000000000000011</v>
      </c>
      <c r="W27" s="275">
        <f t="shared" si="27"/>
        <v>0.87</v>
      </c>
      <c r="X27" s="275">
        <f t="shared" si="27"/>
        <v>0.87000000000000011</v>
      </c>
      <c r="Y27" s="275">
        <f t="shared" si="27"/>
        <v>0.87000000000000011</v>
      </c>
      <c r="Z27" s="275">
        <f t="shared" si="27"/>
        <v>0.87000000000000011</v>
      </c>
      <c r="AA27" s="275">
        <f t="shared" si="27"/>
        <v>0.87</v>
      </c>
      <c r="AB27" s="275">
        <f t="shared" si="27"/>
        <v>0.87</v>
      </c>
      <c r="AC27" s="275">
        <f t="shared" si="27"/>
        <v>0.86999999999999988</v>
      </c>
      <c r="AD27" s="275">
        <f t="shared" si="27"/>
        <v>0.87</v>
      </c>
      <c r="AE27" s="275">
        <f t="shared" si="27"/>
        <v>0.87</v>
      </c>
      <c r="AF27" s="284">
        <f t="shared" si="27"/>
        <v>0.87000000000000011</v>
      </c>
    </row>
    <row r="28" spans="1:38" ht="16" x14ac:dyDescent="0.2">
      <c r="A28" s="21" t="s">
        <v>13</v>
      </c>
      <c r="E28" s="266" t="s">
        <v>70</v>
      </c>
      <c r="F28" s="267" t="s">
        <v>64</v>
      </c>
      <c r="G28" s="268">
        <f>G26*G27</f>
        <v>13884</v>
      </c>
      <c r="H28" s="268">
        <f t="shared" ref="H28:R28" si="28">H26*H27</f>
        <v>10332</v>
      </c>
      <c r="I28" s="268">
        <f t="shared" si="28"/>
        <v>15910</v>
      </c>
      <c r="J28" s="268">
        <f t="shared" si="28"/>
        <v>14782</v>
      </c>
      <c r="K28" s="268">
        <f t="shared" si="28"/>
        <v>14727</v>
      </c>
      <c r="L28" s="268">
        <f t="shared" si="28"/>
        <v>17616</v>
      </c>
      <c r="M28" s="268">
        <f t="shared" si="28"/>
        <v>23018</v>
      </c>
      <c r="N28" s="268">
        <f t="shared" si="28"/>
        <v>20270</v>
      </c>
      <c r="O28" s="268">
        <f t="shared" si="28"/>
        <v>24106</v>
      </c>
      <c r="P28" s="268">
        <f t="shared" si="28"/>
        <v>24264.694679960288</v>
      </c>
      <c r="Q28" s="268">
        <f t="shared" si="28"/>
        <v>24264.694679960288</v>
      </c>
      <c r="R28" s="268">
        <f t="shared" si="28"/>
        <v>24264.694679960288</v>
      </c>
      <c r="S28" s="270">
        <f>SUM(G28:R28)</f>
        <v>227439.08403988087</v>
      </c>
      <c r="T28" s="271">
        <f t="shared" ref="T28:AE28" si="29">SUM(T118,T131)</f>
        <v>20524.819898750557</v>
      </c>
      <c r="U28" s="271">
        <f t="shared" si="29"/>
        <v>18461.183372836713</v>
      </c>
      <c r="V28" s="271">
        <f t="shared" si="29"/>
        <v>20909.070884489644</v>
      </c>
      <c r="W28" s="271">
        <f t="shared" si="29"/>
        <v>22993.36973141741</v>
      </c>
      <c r="X28" s="271">
        <f t="shared" si="29"/>
        <v>23194.843983776285</v>
      </c>
      <c r="Y28" s="271">
        <f t="shared" si="29"/>
        <v>23389.274224705365</v>
      </c>
      <c r="Z28" s="271">
        <f t="shared" si="29"/>
        <v>26172.489768972944</v>
      </c>
      <c r="AA28" s="271">
        <f t="shared" si="29"/>
        <v>26368.914224632113</v>
      </c>
      <c r="AB28" s="271">
        <f t="shared" si="29"/>
        <v>26571.164744705253</v>
      </c>
      <c r="AC28" s="271">
        <f t="shared" si="29"/>
        <v>28782.000579138912</v>
      </c>
      <c r="AD28" s="271">
        <f t="shared" si="29"/>
        <v>28997.824790138555</v>
      </c>
      <c r="AE28" s="271">
        <f t="shared" si="29"/>
        <v>29213.996007786664</v>
      </c>
      <c r="AF28" s="272">
        <f>SUM(T28:AE28)</f>
        <v>295578.95221135044</v>
      </c>
    </row>
    <row r="29" spans="1:38" ht="16" x14ac:dyDescent="0.2">
      <c r="A29" s="21" t="s">
        <v>13</v>
      </c>
      <c r="E29" s="266" t="s">
        <v>71</v>
      </c>
      <c r="F29" s="267" t="s">
        <v>66</v>
      </c>
      <c r="G29" s="277">
        <v>1</v>
      </c>
      <c r="H29" s="277">
        <v>0.99970963995354234</v>
      </c>
      <c r="I29" s="277">
        <v>0.99993714644877441</v>
      </c>
      <c r="J29" s="277">
        <v>1</v>
      </c>
      <c r="K29" s="277">
        <v>0.99993209750797851</v>
      </c>
      <c r="L29" s="277">
        <v>0.99977293369663944</v>
      </c>
      <c r="M29" s="277">
        <v>1</v>
      </c>
      <c r="N29" s="277">
        <v>1</v>
      </c>
      <c r="O29" s="277">
        <v>1</v>
      </c>
      <c r="P29" s="277">
        <v>1</v>
      </c>
      <c r="Q29" s="277">
        <v>1</v>
      </c>
      <c r="R29" s="277">
        <v>1</v>
      </c>
      <c r="S29" s="285">
        <v>1</v>
      </c>
      <c r="T29" s="275">
        <f>T30/T28</f>
        <v>1</v>
      </c>
      <c r="U29" s="275">
        <f t="shared" ref="U29:AF29" si="30">U30/U28</f>
        <v>1</v>
      </c>
      <c r="V29" s="275">
        <f t="shared" si="30"/>
        <v>1</v>
      </c>
      <c r="W29" s="275">
        <f t="shared" si="30"/>
        <v>1</v>
      </c>
      <c r="X29" s="275">
        <f t="shared" si="30"/>
        <v>1</v>
      </c>
      <c r="Y29" s="275">
        <f t="shared" si="30"/>
        <v>1</v>
      </c>
      <c r="Z29" s="275">
        <f t="shared" si="30"/>
        <v>1</v>
      </c>
      <c r="AA29" s="275">
        <f t="shared" si="30"/>
        <v>1</v>
      </c>
      <c r="AB29" s="275">
        <f t="shared" si="30"/>
        <v>1</v>
      </c>
      <c r="AC29" s="275">
        <f t="shared" si="30"/>
        <v>1</v>
      </c>
      <c r="AD29" s="275">
        <f t="shared" si="30"/>
        <v>1</v>
      </c>
      <c r="AE29" s="275">
        <f t="shared" si="30"/>
        <v>1</v>
      </c>
      <c r="AF29" s="286">
        <f t="shared" si="30"/>
        <v>1</v>
      </c>
    </row>
    <row r="30" spans="1:38" ht="16" x14ac:dyDescent="0.2">
      <c r="A30" s="21" t="s">
        <v>13</v>
      </c>
      <c r="E30" s="266" t="s">
        <v>72</v>
      </c>
      <c r="F30" s="267" t="s">
        <v>64</v>
      </c>
      <c r="G30" s="268">
        <f t="shared" ref="G30:O30" si="31">G22*G23*G24*G25*G27*G29</f>
        <v>13884</v>
      </c>
      <c r="H30" s="268">
        <f t="shared" si="31"/>
        <v>10329</v>
      </c>
      <c r="I30" s="268">
        <f t="shared" si="31"/>
        <v>15909</v>
      </c>
      <c r="J30" s="268">
        <f t="shared" si="31"/>
        <v>14782</v>
      </c>
      <c r="K30" s="268">
        <f t="shared" si="31"/>
        <v>14726</v>
      </c>
      <c r="L30" s="268">
        <f t="shared" si="31"/>
        <v>17612</v>
      </c>
      <c r="M30" s="268">
        <f t="shared" si="31"/>
        <v>23018</v>
      </c>
      <c r="N30" s="268">
        <f t="shared" si="31"/>
        <v>20270</v>
      </c>
      <c r="O30" s="268">
        <f t="shared" si="31"/>
        <v>24106</v>
      </c>
      <c r="P30" s="268">
        <f>P28*P29</f>
        <v>24264.694679960288</v>
      </c>
      <c r="Q30" s="268">
        <f t="shared" ref="Q30:R30" si="32">Q28*Q29</f>
        <v>24264.694679960288</v>
      </c>
      <c r="R30" s="268">
        <f t="shared" si="32"/>
        <v>24264.694679960288</v>
      </c>
      <c r="S30" s="270">
        <f>SUM(G30:R30)</f>
        <v>227430.08403988087</v>
      </c>
      <c r="T30" s="271">
        <f t="shared" ref="T30:AE30" si="33">SUM(T120,T133)</f>
        <v>20524.819898750557</v>
      </c>
      <c r="U30" s="271">
        <f t="shared" si="33"/>
        <v>18461.183372836713</v>
      </c>
      <c r="V30" s="271">
        <f t="shared" si="33"/>
        <v>20909.070884489644</v>
      </c>
      <c r="W30" s="271">
        <f t="shared" si="33"/>
        <v>22993.36973141741</v>
      </c>
      <c r="X30" s="271">
        <f t="shared" si="33"/>
        <v>23194.843983776285</v>
      </c>
      <c r="Y30" s="271">
        <f t="shared" si="33"/>
        <v>23389.274224705365</v>
      </c>
      <c r="Z30" s="271">
        <f t="shared" si="33"/>
        <v>26172.489768972944</v>
      </c>
      <c r="AA30" s="271">
        <f t="shared" si="33"/>
        <v>26368.914224632113</v>
      </c>
      <c r="AB30" s="271">
        <f t="shared" si="33"/>
        <v>26571.164744705253</v>
      </c>
      <c r="AC30" s="271">
        <f t="shared" si="33"/>
        <v>28782.000579138912</v>
      </c>
      <c r="AD30" s="271">
        <f t="shared" si="33"/>
        <v>28997.824790138555</v>
      </c>
      <c r="AE30" s="271">
        <f t="shared" si="33"/>
        <v>29213.996007786664</v>
      </c>
      <c r="AF30" s="272">
        <f>SUM(T30:AE30)</f>
        <v>295578.95221135044</v>
      </c>
      <c r="AG30" s="5"/>
    </row>
    <row r="31" spans="1:38" ht="16" x14ac:dyDescent="0.2">
      <c r="A31" s="21" t="s">
        <v>13</v>
      </c>
      <c r="E31" s="266" t="s">
        <v>73</v>
      </c>
      <c r="F31" s="267" t="s">
        <v>74</v>
      </c>
      <c r="G31" s="287">
        <v>10.68336430423509</v>
      </c>
      <c r="H31" s="287">
        <v>10.802540420176204</v>
      </c>
      <c r="I31" s="287">
        <v>11.059734112766359</v>
      </c>
      <c r="J31" s="287">
        <v>14.511882330443651</v>
      </c>
      <c r="K31" s="287">
        <v>15.00124758220503</v>
      </c>
      <c r="L31" s="287">
        <v>14.699171095721265</v>
      </c>
      <c r="M31" s="287">
        <v>15.620146815550045</v>
      </c>
      <c r="N31" s="287">
        <v>15.873515679932501</v>
      </c>
      <c r="O31" s="288">
        <f>O32/O30</f>
        <v>18.643342321413758</v>
      </c>
      <c r="P31" s="288">
        <f>O31</f>
        <v>18.643342321413758</v>
      </c>
      <c r="Q31" s="288">
        <f t="shared" ref="Q31:R31" si="34">P31</f>
        <v>18.643342321413758</v>
      </c>
      <c r="R31" s="288">
        <f t="shared" si="34"/>
        <v>18.643342321413758</v>
      </c>
      <c r="S31" s="289">
        <f>S32/S30</f>
        <v>15.771987742396711</v>
      </c>
      <c r="T31" s="290">
        <f>T32/T30</f>
        <v>18.869565217391305</v>
      </c>
      <c r="U31" s="290">
        <f t="shared" ref="U31:AF31" si="35">U32/U30</f>
        <v>18.862745098039216</v>
      </c>
      <c r="V31" s="290">
        <f t="shared" si="35"/>
        <v>18.856031128404666</v>
      </c>
      <c r="W31" s="290">
        <f t="shared" si="35"/>
        <v>18.946679139382603</v>
      </c>
      <c r="X31" s="290">
        <f t="shared" si="35"/>
        <v>18.939647168059423</v>
      </c>
      <c r="Y31" s="290">
        <f t="shared" si="35"/>
        <v>18.932718894009216</v>
      </c>
      <c r="Z31" s="290">
        <f t="shared" si="35"/>
        <v>19.073170731707318</v>
      </c>
      <c r="AA31" s="290">
        <f t="shared" si="35"/>
        <v>19.065743944636676</v>
      </c>
      <c r="AB31" s="290">
        <f t="shared" si="35"/>
        <v>19.058419243986254</v>
      </c>
      <c r="AC31" s="290">
        <f t="shared" si="35"/>
        <v>19.105527638190956</v>
      </c>
      <c r="AD31" s="290">
        <f t="shared" si="35"/>
        <v>19.098169717138102</v>
      </c>
      <c r="AE31" s="290">
        <f t="shared" si="35"/>
        <v>19.09090909090909</v>
      </c>
      <c r="AF31" s="291">
        <f t="shared" si="35"/>
        <v>19.004465459842542</v>
      </c>
      <c r="AG31" s="5"/>
    </row>
    <row r="32" spans="1:38" ht="16" x14ac:dyDescent="0.2">
      <c r="A32" s="21" t="s">
        <v>13</v>
      </c>
      <c r="E32" s="308" t="s">
        <v>75</v>
      </c>
      <c r="F32" s="309" t="s">
        <v>74</v>
      </c>
      <c r="G32" s="310">
        <v>148327.82999999891</v>
      </c>
      <c r="H32" s="310">
        <v>111579.4399999999</v>
      </c>
      <c r="I32" s="310">
        <v>175949.30999999901</v>
      </c>
      <c r="J32" s="310">
        <v>209320.0099999989</v>
      </c>
      <c r="K32" s="310">
        <v>216388.99999999988</v>
      </c>
      <c r="L32" s="310">
        <v>253453.25999999989</v>
      </c>
      <c r="M32" s="310">
        <v>351386.09999999899</v>
      </c>
      <c r="N32" s="310">
        <v>314078.109999999</v>
      </c>
      <c r="O32" s="311">
        <v>449416.41000000003</v>
      </c>
      <c r="P32" s="311">
        <f>P30*P31</f>
        <v>452375.00924308691</v>
      </c>
      <c r="Q32" s="311">
        <f t="shared" ref="Q32:R32" si="36">Q30*Q31</f>
        <v>452375.00924308691</v>
      </c>
      <c r="R32" s="311">
        <f t="shared" si="36"/>
        <v>452375.00924308691</v>
      </c>
      <c r="S32" s="312">
        <f>SUM(G32:R32)</f>
        <v>3587024.4977292549</v>
      </c>
      <c r="T32" s="313">
        <f t="shared" ref="T32:AE32" si="37">SUM(T122,T135)</f>
        <v>387294.4276546844</v>
      </c>
      <c r="U32" s="313">
        <f t="shared" si="37"/>
        <v>348228.59616997879</v>
      </c>
      <c r="V32" s="313">
        <f t="shared" si="37"/>
        <v>394262.0914639564</v>
      </c>
      <c r="W32" s="313">
        <f t="shared" si="37"/>
        <v>435647.99863435759</v>
      </c>
      <c r="X32" s="313">
        <f t="shared" si="37"/>
        <v>439302.16117090866</v>
      </c>
      <c r="Y32" s="313">
        <f t="shared" si="37"/>
        <v>442822.55403124203</v>
      </c>
      <c r="Z32" s="313">
        <f t="shared" si="37"/>
        <v>499192.36583748396</v>
      </c>
      <c r="AA32" s="313">
        <f t="shared" si="37"/>
        <v>502742.96670492366</v>
      </c>
      <c r="AB32" s="313">
        <f t="shared" si="37"/>
        <v>506404.39750561968</v>
      </c>
      <c r="AC32" s="313">
        <f t="shared" si="37"/>
        <v>549895.30754716659</v>
      </c>
      <c r="AD32" s="313">
        <f t="shared" si="37"/>
        <v>553805.37926990073</v>
      </c>
      <c r="AE32" s="313">
        <f t="shared" si="37"/>
        <v>557721.74196683627</v>
      </c>
      <c r="AF32" s="314">
        <f>SUM(T32:AE32)</f>
        <v>5617319.9879570585</v>
      </c>
      <c r="AG32" s="5">
        <f>AF32/12</f>
        <v>468109.99899642152</v>
      </c>
    </row>
    <row r="33" spans="1:32" ht="16" x14ac:dyDescent="0.2">
      <c r="E33" s="315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7"/>
      <c r="Q33" s="317"/>
      <c r="R33" s="317"/>
      <c r="S33" s="318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9"/>
    </row>
    <row r="34" spans="1:32" ht="16" x14ac:dyDescent="0.2">
      <c r="A34" s="21" t="s">
        <v>13</v>
      </c>
      <c r="E34" s="180" t="s">
        <v>77</v>
      </c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1"/>
      <c r="Q34" s="321"/>
      <c r="R34" s="321"/>
      <c r="S34" s="322"/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3"/>
    </row>
    <row r="35" spans="1:32" ht="16" x14ac:dyDescent="0.2">
      <c r="A35" s="21" t="s">
        <v>13</v>
      </c>
      <c r="E35" s="266" t="s">
        <v>63</v>
      </c>
      <c r="F35" s="267" t="s">
        <v>64</v>
      </c>
      <c r="G35" s="267"/>
      <c r="H35" s="267"/>
      <c r="I35" s="267"/>
      <c r="J35" s="269">
        <v>1482</v>
      </c>
      <c r="K35" s="269">
        <v>1359</v>
      </c>
      <c r="L35" s="269">
        <v>2073</v>
      </c>
      <c r="M35" s="268">
        <v>2048</v>
      </c>
      <c r="N35" s="268">
        <v>1788</v>
      </c>
      <c r="O35" s="268">
        <v>1627</v>
      </c>
      <c r="P35" s="271">
        <f>P58</f>
        <v>1643.3239962651728</v>
      </c>
      <c r="Q35" s="271">
        <f>Q58</f>
        <v>1643.3239962651728</v>
      </c>
      <c r="R35" s="271">
        <f>R58</f>
        <v>1643.3239962651728</v>
      </c>
      <c r="S35" s="270">
        <f>SUM(G35:R35)</f>
        <v>15306.97198879552</v>
      </c>
      <c r="T35" s="271">
        <f>SUM(T142,T155)</f>
        <v>32054.004089752867</v>
      </c>
      <c r="U35" s="271">
        <f t="shared" ref="U35:AE35" si="38">SUM(U142,U155)</f>
        <v>28605.056499493436</v>
      </c>
      <c r="V35" s="271">
        <f t="shared" si="38"/>
        <v>32145.861248460627</v>
      </c>
      <c r="W35" s="271">
        <f t="shared" si="38"/>
        <v>33994.476931603203</v>
      </c>
      <c r="X35" s="271">
        <f t="shared" si="38"/>
        <v>34037.620975349128</v>
      </c>
      <c r="Y35" s="271">
        <f t="shared" si="38"/>
        <v>34069.868169892325</v>
      </c>
      <c r="Z35" s="271">
        <f t="shared" si="38"/>
        <v>36031.852929970941</v>
      </c>
      <c r="AA35" s="271">
        <f t="shared" si="38"/>
        <v>36051.045081005781</v>
      </c>
      <c r="AB35" s="271">
        <f t="shared" si="38"/>
        <v>36077.88395541504</v>
      </c>
      <c r="AC35" s="271">
        <f t="shared" si="38"/>
        <v>38097.817436142388</v>
      </c>
      <c r="AD35" s="271">
        <f t="shared" si="38"/>
        <v>38128.032863274319</v>
      </c>
      <c r="AE35" s="271">
        <f t="shared" si="38"/>
        <v>38158.301995541595</v>
      </c>
      <c r="AF35" s="272">
        <f>SUM(T35:AE35)</f>
        <v>417451.82217590167</v>
      </c>
    </row>
    <row r="36" spans="1:32" ht="16" x14ac:dyDescent="0.2">
      <c r="A36" s="21" t="s">
        <v>13</v>
      </c>
      <c r="E36" s="266" t="s">
        <v>65</v>
      </c>
      <c r="F36" s="267" t="s">
        <v>66</v>
      </c>
      <c r="G36" s="267"/>
      <c r="H36" s="267"/>
      <c r="I36" s="267"/>
      <c r="J36" s="324">
        <v>1</v>
      </c>
      <c r="K36" s="324">
        <v>1</v>
      </c>
      <c r="L36" s="324">
        <v>1</v>
      </c>
      <c r="M36" s="273">
        <v>1</v>
      </c>
      <c r="N36" s="273">
        <v>1</v>
      </c>
      <c r="O36" s="277">
        <v>1</v>
      </c>
      <c r="P36" s="325">
        <f>O36</f>
        <v>1</v>
      </c>
      <c r="Q36" s="325">
        <f t="shared" ref="Q36:R36" si="39">P36</f>
        <v>1</v>
      </c>
      <c r="R36" s="325">
        <f t="shared" si="39"/>
        <v>1</v>
      </c>
      <c r="S36" s="274">
        <v>1</v>
      </c>
      <c r="T36" s="275">
        <v>1</v>
      </c>
      <c r="U36" s="275">
        <v>1</v>
      </c>
      <c r="V36" s="275">
        <v>1</v>
      </c>
      <c r="W36" s="275">
        <v>1</v>
      </c>
      <c r="X36" s="275">
        <v>1</v>
      </c>
      <c r="Y36" s="275">
        <v>1</v>
      </c>
      <c r="Z36" s="275">
        <v>1</v>
      </c>
      <c r="AA36" s="275">
        <v>1</v>
      </c>
      <c r="AB36" s="275">
        <v>1</v>
      </c>
      <c r="AC36" s="275">
        <v>1</v>
      </c>
      <c r="AD36" s="275">
        <v>1</v>
      </c>
      <c r="AE36" s="275">
        <v>1</v>
      </c>
      <c r="AF36" s="276">
        <v>1</v>
      </c>
    </row>
    <row r="37" spans="1:32" ht="16" x14ac:dyDescent="0.2">
      <c r="A37" s="21" t="s">
        <v>13</v>
      </c>
      <c r="E37" s="266" t="s">
        <v>67</v>
      </c>
      <c r="F37" s="267" t="s">
        <v>66</v>
      </c>
      <c r="G37" s="267"/>
      <c r="H37" s="267"/>
      <c r="I37" s="267"/>
      <c r="J37" s="324">
        <v>0.99325236167341435</v>
      </c>
      <c r="K37" s="324">
        <v>0.99411331861662988</v>
      </c>
      <c r="L37" s="324">
        <v>0.9975880366618427</v>
      </c>
      <c r="M37" s="273">
        <v>0.99560546875</v>
      </c>
      <c r="N37" s="273">
        <v>0.9854586129753915</v>
      </c>
      <c r="O37" s="277">
        <v>0.99877074370006147</v>
      </c>
      <c r="P37" s="325">
        <f t="shared" ref="P37:R37" si="40">O37</f>
        <v>0.99877074370006147</v>
      </c>
      <c r="Q37" s="325">
        <f t="shared" si="40"/>
        <v>0.99877074370006147</v>
      </c>
      <c r="R37" s="325">
        <f t="shared" si="40"/>
        <v>0.99877074370006147</v>
      </c>
      <c r="S37" s="274">
        <v>1</v>
      </c>
      <c r="T37" s="275">
        <v>1</v>
      </c>
      <c r="U37" s="275">
        <v>1</v>
      </c>
      <c r="V37" s="275">
        <v>1</v>
      </c>
      <c r="W37" s="275">
        <v>1</v>
      </c>
      <c r="X37" s="275">
        <v>1</v>
      </c>
      <c r="Y37" s="275">
        <v>1</v>
      </c>
      <c r="Z37" s="275">
        <v>1</v>
      </c>
      <c r="AA37" s="275">
        <v>1</v>
      </c>
      <c r="AB37" s="275">
        <v>1</v>
      </c>
      <c r="AC37" s="275">
        <v>1</v>
      </c>
      <c r="AD37" s="275">
        <v>1</v>
      </c>
      <c r="AE37" s="275">
        <v>1</v>
      </c>
      <c r="AF37" s="276">
        <v>1</v>
      </c>
    </row>
    <row r="38" spans="1:32" ht="16" x14ac:dyDescent="0.2">
      <c r="A38" s="21" t="s">
        <v>13</v>
      </c>
      <c r="E38" s="266" t="s">
        <v>68</v>
      </c>
      <c r="F38" s="267" t="s">
        <v>66</v>
      </c>
      <c r="G38" s="267"/>
      <c r="H38" s="267"/>
      <c r="I38" s="267"/>
      <c r="J38" s="324">
        <v>0.76834239130434778</v>
      </c>
      <c r="K38" s="324">
        <v>0.71132494448556627</v>
      </c>
      <c r="L38" s="324">
        <v>0.60058027079303677</v>
      </c>
      <c r="M38" s="273">
        <v>0.67778322707209415</v>
      </c>
      <c r="N38" s="273">
        <v>0.73609534619750283</v>
      </c>
      <c r="O38" s="277">
        <v>0.85661538461538467</v>
      </c>
      <c r="P38" s="325">
        <f>O38</f>
        <v>0.85661538461538467</v>
      </c>
      <c r="Q38" s="325">
        <f t="shared" ref="Q38:R38" si="41">P38</f>
        <v>0.85661538461538467</v>
      </c>
      <c r="R38" s="325">
        <f t="shared" si="41"/>
        <v>0.85661538461538467</v>
      </c>
      <c r="S38" s="283">
        <f>S39/S35</f>
        <v>0.75932056320662167</v>
      </c>
      <c r="T38" s="275">
        <f>T39/T35</f>
        <v>0.38</v>
      </c>
      <c r="U38" s="275">
        <f t="shared" ref="U38:AF38" si="42">U39/U35</f>
        <v>0.39090909090909087</v>
      </c>
      <c r="V38" s="275">
        <f t="shared" si="42"/>
        <v>0.41381818181818186</v>
      </c>
      <c r="W38" s="275">
        <f t="shared" si="42"/>
        <v>0.42472727272727273</v>
      </c>
      <c r="X38" s="275">
        <f t="shared" si="42"/>
        <v>0.44363636363636372</v>
      </c>
      <c r="Y38" s="275">
        <f t="shared" si="42"/>
        <v>0.4665454545454546</v>
      </c>
      <c r="Z38" s="275">
        <f t="shared" si="42"/>
        <v>0.47745454545454546</v>
      </c>
      <c r="AA38" s="275">
        <f t="shared" si="42"/>
        <v>0.4963636363636364</v>
      </c>
      <c r="AB38" s="275">
        <f t="shared" si="42"/>
        <v>0.50727272727272732</v>
      </c>
      <c r="AC38" s="275">
        <f t="shared" si="42"/>
        <v>0.54800000000000004</v>
      </c>
      <c r="AD38" s="275">
        <f t="shared" si="42"/>
        <v>0.54909090909090907</v>
      </c>
      <c r="AE38" s="275">
        <f t="shared" si="42"/>
        <v>0.56000000000000005</v>
      </c>
      <c r="AF38" s="284">
        <f t="shared" si="42"/>
        <v>0.47593570124833584</v>
      </c>
    </row>
    <row r="39" spans="1:32" ht="16" x14ac:dyDescent="0.2">
      <c r="A39" s="21" t="s">
        <v>13</v>
      </c>
      <c r="E39" s="266" t="s">
        <v>69</v>
      </c>
      <c r="F39" s="267" t="s">
        <v>64</v>
      </c>
      <c r="G39" s="267"/>
      <c r="H39" s="267"/>
      <c r="I39" s="267"/>
      <c r="J39" s="269">
        <f>J35*J36*J37*J38</f>
        <v>1131</v>
      </c>
      <c r="K39" s="269">
        <f t="shared" ref="K39:O39" si="43">K35*K36*K37*K38</f>
        <v>961</v>
      </c>
      <c r="L39" s="269">
        <f t="shared" si="43"/>
        <v>1242</v>
      </c>
      <c r="M39" s="269">
        <f t="shared" si="43"/>
        <v>1382</v>
      </c>
      <c r="N39" s="269">
        <f t="shared" si="43"/>
        <v>1297</v>
      </c>
      <c r="O39" s="269">
        <f t="shared" si="43"/>
        <v>1392</v>
      </c>
      <c r="P39" s="269">
        <f t="shared" ref="P39" si="44">P35*P36*P37*P38</f>
        <v>1405.9661971733992</v>
      </c>
      <c r="Q39" s="269">
        <f t="shared" ref="Q39" si="45">Q35*Q36*Q37*Q38</f>
        <v>1405.9661971733992</v>
      </c>
      <c r="R39" s="269">
        <f t="shared" ref="R39" si="46">R35*R36*R37*R38</f>
        <v>1405.9661971733992</v>
      </c>
      <c r="S39" s="270">
        <f>SUM(G39:R39)</f>
        <v>11622.898591520196</v>
      </c>
      <c r="T39" s="271">
        <f>SUM(T146,T159)</f>
        <v>12180.52155410609</v>
      </c>
      <c r="U39" s="271">
        <f t="shared" ref="U39:AE39" si="47">SUM(U146,U159)</f>
        <v>11181.97663162016</v>
      </c>
      <c r="V39" s="271">
        <f t="shared" si="47"/>
        <v>13302.541854817526</v>
      </c>
      <c r="W39" s="271">
        <f t="shared" si="47"/>
        <v>14438.381474950016</v>
      </c>
      <c r="X39" s="271">
        <f t="shared" si="47"/>
        <v>15100.326396336706</v>
      </c>
      <c r="Y39" s="271">
        <f t="shared" si="47"/>
        <v>15895.142131626129</v>
      </c>
      <c r="Z39" s="271">
        <f t="shared" si="47"/>
        <v>17203.571962564307</v>
      </c>
      <c r="AA39" s="271">
        <f t="shared" si="47"/>
        <v>17894.427831117417</v>
      </c>
      <c r="AB39" s="271">
        <f t="shared" si="47"/>
        <v>18301.326588292359</v>
      </c>
      <c r="AC39" s="271">
        <f t="shared" si="47"/>
        <v>20877.60395500603</v>
      </c>
      <c r="AD39" s="271">
        <f t="shared" si="47"/>
        <v>20935.756226743353</v>
      </c>
      <c r="AE39" s="271">
        <f t="shared" si="47"/>
        <v>21368.649117503293</v>
      </c>
      <c r="AF39" s="272">
        <f>SUM(T39:AE39)</f>
        <v>198680.22572468335</v>
      </c>
    </row>
    <row r="40" spans="1:32" ht="16" x14ac:dyDescent="0.2">
      <c r="A40" s="21" t="s">
        <v>13</v>
      </c>
      <c r="E40" s="266" t="s">
        <v>44</v>
      </c>
      <c r="F40" s="267" t="s">
        <v>66</v>
      </c>
      <c r="G40" s="267"/>
      <c r="H40" s="267"/>
      <c r="I40" s="267"/>
      <c r="J40" s="326">
        <v>0.80106100795755963</v>
      </c>
      <c r="K40" s="326">
        <v>0.81581685744016652</v>
      </c>
      <c r="L40" s="326">
        <v>0.81723027375201285</v>
      </c>
      <c r="M40" s="277">
        <v>0.84081041968162085</v>
      </c>
      <c r="N40" s="277">
        <v>0.81958365458750959</v>
      </c>
      <c r="O40" s="327">
        <v>0.85416666666666663</v>
      </c>
      <c r="P40" s="275">
        <f>O40</f>
        <v>0.85416666666666663</v>
      </c>
      <c r="Q40" s="275">
        <f t="shared" ref="Q40:R40" si="48">P40</f>
        <v>0.85416666666666663</v>
      </c>
      <c r="R40" s="275">
        <f t="shared" si="48"/>
        <v>0.85416666666666663</v>
      </c>
      <c r="S40" s="283">
        <f>S41/S39</f>
        <v>0.83643407052950058</v>
      </c>
      <c r="T40" s="275">
        <f>T41/T39</f>
        <v>0.85920589089323118</v>
      </c>
      <c r="U40" s="275">
        <f t="shared" ref="U40:AF40" si="49">U41/U39</f>
        <v>0.85936920801002104</v>
      </c>
      <c r="V40" s="275">
        <f t="shared" si="49"/>
        <v>0.8592235224172633</v>
      </c>
      <c r="W40" s="275">
        <f t="shared" si="49"/>
        <v>0.85937338282379416</v>
      </c>
      <c r="X40" s="275">
        <f t="shared" si="49"/>
        <v>0.85932923930111116</v>
      </c>
      <c r="Y40" s="275">
        <f t="shared" si="49"/>
        <v>0.85920198117492474</v>
      </c>
      <c r="Z40" s="275">
        <f t="shared" si="49"/>
        <v>0.85933578406304234</v>
      </c>
      <c r="AA40" s="275">
        <f t="shared" si="49"/>
        <v>0.85929776211277542</v>
      </c>
      <c r="AB40" s="275">
        <f t="shared" si="49"/>
        <v>0.85942164007977384</v>
      </c>
      <c r="AC40" s="275">
        <f t="shared" si="49"/>
        <v>0.85926081244710473</v>
      </c>
      <c r="AD40" s="275">
        <f t="shared" si="49"/>
        <v>0.85927233021226601</v>
      </c>
      <c r="AE40" s="275">
        <f t="shared" si="49"/>
        <v>0.85938503977134262</v>
      </c>
      <c r="AF40" s="284">
        <f t="shared" si="49"/>
        <v>0.85930893277046838</v>
      </c>
    </row>
    <row r="41" spans="1:32" ht="16" x14ac:dyDescent="0.2">
      <c r="A41" s="21" t="s">
        <v>13</v>
      </c>
      <c r="E41" s="266" t="s">
        <v>70</v>
      </c>
      <c r="F41" s="267" t="s">
        <v>64</v>
      </c>
      <c r="G41" s="267"/>
      <c r="H41" s="267"/>
      <c r="I41" s="267"/>
      <c r="J41" s="269">
        <f>J39*J40</f>
        <v>906</v>
      </c>
      <c r="K41" s="269">
        <f t="shared" ref="K41:R41" si="50">K39*K40</f>
        <v>784</v>
      </c>
      <c r="L41" s="269">
        <f t="shared" si="50"/>
        <v>1015</v>
      </c>
      <c r="M41" s="269">
        <f t="shared" si="50"/>
        <v>1162</v>
      </c>
      <c r="N41" s="269">
        <f t="shared" si="50"/>
        <v>1063</v>
      </c>
      <c r="O41" s="269">
        <f t="shared" si="50"/>
        <v>1189</v>
      </c>
      <c r="P41" s="269">
        <f t="shared" si="50"/>
        <v>1200.9294600856117</v>
      </c>
      <c r="Q41" s="269">
        <f t="shared" si="50"/>
        <v>1200.9294600856117</v>
      </c>
      <c r="R41" s="269">
        <f t="shared" si="50"/>
        <v>1200.9294600856117</v>
      </c>
      <c r="S41" s="270">
        <f>SUM(G41:R41)</f>
        <v>9721.7883802568358</v>
      </c>
      <c r="T41" s="271">
        <f>SUM(T148,T161)</f>
        <v>10465.575873439928</v>
      </c>
      <c r="U41" s="271">
        <f t="shared" ref="U41:AE41" si="51">SUM(U148,U161)</f>
        <v>9609.4464019019797</v>
      </c>
      <c r="V41" s="271">
        <f t="shared" si="51"/>
        <v>11429.856869599389</v>
      </c>
      <c r="W41" s="271">
        <f t="shared" si="51"/>
        <v>12407.960730628198</v>
      </c>
      <c r="X41" s="271">
        <f t="shared" si="51"/>
        <v>12976.15199536251</v>
      </c>
      <c r="Y41" s="271">
        <f t="shared" si="51"/>
        <v>13657.137610550188</v>
      </c>
      <c r="Z41" s="271">
        <f t="shared" si="51"/>
        <v>14783.64500113517</v>
      </c>
      <c r="AA41" s="271">
        <f t="shared" si="51"/>
        <v>15376.641789567762</v>
      </c>
      <c r="AB41" s="271">
        <f t="shared" si="51"/>
        <v>15728.55611214579</v>
      </c>
      <c r="AC41" s="271">
        <f t="shared" si="51"/>
        <v>17939.306936327368</v>
      </c>
      <c r="AD41" s="271">
        <f t="shared" si="51"/>
        <v>17989.51603770972</v>
      </c>
      <c r="AE41" s="271">
        <f t="shared" si="51"/>
        <v>18363.897371705432</v>
      </c>
      <c r="AF41" s="272">
        <f>SUM(T41:AE41)</f>
        <v>170727.69273007341</v>
      </c>
    </row>
    <row r="42" spans="1:32" ht="16" x14ac:dyDescent="0.2">
      <c r="A42" s="21" t="s">
        <v>13</v>
      </c>
      <c r="E42" s="266" t="s">
        <v>71</v>
      </c>
      <c r="F42" s="267" t="s">
        <v>66</v>
      </c>
      <c r="G42" s="267"/>
      <c r="H42" s="267"/>
      <c r="I42" s="267"/>
      <c r="J42" s="326">
        <v>1</v>
      </c>
      <c r="K42" s="326">
        <v>1</v>
      </c>
      <c r="L42" s="326">
        <v>1</v>
      </c>
      <c r="M42" s="277">
        <v>1</v>
      </c>
      <c r="N42" s="277">
        <v>1</v>
      </c>
      <c r="O42" s="277">
        <v>1</v>
      </c>
      <c r="P42" s="326">
        <f>O42</f>
        <v>1</v>
      </c>
      <c r="Q42" s="326">
        <f t="shared" ref="Q42:R42" si="52">P42</f>
        <v>1</v>
      </c>
      <c r="R42" s="326">
        <f t="shared" si="52"/>
        <v>1</v>
      </c>
      <c r="S42" s="285">
        <v>1</v>
      </c>
      <c r="T42" s="275">
        <f>T43/T41</f>
        <v>1</v>
      </c>
      <c r="U42" s="275">
        <f t="shared" ref="U42:AF42" si="53">U43/U41</f>
        <v>1</v>
      </c>
      <c r="V42" s="275">
        <f t="shared" si="53"/>
        <v>1</v>
      </c>
      <c r="W42" s="275">
        <f t="shared" si="53"/>
        <v>1</v>
      </c>
      <c r="X42" s="275">
        <f t="shared" si="53"/>
        <v>1</v>
      </c>
      <c r="Y42" s="275">
        <f t="shared" si="53"/>
        <v>1</v>
      </c>
      <c r="Z42" s="275">
        <f t="shared" si="53"/>
        <v>1</v>
      </c>
      <c r="AA42" s="275">
        <f t="shared" si="53"/>
        <v>1</v>
      </c>
      <c r="AB42" s="275">
        <f t="shared" si="53"/>
        <v>1</v>
      </c>
      <c r="AC42" s="275">
        <f t="shared" si="53"/>
        <v>1</v>
      </c>
      <c r="AD42" s="275">
        <f t="shared" si="53"/>
        <v>1</v>
      </c>
      <c r="AE42" s="275">
        <f t="shared" si="53"/>
        <v>1</v>
      </c>
      <c r="AF42" s="286">
        <f t="shared" si="53"/>
        <v>1</v>
      </c>
    </row>
    <row r="43" spans="1:32" ht="16" x14ac:dyDescent="0.2">
      <c r="A43" s="21" t="s">
        <v>13</v>
      </c>
      <c r="E43" s="266" t="s">
        <v>72</v>
      </c>
      <c r="F43" s="267" t="s">
        <v>64</v>
      </c>
      <c r="G43" s="267"/>
      <c r="H43" s="267"/>
      <c r="I43" s="267"/>
      <c r="J43" s="328">
        <f t="shared" ref="J43:O43" si="54">J35*J36*J37*J38*J40*J42</f>
        <v>906</v>
      </c>
      <c r="K43" s="328">
        <f t="shared" si="54"/>
        <v>784</v>
      </c>
      <c r="L43" s="328">
        <f t="shared" si="54"/>
        <v>1015</v>
      </c>
      <c r="M43" s="328">
        <f t="shared" si="54"/>
        <v>1162</v>
      </c>
      <c r="N43" s="328">
        <f t="shared" si="54"/>
        <v>1063</v>
      </c>
      <c r="O43" s="328">
        <f t="shared" si="54"/>
        <v>1189</v>
      </c>
      <c r="P43" s="328">
        <f>P41*P42</f>
        <v>1200.9294600856117</v>
      </c>
      <c r="Q43" s="328">
        <f t="shared" ref="Q43:R43" si="55">Q41*Q42</f>
        <v>1200.9294600856117</v>
      </c>
      <c r="R43" s="328">
        <f t="shared" si="55"/>
        <v>1200.9294600856117</v>
      </c>
      <c r="S43" s="270">
        <f>SUM(G43:R43)</f>
        <v>9721.7883802568358</v>
      </c>
      <c r="T43" s="271">
        <f>SUM(T150,T163)</f>
        <v>10465.575873439928</v>
      </c>
      <c r="U43" s="271">
        <f t="shared" ref="U43:AE43" si="56">SUM(U150,U163)</f>
        <v>9609.4464019019797</v>
      </c>
      <c r="V43" s="271">
        <f t="shared" si="56"/>
        <v>11429.856869599389</v>
      </c>
      <c r="W43" s="271">
        <f t="shared" si="56"/>
        <v>12407.960730628198</v>
      </c>
      <c r="X43" s="271">
        <f t="shared" si="56"/>
        <v>12976.15199536251</v>
      </c>
      <c r="Y43" s="271">
        <f t="shared" si="56"/>
        <v>13657.137610550188</v>
      </c>
      <c r="Z43" s="271">
        <f t="shared" si="56"/>
        <v>14783.64500113517</v>
      </c>
      <c r="AA43" s="271">
        <f t="shared" si="56"/>
        <v>15376.641789567762</v>
      </c>
      <c r="AB43" s="271">
        <f t="shared" si="56"/>
        <v>15728.55611214579</v>
      </c>
      <c r="AC43" s="271">
        <f t="shared" si="56"/>
        <v>17939.306936327368</v>
      </c>
      <c r="AD43" s="271">
        <f t="shared" si="56"/>
        <v>17989.51603770972</v>
      </c>
      <c r="AE43" s="271">
        <f t="shared" si="56"/>
        <v>18363.897371705432</v>
      </c>
      <c r="AF43" s="272">
        <f>SUM(T43:AE43)</f>
        <v>170727.69273007341</v>
      </c>
    </row>
    <row r="44" spans="1:32" ht="16" x14ac:dyDescent="0.2">
      <c r="A44" s="21" t="s">
        <v>13</v>
      </c>
      <c r="E44" s="266" t="s">
        <v>73</v>
      </c>
      <c r="F44" s="267" t="s">
        <v>74</v>
      </c>
      <c r="G44" s="267"/>
      <c r="H44" s="267"/>
      <c r="I44" s="267"/>
      <c r="J44" s="329">
        <f>J45/J43</f>
        <v>20.245474613686536</v>
      </c>
      <c r="K44" s="329">
        <f t="shared" ref="K44:O44" si="57">K45/K43</f>
        <v>20.765752551020409</v>
      </c>
      <c r="L44" s="329">
        <f t="shared" si="57"/>
        <v>20.04748768472906</v>
      </c>
      <c r="M44" s="329">
        <f t="shared" si="57"/>
        <v>22.641179001721085</v>
      </c>
      <c r="N44" s="329">
        <f t="shared" si="57"/>
        <v>23.096519285042326</v>
      </c>
      <c r="O44" s="329">
        <f t="shared" si="57"/>
        <v>30.932422203532383</v>
      </c>
      <c r="P44" s="329">
        <f>O44</f>
        <v>30.932422203532383</v>
      </c>
      <c r="Q44" s="329">
        <f t="shared" ref="Q44:R44" si="58">P44</f>
        <v>30.932422203532383</v>
      </c>
      <c r="R44" s="329">
        <f t="shared" si="58"/>
        <v>30.932422203532383</v>
      </c>
      <c r="S44" s="289">
        <f>S45/S43</f>
        <v>26.132354598874034</v>
      </c>
      <c r="T44" s="290">
        <f>T45/T43</f>
        <v>28.179403692153386</v>
      </c>
      <c r="U44" s="290">
        <f t="shared" ref="U44:AF44" si="59">U45/U43</f>
        <v>28.230547367011692</v>
      </c>
      <c r="V44" s="290">
        <f t="shared" si="59"/>
        <v>28.184926039380112</v>
      </c>
      <c r="W44" s="290">
        <f t="shared" si="59"/>
        <v>28.23185447864979</v>
      </c>
      <c r="X44" s="290">
        <f t="shared" si="59"/>
        <v>28.218032737341073</v>
      </c>
      <c r="Y44" s="290">
        <f t="shared" si="59"/>
        <v>28.17817910355199</v>
      </c>
      <c r="Z44" s="290">
        <f t="shared" si="59"/>
        <v>28.220082051912357</v>
      </c>
      <c r="AA44" s="290">
        <f t="shared" si="59"/>
        <v>28.208176074001905</v>
      </c>
      <c r="AB44" s="290">
        <f t="shared" si="59"/>
        <v>28.246962643005634</v>
      </c>
      <c r="AC44" s="290">
        <f t="shared" si="59"/>
        <v>28.196604855694041</v>
      </c>
      <c r="AD44" s="290">
        <f t="shared" si="59"/>
        <v>28.200211884802666</v>
      </c>
      <c r="AE44" s="290">
        <f t="shared" si="59"/>
        <v>28.23550413871498</v>
      </c>
      <c r="AF44" s="291">
        <f t="shared" si="59"/>
        <v>28.211674099712102</v>
      </c>
    </row>
    <row r="45" spans="1:32" ht="16" x14ac:dyDescent="0.2">
      <c r="A45" s="21" t="s">
        <v>13</v>
      </c>
      <c r="E45" s="292" t="s">
        <v>75</v>
      </c>
      <c r="F45" s="293" t="s">
        <v>74</v>
      </c>
      <c r="G45" s="295"/>
      <c r="H45" s="295"/>
      <c r="I45" s="330"/>
      <c r="J45" s="295">
        <v>18342.400000000001</v>
      </c>
      <c r="K45" s="295">
        <v>16280.35</v>
      </c>
      <c r="L45" s="295">
        <v>20348.199999999997</v>
      </c>
      <c r="M45" s="294">
        <v>26309.049999999901</v>
      </c>
      <c r="N45" s="331">
        <v>24551.599999999991</v>
      </c>
      <c r="O45" s="294">
        <v>36778.65</v>
      </c>
      <c r="P45" s="295">
        <f>P43*P44</f>
        <v>37147.657096028335</v>
      </c>
      <c r="Q45" s="295">
        <f t="shared" ref="Q45:R45" si="60">Q43*Q44</f>
        <v>37147.657096028335</v>
      </c>
      <c r="R45" s="295">
        <f t="shared" si="60"/>
        <v>37147.657096028335</v>
      </c>
      <c r="S45" s="296">
        <f>SUM(G45:R45)</f>
        <v>254053.22128808487</v>
      </c>
      <c r="T45" s="295">
        <f>SUM(T152,T165)</f>
        <v>294913.68740852451</v>
      </c>
      <c r="U45" s="295">
        <f t="shared" ref="U45:AE45" si="61">SUM(U152,U165)</f>
        <v>271279.9318196539</v>
      </c>
      <c r="V45" s="295">
        <f t="shared" si="61"/>
        <v>322149.67051035946</v>
      </c>
      <c r="W45" s="295">
        <f t="shared" si="61"/>
        <v>350299.74172389641</v>
      </c>
      <c r="X45" s="295">
        <f t="shared" si="61"/>
        <v>366161.48180985299</v>
      </c>
      <c r="Y45" s="295">
        <f>SUM(Y152,Y165)</f>
        <v>384833.26963193924</v>
      </c>
      <c r="Z45" s="295">
        <f t="shared" si="61"/>
        <v>417195.67495837843</v>
      </c>
      <c r="AA45" s="295">
        <f t="shared" si="61"/>
        <v>433747.01902698318</v>
      </c>
      <c r="AB45" s="295">
        <f>SUM(AB152,AB165)</f>
        <v>444283.93692820007</v>
      </c>
      <c r="AC45" s="295">
        <f t="shared" si="61"/>
        <v>505827.54906863405</v>
      </c>
      <c r="AD45" s="295">
        <f t="shared" si="61"/>
        <v>507308.16396846983</v>
      </c>
      <c r="AE45" s="295">
        <f t="shared" si="61"/>
        <v>518513.90024172585</v>
      </c>
      <c r="AF45" s="298">
        <f>SUM(T45:AE45)</f>
        <v>4816514.027096618</v>
      </c>
    </row>
    <row r="46" spans="1:32" s="71" customFormat="1" ht="16" x14ac:dyDescent="0.2">
      <c r="E46" s="72"/>
      <c r="F46" s="73"/>
      <c r="G46" s="74"/>
      <c r="H46" s="74"/>
      <c r="I46" s="74"/>
      <c r="J46" s="74"/>
      <c r="K46" s="74"/>
      <c r="L46" s="74"/>
      <c r="M46" s="74"/>
      <c r="N46" s="74"/>
      <c r="O46" s="74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</row>
    <row r="47" spans="1:32" s="71" customFormat="1" ht="16" x14ac:dyDescent="0.2">
      <c r="B47" s="71" t="s">
        <v>78</v>
      </c>
      <c r="E47" s="161" t="s">
        <v>79</v>
      </c>
      <c r="F47" s="76"/>
      <c r="G47" s="77"/>
      <c r="H47" s="77"/>
      <c r="I47" s="77"/>
      <c r="K47" s="74"/>
      <c r="L47" s="74"/>
      <c r="M47" s="74"/>
      <c r="N47" s="74"/>
      <c r="O47" s="74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</row>
    <row r="48" spans="1:32" s="71" customFormat="1" ht="16" x14ac:dyDescent="0.2">
      <c r="E48" s="78" t="s">
        <v>80</v>
      </c>
      <c r="F48" s="77"/>
      <c r="G48" s="162"/>
      <c r="H48" s="21"/>
      <c r="I48" s="77"/>
      <c r="J48" s="77"/>
      <c r="K48" s="77"/>
      <c r="L48" s="77"/>
      <c r="M48" s="74"/>
      <c r="N48" s="74"/>
      <c r="O48" s="74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</row>
    <row r="49" spans="2:32" s="71" customFormat="1" ht="16" x14ac:dyDescent="0.2">
      <c r="E49" s="164" t="s">
        <v>81</v>
      </c>
      <c r="F49" s="163"/>
      <c r="G49" s="163"/>
      <c r="H49" s="21"/>
      <c r="I49" s="163"/>
      <c r="J49" s="163"/>
      <c r="K49" s="163"/>
      <c r="L49" s="163"/>
      <c r="M49" s="102"/>
      <c r="N49" s="102"/>
      <c r="O49" s="102"/>
      <c r="P49" s="102"/>
      <c r="Q49" s="102"/>
      <c r="R49" s="102"/>
      <c r="S49" s="102"/>
      <c r="T49" s="182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8"/>
    </row>
    <row r="50" spans="2:32" s="71" customFormat="1" ht="16" x14ac:dyDescent="0.2">
      <c r="E50" s="101"/>
      <c r="F50" s="101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82"/>
      <c r="U50" s="183"/>
      <c r="V50" s="183"/>
      <c r="W50" s="183"/>
      <c r="X50" s="183"/>
      <c r="Y50" s="183"/>
      <c r="Z50" s="183"/>
      <c r="AA50" s="183"/>
      <c r="AB50" s="183"/>
      <c r="AC50" s="226"/>
      <c r="AD50" s="226"/>
      <c r="AE50" s="226"/>
      <c r="AF50" s="102"/>
    </row>
    <row r="51" spans="2:32" s="71" customFormat="1" ht="16" x14ac:dyDescent="0.2">
      <c r="E51" s="181" t="s">
        <v>82</v>
      </c>
      <c r="F51" s="101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3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</row>
    <row r="52" spans="2:32" s="71" customFormat="1" ht="16" x14ac:dyDescent="0.2">
      <c r="E52" s="101"/>
      <c r="F52" s="101"/>
      <c r="G52" s="102"/>
      <c r="H52" s="102"/>
      <c r="I52" s="102"/>
      <c r="J52" s="102"/>
      <c r="K52" s="102"/>
      <c r="L52" s="102"/>
      <c r="M52" s="102"/>
      <c r="N52" s="102"/>
      <c r="O52" s="102"/>
      <c r="P52" s="189"/>
      <c r="Q52" s="102"/>
      <c r="R52" s="102"/>
      <c r="S52" s="102"/>
      <c r="T52" s="182">
        <v>1.6876278047771847E-3</v>
      </c>
      <c r="U52" s="183">
        <v>-0.10759802677388434</v>
      </c>
      <c r="V52" s="190">
        <v>2.8656999746600356E-3</v>
      </c>
      <c r="W52" s="190">
        <v>5.7507113244044693E-2</v>
      </c>
      <c r="X52" s="190">
        <v>1.269148627664633E-3</v>
      </c>
      <c r="Y52" s="190">
        <v>9.4739860246271861E-4</v>
      </c>
      <c r="Z52" s="190">
        <v>5.7587095737941033E-2</v>
      </c>
      <c r="AA52" s="190">
        <v>5.3264402117052191E-4</v>
      </c>
      <c r="AB52" s="190">
        <v>7.4446869290314738E-4</v>
      </c>
      <c r="AC52" s="190">
        <v>5.5988136200658824E-2</v>
      </c>
      <c r="AD52" s="190">
        <v>7.9310126315185788E-4</v>
      </c>
      <c r="AE52" s="190">
        <v>7.9388129924825288E-4</v>
      </c>
      <c r="AF52" s="102"/>
    </row>
    <row r="53" spans="2:32" s="71" customFormat="1" ht="27" customHeight="1" x14ac:dyDescent="0.2">
      <c r="C53" s="131"/>
      <c r="E53" s="7" t="s">
        <v>83</v>
      </c>
      <c r="F53" s="8"/>
      <c r="G53" s="8">
        <v>45658</v>
      </c>
      <c r="H53" s="8">
        <f t="shared" ref="H53:R53" si="62">EDATE(G53,1)</f>
        <v>45689</v>
      </c>
      <c r="I53" s="8">
        <f t="shared" si="62"/>
        <v>45717</v>
      </c>
      <c r="J53" s="8">
        <f t="shared" si="62"/>
        <v>45748</v>
      </c>
      <c r="K53" s="8">
        <f t="shared" si="62"/>
        <v>45778</v>
      </c>
      <c r="L53" s="8">
        <f t="shared" si="62"/>
        <v>45809</v>
      </c>
      <c r="M53" s="8">
        <f t="shared" si="62"/>
        <v>45839</v>
      </c>
      <c r="N53" s="8">
        <f t="shared" si="62"/>
        <v>45870</v>
      </c>
      <c r="O53" s="8">
        <f t="shared" si="62"/>
        <v>45901</v>
      </c>
      <c r="P53" s="9">
        <f t="shared" si="62"/>
        <v>45931</v>
      </c>
      <c r="Q53" s="9">
        <f t="shared" si="62"/>
        <v>45962</v>
      </c>
      <c r="R53" s="9">
        <f t="shared" si="62"/>
        <v>45992</v>
      </c>
      <c r="S53" s="40" t="s">
        <v>3</v>
      </c>
      <c r="T53" s="9">
        <f>EDATE(R53,1)</f>
        <v>46023</v>
      </c>
      <c r="U53" s="9">
        <f t="shared" ref="U53:AE53" si="63">EDATE(T53,1)</f>
        <v>46054</v>
      </c>
      <c r="V53" s="9">
        <f t="shared" si="63"/>
        <v>46082</v>
      </c>
      <c r="W53" s="9">
        <f t="shared" si="63"/>
        <v>46113</v>
      </c>
      <c r="X53" s="9">
        <f t="shared" si="63"/>
        <v>46143</v>
      </c>
      <c r="Y53" s="9">
        <f t="shared" si="63"/>
        <v>46174</v>
      </c>
      <c r="Z53" s="9">
        <f t="shared" si="63"/>
        <v>46204</v>
      </c>
      <c r="AA53" s="9">
        <f t="shared" si="63"/>
        <v>46235</v>
      </c>
      <c r="AB53" s="9">
        <f t="shared" si="63"/>
        <v>46266</v>
      </c>
      <c r="AC53" s="9">
        <f t="shared" si="63"/>
        <v>46296</v>
      </c>
      <c r="AD53" s="9">
        <f t="shared" si="63"/>
        <v>46327</v>
      </c>
      <c r="AE53" s="9">
        <f t="shared" si="63"/>
        <v>46357</v>
      </c>
      <c r="AF53" s="41" t="s">
        <v>4</v>
      </c>
    </row>
    <row r="54" spans="2:32" s="71" customFormat="1" ht="21.75" customHeight="1" x14ac:dyDescent="0.2">
      <c r="E54" s="144" t="s">
        <v>84</v>
      </c>
      <c r="F54" s="145"/>
      <c r="G54" s="146">
        <f t="shared" ref="G54:O54" si="64">SUM(G22,G35)</f>
        <v>82211</v>
      </c>
      <c r="H54" s="146">
        <f t="shared" si="64"/>
        <v>68741</v>
      </c>
      <c r="I54" s="146">
        <f t="shared" si="64"/>
        <v>89225</v>
      </c>
      <c r="J54" s="146">
        <f t="shared" si="64"/>
        <v>104138</v>
      </c>
      <c r="K54" s="146">
        <f t="shared" si="64"/>
        <v>106864</v>
      </c>
      <c r="L54" s="146">
        <f t="shared" si="64"/>
        <v>118112</v>
      </c>
      <c r="M54" s="146">
        <f t="shared" si="64"/>
        <v>143445</v>
      </c>
      <c r="N54" s="146">
        <f t="shared" si="64"/>
        <v>149102</v>
      </c>
      <c r="O54" s="146">
        <f t="shared" si="64"/>
        <v>158948</v>
      </c>
      <c r="P54" s="147">
        <v>160000</v>
      </c>
      <c r="Q54" s="147">
        <v>160000</v>
      </c>
      <c r="R54" s="147">
        <v>160000</v>
      </c>
      <c r="S54" s="148">
        <f>SUM(G54:R54)</f>
        <v>1500786</v>
      </c>
      <c r="T54" s="149">
        <f>R54*(1+T52)</f>
        <v>160270.02044876435</v>
      </c>
      <c r="U54" s="149">
        <f>T54*(1+U52)</f>
        <v>143025.28249746721</v>
      </c>
      <c r="V54" s="149">
        <f>T54*(1+V52)</f>
        <v>160729.30624230317</v>
      </c>
      <c r="W54" s="149">
        <f t="shared" ref="W54:AE54" si="65">V54*(1+W52)</f>
        <v>169972.38465801606</v>
      </c>
      <c r="X54" s="149">
        <f t="shared" si="65"/>
        <v>170188.10487674567</v>
      </c>
      <c r="Y54" s="149">
        <f t="shared" si="65"/>
        <v>170349.34084946165</v>
      </c>
      <c r="Z54" s="149">
        <f t="shared" si="65"/>
        <v>180159.26464985474</v>
      </c>
      <c r="AA54" s="149">
        <f t="shared" si="65"/>
        <v>180255.22540502896</v>
      </c>
      <c r="AB54" s="149">
        <f t="shared" si="65"/>
        <v>180389.41977707524</v>
      </c>
      <c r="AC54" s="149">
        <f t="shared" si="65"/>
        <v>190489.08718071197</v>
      </c>
      <c r="AD54" s="149">
        <f t="shared" si="65"/>
        <v>190640.16431637164</v>
      </c>
      <c r="AE54" s="149">
        <f t="shared" si="65"/>
        <v>190791.50997770802</v>
      </c>
      <c r="AF54" s="150">
        <f>SUM(T54:AE54)</f>
        <v>2087259.110879509</v>
      </c>
    </row>
    <row r="55" spans="2:32" s="71" customFormat="1" ht="16" x14ac:dyDescent="0.2">
      <c r="E55" s="93" t="s">
        <v>29</v>
      </c>
      <c r="F55" s="82"/>
      <c r="G55" s="106">
        <f t="shared" ref="G55:O55" si="66">G22/SUM(G22,G35)</f>
        <v>1</v>
      </c>
      <c r="H55" s="106">
        <f t="shared" si="66"/>
        <v>1</v>
      </c>
      <c r="I55" s="106">
        <f t="shared" si="66"/>
        <v>1</v>
      </c>
      <c r="J55" s="106">
        <f t="shared" si="66"/>
        <v>0.98576888359676584</v>
      </c>
      <c r="K55" s="106">
        <f t="shared" si="66"/>
        <v>0.98728290163198085</v>
      </c>
      <c r="L55" s="106">
        <f t="shared" si="66"/>
        <v>0.98244886209699267</v>
      </c>
      <c r="M55" s="106">
        <f t="shared" si="66"/>
        <v>0.98572275088012828</v>
      </c>
      <c r="N55" s="106">
        <f t="shared" si="66"/>
        <v>0.9880082091454172</v>
      </c>
      <c r="O55" s="106">
        <f t="shared" si="66"/>
        <v>0.98976394795782263</v>
      </c>
      <c r="P55" s="100">
        <v>0.98972922502334271</v>
      </c>
      <c r="Q55" s="100">
        <v>0.98972922502334271</v>
      </c>
      <c r="R55" s="100">
        <v>0.98972922502334271</v>
      </c>
      <c r="S55" s="117"/>
      <c r="T55" s="107">
        <v>0.8</v>
      </c>
      <c r="U55" s="107">
        <v>0.8</v>
      </c>
      <c r="V55" s="107">
        <v>0.8</v>
      </c>
      <c r="W55" s="107">
        <v>0.8</v>
      </c>
      <c r="X55" s="107">
        <v>0.8</v>
      </c>
      <c r="Y55" s="107">
        <v>0.8</v>
      </c>
      <c r="Z55" s="107">
        <v>0.8</v>
      </c>
      <c r="AA55" s="107">
        <v>0.8</v>
      </c>
      <c r="AB55" s="107">
        <v>0.8</v>
      </c>
      <c r="AC55" s="107">
        <v>0.8</v>
      </c>
      <c r="AD55" s="107">
        <v>0.8</v>
      </c>
      <c r="AE55" s="107">
        <v>0.8</v>
      </c>
      <c r="AF55" s="124"/>
    </row>
    <row r="56" spans="2:32" s="71" customFormat="1" ht="16" x14ac:dyDescent="0.2">
      <c r="E56" s="93" t="s">
        <v>85</v>
      </c>
      <c r="F56" s="82"/>
      <c r="G56" s="106">
        <f>1-G55</f>
        <v>0</v>
      </c>
      <c r="H56" s="106">
        <f t="shared" ref="H56:O56" si="67">1-H55</f>
        <v>0</v>
      </c>
      <c r="I56" s="106">
        <f t="shared" si="67"/>
        <v>0</v>
      </c>
      <c r="J56" s="106">
        <f t="shared" si="67"/>
        <v>1.4231116403234156E-2</v>
      </c>
      <c r="K56" s="106">
        <f t="shared" si="67"/>
        <v>1.2717098368019153E-2</v>
      </c>
      <c r="L56" s="106">
        <f t="shared" si="67"/>
        <v>1.755113790300733E-2</v>
      </c>
      <c r="M56" s="106">
        <f t="shared" si="67"/>
        <v>1.4277249119871716E-2</v>
      </c>
      <c r="N56" s="106">
        <f t="shared" si="67"/>
        <v>1.1991790854582796E-2</v>
      </c>
      <c r="O56" s="106">
        <f t="shared" si="67"/>
        <v>1.0236052042177368E-2</v>
      </c>
      <c r="P56" s="100">
        <v>1.027077497665733E-2</v>
      </c>
      <c r="Q56" s="100">
        <v>1.027077497665733E-2</v>
      </c>
      <c r="R56" s="100">
        <v>1.027077497665733E-2</v>
      </c>
      <c r="S56" s="117"/>
      <c r="T56" s="106">
        <f t="shared" ref="T56" si="68">1-T55</f>
        <v>0.19999999999999996</v>
      </c>
      <c r="U56" s="106">
        <f t="shared" ref="U56" si="69">1-U55</f>
        <v>0.19999999999999996</v>
      </c>
      <c r="V56" s="106">
        <f t="shared" ref="V56" si="70">1-V55</f>
        <v>0.19999999999999996</v>
      </c>
      <c r="W56" s="106">
        <f t="shared" ref="W56" si="71">1-W55</f>
        <v>0.19999999999999996</v>
      </c>
      <c r="X56" s="106">
        <f t="shared" ref="X56" si="72">1-X55</f>
        <v>0.19999999999999996</v>
      </c>
      <c r="Y56" s="106">
        <f t="shared" ref="Y56" si="73">1-Y55</f>
        <v>0.19999999999999996</v>
      </c>
      <c r="Z56" s="106">
        <f t="shared" ref="Z56" si="74">1-Z55</f>
        <v>0.19999999999999996</v>
      </c>
      <c r="AA56" s="106">
        <f t="shared" ref="AA56" si="75">1-AA55</f>
        <v>0.19999999999999996</v>
      </c>
      <c r="AB56" s="106">
        <f t="shared" ref="AB56" si="76">1-AB55</f>
        <v>0.19999999999999996</v>
      </c>
      <c r="AC56" s="106">
        <f t="shared" ref="AC56" si="77">1-AC55</f>
        <v>0.19999999999999996</v>
      </c>
      <c r="AD56" s="106">
        <f t="shared" ref="AD56" si="78">1-AD55</f>
        <v>0.19999999999999996</v>
      </c>
      <c r="AE56" s="106">
        <f t="shared" ref="AE56" si="79">1-AE55</f>
        <v>0.19999999999999996</v>
      </c>
      <c r="AF56" s="124"/>
    </row>
    <row r="57" spans="2:32" s="71" customFormat="1" ht="16" x14ac:dyDescent="0.2">
      <c r="E57" s="94" t="s">
        <v>86</v>
      </c>
      <c r="F57" s="85"/>
      <c r="G57" s="86">
        <f t="shared" ref="G57:R57" si="80">G54*G55</f>
        <v>82211</v>
      </c>
      <c r="H57" s="86">
        <f t="shared" si="80"/>
        <v>68741</v>
      </c>
      <c r="I57" s="86">
        <f t="shared" si="80"/>
        <v>89225</v>
      </c>
      <c r="J57" s="86">
        <f t="shared" si="80"/>
        <v>102656</v>
      </c>
      <c r="K57" s="86">
        <f t="shared" si="80"/>
        <v>105505</v>
      </c>
      <c r="L57" s="86">
        <f t="shared" si="80"/>
        <v>116039</v>
      </c>
      <c r="M57" s="86">
        <f t="shared" si="80"/>
        <v>141397</v>
      </c>
      <c r="N57" s="86">
        <f t="shared" si="80"/>
        <v>147314</v>
      </c>
      <c r="O57" s="86">
        <f t="shared" si="80"/>
        <v>157321</v>
      </c>
      <c r="P57" s="86">
        <f t="shared" si="80"/>
        <v>158356.67600373484</v>
      </c>
      <c r="Q57" s="86">
        <f t="shared" si="80"/>
        <v>158356.67600373484</v>
      </c>
      <c r="R57" s="86">
        <f t="shared" si="80"/>
        <v>158356.67600373484</v>
      </c>
      <c r="S57" s="118">
        <f>SUM(G57:R57)</f>
        <v>1485479.0280112044</v>
      </c>
      <c r="T57" s="86">
        <f>T54*T55</f>
        <v>128216.01635901148</v>
      </c>
      <c r="U57" s="86">
        <f t="shared" ref="U57:AE57" si="81">U54*U55</f>
        <v>114420.22599797377</v>
      </c>
      <c r="V57" s="86">
        <f t="shared" si="81"/>
        <v>128583.44499384254</v>
      </c>
      <c r="W57" s="86">
        <f t="shared" si="81"/>
        <v>135977.90772641284</v>
      </c>
      <c r="X57" s="86">
        <f t="shared" si="81"/>
        <v>136150.48390139654</v>
      </c>
      <c r="Y57" s="86">
        <f t="shared" si="81"/>
        <v>136279.47267956933</v>
      </c>
      <c r="Z57" s="86">
        <f t="shared" si="81"/>
        <v>144127.41171988379</v>
      </c>
      <c r="AA57" s="86">
        <f t="shared" si="81"/>
        <v>144204.18032402318</v>
      </c>
      <c r="AB57" s="86">
        <f t="shared" si="81"/>
        <v>144311.53582166019</v>
      </c>
      <c r="AC57" s="86">
        <f t="shared" si="81"/>
        <v>152391.26974456958</v>
      </c>
      <c r="AD57" s="86">
        <f t="shared" si="81"/>
        <v>152512.1314530973</v>
      </c>
      <c r="AE57" s="86">
        <f t="shared" si="81"/>
        <v>152633.20798216641</v>
      </c>
      <c r="AF57" s="125">
        <f>SUM(T57:AE57)</f>
        <v>1669807.2887036069</v>
      </c>
    </row>
    <row r="58" spans="2:32" s="71" customFormat="1" ht="16" x14ac:dyDescent="0.2">
      <c r="E58" s="94" t="s">
        <v>87</v>
      </c>
      <c r="F58" s="85"/>
      <c r="G58" s="86">
        <f t="shared" ref="G58:R58" si="82">G54*G56</f>
        <v>0</v>
      </c>
      <c r="H58" s="86">
        <f t="shared" si="82"/>
        <v>0</v>
      </c>
      <c r="I58" s="86">
        <f t="shared" si="82"/>
        <v>0</v>
      </c>
      <c r="J58" s="86">
        <f t="shared" si="82"/>
        <v>1481.9999999999986</v>
      </c>
      <c r="K58" s="86">
        <f t="shared" si="82"/>
        <v>1358.9999999999989</v>
      </c>
      <c r="L58" s="86">
        <f t="shared" si="82"/>
        <v>2073.0000000000018</v>
      </c>
      <c r="M58" s="86">
        <f t="shared" si="82"/>
        <v>2047.9999999999982</v>
      </c>
      <c r="N58" s="86">
        <f t="shared" si="82"/>
        <v>1788.0000000000041</v>
      </c>
      <c r="O58" s="86">
        <f t="shared" si="82"/>
        <v>1627.0000000000084</v>
      </c>
      <c r="P58" s="86">
        <f t="shared" si="82"/>
        <v>1643.3239962651728</v>
      </c>
      <c r="Q58" s="86">
        <f t="shared" si="82"/>
        <v>1643.3239962651728</v>
      </c>
      <c r="R58" s="86">
        <f t="shared" si="82"/>
        <v>1643.3239962651728</v>
      </c>
      <c r="S58" s="118">
        <f>SUM(G58:R58)</f>
        <v>15306.971988795531</v>
      </c>
      <c r="T58" s="86">
        <f t="shared" ref="T58:AE58" si="83">T54*T56</f>
        <v>32054.004089752863</v>
      </c>
      <c r="U58" s="86">
        <f t="shared" si="83"/>
        <v>28605.056499493436</v>
      </c>
      <c r="V58" s="86">
        <f t="shared" si="83"/>
        <v>32145.861248460627</v>
      </c>
      <c r="W58" s="86">
        <f t="shared" si="83"/>
        <v>33994.476931603203</v>
      </c>
      <c r="X58" s="86">
        <f t="shared" si="83"/>
        <v>34037.620975349128</v>
      </c>
      <c r="Y58" s="86">
        <f t="shared" si="83"/>
        <v>34069.868169892325</v>
      </c>
      <c r="Z58" s="86">
        <f t="shared" si="83"/>
        <v>36031.852929970941</v>
      </c>
      <c r="AA58" s="86">
        <f t="shared" si="83"/>
        <v>36051.045081005781</v>
      </c>
      <c r="AB58" s="86">
        <f t="shared" si="83"/>
        <v>36077.88395541504</v>
      </c>
      <c r="AC58" s="86">
        <f t="shared" si="83"/>
        <v>38097.817436142388</v>
      </c>
      <c r="AD58" s="86">
        <f t="shared" si="83"/>
        <v>38128.032863274319</v>
      </c>
      <c r="AE58" s="86">
        <f t="shared" si="83"/>
        <v>38158.301995541595</v>
      </c>
      <c r="AF58" s="125">
        <f>SUM(T58:AE58)</f>
        <v>417451.82217590167</v>
      </c>
    </row>
    <row r="59" spans="2:32" s="71" customFormat="1" ht="16" x14ac:dyDescent="0.2">
      <c r="E59" s="105"/>
      <c r="F59" s="132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4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5"/>
    </row>
    <row r="60" spans="2:32" s="71" customFormat="1" ht="16" x14ac:dyDescent="0.2">
      <c r="E60" s="143"/>
      <c r="F60" s="138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40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41"/>
    </row>
    <row r="61" spans="2:32" s="71" customFormat="1" ht="16" x14ac:dyDescent="0.2">
      <c r="E61" s="142"/>
      <c r="F61" s="79"/>
      <c r="G61" s="80"/>
      <c r="H61" s="80"/>
      <c r="I61" s="80"/>
      <c r="J61" s="80"/>
      <c r="K61" s="80"/>
      <c r="L61" s="80"/>
      <c r="M61" s="80"/>
      <c r="N61" s="80"/>
      <c r="O61" s="80"/>
      <c r="P61" s="81"/>
      <c r="Q61" s="81"/>
      <c r="R61" s="81"/>
      <c r="S61" s="136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137"/>
    </row>
    <row r="62" spans="2:32" s="71" customFormat="1" ht="16" x14ac:dyDescent="0.2">
      <c r="E62" s="151" t="s">
        <v>84</v>
      </c>
      <c r="F62" s="152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4"/>
      <c r="T62" s="153">
        <f>T54</f>
        <v>160270.02044876435</v>
      </c>
      <c r="U62" s="153">
        <f t="shared" ref="U62:AE62" si="84">U54</f>
        <v>143025.28249746721</v>
      </c>
      <c r="V62" s="153">
        <f t="shared" si="84"/>
        <v>160729.30624230317</v>
      </c>
      <c r="W62" s="153">
        <f t="shared" si="84"/>
        <v>169972.38465801606</v>
      </c>
      <c r="X62" s="153">
        <f t="shared" si="84"/>
        <v>170188.10487674567</v>
      </c>
      <c r="Y62" s="153">
        <f t="shared" si="84"/>
        <v>170349.34084946165</v>
      </c>
      <c r="Z62" s="153">
        <f t="shared" si="84"/>
        <v>180159.26464985474</v>
      </c>
      <c r="AA62" s="153">
        <f t="shared" si="84"/>
        <v>180255.22540502896</v>
      </c>
      <c r="AB62" s="153">
        <f t="shared" si="84"/>
        <v>180389.41977707524</v>
      </c>
      <c r="AC62" s="153">
        <f t="shared" si="84"/>
        <v>190489.08718071197</v>
      </c>
      <c r="AD62" s="153">
        <f t="shared" si="84"/>
        <v>190640.16431637164</v>
      </c>
      <c r="AE62" s="153">
        <f t="shared" si="84"/>
        <v>190791.50997770802</v>
      </c>
      <c r="AF62" s="155">
        <f>SUM(T62:AE62)</f>
        <v>2087259.110879509</v>
      </c>
    </row>
    <row r="63" spans="2:32" s="71" customFormat="1" ht="16" x14ac:dyDescent="0.2">
      <c r="B63" s="71" t="s">
        <v>88</v>
      </c>
      <c r="E63" s="93" t="s">
        <v>89</v>
      </c>
      <c r="F63" s="88"/>
      <c r="G63" s="99"/>
      <c r="H63" s="99"/>
      <c r="I63" s="99"/>
      <c r="J63" s="99"/>
      <c r="K63" s="99"/>
      <c r="L63" s="99"/>
      <c r="M63" s="99"/>
      <c r="N63" s="99"/>
      <c r="O63" s="99"/>
      <c r="P63" s="92"/>
      <c r="Q63" s="92"/>
      <c r="R63" s="92"/>
      <c r="S63" s="122"/>
      <c r="T63" s="99">
        <f t="shared" ref="T63:AE63" si="85">SUM(T69,T75)/T$62</f>
        <v>0.72</v>
      </c>
      <c r="U63" s="99">
        <f t="shared" si="85"/>
        <v>0.72</v>
      </c>
      <c r="V63" s="99">
        <f t="shared" si="85"/>
        <v>0.72000000000000008</v>
      </c>
      <c r="W63" s="99">
        <f t="shared" si="85"/>
        <v>0.72</v>
      </c>
      <c r="X63" s="99">
        <f t="shared" si="85"/>
        <v>0.72000000000000008</v>
      </c>
      <c r="Y63" s="99">
        <f t="shared" si="85"/>
        <v>0.72000000000000008</v>
      </c>
      <c r="Z63" s="99">
        <f t="shared" si="85"/>
        <v>0.72000000000000008</v>
      </c>
      <c r="AA63" s="99">
        <f t="shared" si="85"/>
        <v>0.72000000000000008</v>
      </c>
      <c r="AB63" s="99">
        <f t="shared" si="85"/>
        <v>0.72000000000000008</v>
      </c>
      <c r="AC63" s="99">
        <f t="shared" si="85"/>
        <v>0.72</v>
      </c>
      <c r="AD63" s="99">
        <f t="shared" si="85"/>
        <v>0.72000000000000008</v>
      </c>
      <c r="AE63" s="99">
        <f t="shared" si="85"/>
        <v>0.72000000000000008</v>
      </c>
      <c r="AF63" s="128"/>
    </row>
    <row r="64" spans="2:32" s="71" customFormat="1" ht="16" x14ac:dyDescent="0.2">
      <c r="E64" s="93" t="s">
        <v>90</v>
      </c>
      <c r="F64" s="88"/>
      <c r="G64" s="99"/>
      <c r="H64" s="99"/>
      <c r="I64" s="99"/>
      <c r="J64" s="99"/>
      <c r="K64" s="99"/>
      <c r="L64" s="99"/>
      <c r="M64" s="99"/>
      <c r="N64" s="99"/>
      <c r="O64" s="99"/>
      <c r="P64" s="92"/>
      <c r="Q64" s="92"/>
      <c r="R64" s="92"/>
      <c r="S64" s="122"/>
      <c r="T64" s="99">
        <f t="shared" ref="T64:AE64" si="86">SUM(T70,T76)/T$62</f>
        <v>0.27999999999999992</v>
      </c>
      <c r="U64" s="99">
        <f t="shared" si="86"/>
        <v>0.27999999999999992</v>
      </c>
      <c r="V64" s="99">
        <f t="shared" si="86"/>
        <v>0.27999999999999992</v>
      </c>
      <c r="W64" s="99">
        <f t="shared" si="86"/>
        <v>0.27999999999999992</v>
      </c>
      <c r="X64" s="99">
        <f t="shared" si="86"/>
        <v>0.27999999999999997</v>
      </c>
      <c r="Y64" s="99">
        <f t="shared" si="86"/>
        <v>0.27999999999999997</v>
      </c>
      <c r="Z64" s="99">
        <f t="shared" si="86"/>
        <v>0.27999999999999992</v>
      </c>
      <c r="AA64" s="99">
        <f t="shared" si="86"/>
        <v>0.27999999999999992</v>
      </c>
      <c r="AB64" s="99">
        <f t="shared" si="86"/>
        <v>0.27999999999999992</v>
      </c>
      <c r="AC64" s="99">
        <f t="shared" si="86"/>
        <v>0.27999999999999997</v>
      </c>
      <c r="AD64" s="99">
        <f t="shared" si="86"/>
        <v>0.27999999999999992</v>
      </c>
      <c r="AE64" s="99">
        <f t="shared" si="86"/>
        <v>0.27999999999999992</v>
      </c>
      <c r="AF64" s="128"/>
    </row>
    <row r="65" spans="2:32" s="71" customFormat="1" ht="16" x14ac:dyDescent="0.2">
      <c r="E65" s="95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7"/>
      <c r="Q65" s="87"/>
      <c r="R65" s="87"/>
      <c r="S65" s="118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125"/>
    </row>
    <row r="66" spans="2:32" s="71" customFormat="1" ht="16" x14ac:dyDescent="0.2">
      <c r="E66" s="151" t="s">
        <v>86</v>
      </c>
      <c r="F66" s="156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4"/>
      <c r="T66" s="157">
        <f>T57</f>
        <v>128216.01635901148</v>
      </c>
      <c r="U66" s="157">
        <f t="shared" ref="U66:AE66" si="87">U57</f>
        <v>114420.22599797377</v>
      </c>
      <c r="V66" s="157">
        <f t="shared" si="87"/>
        <v>128583.44499384254</v>
      </c>
      <c r="W66" s="157">
        <f t="shared" si="87"/>
        <v>135977.90772641284</v>
      </c>
      <c r="X66" s="157">
        <f t="shared" si="87"/>
        <v>136150.48390139654</v>
      </c>
      <c r="Y66" s="157">
        <f t="shared" si="87"/>
        <v>136279.47267956933</v>
      </c>
      <c r="Z66" s="157">
        <f t="shared" si="87"/>
        <v>144127.41171988379</v>
      </c>
      <c r="AA66" s="157">
        <f t="shared" si="87"/>
        <v>144204.18032402318</v>
      </c>
      <c r="AB66" s="157">
        <f t="shared" si="87"/>
        <v>144311.53582166019</v>
      </c>
      <c r="AC66" s="157">
        <f t="shared" si="87"/>
        <v>152391.26974456958</v>
      </c>
      <c r="AD66" s="157">
        <f t="shared" si="87"/>
        <v>152512.1314530973</v>
      </c>
      <c r="AE66" s="157">
        <f t="shared" si="87"/>
        <v>152633.20798216641</v>
      </c>
      <c r="AF66" s="155">
        <f>SUM(T66:AE66)</f>
        <v>1669807.2887036069</v>
      </c>
    </row>
    <row r="67" spans="2:32" s="71" customFormat="1" ht="16" x14ac:dyDescent="0.2">
      <c r="B67" s="71" t="s">
        <v>91</v>
      </c>
      <c r="E67" s="93" t="s">
        <v>89</v>
      </c>
      <c r="F67" s="82"/>
      <c r="G67" s="83"/>
      <c r="H67" s="83"/>
      <c r="I67" s="83"/>
      <c r="J67" s="106"/>
      <c r="K67" s="106"/>
      <c r="L67" s="106"/>
      <c r="M67" s="106"/>
      <c r="N67" s="106"/>
      <c r="O67" s="106"/>
      <c r="P67" s="84"/>
      <c r="Q67" s="84"/>
      <c r="R67" s="84"/>
      <c r="S67" s="117"/>
      <c r="T67" s="107">
        <v>0.8</v>
      </c>
      <c r="U67" s="107">
        <v>0.8</v>
      </c>
      <c r="V67" s="107">
        <v>0.8</v>
      </c>
      <c r="W67" s="107">
        <v>0.8</v>
      </c>
      <c r="X67" s="107">
        <v>0.8</v>
      </c>
      <c r="Y67" s="107">
        <v>0.8</v>
      </c>
      <c r="Z67" s="107">
        <v>0.8</v>
      </c>
      <c r="AA67" s="107">
        <v>0.8</v>
      </c>
      <c r="AB67" s="107">
        <v>0.8</v>
      </c>
      <c r="AC67" s="107">
        <v>0.8</v>
      </c>
      <c r="AD67" s="107">
        <v>0.8</v>
      </c>
      <c r="AE67" s="107">
        <v>0.8</v>
      </c>
      <c r="AF67" s="124"/>
    </row>
    <row r="68" spans="2:32" s="71" customFormat="1" ht="16" x14ac:dyDescent="0.2">
      <c r="E68" s="93" t="s">
        <v>90</v>
      </c>
      <c r="F68" s="82"/>
      <c r="G68" s="83"/>
      <c r="H68" s="83"/>
      <c r="I68" s="83"/>
      <c r="J68" s="106"/>
      <c r="K68" s="106"/>
      <c r="L68" s="106"/>
      <c r="M68" s="106"/>
      <c r="N68" s="106"/>
      <c r="O68" s="106"/>
      <c r="P68" s="84"/>
      <c r="Q68" s="84"/>
      <c r="R68" s="84"/>
      <c r="S68" s="117"/>
      <c r="T68" s="106">
        <f>1-T67</f>
        <v>0.19999999999999996</v>
      </c>
      <c r="U68" s="106">
        <f t="shared" ref="U68:AE68" si="88">1-U67</f>
        <v>0.19999999999999996</v>
      </c>
      <c r="V68" s="106">
        <f t="shared" si="88"/>
        <v>0.19999999999999996</v>
      </c>
      <c r="W68" s="106">
        <f t="shared" si="88"/>
        <v>0.19999999999999996</v>
      </c>
      <c r="X68" s="106">
        <f t="shared" si="88"/>
        <v>0.19999999999999996</v>
      </c>
      <c r="Y68" s="106">
        <f t="shared" si="88"/>
        <v>0.19999999999999996</v>
      </c>
      <c r="Z68" s="106">
        <f t="shared" si="88"/>
        <v>0.19999999999999996</v>
      </c>
      <c r="AA68" s="106">
        <f t="shared" si="88"/>
        <v>0.19999999999999996</v>
      </c>
      <c r="AB68" s="106">
        <f t="shared" si="88"/>
        <v>0.19999999999999996</v>
      </c>
      <c r="AC68" s="106">
        <f t="shared" si="88"/>
        <v>0.19999999999999996</v>
      </c>
      <c r="AD68" s="106">
        <f t="shared" si="88"/>
        <v>0.19999999999999996</v>
      </c>
      <c r="AE68" s="106">
        <f t="shared" si="88"/>
        <v>0.19999999999999996</v>
      </c>
      <c r="AF68" s="124"/>
    </row>
    <row r="69" spans="2:32" s="71" customFormat="1" ht="16" x14ac:dyDescent="0.2">
      <c r="E69" s="95" t="s">
        <v>92</v>
      </c>
      <c r="F69" s="85"/>
      <c r="G69" s="86"/>
      <c r="H69" s="86"/>
      <c r="I69" s="86"/>
      <c r="J69" s="86"/>
      <c r="K69" s="86"/>
      <c r="L69" s="86"/>
      <c r="M69" s="86"/>
      <c r="N69" s="86"/>
      <c r="O69" s="86"/>
      <c r="P69" s="87"/>
      <c r="Q69" s="87"/>
      <c r="R69" s="87"/>
      <c r="S69" s="118"/>
      <c r="T69" s="86">
        <f t="shared" ref="T69:AE69" si="89">T$66*T67</f>
        <v>102572.81308720919</v>
      </c>
      <c r="U69" s="86">
        <f t="shared" si="89"/>
        <v>91536.18079837902</v>
      </c>
      <c r="V69" s="86">
        <f t="shared" si="89"/>
        <v>102866.75599507404</v>
      </c>
      <c r="W69" s="86">
        <f t="shared" si="89"/>
        <v>108782.32618113028</v>
      </c>
      <c r="X69" s="86">
        <f t="shared" si="89"/>
        <v>108920.38712111724</v>
      </c>
      <c r="Y69" s="86">
        <f t="shared" si="89"/>
        <v>109023.57814365547</v>
      </c>
      <c r="Z69" s="86">
        <f t="shared" si="89"/>
        <v>115301.92937590704</v>
      </c>
      <c r="AA69" s="86">
        <f t="shared" si="89"/>
        <v>115363.34425921855</v>
      </c>
      <c r="AB69" s="86">
        <f t="shared" si="89"/>
        <v>115449.22865732816</v>
      </c>
      <c r="AC69" s="86">
        <f t="shared" si="89"/>
        <v>121913.01579565566</v>
      </c>
      <c r="AD69" s="86">
        <f t="shared" si="89"/>
        <v>122009.70516247785</v>
      </c>
      <c r="AE69" s="86">
        <f t="shared" si="89"/>
        <v>122106.56638573314</v>
      </c>
      <c r="AF69" s="125">
        <f>SUM(T69:AE69)</f>
        <v>1335845.8309628856</v>
      </c>
    </row>
    <row r="70" spans="2:32" s="71" customFormat="1" ht="16" x14ac:dyDescent="0.2">
      <c r="E70" s="95" t="s">
        <v>93</v>
      </c>
      <c r="F70" s="85"/>
      <c r="G70" s="86"/>
      <c r="H70" s="86"/>
      <c r="I70" s="86"/>
      <c r="J70" s="86"/>
      <c r="K70" s="86"/>
      <c r="L70" s="86"/>
      <c r="M70" s="86"/>
      <c r="N70" s="86"/>
      <c r="O70" s="86"/>
      <c r="P70" s="87"/>
      <c r="Q70" s="87"/>
      <c r="R70" s="87"/>
      <c r="S70" s="118"/>
      <c r="T70" s="86">
        <f t="shared" ref="T70:AE70" si="90">T$66*T68</f>
        <v>25643.203271802289</v>
      </c>
      <c r="U70" s="86">
        <f t="shared" si="90"/>
        <v>22884.045199594748</v>
      </c>
      <c r="V70" s="86">
        <f t="shared" si="90"/>
        <v>25716.688998768503</v>
      </c>
      <c r="W70" s="86">
        <f t="shared" si="90"/>
        <v>27195.581545282563</v>
      </c>
      <c r="X70" s="86">
        <f t="shared" si="90"/>
        <v>27230.096780279302</v>
      </c>
      <c r="Y70" s="86">
        <f t="shared" si="90"/>
        <v>27255.89453591386</v>
      </c>
      <c r="Z70" s="86">
        <f t="shared" si="90"/>
        <v>28825.482343976753</v>
      </c>
      <c r="AA70" s="86">
        <f t="shared" si="90"/>
        <v>28840.836064804629</v>
      </c>
      <c r="AB70" s="86">
        <f t="shared" si="90"/>
        <v>28862.307164332033</v>
      </c>
      <c r="AC70" s="86">
        <f t="shared" si="90"/>
        <v>30478.253948913909</v>
      </c>
      <c r="AD70" s="86">
        <f t="shared" si="90"/>
        <v>30502.426290619453</v>
      </c>
      <c r="AE70" s="86">
        <f t="shared" si="90"/>
        <v>30526.641596433274</v>
      </c>
      <c r="AF70" s="125">
        <f>SUM(T70:AE70)</f>
        <v>333961.45774072135</v>
      </c>
    </row>
    <row r="71" spans="2:32" s="71" customFormat="1" ht="16" x14ac:dyDescent="0.2">
      <c r="E71" s="94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119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126"/>
    </row>
    <row r="72" spans="2:32" s="71" customFormat="1" ht="16" x14ac:dyDescent="0.2">
      <c r="E72" s="151" t="s">
        <v>94</v>
      </c>
      <c r="F72" s="152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4"/>
      <c r="T72" s="158">
        <f t="shared" ref="T72:AE72" si="91">T58</f>
        <v>32054.004089752863</v>
      </c>
      <c r="U72" s="158">
        <f t="shared" si="91"/>
        <v>28605.056499493436</v>
      </c>
      <c r="V72" s="158">
        <f t="shared" si="91"/>
        <v>32145.861248460627</v>
      </c>
      <c r="W72" s="158">
        <f t="shared" si="91"/>
        <v>33994.476931603203</v>
      </c>
      <c r="X72" s="158">
        <f t="shared" si="91"/>
        <v>34037.620975349128</v>
      </c>
      <c r="Y72" s="158">
        <f t="shared" si="91"/>
        <v>34069.868169892325</v>
      </c>
      <c r="Z72" s="158">
        <f t="shared" si="91"/>
        <v>36031.852929970941</v>
      </c>
      <c r="AA72" s="158">
        <f t="shared" si="91"/>
        <v>36051.045081005781</v>
      </c>
      <c r="AB72" s="158">
        <f t="shared" si="91"/>
        <v>36077.88395541504</v>
      </c>
      <c r="AC72" s="158">
        <f t="shared" si="91"/>
        <v>38097.817436142388</v>
      </c>
      <c r="AD72" s="158">
        <f t="shared" si="91"/>
        <v>38128.032863274319</v>
      </c>
      <c r="AE72" s="158">
        <f t="shared" si="91"/>
        <v>38158.301995541595</v>
      </c>
      <c r="AF72" s="159">
        <f>SUM(T72:AE72)</f>
        <v>417451.82217590167</v>
      </c>
    </row>
    <row r="73" spans="2:32" s="71" customFormat="1" ht="16" x14ac:dyDescent="0.2">
      <c r="B73" s="71" t="s">
        <v>95</v>
      </c>
      <c r="E73" s="93" t="s">
        <v>89</v>
      </c>
      <c r="F73" s="89"/>
      <c r="G73" s="89"/>
      <c r="H73" s="89"/>
      <c r="I73" s="89"/>
      <c r="J73" s="90"/>
      <c r="K73" s="90"/>
      <c r="L73" s="90"/>
      <c r="M73" s="90"/>
      <c r="N73" s="90"/>
      <c r="O73" s="90"/>
      <c r="P73" s="89"/>
      <c r="Q73" s="89"/>
      <c r="R73" s="89"/>
      <c r="S73" s="120"/>
      <c r="T73" s="108">
        <v>0.4</v>
      </c>
      <c r="U73" s="108">
        <v>0.4</v>
      </c>
      <c r="V73" s="108">
        <v>0.4</v>
      </c>
      <c r="W73" s="108">
        <v>0.4</v>
      </c>
      <c r="X73" s="108">
        <v>0.4</v>
      </c>
      <c r="Y73" s="108">
        <v>0.4</v>
      </c>
      <c r="Z73" s="108">
        <v>0.4</v>
      </c>
      <c r="AA73" s="108">
        <v>0.4</v>
      </c>
      <c r="AB73" s="108">
        <v>0.4</v>
      </c>
      <c r="AC73" s="108">
        <v>0.4</v>
      </c>
      <c r="AD73" s="108">
        <v>0.4</v>
      </c>
      <c r="AE73" s="108">
        <v>0.4</v>
      </c>
      <c r="AF73" s="127"/>
    </row>
    <row r="74" spans="2:32" s="71" customFormat="1" ht="16" x14ac:dyDescent="0.2">
      <c r="E74" s="93" t="s">
        <v>90</v>
      </c>
      <c r="F74" s="89"/>
      <c r="G74" s="91"/>
      <c r="H74" s="91"/>
      <c r="I74" s="91"/>
      <c r="J74" s="99"/>
      <c r="K74" s="99"/>
      <c r="L74" s="99"/>
      <c r="M74" s="99"/>
      <c r="N74" s="99"/>
      <c r="O74" s="99"/>
      <c r="P74" s="91"/>
      <c r="Q74" s="91"/>
      <c r="R74" s="91"/>
      <c r="S74" s="121"/>
      <c r="T74" s="99">
        <f t="shared" ref="T74:AE74" si="92">1-T73</f>
        <v>0.6</v>
      </c>
      <c r="U74" s="99">
        <f t="shared" si="92"/>
        <v>0.6</v>
      </c>
      <c r="V74" s="99">
        <f t="shared" si="92"/>
        <v>0.6</v>
      </c>
      <c r="W74" s="99">
        <f t="shared" si="92"/>
        <v>0.6</v>
      </c>
      <c r="X74" s="99">
        <f t="shared" si="92"/>
        <v>0.6</v>
      </c>
      <c r="Y74" s="99">
        <f t="shared" si="92"/>
        <v>0.6</v>
      </c>
      <c r="Z74" s="99">
        <f t="shared" si="92"/>
        <v>0.6</v>
      </c>
      <c r="AA74" s="99">
        <f t="shared" si="92"/>
        <v>0.6</v>
      </c>
      <c r="AB74" s="99">
        <f t="shared" si="92"/>
        <v>0.6</v>
      </c>
      <c r="AC74" s="99">
        <f t="shared" si="92"/>
        <v>0.6</v>
      </c>
      <c r="AD74" s="99">
        <f t="shared" si="92"/>
        <v>0.6</v>
      </c>
      <c r="AE74" s="99">
        <f t="shared" si="92"/>
        <v>0.6</v>
      </c>
      <c r="AF74" s="124"/>
    </row>
    <row r="75" spans="2:32" s="71" customFormat="1" ht="16" x14ac:dyDescent="0.2">
      <c r="E75" s="94" t="s">
        <v>92</v>
      </c>
      <c r="F75" s="88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122"/>
      <c r="T75" s="87">
        <f t="shared" ref="T75:AE75" si="93">T$72*T73</f>
        <v>12821.601635901146</v>
      </c>
      <c r="U75" s="87">
        <f t="shared" si="93"/>
        <v>11442.022599797376</v>
      </c>
      <c r="V75" s="87">
        <f t="shared" si="93"/>
        <v>12858.344499384251</v>
      </c>
      <c r="W75" s="87">
        <f t="shared" si="93"/>
        <v>13597.790772641281</v>
      </c>
      <c r="X75" s="87">
        <f t="shared" si="93"/>
        <v>13615.048390139651</v>
      </c>
      <c r="Y75" s="87">
        <f t="shared" si="93"/>
        <v>13627.94726795693</v>
      </c>
      <c r="Z75" s="87">
        <f t="shared" si="93"/>
        <v>14412.741171988377</v>
      </c>
      <c r="AA75" s="87">
        <f t="shared" si="93"/>
        <v>14420.418032402313</v>
      </c>
      <c r="AB75" s="87">
        <f t="shared" si="93"/>
        <v>14431.153582166016</v>
      </c>
      <c r="AC75" s="87">
        <f t="shared" si="93"/>
        <v>15239.126974456956</v>
      </c>
      <c r="AD75" s="87">
        <f t="shared" si="93"/>
        <v>15251.213145309728</v>
      </c>
      <c r="AE75" s="87">
        <f t="shared" si="93"/>
        <v>15263.320798216639</v>
      </c>
      <c r="AF75" s="125">
        <f>SUM(T75:AE75)</f>
        <v>166980.7288703607</v>
      </c>
    </row>
    <row r="76" spans="2:32" s="71" customFormat="1" ht="16" x14ac:dyDescent="0.2">
      <c r="E76" s="94" t="s">
        <v>93</v>
      </c>
      <c r="F76" s="88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122"/>
      <c r="T76" s="87">
        <f t="shared" ref="T76:AE76" si="94">T$72*T74</f>
        <v>19232.402453851719</v>
      </c>
      <c r="U76" s="87">
        <f t="shared" si="94"/>
        <v>17163.03389969606</v>
      </c>
      <c r="V76" s="87">
        <f t="shared" si="94"/>
        <v>19287.516749076374</v>
      </c>
      <c r="W76" s="87">
        <f t="shared" si="94"/>
        <v>20396.686158961922</v>
      </c>
      <c r="X76" s="87">
        <f t="shared" si="94"/>
        <v>20422.572585209477</v>
      </c>
      <c r="Y76" s="87">
        <f t="shared" si="94"/>
        <v>20441.920901935395</v>
      </c>
      <c r="Z76" s="87">
        <f t="shared" si="94"/>
        <v>21619.111757982562</v>
      </c>
      <c r="AA76" s="87">
        <f t="shared" si="94"/>
        <v>21630.627048603466</v>
      </c>
      <c r="AB76" s="87">
        <f t="shared" si="94"/>
        <v>21646.730373249022</v>
      </c>
      <c r="AC76" s="87">
        <f t="shared" si="94"/>
        <v>22858.690461685434</v>
      </c>
      <c r="AD76" s="87">
        <f t="shared" si="94"/>
        <v>22876.81971796459</v>
      </c>
      <c r="AE76" s="87">
        <f t="shared" si="94"/>
        <v>22894.981197324956</v>
      </c>
      <c r="AF76" s="125">
        <f>SUM(T76:AE76)</f>
        <v>250471.09330554097</v>
      </c>
    </row>
    <row r="77" spans="2:32" s="71" customFormat="1" ht="16" x14ac:dyDescent="0.2"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123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129"/>
    </row>
    <row r="78" spans="2:32" s="71" customFormat="1" x14ac:dyDescent="0.2"/>
    <row r="79" spans="2:32" s="71" customFormat="1" x14ac:dyDescent="0.2"/>
    <row r="80" spans="2:32" s="71" customFormat="1" x14ac:dyDescent="0.2"/>
    <row r="81" spans="3:32" s="71" customFormat="1" ht="41.25" customHeight="1" x14ac:dyDescent="0.2">
      <c r="C81" s="131"/>
      <c r="E81" s="7" t="s">
        <v>96</v>
      </c>
      <c r="F81" s="8"/>
      <c r="G81" s="8">
        <v>45658</v>
      </c>
      <c r="H81" s="8">
        <f t="shared" ref="H81:R81" si="95">EDATE(G81,1)</f>
        <v>45689</v>
      </c>
      <c r="I81" s="8">
        <f t="shared" si="95"/>
        <v>45717</v>
      </c>
      <c r="J81" s="8">
        <f t="shared" si="95"/>
        <v>45748</v>
      </c>
      <c r="K81" s="8">
        <f t="shared" si="95"/>
        <v>45778</v>
      </c>
      <c r="L81" s="8">
        <f t="shared" si="95"/>
        <v>45809</v>
      </c>
      <c r="M81" s="8">
        <f t="shared" si="95"/>
        <v>45839</v>
      </c>
      <c r="N81" s="8">
        <f t="shared" si="95"/>
        <v>45870</v>
      </c>
      <c r="O81" s="8">
        <f t="shared" si="95"/>
        <v>45901</v>
      </c>
      <c r="P81" s="9">
        <f t="shared" si="95"/>
        <v>45931</v>
      </c>
      <c r="Q81" s="9">
        <f t="shared" si="95"/>
        <v>45962</v>
      </c>
      <c r="R81" s="9">
        <f t="shared" si="95"/>
        <v>45992</v>
      </c>
      <c r="S81" s="40" t="s">
        <v>3</v>
      </c>
      <c r="T81" s="9">
        <f>EDATE(R81,1)</f>
        <v>46023</v>
      </c>
      <c r="U81" s="9">
        <f t="shared" ref="U81:AE81" si="96">EDATE(T81,1)</f>
        <v>46054</v>
      </c>
      <c r="V81" s="9">
        <f t="shared" si="96"/>
        <v>46082</v>
      </c>
      <c r="W81" s="9">
        <f t="shared" si="96"/>
        <v>46113</v>
      </c>
      <c r="X81" s="9">
        <f t="shared" si="96"/>
        <v>46143</v>
      </c>
      <c r="Y81" s="9">
        <f t="shared" si="96"/>
        <v>46174</v>
      </c>
      <c r="Z81" s="9">
        <f t="shared" si="96"/>
        <v>46204</v>
      </c>
      <c r="AA81" s="9">
        <f t="shared" si="96"/>
        <v>46235</v>
      </c>
      <c r="AB81" s="9">
        <f t="shared" si="96"/>
        <v>46266</v>
      </c>
      <c r="AC81" s="9">
        <f t="shared" si="96"/>
        <v>46296</v>
      </c>
      <c r="AD81" s="9">
        <f t="shared" si="96"/>
        <v>46327</v>
      </c>
      <c r="AE81" s="9">
        <f t="shared" si="96"/>
        <v>46357</v>
      </c>
      <c r="AF81" s="41" t="s">
        <v>4</v>
      </c>
    </row>
    <row r="82" spans="3:32" s="170" customFormat="1" ht="25" customHeight="1" x14ac:dyDescent="0.2">
      <c r="E82" s="171" t="s">
        <v>84</v>
      </c>
      <c r="F82" s="172"/>
      <c r="G82" s="173">
        <f t="shared" ref="G82:R82" si="97">SUM(G32,G45)</f>
        <v>148327.82999999891</v>
      </c>
      <c r="H82" s="173">
        <f t="shared" si="97"/>
        <v>111579.4399999999</v>
      </c>
      <c r="I82" s="173">
        <f t="shared" si="97"/>
        <v>175949.30999999901</v>
      </c>
      <c r="J82" s="173">
        <f t="shared" si="97"/>
        <v>227662.4099999989</v>
      </c>
      <c r="K82" s="173">
        <f t="shared" si="97"/>
        <v>232669.34999999989</v>
      </c>
      <c r="L82" s="173">
        <f t="shared" si="97"/>
        <v>273801.4599999999</v>
      </c>
      <c r="M82" s="173">
        <f t="shared" si="97"/>
        <v>377695.14999999886</v>
      </c>
      <c r="N82" s="173">
        <f t="shared" si="97"/>
        <v>338629.70999999897</v>
      </c>
      <c r="O82" s="173">
        <f t="shared" si="97"/>
        <v>486195.06000000006</v>
      </c>
      <c r="P82" s="174">
        <f t="shared" si="97"/>
        <v>489522.66633911524</v>
      </c>
      <c r="Q82" s="174">
        <f t="shared" si="97"/>
        <v>489522.66633911524</v>
      </c>
      <c r="R82" s="174">
        <f t="shared" si="97"/>
        <v>489522.66633911524</v>
      </c>
      <c r="S82" s="175">
        <f>SUM(G82:R82)</f>
        <v>3841077.7190173403</v>
      </c>
      <c r="T82" s="176">
        <f>SUM(T32,T45)</f>
        <v>682208.11506320885</v>
      </c>
      <c r="U82" s="176">
        <f t="shared" ref="U82:AE82" si="98">SUM(U32,U45)</f>
        <v>619508.52798963268</v>
      </c>
      <c r="V82" s="176">
        <f t="shared" si="98"/>
        <v>716411.76197431586</v>
      </c>
      <c r="W82" s="176">
        <f t="shared" si="98"/>
        <v>785947.74035825394</v>
      </c>
      <c r="X82" s="176">
        <f t="shared" si="98"/>
        <v>805463.64298076159</v>
      </c>
      <c r="Y82" s="176">
        <f t="shared" si="98"/>
        <v>827655.82366318128</v>
      </c>
      <c r="Z82" s="176">
        <f t="shared" si="98"/>
        <v>916388.04079586244</v>
      </c>
      <c r="AA82" s="176">
        <f t="shared" si="98"/>
        <v>936489.98573190684</v>
      </c>
      <c r="AB82" s="176">
        <f t="shared" si="98"/>
        <v>950688.33443381975</v>
      </c>
      <c r="AC82" s="176">
        <f t="shared" si="98"/>
        <v>1055722.8566158006</v>
      </c>
      <c r="AD82" s="176">
        <f t="shared" si="98"/>
        <v>1061113.5432383707</v>
      </c>
      <c r="AE82" s="176">
        <f t="shared" si="98"/>
        <v>1076235.6422085622</v>
      </c>
      <c r="AF82" s="177">
        <f>SUM(T82:AE82)</f>
        <v>10433834.015053678</v>
      </c>
    </row>
    <row r="83" spans="3:32" s="71" customFormat="1" ht="16" x14ac:dyDescent="0.2">
      <c r="E83" s="93" t="s">
        <v>29</v>
      </c>
      <c r="F83" s="82"/>
      <c r="G83" s="106">
        <f t="shared" ref="G83:AF83" si="99">G32/SUM(G32,G45)</f>
        <v>1</v>
      </c>
      <c r="H83" s="106">
        <f t="shared" si="99"/>
        <v>1</v>
      </c>
      <c r="I83" s="106">
        <f t="shared" si="99"/>
        <v>1</v>
      </c>
      <c r="J83" s="106">
        <f t="shared" si="99"/>
        <v>0.91943158293018123</v>
      </c>
      <c r="K83" s="106">
        <f t="shared" si="99"/>
        <v>0.93002795598130994</v>
      </c>
      <c r="L83" s="106">
        <f t="shared" si="99"/>
        <v>0.92568264610422446</v>
      </c>
      <c r="M83" s="106">
        <f t="shared" si="99"/>
        <v>0.93034316167417042</v>
      </c>
      <c r="N83" s="106">
        <f t="shared" si="99"/>
        <v>0.92749720631423616</v>
      </c>
      <c r="O83" s="106">
        <f t="shared" si="99"/>
        <v>0.92435412651045856</v>
      </c>
      <c r="P83" s="104">
        <f t="shared" si="99"/>
        <v>0.9241145310515726</v>
      </c>
      <c r="Q83" s="104">
        <f t="shared" si="99"/>
        <v>0.9241145310515726</v>
      </c>
      <c r="R83" s="104">
        <f t="shared" si="99"/>
        <v>0.9241145310515726</v>
      </c>
      <c r="S83" s="169">
        <f t="shared" si="99"/>
        <v>0.93385886986085787</v>
      </c>
      <c r="T83" s="168">
        <f t="shared" si="99"/>
        <v>0.56770715431727203</v>
      </c>
      <c r="U83" s="168">
        <f t="shared" si="99"/>
        <v>0.56210460459683342</v>
      </c>
      <c r="V83" s="168">
        <f t="shared" si="99"/>
        <v>0.55032889239204186</v>
      </c>
      <c r="W83" s="168">
        <f t="shared" si="99"/>
        <v>0.55429639435794897</v>
      </c>
      <c r="X83" s="168">
        <f t="shared" si="99"/>
        <v>0.54540284344206125</v>
      </c>
      <c r="Y83" s="168">
        <f t="shared" si="99"/>
        <v>0.5350322457363037</v>
      </c>
      <c r="Z83" s="168">
        <f t="shared" si="99"/>
        <v>0.54473906643734304</v>
      </c>
      <c r="AA83" s="168">
        <f t="shared" si="99"/>
        <v>0.53683752561647369</v>
      </c>
      <c r="AB83" s="168">
        <f t="shared" si="99"/>
        <v>0.53267130684548436</v>
      </c>
      <c r="AC83" s="168">
        <f t="shared" si="99"/>
        <v>0.52087089343684145</v>
      </c>
      <c r="AD83" s="168">
        <f t="shared" si="99"/>
        <v>0.52190963238463994</v>
      </c>
      <c r="AE83" s="168">
        <f t="shared" si="99"/>
        <v>0.51821526819379959</v>
      </c>
      <c r="AF83" s="165">
        <f t="shared" si="99"/>
        <v>0.53837544088323896</v>
      </c>
    </row>
    <row r="84" spans="3:32" s="71" customFormat="1" ht="16" x14ac:dyDescent="0.2">
      <c r="E84" s="93" t="s">
        <v>85</v>
      </c>
      <c r="F84" s="82"/>
      <c r="G84" s="106">
        <f>1-G83</f>
        <v>0</v>
      </c>
      <c r="H84" s="106">
        <f t="shared" ref="H84:S84" si="100">1-H83</f>
        <v>0</v>
      </c>
      <c r="I84" s="106">
        <f t="shared" si="100"/>
        <v>0</v>
      </c>
      <c r="J84" s="106">
        <f t="shared" si="100"/>
        <v>8.0568417069818765E-2</v>
      </c>
      <c r="K84" s="106">
        <f t="shared" si="100"/>
        <v>6.9972044018690061E-2</v>
      </c>
      <c r="L84" s="106">
        <f t="shared" si="100"/>
        <v>7.431735389577554E-2</v>
      </c>
      <c r="M84" s="106">
        <f t="shared" si="100"/>
        <v>6.9656838325829584E-2</v>
      </c>
      <c r="N84" s="106">
        <f t="shared" si="100"/>
        <v>7.2502793685763844E-2</v>
      </c>
      <c r="O84" s="106">
        <f t="shared" si="100"/>
        <v>7.5645873489541438E-2</v>
      </c>
      <c r="P84" s="104">
        <f t="shared" si="100"/>
        <v>7.5885468948427404E-2</v>
      </c>
      <c r="Q84" s="104">
        <f t="shared" si="100"/>
        <v>7.5885468948427404E-2</v>
      </c>
      <c r="R84" s="104">
        <f t="shared" si="100"/>
        <v>7.5885468948427404E-2</v>
      </c>
      <c r="S84" s="169">
        <f t="shared" si="100"/>
        <v>6.6141130139142135E-2</v>
      </c>
      <c r="T84" s="106">
        <f t="shared" ref="T84" si="101">1-T83</f>
        <v>0.43229284568272797</v>
      </c>
      <c r="U84" s="106">
        <f t="shared" ref="U84" si="102">1-U83</f>
        <v>0.43789539540316658</v>
      </c>
      <c r="V84" s="106">
        <f t="shared" ref="V84" si="103">1-V83</f>
        <v>0.44967110760795814</v>
      </c>
      <c r="W84" s="106">
        <f t="shared" ref="W84" si="104">1-W83</f>
        <v>0.44570360564205103</v>
      </c>
      <c r="X84" s="106">
        <f t="shared" ref="X84" si="105">1-X83</f>
        <v>0.45459715655793875</v>
      </c>
      <c r="Y84" s="106">
        <f t="shared" ref="Y84" si="106">1-Y83</f>
        <v>0.4649677542636963</v>
      </c>
      <c r="Z84" s="106">
        <f t="shared" ref="Z84" si="107">1-Z83</f>
        <v>0.45526093356265696</v>
      </c>
      <c r="AA84" s="106">
        <f t="shared" ref="AA84" si="108">1-AA83</f>
        <v>0.46316247438352631</v>
      </c>
      <c r="AB84" s="106">
        <f t="shared" ref="AB84" si="109">1-AB83</f>
        <v>0.46732869315451564</v>
      </c>
      <c r="AC84" s="106">
        <f t="shared" ref="AC84" si="110">1-AC83</f>
        <v>0.47912910656315855</v>
      </c>
      <c r="AD84" s="106">
        <f t="shared" ref="AD84" si="111">1-AD83</f>
        <v>0.47809036761536006</v>
      </c>
      <c r="AE84" s="106">
        <f t="shared" ref="AE84:AF84" si="112">1-AE83</f>
        <v>0.48178473180620041</v>
      </c>
      <c r="AF84" s="165">
        <f t="shared" si="112"/>
        <v>0.46162455911676104</v>
      </c>
    </row>
    <row r="85" spans="3:32" s="71" customFormat="1" ht="16" x14ac:dyDescent="0.2">
      <c r="E85" s="94" t="s">
        <v>86</v>
      </c>
      <c r="F85" s="85"/>
      <c r="G85" s="86">
        <f t="shared" ref="G85:R85" si="113">G82*G83</f>
        <v>148327.82999999891</v>
      </c>
      <c r="H85" s="86">
        <f t="shared" si="113"/>
        <v>111579.4399999999</v>
      </c>
      <c r="I85" s="86">
        <f t="shared" si="113"/>
        <v>175949.30999999901</v>
      </c>
      <c r="J85" s="86">
        <f t="shared" si="113"/>
        <v>209320.0099999989</v>
      </c>
      <c r="K85" s="86">
        <f t="shared" si="113"/>
        <v>216388.99999999988</v>
      </c>
      <c r="L85" s="86">
        <f t="shared" si="113"/>
        <v>253453.25999999989</v>
      </c>
      <c r="M85" s="86">
        <f t="shared" si="113"/>
        <v>351386.09999999899</v>
      </c>
      <c r="N85" s="86">
        <f t="shared" si="113"/>
        <v>314078.109999999</v>
      </c>
      <c r="O85" s="86">
        <f t="shared" si="113"/>
        <v>449416.41000000003</v>
      </c>
      <c r="P85" s="86">
        <f t="shared" si="113"/>
        <v>452375.00924308691</v>
      </c>
      <c r="Q85" s="86">
        <f t="shared" si="113"/>
        <v>452375.00924308691</v>
      </c>
      <c r="R85" s="86">
        <f t="shared" si="113"/>
        <v>452375.00924308691</v>
      </c>
      <c r="S85" s="118">
        <f>SUM(G85:R85)</f>
        <v>3587024.4977292549</v>
      </c>
      <c r="T85" s="86">
        <f t="shared" ref="T85:AE85" si="114">T82*T83</f>
        <v>387294.4276546844</v>
      </c>
      <c r="U85" s="86">
        <f t="shared" si="114"/>
        <v>348228.59616997879</v>
      </c>
      <c r="V85" s="86">
        <f t="shared" si="114"/>
        <v>394262.0914639564</v>
      </c>
      <c r="W85" s="86">
        <f t="shared" si="114"/>
        <v>435647.99863435759</v>
      </c>
      <c r="X85" s="86">
        <f t="shared" si="114"/>
        <v>439302.16117090866</v>
      </c>
      <c r="Y85" s="86">
        <f t="shared" si="114"/>
        <v>442822.55403124203</v>
      </c>
      <c r="Z85" s="86">
        <f t="shared" si="114"/>
        <v>499192.36583748396</v>
      </c>
      <c r="AA85" s="86">
        <f t="shared" si="114"/>
        <v>502742.9667049236</v>
      </c>
      <c r="AB85" s="86">
        <f t="shared" si="114"/>
        <v>506404.39750561968</v>
      </c>
      <c r="AC85" s="86">
        <f t="shared" si="114"/>
        <v>549895.30754716659</v>
      </c>
      <c r="AD85" s="86">
        <f t="shared" si="114"/>
        <v>553805.37926990073</v>
      </c>
      <c r="AE85" s="86">
        <f t="shared" si="114"/>
        <v>557721.74196683627</v>
      </c>
      <c r="AF85" s="125">
        <f>SUM(T85:AE85)</f>
        <v>5617319.9879570585</v>
      </c>
    </row>
    <row r="86" spans="3:32" s="71" customFormat="1" ht="16" x14ac:dyDescent="0.2">
      <c r="E86" s="94" t="s">
        <v>87</v>
      </c>
      <c r="F86" s="85"/>
      <c r="G86" s="86">
        <f t="shared" ref="G86:R86" si="115">G82*G84</f>
        <v>0</v>
      </c>
      <c r="H86" s="86">
        <f t="shared" si="115"/>
        <v>0</v>
      </c>
      <c r="I86" s="86">
        <f t="shared" si="115"/>
        <v>0</v>
      </c>
      <c r="J86" s="86">
        <f t="shared" si="115"/>
        <v>18342.399999999991</v>
      </c>
      <c r="K86" s="86">
        <f t="shared" si="115"/>
        <v>16280.349999999997</v>
      </c>
      <c r="L86" s="86">
        <f t="shared" si="115"/>
        <v>20348.200000000023</v>
      </c>
      <c r="M86" s="86">
        <f t="shared" si="115"/>
        <v>26309.049999999876</v>
      </c>
      <c r="N86" s="86">
        <f t="shared" si="115"/>
        <v>24551.599999999966</v>
      </c>
      <c r="O86" s="86">
        <f t="shared" si="115"/>
        <v>36778.650000000016</v>
      </c>
      <c r="P86" s="86">
        <f t="shared" si="115"/>
        <v>37147.657096028321</v>
      </c>
      <c r="Q86" s="86">
        <f t="shared" si="115"/>
        <v>37147.657096028321</v>
      </c>
      <c r="R86" s="86">
        <f t="shared" si="115"/>
        <v>37147.657096028321</v>
      </c>
      <c r="S86" s="118">
        <f>SUM(G86:R86)</f>
        <v>254053.22128808484</v>
      </c>
      <c r="T86" s="86">
        <f t="shared" ref="T86:AE86" si="116">T82*T84</f>
        <v>294913.68740852445</v>
      </c>
      <c r="U86" s="86">
        <f t="shared" si="116"/>
        <v>271279.9318196539</v>
      </c>
      <c r="V86" s="86">
        <f t="shared" si="116"/>
        <v>322149.67051035946</v>
      </c>
      <c r="W86" s="86">
        <f t="shared" si="116"/>
        <v>350299.74172389635</v>
      </c>
      <c r="X86" s="86">
        <f t="shared" si="116"/>
        <v>366161.48180985294</v>
      </c>
      <c r="Y86" s="86">
        <f t="shared" si="116"/>
        <v>384833.26963193924</v>
      </c>
      <c r="Z86" s="86">
        <f t="shared" si="116"/>
        <v>417195.67495837848</v>
      </c>
      <c r="AA86" s="86">
        <f t="shared" si="116"/>
        <v>433747.01902698324</v>
      </c>
      <c r="AB86" s="86">
        <f t="shared" si="116"/>
        <v>444283.93692820007</v>
      </c>
      <c r="AC86" s="86">
        <f t="shared" si="116"/>
        <v>505827.54906863411</v>
      </c>
      <c r="AD86" s="86">
        <f t="shared" si="116"/>
        <v>507308.16396846989</v>
      </c>
      <c r="AE86" s="86">
        <f t="shared" si="116"/>
        <v>518513.90024172602</v>
      </c>
      <c r="AF86" s="125">
        <f>SUM(T86:AE86)</f>
        <v>4816514.027096618</v>
      </c>
    </row>
    <row r="87" spans="3:32" s="71" customFormat="1" ht="16" x14ac:dyDescent="0.2">
      <c r="E87" s="105"/>
      <c r="F87" s="132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4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5"/>
    </row>
    <row r="88" spans="3:32" s="71" customFormat="1" ht="16" x14ac:dyDescent="0.2">
      <c r="E88" s="143"/>
      <c r="F88" s="138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40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41"/>
    </row>
    <row r="89" spans="3:32" s="71" customFormat="1" ht="16" x14ac:dyDescent="0.2">
      <c r="E89" s="142"/>
      <c r="F89" s="79"/>
      <c r="G89" s="80"/>
      <c r="H89" s="80"/>
      <c r="I89" s="80"/>
      <c r="J89" s="80"/>
      <c r="K89" s="80"/>
      <c r="L89" s="80"/>
      <c r="M89" s="80"/>
      <c r="N89" s="80"/>
      <c r="O89" s="80"/>
      <c r="P89" s="81"/>
      <c r="Q89" s="81"/>
      <c r="R89" s="81"/>
      <c r="S89" s="136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137"/>
    </row>
    <row r="90" spans="3:32" s="71" customFormat="1" ht="16" x14ac:dyDescent="0.2">
      <c r="E90" s="151" t="s">
        <v>84</v>
      </c>
      <c r="F90" s="152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3">
        <f t="shared" ref="T90:AE90" si="117">T82</f>
        <v>682208.11506320885</v>
      </c>
      <c r="U90" s="153">
        <f t="shared" si="117"/>
        <v>619508.52798963268</v>
      </c>
      <c r="V90" s="153">
        <f t="shared" si="117"/>
        <v>716411.76197431586</v>
      </c>
      <c r="W90" s="153">
        <f t="shared" si="117"/>
        <v>785947.74035825394</v>
      </c>
      <c r="X90" s="153">
        <f t="shared" si="117"/>
        <v>805463.64298076159</v>
      </c>
      <c r="Y90" s="153">
        <f t="shared" si="117"/>
        <v>827655.82366318128</v>
      </c>
      <c r="Z90" s="153">
        <f t="shared" si="117"/>
        <v>916388.04079586244</v>
      </c>
      <c r="AA90" s="153">
        <f t="shared" si="117"/>
        <v>936489.98573190684</v>
      </c>
      <c r="AB90" s="153">
        <f t="shared" si="117"/>
        <v>950688.33443381975</v>
      </c>
      <c r="AC90" s="153">
        <f t="shared" si="117"/>
        <v>1055722.8566158006</v>
      </c>
      <c r="AD90" s="153">
        <f t="shared" si="117"/>
        <v>1061113.5432383707</v>
      </c>
      <c r="AE90" s="153">
        <f t="shared" si="117"/>
        <v>1076235.6422085622</v>
      </c>
      <c r="AF90" s="155">
        <f>SUM(T90:AE90)</f>
        <v>10433834.015053678</v>
      </c>
    </row>
    <row r="91" spans="3:32" s="71" customFormat="1" ht="16" x14ac:dyDescent="0.2">
      <c r="E91" s="93" t="s">
        <v>89</v>
      </c>
      <c r="F91" s="88"/>
      <c r="G91" s="99"/>
      <c r="H91" s="99"/>
      <c r="I91" s="99"/>
      <c r="J91" s="99"/>
      <c r="K91" s="99"/>
      <c r="L91" s="99"/>
      <c r="M91" s="99"/>
      <c r="N91" s="99"/>
      <c r="O91" s="99"/>
      <c r="P91" s="92"/>
      <c r="Q91" s="92"/>
      <c r="R91" s="92"/>
      <c r="S91" s="122"/>
      <c r="T91" s="99">
        <f>SUM(T97,T103)/T$90</f>
        <v>0.56346469796533571</v>
      </c>
      <c r="U91" s="99">
        <f t="shared" ref="U91:AE91" si="118">SUM(U97,U103)/U$90</f>
        <v>0.55793545482676854</v>
      </c>
      <c r="V91" s="99">
        <f t="shared" si="118"/>
        <v>0.55770829720004789</v>
      </c>
      <c r="W91" s="99">
        <f t="shared" si="118"/>
        <v>0.54154110849209025</v>
      </c>
      <c r="X91" s="99">
        <f t="shared" si="118"/>
        <v>0.54011776095803943</v>
      </c>
      <c r="Y91" s="99">
        <f t="shared" si="118"/>
        <v>0.54037069001532334</v>
      </c>
      <c r="Z91" s="99">
        <f t="shared" si="118"/>
        <v>0.51973530320669559</v>
      </c>
      <c r="AA91" s="99">
        <f t="shared" si="118"/>
        <v>0.51889538464940221</v>
      </c>
      <c r="AB91" s="99">
        <f t="shared" si="118"/>
        <v>0.51498397045439004</v>
      </c>
      <c r="AC91" s="99">
        <f t="shared" si="118"/>
        <v>0.50832229795488371</v>
      </c>
      <c r="AD91" s="99">
        <f t="shared" si="118"/>
        <v>0.50941488473853469</v>
      </c>
      <c r="AE91" s="99">
        <f t="shared" si="118"/>
        <v>0.5058863032542027</v>
      </c>
      <c r="AF91" s="165">
        <f t="shared" ref="AF91" si="119">SUM(AF97,AF103)/AF$90</f>
        <v>0.52818169133165971</v>
      </c>
    </row>
    <row r="92" spans="3:32" s="71" customFormat="1" ht="16" x14ac:dyDescent="0.2">
      <c r="E92" s="93" t="s">
        <v>90</v>
      </c>
      <c r="F92" s="88"/>
      <c r="G92" s="99"/>
      <c r="H92" s="99"/>
      <c r="I92" s="99"/>
      <c r="J92" s="99"/>
      <c r="K92" s="99"/>
      <c r="L92" s="99"/>
      <c r="M92" s="99"/>
      <c r="N92" s="99"/>
      <c r="O92" s="99"/>
      <c r="P92" s="92"/>
      <c r="Q92" s="92"/>
      <c r="R92" s="92"/>
      <c r="S92" s="122"/>
      <c r="T92" s="99">
        <f>SUM(T98,T104)/T$90</f>
        <v>0.43653530203466445</v>
      </c>
      <c r="U92" s="99">
        <f t="shared" ref="U92:AE92" si="120">SUM(U98,U104)/U$90</f>
        <v>0.44206454517323146</v>
      </c>
      <c r="V92" s="99">
        <f t="shared" si="120"/>
        <v>0.44229170279995211</v>
      </c>
      <c r="W92" s="99">
        <f t="shared" si="120"/>
        <v>0.45845889150790975</v>
      </c>
      <c r="X92" s="99">
        <f t="shared" si="120"/>
        <v>0.45988223904196068</v>
      </c>
      <c r="Y92" s="99">
        <f t="shared" si="120"/>
        <v>0.45962930998467671</v>
      </c>
      <c r="Z92" s="99">
        <f t="shared" si="120"/>
        <v>0.4802646967933043</v>
      </c>
      <c r="AA92" s="99">
        <f t="shared" si="120"/>
        <v>0.48110461535059779</v>
      </c>
      <c r="AB92" s="99">
        <f t="shared" si="120"/>
        <v>0.48501602954560996</v>
      </c>
      <c r="AC92" s="99">
        <f t="shared" si="120"/>
        <v>0.49167770204511624</v>
      </c>
      <c r="AD92" s="99">
        <f t="shared" si="120"/>
        <v>0.4905851152614652</v>
      </c>
      <c r="AE92" s="99">
        <f t="shared" si="120"/>
        <v>0.49411369674579725</v>
      </c>
      <c r="AF92" s="165">
        <f t="shared" ref="AF92" si="121">SUM(AF98,AF104)/AF$90</f>
        <v>0.47181830866834013</v>
      </c>
    </row>
    <row r="93" spans="3:32" s="71" customFormat="1" ht="16" x14ac:dyDescent="0.2">
      <c r="E93" s="95"/>
      <c r="F93" s="85"/>
      <c r="G93" s="86"/>
      <c r="H93" s="86"/>
      <c r="I93" s="86"/>
      <c r="J93" s="86"/>
      <c r="K93" s="86"/>
      <c r="L93" s="86"/>
      <c r="M93" s="86"/>
      <c r="N93" s="86"/>
      <c r="O93" s="86"/>
      <c r="P93" s="87"/>
      <c r="Q93" s="87"/>
      <c r="R93" s="87"/>
      <c r="S93" s="118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125"/>
    </row>
    <row r="94" spans="3:32" s="71" customFormat="1" ht="16" x14ac:dyDescent="0.2">
      <c r="E94" s="151" t="s">
        <v>86</v>
      </c>
      <c r="F94" s="156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4"/>
      <c r="T94" s="157">
        <f t="shared" ref="T94:AE94" si="122">T85</f>
        <v>387294.4276546844</v>
      </c>
      <c r="U94" s="157">
        <f t="shared" si="122"/>
        <v>348228.59616997879</v>
      </c>
      <c r="V94" s="157">
        <f t="shared" si="122"/>
        <v>394262.0914639564</v>
      </c>
      <c r="W94" s="157">
        <f t="shared" si="122"/>
        <v>435647.99863435759</v>
      </c>
      <c r="X94" s="157">
        <f t="shared" si="122"/>
        <v>439302.16117090866</v>
      </c>
      <c r="Y94" s="157">
        <f t="shared" si="122"/>
        <v>442822.55403124203</v>
      </c>
      <c r="Z94" s="157">
        <f t="shared" si="122"/>
        <v>499192.36583748396</v>
      </c>
      <c r="AA94" s="157">
        <f t="shared" si="122"/>
        <v>502742.9667049236</v>
      </c>
      <c r="AB94" s="157">
        <f t="shared" si="122"/>
        <v>506404.39750561968</v>
      </c>
      <c r="AC94" s="157">
        <f t="shared" si="122"/>
        <v>549895.30754716659</v>
      </c>
      <c r="AD94" s="157">
        <f t="shared" si="122"/>
        <v>553805.37926990073</v>
      </c>
      <c r="AE94" s="157">
        <f t="shared" si="122"/>
        <v>557721.74196683627</v>
      </c>
      <c r="AF94" s="155">
        <f>SUM(T94:AE94)</f>
        <v>5617319.9879570585</v>
      </c>
    </row>
    <row r="95" spans="3:32" s="71" customFormat="1" ht="16" x14ac:dyDescent="0.2">
      <c r="E95" s="93" t="s">
        <v>89</v>
      </c>
      <c r="F95" s="82"/>
      <c r="G95" s="83"/>
      <c r="H95" s="83"/>
      <c r="I95" s="83"/>
      <c r="J95" s="106"/>
      <c r="K95" s="106"/>
      <c r="L95" s="106"/>
      <c r="M95" s="106"/>
      <c r="N95" s="106"/>
      <c r="O95" s="106"/>
      <c r="P95" s="84"/>
      <c r="Q95" s="84"/>
      <c r="R95" s="84"/>
      <c r="S95" s="117"/>
      <c r="T95" s="168">
        <f>T97/T$94</f>
        <v>0.74654377880184331</v>
      </c>
      <c r="U95" s="168">
        <f t="shared" ref="U95:AE95" si="123">U97/U$94</f>
        <v>0.74844074844074848</v>
      </c>
      <c r="V95" s="168">
        <f t="shared" si="123"/>
        <v>0.75030953363598851</v>
      </c>
      <c r="W95" s="168">
        <f t="shared" si="123"/>
        <v>0.72519008590895628</v>
      </c>
      <c r="X95" s="168">
        <f t="shared" si="123"/>
        <v>0.72713011079517598</v>
      </c>
      <c r="Y95" s="168">
        <f t="shared" si="123"/>
        <v>0.72904293642293838</v>
      </c>
      <c r="Z95" s="168">
        <f t="shared" si="123"/>
        <v>0.6905370843989771</v>
      </c>
      <c r="AA95" s="168">
        <f t="shared" si="123"/>
        <v>0.69255898366606183</v>
      </c>
      <c r="AB95" s="168">
        <f t="shared" si="123"/>
        <v>0.69455463397042938</v>
      </c>
      <c r="AC95" s="168">
        <f t="shared" si="123"/>
        <v>0.6817464492372437</v>
      </c>
      <c r="AD95" s="168">
        <f t="shared" si="123"/>
        <v>0.68374281233664413</v>
      </c>
      <c r="AE95" s="168">
        <f t="shared" si="123"/>
        <v>0.68571428571428583</v>
      </c>
      <c r="AF95" s="165">
        <f t="shared" ref="AF95" si="124">AF97/AF$94</f>
        <v>0.70930200374182151</v>
      </c>
    </row>
    <row r="96" spans="3:32" s="71" customFormat="1" ht="16" x14ac:dyDescent="0.2">
      <c r="E96" s="93" t="s">
        <v>90</v>
      </c>
      <c r="F96" s="82"/>
      <c r="G96" s="83"/>
      <c r="H96" s="83"/>
      <c r="I96" s="83"/>
      <c r="J96" s="106"/>
      <c r="K96" s="106"/>
      <c r="L96" s="106"/>
      <c r="M96" s="106"/>
      <c r="N96" s="106"/>
      <c r="O96" s="106"/>
      <c r="P96" s="84"/>
      <c r="Q96" s="84"/>
      <c r="R96" s="84"/>
      <c r="S96" s="117"/>
      <c r="T96" s="106">
        <f t="shared" ref="T96:AE96" si="125">T98/T$94</f>
        <v>0.25345622119815669</v>
      </c>
      <c r="U96" s="106">
        <f t="shared" si="125"/>
        <v>0.25155925155925152</v>
      </c>
      <c r="V96" s="106">
        <f t="shared" si="125"/>
        <v>0.24969046636401157</v>
      </c>
      <c r="W96" s="106">
        <f t="shared" si="125"/>
        <v>0.27480991409104366</v>
      </c>
      <c r="X96" s="106">
        <f t="shared" si="125"/>
        <v>0.27286988920482397</v>
      </c>
      <c r="Y96" s="106">
        <f t="shared" si="125"/>
        <v>0.27095706357706156</v>
      </c>
      <c r="Z96" s="106">
        <f t="shared" si="125"/>
        <v>0.3094629156010229</v>
      </c>
      <c r="AA96" s="106">
        <f t="shared" si="125"/>
        <v>0.30744101633393822</v>
      </c>
      <c r="AB96" s="106">
        <f t="shared" si="125"/>
        <v>0.30544536602957073</v>
      </c>
      <c r="AC96" s="106">
        <f t="shared" si="125"/>
        <v>0.31825355076275635</v>
      </c>
      <c r="AD96" s="106">
        <f t="shared" si="125"/>
        <v>0.31625718766335575</v>
      </c>
      <c r="AE96" s="106">
        <f t="shared" si="125"/>
        <v>0.31428571428571411</v>
      </c>
      <c r="AF96" s="165">
        <f t="shared" ref="AF96" si="126">AF98/AF$94</f>
        <v>0.29069799625817844</v>
      </c>
    </row>
    <row r="97" spans="1:32" s="71" customFormat="1" ht="16" x14ac:dyDescent="0.2">
      <c r="E97" s="95" t="s">
        <v>92</v>
      </c>
      <c r="F97" s="85"/>
      <c r="G97" s="86"/>
      <c r="H97" s="86"/>
      <c r="I97" s="86"/>
      <c r="J97" s="86"/>
      <c r="K97" s="86"/>
      <c r="L97" s="86"/>
      <c r="M97" s="86"/>
      <c r="N97" s="86"/>
      <c r="O97" s="86"/>
      <c r="P97" s="87"/>
      <c r="Q97" s="87"/>
      <c r="R97" s="87"/>
      <c r="S97" s="118"/>
      <c r="T97" s="86">
        <f>T122</f>
        <v>289132.24553022522</v>
      </c>
      <c r="U97" s="86">
        <f t="shared" ref="U97:AE97" si="127">U122</f>
        <v>260628.47114593009</v>
      </c>
      <c r="V97" s="86">
        <f t="shared" si="127"/>
        <v>295818.60597667057</v>
      </c>
      <c r="W97" s="86">
        <f t="shared" si="127"/>
        <v>315927.60955571465</v>
      </c>
      <c r="X97" s="86">
        <f t="shared" si="127"/>
        <v>319429.82912476308</v>
      </c>
      <c r="Y97" s="86">
        <f t="shared" si="127"/>
        <v>322836.65510524198</v>
      </c>
      <c r="Z97" s="86">
        <f t="shared" si="127"/>
        <v>344710.84085964371</v>
      </c>
      <c r="AA97" s="86">
        <f t="shared" si="127"/>
        <v>348179.15806642268</v>
      </c>
      <c r="AB97" s="86">
        <f t="shared" si="127"/>
        <v>351725.52095053147</v>
      </c>
      <c r="AC97" s="86">
        <f t="shared" si="127"/>
        <v>374889.1733725029</v>
      </c>
      <c r="AD97" s="86">
        <f t="shared" si="127"/>
        <v>378660.44750916376</v>
      </c>
      <c r="AE97" s="86">
        <f t="shared" si="127"/>
        <v>382437.76592011639</v>
      </c>
      <c r="AF97" s="125">
        <f>SUM(T97:AE97)</f>
        <v>3984376.3231169265</v>
      </c>
    </row>
    <row r="98" spans="1:32" s="71" customFormat="1" ht="16" x14ac:dyDescent="0.2">
      <c r="E98" s="95" t="s">
        <v>93</v>
      </c>
      <c r="F98" s="85"/>
      <c r="G98" s="86"/>
      <c r="H98" s="86"/>
      <c r="I98" s="86"/>
      <c r="J98" s="86"/>
      <c r="K98" s="86"/>
      <c r="L98" s="86"/>
      <c r="M98" s="86"/>
      <c r="N98" s="86"/>
      <c r="O98" s="86"/>
      <c r="P98" s="87"/>
      <c r="Q98" s="87"/>
      <c r="R98" s="87"/>
      <c r="S98" s="118"/>
      <c r="T98" s="86">
        <f>T135</f>
        <v>98162.182124459185</v>
      </c>
      <c r="U98" s="86">
        <f t="shared" ref="U98:AE98" si="128">U135</f>
        <v>87600.125024048699</v>
      </c>
      <c r="V98" s="86">
        <f t="shared" si="128"/>
        <v>98443.485487285856</v>
      </c>
      <c r="W98" s="86">
        <f t="shared" si="128"/>
        <v>119720.38907864291</v>
      </c>
      <c r="X98" s="86">
        <f t="shared" si="128"/>
        <v>119872.33204614557</v>
      </c>
      <c r="Y98" s="86">
        <f t="shared" si="128"/>
        <v>119985.89892600002</v>
      </c>
      <c r="Z98" s="86">
        <f t="shared" si="128"/>
        <v>154481.52497784025</v>
      </c>
      <c r="AA98" s="86">
        <f t="shared" si="128"/>
        <v>154563.80863850098</v>
      </c>
      <c r="AB98" s="86">
        <f t="shared" si="128"/>
        <v>154678.87655508824</v>
      </c>
      <c r="AC98" s="86">
        <f t="shared" si="128"/>
        <v>175006.13417466369</v>
      </c>
      <c r="AD98" s="86">
        <f t="shared" si="128"/>
        <v>175144.93176073692</v>
      </c>
      <c r="AE98" s="86">
        <f t="shared" si="128"/>
        <v>175283.97604671988</v>
      </c>
      <c r="AF98" s="125">
        <f>SUM(T98:AE98)</f>
        <v>1632943.664840132</v>
      </c>
    </row>
    <row r="99" spans="1:32" s="71" customFormat="1" ht="16" x14ac:dyDescent="0.2">
      <c r="E99" s="94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119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126"/>
    </row>
    <row r="100" spans="1:32" s="71" customFormat="1" ht="16" x14ac:dyDescent="0.2">
      <c r="E100" s="151" t="s">
        <v>94</v>
      </c>
      <c r="F100" s="152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4"/>
      <c r="T100" s="158">
        <f t="shared" ref="T100:AE100" si="129">T86</f>
        <v>294913.68740852445</v>
      </c>
      <c r="U100" s="158">
        <f t="shared" si="129"/>
        <v>271279.9318196539</v>
      </c>
      <c r="V100" s="158">
        <f t="shared" si="129"/>
        <v>322149.67051035946</v>
      </c>
      <c r="W100" s="158">
        <f t="shared" si="129"/>
        <v>350299.74172389635</v>
      </c>
      <c r="X100" s="158">
        <f t="shared" si="129"/>
        <v>366161.48180985294</v>
      </c>
      <c r="Y100" s="158">
        <f t="shared" si="129"/>
        <v>384833.26963193924</v>
      </c>
      <c r="Z100" s="158">
        <f t="shared" si="129"/>
        <v>417195.67495837848</v>
      </c>
      <c r="AA100" s="158">
        <f t="shared" si="129"/>
        <v>433747.01902698324</v>
      </c>
      <c r="AB100" s="158">
        <f t="shared" si="129"/>
        <v>444283.93692820007</v>
      </c>
      <c r="AC100" s="158">
        <f t="shared" si="129"/>
        <v>505827.54906863411</v>
      </c>
      <c r="AD100" s="158">
        <f t="shared" si="129"/>
        <v>507308.16396846989</v>
      </c>
      <c r="AE100" s="158">
        <f t="shared" si="129"/>
        <v>518513.90024172602</v>
      </c>
      <c r="AF100" s="159">
        <f>SUM(T100:AE100)</f>
        <v>4816514.027096618</v>
      </c>
    </row>
    <row r="101" spans="1:32" s="71" customFormat="1" ht="16" x14ac:dyDescent="0.2">
      <c r="E101" s="93" t="s">
        <v>89</v>
      </c>
      <c r="F101" s="89"/>
      <c r="G101" s="89"/>
      <c r="H101" s="89"/>
      <c r="I101" s="89"/>
      <c r="J101" s="90"/>
      <c r="K101" s="90"/>
      <c r="L101" s="90"/>
      <c r="M101" s="90"/>
      <c r="N101" s="90"/>
      <c r="O101" s="90"/>
      <c r="P101" s="89"/>
      <c r="Q101" s="89"/>
      <c r="R101" s="89"/>
      <c r="S101" s="120"/>
      <c r="T101" s="90">
        <f>T103/T$100</f>
        <v>0.32303669867108725</v>
      </c>
      <c r="U101" s="90">
        <f t="shared" ref="U101:AE101" si="130">U103/U$100</f>
        <v>0.31339325624553294</v>
      </c>
      <c r="V101" s="90">
        <f t="shared" si="130"/>
        <v>0.32199374198886693</v>
      </c>
      <c r="W101" s="90">
        <f t="shared" si="130"/>
        <v>0.31314725050870523</v>
      </c>
      <c r="X101" s="90">
        <f t="shared" si="130"/>
        <v>0.31574973337897511</v>
      </c>
      <c r="Y101" s="90">
        <f t="shared" si="130"/>
        <v>0.32326803122249359</v>
      </c>
      <c r="Z101" s="90">
        <f t="shared" si="130"/>
        <v>0.31536370886757037</v>
      </c>
      <c r="AA101" s="90">
        <f t="shared" si="130"/>
        <v>0.3176071932650637</v>
      </c>
      <c r="AB101" s="90">
        <f t="shared" si="130"/>
        <v>0.31030546171456103</v>
      </c>
      <c r="AC101" s="90">
        <f t="shared" si="130"/>
        <v>0.31978941321756016</v>
      </c>
      <c r="AD101" s="90">
        <f t="shared" si="130"/>
        <v>0.31910897027111607</v>
      </c>
      <c r="AE101" s="90">
        <f t="shared" si="130"/>
        <v>0.31246048461122466</v>
      </c>
      <c r="AF101" s="166">
        <f t="shared" ref="AF101" si="131">AF103/AF$100</f>
        <v>0.31694785179482743</v>
      </c>
    </row>
    <row r="102" spans="1:32" s="71" customFormat="1" ht="16" x14ac:dyDescent="0.2">
      <c r="E102" s="93" t="s">
        <v>90</v>
      </c>
      <c r="F102" s="89"/>
      <c r="G102" s="91"/>
      <c r="H102" s="91"/>
      <c r="I102" s="91"/>
      <c r="J102" s="99"/>
      <c r="K102" s="99"/>
      <c r="L102" s="99"/>
      <c r="M102" s="99"/>
      <c r="N102" s="99"/>
      <c r="O102" s="99"/>
      <c r="P102" s="91"/>
      <c r="Q102" s="91"/>
      <c r="R102" s="91"/>
      <c r="S102" s="121"/>
      <c r="T102" s="99">
        <f t="shared" ref="T102:AE102" si="132">T104/T$100</f>
        <v>0.67696330132891291</v>
      </c>
      <c r="U102" s="99">
        <f t="shared" si="132"/>
        <v>0.68660674375446717</v>
      </c>
      <c r="V102" s="99">
        <f t="shared" si="132"/>
        <v>0.67800625801113301</v>
      </c>
      <c r="W102" s="99">
        <f t="shared" si="132"/>
        <v>0.68685274949129493</v>
      </c>
      <c r="X102" s="99">
        <f t="shared" si="132"/>
        <v>0.68425026662102506</v>
      </c>
      <c r="Y102" s="99">
        <f t="shared" si="132"/>
        <v>0.67673196877750641</v>
      </c>
      <c r="Z102" s="99">
        <f t="shared" si="132"/>
        <v>0.68463629113242941</v>
      </c>
      <c r="AA102" s="99">
        <f t="shared" si="132"/>
        <v>0.68239280673493619</v>
      </c>
      <c r="AB102" s="99">
        <f t="shared" si="132"/>
        <v>0.68969453828543892</v>
      </c>
      <c r="AC102" s="99">
        <f t="shared" si="132"/>
        <v>0.68021058678243973</v>
      </c>
      <c r="AD102" s="99">
        <f t="shared" si="132"/>
        <v>0.68089102972888382</v>
      </c>
      <c r="AE102" s="99">
        <f t="shared" si="132"/>
        <v>0.687539515388775</v>
      </c>
      <c r="AF102" s="166">
        <f t="shared" ref="AF102" si="133">AF104/AF$100</f>
        <v>0.68305214820517246</v>
      </c>
    </row>
    <row r="103" spans="1:32" s="71" customFormat="1" ht="16" x14ac:dyDescent="0.2">
      <c r="E103" s="94" t="s">
        <v>92</v>
      </c>
      <c r="F103" s="88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122"/>
      <c r="T103" s="87">
        <f>T152</f>
        <v>95267.943973366739</v>
      </c>
      <c r="U103" s="87">
        <f t="shared" ref="U103:AE103" si="134">U152</f>
        <v>85017.301187027493</v>
      </c>
      <c r="V103" s="87">
        <f t="shared" si="134"/>
        <v>103730.17788811118</v>
      </c>
      <c r="W103" s="87">
        <f t="shared" si="134"/>
        <v>109695.40097474771</v>
      </c>
      <c r="X103" s="87">
        <f t="shared" si="134"/>
        <v>115615.39025511152</v>
      </c>
      <c r="Y103" s="87">
        <f t="shared" si="134"/>
        <v>124404.29342283202</v>
      </c>
      <c r="Z103" s="87">
        <f t="shared" si="134"/>
        <v>131568.37537838359</v>
      </c>
      <c r="AA103" s="87">
        <f t="shared" si="134"/>
        <v>137761.17330024834</v>
      </c>
      <c r="AB103" s="87">
        <f t="shared" si="134"/>
        <v>137863.73218086804</v>
      </c>
      <c r="AC103" s="87">
        <f t="shared" si="134"/>
        <v>161758.29510593513</v>
      </c>
      <c r="AD103" s="87">
        <f t="shared" si="134"/>
        <v>161886.58581410893</v>
      </c>
      <c r="AE103" s="87">
        <f t="shared" si="134"/>
        <v>162015.10454718591</v>
      </c>
      <c r="AF103" s="125">
        <f>SUM(T103:AE103)</f>
        <v>1526583.7740279264</v>
      </c>
    </row>
    <row r="104" spans="1:32" s="71" customFormat="1" ht="16" x14ac:dyDescent="0.2">
      <c r="E104" s="94" t="s">
        <v>93</v>
      </c>
      <c r="F104" s="88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122"/>
      <c r="T104" s="87">
        <f>T165</f>
        <v>199645.74343515778</v>
      </c>
      <c r="U104" s="87">
        <f t="shared" ref="U104:AE104" si="135">U165</f>
        <v>186262.63063262642</v>
      </c>
      <c r="V104" s="87">
        <f t="shared" si="135"/>
        <v>218419.49262224828</v>
      </c>
      <c r="W104" s="87">
        <f t="shared" si="135"/>
        <v>240604.34074914869</v>
      </c>
      <c r="X104" s="87">
        <f t="shared" si="135"/>
        <v>250546.09155474149</v>
      </c>
      <c r="Y104" s="87">
        <f t="shared" si="135"/>
        <v>260428.97620910723</v>
      </c>
      <c r="Z104" s="87">
        <f t="shared" si="135"/>
        <v>285627.29957999481</v>
      </c>
      <c r="AA104" s="87">
        <f t="shared" si="135"/>
        <v>295985.84572673484</v>
      </c>
      <c r="AB104" s="87">
        <f t="shared" si="135"/>
        <v>306420.20474733203</v>
      </c>
      <c r="AC104" s="87">
        <f t="shared" si="135"/>
        <v>344069.25396269892</v>
      </c>
      <c r="AD104" s="87">
        <f t="shared" si="135"/>
        <v>345421.57815436088</v>
      </c>
      <c r="AE104" s="87">
        <f t="shared" si="135"/>
        <v>356498.79569453991</v>
      </c>
      <c r="AF104" s="125">
        <f>SUM(T104:AE104)</f>
        <v>3289930.2530686911</v>
      </c>
    </row>
    <row r="105" spans="1:32" s="71" customFormat="1" ht="16" x14ac:dyDescent="0.2"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123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129"/>
    </row>
    <row r="106" spans="1:32" s="71" customFormat="1" x14ac:dyDescent="0.2"/>
    <row r="107" spans="1:32" s="71" customFormat="1" x14ac:dyDescent="0.2"/>
    <row r="108" spans="1:32" s="71" customFormat="1" ht="16" x14ac:dyDescent="0.2">
      <c r="E108" s="181" t="s">
        <v>97</v>
      </c>
    </row>
    <row r="109" spans="1:32" ht="16" x14ac:dyDescent="0.2">
      <c r="E109" s="2"/>
      <c r="F109" s="2"/>
      <c r="H109" s="6"/>
      <c r="M109" s="5"/>
    </row>
    <row r="110" spans="1:32" ht="26.5" customHeight="1" x14ac:dyDescent="0.2">
      <c r="E110" s="160" t="s">
        <v>98</v>
      </c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3"/>
      <c r="Q110" s="333"/>
      <c r="R110" s="333"/>
      <c r="S110" s="334"/>
      <c r="T110" s="9">
        <f>T$7</f>
        <v>46023</v>
      </c>
      <c r="U110" s="9">
        <f t="shared" ref="U110:AF110" si="136">U$7</f>
        <v>46054</v>
      </c>
      <c r="V110" s="9">
        <f t="shared" si="136"/>
        <v>46082</v>
      </c>
      <c r="W110" s="9">
        <f t="shared" si="136"/>
        <v>46113</v>
      </c>
      <c r="X110" s="9">
        <f t="shared" si="136"/>
        <v>46143</v>
      </c>
      <c r="Y110" s="9">
        <f t="shared" si="136"/>
        <v>46174</v>
      </c>
      <c r="Z110" s="9">
        <f t="shared" si="136"/>
        <v>46204</v>
      </c>
      <c r="AA110" s="9">
        <f t="shared" si="136"/>
        <v>46235</v>
      </c>
      <c r="AB110" s="9">
        <f t="shared" si="136"/>
        <v>46266</v>
      </c>
      <c r="AC110" s="9">
        <f t="shared" si="136"/>
        <v>46296</v>
      </c>
      <c r="AD110" s="9">
        <f t="shared" si="136"/>
        <v>46327</v>
      </c>
      <c r="AE110" s="9">
        <f t="shared" si="136"/>
        <v>46357</v>
      </c>
      <c r="AF110" s="41" t="str">
        <f t="shared" si="136"/>
        <v>FY26</v>
      </c>
    </row>
    <row r="111" spans="1:32" ht="16" x14ac:dyDescent="0.2">
      <c r="A111" s="21" t="s">
        <v>13</v>
      </c>
      <c r="E111" s="10" t="s">
        <v>99</v>
      </c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307"/>
    </row>
    <row r="112" spans="1:32" ht="16" x14ac:dyDescent="0.2">
      <c r="A112" s="21" t="s">
        <v>13</v>
      </c>
      <c r="E112" s="232" t="s">
        <v>63</v>
      </c>
      <c r="F112" s="233" t="s">
        <v>64</v>
      </c>
      <c r="G112" s="109">
        <v>74207</v>
      </c>
      <c r="H112" s="109">
        <v>60313</v>
      </c>
      <c r="I112" s="109">
        <v>77093</v>
      </c>
      <c r="J112" s="109">
        <v>84945</v>
      </c>
      <c r="K112" s="109">
        <v>87451</v>
      </c>
      <c r="L112" s="109">
        <v>95171</v>
      </c>
      <c r="M112" s="109">
        <v>115323</v>
      </c>
      <c r="N112" s="109">
        <v>119690</v>
      </c>
      <c r="O112" s="109">
        <v>128936</v>
      </c>
      <c r="P112" s="336"/>
      <c r="Q112" s="336"/>
      <c r="R112" s="336"/>
      <c r="S112" s="336"/>
      <c r="T112" s="336">
        <f t="shared" ref="T112:AE112" si="137">T69</f>
        <v>102572.81308720919</v>
      </c>
      <c r="U112" s="336">
        <f t="shared" si="137"/>
        <v>91536.18079837902</v>
      </c>
      <c r="V112" s="336">
        <f t="shared" si="137"/>
        <v>102866.75599507404</v>
      </c>
      <c r="W112" s="336">
        <f t="shared" si="137"/>
        <v>108782.32618113028</v>
      </c>
      <c r="X112" s="336">
        <f t="shared" si="137"/>
        <v>108920.38712111724</v>
      </c>
      <c r="Y112" s="336">
        <f t="shared" si="137"/>
        <v>109023.57814365547</v>
      </c>
      <c r="Z112" s="336">
        <f t="shared" si="137"/>
        <v>115301.92937590704</v>
      </c>
      <c r="AA112" s="336">
        <f t="shared" si="137"/>
        <v>115363.34425921855</v>
      </c>
      <c r="AB112" s="336">
        <f t="shared" si="137"/>
        <v>115449.22865732816</v>
      </c>
      <c r="AC112" s="336">
        <f t="shared" si="137"/>
        <v>121913.01579565566</v>
      </c>
      <c r="AD112" s="336">
        <f t="shared" si="137"/>
        <v>122009.70516247785</v>
      </c>
      <c r="AE112" s="336">
        <f t="shared" si="137"/>
        <v>122106.56638573314</v>
      </c>
      <c r="AF112" s="337">
        <f>SUM(T112:AE112)</f>
        <v>1335845.8309628856</v>
      </c>
    </row>
    <row r="113" spans="1:44" ht="16" x14ac:dyDescent="0.2">
      <c r="A113" s="21" t="s">
        <v>13</v>
      </c>
      <c r="E113" s="232" t="s">
        <v>65</v>
      </c>
      <c r="F113" s="233" t="s">
        <v>66</v>
      </c>
      <c r="G113" s="110">
        <v>1</v>
      </c>
      <c r="H113" s="110">
        <v>1</v>
      </c>
      <c r="I113" s="110">
        <v>0.99993514326851984</v>
      </c>
      <c r="J113" s="110">
        <v>0.99997645535346402</v>
      </c>
      <c r="K113" s="110">
        <v>1</v>
      </c>
      <c r="L113" s="110">
        <v>1</v>
      </c>
      <c r="M113" s="110">
        <v>1</v>
      </c>
      <c r="N113" s="110">
        <v>0.99999164508313143</v>
      </c>
      <c r="O113" s="110">
        <v>0.99999224421418376</v>
      </c>
      <c r="P113" s="237"/>
      <c r="Q113" s="237"/>
      <c r="R113" s="237"/>
      <c r="S113" s="338"/>
      <c r="T113" s="244">
        <v>1</v>
      </c>
      <c r="U113" s="244">
        <v>1</v>
      </c>
      <c r="V113" s="244">
        <v>1</v>
      </c>
      <c r="W113" s="244">
        <v>1</v>
      </c>
      <c r="X113" s="244">
        <v>1</v>
      </c>
      <c r="Y113" s="244">
        <v>1</v>
      </c>
      <c r="Z113" s="244">
        <v>1</v>
      </c>
      <c r="AA113" s="244">
        <v>1</v>
      </c>
      <c r="AB113" s="244">
        <v>1</v>
      </c>
      <c r="AC113" s="244">
        <v>1</v>
      </c>
      <c r="AD113" s="244">
        <v>1</v>
      </c>
      <c r="AE113" s="244">
        <v>1</v>
      </c>
      <c r="AF113" s="284">
        <v>1</v>
      </c>
    </row>
    <row r="114" spans="1:44" ht="16" x14ac:dyDescent="0.2">
      <c r="A114" s="21" t="s">
        <v>13</v>
      </c>
      <c r="E114" s="232" t="s">
        <v>67</v>
      </c>
      <c r="F114" s="233" t="s">
        <v>66</v>
      </c>
      <c r="G114" s="110">
        <v>0.99517565728300561</v>
      </c>
      <c r="H114" s="110">
        <v>0.99360005305655497</v>
      </c>
      <c r="I114" s="110">
        <v>0.99523920713989211</v>
      </c>
      <c r="J114" s="110">
        <v>0.99338379854726111</v>
      </c>
      <c r="K114" s="110">
        <v>0.9952430503939349</v>
      </c>
      <c r="L114" s="110">
        <v>0.99742568639606599</v>
      </c>
      <c r="M114" s="110">
        <v>0.9986906341319598</v>
      </c>
      <c r="N114" s="110">
        <v>0.99060899497865296</v>
      </c>
      <c r="O114" s="110">
        <v>0.99794470081824171</v>
      </c>
      <c r="P114" s="237"/>
      <c r="Q114" s="237"/>
      <c r="R114" s="237"/>
      <c r="S114" s="338"/>
      <c r="T114" s="244">
        <v>1</v>
      </c>
      <c r="U114" s="244">
        <v>1</v>
      </c>
      <c r="V114" s="244">
        <v>1</v>
      </c>
      <c r="W114" s="244">
        <v>1</v>
      </c>
      <c r="X114" s="244">
        <v>1</v>
      </c>
      <c r="Y114" s="244">
        <v>1</v>
      </c>
      <c r="Z114" s="244">
        <v>1</v>
      </c>
      <c r="AA114" s="244">
        <v>1</v>
      </c>
      <c r="AB114" s="244">
        <v>1</v>
      </c>
      <c r="AC114" s="244">
        <v>1</v>
      </c>
      <c r="AD114" s="244">
        <v>1</v>
      </c>
      <c r="AE114" s="244">
        <v>1</v>
      </c>
      <c r="AF114" s="284">
        <v>1</v>
      </c>
    </row>
    <row r="115" spans="1:44" ht="16" x14ac:dyDescent="0.2">
      <c r="A115" s="21" t="s">
        <v>13</v>
      </c>
      <c r="E115" s="232" t="s">
        <v>68</v>
      </c>
      <c r="F115" s="233" t="s">
        <v>66</v>
      </c>
      <c r="G115" s="110">
        <v>0.18518869585234735</v>
      </c>
      <c r="H115" s="110">
        <v>0.15719124935337994</v>
      </c>
      <c r="I115" s="110">
        <v>0.18396527678210658</v>
      </c>
      <c r="J115" s="110">
        <v>0.14632440952347092</v>
      </c>
      <c r="K115" s="110">
        <v>0.14203481358074338</v>
      </c>
      <c r="L115" s="110">
        <v>0.15299285759433665</v>
      </c>
      <c r="M115" s="110">
        <v>0.16199249817664016</v>
      </c>
      <c r="N115" s="110">
        <v>0.13811833171677981</v>
      </c>
      <c r="O115" s="110">
        <v>0.14425273956633247</v>
      </c>
      <c r="P115" s="339"/>
      <c r="Q115" s="339"/>
      <c r="R115" s="339"/>
      <c r="S115" s="338"/>
      <c r="T115" s="238">
        <v>0.18</v>
      </c>
      <c r="U115" s="238">
        <v>0.18181818181818182</v>
      </c>
      <c r="V115" s="238">
        <v>0.18363636363636365</v>
      </c>
      <c r="W115" s="238">
        <v>0.18545454545454548</v>
      </c>
      <c r="X115" s="238">
        <v>0.18727272727272731</v>
      </c>
      <c r="Y115" s="238">
        <v>0.18909090909090914</v>
      </c>
      <c r="Z115" s="238">
        <v>0.19090909090909097</v>
      </c>
      <c r="AA115" s="238">
        <v>0.1927272727272728</v>
      </c>
      <c r="AB115" s="238">
        <v>0.19454545454545463</v>
      </c>
      <c r="AC115" s="238">
        <v>0.19636363636363646</v>
      </c>
      <c r="AD115" s="238">
        <v>0.19818181818181829</v>
      </c>
      <c r="AE115" s="238">
        <v>0.20000000000000012</v>
      </c>
      <c r="AF115" s="284">
        <f>AF116/AF112</f>
        <v>0.19046371611249696</v>
      </c>
      <c r="AL115" s="20"/>
      <c r="AM115" s="4"/>
    </row>
    <row r="116" spans="1:44" ht="16" x14ac:dyDescent="0.2">
      <c r="A116" s="21" t="s">
        <v>13</v>
      </c>
      <c r="E116" s="232" t="s">
        <v>69</v>
      </c>
      <c r="F116" s="233" t="s">
        <v>64</v>
      </c>
      <c r="G116" s="111">
        <f t="shared" ref="G116:O116" si="138">G112*G113*G114*G115</f>
        <v>13676</v>
      </c>
      <c r="H116" s="111">
        <f t="shared" si="138"/>
        <v>9420</v>
      </c>
      <c r="I116" s="111">
        <f t="shared" si="138"/>
        <v>14114</v>
      </c>
      <c r="J116" s="111">
        <f t="shared" si="138"/>
        <v>12347</v>
      </c>
      <c r="K116" s="111">
        <f t="shared" si="138"/>
        <v>12362</v>
      </c>
      <c r="L116" s="111">
        <f t="shared" si="138"/>
        <v>14523</v>
      </c>
      <c r="M116" s="111">
        <f t="shared" si="138"/>
        <v>18657</v>
      </c>
      <c r="N116" s="111">
        <f t="shared" si="138"/>
        <v>16375.999999999998</v>
      </c>
      <c r="O116" s="111">
        <f t="shared" si="138"/>
        <v>18561</v>
      </c>
      <c r="P116" s="336"/>
      <c r="Q116" s="336"/>
      <c r="R116" s="336"/>
      <c r="S116" s="336"/>
      <c r="T116" s="336">
        <f>T112*T113*T114*T115</f>
        <v>18463.106355697651</v>
      </c>
      <c r="U116" s="336">
        <f t="shared" ref="U116:AE116" si="139">U112*U113*U114*U115</f>
        <v>16642.94196334164</v>
      </c>
      <c r="V116" s="336">
        <f t="shared" si="139"/>
        <v>18890.077010004508</v>
      </c>
      <c r="W116" s="336">
        <f t="shared" si="139"/>
        <v>20174.17685540962</v>
      </c>
      <c r="X116" s="336">
        <f t="shared" si="139"/>
        <v>20397.817951772868</v>
      </c>
      <c r="Y116" s="336">
        <f t="shared" si="139"/>
        <v>20615.367503527585</v>
      </c>
      <c r="Z116" s="336">
        <f t="shared" si="139"/>
        <v>22012.186517218626</v>
      </c>
      <c r="AA116" s="336">
        <f t="shared" si="139"/>
        <v>22233.662711776673</v>
      </c>
      <c r="AB116" s="336">
        <f t="shared" si="139"/>
        <v>22460.122666062034</v>
      </c>
      <c r="AC116" s="336">
        <f t="shared" si="139"/>
        <v>23939.283101692396</v>
      </c>
      <c r="AD116" s="336">
        <f t="shared" si="139"/>
        <v>24180.105204927444</v>
      </c>
      <c r="AE116" s="336">
        <f t="shared" si="139"/>
        <v>24421.313277146641</v>
      </c>
      <c r="AF116" s="272">
        <f>SUM(T116:AE116)</f>
        <v>254430.16111857767</v>
      </c>
    </row>
    <row r="117" spans="1:44" ht="16" x14ac:dyDescent="0.2">
      <c r="A117" s="21" t="s">
        <v>13</v>
      </c>
      <c r="E117" s="232" t="s">
        <v>44</v>
      </c>
      <c r="F117" s="233" t="s">
        <v>66</v>
      </c>
      <c r="G117" s="110">
        <v>0.83152968704299501</v>
      </c>
      <c r="H117" s="110">
        <v>0.84936305732484074</v>
      </c>
      <c r="I117" s="110">
        <v>0.85772991356100325</v>
      </c>
      <c r="J117" s="110">
        <v>0.870008909046732</v>
      </c>
      <c r="K117" s="110">
        <v>0.87259343148357871</v>
      </c>
      <c r="L117" s="110">
        <v>0.87302898850099842</v>
      </c>
      <c r="M117" s="110">
        <v>0.87672187382751787</v>
      </c>
      <c r="N117" s="110">
        <v>0.85417684416218853</v>
      </c>
      <c r="O117" s="110">
        <v>0.87479122892085559</v>
      </c>
      <c r="P117" s="339"/>
      <c r="Q117" s="339"/>
      <c r="R117" s="339"/>
      <c r="S117" s="338"/>
      <c r="T117" s="238">
        <v>0.87</v>
      </c>
      <c r="U117" s="238">
        <v>0.87</v>
      </c>
      <c r="V117" s="238">
        <v>0.87</v>
      </c>
      <c r="W117" s="238">
        <v>0.87</v>
      </c>
      <c r="X117" s="238">
        <v>0.87</v>
      </c>
      <c r="Y117" s="238">
        <v>0.87</v>
      </c>
      <c r="Z117" s="238">
        <v>0.87</v>
      </c>
      <c r="AA117" s="238">
        <v>0.87</v>
      </c>
      <c r="AB117" s="238">
        <v>0.87</v>
      </c>
      <c r="AC117" s="238">
        <v>0.87</v>
      </c>
      <c r="AD117" s="238">
        <v>0.87</v>
      </c>
      <c r="AE117" s="238">
        <v>0.87</v>
      </c>
      <c r="AF117" s="284">
        <f>AF118/AF116</f>
        <v>0.87</v>
      </c>
    </row>
    <row r="118" spans="1:44" ht="16" x14ac:dyDescent="0.2">
      <c r="A118" s="21" t="s">
        <v>13</v>
      </c>
      <c r="E118" s="232" t="s">
        <v>70</v>
      </c>
      <c r="F118" s="233" t="s">
        <v>64</v>
      </c>
      <c r="G118" s="111">
        <f t="shared" ref="G118:O118" si="140">G116*G117</f>
        <v>11372</v>
      </c>
      <c r="H118" s="111">
        <f t="shared" si="140"/>
        <v>8001</v>
      </c>
      <c r="I118" s="111">
        <f t="shared" si="140"/>
        <v>12106</v>
      </c>
      <c r="J118" s="111">
        <f t="shared" si="140"/>
        <v>10742</v>
      </c>
      <c r="K118" s="111">
        <f t="shared" si="140"/>
        <v>10787</v>
      </c>
      <c r="L118" s="111">
        <f t="shared" si="140"/>
        <v>12679</v>
      </c>
      <c r="M118" s="111">
        <f t="shared" si="140"/>
        <v>16357.000000000002</v>
      </c>
      <c r="N118" s="111">
        <f t="shared" si="140"/>
        <v>13987.999999999998</v>
      </c>
      <c r="O118" s="111">
        <f t="shared" si="140"/>
        <v>16237</v>
      </c>
      <c r="P118" s="336"/>
      <c r="Q118" s="336"/>
      <c r="R118" s="336"/>
      <c r="S118" s="336"/>
      <c r="T118" s="239">
        <f>T116*T117</f>
        <v>16062.902529456956</v>
      </c>
      <c r="U118" s="239">
        <f t="shared" ref="U118:AE118" si="141">U116*U117</f>
        <v>14479.359508107227</v>
      </c>
      <c r="V118" s="239">
        <f t="shared" si="141"/>
        <v>16434.366998703921</v>
      </c>
      <c r="W118" s="239">
        <f t="shared" si="141"/>
        <v>17551.533864206369</v>
      </c>
      <c r="X118" s="239">
        <f t="shared" si="141"/>
        <v>17746.101618042394</v>
      </c>
      <c r="Y118" s="239">
        <f t="shared" si="141"/>
        <v>17935.369728068999</v>
      </c>
      <c r="Z118" s="239">
        <f t="shared" si="141"/>
        <v>19150.602269980205</v>
      </c>
      <c r="AA118" s="239">
        <f t="shared" si="141"/>
        <v>19343.286559245706</v>
      </c>
      <c r="AB118" s="239">
        <f t="shared" si="141"/>
        <v>19540.306719473971</v>
      </c>
      <c r="AC118" s="239">
        <f t="shared" si="141"/>
        <v>20827.176298472383</v>
      </c>
      <c r="AD118" s="239">
        <f t="shared" si="141"/>
        <v>21036.691528286876</v>
      </c>
      <c r="AE118" s="239">
        <f t="shared" si="141"/>
        <v>21246.542551117578</v>
      </c>
      <c r="AF118" s="272">
        <f>SUM(T118:AE118)</f>
        <v>221354.24017316257</v>
      </c>
    </row>
    <row r="119" spans="1:44" ht="16" x14ac:dyDescent="0.2">
      <c r="A119" s="21" t="s">
        <v>13</v>
      </c>
      <c r="E119" s="232" t="s">
        <v>71</v>
      </c>
      <c r="F119" s="233" t="s">
        <v>66</v>
      </c>
      <c r="G119" s="110">
        <v>1</v>
      </c>
      <c r="H119" s="110">
        <v>0.99962504686914133</v>
      </c>
      <c r="I119" s="110">
        <v>1</v>
      </c>
      <c r="J119" s="110">
        <v>1</v>
      </c>
      <c r="K119" s="110">
        <v>0.99990729581904148</v>
      </c>
      <c r="L119" s="110">
        <v>0.99968451770644373</v>
      </c>
      <c r="M119" s="110">
        <v>1</v>
      </c>
      <c r="N119" s="110">
        <v>1</v>
      </c>
      <c r="O119" s="110">
        <v>1</v>
      </c>
      <c r="P119" s="339"/>
      <c r="Q119" s="339"/>
      <c r="R119" s="339"/>
      <c r="S119" s="338"/>
      <c r="T119" s="244">
        <v>1</v>
      </c>
      <c r="U119" s="244">
        <v>1</v>
      </c>
      <c r="V119" s="244">
        <v>1</v>
      </c>
      <c r="W119" s="244">
        <v>1</v>
      </c>
      <c r="X119" s="244">
        <v>1</v>
      </c>
      <c r="Y119" s="244">
        <v>1</v>
      </c>
      <c r="Z119" s="244">
        <v>1</v>
      </c>
      <c r="AA119" s="244">
        <v>1</v>
      </c>
      <c r="AB119" s="244">
        <v>1</v>
      </c>
      <c r="AC119" s="244">
        <v>1</v>
      </c>
      <c r="AD119" s="244">
        <v>1</v>
      </c>
      <c r="AE119" s="244">
        <v>1</v>
      </c>
      <c r="AF119" s="284">
        <v>1</v>
      </c>
    </row>
    <row r="120" spans="1:44" ht="16" x14ac:dyDescent="0.2">
      <c r="A120" s="21" t="s">
        <v>13</v>
      </c>
      <c r="E120" s="232" t="s">
        <v>72</v>
      </c>
      <c r="F120" s="233" t="s">
        <v>66</v>
      </c>
      <c r="G120" s="111">
        <f t="shared" ref="G120:O120" si="142">G118*G119</f>
        <v>11372</v>
      </c>
      <c r="H120" s="111">
        <f t="shared" si="142"/>
        <v>7998</v>
      </c>
      <c r="I120" s="111">
        <f t="shared" si="142"/>
        <v>12106</v>
      </c>
      <c r="J120" s="111">
        <f t="shared" si="142"/>
        <v>10742</v>
      </c>
      <c r="K120" s="111">
        <f t="shared" si="142"/>
        <v>10786</v>
      </c>
      <c r="L120" s="111">
        <f t="shared" si="142"/>
        <v>12675</v>
      </c>
      <c r="M120" s="111">
        <f t="shared" si="142"/>
        <v>16357.000000000002</v>
      </c>
      <c r="N120" s="111">
        <f t="shared" si="142"/>
        <v>13987.999999999998</v>
      </c>
      <c r="O120" s="111">
        <f t="shared" si="142"/>
        <v>16237</v>
      </c>
      <c r="P120" s="340"/>
      <c r="Q120" s="340"/>
      <c r="R120" s="340"/>
      <c r="S120" s="336"/>
      <c r="T120" s="239">
        <f>T118*T119</f>
        <v>16062.902529456956</v>
      </c>
      <c r="U120" s="239">
        <f t="shared" ref="U120:AE120" si="143">U118*U119</f>
        <v>14479.359508107227</v>
      </c>
      <c r="V120" s="239">
        <f t="shared" si="143"/>
        <v>16434.366998703921</v>
      </c>
      <c r="W120" s="239">
        <f t="shared" si="143"/>
        <v>17551.533864206369</v>
      </c>
      <c r="X120" s="239">
        <f t="shared" si="143"/>
        <v>17746.101618042394</v>
      </c>
      <c r="Y120" s="239">
        <f t="shared" si="143"/>
        <v>17935.369728068999</v>
      </c>
      <c r="Z120" s="239">
        <f t="shared" si="143"/>
        <v>19150.602269980205</v>
      </c>
      <c r="AA120" s="239">
        <f t="shared" si="143"/>
        <v>19343.286559245706</v>
      </c>
      <c r="AB120" s="239">
        <f t="shared" si="143"/>
        <v>19540.306719473971</v>
      </c>
      <c r="AC120" s="239">
        <f t="shared" si="143"/>
        <v>20827.176298472383</v>
      </c>
      <c r="AD120" s="239">
        <f t="shared" si="143"/>
        <v>21036.691528286876</v>
      </c>
      <c r="AE120" s="239">
        <f t="shared" si="143"/>
        <v>21246.542551117578</v>
      </c>
      <c r="AF120" s="272">
        <f>SUM(T120:AE120)</f>
        <v>221354.24017316257</v>
      </c>
    </row>
    <row r="121" spans="1:44" ht="16" x14ac:dyDescent="0.2">
      <c r="A121" s="21" t="s">
        <v>13</v>
      </c>
      <c r="E121" s="232" t="s">
        <v>73</v>
      </c>
      <c r="F121" s="233" t="s">
        <v>64</v>
      </c>
      <c r="G121" s="112">
        <f t="shared" ref="G121:N121" si="144">G122/G120</f>
        <v>10.704054695743846</v>
      </c>
      <c r="H121" s="112">
        <f t="shared" si="144"/>
        <v>10.83797699424855</v>
      </c>
      <c r="I121" s="112">
        <f t="shared" si="144"/>
        <v>11.061376177102181</v>
      </c>
      <c r="J121" s="112">
        <f t="shared" si="144"/>
        <v>14.174525228076616</v>
      </c>
      <c r="K121" s="112">
        <f t="shared" si="144"/>
        <v>14.812627480066753</v>
      </c>
      <c r="L121" s="112">
        <f t="shared" si="144"/>
        <v>14.381916370808678</v>
      </c>
      <c r="M121" s="112">
        <f t="shared" si="144"/>
        <v>14.928591428746101</v>
      </c>
      <c r="N121" s="112">
        <f t="shared" si="144"/>
        <v>14.749375893623107</v>
      </c>
      <c r="O121" s="112">
        <v>18.654428137355946</v>
      </c>
      <c r="P121" s="341"/>
      <c r="Q121" s="247"/>
      <c r="R121" s="341"/>
      <c r="S121" s="342"/>
      <c r="T121" s="248">
        <v>18</v>
      </c>
      <c r="U121" s="248">
        <v>18</v>
      </c>
      <c r="V121" s="248">
        <v>18</v>
      </c>
      <c r="W121" s="248">
        <v>18</v>
      </c>
      <c r="X121" s="248">
        <v>18</v>
      </c>
      <c r="Y121" s="248">
        <v>18</v>
      </c>
      <c r="Z121" s="248">
        <v>18</v>
      </c>
      <c r="AA121" s="248">
        <v>18</v>
      </c>
      <c r="AB121" s="248">
        <v>18</v>
      </c>
      <c r="AC121" s="248">
        <v>18</v>
      </c>
      <c r="AD121" s="248">
        <v>18</v>
      </c>
      <c r="AE121" s="248">
        <v>18</v>
      </c>
      <c r="AF121" s="291">
        <f>AF122/AF120</f>
        <v>18</v>
      </c>
    </row>
    <row r="122" spans="1:44" ht="16" x14ac:dyDescent="0.2">
      <c r="A122" s="21" t="s">
        <v>13</v>
      </c>
      <c r="E122" s="232" t="s">
        <v>75</v>
      </c>
      <c r="F122" s="233" t="s">
        <v>74</v>
      </c>
      <c r="G122" s="109">
        <v>121726.50999999901</v>
      </c>
      <c r="H122" s="109">
        <v>86682.139999999898</v>
      </c>
      <c r="I122" s="109">
        <v>133909.019999999</v>
      </c>
      <c r="J122" s="109">
        <v>152262.74999999901</v>
      </c>
      <c r="K122" s="109">
        <v>159769</v>
      </c>
      <c r="L122" s="109">
        <v>182290.79</v>
      </c>
      <c r="M122" s="109">
        <v>244186.97</v>
      </c>
      <c r="N122" s="109">
        <v>206314.27</v>
      </c>
      <c r="O122" s="109">
        <v>294105.46000000002</v>
      </c>
      <c r="P122" s="247"/>
      <c r="Q122" s="342"/>
      <c r="R122" s="233"/>
      <c r="S122" s="247"/>
      <c r="T122" s="234">
        <f t="shared" ref="T122:AE122" si="145">T120*T121</f>
        <v>289132.24553022522</v>
      </c>
      <c r="U122" s="234">
        <f t="shared" si="145"/>
        <v>260628.47114593009</v>
      </c>
      <c r="V122" s="234">
        <f t="shared" si="145"/>
        <v>295818.60597667057</v>
      </c>
      <c r="W122" s="234">
        <f t="shared" si="145"/>
        <v>315927.60955571465</v>
      </c>
      <c r="X122" s="234">
        <f t="shared" si="145"/>
        <v>319429.82912476308</v>
      </c>
      <c r="Y122" s="234">
        <f t="shared" si="145"/>
        <v>322836.65510524198</v>
      </c>
      <c r="Z122" s="234">
        <f t="shared" si="145"/>
        <v>344710.84085964371</v>
      </c>
      <c r="AA122" s="234">
        <f t="shared" si="145"/>
        <v>348179.15806642268</v>
      </c>
      <c r="AB122" s="234">
        <f t="shared" si="145"/>
        <v>351725.52095053147</v>
      </c>
      <c r="AC122" s="234">
        <f t="shared" si="145"/>
        <v>374889.1733725029</v>
      </c>
      <c r="AD122" s="234">
        <f t="shared" si="145"/>
        <v>378660.44750916376</v>
      </c>
      <c r="AE122" s="234">
        <f t="shared" si="145"/>
        <v>382437.76592011639</v>
      </c>
      <c r="AF122" s="343">
        <f>SUM(T122:AE122)</f>
        <v>3984376.3231169265</v>
      </c>
      <c r="AG122" s="5"/>
    </row>
    <row r="123" spans="1:44" ht="16" x14ac:dyDescent="0.2">
      <c r="E123" s="344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345"/>
      <c r="AG123" s="5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</row>
    <row r="124" spans="1:44" ht="16" x14ac:dyDescent="0.2">
      <c r="A124" s="21" t="s">
        <v>13</v>
      </c>
      <c r="E124" s="11" t="s">
        <v>100</v>
      </c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345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</row>
    <row r="125" spans="1:44" ht="16" x14ac:dyDescent="0.2">
      <c r="A125" s="21" t="s">
        <v>13</v>
      </c>
      <c r="E125" s="232" t="s">
        <v>63</v>
      </c>
      <c r="F125" s="233" t="s">
        <v>64</v>
      </c>
      <c r="G125" s="233"/>
      <c r="H125" s="233"/>
      <c r="I125" s="233"/>
      <c r="J125" s="233"/>
      <c r="K125" s="233"/>
      <c r="L125" s="233"/>
      <c r="M125" s="233"/>
      <c r="N125" s="233"/>
      <c r="O125" s="247"/>
      <c r="P125" s="336"/>
      <c r="Q125" s="336"/>
      <c r="R125" s="336"/>
      <c r="S125" s="336"/>
      <c r="T125" s="336">
        <f t="shared" ref="T125:AE125" si="146">T70</f>
        <v>25643.203271802289</v>
      </c>
      <c r="U125" s="336">
        <f t="shared" si="146"/>
        <v>22884.045199594748</v>
      </c>
      <c r="V125" s="336">
        <f t="shared" si="146"/>
        <v>25716.688998768503</v>
      </c>
      <c r="W125" s="336">
        <f t="shared" si="146"/>
        <v>27195.581545282563</v>
      </c>
      <c r="X125" s="336">
        <f t="shared" si="146"/>
        <v>27230.096780279302</v>
      </c>
      <c r="Y125" s="336">
        <f t="shared" si="146"/>
        <v>27255.89453591386</v>
      </c>
      <c r="Z125" s="336">
        <f t="shared" si="146"/>
        <v>28825.482343976753</v>
      </c>
      <c r="AA125" s="336">
        <f t="shared" si="146"/>
        <v>28840.836064804629</v>
      </c>
      <c r="AB125" s="336">
        <f t="shared" si="146"/>
        <v>28862.307164332033</v>
      </c>
      <c r="AC125" s="336">
        <f t="shared" si="146"/>
        <v>30478.253948913909</v>
      </c>
      <c r="AD125" s="336">
        <f t="shared" si="146"/>
        <v>30502.426290619453</v>
      </c>
      <c r="AE125" s="336">
        <f t="shared" si="146"/>
        <v>30526.641596433274</v>
      </c>
      <c r="AF125" s="337">
        <f>SUM(T125:AE125)</f>
        <v>333961.45774072135</v>
      </c>
    </row>
    <row r="126" spans="1:44" ht="16" x14ac:dyDescent="0.2">
      <c r="A126" s="21" t="s">
        <v>13</v>
      </c>
      <c r="E126" s="232" t="s">
        <v>65</v>
      </c>
      <c r="F126" s="233" t="s">
        <v>66</v>
      </c>
      <c r="G126" s="233"/>
      <c r="H126" s="233"/>
      <c r="I126" s="233"/>
      <c r="J126" s="233"/>
      <c r="K126" s="233"/>
      <c r="L126" s="233"/>
      <c r="M126" s="255"/>
      <c r="N126" s="255"/>
      <c r="O126" s="255"/>
      <c r="P126" s="255"/>
      <c r="Q126" s="255"/>
      <c r="R126" s="255"/>
      <c r="S126" s="338"/>
      <c r="T126" s="244">
        <v>1</v>
      </c>
      <c r="U126" s="244">
        <v>1</v>
      </c>
      <c r="V126" s="244">
        <v>1</v>
      </c>
      <c r="W126" s="244">
        <v>1</v>
      </c>
      <c r="X126" s="244">
        <v>1</v>
      </c>
      <c r="Y126" s="244">
        <v>1</v>
      </c>
      <c r="Z126" s="244">
        <v>1</v>
      </c>
      <c r="AA126" s="244">
        <v>1</v>
      </c>
      <c r="AB126" s="244">
        <v>1</v>
      </c>
      <c r="AC126" s="244">
        <v>1</v>
      </c>
      <c r="AD126" s="244">
        <v>1</v>
      </c>
      <c r="AE126" s="244">
        <v>1</v>
      </c>
      <c r="AF126" s="284">
        <v>1</v>
      </c>
    </row>
    <row r="127" spans="1:44" ht="16" x14ac:dyDescent="0.2">
      <c r="A127" s="21" t="s">
        <v>13</v>
      </c>
      <c r="E127" s="232" t="s">
        <v>67</v>
      </c>
      <c r="F127" s="233" t="s">
        <v>66</v>
      </c>
      <c r="G127" s="233"/>
      <c r="H127" s="233"/>
      <c r="I127" s="233"/>
      <c r="J127" s="233"/>
      <c r="K127" s="233"/>
      <c r="L127" s="233"/>
      <c r="M127" s="255"/>
      <c r="N127" s="255"/>
      <c r="O127" s="255"/>
      <c r="P127" s="255"/>
      <c r="Q127" s="255"/>
      <c r="R127" s="255"/>
      <c r="S127" s="338"/>
      <c r="T127" s="244">
        <v>1</v>
      </c>
      <c r="U127" s="244">
        <v>1</v>
      </c>
      <c r="V127" s="244">
        <v>1</v>
      </c>
      <c r="W127" s="244">
        <v>1</v>
      </c>
      <c r="X127" s="244">
        <v>1</v>
      </c>
      <c r="Y127" s="244">
        <v>1</v>
      </c>
      <c r="Z127" s="244">
        <v>1</v>
      </c>
      <c r="AA127" s="244">
        <v>1</v>
      </c>
      <c r="AB127" s="244">
        <v>1</v>
      </c>
      <c r="AC127" s="244">
        <v>1</v>
      </c>
      <c r="AD127" s="244">
        <v>1</v>
      </c>
      <c r="AE127" s="244">
        <v>1</v>
      </c>
      <c r="AF127" s="284">
        <v>1</v>
      </c>
    </row>
    <row r="128" spans="1:44" ht="16" x14ac:dyDescent="0.2">
      <c r="A128" s="21" t="s">
        <v>13</v>
      </c>
      <c r="E128" s="232" t="s">
        <v>68</v>
      </c>
      <c r="F128" s="233" t="s">
        <v>66</v>
      </c>
      <c r="G128" s="233"/>
      <c r="H128" s="233"/>
      <c r="I128" s="233"/>
      <c r="J128" s="233"/>
      <c r="K128" s="233"/>
      <c r="L128" s="233"/>
      <c r="M128" s="346"/>
      <c r="N128" s="346"/>
      <c r="O128" s="255"/>
      <c r="P128" s="255"/>
      <c r="Q128" s="255"/>
      <c r="R128" s="255"/>
      <c r="S128" s="338"/>
      <c r="T128" s="244">
        <v>0.2</v>
      </c>
      <c r="U128" s="244">
        <v>0.2</v>
      </c>
      <c r="V128" s="244">
        <v>0.2</v>
      </c>
      <c r="W128" s="244">
        <v>0.23</v>
      </c>
      <c r="X128" s="244">
        <v>0.23</v>
      </c>
      <c r="Y128" s="244">
        <v>0.23</v>
      </c>
      <c r="Z128" s="244">
        <v>0.28000000000000003</v>
      </c>
      <c r="AA128" s="244">
        <v>0.28000000000000003</v>
      </c>
      <c r="AB128" s="244">
        <v>0.28000000000000003</v>
      </c>
      <c r="AC128" s="244">
        <v>0.3</v>
      </c>
      <c r="AD128" s="244">
        <v>0.3</v>
      </c>
      <c r="AE128" s="244">
        <v>0.3</v>
      </c>
      <c r="AF128" s="284">
        <f>AF129/AF125</f>
        <v>0.25546588980837159</v>
      </c>
      <c r="AL128" s="4"/>
    </row>
    <row r="129" spans="1:44" ht="16" x14ac:dyDescent="0.2">
      <c r="A129" s="21" t="s">
        <v>13</v>
      </c>
      <c r="E129" s="232" t="s">
        <v>69</v>
      </c>
      <c r="F129" s="233" t="s">
        <v>64</v>
      </c>
      <c r="G129" s="233"/>
      <c r="H129" s="233"/>
      <c r="I129" s="233"/>
      <c r="J129" s="233"/>
      <c r="K129" s="233"/>
      <c r="L129" s="233"/>
      <c r="M129" s="247"/>
      <c r="N129" s="247"/>
      <c r="O129" s="247"/>
      <c r="P129" s="247"/>
      <c r="Q129" s="247"/>
      <c r="R129" s="247"/>
      <c r="S129" s="336"/>
      <c r="T129" s="236">
        <f t="shared" ref="T129:AE129" si="147">T125*T126*T127*T128</f>
        <v>5128.640654360458</v>
      </c>
      <c r="U129" s="236">
        <f t="shared" si="147"/>
        <v>4576.8090399189496</v>
      </c>
      <c r="V129" s="236">
        <f t="shared" si="147"/>
        <v>5143.3377997537009</v>
      </c>
      <c r="W129" s="236">
        <f t="shared" si="147"/>
        <v>6254.9837554149899</v>
      </c>
      <c r="X129" s="236">
        <f t="shared" si="147"/>
        <v>6262.9222594642397</v>
      </c>
      <c r="Y129" s="236">
        <f t="shared" si="147"/>
        <v>6268.8557432601883</v>
      </c>
      <c r="Z129" s="236">
        <f t="shared" si="147"/>
        <v>8071.135056313492</v>
      </c>
      <c r="AA129" s="236">
        <f t="shared" si="147"/>
        <v>8075.434098145297</v>
      </c>
      <c r="AB129" s="236">
        <f t="shared" si="147"/>
        <v>8081.4460060129695</v>
      </c>
      <c r="AC129" s="236">
        <f t="shared" si="147"/>
        <v>9143.4761846741731</v>
      </c>
      <c r="AD129" s="236">
        <f t="shared" si="147"/>
        <v>9150.7278871858362</v>
      </c>
      <c r="AE129" s="236">
        <f t="shared" si="147"/>
        <v>9157.9924789299821</v>
      </c>
      <c r="AF129" s="272">
        <f>SUM(T129:AE129)</f>
        <v>85315.760963434266</v>
      </c>
    </row>
    <row r="130" spans="1:44" ht="16" x14ac:dyDescent="0.2">
      <c r="A130" s="21" t="s">
        <v>13</v>
      </c>
      <c r="E130" s="232" t="s">
        <v>44</v>
      </c>
      <c r="F130" s="233" t="s">
        <v>66</v>
      </c>
      <c r="G130" s="233"/>
      <c r="H130" s="233"/>
      <c r="I130" s="233"/>
      <c r="J130" s="233"/>
      <c r="K130" s="233"/>
      <c r="L130" s="233"/>
      <c r="M130" s="346"/>
      <c r="N130" s="346"/>
      <c r="O130" s="347"/>
      <c r="P130" s="348"/>
      <c r="Q130" s="348"/>
      <c r="R130" s="348"/>
      <c r="S130" s="338"/>
      <c r="T130" s="244">
        <v>0.87000000000000011</v>
      </c>
      <c r="U130" s="244">
        <v>0.87000000000000011</v>
      </c>
      <c r="V130" s="244">
        <v>0.87000000000000011</v>
      </c>
      <c r="W130" s="244">
        <v>0.87000000000000011</v>
      </c>
      <c r="X130" s="244">
        <v>0.87000000000000011</v>
      </c>
      <c r="Y130" s="244">
        <v>0.87000000000000011</v>
      </c>
      <c r="Z130" s="244">
        <v>0.87000000000000011</v>
      </c>
      <c r="AA130" s="244">
        <v>0.87000000000000011</v>
      </c>
      <c r="AB130" s="244">
        <v>0.87000000000000011</v>
      </c>
      <c r="AC130" s="244">
        <v>0.87000000000000011</v>
      </c>
      <c r="AD130" s="244">
        <v>0.87000000000000011</v>
      </c>
      <c r="AE130" s="244">
        <v>0.87000000000000011</v>
      </c>
      <c r="AF130" s="284">
        <f>AF131/AF129</f>
        <v>0.87000000000000011</v>
      </c>
    </row>
    <row r="131" spans="1:44" ht="16" x14ac:dyDescent="0.2">
      <c r="A131" s="21" t="s">
        <v>13</v>
      </c>
      <c r="E131" s="232" t="s">
        <v>70</v>
      </c>
      <c r="F131" s="233" t="s">
        <v>64</v>
      </c>
      <c r="G131" s="233"/>
      <c r="H131" s="233"/>
      <c r="I131" s="233"/>
      <c r="J131" s="233"/>
      <c r="K131" s="233"/>
      <c r="L131" s="233"/>
      <c r="M131" s="247"/>
      <c r="N131" s="247"/>
      <c r="O131" s="247"/>
      <c r="P131" s="247"/>
      <c r="Q131" s="247"/>
      <c r="R131" s="247"/>
      <c r="S131" s="336"/>
      <c r="T131" s="336">
        <f>T129*T130</f>
        <v>4461.9173692935992</v>
      </c>
      <c r="U131" s="336">
        <f t="shared" ref="U131:AE131" si="148">U129*U130</f>
        <v>3981.8238647294866</v>
      </c>
      <c r="V131" s="336">
        <f t="shared" si="148"/>
        <v>4474.7038857857206</v>
      </c>
      <c r="W131" s="336">
        <f t="shared" si="148"/>
        <v>5441.8358672110417</v>
      </c>
      <c r="X131" s="336">
        <f t="shared" si="148"/>
        <v>5448.7423657338895</v>
      </c>
      <c r="Y131" s="336">
        <f t="shared" si="148"/>
        <v>5453.9044966363645</v>
      </c>
      <c r="Z131" s="336">
        <f t="shared" si="148"/>
        <v>7021.887498992739</v>
      </c>
      <c r="AA131" s="336">
        <f t="shared" si="148"/>
        <v>7025.6276653864088</v>
      </c>
      <c r="AB131" s="336">
        <f t="shared" si="148"/>
        <v>7030.858025231284</v>
      </c>
      <c r="AC131" s="336">
        <f t="shared" si="148"/>
        <v>7954.8242806665312</v>
      </c>
      <c r="AD131" s="336">
        <f t="shared" si="148"/>
        <v>7961.1332618516781</v>
      </c>
      <c r="AE131" s="336">
        <f t="shared" si="148"/>
        <v>7967.4534566690854</v>
      </c>
      <c r="AF131" s="272">
        <f>SUM(T131:AE131)</f>
        <v>74224.712038187819</v>
      </c>
    </row>
    <row r="132" spans="1:44" ht="16" x14ac:dyDescent="0.2">
      <c r="A132" s="21" t="s">
        <v>13</v>
      </c>
      <c r="E132" s="232" t="s">
        <v>71</v>
      </c>
      <c r="F132" s="233" t="s">
        <v>66</v>
      </c>
      <c r="G132" s="233"/>
      <c r="H132" s="233"/>
      <c r="I132" s="233"/>
      <c r="J132" s="233"/>
      <c r="K132" s="233"/>
      <c r="L132" s="233"/>
      <c r="M132" s="255"/>
      <c r="N132" s="255"/>
      <c r="O132" s="255"/>
      <c r="P132" s="255"/>
      <c r="Q132" s="255"/>
      <c r="R132" s="255"/>
      <c r="S132" s="338"/>
      <c r="T132" s="244">
        <v>1</v>
      </c>
      <c r="U132" s="244">
        <v>1</v>
      </c>
      <c r="V132" s="244">
        <v>1</v>
      </c>
      <c r="W132" s="244">
        <v>1</v>
      </c>
      <c r="X132" s="244">
        <v>1</v>
      </c>
      <c r="Y132" s="244">
        <v>1</v>
      </c>
      <c r="Z132" s="244">
        <v>1</v>
      </c>
      <c r="AA132" s="244">
        <v>1</v>
      </c>
      <c r="AB132" s="244">
        <v>1</v>
      </c>
      <c r="AC132" s="244">
        <v>1</v>
      </c>
      <c r="AD132" s="244">
        <v>1</v>
      </c>
      <c r="AE132" s="244">
        <v>1</v>
      </c>
      <c r="AF132" s="284">
        <v>1</v>
      </c>
    </row>
    <row r="133" spans="1:44" ht="16" x14ac:dyDescent="0.2">
      <c r="A133" s="21" t="s">
        <v>13</v>
      </c>
      <c r="E133" s="232" t="s">
        <v>72</v>
      </c>
      <c r="F133" s="233" t="s">
        <v>66</v>
      </c>
      <c r="G133" s="233"/>
      <c r="H133" s="233"/>
      <c r="I133" s="233"/>
      <c r="J133" s="233"/>
      <c r="K133" s="233"/>
      <c r="L133" s="233"/>
      <c r="M133" s="247"/>
      <c r="N133" s="247"/>
      <c r="O133" s="247"/>
      <c r="P133" s="247"/>
      <c r="Q133" s="247"/>
      <c r="R133" s="247"/>
      <c r="S133" s="336"/>
      <c r="T133" s="239">
        <f>T131*T132</f>
        <v>4461.9173692935992</v>
      </c>
      <c r="U133" s="239">
        <f t="shared" ref="U133:AE133" si="149">U131*U132</f>
        <v>3981.8238647294866</v>
      </c>
      <c r="V133" s="239">
        <f t="shared" si="149"/>
        <v>4474.7038857857206</v>
      </c>
      <c r="W133" s="239">
        <f t="shared" si="149"/>
        <v>5441.8358672110417</v>
      </c>
      <c r="X133" s="239">
        <f t="shared" si="149"/>
        <v>5448.7423657338895</v>
      </c>
      <c r="Y133" s="239">
        <f t="shared" si="149"/>
        <v>5453.9044966363645</v>
      </c>
      <c r="Z133" s="239">
        <f t="shared" si="149"/>
        <v>7021.887498992739</v>
      </c>
      <c r="AA133" s="239">
        <f t="shared" si="149"/>
        <v>7025.6276653864088</v>
      </c>
      <c r="AB133" s="239">
        <f t="shared" si="149"/>
        <v>7030.858025231284</v>
      </c>
      <c r="AC133" s="239">
        <f t="shared" si="149"/>
        <v>7954.8242806665312</v>
      </c>
      <c r="AD133" s="239">
        <f t="shared" si="149"/>
        <v>7961.1332618516781</v>
      </c>
      <c r="AE133" s="239">
        <f t="shared" si="149"/>
        <v>7967.4534566690854</v>
      </c>
      <c r="AF133" s="272">
        <f>SUM(T133:AE133)</f>
        <v>74224.712038187819</v>
      </c>
    </row>
    <row r="134" spans="1:44" ht="16" x14ac:dyDescent="0.2">
      <c r="A134" s="21" t="s">
        <v>13</v>
      </c>
      <c r="E134" s="232" t="s">
        <v>73</v>
      </c>
      <c r="F134" s="233" t="s">
        <v>64</v>
      </c>
      <c r="G134" s="233"/>
      <c r="H134" s="233"/>
      <c r="I134" s="233"/>
      <c r="J134" s="233"/>
      <c r="K134" s="233"/>
      <c r="L134" s="233"/>
      <c r="M134" s="42"/>
      <c r="N134" s="42"/>
      <c r="O134" s="349"/>
      <c r="P134" s="349"/>
      <c r="Q134" s="349"/>
      <c r="R134" s="349"/>
      <c r="S134" s="349"/>
      <c r="T134" s="350">
        <v>22</v>
      </c>
      <c r="U134" s="350">
        <v>22</v>
      </c>
      <c r="V134" s="350">
        <v>22</v>
      </c>
      <c r="W134" s="350">
        <v>22</v>
      </c>
      <c r="X134" s="350">
        <v>22</v>
      </c>
      <c r="Y134" s="350">
        <v>22</v>
      </c>
      <c r="Z134" s="350">
        <v>22</v>
      </c>
      <c r="AA134" s="350">
        <v>22</v>
      </c>
      <c r="AB134" s="350">
        <v>22</v>
      </c>
      <c r="AC134" s="350">
        <v>22</v>
      </c>
      <c r="AD134" s="350">
        <v>22</v>
      </c>
      <c r="AE134" s="350">
        <v>22</v>
      </c>
      <c r="AF134" s="351">
        <f>AF135/AF133</f>
        <v>22</v>
      </c>
      <c r="AG134" s="5"/>
    </row>
    <row r="135" spans="1:44" ht="16" x14ac:dyDescent="0.2">
      <c r="A135" s="21" t="s">
        <v>13</v>
      </c>
      <c r="E135" s="352" t="s">
        <v>75</v>
      </c>
      <c r="F135" s="353" t="s">
        <v>74</v>
      </c>
      <c r="G135" s="353"/>
      <c r="H135" s="353"/>
      <c r="I135" s="353"/>
      <c r="J135" s="353"/>
      <c r="K135" s="353"/>
      <c r="L135" s="353"/>
      <c r="M135" s="354"/>
      <c r="N135" s="355"/>
      <c r="O135" s="354"/>
      <c r="P135" s="354"/>
      <c r="Q135" s="354"/>
      <c r="R135" s="354"/>
      <c r="S135" s="354"/>
      <c r="T135" s="356">
        <f>T133*T134</f>
        <v>98162.182124459185</v>
      </c>
      <c r="U135" s="356">
        <f t="shared" ref="U135:AE135" si="150">U133*U134</f>
        <v>87600.125024048699</v>
      </c>
      <c r="V135" s="356">
        <f t="shared" si="150"/>
        <v>98443.485487285856</v>
      </c>
      <c r="W135" s="356">
        <f t="shared" si="150"/>
        <v>119720.38907864291</v>
      </c>
      <c r="X135" s="356">
        <f t="shared" si="150"/>
        <v>119872.33204614557</v>
      </c>
      <c r="Y135" s="356">
        <f t="shared" si="150"/>
        <v>119985.89892600002</v>
      </c>
      <c r="Z135" s="356">
        <f t="shared" si="150"/>
        <v>154481.52497784025</v>
      </c>
      <c r="AA135" s="356">
        <f t="shared" si="150"/>
        <v>154563.80863850098</v>
      </c>
      <c r="AB135" s="356">
        <f t="shared" si="150"/>
        <v>154678.87655508824</v>
      </c>
      <c r="AC135" s="356">
        <f t="shared" si="150"/>
        <v>175006.13417466369</v>
      </c>
      <c r="AD135" s="356">
        <f t="shared" si="150"/>
        <v>175144.93176073692</v>
      </c>
      <c r="AE135" s="356">
        <f t="shared" si="150"/>
        <v>175283.97604671988</v>
      </c>
      <c r="AF135" s="357">
        <f>SUM(T135:AE135)</f>
        <v>1632943.664840132</v>
      </c>
      <c r="AG135" s="5"/>
    </row>
    <row r="136" spans="1:44" ht="16" x14ac:dyDescent="0.2"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ht="16" x14ac:dyDescent="0.2"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ht="16" x14ac:dyDescent="0.2"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</row>
    <row r="139" spans="1:44" ht="16" x14ac:dyDescent="0.2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</row>
    <row r="140" spans="1:44" ht="31" customHeight="1" x14ac:dyDescent="0.2">
      <c r="E140" s="160" t="s">
        <v>101</v>
      </c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3"/>
      <c r="Q140" s="333"/>
      <c r="R140" s="333"/>
      <c r="S140" s="334"/>
      <c r="T140" s="9">
        <f>T$7</f>
        <v>46023</v>
      </c>
      <c r="U140" s="9">
        <f t="shared" ref="U140:AF140" si="151">U$7</f>
        <v>46054</v>
      </c>
      <c r="V140" s="9">
        <f t="shared" si="151"/>
        <v>46082</v>
      </c>
      <c r="W140" s="9">
        <f t="shared" si="151"/>
        <v>46113</v>
      </c>
      <c r="X140" s="9">
        <f t="shared" si="151"/>
        <v>46143</v>
      </c>
      <c r="Y140" s="9">
        <f t="shared" si="151"/>
        <v>46174</v>
      </c>
      <c r="Z140" s="9">
        <f t="shared" si="151"/>
        <v>46204</v>
      </c>
      <c r="AA140" s="9">
        <f t="shared" si="151"/>
        <v>46235</v>
      </c>
      <c r="AB140" s="9">
        <f t="shared" si="151"/>
        <v>46266</v>
      </c>
      <c r="AC140" s="9">
        <f t="shared" si="151"/>
        <v>46296</v>
      </c>
      <c r="AD140" s="9">
        <f t="shared" si="151"/>
        <v>46327</v>
      </c>
      <c r="AE140" s="9">
        <f t="shared" si="151"/>
        <v>46357</v>
      </c>
      <c r="AF140" s="41" t="str">
        <f t="shared" si="151"/>
        <v>FY26</v>
      </c>
    </row>
    <row r="141" spans="1:44" ht="16" x14ac:dyDescent="0.2">
      <c r="A141" s="21" t="s">
        <v>13</v>
      </c>
      <c r="E141" s="10" t="s">
        <v>99</v>
      </c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307"/>
    </row>
    <row r="142" spans="1:44" ht="16" x14ac:dyDescent="0.2">
      <c r="A142" s="21" t="s">
        <v>13</v>
      </c>
      <c r="E142" s="232" t="s">
        <v>63</v>
      </c>
      <c r="F142" s="233" t="s">
        <v>64</v>
      </c>
      <c r="G142" s="247"/>
      <c r="H142" s="247"/>
      <c r="I142" s="247"/>
      <c r="J142" s="111">
        <v>1304</v>
      </c>
      <c r="K142" s="111">
        <v>1203</v>
      </c>
      <c r="L142" s="111">
        <v>1488</v>
      </c>
      <c r="M142" s="111">
        <v>1479</v>
      </c>
      <c r="N142" s="111">
        <v>1232</v>
      </c>
      <c r="O142" s="111">
        <v>1121</v>
      </c>
      <c r="P142" s="336"/>
      <c r="Q142" s="336"/>
      <c r="R142" s="336"/>
      <c r="S142" s="336"/>
      <c r="T142" s="336">
        <f t="shared" ref="T142:AE142" si="152">T75</f>
        <v>12821.601635901146</v>
      </c>
      <c r="U142" s="336">
        <f t="shared" si="152"/>
        <v>11442.022599797376</v>
      </c>
      <c r="V142" s="336">
        <f t="shared" si="152"/>
        <v>12858.344499384251</v>
      </c>
      <c r="W142" s="336">
        <f t="shared" si="152"/>
        <v>13597.790772641281</v>
      </c>
      <c r="X142" s="336">
        <f t="shared" si="152"/>
        <v>13615.048390139651</v>
      </c>
      <c r="Y142" s="336">
        <f t="shared" si="152"/>
        <v>13627.94726795693</v>
      </c>
      <c r="Z142" s="336">
        <f t="shared" si="152"/>
        <v>14412.741171988377</v>
      </c>
      <c r="AA142" s="336">
        <f t="shared" si="152"/>
        <v>14420.418032402313</v>
      </c>
      <c r="AB142" s="336">
        <f t="shared" si="152"/>
        <v>14431.153582166016</v>
      </c>
      <c r="AC142" s="336">
        <f t="shared" si="152"/>
        <v>15239.126974456956</v>
      </c>
      <c r="AD142" s="336">
        <f t="shared" si="152"/>
        <v>15251.213145309728</v>
      </c>
      <c r="AE142" s="336">
        <f t="shared" si="152"/>
        <v>15263.320798216639</v>
      </c>
      <c r="AF142" s="337">
        <f>SUM(T142:AE142)</f>
        <v>166980.7288703607</v>
      </c>
    </row>
    <row r="143" spans="1:44" ht="16" x14ac:dyDescent="0.2">
      <c r="A143" s="21" t="s">
        <v>13</v>
      </c>
      <c r="E143" s="232" t="s">
        <v>65</v>
      </c>
      <c r="F143" s="233" t="s">
        <v>66</v>
      </c>
      <c r="G143" s="247"/>
      <c r="H143" s="247"/>
      <c r="I143" s="247"/>
      <c r="J143" s="113">
        <v>1</v>
      </c>
      <c r="K143" s="113">
        <v>1</v>
      </c>
      <c r="L143" s="113">
        <v>1</v>
      </c>
      <c r="M143" s="113">
        <v>1</v>
      </c>
      <c r="N143" s="113">
        <v>1</v>
      </c>
      <c r="O143" s="113">
        <v>1</v>
      </c>
      <c r="P143" s="358"/>
      <c r="Q143" s="358"/>
      <c r="R143" s="358"/>
      <c r="S143" s="338"/>
      <c r="T143" s="244">
        <v>1</v>
      </c>
      <c r="U143" s="244">
        <v>1</v>
      </c>
      <c r="V143" s="244">
        <v>1</v>
      </c>
      <c r="W143" s="244">
        <v>1</v>
      </c>
      <c r="X143" s="244">
        <v>1</v>
      </c>
      <c r="Y143" s="244">
        <v>1</v>
      </c>
      <c r="Z143" s="244">
        <v>1</v>
      </c>
      <c r="AA143" s="244">
        <v>1</v>
      </c>
      <c r="AB143" s="244">
        <v>1</v>
      </c>
      <c r="AC143" s="244">
        <v>1</v>
      </c>
      <c r="AD143" s="244">
        <v>1</v>
      </c>
      <c r="AE143" s="244">
        <v>1</v>
      </c>
      <c r="AF143" s="284">
        <v>1</v>
      </c>
    </row>
    <row r="144" spans="1:44" ht="16" x14ac:dyDescent="0.2">
      <c r="A144" s="21" t="s">
        <v>13</v>
      </c>
      <c r="E144" s="232" t="s">
        <v>67</v>
      </c>
      <c r="F144" s="233" t="s">
        <v>66</v>
      </c>
      <c r="G144" s="247"/>
      <c r="H144" s="247"/>
      <c r="I144" s="247"/>
      <c r="J144" s="113">
        <v>0.99233128834355833</v>
      </c>
      <c r="K144" s="113">
        <v>0.99418121363258516</v>
      </c>
      <c r="L144" s="113">
        <v>0.99798387096774188</v>
      </c>
      <c r="M144" s="113">
        <v>0.99459093982420554</v>
      </c>
      <c r="N144" s="113">
        <v>0.98376623376623373</v>
      </c>
      <c r="O144" s="113">
        <v>0.99821587867975026</v>
      </c>
      <c r="P144" s="358"/>
      <c r="Q144" s="358"/>
      <c r="R144" s="358"/>
      <c r="S144" s="338"/>
      <c r="T144" s="244">
        <v>1</v>
      </c>
      <c r="U144" s="244">
        <v>1</v>
      </c>
      <c r="V144" s="244">
        <v>1</v>
      </c>
      <c r="W144" s="244">
        <v>1</v>
      </c>
      <c r="X144" s="244">
        <v>1</v>
      </c>
      <c r="Y144" s="244">
        <v>1</v>
      </c>
      <c r="Z144" s="244">
        <v>1</v>
      </c>
      <c r="AA144" s="244">
        <v>1</v>
      </c>
      <c r="AB144" s="244">
        <v>1</v>
      </c>
      <c r="AC144" s="244">
        <v>1</v>
      </c>
      <c r="AD144" s="244">
        <v>1</v>
      </c>
      <c r="AE144" s="244">
        <v>1</v>
      </c>
      <c r="AF144" s="284">
        <v>1</v>
      </c>
    </row>
    <row r="145" spans="1:44" ht="16" x14ac:dyDescent="0.2">
      <c r="A145" s="21" t="s">
        <v>13</v>
      </c>
      <c r="E145" s="232" t="s">
        <v>68</v>
      </c>
      <c r="F145" s="233" t="s">
        <v>66</v>
      </c>
      <c r="G145" s="247"/>
      <c r="H145" s="247"/>
      <c r="I145" s="247"/>
      <c r="J145" s="113">
        <v>0.80448222565687788</v>
      </c>
      <c r="K145" s="113">
        <v>0.73494983277591974</v>
      </c>
      <c r="L145" s="113">
        <v>0.65791245791245789</v>
      </c>
      <c r="M145" s="113">
        <v>0.75798776342624063</v>
      </c>
      <c r="N145" s="113">
        <v>0.79867986798679869</v>
      </c>
      <c r="O145" s="110">
        <v>0.8650580875781948</v>
      </c>
      <c r="P145" s="255"/>
      <c r="Q145" s="255"/>
      <c r="R145" s="255"/>
      <c r="S145" s="338"/>
      <c r="T145" s="244">
        <v>0.35</v>
      </c>
      <c r="U145" s="244">
        <v>0.35</v>
      </c>
      <c r="V145" s="244">
        <v>0.38</v>
      </c>
      <c r="W145" s="244">
        <v>0.38</v>
      </c>
      <c r="X145" s="244">
        <v>0.4</v>
      </c>
      <c r="Y145" s="244">
        <v>0.43</v>
      </c>
      <c r="Z145" s="244">
        <v>0.43</v>
      </c>
      <c r="AA145" s="244">
        <v>0.45</v>
      </c>
      <c r="AB145" s="244">
        <v>0.45</v>
      </c>
      <c r="AC145" s="244">
        <v>0.5</v>
      </c>
      <c r="AD145" s="244">
        <v>0.5</v>
      </c>
      <c r="AE145" s="244">
        <v>0.5</v>
      </c>
      <c r="AF145" s="284">
        <f>AF146/AF142</f>
        <v>0.4306434248018659</v>
      </c>
    </row>
    <row r="146" spans="1:44" ht="16" x14ac:dyDescent="0.2">
      <c r="A146" s="21" t="s">
        <v>13</v>
      </c>
      <c r="E146" s="232" t="s">
        <v>69</v>
      </c>
      <c r="F146" s="233" t="s">
        <v>64</v>
      </c>
      <c r="G146" s="247"/>
      <c r="H146" s="247"/>
      <c r="I146" s="247"/>
      <c r="J146" s="111">
        <f t="shared" ref="J146:O146" si="153">J142*J143*J144*J145</f>
        <v>1041</v>
      </c>
      <c r="K146" s="111">
        <f t="shared" si="153"/>
        <v>879</v>
      </c>
      <c r="L146" s="111">
        <f t="shared" si="153"/>
        <v>977</v>
      </c>
      <c r="M146" s="111">
        <f t="shared" si="153"/>
        <v>1115</v>
      </c>
      <c r="N146" s="111">
        <f t="shared" si="153"/>
        <v>968</v>
      </c>
      <c r="O146" s="111">
        <f t="shared" si="153"/>
        <v>968</v>
      </c>
      <c r="P146" s="247"/>
      <c r="Q146" s="247"/>
      <c r="R146" s="247"/>
      <c r="S146" s="336"/>
      <c r="T146" s="336">
        <f>T142*T143*T144*T145</f>
        <v>4487.5605725654013</v>
      </c>
      <c r="U146" s="336">
        <f t="shared" ref="U146:AE146" si="154">U142*U143*U144*U145</f>
        <v>4004.7079099290813</v>
      </c>
      <c r="V146" s="336">
        <f t="shared" si="154"/>
        <v>4886.1709097660159</v>
      </c>
      <c r="W146" s="336">
        <f t="shared" si="154"/>
        <v>5167.1604936036874</v>
      </c>
      <c r="X146" s="336">
        <f t="shared" si="154"/>
        <v>5446.019356055861</v>
      </c>
      <c r="Y146" s="336">
        <f t="shared" si="154"/>
        <v>5860.01732522148</v>
      </c>
      <c r="Z146" s="336">
        <f t="shared" si="154"/>
        <v>6197.4787039550019</v>
      </c>
      <c r="AA146" s="336">
        <f t="shared" si="154"/>
        <v>6489.1881145810412</v>
      </c>
      <c r="AB146" s="336">
        <f t="shared" si="154"/>
        <v>6494.0191119747078</v>
      </c>
      <c r="AC146" s="336">
        <f t="shared" si="154"/>
        <v>7619.5634872284782</v>
      </c>
      <c r="AD146" s="336">
        <f t="shared" si="154"/>
        <v>7625.6065726548641</v>
      </c>
      <c r="AE146" s="336">
        <f t="shared" si="154"/>
        <v>7631.6603991083193</v>
      </c>
      <c r="AF146" s="272">
        <f>SUM(T146:AE146)</f>
        <v>71909.152956643942</v>
      </c>
    </row>
    <row r="147" spans="1:44" ht="16" x14ac:dyDescent="0.2">
      <c r="A147" s="21" t="s">
        <v>13</v>
      </c>
      <c r="E147" s="232" t="s">
        <v>44</v>
      </c>
      <c r="F147" s="233" t="s">
        <v>66</v>
      </c>
      <c r="G147" s="233"/>
      <c r="H147" s="233"/>
      <c r="I147" s="233"/>
      <c r="J147" s="110">
        <v>0.7963496637848223</v>
      </c>
      <c r="K147" s="110">
        <v>0.82138794084186573</v>
      </c>
      <c r="L147" s="110">
        <v>0.8321392016376663</v>
      </c>
      <c r="M147" s="110">
        <v>0.84843049327354259</v>
      </c>
      <c r="N147" s="110">
        <v>0.80888429752066116</v>
      </c>
      <c r="O147" s="110">
        <v>0.84917355371900827</v>
      </c>
      <c r="P147" s="255"/>
      <c r="Q147" s="255"/>
      <c r="R147" s="255"/>
      <c r="S147" s="338"/>
      <c r="T147" s="244">
        <v>0.84917355371900827</v>
      </c>
      <c r="U147" s="244">
        <v>0.84917355371900827</v>
      </c>
      <c r="V147" s="244">
        <v>0.84917355371900827</v>
      </c>
      <c r="W147" s="244">
        <v>0.84917355371900827</v>
      </c>
      <c r="X147" s="244">
        <v>0.84917355371900827</v>
      </c>
      <c r="Y147" s="244">
        <v>0.84917355371900827</v>
      </c>
      <c r="Z147" s="244">
        <v>0.84917355371900827</v>
      </c>
      <c r="AA147" s="244">
        <v>0.84917355371900827</v>
      </c>
      <c r="AB147" s="244">
        <v>0.84917355371900827</v>
      </c>
      <c r="AC147" s="244">
        <v>0.84917355371900827</v>
      </c>
      <c r="AD147" s="244">
        <v>0.84917355371900827</v>
      </c>
      <c r="AE147" s="244">
        <v>0.84917355371900827</v>
      </c>
      <c r="AF147" s="284">
        <f>AF148/AF146</f>
        <v>0.84917355371900838</v>
      </c>
    </row>
    <row r="148" spans="1:44" ht="16" x14ac:dyDescent="0.2">
      <c r="A148" s="21" t="s">
        <v>13</v>
      </c>
      <c r="E148" s="232" t="s">
        <v>70</v>
      </c>
      <c r="F148" s="233" t="s">
        <v>64</v>
      </c>
      <c r="G148" s="233"/>
      <c r="H148" s="233"/>
      <c r="I148" s="233"/>
      <c r="J148" s="111">
        <f t="shared" ref="J148:O148" si="155">J146*J147</f>
        <v>829</v>
      </c>
      <c r="K148" s="111">
        <f t="shared" si="155"/>
        <v>722</v>
      </c>
      <c r="L148" s="111">
        <f t="shared" si="155"/>
        <v>813</v>
      </c>
      <c r="M148" s="111">
        <f t="shared" si="155"/>
        <v>946</v>
      </c>
      <c r="N148" s="111">
        <f t="shared" si="155"/>
        <v>783</v>
      </c>
      <c r="O148" s="111">
        <f t="shared" si="155"/>
        <v>822</v>
      </c>
      <c r="P148" s="247"/>
      <c r="Q148" s="247"/>
      <c r="R148" s="247"/>
      <c r="S148" s="336"/>
      <c r="T148" s="336">
        <f>T146*T147</f>
        <v>3810.7177589346693</v>
      </c>
      <c r="U148" s="336">
        <f t="shared" ref="U148:AE148" si="156">U146*U147</f>
        <v>3400.6920474811</v>
      </c>
      <c r="V148" s="336">
        <f t="shared" si="156"/>
        <v>4149.2071155244475</v>
      </c>
      <c r="W148" s="336">
        <f t="shared" si="156"/>
        <v>4387.8160389899085</v>
      </c>
      <c r="X148" s="336">
        <f t="shared" si="156"/>
        <v>4624.6156102044606</v>
      </c>
      <c r="Y148" s="336">
        <f t="shared" si="156"/>
        <v>4976.1717369132812</v>
      </c>
      <c r="Z148" s="336">
        <f t="shared" si="156"/>
        <v>5262.735015135343</v>
      </c>
      <c r="AA148" s="336">
        <f t="shared" si="156"/>
        <v>5510.4469320099333</v>
      </c>
      <c r="AB148" s="336">
        <f t="shared" si="156"/>
        <v>5514.5492872347213</v>
      </c>
      <c r="AC148" s="336">
        <f t="shared" si="156"/>
        <v>6470.3318042374058</v>
      </c>
      <c r="AD148" s="336">
        <f t="shared" si="156"/>
        <v>6475.4634325643574</v>
      </c>
      <c r="AE148" s="336">
        <f t="shared" si="156"/>
        <v>6480.6041818874364</v>
      </c>
      <c r="AF148" s="272">
        <f>SUM(T148:AE148)</f>
        <v>61063.350961117074</v>
      </c>
      <c r="AG148" s="20"/>
      <c r="AH148" s="5"/>
    </row>
    <row r="149" spans="1:44" ht="16" x14ac:dyDescent="0.2">
      <c r="A149" s="21" t="s">
        <v>13</v>
      </c>
      <c r="E149" s="232" t="s">
        <v>71</v>
      </c>
      <c r="F149" s="233" t="s">
        <v>66</v>
      </c>
      <c r="G149" s="233"/>
      <c r="H149" s="233"/>
      <c r="I149" s="233"/>
      <c r="J149" s="110">
        <v>1</v>
      </c>
      <c r="K149" s="110">
        <v>1</v>
      </c>
      <c r="L149" s="110">
        <v>1</v>
      </c>
      <c r="M149" s="110">
        <v>1</v>
      </c>
      <c r="N149" s="110">
        <v>1</v>
      </c>
      <c r="O149" s="110">
        <v>1</v>
      </c>
      <c r="P149" s="255"/>
      <c r="Q149" s="255"/>
      <c r="R149" s="255"/>
      <c r="S149" s="338"/>
      <c r="T149" s="244">
        <v>1</v>
      </c>
      <c r="U149" s="244">
        <v>1</v>
      </c>
      <c r="V149" s="244">
        <v>1</v>
      </c>
      <c r="W149" s="244">
        <v>1</v>
      </c>
      <c r="X149" s="244">
        <v>1</v>
      </c>
      <c r="Y149" s="244">
        <v>1</v>
      </c>
      <c r="Z149" s="244">
        <v>1</v>
      </c>
      <c r="AA149" s="244">
        <v>1</v>
      </c>
      <c r="AB149" s="244">
        <v>1</v>
      </c>
      <c r="AC149" s="244">
        <v>1</v>
      </c>
      <c r="AD149" s="244">
        <v>1</v>
      </c>
      <c r="AE149" s="244">
        <v>1</v>
      </c>
      <c r="AF149" s="284">
        <v>1</v>
      </c>
    </row>
    <row r="150" spans="1:44" ht="16" x14ac:dyDescent="0.2">
      <c r="A150" s="21" t="s">
        <v>13</v>
      </c>
      <c r="E150" s="232" t="s">
        <v>72</v>
      </c>
      <c r="F150" s="233" t="s">
        <v>66</v>
      </c>
      <c r="G150" s="233"/>
      <c r="H150" s="233"/>
      <c r="I150" s="233"/>
      <c r="J150" s="111">
        <f t="shared" ref="J150:O150" si="157">J148*J149</f>
        <v>829</v>
      </c>
      <c r="K150" s="111">
        <f t="shared" si="157"/>
        <v>722</v>
      </c>
      <c r="L150" s="111">
        <f t="shared" si="157"/>
        <v>813</v>
      </c>
      <c r="M150" s="111">
        <f t="shared" si="157"/>
        <v>946</v>
      </c>
      <c r="N150" s="111">
        <f t="shared" si="157"/>
        <v>783</v>
      </c>
      <c r="O150" s="111">
        <f t="shared" si="157"/>
        <v>822</v>
      </c>
      <c r="P150" s="247"/>
      <c r="Q150" s="247"/>
      <c r="R150" s="247"/>
      <c r="S150" s="336"/>
      <c r="T150" s="239">
        <f>T148*T149</f>
        <v>3810.7177589346693</v>
      </c>
      <c r="U150" s="239">
        <f t="shared" ref="U150:AE150" si="158">U148*U149</f>
        <v>3400.6920474811</v>
      </c>
      <c r="V150" s="239">
        <f t="shared" si="158"/>
        <v>4149.2071155244475</v>
      </c>
      <c r="W150" s="239">
        <f t="shared" si="158"/>
        <v>4387.8160389899085</v>
      </c>
      <c r="X150" s="239">
        <f t="shared" si="158"/>
        <v>4624.6156102044606</v>
      </c>
      <c r="Y150" s="239">
        <f t="shared" si="158"/>
        <v>4976.1717369132812</v>
      </c>
      <c r="Z150" s="239">
        <f t="shared" si="158"/>
        <v>5262.735015135343</v>
      </c>
      <c r="AA150" s="239">
        <f t="shared" si="158"/>
        <v>5510.4469320099333</v>
      </c>
      <c r="AB150" s="239">
        <f t="shared" si="158"/>
        <v>5514.5492872347213</v>
      </c>
      <c r="AC150" s="239">
        <f t="shared" si="158"/>
        <v>6470.3318042374058</v>
      </c>
      <c r="AD150" s="239">
        <f t="shared" si="158"/>
        <v>6475.4634325643574</v>
      </c>
      <c r="AE150" s="239">
        <f t="shared" si="158"/>
        <v>6480.6041818874364</v>
      </c>
      <c r="AF150" s="272">
        <f>SUM(T150:AE150)</f>
        <v>61063.350961117074</v>
      </c>
    </row>
    <row r="151" spans="1:44" ht="16" x14ac:dyDescent="0.2">
      <c r="A151" s="21" t="s">
        <v>13</v>
      </c>
      <c r="E151" s="232" t="s">
        <v>73</v>
      </c>
      <c r="F151" s="233" t="s">
        <v>64</v>
      </c>
      <c r="G151" s="233"/>
      <c r="H151" s="233"/>
      <c r="I151" s="233"/>
      <c r="J151" s="114">
        <f>J152/J150</f>
        <v>20.556574185765985</v>
      </c>
      <c r="K151" s="114">
        <f>K152/K150</f>
        <v>21.092936288088644</v>
      </c>
      <c r="L151" s="114">
        <f>L152/L150</f>
        <v>20.614821648216481</v>
      </c>
      <c r="M151" s="114">
        <f>M152/M150</f>
        <v>23.179228329809622</v>
      </c>
      <c r="N151" s="114">
        <f>N152/N150</f>
        <v>23.317879948914435</v>
      </c>
      <c r="O151" s="111">
        <v>30</v>
      </c>
      <c r="P151" s="247"/>
      <c r="Q151" s="247"/>
      <c r="R151" s="247"/>
      <c r="S151" s="247"/>
      <c r="T151" s="248">
        <v>25</v>
      </c>
      <c r="U151" s="248">
        <v>25</v>
      </c>
      <c r="V151" s="248">
        <v>25</v>
      </c>
      <c r="W151" s="248">
        <v>25</v>
      </c>
      <c r="X151" s="248">
        <v>25</v>
      </c>
      <c r="Y151" s="248">
        <v>25</v>
      </c>
      <c r="Z151" s="248">
        <v>25</v>
      </c>
      <c r="AA151" s="248">
        <v>25</v>
      </c>
      <c r="AB151" s="248">
        <v>25</v>
      </c>
      <c r="AC151" s="248">
        <v>25</v>
      </c>
      <c r="AD151" s="248">
        <v>25</v>
      </c>
      <c r="AE151" s="248">
        <v>25</v>
      </c>
      <c r="AF151" s="291">
        <f>AF152/AF150</f>
        <v>24.999999999999993</v>
      </c>
    </row>
    <row r="152" spans="1:44" ht="16" x14ac:dyDescent="0.2">
      <c r="A152" s="21" t="s">
        <v>13</v>
      </c>
      <c r="E152" s="232" t="s">
        <v>75</v>
      </c>
      <c r="F152" s="233" t="s">
        <v>74</v>
      </c>
      <c r="G152" s="233"/>
      <c r="H152" s="233"/>
      <c r="I152" s="233"/>
      <c r="J152" s="111">
        <v>17041.400000000001</v>
      </c>
      <c r="K152" s="111">
        <v>15229.1</v>
      </c>
      <c r="L152" s="111">
        <v>16759.849999999999</v>
      </c>
      <c r="M152" s="111">
        <v>21927.549999999901</v>
      </c>
      <c r="N152" s="111">
        <v>18257.900000000001</v>
      </c>
      <c r="O152" s="111">
        <v>25854.799999999999</v>
      </c>
      <c r="P152" s="336"/>
      <c r="Q152" s="336"/>
      <c r="R152" s="336"/>
      <c r="S152" s="336"/>
      <c r="T152" s="239">
        <f>T150*T151</f>
        <v>95267.943973366739</v>
      </c>
      <c r="U152" s="239">
        <f t="shared" ref="U152:AE152" si="159">U150*U151</f>
        <v>85017.301187027493</v>
      </c>
      <c r="V152" s="239">
        <f t="shared" si="159"/>
        <v>103730.17788811118</v>
      </c>
      <c r="W152" s="239">
        <f t="shared" si="159"/>
        <v>109695.40097474771</v>
      </c>
      <c r="X152" s="239">
        <f t="shared" si="159"/>
        <v>115615.39025511152</v>
      </c>
      <c r="Y152" s="239">
        <f t="shared" si="159"/>
        <v>124404.29342283202</v>
      </c>
      <c r="Z152" s="239">
        <f t="shared" si="159"/>
        <v>131568.37537838359</v>
      </c>
      <c r="AA152" s="239">
        <f t="shared" si="159"/>
        <v>137761.17330024834</v>
      </c>
      <c r="AB152" s="239">
        <f t="shared" si="159"/>
        <v>137863.73218086804</v>
      </c>
      <c r="AC152" s="239">
        <f t="shared" si="159"/>
        <v>161758.29510593513</v>
      </c>
      <c r="AD152" s="239">
        <f t="shared" si="159"/>
        <v>161886.58581410893</v>
      </c>
      <c r="AE152" s="239">
        <f t="shared" si="159"/>
        <v>162015.10454718591</v>
      </c>
      <c r="AF152" s="272">
        <f>SUM(T152:AE152)</f>
        <v>1526583.7740279264</v>
      </c>
      <c r="AG152" s="5"/>
    </row>
    <row r="153" spans="1:44" ht="16" x14ac:dyDescent="0.2">
      <c r="E153" s="359"/>
      <c r="F153" s="360"/>
      <c r="G153" s="360"/>
      <c r="H153" s="360"/>
      <c r="I153" s="360"/>
      <c r="J153" s="360"/>
      <c r="K153" s="360"/>
      <c r="L153" s="360"/>
      <c r="M153" s="360"/>
      <c r="N153" s="360"/>
      <c r="O153" s="360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2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ht="16" x14ac:dyDescent="0.2">
      <c r="A154" s="21" t="s">
        <v>13</v>
      </c>
      <c r="E154" s="35" t="s">
        <v>100</v>
      </c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  <c r="AA154" s="364"/>
      <c r="AB154" s="364"/>
      <c r="AC154" s="364"/>
      <c r="AD154" s="364"/>
      <c r="AE154" s="364"/>
      <c r="AF154" s="365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ht="16" x14ac:dyDescent="0.2">
      <c r="A155" s="21" t="s">
        <v>13</v>
      </c>
      <c r="E155" s="232" t="s">
        <v>63</v>
      </c>
      <c r="F155" s="233" t="s">
        <v>64</v>
      </c>
      <c r="G155" s="233"/>
      <c r="H155" s="233"/>
      <c r="I155" s="233"/>
      <c r="J155" s="233"/>
      <c r="K155" s="233"/>
      <c r="L155" s="233"/>
      <c r="M155" s="233"/>
      <c r="N155" s="233"/>
      <c r="O155" s="247"/>
      <c r="P155" s="231"/>
      <c r="Q155" s="231"/>
      <c r="R155" s="231"/>
      <c r="S155" s="231"/>
      <c r="T155" s="336">
        <f t="shared" ref="T155:AE155" si="160">T76</f>
        <v>19232.402453851719</v>
      </c>
      <c r="U155" s="336">
        <f t="shared" si="160"/>
        <v>17163.03389969606</v>
      </c>
      <c r="V155" s="336">
        <f t="shared" si="160"/>
        <v>19287.516749076374</v>
      </c>
      <c r="W155" s="336">
        <f t="shared" si="160"/>
        <v>20396.686158961922</v>
      </c>
      <c r="X155" s="336">
        <f t="shared" si="160"/>
        <v>20422.572585209477</v>
      </c>
      <c r="Y155" s="336">
        <f t="shared" si="160"/>
        <v>20441.920901935395</v>
      </c>
      <c r="Z155" s="336">
        <f t="shared" si="160"/>
        <v>21619.111757982562</v>
      </c>
      <c r="AA155" s="336">
        <f t="shared" si="160"/>
        <v>21630.627048603466</v>
      </c>
      <c r="AB155" s="336">
        <f t="shared" si="160"/>
        <v>21646.730373249022</v>
      </c>
      <c r="AC155" s="336">
        <f t="shared" si="160"/>
        <v>22858.690461685434</v>
      </c>
      <c r="AD155" s="336">
        <f t="shared" si="160"/>
        <v>22876.81971796459</v>
      </c>
      <c r="AE155" s="336">
        <f t="shared" si="160"/>
        <v>22894.981197324956</v>
      </c>
      <c r="AF155" s="337">
        <f>SUM(T155:AE155)</f>
        <v>250471.09330554097</v>
      </c>
    </row>
    <row r="156" spans="1:44" ht="16" x14ac:dyDescent="0.2">
      <c r="A156" s="21" t="s">
        <v>13</v>
      </c>
      <c r="E156" s="232" t="s">
        <v>65</v>
      </c>
      <c r="F156" s="233" t="s">
        <v>66</v>
      </c>
      <c r="G156" s="233"/>
      <c r="H156" s="233"/>
      <c r="I156" s="233"/>
      <c r="J156" s="233"/>
      <c r="K156" s="233"/>
      <c r="L156" s="233"/>
      <c r="M156" s="233"/>
      <c r="N156" s="233"/>
      <c r="O156" s="255"/>
      <c r="P156" s="231"/>
      <c r="Q156" s="231"/>
      <c r="R156" s="231"/>
      <c r="S156" s="231"/>
      <c r="T156" s="244">
        <v>1</v>
      </c>
      <c r="U156" s="244">
        <v>1</v>
      </c>
      <c r="V156" s="244">
        <v>1</v>
      </c>
      <c r="W156" s="244">
        <v>1</v>
      </c>
      <c r="X156" s="244">
        <v>1</v>
      </c>
      <c r="Y156" s="244">
        <v>1</v>
      </c>
      <c r="Z156" s="244">
        <v>1</v>
      </c>
      <c r="AA156" s="244">
        <v>1</v>
      </c>
      <c r="AB156" s="244">
        <v>1</v>
      </c>
      <c r="AC156" s="244">
        <v>1</v>
      </c>
      <c r="AD156" s="244">
        <v>1</v>
      </c>
      <c r="AE156" s="244">
        <v>1</v>
      </c>
      <c r="AF156" s="284">
        <v>1</v>
      </c>
    </row>
    <row r="157" spans="1:44" ht="16" x14ac:dyDescent="0.2">
      <c r="A157" s="21" t="s">
        <v>13</v>
      </c>
      <c r="E157" s="232" t="s">
        <v>67</v>
      </c>
      <c r="F157" s="233" t="s">
        <v>66</v>
      </c>
      <c r="G157" s="233"/>
      <c r="H157" s="233"/>
      <c r="I157" s="233"/>
      <c r="J157" s="233"/>
      <c r="K157" s="233"/>
      <c r="L157" s="233"/>
      <c r="M157" s="233"/>
      <c r="N157" s="233"/>
      <c r="O157" s="255"/>
      <c r="P157" s="231"/>
      <c r="Q157" s="231"/>
      <c r="R157" s="231"/>
      <c r="S157" s="231"/>
      <c r="T157" s="244">
        <v>1</v>
      </c>
      <c r="U157" s="244">
        <v>1</v>
      </c>
      <c r="V157" s="244">
        <v>1</v>
      </c>
      <c r="W157" s="244">
        <v>1</v>
      </c>
      <c r="X157" s="244">
        <v>1</v>
      </c>
      <c r="Y157" s="244">
        <v>1</v>
      </c>
      <c r="Z157" s="244">
        <v>1</v>
      </c>
      <c r="AA157" s="244">
        <v>1</v>
      </c>
      <c r="AB157" s="244">
        <v>1</v>
      </c>
      <c r="AC157" s="244">
        <v>1</v>
      </c>
      <c r="AD157" s="244">
        <v>1</v>
      </c>
      <c r="AE157" s="244">
        <v>1</v>
      </c>
      <c r="AF157" s="284">
        <v>1</v>
      </c>
    </row>
    <row r="158" spans="1:44" ht="16" x14ac:dyDescent="0.2">
      <c r="A158" s="21" t="s">
        <v>13</v>
      </c>
      <c r="E158" s="232" t="s">
        <v>68</v>
      </c>
      <c r="F158" s="233" t="s">
        <v>66</v>
      </c>
      <c r="G158" s="233"/>
      <c r="H158" s="233"/>
      <c r="I158" s="233"/>
      <c r="J158" s="233"/>
      <c r="K158" s="233"/>
      <c r="L158" s="233"/>
      <c r="M158" s="233"/>
      <c r="N158" s="233"/>
      <c r="O158" s="255"/>
      <c r="P158" s="231"/>
      <c r="Q158" s="231"/>
      <c r="R158" s="231"/>
      <c r="S158" s="231"/>
      <c r="T158" s="244">
        <v>0.4</v>
      </c>
      <c r="U158" s="244">
        <v>0.41818181818181821</v>
      </c>
      <c r="V158" s="244">
        <v>0.4363636363636364</v>
      </c>
      <c r="W158" s="244">
        <v>0.45454545454545459</v>
      </c>
      <c r="X158" s="244">
        <v>0.47272727272727277</v>
      </c>
      <c r="Y158" s="244">
        <v>0.49090909090909096</v>
      </c>
      <c r="Z158" s="244">
        <v>0.50909090909090915</v>
      </c>
      <c r="AA158" s="244">
        <v>0.52727272727272734</v>
      </c>
      <c r="AB158" s="244">
        <v>0.54545454545454553</v>
      </c>
      <c r="AC158" s="244">
        <v>0.57999999999999996</v>
      </c>
      <c r="AD158" s="244">
        <v>0.5818181818181819</v>
      </c>
      <c r="AE158" s="244">
        <v>0.60000000000000009</v>
      </c>
      <c r="AF158" s="284">
        <f>AF159/AF155</f>
        <v>0.50613055221264924</v>
      </c>
    </row>
    <row r="159" spans="1:44" ht="16" x14ac:dyDescent="0.2">
      <c r="E159" s="232" t="s">
        <v>69</v>
      </c>
      <c r="F159" s="233" t="s">
        <v>64</v>
      </c>
      <c r="G159" s="233"/>
      <c r="H159" s="233"/>
      <c r="I159" s="233"/>
      <c r="J159" s="233"/>
      <c r="K159" s="233"/>
      <c r="L159" s="233"/>
      <c r="M159" s="233"/>
      <c r="N159" s="233"/>
      <c r="O159" s="255"/>
      <c r="P159" s="231"/>
      <c r="Q159" s="231"/>
      <c r="R159" s="231"/>
      <c r="S159" s="231"/>
      <c r="T159" s="336">
        <f>T155*T156*T157*T158</f>
        <v>7692.9609815406875</v>
      </c>
      <c r="U159" s="336">
        <f t="shared" ref="U159:AE159" si="161">U155*U156*U157*U158</f>
        <v>7177.2687216910799</v>
      </c>
      <c r="V159" s="336">
        <f t="shared" si="161"/>
        <v>8416.3709450515089</v>
      </c>
      <c r="W159" s="336">
        <f t="shared" si="161"/>
        <v>9271.2209813463287</v>
      </c>
      <c r="X159" s="336">
        <f t="shared" si="161"/>
        <v>9654.3070402808444</v>
      </c>
      <c r="Y159" s="336">
        <f t="shared" si="161"/>
        <v>10035.124806404649</v>
      </c>
      <c r="Z159" s="336">
        <f t="shared" si="161"/>
        <v>11006.093258609306</v>
      </c>
      <c r="AA159" s="336">
        <f t="shared" si="161"/>
        <v>11405.239716536375</v>
      </c>
      <c r="AB159" s="336">
        <f t="shared" si="161"/>
        <v>11807.30747631765</v>
      </c>
      <c r="AC159" s="336">
        <f t="shared" si="161"/>
        <v>13258.040467777551</v>
      </c>
      <c r="AD159" s="336">
        <f t="shared" si="161"/>
        <v>13310.149654088491</v>
      </c>
      <c r="AE159" s="336">
        <f t="shared" si="161"/>
        <v>13736.988718394976</v>
      </c>
      <c r="AF159" s="272">
        <f>SUM(T159:AE159)</f>
        <v>126771.07276803945</v>
      </c>
    </row>
    <row r="160" spans="1:44" ht="16" x14ac:dyDescent="0.2">
      <c r="A160" s="21" t="s">
        <v>13</v>
      </c>
      <c r="E160" s="232" t="s">
        <v>44</v>
      </c>
      <c r="F160" s="233" t="s">
        <v>66</v>
      </c>
      <c r="G160" s="233"/>
      <c r="H160" s="233"/>
      <c r="I160" s="233"/>
      <c r="J160" s="233"/>
      <c r="K160" s="233"/>
      <c r="L160" s="233"/>
      <c r="M160" s="233"/>
      <c r="N160" s="233"/>
      <c r="O160" s="255"/>
      <c r="P160" s="231"/>
      <c r="Q160" s="231"/>
      <c r="R160" s="231"/>
      <c r="S160" s="231"/>
      <c r="T160" s="244">
        <v>0.8650580875781948</v>
      </c>
      <c r="U160" s="244">
        <v>0.8650580875781948</v>
      </c>
      <c r="V160" s="244">
        <v>0.8650580875781948</v>
      </c>
      <c r="W160" s="244">
        <v>0.8650580875781948</v>
      </c>
      <c r="X160" s="244">
        <v>0.8650580875781948</v>
      </c>
      <c r="Y160" s="244">
        <v>0.8650580875781948</v>
      </c>
      <c r="Z160" s="244">
        <v>0.8650580875781948</v>
      </c>
      <c r="AA160" s="244">
        <v>0.8650580875781948</v>
      </c>
      <c r="AB160" s="244">
        <v>0.8650580875781948</v>
      </c>
      <c r="AC160" s="244">
        <v>0.8650580875781948</v>
      </c>
      <c r="AD160" s="244">
        <v>0.8650580875781948</v>
      </c>
      <c r="AE160" s="244">
        <v>0.8650580875781948</v>
      </c>
      <c r="AF160" s="284">
        <f>AF161/AF159</f>
        <v>0.8650580875781948</v>
      </c>
    </row>
    <row r="161" spans="1:44" ht="16" x14ac:dyDescent="0.2">
      <c r="E161" s="232" t="s">
        <v>70</v>
      </c>
      <c r="F161" s="233" t="s">
        <v>64</v>
      </c>
      <c r="G161" s="233"/>
      <c r="H161" s="233"/>
      <c r="I161" s="233"/>
      <c r="J161" s="233"/>
      <c r="K161" s="233"/>
      <c r="L161" s="233"/>
      <c r="M161" s="233"/>
      <c r="N161" s="233"/>
      <c r="O161" s="255"/>
      <c r="P161" s="231"/>
      <c r="Q161" s="231"/>
      <c r="R161" s="231"/>
      <c r="S161" s="231"/>
      <c r="T161" s="336">
        <f>T159*T160</f>
        <v>6654.8581145052594</v>
      </c>
      <c r="U161" s="336">
        <f t="shared" ref="U161:AE161" si="162">U159*U160</f>
        <v>6208.7543544208802</v>
      </c>
      <c r="V161" s="336">
        <f t="shared" si="162"/>
        <v>7280.6497540749424</v>
      </c>
      <c r="W161" s="336">
        <f t="shared" si="162"/>
        <v>8020.1446916382893</v>
      </c>
      <c r="X161" s="336">
        <f t="shared" si="162"/>
        <v>8351.5363851580496</v>
      </c>
      <c r="Y161" s="336">
        <f t="shared" si="162"/>
        <v>8680.9658736369074</v>
      </c>
      <c r="Z161" s="336">
        <f t="shared" si="162"/>
        <v>9520.9099859998278</v>
      </c>
      <c r="AA161" s="336">
        <f t="shared" si="162"/>
        <v>9866.1948575578281</v>
      </c>
      <c r="AB161" s="336">
        <f t="shared" si="162"/>
        <v>10214.006824911068</v>
      </c>
      <c r="AC161" s="336">
        <f t="shared" si="162"/>
        <v>11468.975132089963</v>
      </c>
      <c r="AD161" s="336">
        <f t="shared" si="162"/>
        <v>11514.052605145362</v>
      </c>
      <c r="AE161" s="336">
        <f t="shared" si="162"/>
        <v>11883.293189817996</v>
      </c>
      <c r="AF161" s="272">
        <f>SUM(T161:AE161)</f>
        <v>109664.34176895638</v>
      </c>
    </row>
    <row r="162" spans="1:44" ht="16" x14ac:dyDescent="0.2">
      <c r="A162" s="21" t="s">
        <v>13</v>
      </c>
      <c r="E162" s="232" t="s">
        <v>71</v>
      </c>
      <c r="F162" s="233" t="s">
        <v>66</v>
      </c>
      <c r="G162" s="233"/>
      <c r="H162" s="233"/>
      <c r="I162" s="233"/>
      <c r="J162" s="233"/>
      <c r="K162" s="233"/>
      <c r="L162" s="233"/>
      <c r="M162" s="233"/>
      <c r="N162" s="233"/>
      <c r="O162" s="255"/>
      <c r="P162" s="231"/>
      <c r="Q162" s="231"/>
      <c r="R162" s="231"/>
      <c r="S162" s="231"/>
      <c r="T162" s="244">
        <v>1</v>
      </c>
      <c r="U162" s="244">
        <v>1</v>
      </c>
      <c r="V162" s="244">
        <v>1</v>
      </c>
      <c r="W162" s="244">
        <v>1</v>
      </c>
      <c r="X162" s="244">
        <v>1</v>
      </c>
      <c r="Y162" s="244">
        <v>1</v>
      </c>
      <c r="Z162" s="244">
        <v>1</v>
      </c>
      <c r="AA162" s="244">
        <v>1</v>
      </c>
      <c r="AB162" s="244">
        <v>1</v>
      </c>
      <c r="AC162" s="244">
        <v>1</v>
      </c>
      <c r="AD162" s="244">
        <v>1</v>
      </c>
      <c r="AE162" s="244">
        <v>1</v>
      </c>
      <c r="AF162" s="284">
        <f>AF163/AF161</f>
        <v>1</v>
      </c>
    </row>
    <row r="163" spans="1:44" ht="16" x14ac:dyDescent="0.2">
      <c r="A163" s="21" t="s">
        <v>13</v>
      </c>
      <c r="E163" s="232" t="s">
        <v>72</v>
      </c>
      <c r="F163" s="233" t="s">
        <v>66</v>
      </c>
      <c r="G163" s="233"/>
      <c r="H163" s="233"/>
      <c r="I163" s="233"/>
      <c r="J163" s="233"/>
      <c r="K163" s="233"/>
      <c r="L163" s="233"/>
      <c r="M163" s="233"/>
      <c r="N163" s="233"/>
      <c r="O163" s="342"/>
      <c r="P163" s="366"/>
      <c r="Q163" s="366"/>
      <c r="R163" s="366"/>
      <c r="S163" s="366"/>
      <c r="T163" s="239">
        <f>T161*T162</f>
        <v>6654.8581145052594</v>
      </c>
      <c r="U163" s="239">
        <f t="shared" ref="U163:AE163" si="163">U161*U162</f>
        <v>6208.7543544208802</v>
      </c>
      <c r="V163" s="239">
        <f t="shared" si="163"/>
        <v>7280.6497540749424</v>
      </c>
      <c r="W163" s="239">
        <f t="shared" si="163"/>
        <v>8020.1446916382893</v>
      </c>
      <c r="X163" s="239">
        <f t="shared" si="163"/>
        <v>8351.5363851580496</v>
      </c>
      <c r="Y163" s="239">
        <f t="shared" si="163"/>
        <v>8680.9658736369074</v>
      </c>
      <c r="Z163" s="239">
        <f t="shared" si="163"/>
        <v>9520.9099859998278</v>
      </c>
      <c r="AA163" s="239">
        <f t="shared" si="163"/>
        <v>9866.1948575578281</v>
      </c>
      <c r="AB163" s="239">
        <f t="shared" si="163"/>
        <v>10214.006824911068</v>
      </c>
      <c r="AC163" s="239">
        <f t="shared" si="163"/>
        <v>11468.975132089963</v>
      </c>
      <c r="AD163" s="239">
        <f t="shared" si="163"/>
        <v>11514.052605145362</v>
      </c>
      <c r="AE163" s="239">
        <f t="shared" si="163"/>
        <v>11883.293189817996</v>
      </c>
      <c r="AF163" s="272">
        <f>SUM(T163:AE163)</f>
        <v>109664.34176895638</v>
      </c>
      <c r="AG163" s="6"/>
    </row>
    <row r="164" spans="1:44" ht="16" x14ac:dyDescent="0.2">
      <c r="A164" s="21" t="s">
        <v>13</v>
      </c>
      <c r="E164" s="232" t="s">
        <v>73</v>
      </c>
      <c r="F164" s="233" t="s">
        <v>64</v>
      </c>
      <c r="G164" s="233"/>
      <c r="H164" s="233"/>
      <c r="I164" s="233"/>
      <c r="J164" s="233"/>
      <c r="K164" s="233"/>
      <c r="L164" s="233"/>
      <c r="M164" s="233"/>
      <c r="N164" s="233"/>
      <c r="O164" s="367"/>
      <c r="P164" s="367"/>
      <c r="Q164" s="367"/>
      <c r="R164" s="367"/>
      <c r="S164" s="367"/>
      <c r="T164" s="350">
        <v>30</v>
      </c>
      <c r="U164" s="350">
        <v>30</v>
      </c>
      <c r="V164" s="350">
        <v>30</v>
      </c>
      <c r="W164" s="350">
        <v>30</v>
      </c>
      <c r="X164" s="350">
        <v>30</v>
      </c>
      <c r="Y164" s="350">
        <v>30</v>
      </c>
      <c r="Z164" s="350">
        <v>30</v>
      </c>
      <c r="AA164" s="350">
        <v>30</v>
      </c>
      <c r="AB164" s="350">
        <v>30</v>
      </c>
      <c r="AC164" s="350">
        <v>30</v>
      </c>
      <c r="AD164" s="350">
        <v>30</v>
      </c>
      <c r="AE164" s="350">
        <v>30</v>
      </c>
      <c r="AF164" s="291">
        <f>AF165/AF163</f>
        <v>29.999999999999996</v>
      </c>
      <c r="AG164" s="20"/>
    </row>
    <row r="165" spans="1:44" ht="16" x14ac:dyDescent="0.2">
      <c r="A165" s="21" t="s">
        <v>13</v>
      </c>
      <c r="E165" s="352" t="s">
        <v>75</v>
      </c>
      <c r="F165" s="353" t="s">
        <v>74</v>
      </c>
      <c r="G165" s="353"/>
      <c r="H165" s="353"/>
      <c r="I165" s="353"/>
      <c r="J165" s="353"/>
      <c r="K165" s="353"/>
      <c r="L165" s="353"/>
      <c r="M165" s="353"/>
      <c r="N165" s="368"/>
      <c r="O165" s="369"/>
      <c r="P165" s="370"/>
      <c r="Q165" s="370"/>
      <c r="R165" s="370"/>
      <c r="S165" s="370"/>
      <c r="T165" s="371">
        <f t="shared" ref="T165:AE165" si="164">T163*T164</f>
        <v>199645.74343515778</v>
      </c>
      <c r="U165" s="371">
        <f t="shared" si="164"/>
        <v>186262.63063262642</v>
      </c>
      <c r="V165" s="371">
        <f t="shared" si="164"/>
        <v>218419.49262224828</v>
      </c>
      <c r="W165" s="371">
        <f t="shared" si="164"/>
        <v>240604.34074914869</v>
      </c>
      <c r="X165" s="371">
        <f t="shared" si="164"/>
        <v>250546.09155474149</v>
      </c>
      <c r="Y165" s="371">
        <f t="shared" si="164"/>
        <v>260428.97620910723</v>
      </c>
      <c r="Z165" s="371">
        <f t="shared" si="164"/>
        <v>285627.29957999481</v>
      </c>
      <c r="AA165" s="371">
        <f t="shared" si="164"/>
        <v>295985.84572673484</v>
      </c>
      <c r="AB165" s="371">
        <f t="shared" si="164"/>
        <v>306420.20474733203</v>
      </c>
      <c r="AC165" s="371">
        <f t="shared" si="164"/>
        <v>344069.25396269892</v>
      </c>
      <c r="AD165" s="371">
        <f t="shared" si="164"/>
        <v>345421.57815436088</v>
      </c>
      <c r="AE165" s="371">
        <f t="shared" si="164"/>
        <v>356498.79569453991</v>
      </c>
      <c r="AF165" s="298">
        <f>SUM(T165:AE165)</f>
        <v>3289930.2530686911</v>
      </c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 x14ac:dyDescent="0.2"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9" spans="1:44" x14ac:dyDescent="0.2">
      <c r="AB169" s="5">
        <f>AB150</f>
        <v>5514.5492872347213</v>
      </c>
      <c r="AC169" s="5">
        <f>AC150</f>
        <v>6470.3318042374058</v>
      </c>
      <c r="AD169" s="5">
        <f>AD150</f>
        <v>6475.4634325643574</v>
      </c>
      <c r="AE169" s="5">
        <f>AE150</f>
        <v>6480.6041818874364</v>
      </c>
    </row>
    <row r="170" spans="1:44" x14ac:dyDescent="0.2">
      <c r="AB170" s="187">
        <v>28.434263747456477</v>
      </c>
      <c r="AC170" s="187">
        <v>28.434263747456477</v>
      </c>
      <c r="AD170" s="187">
        <v>28.434263747456477</v>
      </c>
      <c r="AE170" s="187">
        <v>28.434263747456477</v>
      </c>
    </row>
    <row r="171" spans="1:44" x14ac:dyDescent="0.2">
      <c r="AB171" s="20"/>
      <c r="AC171" s="20"/>
      <c r="AD171" s="20"/>
      <c r="AE171" s="20"/>
    </row>
    <row r="172" spans="1:44" x14ac:dyDescent="0.2">
      <c r="AB172" s="187"/>
      <c r="AC172" s="187"/>
      <c r="AD172" s="187"/>
      <c r="AE172" s="187"/>
    </row>
    <row r="173" spans="1:44" x14ac:dyDescent="0.2">
      <c r="AB173" s="5">
        <f>AB163</f>
        <v>10214.006824911068</v>
      </c>
      <c r="AC173" s="5">
        <f>AC163</f>
        <v>11468.975132089963</v>
      </c>
      <c r="AD173" s="5">
        <f>AD163</f>
        <v>11514.052605145362</v>
      </c>
      <c r="AE173" s="5">
        <f>AE163</f>
        <v>11883.293189817996</v>
      </c>
    </row>
    <row r="174" spans="1:44" x14ac:dyDescent="0.2">
      <c r="AB174">
        <v>30</v>
      </c>
      <c r="AC174">
        <v>30</v>
      </c>
      <c r="AD174">
        <v>30</v>
      </c>
      <c r="AE174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9430-520D-4F28-87D0-FA496A76206C}">
  <sheetPr>
    <tabColor rgb="FF2D73FF"/>
  </sheetPr>
  <dimension ref="A3:AR165"/>
  <sheetViews>
    <sheetView showGridLines="0" topLeftCell="B1" zoomScale="68" zoomScaleNormal="40" workbookViewId="0">
      <selection activeCell="G5" sqref="G5"/>
    </sheetView>
  </sheetViews>
  <sheetFormatPr baseColWidth="10" defaultColWidth="8.5" defaultRowHeight="15" x14ac:dyDescent="0.2"/>
  <cols>
    <col min="1" max="1" width="0" style="21" hidden="1" customWidth="1"/>
    <col min="2" max="2" width="3.5" style="21" customWidth="1"/>
    <col min="3" max="3" width="2.5" style="21" customWidth="1"/>
    <col min="4" max="4" width="1" style="21" customWidth="1"/>
    <col min="5" max="5" width="37.5" customWidth="1"/>
    <col min="6" max="6" width="9.5" bestFit="1" customWidth="1"/>
    <col min="7" max="7" width="14.5" bestFit="1" customWidth="1"/>
    <col min="8" max="8" width="13.5" bestFit="1" customWidth="1"/>
    <col min="9" max="9" width="14.5" bestFit="1" customWidth="1"/>
    <col min="10" max="11" width="15.1640625" bestFit="1" customWidth="1"/>
    <col min="12" max="12" width="14.5" bestFit="1" customWidth="1"/>
    <col min="13" max="14" width="15.1640625" bestFit="1" customWidth="1"/>
    <col min="15" max="18" width="14.5" bestFit="1" customWidth="1"/>
    <col min="19" max="19" width="16.83203125" bestFit="1" customWidth="1"/>
    <col min="20" max="20" width="17.5" bestFit="1" customWidth="1"/>
    <col min="21" max="21" width="16.5" bestFit="1" customWidth="1"/>
    <col min="22" max="22" width="17.5" bestFit="1" customWidth="1"/>
    <col min="23" max="23" width="17.1640625" bestFit="1" customWidth="1"/>
    <col min="24" max="24" width="17.5" bestFit="1" customWidth="1"/>
    <col min="25" max="25" width="16.5" bestFit="1" customWidth="1"/>
    <col min="26" max="27" width="17.5" bestFit="1" customWidth="1"/>
    <col min="28" max="28" width="17.1640625" bestFit="1" customWidth="1"/>
    <col min="29" max="29" width="17.5" bestFit="1" customWidth="1"/>
    <col min="30" max="30" width="17.1640625" bestFit="1" customWidth="1"/>
    <col min="31" max="31" width="16.5" bestFit="1" customWidth="1"/>
    <col min="32" max="32" width="19.5" bestFit="1" customWidth="1"/>
    <col min="33" max="33" width="13.5" bestFit="1" customWidth="1"/>
  </cols>
  <sheetData>
    <row r="3" spans="1:44" ht="16" x14ac:dyDescent="0.2">
      <c r="E3" s="1" t="s">
        <v>48</v>
      </c>
      <c r="F3" s="2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</row>
    <row r="4" spans="1:44" ht="16" x14ac:dyDescent="0.2">
      <c r="E4" s="2"/>
      <c r="F4" s="2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</row>
    <row r="5" spans="1:44" ht="16" x14ac:dyDescent="0.2">
      <c r="E5" s="181" t="s">
        <v>60</v>
      </c>
      <c r="F5" s="2"/>
      <c r="G5" s="22"/>
      <c r="H5" s="22"/>
      <c r="I5" s="22"/>
      <c r="J5" s="22"/>
      <c r="K5" s="22"/>
      <c r="L5" s="22"/>
      <c r="M5" s="22"/>
      <c r="N5" s="22"/>
      <c r="O5" s="22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</row>
    <row r="6" spans="1:44" ht="16" x14ac:dyDescent="0.2">
      <c r="E6" s="2"/>
      <c r="F6" s="2"/>
      <c r="G6" s="22">
        <f t="shared" ref="G6:N6" si="0">MONTH(G7)</f>
        <v>1</v>
      </c>
      <c r="H6" s="22">
        <f t="shared" si="0"/>
        <v>2</v>
      </c>
      <c r="I6" s="22">
        <f t="shared" si="0"/>
        <v>3</v>
      </c>
      <c r="J6" s="22">
        <f t="shared" si="0"/>
        <v>4</v>
      </c>
      <c r="K6" s="22">
        <f t="shared" si="0"/>
        <v>5</v>
      </c>
      <c r="L6" s="22">
        <f t="shared" si="0"/>
        <v>6</v>
      </c>
      <c r="M6" s="22">
        <f t="shared" si="0"/>
        <v>7</v>
      </c>
      <c r="N6" s="22">
        <f t="shared" si="0"/>
        <v>8</v>
      </c>
      <c r="O6" s="22">
        <v>9</v>
      </c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</row>
    <row r="7" spans="1:44" ht="30" customHeight="1" x14ac:dyDescent="0.2">
      <c r="C7" s="130"/>
      <c r="E7" s="7" t="s">
        <v>61</v>
      </c>
      <c r="F7" s="8"/>
      <c r="G7" s="8">
        <v>45658</v>
      </c>
      <c r="H7" s="8">
        <f t="shared" ref="H7:R7" si="1">EDATE(G7,1)</f>
        <v>45689</v>
      </c>
      <c r="I7" s="8">
        <f t="shared" si="1"/>
        <v>45717</v>
      </c>
      <c r="J7" s="8">
        <f t="shared" si="1"/>
        <v>45748</v>
      </c>
      <c r="K7" s="8">
        <f t="shared" si="1"/>
        <v>45778</v>
      </c>
      <c r="L7" s="8">
        <f t="shared" si="1"/>
        <v>45809</v>
      </c>
      <c r="M7" s="8">
        <f t="shared" si="1"/>
        <v>45839</v>
      </c>
      <c r="N7" s="8">
        <f t="shared" si="1"/>
        <v>45870</v>
      </c>
      <c r="O7" s="8">
        <f t="shared" si="1"/>
        <v>45901</v>
      </c>
      <c r="P7" s="9">
        <f t="shared" si="1"/>
        <v>45931</v>
      </c>
      <c r="Q7" s="9">
        <f t="shared" si="1"/>
        <v>45962</v>
      </c>
      <c r="R7" s="9">
        <f t="shared" si="1"/>
        <v>45992</v>
      </c>
      <c r="S7" s="40" t="s">
        <v>3</v>
      </c>
      <c r="T7" s="9">
        <f>EDATE(R7,1)</f>
        <v>46023</v>
      </c>
      <c r="U7" s="9">
        <f t="shared" ref="U7:AE7" si="2">EDATE(T7,1)</f>
        <v>46054</v>
      </c>
      <c r="V7" s="9">
        <f t="shared" si="2"/>
        <v>46082</v>
      </c>
      <c r="W7" s="9">
        <f t="shared" si="2"/>
        <v>46113</v>
      </c>
      <c r="X7" s="9">
        <f t="shared" si="2"/>
        <v>46143</v>
      </c>
      <c r="Y7" s="9">
        <f t="shared" si="2"/>
        <v>46174</v>
      </c>
      <c r="Z7" s="9">
        <f t="shared" si="2"/>
        <v>46204</v>
      </c>
      <c r="AA7" s="9">
        <f t="shared" si="2"/>
        <v>46235</v>
      </c>
      <c r="AB7" s="9">
        <f t="shared" si="2"/>
        <v>46266</v>
      </c>
      <c r="AC7" s="9">
        <f t="shared" si="2"/>
        <v>46296</v>
      </c>
      <c r="AD7" s="9">
        <f t="shared" si="2"/>
        <v>46327</v>
      </c>
      <c r="AE7" s="9">
        <f t="shared" si="2"/>
        <v>46357</v>
      </c>
      <c r="AF7" s="41" t="s">
        <v>4</v>
      </c>
    </row>
    <row r="8" spans="1:44" s="116" customFormat="1" ht="23.25" customHeight="1" x14ac:dyDescent="0.2">
      <c r="A8" s="115"/>
      <c r="B8" s="115"/>
      <c r="C8" s="115"/>
      <c r="D8" s="115"/>
      <c r="E8" s="178" t="s">
        <v>56</v>
      </c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3"/>
      <c r="Q8" s="263"/>
      <c r="R8" s="263"/>
      <c r="S8" s="264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5"/>
    </row>
    <row r="9" spans="1:44" ht="16" x14ac:dyDescent="0.2">
      <c r="E9" s="266" t="s">
        <v>63</v>
      </c>
      <c r="F9" s="267" t="s">
        <v>64</v>
      </c>
      <c r="G9" s="268"/>
      <c r="H9" s="268"/>
      <c r="I9" s="268"/>
      <c r="J9" s="268"/>
      <c r="K9" s="268"/>
      <c r="L9" s="268"/>
      <c r="M9" s="268">
        <v>57914</v>
      </c>
      <c r="N9" s="268">
        <v>161694</v>
      </c>
      <c r="O9" s="269">
        <v>165859</v>
      </c>
      <c r="P9" s="269">
        <f>P54</f>
        <v>180000</v>
      </c>
      <c r="Q9" s="269">
        <f t="shared" ref="Q9:R9" si="3">Q54</f>
        <v>200000</v>
      </c>
      <c r="R9" s="269">
        <f t="shared" si="3"/>
        <v>230000</v>
      </c>
      <c r="S9" s="270">
        <f>SUM(G9:R9)</f>
        <v>995467</v>
      </c>
      <c r="T9" s="271">
        <f t="shared" ref="T9:AE9" si="4">SUM(T22,T35)</f>
        <v>244169.64675330796</v>
      </c>
      <c r="U9" s="271">
        <f t="shared" si="4"/>
        <v>225521.71706247481</v>
      </c>
      <c r="V9" s="271">
        <f t="shared" si="4"/>
        <v>243106.43344506886</v>
      </c>
      <c r="W9" s="271">
        <f t="shared" si="4"/>
        <v>251644.06214490632</v>
      </c>
      <c r="X9" s="271">
        <f t="shared" si="4"/>
        <v>251134.3839263487</v>
      </c>
      <c r="Y9" s="271">
        <f t="shared" si="4"/>
        <v>250633.08816508602</v>
      </c>
      <c r="Z9" s="271">
        <f t="shared" si="4"/>
        <v>259648.66622405293</v>
      </c>
      <c r="AA9" s="271">
        <f t="shared" si="4"/>
        <v>259163.52669361845</v>
      </c>
      <c r="AB9" s="271">
        <f t="shared" si="4"/>
        <v>258686.17394525046</v>
      </c>
      <c r="AC9" s="271">
        <f t="shared" si="4"/>
        <v>268200.55329140229</v>
      </c>
      <c r="AD9" s="271">
        <f t="shared" si="4"/>
        <v>267738.22203991696</v>
      </c>
      <c r="AE9" s="271">
        <f t="shared" si="4"/>
        <v>267283.13702479354</v>
      </c>
      <c r="AF9" s="272">
        <f>SUM(T9:AE9)</f>
        <v>3046929.6107162274</v>
      </c>
    </row>
    <row r="10" spans="1:44" ht="16" x14ac:dyDescent="0.2">
      <c r="E10" s="266" t="s">
        <v>65</v>
      </c>
      <c r="F10" s="267" t="s">
        <v>66</v>
      </c>
      <c r="G10" s="273"/>
      <c r="H10" s="273"/>
      <c r="I10" s="273"/>
      <c r="J10" s="273"/>
      <c r="K10" s="273"/>
      <c r="L10" s="273"/>
      <c r="M10" s="273">
        <v>1</v>
      </c>
      <c r="N10" s="273">
        <v>1</v>
      </c>
      <c r="O10" s="273">
        <v>1</v>
      </c>
      <c r="P10" s="273">
        <v>0.99999364356951714</v>
      </c>
      <c r="Q10" s="273">
        <v>0.99999364356951714</v>
      </c>
      <c r="R10" s="273">
        <v>0.99999364356951714</v>
      </c>
      <c r="S10" s="274">
        <v>1</v>
      </c>
      <c r="T10" s="275">
        <v>1</v>
      </c>
      <c r="U10" s="275">
        <v>1</v>
      </c>
      <c r="V10" s="275">
        <v>1</v>
      </c>
      <c r="W10" s="275">
        <v>1</v>
      </c>
      <c r="X10" s="275">
        <v>1</v>
      </c>
      <c r="Y10" s="275">
        <v>1</v>
      </c>
      <c r="Z10" s="275">
        <v>1</v>
      </c>
      <c r="AA10" s="275">
        <v>1</v>
      </c>
      <c r="AB10" s="275">
        <v>1</v>
      </c>
      <c r="AC10" s="275">
        <v>1</v>
      </c>
      <c r="AD10" s="275">
        <v>1</v>
      </c>
      <c r="AE10" s="275">
        <v>1</v>
      </c>
      <c r="AF10" s="276">
        <v>1</v>
      </c>
    </row>
    <row r="11" spans="1:44" ht="16" x14ac:dyDescent="0.2">
      <c r="B11" s="21" t="s">
        <v>47</v>
      </c>
      <c r="E11" s="266" t="s">
        <v>67</v>
      </c>
      <c r="F11" s="267" t="s">
        <v>66</v>
      </c>
      <c r="G11" s="273"/>
      <c r="H11" s="273"/>
      <c r="I11" s="273"/>
      <c r="J11" s="273"/>
      <c r="K11" s="273"/>
      <c r="L11" s="273"/>
      <c r="M11" s="273">
        <v>1</v>
      </c>
      <c r="N11" s="273">
        <v>1</v>
      </c>
      <c r="O11" s="273">
        <v>0.99799829976064003</v>
      </c>
      <c r="P11" s="273">
        <v>0.99805491990846684</v>
      </c>
      <c r="Q11" s="273">
        <v>0.99805491990846684</v>
      </c>
      <c r="R11" s="273">
        <v>0.99805491990846684</v>
      </c>
      <c r="S11" s="274">
        <v>1</v>
      </c>
      <c r="T11" s="275">
        <v>1</v>
      </c>
      <c r="U11" s="275">
        <v>1</v>
      </c>
      <c r="V11" s="275">
        <v>1</v>
      </c>
      <c r="W11" s="275">
        <v>1</v>
      </c>
      <c r="X11" s="275">
        <v>1</v>
      </c>
      <c r="Y11" s="275">
        <v>1</v>
      </c>
      <c r="Z11" s="275">
        <v>1</v>
      </c>
      <c r="AA11" s="275">
        <v>1</v>
      </c>
      <c r="AB11" s="275">
        <v>1</v>
      </c>
      <c r="AC11" s="275">
        <v>1</v>
      </c>
      <c r="AD11" s="275">
        <v>1</v>
      </c>
      <c r="AE11" s="275">
        <v>1</v>
      </c>
      <c r="AF11" s="276">
        <v>1</v>
      </c>
    </row>
    <row r="12" spans="1:44" ht="16" x14ac:dyDescent="0.2">
      <c r="B12" s="21" t="s">
        <v>78</v>
      </c>
      <c r="E12" s="266" t="s">
        <v>68</v>
      </c>
      <c r="F12" s="267" t="s">
        <v>66</v>
      </c>
      <c r="G12" s="277"/>
      <c r="H12" s="277"/>
      <c r="I12" s="277"/>
      <c r="J12" s="277"/>
      <c r="K12" s="277"/>
      <c r="L12" s="277"/>
      <c r="M12" s="277">
        <v>0.40202714369582482</v>
      </c>
      <c r="N12" s="277">
        <v>0.33494749341348473</v>
      </c>
      <c r="O12" s="278">
        <v>0.4971515221081757</v>
      </c>
      <c r="P12" s="278">
        <f>O12</f>
        <v>0.4971515221081757</v>
      </c>
      <c r="Q12" s="278">
        <f t="shared" ref="Q12:R12" si="5">P12</f>
        <v>0.4971515221081757</v>
      </c>
      <c r="R12" s="278">
        <f t="shared" si="5"/>
        <v>0.4971515221081757</v>
      </c>
      <c r="S12" s="279">
        <f t="shared" ref="S12:AF12" si="6">S13/S9</f>
        <v>0.46451025986471689</v>
      </c>
      <c r="T12" s="280">
        <f t="shared" si="6"/>
        <v>0.53399999999999992</v>
      </c>
      <c r="U12" s="280">
        <f t="shared" si="6"/>
        <v>0.53854545454545444</v>
      </c>
      <c r="V12" s="280">
        <f t="shared" si="6"/>
        <v>0.54309090909090907</v>
      </c>
      <c r="W12" s="280">
        <f t="shared" si="6"/>
        <v>0.54763636363636359</v>
      </c>
      <c r="X12" s="280">
        <f t="shared" si="6"/>
        <v>0.552181818181818</v>
      </c>
      <c r="Y12" s="280">
        <f t="shared" si="6"/>
        <v>0.55672727272727263</v>
      </c>
      <c r="Z12" s="280">
        <f t="shared" si="6"/>
        <v>0.56127272727272715</v>
      </c>
      <c r="AA12" s="280">
        <f t="shared" si="6"/>
        <v>0.56581818181818155</v>
      </c>
      <c r="AB12" s="280">
        <f t="shared" si="6"/>
        <v>0.57036363636363618</v>
      </c>
      <c r="AC12" s="280">
        <f t="shared" si="6"/>
        <v>0.5749090909090907</v>
      </c>
      <c r="AD12" s="280">
        <f t="shared" si="6"/>
        <v>0.57945454545454522</v>
      </c>
      <c r="AE12" s="280">
        <f t="shared" si="6"/>
        <v>0.58399999999999963</v>
      </c>
      <c r="AF12" s="281">
        <f t="shared" si="6"/>
        <v>0.55965503299018649</v>
      </c>
      <c r="AG12" s="372">
        <f t="shared" ref="AG12:AR12" si="7">AG13/(T10*T11*T12*T14*T16*T18)</f>
        <v>225455.97398879644</v>
      </c>
      <c r="AH12" s="20">
        <f t="shared" si="7"/>
        <v>206963.07959864396</v>
      </c>
      <c r="AI12" s="20">
        <f t="shared" si="7"/>
        <v>224700.28357760588</v>
      </c>
      <c r="AJ12" s="20">
        <f t="shared" si="7"/>
        <v>233387.91445757126</v>
      </c>
      <c r="AK12" s="20">
        <f t="shared" si="7"/>
        <v>233025.81327690461</v>
      </c>
      <c r="AL12" s="20">
        <f t="shared" si="7"/>
        <v>232669.72775198182</v>
      </c>
      <c r="AM12" s="20">
        <f t="shared" si="7"/>
        <v>241828.20573000476</v>
      </c>
      <c r="AN12" s="20">
        <f t="shared" si="7"/>
        <v>241483.71050244808</v>
      </c>
      <c r="AO12" s="20">
        <f t="shared" si="7"/>
        <v>241144.7994285388</v>
      </c>
      <c r="AP12" s="20">
        <f t="shared" si="7"/>
        <v>250795.46916170357</v>
      </c>
      <c r="AQ12" s="20">
        <f t="shared" si="7"/>
        <v>250467.32676745395</v>
      </c>
      <c r="AR12" s="20">
        <f t="shared" si="7"/>
        <v>250144.37731472112</v>
      </c>
    </row>
    <row r="13" spans="1:44" ht="16" x14ac:dyDescent="0.2">
      <c r="E13" s="266" t="s">
        <v>69</v>
      </c>
      <c r="F13" s="267" t="s">
        <v>64</v>
      </c>
      <c r="G13" s="268"/>
      <c r="H13" s="268"/>
      <c r="I13" s="268"/>
      <c r="J13" s="268"/>
      <c r="K13" s="268"/>
      <c r="L13" s="268"/>
      <c r="M13" s="268">
        <f>M9*M10*M11*M12</f>
        <v>23283</v>
      </c>
      <c r="N13" s="268">
        <f t="shared" ref="N13:O13" si="8">N9*N10*N11*N12</f>
        <v>54159</v>
      </c>
      <c r="O13" s="268">
        <f t="shared" si="8"/>
        <v>82292</v>
      </c>
      <c r="P13" s="268">
        <f t="shared" ref="P13" si="9">P9*P10*P11*P12</f>
        <v>89312.646351172181</v>
      </c>
      <c r="Q13" s="268">
        <f t="shared" ref="Q13" si="10">Q9*Q10*Q11*Q12</f>
        <v>99236.273723524646</v>
      </c>
      <c r="R13" s="268">
        <f t="shared" ref="R13" si="11">R9*R10*R11*R12</f>
        <v>114121.71478205334</v>
      </c>
      <c r="S13" s="270">
        <f>SUM(G13:R13)</f>
        <v>462404.63485675014</v>
      </c>
      <c r="T13" s="271">
        <f t="shared" ref="T13:AE13" si="12">SUM(T26,T39)</f>
        <v>130386.59136626644</v>
      </c>
      <c r="U13" s="271">
        <f t="shared" si="12"/>
        <v>121453.69562528186</v>
      </c>
      <c r="V13" s="271">
        <f t="shared" si="12"/>
        <v>132028.89394553102</v>
      </c>
      <c r="W13" s="271">
        <f t="shared" si="12"/>
        <v>137809.43912371958</v>
      </c>
      <c r="X13" s="271">
        <f t="shared" si="12"/>
        <v>138671.84072442196</v>
      </c>
      <c r="Y13" s="271">
        <f t="shared" si="12"/>
        <v>139534.27562936241</v>
      </c>
      <c r="Z13" s="271">
        <f t="shared" si="12"/>
        <v>145733.71502430021</v>
      </c>
      <c r="AA13" s="271">
        <f t="shared" si="12"/>
        <v>146639.43546737096</v>
      </c>
      <c r="AB13" s="271">
        <f t="shared" si="12"/>
        <v>147545.18684840915</v>
      </c>
      <c r="AC13" s="271">
        <f t="shared" si="12"/>
        <v>154190.93627407524</v>
      </c>
      <c r="AD13" s="271">
        <f t="shared" si="12"/>
        <v>155142.12975294818</v>
      </c>
      <c r="AE13" s="271">
        <f t="shared" si="12"/>
        <v>156093.35202247932</v>
      </c>
      <c r="AF13" s="272">
        <f>SUM(T13:AE13)</f>
        <v>1705229.4918041665</v>
      </c>
      <c r="AG13" s="20">
        <f t="shared" ref="AG13:AR13" si="13">T19+$AI$19</f>
        <v>390818.66522027674</v>
      </c>
      <c r="AH13" s="20">
        <f t="shared" si="13"/>
        <v>361759.02174023842</v>
      </c>
      <c r="AI13" s="20">
        <f t="shared" si="13"/>
        <v>396016.46912949788</v>
      </c>
      <c r="AJ13" s="20">
        <f t="shared" si="13"/>
        <v>414707.41762676946</v>
      </c>
      <c r="AK13" s="20">
        <f t="shared" si="13"/>
        <v>417438.44231580163</v>
      </c>
      <c r="AL13" s="20">
        <f t="shared" si="13"/>
        <v>420169.84329747735</v>
      </c>
      <c r="AM13" s="20">
        <f t="shared" si="13"/>
        <v>440210.71756932302</v>
      </c>
      <c r="AN13" s="20">
        <f t="shared" si="13"/>
        <v>443080.53908981144</v>
      </c>
      <c r="AO13" s="20">
        <f t="shared" si="13"/>
        <v>445950.71016406047</v>
      </c>
      <c r="AP13" s="20">
        <f t="shared" si="13"/>
        <v>467429.52407869021</v>
      </c>
      <c r="AQ13" s="20">
        <f t="shared" si="13"/>
        <v>470444.94951910223</v>
      </c>
      <c r="AR13" s="20">
        <f t="shared" si="13"/>
        <v>473460.70024895109</v>
      </c>
    </row>
    <row r="14" spans="1:44" ht="16" x14ac:dyDescent="0.2">
      <c r="E14" s="266" t="s">
        <v>44</v>
      </c>
      <c r="F14" s="267" t="s">
        <v>66</v>
      </c>
      <c r="G14" s="277"/>
      <c r="H14" s="277"/>
      <c r="I14" s="277"/>
      <c r="J14" s="277"/>
      <c r="K14" s="277"/>
      <c r="L14" s="277"/>
      <c r="M14" s="277">
        <v>0.95047889017738263</v>
      </c>
      <c r="N14" s="277">
        <v>0.93347366088738715</v>
      </c>
      <c r="O14" s="278">
        <v>0.93700481213240661</v>
      </c>
      <c r="P14" s="278">
        <f>O14</f>
        <v>0.93700481213240661</v>
      </c>
      <c r="Q14" s="278">
        <f t="shared" ref="Q14:R14" si="14">P14</f>
        <v>0.93700481213240661</v>
      </c>
      <c r="R14" s="278">
        <f t="shared" si="14"/>
        <v>0.93700481213240661</v>
      </c>
      <c r="S14" s="283">
        <f t="shared" ref="S14:AF14" si="15">S15/S13</f>
        <v>0.93726967396468497</v>
      </c>
      <c r="T14" s="275">
        <f t="shared" si="15"/>
        <v>0.93700481213240649</v>
      </c>
      <c r="U14" s="275">
        <f t="shared" si="15"/>
        <v>0.93700481213240683</v>
      </c>
      <c r="V14" s="275">
        <f t="shared" si="15"/>
        <v>0.93700481213240661</v>
      </c>
      <c r="W14" s="275">
        <f t="shared" si="15"/>
        <v>0.93700481213240683</v>
      </c>
      <c r="X14" s="275">
        <f t="shared" si="15"/>
        <v>0.93700481213240672</v>
      </c>
      <c r="Y14" s="275">
        <f t="shared" si="15"/>
        <v>0.93700481213240672</v>
      </c>
      <c r="Z14" s="275">
        <f t="shared" si="15"/>
        <v>0.93700481213240661</v>
      </c>
      <c r="AA14" s="275">
        <f t="shared" si="15"/>
        <v>0.93700481213240683</v>
      </c>
      <c r="AB14" s="275">
        <f t="shared" si="15"/>
        <v>0.93700481213240661</v>
      </c>
      <c r="AC14" s="275">
        <f t="shared" si="15"/>
        <v>0.93700481213240649</v>
      </c>
      <c r="AD14" s="275">
        <f t="shared" si="15"/>
        <v>0.93700481213240661</v>
      </c>
      <c r="AE14" s="275">
        <f t="shared" si="15"/>
        <v>0.93700481213240694</v>
      </c>
      <c r="AF14" s="284">
        <f t="shared" si="15"/>
        <v>0.93700481213240661</v>
      </c>
    </row>
    <row r="15" spans="1:44" ht="16" x14ac:dyDescent="0.2">
      <c r="E15" s="266" t="s">
        <v>70</v>
      </c>
      <c r="F15" s="267" t="s">
        <v>64</v>
      </c>
      <c r="G15" s="268"/>
      <c r="H15" s="268"/>
      <c r="I15" s="268"/>
      <c r="J15" s="268"/>
      <c r="K15" s="268"/>
      <c r="L15" s="268"/>
      <c r="M15" s="268">
        <f>M13*M14</f>
        <v>22130</v>
      </c>
      <c r="N15" s="268">
        <f t="shared" ref="N15:O15" si="16">N13*N14</f>
        <v>50556</v>
      </c>
      <c r="O15" s="268">
        <f t="shared" si="16"/>
        <v>77108</v>
      </c>
      <c r="P15" s="268">
        <f t="shared" ref="P15" si="17">P13*P14</f>
        <v>83686.379415328163</v>
      </c>
      <c r="Q15" s="268">
        <f t="shared" ref="Q15" si="18">Q13*Q14</f>
        <v>92984.866017031294</v>
      </c>
      <c r="R15" s="268">
        <f t="shared" ref="R15" si="19">R13*R14</f>
        <v>106932.59591958598</v>
      </c>
      <c r="S15" s="270">
        <f>SUM(G15:R15)</f>
        <v>433397.84135194542</v>
      </c>
      <c r="T15" s="271">
        <f t="shared" ref="T15:AE15" si="20">SUM(T28,T41)</f>
        <v>122172.86354773334</v>
      </c>
      <c r="U15" s="271">
        <f t="shared" si="20"/>
        <v>113802.69725215375</v>
      </c>
      <c r="V15" s="271">
        <f t="shared" si="20"/>
        <v>123711.70896748173</v>
      </c>
      <c r="W15" s="271">
        <f t="shared" si="20"/>
        <v>129128.10761619321</v>
      </c>
      <c r="X15" s="271">
        <f t="shared" si="20"/>
        <v>129936.18206604202</v>
      </c>
      <c r="Y15" s="271">
        <f t="shared" si="20"/>
        <v>130744.28772212219</v>
      </c>
      <c r="Z15" s="271">
        <f t="shared" si="20"/>
        <v>136553.19226770211</v>
      </c>
      <c r="AA15" s="271">
        <f t="shared" si="20"/>
        <v>137401.85668130612</v>
      </c>
      <c r="AB15" s="271">
        <f t="shared" si="20"/>
        <v>138250.55008393445</v>
      </c>
      <c r="AC15" s="271">
        <f t="shared" si="20"/>
        <v>144477.64927600973</v>
      </c>
      <c r="AD15" s="271">
        <f t="shared" si="20"/>
        <v>145368.92214298266</v>
      </c>
      <c r="AE15" s="271">
        <f t="shared" si="20"/>
        <v>146260.22198694089</v>
      </c>
      <c r="AF15" s="272">
        <f>SUM(T15:AE15)</f>
        <v>1597808.2396106021</v>
      </c>
    </row>
    <row r="16" spans="1:44" ht="16" x14ac:dyDescent="0.2">
      <c r="E16" s="266" t="s">
        <v>71</v>
      </c>
      <c r="F16" s="267" t="s">
        <v>66</v>
      </c>
      <c r="G16" s="277"/>
      <c r="H16" s="277"/>
      <c r="I16" s="277"/>
      <c r="J16" s="277"/>
      <c r="K16" s="277"/>
      <c r="L16" s="277"/>
      <c r="M16" s="277">
        <v>1</v>
      </c>
      <c r="N16" s="277">
        <v>1</v>
      </c>
      <c r="O16" s="277">
        <v>0.99992218706230218</v>
      </c>
      <c r="P16" s="277">
        <f>O16</f>
        <v>0.99992218706230218</v>
      </c>
      <c r="Q16" s="277">
        <f t="shared" ref="Q16:R16" si="21">P16</f>
        <v>0.99992218706230218</v>
      </c>
      <c r="R16" s="277">
        <f t="shared" si="21"/>
        <v>0.99992218706230218</v>
      </c>
      <c r="S16" s="285">
        <f t="shared" ref="S16:AF16" si="22">S17/S15</f>
        <v>0.99993523722233957</v>
      </c>
      <c r="T16" s="275">
        <f t="shared" si="22"/>
        <v>1</v>
      </c>
      <c r="U16" s="275">
        <f t="shared" si="22"/>
        <v>1</v>
      </c>
      <c r="V16" s="275">
        <f t="shared" si="22"/>
        <v>1</v>
      </c>
      <c r="W16" s="275">
        <f t="shared" si="22"/>
        <v>1</v>
      </c>
      <c r="X16" s="275">
        <f t="shared" si="22"/>
        <v>1</v>
      </c>
      <c r="Y16" s="275">
        <f t="shared" si="22"/>
        <v>1</v>
      </c>
      <c r="Z16" s="275">
        <f t="shared" si="22"/>
        <v>1</v>
      </c>
      <c r="AA16" s="275">
        <f t="shared" si="22"/>
        <v>1</v>
      </c>
      <c r="AB16" s="275">
        <f t="shared" si="22"/>
        <v>1</v>
      </c>
      <c r="AC16" s="275">
        <f t="shared" si="22"/>
        <v>1</v>
      </c>
      <c r="AD16" s="275">
        <f t="shared" si="22"/>
        <v>1</v>
      </c>
      <c r="AE16" s="275">
        <f t="shared" si="22"/>
        <v>1</v>
      </c>
      <c r="AF16" s="286">
        <f t="shared" si="22"/>
        <v>1</v>
      </c>
    </row>
    <row r="17" spans="1:35" ht="16" x14ac:dyDescent="0.2">
      <c r="E17" s="266" t="s">
        <v>72</v>
      </c>
      <c r="F17" s="267" t="s">
        <v>64</v>
      </c>
      <c r="G17" s="268"/>
      <c r="H17" s="268"/>
      <c r="I17" s="268"/>
      <c r="J17" s="268"/>
      <c r="K17" s="268"/>
      <c r="L17" s="268"/>
      <c r="M17" s="268">
        <f>M15*M16</f>
        <v>22130</v>
      </c>
      <c r="N17" s="268">
        <f t="shared" ref="N17:O17" si="23">N15*N16</f>
        <v>50556</v>
      </c>
      <c r="O17" s="268">
        <f t="shared" si="23"/>
        <v>77102</v>
      </c>
      <c r="P17" s="268">
        <f t="shared" ref="P17" si="24">P15*P16</f>
        <v>83679.867532300559</v>
      </c>
      <c r="Q17" s="268">
        <f t="shared" ref="Q17" si="25">Q15*Q16</f>
        <v>92977.630591445064</v>
      </c>
      <c r="R17" s="268">
        <f t="shared" ref="R17" si="26">R15*R16</f>
        <v>106924.27518016181</v>
      </c>
      <c r="S17" s="270">
        <f>SUM(G17:R17)</f>
        <v>433369.77330390742</v>
      </c>
      <c r="T17" s="271">
        <f t="shared" ref="T17:AE17" si="27">SUM(T30,T43)</f>
        <v>122172.86354773334</v>
      </c>
      <c r="U17" s="271">
        <f t="shared" si="27"/>
        <v>113802.69725215375</v>
      </c>
      <c r="V17" s="271">
        <f t="shared" si="27"/>
        <v>123711.70896748173</v>
      </c>
      <c r="W17" s="271">
        <f t="shared" si="27"/>
        <v>129128.10761619321</v>
      </c>
      <c r="X17" s="271">
        <f t="shared" si="27"/>
        <v>129936.18206604202</v>
      </c>
      <c r="Y17" s="271">
        <f t="shared" si="27"/>
        <v>130744.28772212219</v>
      </c>
      <c r="Z17" s="271">
        <f t="shared" si="27"/>
        <v>136553.19226770211</v>
      </c>
      <c r="AA17" s="271">
        <f t="shared" si="27"/>
        <v>137401.85668130612</v>
      </c>
      <c r="AB17" s="271">
        <f t="shared" si="27"/>
        <v>138250.55008393445</v>
      </c>
      <c r="AC17" s="271">
        <f t="shared" si="27"/>
        <v>144477.64927600973</v>
      </c>
      <c r="AD17" s="271">
        <f t="shared" si="27"/>
        <v>145368.92214298266</v>
      </c>
      <c r="AE17" s="271">
        <f t="shared" si="27"/>
        <v>146260.22198694089</v>
      </c>
      <c r="AF17" s="272">
        <f>SUM(T17:AE17)</f>
        <v>1597808.2396106021</v>
      </c>
    </row>
    <row r="18" spans="1:35" ht="16" x14ac:dyDescent="0.2">
      <c r="E18" s="266" t="s">
        <v>73</v>
      </c>
      <c r="F18" s="267" t="s">
        <v>74</v>
      </c>
      <c r="G18" s="287"/>
      <c r="H18" s="287"/>
      <c r="I18" s="287"/>
      <c r="J18" s="287"/>
      <c r="K18" s="287"/>
      <c r="L18" s="287"/>
      <c r="M18" s="287">
        <v>2.470237686398459</v>
      </c>
      <c r="N18" s="287">
        <v>2.4674740090196416</v>
      </c>
      <c r="O18" s="288">
        <v>2.5536168711576872</v>
      </c>
      <c r="P18" s="288">
        <f>O18</f>
        <v>2.5536168711576872</v>
      </c>
      <c r="Q18" s="288">
        <f t="shared" ref="Q18:R18" si="28">P18</f>
        <v>2.5536168711576872</v>
      </c>
      <c r="R18" s="288">
        <f t="shared" si="28"/>
        <v>2.5536168711576872</v>
      </c>
      <c r="S18" s="289">
        <f t="shared" ref="S18:AF18" si="29">S19/S17</f>
        <v>2.5393098745028357</v>
      </c>
      <c r="T18" s="290">
        <f t="shared" si="29"/>
        <v>3.464419475655431</v>
      </c>
      <c r="U18" s="290">
        <f t="shared" si="29"/>
        <v>3.4638757596218763</v>
      </c>
      <c r="V18" s="290">
        <f t="shared" si="29"/>
        <v>3.4633411449614995</v>
      </c>
      <c r="W18" s="290">
        <f t="shared" si="29"/>
        <v>3.4628154050464799</v>
      </c>
      <c r="X18" s="290">
        <f t="shared" si="29"/>
        <v>3.4622983207112283</v>
      </c>
      <c r="Y18" s="290">
        <f t="shared" si="29"/>
        <v>3.4617896799477466</v>
      </c>
      <c r="Z18" s="290">
        <f t="shared" si="29"/>
        <v>3.4612892776158075</v>
      </c>
      <c r="AA18" s="290">
        <f t="shared" si="29"/>
        <v>3.4607969151670952</v>
      </c>
      <c r="AB18" s="290">
        <f t="shared" si="29"/>
        <v>3.4603124003825312</v>
      </c>
      <c r="AC18" s="290">
        <f t="shared" si="29"/>
        <v>3.4598355471220743</v>
      </c>
      <c r="AD18" s="290">
        <f t="shared" si="29"/>
        <v>3.4593661750862883</v>
      </c>
      <c r="AE18" s="290">
        <f t="shared" si="29"/>
        <v>3.4589041095890405</v>
      </c>
      <c r="AF18" s="291">
        <f t="shared" si="29"/>
        <v>3.4614664355222606</v>
      </c>
    </row>
    <row r="19" spans="1:35" ht="16" x14ac:dyDescent="0.2">
      <c r="E19" s="292" t="s">
        <v>75</v>
      </c>
      <c r="F19" s="293" t="s">
        <v>74</v>
      </c>
      <c r="G19" s="294"/>
      <c r="H19" s="294"/>
      <c r="I19" s="294"/>
      <c r="J19" s="294"/>
      <c r="K19" s="294"/>
      <c r="L19" s="294"/>
      <c r="M19" s="294">
        <f>M17*M18</f>
        <v>54666.359999997898</v>
      </c>
      <c r="N19" s="294">
        <f t="shared" ref="N19" si="30">N17*N18</f>
        <v>124745.615999997</v>
      </c>
      <c r="O19" s="295">
        <v>196888.96799999999</v>
      </c>
      <c r="P19" s="295">
        <f>P17*P18</f>
        <v>213686.32150672309</v>
      </c>
      <c r="Q19" s="295">
        <f t="shared" ref="Q19:R19" si="31">Q17*Q18</f>
        <v>237429.24611858121</v>
      </c>
      <c r="R19" s="295">
        <f t="shared" si="31"/>
        <v>273043.63303636835</v>
      </c>
      <c r="S19" s="296">
        <f>SUM(G19:R19)</f>
        <v>1100460.1446616675</v>
      </c>
      <c r="T19" s="297">
        <f t="shared" ref="T19:AE19" si="32">SUM(T32,T45)</f>
        <v>423258.04787136085</v>
      </c>
      <c r="U19" s="297">
        <f t="shared" si="32"/>
        <v>394198.40439132252</v>
      </c>
      <c r="V19" s="297">
        <f t="shared" si="32"/>
        <v>428455.85178058199</v>
      </c>
      <c r="W19" s="297">
        <f t="shared" si="32"/>
        <v>447146.80027785356</v>
      </c>
      <c r="X19" s="297">
        <f t="shared" si="32"/>
        <v>449877.82496688573</v>
      </c>
      <c r="Y19" s="297">
        <f t="shared" si="32"/>
        <v>452609.22594856145</v>
      </c>
      <c r="Z19" s="297">
        <f t="shared" si="32"/>
        <v>472650.10022040713</v>
      </c>
      <c r="AA19" s="297">
        <f t="shared" si="32"/>
        <v>475519.92174089554</v>
      </c>
      <c r="AB19" s="297">
        <f t="shared" si="32"/>
        <v>478390.09281514457</v>
      </c>
      <c r="AC19" s="297">
        <f t="shared" si="32"/>
        <v>499868.90672977432</v>
      </c>
      <c r="AD19" s="297">
        <f t="shared" si="32"/>
        <v>502884.33217018633</v>
      </c>
      <c r="AE19" s="297">
        <f t="shared" si="32"/>
        <v>505900.0829000352</v>
      </c>
      <c r="AF19" s="298">
        <f>SUM(T19:AE19)</f>
        <v>5530759.5918130092</v>
      </c>
      <c r="AG19" s="20">
        <v>5141487</v>
      </c>
      <c r="AH19" s="20">
        <f>AG19-AF19</f>
        <v>-389272.59181300923</v>
      </c>
      <c r="AI19" s="20">
        <f>AH19/12</f>
        <v>-32439.382651084103</v>
      </c>
    </row>
    <row r="20" spans="1:35" ht="16" x14ac:dyDescent="0.2">
      <c r="E20" s="299"/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1"/>
      <c r="Q20" s="301"/>
      <c r="R20" s="301"/>
      <c r="S20" s="302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3"/>
    </row>
    <row r="21" spans="1:35" ht="16" x14ac:dyDescent="0.2">
      <c r="A21" s="21" t="s">
        <v>13</v>
      </c>
      <c r="E21" s="179" t="s">
        <v>76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5"/>
      <c r="Q21" s="305"/>
      <c r="R21" s="305"/>
      <c r="S21" s="306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7"/>
    </row>
    <row r="22" spans="1:35" ht="16" x14ac:dyDescent="0.2">
      <c r="A22" s="21" t="s">
        <v>13</v>
      </c>
      <c r="E22" s="266" t="s">
        <v>63</v>
      </c>
      <c r="F22" s="267" t="s">
        <v>64</v>
      </c>
      <c r="G22" s="268"/>
      <c r="H22" s="268"/>
      <c r="I22" s="268"/>
      <c r="J22" s="268"/>
      <c r="K22" s="268"/>
      <c r="L22" s="268"/>
      <c r="M22" s="268"/>
      <c r="N22" s="268"/>
      <c r="O22" s="269"/>
      <c r="P22" s="269"/>
      <c r="Q22" s="269"/>
      <c r="R22" s="269"/>
      <c r="S22" s="270"/>
      <c r="T22" s="271">
        <f>SUM(T112,T125)</f>
        <v>195335.71740264638</v>
      </c>
      <c r="U22" s="271">
        <f t="shared" ref="U22:AF22" si="33">SUM(U112,U125)</f>
        <v>180417.37364997985</v>
      </c>
      <c r="V22" s="271">
        <f t="shared" si="33"/>
        <v>194485.1467560551</v>
      </c>
      <c r="W22" s="271">
        <f t="shared" si="33"/>
        <v>201315.24971592508</v>
      </c>
      <c r="X22" s="271">
        <f t="shared" si="33"/>
        <v>200907.50714107897</v>
      </c>
      <c r="Y22" s="271">
        <f t="shared" si="33"/>
        <v>200506.47053206884</v>
      </c>
      <c r="Z22" s="271">
        <f t="shared" si="33"/>
        <v>207718.93297924235</v>
      </c>
      <c r="AA22" s="271">
        <f t="shared" si="33"/>
        <v>207330.82135489478</v>
      </c>
      <c r="AB22" s="271">
        <f t="shared" si="33"/>
        <v>206948.93915620039</v>
      </c>
      <c r="AC22" s="271">
        <f t="shared" si="33"/>
        <v>214560.44263312186</v>
      </c>
      <c r="AD22" s="271">
        <f t="shared" si="33"/>
        <v>214190.57763193359</v>
      </c>
      <c r="AE22" s="271">
        <f t="shared" si="33"/>
        <v>213826.50961983483</v>
      </c>
      <c r="AF22" s="272">
        <f t="shared" si="33"/>
        <v>2437543.6885729819</v>
      </c>
    </row>
    <row r="23" spans="1:35" ht="16" x14ac:dyDescent="0.2">
      <c r="A23" s="21" t="s">
        <v>13</v>
      </c>
      <c r="E23" s="266" t="s">
        <v>65</v>
      </c>
      <c r="F23" s="267" t="s">
        <v>66</v>
      </c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4"/>
      <c r="T23" s="275">
        <v>1</v>
      </c>
      <c r="U23" s="275">
        <v>1</v>
      </c>
      <c r="V23" s="275">
        <v>1</v>
      </c>
      <c r="W23" s="275">
        <v>1</v>
      </c>
      <c r="X23" s="275">
        <v>1</v>
      </c>
      <c r="Y23" s="275">
        <v>1</v>
      </c>
      <c r="Z23" s="275">
        <v>1</v>
      </c>
      <c r="AA23" s="275">
        <v>1</v>
      </c>
      <c r="AB23" s="275">
        <v>1</v>
      </c>
      <c r="AC23" s="275">
        <v>1</v>
      </c>
      <c r="AD23" s="275">
        <v>1</v>
      </c>
      <c r="AE23" s="275">
        <v>1</v>
      </c>
      <c r="AF23" s="276">
        <v>1</v>
      </c>
    </row>
    <row r="24" spans="1:35" ht="16" x14ac:dyDescent="0.2">
      <c r="A24" s="21" t="s">
        <v>13</v>
      </c>
      <c r="E24" s="266" t="s">
        <v>67</v>
      </c>
      <c r="F24" s="267" t="s">
        <v>66</v>
      </c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4"/>
      <c r="T24" s="275">
        <v>1</v>
      </c>
      <c r="U24" s="275">
        <v>1</v>
      </c>
      <c r="V24" s="275">
        <v>1</v>
      </c>
      <c r="W24" s="275">
        <v>1</v>
      </c>
      <c r="X24" s="275">
        <v>1</v>
      </c>
      <c r="Y24" s="275">
        <v>1</v>
      </c>
      <c r="Z24" s="275">
        <v>1</v>
      </c>
      <c r="AA24" s="275">
        <v>1</v>
      </c>
      <c r="AB24" s="275">
        <v>1</v>
      </c>
      <c r="AC24" s="275">
        <v>1</v>
      </c>
      <c r="AD24" s="275">
        <v>1</v>
      </c>
      <c r="AE24" s="275">
        <v>1</v>
      </c>
      <c r="AF24" s="276">
        <v>1</v>
      </c>
    </row>
    <row r="25" spans="1:35" ht="16" x14ac:dyDescent="0.2">
      <c r="A25" s="21" t="s">
        <v>13</v>
      </c>
      <c r="E25" s="266" t="s">
        <v>68</v>
      </c>
      <c r="F25" s="267" t="s">
        <v>66</v>
      </c>
      <c r="G25" s="277"/>
      <c r="H25" s="277"/>
      <c r="I25" s="277"/>
      <c r="J25" s="277"/>
      <c r="K25" s="277"/>
      <c r="L25" s="277"/>
      <c r="M25" s="277"/>
      <c r="N25" s="277"/>
      <c r="O25" s="278"/>
      <c r="P25" s="278"/>
      <c r="Q25" s="278"/>
      <c r="R25" s="278"/>
      <c r="S25" s="283"/>
      <c r="T25" s="275">
        <f>T26/T22</f>
        <v>0.51</v>
      </c>
      <c r="U25" s="275">
        <f t="shared" ref="U25:AF25" si="34">U26/U22</f>
        <v>0.51454545454545442</v>
      </c>
      <c r="V25" s="275">
        <f t="shared" si="34"/>
        <v>0.51909090909090905</v>
      </c>
      <c r="W25" s="275">
        <f t="shared" si="34"/>
        <v>0.52363636363636346</v>
      </c>
      <c r="X25" s="275">
        <f t="shared" si="34"/>
        <v>0.52818181818181797</v>
      </c>
      <c r="Y25" s="275">
        <f t="shared" si="34"/>
        <v>0.5327272727272726</v>
      </c>
      <c r="Z25" s="275">
        <f t="shared" si="34"/>
        <v>0.53727272727272712</v>
      </c>
      <c r="AA25" s="275">
        <f t="shared" si="34"/>
        <v>0.54181818181818164</v>
      </c>
      <c r="AB25" s="275">
        <f t="shared" si="34"/>
        <v>0.54636363636363616</v>
      </c>
      <c r="AC25" s="275">
        <f t="shared" si="34"/>
        <v>0.55090909090909068</v>
      </c>
      <c r="AD25" s="275">
        <f t="shared" si="34"/>
        <v>0.5554545454545452</v>
      </c>
      <c r="AE25" s="275">
        <f t="shared" si="34"/>
        <v>0.55999999999999961</v>
      </c>
      <c r="AF25" s="284">
        <f t="shared" si="34"/>
        <v>0.53565503299018669</v>
      </c>
    </row>
    <row r="26" spans="1:35" ht="16" x14ac:dyDescent="0.2">
      <c r="A26" s="21" t="s">
        <v>13</v>
      </c>
      <c r="E26" s="266" t="s">
        <v>69</v>
      </c>
      <c r="F26" s="267" t="s">
        <v>64</v>
      </c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70"/>
      <c r="T26" s="271">
        <f>SUM(T116,T129)</f>
        <v>99621.215875349648</v>
      </c>
      <c r="U26" s="271">
        <f t="shared" ref="U26:AE30" si="35">SUM(U116,U129)</f>
        <v>92832.939532625984</v>
      </c>
      <c r="V26" s="271">
        <f t="shared" si="35"/>
        <v>100955.4716342795</v>
      </c>
      <c r="W26" s="271">
        <f t="shared" si="35"/>
        <v>105415.98530579347</v>
      </c>
      <c r="X26" s="271">
        <f t="shared" si="35"/>
        <v>106115.69240815168</v>
      </c>
      <c r="Y26" s="271">
        <f t="shared" si="35"/>
        <v>106815.26521072029</v>
      </c>
      <c r="Z26" s="271">
        <f t="shared" si="35"/>
        <v>111601.71762793836</v>
      </c>
      <c r="AA26" s="271">
        <f t="shared" si="35"/>
        <v>112335.60866137932</v>
      </c>
      <c r="AB26" s="271">
        <f t="shared" si="35"/>
        <v>113069.37493897852</v>
      </c>
      <c r="AC26" s="271">
        <f t="shared" si="35"/>
        <v>118203.29839606526</v>
      </c>
      <c r="AD26" s="271">
        <f t="shared" si="35"/>
        <v>118973.12993919213</v>
      </c>
      <c r="AE26" s="271">
        <f t="shared" si="35"/>
        <v>119742.84538710743</v>
      </c>
      <c r="AF26" s="272">
        <f>SUM(T26:AE26)</f>
        <v>1305682.5449175818</v>
      </c>
    </row>
    <row r="27" spans="1:35" ht="16" x14ac:dyDescent="0.2">
      <c r="A27" s="21" t="s">
        <v>13</v>
      </c>
      <c r="E27" s="266" t="s">
        <v>44</v>
      </c>
      <c r="F27" s="267" t="s">
        <v>66</v>
      </c>
      <c r="G27" s="277"/>
      <c r="H27" s="277"/>
      <c r="I27" s="277"/>
      <c r="J27" s="277"/>
      <c r="K27" s="277"/>
      <c r="L27" s="277"/>
      <c r="M27" s="277"/>
      <c r="N27" s="277"/>
      <c r="O27" s="278"/>
      <c r="P27" s="278"/>
      <c r="Q27" s="278"/>
      <c r="R27" s="278"/>
      <c r="S27" s="283"/>
      <c r="T27" s="275">
        <f>T28/T26</f>
        <v>0.93700481213240638</v>
      </c>
      <c r="U27" s="275">
        <f t="shared" ref="U27:AF27" si="36">U28/U26</f>
        <v>0.93700481213240683</v>
      </c>
      <c r="V27" s="275">
        <f t="shared" si="36"/>
        <v>0.93700481213240661</v>
      </c>
      <c r="W27" s="275">
        <f t="shared" si="36"/>
        <v>0.93700481213240683</v>
      </c>
      <c r="X27" s="275">
        <f t="shared" si="36"/>
        <v>0.93700481213240672</v>
      </c>
      <c r="Y27" s="275">
        <f t="shared" si="36"/>
        <v>0.93700481213240672</v>
      </c>
      <c r="Z27" s="275">
        <f t="shared" si="36"/>
        <v>0.93700481213240661</v>
      </c>
      <c r="AA27" s="275">
        <f t="shared" si="36"/>
        <v>0.93700481213240672</v>
      </c>
      <c r="AB27" s="275">
        <f t="shared" si="36"/>
        <v>0.93700481213240661</v>
      </c>
      <c r="AC27" s="275">
        <f t="shared" si="36"/>
        <v>0.93700481213240649</v>
      </c>
      <c r="AD27" s="275">
        <f t="shared" si="36"/>
        <v>0.93700481213240661</v>
      </c>
      <c r="AE27" s="275">
        <f t="shared" si="36"/>
        <v>0.93700481213240672</v>
      </c>
      <c r="AF27" s="284">
        <f t="shared" si="36"/>
        <v>0.93700481213240661</v>
      </c>
    </row>
    <row r="28" spans="1:35" ht="16" x14ac:dyDescent="0.2">
      <c r="A28" s="21" t="s">
        <v>13</v>
      </c>
      <c r="E28" s="266" t="s">
        <v>70</v>
      </c>
      <c r="F28" s="267" t="s">
        <v>64</v>
      </c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70"/>
      <c r="T28" s="271">
        <f>SUM(T118,T131)</f>
        <v>93345.5586656839</v>
      </c>
      <c r="U28" s="271">
        <f t="shared" si="35"/>
        <v>86984.911066467292</v>
      </c>
      <c r="V28" s="271">
        <f t="shared" si="35"/>
        <v>94595.762732416566</v>
      </c>
      <c r="W28" s="271">
        <f t="shared" si="35"/>
        <v>98775.285507207562</v>
      </c>
      <c r="X28" s="271">
        <f t="shared" si="35"/>
        <v>99430.91442920042</v>
      </c>
      <c r="Y28" s="271">
        <f t="shared" si="35"/>
        <v>100086.41751164416</v>
      </c>
      <c r="Z28" s="271">
        <f t="shared" si="35"/>
        <v>104571.34645962027</v>
      </c>
      <c r="AA28" s="271">
        <f t="shared" si="35"/>
        <v>105259.00588953528</v>
      </c>
      <c r="AB28" s="271">
        <f t="shared" si="35"/>
        <v>105946.54842262622</v>
      </c>
      <c r="AC28" s="271">
        <f t="shared" si="35"/>
        <v>110757.05940703592</v>
      </c>
      <c r="AD28" s="271">
        <f t="shared" si="35"/>
        <v>111478.39526747713</v>
      </c>
      <c r="AE28" s="271">
        <f t="shared" si="35"/>
        <v>112199.62234614643</v>
      </c>
      <c r="AF28" s="272">
        <f>SUM(T28:AE28)</f>
        <v>1223430.8277050613</v>
      </c>
    </row>
    <row r="29" spans="1:35" ht="16" x14ac:dyDescent="0.2">
      <c r="A29" s="21" t="s">
        <v>13</v>
      </c>
      <c r="E29" s="266" t="s">
        <v>71</v>
      </c>
      <c r="F29" s="267" t="s">
        <v>66</v>
      </c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85"/>
      <c r="T29" s="275">
        <f>T30/T28</f>
        <v>1</v>
      </c>
      <c r="U29" s="275">
        <f t="shared" ref="U29:AF29" si="37">U30/U28</f>
        <v>1</v>
      </c>
      <c r="V29" s="275">
        <f t="shared" si="37"/>
        <v>1</v>
      </c>
      <c r="W29" s="275">
        <f t="shared" si="37"/>
        <v>1</v>
      </c>
      <c r="X29" s="275">
        <f t="shared" si="37"/>
        <v>1</v>
      </c>
      <c r="Y29" s="275">
        <f t="shared" si="37"/>
        <v>1</v>
      </c>
      <c r="Z29" s="275">
        <f t="shared" si="37"/>
        <v>1</v>
      </c>
      <c r="AA29" s="275">
        <f t="shared" si="37"/>
        <v>1</v>
      </c>
      <c r="AB29" s="275">
        <f t="shared" si="37"/>
        <v>1</v>
      </c>
      <c r="AC29" s="275">
        <f t="shared" si="37"/>
        <v>1</v>
      </c>
      <c r="AD29" s="275">
        <f t="shared" si="37"/>
        <v>1</v>
      </c>
      <c r="AE29" s="275">
        <f t="shared" si="37"/>
        <v>1</v>
      </c>
      <c r="AF29" s="286">
        <f t="shared" si="37"/>
        <v>1</v>
      </c>
    </row>
    <row r="30" spans="1:35" ht="16" x14ac:dyDescent="0.2">
      <c r="A30" s="21" t="s">
        <v>13</v>
      </c>
      <c r="E30" s="266" t="s">
        <v>72</v>
      </c>
      <c r="F30" s="267" t="s">
        <v>64</v>
      </c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70"/>
      <c r="T30" s="271">
        <f>SUM(T120,T133)</f>
        <v>93345.5586656839</v>
      </c>
      <c r="U30" s="271">
        <f t="shared" si="35"/>
        <v>86984.911066467292</v>
      </c>
      <c r="V30" s="271">
        <f t="shared" si="35"/>
        <v>94595.762732416566</v>
      </c>
      <c r="W30" s="271">
        <f t="shared" si="35"/>
        <v>98775.285507207562</v>
      </c>
      <c r="X30" s="271">
        <f t="shared" si="35"/>
        <v>99430.91442920042</v>
      </c>
      <c r="Y30" s="271">
        <f t="shared" si="35"/>
        <v>100086.41751164416</v>
      </c>
      <c r="Z30" s="271">
        <f t="shared" si="35"/>
        <v>104571.34645962027</v>
      </c>
      <c r="AA30" s="271">
        <f>SUM(AA120,AA133)</f>
        <v>105259.00588953528</v>
      </c>
      <c r="AB30" s="271">
        <f t="shared" si="35"/>
        <v>105946.54842262622</v>
      </c>
      <c r="AC30" s="271">
        <f t="shared" si="35"/>
        <v>110757.05940703592</v>
      </c>
      <c r="AD30" s="271">
        <f t="shared" si="35"/>
        <v>111478.39526747713</v>
      </c>
      <c r="AE30" s="271">
        <f t="shared" si="35"/>
        <v>112199.62234614643</v>
      </c>
      <c r="AF30" s="272">
        <f>SUM(T30:AE30)</f>
        <v>1223430.8277050613</v>
      </c>
    </row>
    <row r="31" spans="1:35" ht="16" x14ac:dyDescent="0.2">
      <c r="A31" s="21" t="s">
        <v>13</v>
      </c>
      <c r="E31" s="266" t="s">
        <v>73</v>
      </c>
      <c r="F31" s="267" t="s">
        <v>74</v>
      </c>
      <c r="G31" s="287"/>
      <c r="H31" s="287"/>
      <c r="I31" s="287"/>
      <c r="J31" s="287"/>
      <c r="K31" s="287"/>
      <c r="L31" s="287"/>
      <c r="M31" s="287"/>
      <c r="N31" s="287"/>
      <c r="O31" s="288"/>
      <c r="P31" s="288"/>
      <c r="Q31" s="288"/>
      <c r="R31" s="288"/>
      <c r="S31" s="289"/>
      <c r="T31" s="290">
        <f>T32/T30</f>
        <v>3.1078431372549025</v>
      </c>
      <c r="U31" s="290">
        <f t="shared" ref="U31:AF31" si="38">U32/U30</f>
        <v>3.1077738515901054</v>
      </c>
      <c r="V31" s="290">
        <f t="shared" si="38"/>
        <v>3.1077057793345011</v>
      </c>
      <c r="W31" s="290">
        <f t="shared" si="38"/>
        <v>3.1076388888888884</v>
      </c>
      <c r="X31" s="290">
        <f t="shared" si="38"/>
        <v>3.1075731497418246</v>
      </c>
      <c r="Y31" s="290">
        <f t="shared" si="38"/>
        <v>3.1075085324232079</v>
      </c>
      <c r="Z31" s="290">
        <f t="shared" si="38"/>
        <v>3.1074450084602367</v>
      </c>
      <c r="AA31" s="290">
        <f t="shared" si="38"/>
        <v>3.1073825503355708</v>
      </c>
      <c r="AB31" s="290">
        <f t="shared" si="38"/>
        <v>3.1073211314475873</v>
      </c>
      <c r="AC31" s="290">
        <f t="shared" si="38"/>
        <v>3.1072607260726071</v>
      </c>
      <c r="AD31" s="290">
        <f t="shared" si="38"/>
        <v>3.107201309328969</v>
      </c>
      <c r="AE31" s="290">
        <f t="shared" si="38"/>
        <v>3.1071428571428572</v>
      </c>
      <c r="AF31" s="291">
        <f t="shared" si="38"/>
        <v>3.1074674926093215</v>
      </c>
      <c r="AG31" s="415"/>
    </row>
    <row r="32" spans="1:35" ht="16" x14ac:dyDescent="0.2">
      <c r="A32" s="21" t="s">
        <v>13</v>
      </c>
      <c r="E32" s="308" t="s">
        <v>75</v>
      </c>
      <c r="F32" s="309" t="s">
        <v>74</v>
      </c>
      <c r="G32" s="310"/>
      <c r="H32" s="310"/>
      <c r="I32" s="310"/>
      <c r="J32" s="310"/>
      <c r="K32" s="310"/>
      <c r="L32" s="310"/>
      <c r="M32" s="310"/>
      <c r="N32" s="310"/>
      <c r="O32" s="311"/>
      <c r="P32" s="311"/>
      <c r="Q32" s="311"/>
      <c r="R32" s="311"/>
      <c r="S32" s="312"/>
      <c r="T32" s="313">
        <f>SUM(T122,T135)</f>
        <v>290103.35389237059</v>
      </c>
      <c r="U32" s="313">
        <f t="shared" ref="U32:AE32" si="39">SUM(U122,U135)</f>
        <v>270329.43209525786</v>
      </c>
      <c r="V32" s="313">
        <f t="shared" si="39"/>
        <v>293975.79854408617</v>
      </c>
      <c r="W32" s="313">
        <f t="shared" si="39"/>
        <v>306957.91850330122</v>
      </c>
      <c r="X32" s="313">
        <f t="shared" si="39"/>
        <v>308988.83993446018</v>
      </c>
      <c r="Y32" s="313">
        <f t="shared" si="39"/>
        <v>311019.39639710583</v>
      </c>
      <c r="Z32" s="313">
        <f t="shared" si="39"/>
        <v>324949.70858391305</v>
      </c>
      <c r="AA32" s="313">
        <f t="shared" si="39"/>
        <v>327079.99816681101</v>
      </c>
      <c r="AB32" s="313">
        <f t="shared" si="39"/>
        <v>329209.94871756149</v>
      </c>
      <c r="AC32" s="313">
        <f t="shared" si="39"/>
        <v>344151.06083077332</v>
      </c>
      <c r="AD32" s="313">
        <f t="shared" si="39"/>
        <v>346385.81573699729</v>
      </c>
      <c r="AE32" s="313">
        <f t="shared" si="39"/>
        <v>348620.25514695497</v>
      </c>
      <c r="AF32" s="314">
        <f>SUM(T32:AE32)</f>
        <v>3801771.5265495935</v>
      </c>
      <c r="AG32" s="5"/>
    </row>
    <row r="33" spans="1:32" ht="16" x14ac:dyDescent="0.2">
      <c r="E33" s="315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7"/>
      <c r="Q33" s="317"/>
      <c r="R33" s="317"/>
      <c r="S33" s="318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9"/>
    </row>
    <row r="34" spans="1:32" ht="16" x14ac:dyDescent="0.2">
      <c r="A34" s="21" t="s">
        <v>13</v>
      </c>
      <c r="E34" s="180" t="s">
        <v>77</v>
      </c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1"/>
      <c r="Q34" s="321"/>
      <c r="R34" s="321"/>
      <c r="S34" s="322"/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3"/>
    </row>
    <row r="35" spans="1:32" ht="16" x14ac:dyDescent="0.2">
      <c r="A35" s="21" t="s">
        <v>13</v>
      </c>
      <c r="E35" s="266" t="s">
        <v>63</v>
      </c>
      <c r="F35" s="267" t="s">
        <v>64</v>
      </c>
      <c r="G35" s="267"/>
      <c r="H35" s="267"/>
      <c r="I35" s="267"/>
      <c r="J35" s="269"/>
      <c r="K35" s="269"/>
      <c r="L35" s="269"/>
      <c r="M35" s="268"/>
      <c r="N35" s="268"/>
      <c r="O35" s="268"/>
      <c r="P35" s="271"/>
      <c r="Q35" s="271"/>
      <c r="R35" s="271"/>
      <c r="S35" s="270"/>
      <c r="T35" s="271">
        <f>SUM(T142,T155)</f>
        <v>48833.92935066158</v>
      </c>
      <c r="U35" s="271">
        <f t="shared" ref="U35:AE35" si="40">SUM(U142,U155)</f>
        <v>45104.343412494949</v>
      </c>
      <c r="V35" s="271">
        <f t="shared" si="40"/>
        <v>48621.286689013759</v>
      </c>
      <c r="W35" s="271">
        <f t="shared" si="40"/>
        <v>50328.812428981255</v>
      </c>
      <c r="X35" s="271">
        <f t="shared" si="40"/>
        <v>50226.876785269727</v>
      </c>
      <c r="Y35" s="271">
        <f t="shared" si="40"/>
        <v>50126.617633017195</v>
      </c>
      <c r="Z35" s="271">
        <f t="shared" si="40"/>
        <v>51929.733244810574</v>
      </c>
      <c r="AA35" s="271">
        <f t="shared" si="40"/>
        <v>51832.705338723681</v>
      </c>
      <c r="AB35" s="271">
        <f t="shared" si="40"/>
        <v>51737.234789050082</v>
      </c>
      <c r="AC35" s="271">
        <f t="shared" si="40"/>
        <v>53640.11065828045</v>
      </c>
      <c r="AD35" s="271">
        <f t="shared" si="40"/>
        <v>53547.644407983382</v>
      </c>
      <c r="AE35" s="271">
        <f t="shared" si="40"/>
        <v>53456.627404958694</v>
      </c>
      <c r="AF35" s="272">
        <f>SUM(T35:AE35)</f>
        <v>609385.92214324535</v>
      </c>
    </row>
    <row r="36" spans="1:32" ht="16" x14ac:dyDescent="0.2">
      <c r="A36" s="21" t="s">
        <v>13</v>
      </c>
      <c r="E36" s="266" t="s">
        <v>65</v>
      </c>
      <c r="F36" s="267" t="s">
        <v>66</v>
      </c>
      <c r="G36" s="267"/>
      <c r="H36" s="267"/>
      <c r="I36" s="267"/>
      <c r="J36" s="324"/>
      <c r="K36" s="324"/>
      <c r="L36" s="324"/>
      <c r="M36" s="273"/>
      <c r="N36" s="273"/>
      <c r="O36" s="277"/>
      <c r="P36" s="325"/>
      <c r="Q36" s="325"/>
      <c r="R36" s="325"/>
      <c r="S36" s="274"/>
      <c r="T36" s="275">
        <v>1</v>
      </c>
      <c r="U36" s="275">
        <v>1</v>
      </c>
      <c r="V36" s="275">
        <v>1</v>
      </c>
      <c r="W36" s="275">
        <v>1</v>
      </c>
      <c r="X36" s="275">
        <v>1</v>
      </c>
      <c r="Y36" s="275">
        <v>1</v>
      </c>
      <c r="Z36" s="275">
        <v>1</v>
      </c>
      <c r="AA36" s="275">
        <v>1</v>
      </c>
      <c r="AB36" s="275">
        <v>1</v>
      </c>
      <c r="AC36" s="275">
        <v>1</v>
      </c>
      <c r="AD36" s="275">
        <v>1</v>
      </c>
      <c r="AE36" s="275">
        <v>1</v>
      </c>
      <c r="AF36" s="276">
        <v>1</v>
      </c>
    </row>
    <row r="37" spans="1:32" ht="16" x14ac:dyDescent="0.2">
      <c r="A37" s="21" t="s">
        <v>13</v>
      </c>
      <c r="E37" s="266" t="s">
        <v>67</v>
      </c>
      <c r="F37" s="267" t="s">
        <v>66</v>
      </c>
      <c r="G37" s="267"/>
      <c r="H37" s="267"/>
      <c r="I37" s="267"/>
      <c r="J37" s="324"/>
      <c r="K37" s="324"/>
      <c r="L37" s="324"/>
      <c r="M37" s="273"/>
      <c r="N37" s="273"/>
      <c r="O37" s="277"/>
      <c r="P37" s="325"/>
      <c r="Q37" s="325"/>
      <c r="R37" s="325"/>
      <c r="S37" s="274"/>
      <c r="T37" s="275">
        <v>1</v>
      </c>
      <c r="U37" s="275">
        <v>1</v>
      </c>
      <c r="V37" s="275">
        <v>1</v>
      </c>
      <c r="W37" s="275">
        <v>1</v>
      </c>
      <c r="X37" s="275">
        <v>1</v>
      </c>
      <c r="Y37" s="275">
        <v>1</v>
      </c>
      <c r="Z37" s="275">
        <v>1</v>
      </c>
      <c r="AA37" s="275">
        <v>1</v>
      </c>
      <c r="AB37" s="275">
        <v>1</v>
      </c>
      <c r="AC37" s="275">
        <v>1</v>
      </c>
      <c r="AD37" s="275">
        <v>1</v>
      </c>
      <c r="AE37" s="275">
        <v>1</v>
      </c>
      <c r="AF37" s="276">
        <v>1</v>
      </c>
    </row>
    <row r="38" spans="1:32" ht="16" x14ac:dyDescent="0.2">
      <c r="A38" s="21" t="s">
        <v>13</v>
      </c>
      <c r="E38" s="266" t="s">
        <v>68</v>
      </c>
      <c r="F38" s="267" t="s">
        <v>66</v>
      </c>
      <c r="G38" s="267"/>
      <c r="H38" s="267"/>
      <c r="I38" s="267"/>
      <c r="J38" s="324"/>
      <c r="K38" s="324"/>
      <c r="L38" s="324"/>
      <c r="M38" s="273"/>
      <c r="N38" s="273"/>
      <c r="O38" s="277"/>
      <c r="P38" s="325"/>
      <c r="Q38" s="325"/>
      <c r="R38" s="325"/>
      <c r="S38" s="283"/>
      <c r="T38" s="275">
        <f>T39/T35</f>
        <v>0.63</v>
      </c>
      <c r="U38" s="275">
        <f t="shared" ref="U38:AF38" si="41">U39/U35</f>
        <v>0.63454545454545452</v>
      </c>
      <c r="V38" s="275">
        <f t="shared" si="41"/>
        <v>0.63909090909090904</v>
      </c>
      <c r="W38" s="275">
        <f t="shared" si="41"/>
        <v>0.64363636363636356</v>
      </c>
      <c r="X38" s="275">
        <f t="shared" si="41"/>
        <v>0.64818181818181797</v>
      </c>
      <c r="Y38" s="275">
        <f t="shared" si="41"/>
        <v>0.6527272727272726</v>
      </c>
      <c r="Z38" s="275">
        <f t="shared" si="41"/>
        <v>0.65727272727272723</v>
      </c>
      <c r="AA38" s="275">
        <f t="shared" si="41"/>
        <v>0.66181818181818153</v>
      </c>
      <c r="AB38" s="275">
        <f t="shared" si="41"/>
        <v>0.66636363636363605</v>
      </c>
      <c r="AC38" s="275">
        <f t="shared" si="41"/>
        <v>0.67090909090909068</v>
      </c>
      <c r="AD38" s="275">
        <f t="shared" si="41"/>
        <v>0.6754545454545452</v>
      </c>
      <c r="AE38" s="275">
        <f t="shared" si="41"/>
        <v>0.67999999999999972</v>
      </c>
      <c r="AF38" s="284">
        <f t="shared" si="41"/>
        <v>0.65565503299018646</v>
      </c>
    </row>
    <row r="39" spans="1:32" ht="16" x14ac:dyDescent="0.2">
      <c r="A39" s="21" t="s">
        <v>13</v>
      </c>
      <c r="E39" s="266" t="s">
        <v>69</v>
      </c>
      <c r="F39" s="267" t="s">
        <v>64</v>
      </c>
      <c r="G39" s="267"/>
      <c r="H39" s="267"/>
      <c r="I39" s="267"/>
      <c r="J39" s="269"/>
      <c r="K39" s="269"/>
      <c r="L39" s="269"/>
      <c r="M39" s="269"/>
      <c r="N39" s="269"/>
      <c r="O39" s="269"/>
      <c r="P39" s="269"/>
      <c r="Q39" s="269"/>
      <c r="R39" s="269"/>
      <c r="S39" s="270"/>
      <c r="T39" s="271">
        <f>SUM(T146,T159)</f>
        <v>30765.375490916795</v>
      </c>
      <c r="U39" s="271">
        <f t="shared" ref="U39:AE39" si="42">SUM(U146,U159)</f>
        <v>28620.756092655887</v>
      </c>
      <c r="V39" s="271">
        <f t="shared" si="42"/>
        <v>31073.422311251517</v>
      </c>
      <c r="W39" s="271">
        <f t="shared" si="42"/>
        <v>32393.453817926114</v>
      </c>
      <c r="X39" s="271">
        <f t="shared" si="42"/>
        <v>32556.148316270279</v>
      </c>
      <c r="Y39" s="271">
        <f t="shared" si="42"/>
        <v>32719.010418642127</v>
      </c>
      <c r="Z39" s="271">
        <f t="shared" si="42"/>
        <v>34131.997396361854</v>
      </c>
      <c r="AA39" s="271">
        <f t="shared" si="42"/>
        <v>34303.826805991659</v>
      </c>
      <c r="AB39" s="271">
        <f t="shared" si="42"/>
        <v>34475.811909430631</v>
      </c>
      <c r="AC39" s="271">
        <f t="shared" si="42"/>
        <v>35987.637878009962</v>
      </c>
      <c r="AD39" s="271">
        <f t="shared" si="42"/>
        <v>36168.999813756032</v>
      </c>
      <c r="AE39" s="271">
        <f t="shared" si="42"/>
        <v>36350.506635371894</v>
      </c>
      <c r="AF39" s="272">
        <f>SUM(T39:AE39)</f>
        <v>399546.94688658474</v>
      </c>
    </row>
    <row r="40" spans="1:32" ht="16" x14ac:dyDescent="0.2">
      <c r="A40" s="21" t="s">
        <v>13</v>
      </c>
      <c r="E40" s="266" t="s">
        <v>44</v>
      </c>
      <c r="F40" s="267" t="s">
        <v>66</v>
      </c>
      <c r="G40" s="267"/>
      <c r="H40" s="267"/>
      <c r="I40" s="267"/>
      <c r="J40" s="326"/>
      <c r="K40" s="326"/>
      <c r="L40" s="326"/>
      <c r="M40" s="277"/>
      <c r="N40" s="277"/>
      <c r="O40" s="327"/>
      <c r="P40" s="275"/>
      <c r="Q40" s="275"/>
      <c r="R40" s="275"/>
      <c r="S40" s="283"/>
      <c r="T40" s="275">
        <f>T41/T39</f>
        <v>0.93700481213240661</v>
      </c>
      <c r="U40" s="275">
        <f t="shared" ref="U40:AF40" si="43">U41/U39</f>
        <v>0.93700481213240661</v>
      </c>
      <c r="V40" s="275">
        <f t="shared" si="43"/>
        <v>0.93700481213240661</v>
      </c>
      <c r="W40" s="275">
        <f t="shared" si="43"/>
        <v>0.93700481213240649</v>
      </c>
      <c r="X40" s="275">
        <f t="shared" si="43"/>
        <v>0.93700481213240661</v>
      </c>
      <c r="Y40" s="275">
        <f t="shared" si="43"/>
        <v>0.93700481213240661</v>
      </c>
      <c r="Z40" s="275">
        <f t="shared" si="43"/>
        <v>0.93700481213240649</v>
      </c>
      <c r="AA40" s="275">
        <f t="shared" si="43"/>
        <v>0.93700481213240672</v>
      </c>
      <c r="AB40" s="275">
        <f t="shared" si="43"/>
        <v>0.93700481213240683</v>
      </c>
      <c r="AC40" s="275">
        <f t="shared" si="43"/>
        <v>0.93700481213240672</v>
      </c>
      <c r="AD40" s="275">
        <f t="shared" si="43"/>
        <v>0.93700481213240661</v>
      </c>
      <c r="AE40" s="275">
        <f t="shared" si="43"/>
        <v>0.93700481213240683</v>
      </c>
      <c r="AF40" s="284">
        <f t="shared" si="43"/>
        <v>0.93700481213240672</v>
      </c>
    </row>
    <row r="41" spans="1:32" ht="16" x14ac:dyDescent="0.2">
      <c r="A41" s="21" t="s">
        <v>13</v>
      </c>
      <c r="E41" s="266" t="s">
        <v>70</v>
      </c>
      <c r="F41" s="267" t="s">
        <v>64</v>
      </c>
      <c r="G41" s="267"/>
      <c r="H41" s="267"/>
      <c r="I41" s="267"/>
      <c r="J41" s="269"/>
      <c r="K41" s="269"/>
      <c r="L41" s="269"/>
      <c r="M41" s="269"/>
      <c r="N41" s="269"/>
      <c r="O41" s="269"/>
      <c r="P41" s="269"/>
      <c r="Q41" s="269"/>
      <c r="R41" s="269"/>
      <c r="S41" s="270"/>
      <c r="T41" s="271">
        <f>SUM(T148,T161)</f>
        <v>28827.304882049437</v>
      </c>
      <c r="U41" s="271">
        <f t="shared" ref="U41:AE41" si="44">SUM(U148,U161)</f>
        <v>26817.786185686462</v>
      </c>
      <c r="V41" s="271">
        <f t="shared" si="44"/>
        <v>29115.946235065159</v>
      </c>
      <c r="W41" s="271">
        <f t="shared" si="44"/>
        <v>30352.822108985645</v>
      </c>
      <c r="X41" s="271">
        <f t="shared" si="44"/>
        <v>30505.2676368416</v>
      </c>
      <c r="Y41" s="271">
        <f t="shared" si="44"/>
        <v>30657.87021047802</v>
      </c>
      <c r="Z41" s="271">
        <f t="shared" si="44"/>
        <v>31981.845808081827</v>
      </c>
      <c r="AA41" s="271">
        <f t="shared" si="44"/>
        <v>32142.85079177083</v>
      </c>
      <c r="AB41" s="271">
        <f t="shared" si="44"/>
        <v>32304.001661308241</v>
      </c>
      <c r="AC41" s="271">
        <f t="shared" si="44"/>
        <v>33720.58986897381</v>
      </c>
      <c r="AD41" s="271">
        <f t="shared" si="44"/>
        <v>33890.526875505522</v>
      </c>
      <c r="AE41" s="271">
        <f t="shared" si="44"/>
        <v>34060.599640794448</v>
      </c>
      <c r="AF41" s="272">
        <f>SUM(T41:AE41)</f>
        <v>374377.41190554103</v>
      </c>
    </row>
    <row r="42" spans="1:32" ht="16" x14ac:dyDescent="0.2">
      <c r="A42" s="21" t="s">
        <v>13</v>
      </c>
      <c r="E42" s="266" t="s">
        <v>71</v>
      </c>
      <c r="F42" s="267" t="s">
        <v>66</v>
      </c>
      <c r="G42" s="267"/>
      <c r="H42" s="267"/>
      <c r="I42" s="267"/>
      <c r="J42" s="326"/>
      <c r="K42" s="326"/>
      <c r="L42" s="326"/>
      <c r="M42" s="277"/>
      <c r="N42" s="277"/>
      <c r="O42" s="277"/>
      <c r="P42" s="326"/>
      <c r="Q42" s="326"/>
      <c r="R42" s="326"/>
      <c r="S42" s="285"/>
      <c r="T42" s="275">
        <f>T43/T41</f>
        <v>1</v>
      </c>
      <c r="U42" s="275">
        <f t="shared" ref="U42:AF42" si="45">U43/U41</f>
        <v>1</v>
      </c>
      <c r="V42" s="275">
        <f t="shared" si="45"/>
        <v>1</v>
      </c>
      <c r="W42" s="275">
        <f t="shared" si="45"/>
        <v>1</v>
      </c>
      <c r="X42" s="275">
        <f t="shared" si="45"/>
        <v>1</v>
      </c>
      <c r="Y42" s="275">
        <f t="shared" si="45"/>
        <v>1</v>
      </c>
      <c r="Z42" s="275">
        <f t="shared" si="45"/>
        <v>1</v>
      </c>
      <c r="AA42" s="275">
        <f t="shared" si="45"/>
        <v>1</v>
      </c>
      <c r="AB42" s="275">
        <f t="shared" si="45"/>
        <v>1</v>
      </c>
      <c r="AC42" s="275">
        <f t="shared" si="45"/>
        <v>1</v>
      </c>
      <c r="AD42" s="275">
        <f t="shared" si="45"/>
        <v>1</v>
      </c>
      <c r="AE42" s="275">
        <f t="shared" si="45"/>
        <v>1</v>
      </c>
      <c r="AF42" s="286">
        <f t="shared" si="45"/>
        <v>1</v>
      </c>
    </row>
    <row r="43" spans="1:32" ht="16" x14ac:dyDescent="0.2">
      <c r="A43" s="21" t="s">
        <v>13</v>
      </c>
      <c r="E43" s="266" t="s">
        <v>72</v>
      </c>
      <c r="F43" s="267" t="s">
        <v>64</v>
      </c>
      <c r="G43" s="267"/>
      <c r="H43" s="267"/>
      <c r="I43" s="267"/>
      <c r="J43" s="328"/>
      <c r="K43" s="328"/>
      <c r="L43" s="328"/>
      <c r="M43" s="328"/>
      <c r="N43" s="328"/>
      <c r="O43" s="328"/>
      <c r="P43" s="328"/>
      <c r="Q43" s="328"/>
      <c r="R43" s="328"/>
      <c r="S43" s="270"/>
      <c r="T43" s="271">
        <f>SUM(T150,T163)</f>
        <v>28827.304882049437</v>
      </c>
      <c r="U43" s="271">
        <f t="shared" ref="U43:AE43" si="46">SUM(U150,U163)</f>
        <v>26817.786185686462</v>
      </c>
      <c r="V43" s="271">
        <f t="shared" si="46"/>
        <v>29115.946235065159</v>
      </c>
      <c r="W43" s="271">
        <f t="shared" si="46"/>
        <v>30352.822108985645</v>
      </c>
      <c r="X43" s="271">
        <f t="shared" si="46"/>
        <v>30505.2676368416</v>
      </c>
      <c r="Y43" s="271">
        <f t="shared" si="46"/>
        <v>30657.87021047802</v>
      </c>
      <c r="Z43" s="271">
        <f t="shared" si="46"/>
        <v>31981.845808081827</v>
      </c>
      <c r="AA43" s="271">
        <f t="shared" si="46"/>
        <v>32142.85079177083</v>
      </c>
      <c r="AB43" s="271">
        <f t="shared" si="46"/>
        <v>32304.001661308241</v>
      </c>
      <c r="AC43" s="271">
        <f t="shared" si="46"/>
        <v>33720.58986897381</v>
      </c>
      <c r="AD43" s="271">
        <f t="shared" si="46"/>
        <v>33890.526875505522</v>
      </c>
      <c r="AE43" s="271">
        <f t="shared" si="46"/>
        <v>34060.599640794448</v>
      </c>
      <c r="AF43" s="272">
        <f>SUM(T43:AE43)</f>
        <v>374377.41190554103</v>
      </c>
    </row>
    <row r="44" spans="1:32" ht="16" x14ac:dyDescent="0.2">
      <c r="A44" s="21" t="s">
        <v>13</v>
      </c>
      <c r="E44" s="266" t="s">
        <v>73</v>
      </c>
      <c r="F44" s="267" t="s">
        <v>74</v>
      </c>
      <c r="G44" s="267"/>
      <c r="H44" s="267"/>
      <c r="I44" s="267"/>
      <c r="J44" s="329"/>
      <c r="K44" s="329"/>
      <c r="L44" s="329"/>
      <c r="M44" s="329"/>
      <c r="N44" s="329"/>
      <c r="O44" s="329"/>
      <c r="P44" s="311"/>
      <c r="Q44" s="311"/>
      <c r="R44" s="311"/>
      <c r="S44" s="289"/>
      <c r="T44" s="290">
        <f>T45/T43</f>
        <v>4.6190476190476186</v>
      </c>
      <c r="U44" s="290">
        <f t="shared" ref="U44:AF44" si="47">U45/U43</f>
        <v>4.6189111747850999</v>
      </c>
      <c r="V44" s="290">
        <f t="shared" si="47"/>
        <v>4.6187766714082494</v>
      </c>
      <c r="W44" s="290">
        <f t="shared" si="47"/>
        <v>4.6186440677966099</v>
      </c>
      <c r="X44" s="290">
        <f t="shared" si="47"/>
        <v>4.6185133239831702</v>
      </c>
      <c r="Y44" s="290">
        <f t="shared" si="47"/>
        <v>4.6183844011142066</v>
      </c>
      <c r="Z44" s="290">
        <f t="shared" si="47"/>
        <v>4.618257261410788</v>
      </c>
      <c r="AA44" s="290">
        <f t="shared" si="47"/>
        <v>4.6181318681318686</v>
      </c>
      <c r="AB44" s="290">
        <f t="shared" si="47"/>
        <v>4.6180081855388817</v>
      </c>
      <c r="AC44" s="290">
        <f t="shared" si="47"/>
        <v>4.617886178861788</v>
      </c>
      <c r="AD44" s="290">
        <f t="shared" si="47"/>
        <v>4.6177658142664875</v>
      </c>
      <c r="AE44" s="290">
        <f t="shared" si="47"/>
        <v>4.617647058823529</v>
      </c>
      <c r="AF44" s="291">
        <f t="shared" si="47"/>
        <v>4.6183023074577383</v>
      </c>
    </row>
    <row r="45" spans="1:32" ht="16" x14ac:dyDescent="0.2">
      <c r="A45" s="21" t="s">
        <v>13</v>
      </c>
      <c r="E45" s="292" t="s">
        <v>75</v>
      </c>
      <c r="F45" s="293" t="s">
        <v>74</v>
      </c>
      <c r="G45" s="295"/>
      <c r="H45" s="295"/>
      <c r="I45" s="330"/>
      <c r="J45" s="295"/>
      <c r="K45" s="295"/>
      <c r="L45" s="295"/>
      <c r="M45" s="294"/>
      <c r="N45" s="331"/>
      <c r="O45" s="294"/>
      <c r="P45" s="295"/>
      <c r="Q45" s="295"/>
      <c r="R45" s="295"/>
      <c r="S45" s="296"/>
      <c r="T45" s="295">
        <f>SUM(T152,T165)</f>
        <v>133154.69397899025</v>
      </c>
      <c r="U45" s="295">
        <f t="shared" ref="U45:AE45" si="48">SUM(U152,U165)</f>
        <v>123868.97229606469</v>
      </c>
      <c r="V45" s="295">
        <f t="shared" si="48"/>
        <v>134480.05323649582</v>
      </c>
      <c r="W45" s="295">
        <f t="shared" si="48"/>
        <v>140188.88177455234</v>
      </c>
      <c r="X45" s="295">
        <f t="shared" si="48"/>
        <v>140888.98503242552</v>
      </c>
      <c r="Y45" s="295">
        <f t="shared" si="48"/>
        <v>141589.82955145559</v>
      </c>
      <c r="Z45" s="295">
        <f t="shared" si="48"/>
        <v>147700.39163649408</v>
      </c>
      <c r="AA45" s="295">
        <f t="shared" si="48"/>
        <v>148439.92357408453</v>
      </c>
      <c r="AB45" s="295">
        <f t="shared" si="48"/>
        <v>149180.14409758308</v>
      </c>
      <c r="AC45" s="295">
        <f t="shared" si="48"/>
        <v>155717.845899001</v>
      </c>
      <c r="AD45" s="295">
        <f t="shared" si="48"/>
        <v>156498.51643318904</v>
      </c>
      <c r="AE45" s="295">
        <f t="shared" si="48"/>
        <v>157279.82775308023</v>
      </c>
      <c r="AF45" s="298">
        <f>SUM(T45:AE45)</f>
        <v>1728988.0652634164</v>
      </c>
    </row>
    <row r="46" spans="1:32" s="71" customFormat="1" ht="16" x14ac:dyDescent="0.2">
      <c r="E46" s="72"/>
      <c r="F46" s="73"/>
      <c r="G46" s="74"/>
      <c r="H46" s="74"/>
      <c r="I46" s="74"/>
      <c r="J46" s="74"/>
      <c r="K46" s="74"/>
      <c r="L46" s="74"/>
      <c r="M46" s="74"/>
      <c r="N46" s="74"/>
      <c r="O46" s="74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</row>
    <row r="47" spans="1:32" s="71" customFormat="1" ht="16" x14ac:dyDescent="0.2">
      <c r="E47" s="161" t="s">
        <v>79</v>
      </c>
      <c r="F47" s="76"/>
      <c r="G47" s="77"/>
      <c r="H47" s="77"/>
      <c r="I47" s="77"/>
      <c r="K47" s="74"/>
      <c r="L47" s="74"/>
      <c r="M47" s="74"/>
      <c r="N47" s="74"/>
      <c r="O47" s="74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</row>
    <row r="48" spans="1:32" s="71" customFormat="1" ht="16" x14ac:dyDescent="0.2">
      <c r="E48" s="78" t="s">
        <v>80</v>
      </c>
      <c r="F48" s="77"/>
      <c r="G48" s="162"/>
      <c r="H48" s="21"/>
      <c r="I48" s="77"/>
      <c r="J48" s="77"/>
      <c r="K48" s="77"/>
      <c r="L48" s="77"/>
      <c r="M48" s="74"/>
      <c r="N48" s="74"/>
      <c r="O48" s="74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</row>
    <row r="49" spans="2:32" s="71" customFormat="1" ht="16" x14ac:dyDescent="0.2">
      <c r="E49" s="164" t="s">
        <v>81</v>
      </c>
      <c r="F49" s="163"/>
      <c r="G49" s="163"/>
      <c r="H49" s="21"/>
      <c r="I49" s="163"/>
      <c r="J49" s="163"/>
      <c r="K49" s="163"/>
      <c r="L49" s="163"/>
      <c r="M49" s="102"/>
      <c r="N49" s="102"/>
      <c r="O49" s="102"/>
      <c r="P49" s="102"/>
      <c r="Q49" s="102"/>
      <c r="R49" s="102"/>
      <c r="S49" s="75"/>
      <c r="T49" s="103">
        <v>244169.64675330798</v>
      </c>
      <c r="U49" s="75">
        <v>225521.71706247481</v>
      </c>
      <c r="V49" s="75">
        <v>243106.43344506889</v>
      </c>
      <c r="W49" s="75">
        <v>251644.06214490635</v>
      </c>
      <c r="X49" s="75">
        <v>251134.3839263487</v>
      </c>
      <c r="Y49" s="75">
        <v>250633.08816508602</v>
      </c>
      <c r="Z49" s="75">
        <v>259648.6662240529</v>
      </c>
      <c r="AA49" s="75">
        <v>259163.52669361842</v>
      </c>
      <c r="AB49" s="75">
        <v>258686.17394525046</v>
      </c>
      <c r="AC49" s="75">
        <v>268200.55329140223</v>
      </c>
      <c r="AD49" s="75">
        <v>267738.2220399169</v>
      </c>
      <c r="AE49" s="75">
        <v>267283.13702479348</v>
      </c>
      <c r="AF49" s="102"/>
    </row>
    <row r="50" spans="2:32" s="71" customFormat="1" ht="16" x14ac:dyDescent="0.2">
      <c r="E50" s="101"/>
      <c r="F50" s="101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82">
        <f>(T49-R54)/R54</f>
        <v>6.1607159796991239E-2</v>
      </c>
      <c r="U50" s="183">
        <f>(U49-T49)/T49</f>
        <v>-7.6372841337128794E-2</v>
      </c>
      <c r="V50" s="183">
        <f>(V49-T49)/T49</f>
        <v>-4.354404089027865E-3</v>
      </c>
      <c r="W50" s="183">
        <f t="shared" ref="W50:AE50" si="49">(W49-V49)/V49</f>
        <v>3.5118892490216949E-2</v>
      </c>
      <c r="X50" s="183">
        <f t="shared" si="49"/>
        <v>-2.025393383866743E-3</v>
      </c>
      <c r="Y50" s="183">
        <f t="shared" si="49"/>
        <v>-1.9961255540766375E-3</v>
      </c>
      <c r="Z50" s="183">
        <f t="shared" si="49"/>
        <v>3.5971220420140719E-2</v>
      </c>
      <c r="AA50" s="183">
        <f t="shared" si="49"/>
        <v>-1.8684460717231113E-3</v>
      </c>
      <c r="AB50" s="183">
        <f t="shared" si="49"/>
        <v>-1.841897872196685E-3</v>
      </c>
      <c r="AC50" s="183">
        <f t="shared" si="49"/>
        <v>3.6779620654041778E-2</v>
      </c>
      <c r="AD50" s="183">
        <f t="shared" si="49"/>
        <v>-1.7238266133739273E-3</v>
      </c>
      <c r="AE50" s="183">
        <f t="shared" si="49"/>
        <v>-1.6997386912338975E-3</v>
      </c>
      <c r="AF50" s="102"/>
    </row>
    <row r="51" spans="2:32" s="71" customFormat="1" ht="16" x14ac:dyDescent="0.2">
      <c r="E51" s="181" t="s">
        <v>82</v>
      </c>
      <c r="F51" s="101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3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</row>
    <row r="52" spans="2:32" s="71" customFormat="1" ht="16" x14ac:dyDescent="0.2">
      <c r="E52" s="101"/>
      <c r="F52" s="101"/>
      <c r="G52" s="102"/>
      <c r="H52" s="102"/>
      <c r="I52" s="102"/>
      <c r="J52" s="102"/>
      <c r="K52" s="102"/>
      <c r="L52" s="102"/>
      <c r="M52" s="102"/>
      <c r="N52" s="102"/>
      <c r="O52" s="102"/>
      <c r="P52" s="185"/>
      <c r="Q52" s="185"/>
      <c r="R52" s="185"/>
      <c r="S52" s="102"/>
      <c r="T52" s="185">
        <v>6.1607159796991239E-2</v>
      </c>
      <c r="U52" s="185">
        <v>-7.6372841337128794E-2</v>
      </c>
      <c r="V52" s="185">
        <v>-4.354404089027865E-3</v>
      </c>
      <c r="W52" s="185">
        <v>3.5118892490216949E-2</v>
      </c>
      <c r="X52" s="185">
        <v>-2.025393383866743E-3</v>
      </c>
      <c r="Y52" s="185">
        <v>-1.9961255540766375E-3</v>
      </c>
      <c r="Z52" s="185">
        <v>3.5971220420140719E-2</v>
      </c>
      <c r="AA52" s="185">
        <v>-1.8684460717231113E-3</v>
      </c>
      <c r="AB52" s="185">
        <v>-1.841897872196685E-3</v>
      </c>
      <c r="AC52" s="185">
        <v>3.6779620654041778E-2</v>
      </c>
      <c r="AD52" s="185">
        <v>-1.7238266133739273E-3</v>
      </c>
      <c r="AE52" s="185">
        <v>-1.6997386912338975E-3</v>
      </c>
      <c r="AF52" s="102"/>
    </row>
    <row r="53" spans="2:32" s="71" customFormat="1" ht="27" customHeight="1" x14ac:dyDescent="0.2">
      <c r="C53" s="131"/>
      <c r="E53" s="7" t="s">
        <v>83</v>
      </c>
      <c r="F53" s="8"/>
      <c r="G53" s="8">
        <v>45658</v>
      </c>
      <c r="H53" s="8">
        <f t="shared" ref="H53:R53" si="50">EDATE(G53,1)</f>
        <v>45689</v>
      </c>
      <c r="I53" s="8">
        <f t="shared" si="50"/>
        <v>45717</v>
      </c>
      <c r="J53" s="8">
        <f t="shared" si="50"/>
        <v>45748</v>
      </c>
      <c r="K53" s="8">
        <f t="shared" si="50"/>
        <v>45778</v>
      </c>
      <c r="L53" s="8">
        <f t="shared" si="50"/>
        <v>45809</v>
      </c>
      <c r="M53" s="8">
        <f t="shared" si="50"/>
        <v>45839</v>
      </c>
      <c r="N53" s="8">
        <f t="shared" si="50"/>
        <v>45870</v>
      </c>
      <c r="O53" s="8">
        <f t="shared" si="50"/>
        <v>45901</v>
      </c>
      <c r="P53" s="9">
        <f t="shared" si="50"/>
        <v>45931</v>
      </c>
      <c r="Q53" s="9">
        <f t="shared" si="50"/>
        <v>45962</v>
      </c>
      <c r="R53" s="9">
        <f t="shared" si="50"/>
        <v>45992</v>
      </c>
      <c r="S53" s="40" t="s">
        <v>3</v>
      </c>
      <c r="T53" s="9">
        <f>EDATE(R53,1)</f>
        <v>46023</v>
      </c>
      <c r="U53" s="9">
        <f t="shared" ref="U53:AE53" si="51">EDATE(T53,1)</f>
        <v>46054</v>
      </c>
      <c r="V53" s="9">
        <f t="shared" si="51"/>
        <v>46082</v>
      </c>
      <c r="W53" s="9">
        <f t="shared" si="51"/>
        <v>46113</v>
      </c>
      <c r="X53" s="9">
        <f t="shared" si="51"/>
        <v>46143</v>
      </c>
      <c r="Y53" s="9">
        <f t="shared" si="51"/>
        <v>46174</v>
      </c>
      <c r="Z53" s="9">
        <f t="shared" si="51"/>
        <v>46204</v>
      </c>
      <c r="AA53" s="9">
        <f t="shared" si="51"/>
        <v>46235</v>
      </c>
      <c r="AB53" s="9">
        <f t="shared" si="51"/>
        <v>46266</v>
      </c>
      <c r="AC53" s="9">
        <f t="shared" si="51"/>
        <v>46296</v>
      </c>
      <c r="AD53" s="9">
        <f t="shared" si="51"/>
        <v>46327</v>
      </c>
      <c r="AE53" s="9">
        <f t="shared" si="51"/>
        <v>46357</v>
      </c>
      <c r="AF53" s="41" t="s">
        <v>4</v>
      </c>
    </row>
    <row r="54" spans="2:32" s="71" customFormat="1" ht="21.75" customHeight="1" x14ac:dyDescent="0.2">
      <c r="E54" s="144" t="s">
        <v>103</v>
      </c>
      <c r="F54" s="145"/>
      <c r="G54" s="146"/>
      <c r="H54" s="146"/>
      <c r="I54" s="146"/>
      <c r="J54" s="146"/>
      <c r="K54" s="146"/>
      <c r="L54" s="146"/>
      <c r="M54" s="147">
        <f>M9</f>
        <v>57914</v>
      </c>
      <c r="N54" s="147">
        <f t="shared" ref="N54:O54" si="52">N9</f>
        <v>161694</v>
      </c>
      <c r="O54" s="147">
        <f t="shared" si="52"/>
        <v>165859</v>
      </c>
      <c r="P54" s="147">
        <v>180000</v>
      </c>
      <c r="Q54" s="147">
        <v>200000</v>
      </c>
      <c r="R54" s="147">
        <v>230000</v>
      </c>
      <c r="S54" s="148">
        <f>SUM(G54:R54)</f>
        <v>995467</v>
      </c>
      <c r="T54" s="149">
        <f>R54*(1+T52)</f>
        <v>244169.64675330796</v>
      </c>
      <c r="U54" s="149">
        <f>T54*(1+U52)</f>
        <v>225521.71706247481</v>
      </c>
      <c r="V54" s="149">
        <f>T54*(1+V52)</f>
        <v>243106.43344506886</v>
      </c>
      <c r="W54" s="149">
        <f t="shared" ref="W54:AE54" si="53">V54*(1+W52)</f>
        <v>251644.06214490635</v>
      </c>
      <c r="X54" s="149">
        <f t="shared" si="53"/>
        <v>251134.3839263487</v>
      </c>
      <c r="Y54" s="149">
        <f t="shared" si="53"/>
        <v>250633.08816508602</v>
      </c>
      <c r="Z54" s="149">
        <f t="shared" si="53"/>
        <v>259648.66622405293</v>
      </c>
      <c r="AA54" s="149">
        <f t="shared" si="53"/>
        <v>259163.52669361845</v>
      </c>
      <c r="AB54" s="149">
        <f t="shared" si="53"/>
        <v>258686.17394525048</v>
      </c>
      <c r="AC54" s="149">
        <f t="shared" si="53"/>
        <v>268200.55329140229</v>
      </c>
      <c r="AD54" s="149">
        <f t="shared" si="53"/>
        <v>267738.22203991696</v>
      </c>
      <c r="AE54" s="149">
        <f t="shared" si="53"/>
        <v>267283.13702479354</v>
      </c>
      <c r="AF54" s="150">
        <f>SUM(T54:AE54)</f>
        <v>3046929.6107162274</v>
      </c>
    </row>
    <row r="55" spans="2:32" s="71" customFormat="1" ht="16" x14ac:dyDescent="0.2">
      <c r="E55" s="93" t="s">
        <v>29</v>
      </c>
      <c r="F55" s="82"/>
      <c r="G55" s="106"/>
      <c r="H55" s="106"/>
      <c r="I55" s="106"/>
      <c r="J55" s="106"/>
      <c r="K55" s="106"/>
      <c r="L55" s="106"/>
      <c r="M55" s="100"/>
      <c r="N55" s="100"/>
      <c r="O55" s="100"/>
      <c r="P55" s="100">
        <v>0.98972922502334271</v>
      </c>
      <c r="Q55" s="100">
        <v>0.98972922502334271</v>
      </c>
      <c r="R55" s="100">
        <v>0.98972922502334271</v>
      </c>
      <c r="S55" s="117"/>
      <c r="T55" s="107">
        <v>0.8</v>
      </c>
      <c r="U55" s="107">
        <v>0.8</v>
      </c>
      <c r="V55" s="107">
        <v>0.8</v>
      </c>
      <c r="W55" s="107">
        <v>0.8</v>
      </c>
      <c r="X55" s="107">
        <v>0.8</v>
      </c>
      <c r="Y55" s="107">
        <v>0.8</v>
      </c>
      <c r="Z55" s="107">
        <v>0.8</v>
      </c>
      <c r="AA55" s="107">
        <v>0.8</v>
      </c>
      <c r="AB55" s="107">
        <v>0.8</v>
      </c>
      <c r="AC55" s="107">
        <v>0.8</v>
      </c>
      <c r="AD55" s="107">
        <v>0.8</v>
      </c>
      <c r="AE55" s="107">
        <v>0.8</v>
      </c>
      <c r="AF55" s="124"/>
    </row>
    <row r="56" spans="2:32" s="71" customFormat="1" ht="16" x14ac:dyDescent="0.2">
      <c r="E56" s="93" t="s">
        <v>85</v>
      </c>
      <c r="F56" s="82"/>
      <c r="G56" s="106"/>
      <c r="H56" s="106"/>
      <c r="I56" s="106"/>
      <c r="J56" s="106"/>
      <c r="K56" s="106"/>
      <c r="L56" s="106"/>
      <c r="M56" s="100"/>
      <c r="N56" s="100"/>
      <c r="O56" s="100"/>
      <c r="P56" s="100">
        <v>1.027077497665733E-2</v>
      </c>
      <c r="Q56" s="100">
        <v>1.027077497665733E-2</v>
      </c>
      <c r="R56" s="100">
        <v>1.027077497665733E-2</v>
      </c>
      <c r="S56" s="117"/>
      <c r="T56" s="106">
        <f t="shared" ref="T56:AE56" si="54">1-T55</f>
        <v>0.19999999999999996</v>
      </c>
      <c r="U56" s="106">
        <f t="shared" si="54"/>
        <v>0.19999999999999996</v>
      </c>
      <c r="V56" s="106">
        <f t="shared" si="54"/>
        <v>0.19999999999999996</v>
      </c>
      <c r="W56" s="106">
        <f t="shared" si="54"/>
        <v>0.19999999999999996</v>
      </c>
      <c r="X56" s="106">
        <f t="shared" si="54"/>
        <v>0.19999999999999996</v>
      </c>
      <c r="Y56" s="106">
        <f t="shared" si="54"/>
        <v>0.19999999999999996</v>
      </c>
      <c r="Z56" s="106">
        <f t="shared" si="54"/>
        <v>0.19999999999999996</v>
      </c>
      <c r="AA56" s="106">
        <f t="shared" si="54"/>
        <v>0.19999999999999996</v>
      </c>
      <c r="AB56" s="106">
        <f t="shared" si="54"/>
        <v>0.19999999999999996</v>
      </c>
      <c r="AC56" s="106">
        <f t="shared" si="54"/>
        <v>0.19999999999999996</v>
      </c>
      <c r="AD56" s="106">
        <f t="shared" si="54"/>
        <v>0.19999999999999996</v>
      </c>
      <c r="AE56" s="106">
        <f t="shared" si="54"/>
        <v>0.19999999999999996</v>
      </c>
      <c r="AF56" s="124"/>
    </row>
    <row r="57" spans="2:32" s="71" customFormat="1" ht="16" x14ac:dyDescent="0.2">
      <c r="E57" s="94" t="s">
        <v>86</v>
      </c>
      <c r="F57" s="85"/>
      <c r="G57" s="86"/>
      <c r="H57" s="86"/>
      <c r="I57" s="86"/>
      <c r="J57" s="86"/>
      <c r="K57" s="86"/>
      <c r="L57" s="86"/>
      <c r="M57" s="86">
        <f t="shared" ref="M57:O57" si="55">M54*M55</f>
        <v>0</v>
      </c>
      <c r="N57" s="86">
        <f t="shared" si="55"/>
        <v>0</v>
      </c>
      <c r="O57" s="86">
        <f t="shared" si="55"/>
        <v>0</v>
      </c>
      <c r="P57" s="86">
        <f t="shared" ref="P57:R57" si="56">P54*P55</f>
        <v>178151.26050420169</v>
      </c>
      <c r="Q57" s="86">
        <f t="shared" si="56"/>
        <v>197945.84500466855</v>
      </c>
      <c r="R57" s="86">
        <f t="shared" si="56"/>
        <v>227637.72175536881</v>
      </c>
      <c r="S57" s="118">
        <f>SUM(G57:R57)</f>
        <v>603734.82726423908</v>
      </c>
      <c r="T57" s="86">
        <f t="shared" ref="T57:AE57" si="57">T54*T55</f>
        <v>195335.71740264638</v>
      </c>
      <c r="U57" s="86">
        <f t="shared" si="57"/>
        <v>180417.37364997985</v>
      </c>
      <c r="V57" s="86">
        <f t="shared" si="57"/>
        <v>194485.1467560551</v>
      </c>
      <c r="W57" s="86">
        <f t="shared" si="57"/>
        <v>201315.24971592508</v>
      </c>
      <c r="X57" s="86">
        <f t="shared" si="57"/>
        <v>200907.50714107897</v>
      </c>
      <c r="Y57" s="86">
        <f t="shared" si="57"/>
        <v>200506.47053206884</v>
      </c>
      <c r="Z57" s="86">
        <f t="shared" si="57"/>
        <v>207718.93297924235</v>
      </c>
      <c r="AA57" s="86">
        <f t="shared" si="57"/>
        <v>207330.82135489478</v>
      </c>
      <c r="AB57" s="86">
        <f t="shared" si="57"/>
        <v>206948.93915620039</v>
      </c>
      <c r="AC57" s="86">
        <f t="shared" si="57"/>
        <v>214560.44263312186</v>
      </c>
      <c r="AD57" s="86">
        <f t="shared" si="57"/>
        <v>214190.57763193359</v>
      </c>
      <c r="AE57" s="86">
        <f t="shared" si="57"/>
        <v>213826.50961983483</v>
      </c>
      <c r="AF57" s="125">
        <f>SUM(T57:AE57)</f>
        <v>2437543.6885729819</v>
      </c>
    </row>
    <row r="58" spans="2:32" s="71" customFormat="1" ht="16" x14ac:dyDescent="0.2">
      <c r="E58" s="94" t="s">
        <v>87</v>
      </c>
      <c r="F58" s="85"/>
      <c r="G58" s="86"/>
      <c r="H58" s="86"/>
      <c r="I58" s="86"/>
      <c r="J58" s="86"/>
      <c r="K58" s="86"/>
      <c r="L58" s="86"/>
      <c r="M58" s="86">
        <f t="shared" ref="M58:O58" si="58">M54*M56</f>
        <v>0</v>
      </c>
      <c r="N58" s="86">
        <f t="shared" si="58"/>
        <v>0</v>
      </c>
      <c r="O58" s="86">
        <f t="shared" si="58"/>
        <v>0</v>
      </c>
      <c r="P58" s="86">
        <f t="shared" ref="P58:R58" si="59">P54*P56</f>
        <v>1848.7394957983192</v>
      </c>
      <c r="Q58" s="86">
        <f t="shared" si="59"/>
        <v>2054.1549953314661</v>
      </c>
      <c r="R58" s="86">
        <f t="shared" si="59"/>
        <v>2362.2782446311858</v>
      </c>
      <c r="S58" s="118">
        <f>SUM(G58:R58)</f>
        <v>6265.1727357609707</v>
      </c>
      <c r="T58" s="86">
        <f t="shared" ref="T58:AE58" si="60">T54*T56</f>
        <v>48833.92935066158</v>
      </c>
      <c r="U58" s="86">
        <f t="shared" si="60"/>
        <v>45104.343412494949</v>
      </c>
      <c r="V58" s="86">
        <f t="shared" si="60"/>
        <v>48621.286689013759</v>
      </c>
      <c r="W58" s="86">
        <f t="shared" si="60"/>
        <v>50328.812428981255</v>
      </c>
      <c r="X58" s="86">
        <f t="shared" si="60"/>
        <v>50226.876785269727</v>
      </c>
      <c r="Y58" s="86">
        <f t="shared" si="60"/>
        <v>50126.617633017195</v>
      </c>
      <c r="Z58" s="86">
        <f t="shared" si="60"/>
        <v>51929.733244810574</v>
      </c>
      <c r="AA58" s="86">
        <f t="shared" si="60"/>
        <v>51832.705338723681</v>
      </c>
      <c r="AB58" s="86">
        <f t="shared" si="60"/>
        <v>51737.234789050082</v>
      </c>
      <c r="AC58" s="86">
        <f t="shared" si="60"/>
        <v>53640.11065828045</v>
      </c>
      <c r="AD58" s="86">
        <f t="shared" si="60"/>
        <v>53547.644407983382</v>
      </c>
      <c r="AE58" s="86">
        <f t="shared" si="60"/>
        <v>53456.627404958694</v>
      </c>
      <c r="AF58" s="125">
        <f>SUM(T58:AE58)</f>
        <v>609385.92214324535</v>
      </c>
    </row>
    <row r="59" spans="2:32" s="71" customFormat="1" ht="16" x14ac:dyDescent="0.2">
      <c r="E59" s="105"/>
      <c r="F59" s="132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4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5"/>
    </row>
    <row r="60" spans="2:32" s="71" customFormat="1" ht="16" x14ac:dyDescent="0.2">
      <c r="E60" s="143"/>
      <c r="F60" s="138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40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41"/>
    </row>
    <row r="61" spans="2:32" s="71" customFormat="1" ht="16" x14ac:dyDescent="0.2">
      <c r="E61" s="142"/>
      <c r="F61" s="79"/>
      <c r="G61" s="80"/>
      <c r="H61" s="80"/>
      <c r="I61" s="80"/>
      <c r="J61" s="80"/>
      <c r="K61" s="80"/>
      <c r="L61" s="80"/>
      <c r="M61" s="80"/>
      <c r="N61" s="80"/>
      <c r="O61" s="80"/>
      <c r="P61" s="81"/>
      <c r="Q61" s="81"/>
      <c r="R61" s="81"/>
      <c r="S61" s="136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137"/>
    </row>
    <row r="62" spans="2:32" s="71" customFormat="1" ht="16" x14ac:dyDescent="0.2">
      <c r="E62" s="151" t="s">
        <v>103</v>
      </c>
      <c r="F62" s="152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4"/>
      <c r="T62" s="153">
        <f t="shared" ref="T62:AE62" si="61">T54</f>
        <v>244169.64675330796</v>
      </c>
      <c r="U62" s="153">
        <f t="shared" si="61"/>
        <v>225521.71706247481</v>
      </c>
      <c r="V62" s="153">
        <f t="shared" si="61"/>
        <v>243106.43344506886</v>
      </c>
      <c r="W62" s="153">
        <f t="shared" si="61"/>
        <v>251644.06214490635</v>
      </c>
      <c r="X62" s="153">
        <f t="shared" si="61"/>
        <v>251134.3839263487</v>
      </c>
      <c r="Y62" s="153">
        <f t="shared" si="61"/>
        <v>250633.08816508602</v>
      </c>
      <c r="Z62" s="153">
        <f t="shared" si="61"/>
        <v>259648.66622405293</v>
      </c>
      <c r="AA62" s="153">
        <f t="shared" si="61"/>
        <v>259163.52669361845</v>
      </c>
      <c r="AB62" s="153">
        <f t="shared" si="61"/>
        <v>258686.17394525048</v>
      </c>
      <c r="AC62" s="153">
        <f t="shared" si="61"/>
        <v>268200.55329140229</v>
      </c>
      <c r="AD62" s="153">
        <f t="shared" si="61"/>
        <v>267738.22203991696</v>
      </c>
      <c r="AE62" s="153">
        <f t="shared" si="61"/>
        <v>267283.13702479354</v>
      </c>
      <c r="AF62" s="155">
        <f>SUM(T62:AE62)</f>
        <v>3046929.6107162274</v>
      </c>
    </row>
    <row r="63" spans="2:32" s="71" customFormat="1" ht="16" x14ac:dyDescent="0.2">
      <c r="B63" s="71" t="s">
        <v>88</v>
      </c>
      <c r="E63" s="93" t="s">
        <v>89</v>
      </c>
      <c r="F63" s="88"/>
      <c r="G63" s="99"/>
      <c r="H63" s="99"/>
      <c r="I63" s="99"/>
      <c r="J63" s="99"/>
      <c r="K63" s="99"/>
      <c r="L63" s="99"/>
      <c r="M63" s="99"/>
      <c r="N63" s="99"/>
      <c r="O63" s="99"/>
      <c r="P63" s="92"/>
      <c r="Q63" s="92"/>
      <c r="R63" s="92"/>
      <c r="S63" s="122"/>
      <c r="T63" s="99">
        <f t="shared" ref="T63:AE64" si="62">SUM(T69,T75)/T$62</f>
        <v>0.72</v>
      </c>
      <c r="U63" s="99">
        <f t="shared" si="62"/>
        <v>0.72</v>
      </c>
      <c r="V63" s="99">
        <f t="shared" si="62"/>
        <v>0.72000000000000008</v>
      </c>
      <c r="W63" s="99">
        <f t="shared" si="62"/>
        <v>0.72</v>
      </c>
      <c r="X63" s="99">
        <f t="shared" si="62"/>
        <v>0.72</v>
      </c>
      <c r="Y63" s="99">
        <f t="shared" si="62"/>
        <v>0.72</v>
      </c>
      <c r="Z63" s="99">
        <f t="shared" si="62"/>
        <v>0.72000000000000008</v>
      </c>
      <c r="AA63" s="99">
        <f t="shared" si="62"/>
        <v>0.72000000000000008</v>
      </c>
      <c r="AB63" s="99">
        <f t="shared" si="62"/>
        <v>0.72</v>
      </c>
      <c r="AC63" s="99">
        <f t="shared" si="62"/>
        <v>0.72000000000000008</v>
      </c>
      <c r="AD63" s="99">
        <f t="shared" si="62"/>
        <v>0.72000000000000008</v>
      </c>
      <c r="AE63" s="99">
        <f t="shared" si="62"/>
        <v>0.72</v>
      </c>
      <c r="AF63" s="128"/>
    </row>
    <row r="64" spans="2:32" s="71" customFormat="1" ht="16" x14ac:dyDescent="0.2">
      <c r="E64" s="93" t="s">
        <v>90</v>
      </c>
      <c r="F64" s="88"/>
      <c r="G64" s="99"/>
      <c r="H64" s="99"/>
      <c r="I64" s="99"/>
      <c r="J64" s="99"/>
      <c r="K64" s="99"/>
      <c r="L64" s="99"/>
      <c r="M64" s="99"/>
      <c r="N64" s="99"/>
      <c r="O64" s="99"/>
      <c r="P64" s="92"/>
      <c r="Q64" s="92"/>
      <c r="R64" s="92"/>
      <c r="S64" s="122"/>
      <c r="T64" s="99">
        <f t="shared" si="62"/>
        <v>0.27999999999999992</v>
      </c>
      <c r="U64" s="99">
        <f t="shared" si="62"/>
        <v>0.27999999999999992</v>
      </c>
      <c r="V64" s="99">
        <f t="shared" si="62"/>
        <v>0.27999999999999992</v>
      </c>
      <c r="W64" s="99">
        <f t="shared" si="62"/>
        <v>0.27999999999999992</v>
      </c>
      <c r="X64" s="99">
        <f t="shared" si="62"/>
        <v>0.27999999999999992</v>
      </c>
      <c r="Y64" s="99">
        <f t="shared" si="62"/>
        <v>0.27999999999999997</v>
      </c>
      <c r="Z64" s="99">
        <f t="shared" si="62"/>
        <v>0.27999999999999992</v>
      </c>
      <c r="AA64" s="99">
        <f t="shared" si="62"/>
        <v>0.27999999999999997</v>
      </c>
      <c r="AB64" s="99">
        <f t="shared" si="62"/>
        <v>0.27999999999999992</v>
      </c>
      <c r="AC64" s="99">
        <f t="shared" si="62"/>
        <v>0.27999999999999997</v>
      </c>
      <c r="AD64" s="99">
        <f t="shared" si="62"/>
        <v>0.27999999999999992</v>
      </c>
      <c r="AE64" s="99">
        <f t="shared" si="62"/>
        <v>0.27999999999999997</v>
      </c>
      <c r="AF64" s="128"/>
    </row>
    <row r="65" spans="2:32" s="71" customFormat="1" ht="16" x14ac:dyDescent="0.2">
      <c r="E65" s="95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7"/>
      <c r="Q65" s="87"/>
      <c r="R65" s="87"/>
      <c r="S65" s="118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125"/>
    </row>
    <row r="66" spans="2:32" s="71" customFormat="1" ht="16" x14ac:dyDescent="0.2">
      <c r="E66" s="151" t="s">
        <v>86</v>
      </c>
      <c r="F66" s="156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4"/>
      <c r="T66" s="157">
        <f t="shared" ref="T66:AE66" si="63">T57</f>
        <v>195335.71740264638</v>
      </c>
      <c r="U66" s="157">
        <f t="shared" si="63"/>
        <v>180417.37364997985</v>
      </c>
      <c r="V66" s="157">
        <f t="shared" si="63"/>
        <v>194485.1467560551</v>
      </c>
      <c r="W66" s="157">
        <f t="shared" si="63"/>
        <v>201315.24971592508</v>
      </c>
      <c r="X66" s="157">
        <f t="shared" si="63"/>
        <v>200907.50714107897</v>
      </c>
      <c r="Y66" s="157">
        <f t="shared" si="63"/>
        <v>200506.47053206884</v>
      </c>
      <c r="Z66" s="157">
        <f t="shared" si="63"/>
        <v>207718.93297924235</v>
      </c>
      <c r="AA66" s="157">
        <f t="shared" si="63"/>
        <v>207330.82135489478</v>
      </c>
      <c r="AB66" s="157">
        <f t="shared" si="63"/>
        <v>206948.93915620039</v>
      </c>
      <c r="AC66" s="157">
        <f t="shared" si="63"/>
        <v>214560.44263312186</v>
      </c>
      <c r="AD66" s="157">
        <f t="shared" si="63"/>
        <v>214190.57763193359</v>
      </c>
      <c r="AE66" s="157">
        <f t="shared" si="63"/>
        <v>213826.50961983483</v>
      </c>
      <c r="AF66" s="155">
        <f>SUM(T66:AE66)</f>
        <v>2437543.6885729819</v>
      </c>
    </row>
    <row r="67" spans="2:32" s="71" customFormat="1" ht="16" x14ac:dyDescent="0.2">
      <c r="B67" s="71" t="s">
        <v>91</v>
      </c>
      <c r="E67" s="93" t="s">
        <v>89</v>
      </c>
      <c r="F67" s="82"/>
      <c r="G67" s="83"/>
      <c r="H67" s="83"/>
      <c r="I67" s="83"/>
      <c r="J67" s="106"/>
      <c r="K67" s="106"/>
      <c r="L67" s="106"/>
      <c r="M67" s="106"/>
      <c r="N67" s="106"/>
      <c r="O67" s="106"/>
      <c r="P67" s="84"/>
      <c r="Q67" s="84"/>
      <c r="R67" s="84"/>
      <c r="S67" s="117"/>
      <c r="T67" s="107">
        <v>0.8</v>
      </c>
      <c r="U67" s="107">
        <v>0.8</v>
      </c>
      <c r="V67" s="107">
        <v>0.8</v>
      </c>
      <c r="W67" s="107">
        <v>0.8</v>
      </c>
      <c r="X67" s="107">
        <v>0.8</v>
      </c>
      <c r="Y67" s="107">
        <v>0.8</v>
      </c>
      <c r="Z67" s="107">
        <v>0.8</v>
      </c>
      <c r="AA67" s="107">
        <v>0.8</v>
      </c>
      <c r="AB67" s="107">
        <v>0.8</v>
      </c>
      <c r="AC67" s="107">
        <v>0.8</v>
      </c>
      <c r="AD67" s="107">
        <v>0.8</v>
      </c>
      <c r="AE67" s="107">
        <v>0.8</v>
      </c>
      <c r="AF67" s="124"/>
    </row>
    <row r="68" spans="2:32" s="71" customFormat="1" ht="16" x14ac:dyDescent="0.2">
      <c r="E68" s="93" t="s">
        <v>90</v>
      </c>
      <c r="F68" s="82"/>
      <c r="G68" s="83"/>
      <c r="H68" s="83"/>
      <c r="I68" s="83"/>
      <c r="J68" s="106"/>
      <c r="K68" s="106"/>
      <c r="L68" s="106"/>
      <c r="M68" s="106"/>
      <c r="N68" s="106"/>
      <c r="O68" s="106"/>
      <c r="P68" s="84"/>
      <c r="Q68" s="84"/>
      <c r="R68" s="84"/>
      <c r="S68" s="117"/>
      <c r="T68" s="106">
        <f>1-T67</f>
        <v>0.19999999999999996</v>
      </c>
      <c r="U68" s="106">
        <f t="shared" ref="U68:AE68" si="64">1-U67</f>
        <v>0.19999999999999996</v>
      </c>
      <c r="V68" s="106">
        <f t="shared" si="64"/>
        <v>0.19999999999999996</v>
      </c>
      <c r="W68" s="106">
        <f t="shared" si="64"/>
        <v>0.19999999999999996</v>
      </c>
      <c r="X68" s="106">
        <f t="shared" si="64"/>
        <v>0.19999999999999996</v>
      </c>
      <c r="Y68" s="106">
        <f t="shared" si="64"/>
        <v>0.19999999999999996</v>
      </c>
      <c r="Z68" s="106">
        <f t="shared" si="64"/>
        <v>0.19999999999999996</v>
      </c>
      <c r="AA68" s="106">
        <f t="shared" si="64"/>
        <v>0.19999999999999996</v>
      </c>
      <c r="AB68" s="106">
        <f t="shared" si="64"/>
        <v>0.19999999999999996</v>
      </c>
      <c r="AC68" s="106">
        <f t="shared" si="64"/>
        <v>0.19999999999999996</v>
      </c>
      <c r="AD68" s="106">
        <f t="shared" si="64"/>
        <v>0.19999999999999996</v>
      </c>
      <c r="AE68" s="106">
        <f t="shared" si="64"/>
        <v>0.19999999999999996</v>
      </c>
      <c r="AF68" s="124"/>
    </row>
    <row r="69" spans="2:32" s="71" customFormat="1" ht="16" x14ac:dyDescent="0.2">
      <c r="E69" s="95" t="s">
        <v>92</v>
      </c>
      <c r="F69" s="85"/>
      <c r="G69" s="86"/>
      <c r="H69" s="86"/>
      <c r="I69" s="86"/>
      <c r="J69" s="86"/>
      <c r="K69" s="86"/>
      <c r="L69" s="86"/>
      <c r="M69" s="86"/>
      <c r="N69" s="86"/>
      <c r="O69" s="86"/>
      <c r="P69" s="87"/>
      <c r="Q69" s="87"/>
      <c r="R69" s="87"/>
      <c r="S69" s="118"/>
      <c r="T69" s="86">
        <f t="shared" ref="T69:AE70" si="65">T$66*T67</f>
        <v>156268.5739221171</v>
      </c>
      <c r="U69" s="86">
        <f t="shared" si="65"/>
        <v>144333.89891998388</v>
      </c>
      <c r="V69" s="86">
        <f t="shared" si="65"/>
        <v>155588.11740484409</v>
      </c>
      <c r="W69" s="86">
        <f t="shared" si="65"/>
        <v>161052.19977274007</v>
      </c>
      <c r="X69" s="86">
        <f t="shared" si="65"/>
        <v>160726.00571286317</v>
      </c>
      <c r="Y69" s="86">
        <f t="shared" si="65"/>
        <v>160405.17642565508</v>
      </c>
      <c r="Z69" s="86">
        <f t="shared" si="65"/>
        <v>166175.14638339391</v>
      </c>
      <c r="AA69" s="86">
        <f t="shared" si="65"/>
        <v>165864.65708391584</v>
      </c>
      <c r="AB69" s="86">
        <f t="shared" si="65"/>
        <v>165559.15132496032</v>
      </c>
      <c r="AC69" s="86">
        <f t="shared" si="65"/>
        <v>171648.35410649749</v>
      </c>
      <c r="AD69" s="86">
        <f t="shared" si="65"/>
        <v>171352.46210554687</v>
      </c>
      <c r="AE69" s="86">
        <f t="shared" si="65"/>
        <v>171061.20769586787</v>
      </c>
      <c r="AF69" s="125">
        <f>SUM(T69:AE69)</f>
        <v>1950034.9508583858</v>
      </c>
    </row>
    <row r="70" spans="2:32" s="71" customFormat="1" ht="16" x14ac:dyDescent="0.2">
      <c r="E70" s="95" t="s">
        <v>93</v>
      </c>
      <c r="F70" s="85"/>
      <c r="G70" s="86"/>
      <c r="H70" s="86"/>
      <c r="I70" s="86"/>
      <c r="J70" s="86"/>
      <c r="K70" s="86"/>
      <c r="L70" s="86"/>
      <c r="M70" s="86"/>
      <c r="N70" s="86"/>
      <c r="O70" s="86"/>
      <c r="P70" s="87"/>
      <c r="Q70" s="87"/>
      <c r="R70" s="87"/>
      <c r="S70" s="118"/>
      <c r="T70" s="86">
        <f t="shared" si="65"/>
        <v>39067.143480529267</v>
      </c>
      <c r="U70" s="86">
        <f t="shared" si="65"/>
        <v>36083.474729995964</v>
      </c>
      <c r="V70" s="86">
        <f t="shared" si="65"/>
        <v>38897.029351211007</v>
      </c>
      <c r="W70" s="86">
        <f t="shared" si="65"/>
        <v>40263.049943185004</v>
      </c>
      <c r="X70" s="86">
        <f t="shared" si="65"/>
        <v>40181.501428215786</v>
      </c>
      <c r="Y70" s="86">
        <f t="shared" si="65"/>
        <v>40101.294106413756</v>
      </c>
      <c r="Z70" s="86">
        <f t="shared" si="65"/>
        <v>41543.786595848462</v>
      </c>
      <c r="AA70" s="86">
        <f t="shared" si="65"/>
        <v>41466.164270978945</v>
      </c>
      <c r="AB70" s="86">
        <f t="shared" si="65"/>
        <v>41389.787831240072</v>
      </c>
      <c r="AC70" s="86">
        <f t="shared" si="65"/>
        <v>42912.088526624364</v>
      </c>
      <c r="AD70" s="86">
        <f t="shared" si="65"/>
        <v>42838.115526386704</v>
      </c>
      <c r="AE70" s="86">
        <f t="shared" si="65"/>
        <v>42765.301923966959</v>
      </c>
      <c r="AF70" s="125">
        <f>SUM(T70:AE70)</f>
        <v>487508.73771459627</v>
      </c>
    </row>
    <row r="71" spans="2:32" s="71" customFormat="1" ht="16" x14ac:dyDescent="0.2">
      <c r="E71" s="94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119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126"/>
    </row>
    <row r="72" spans="2:32" s="71" customFormat="1" ht="16" x14ac:dyDescent="0.2">
      <c r="E72" s="151" t="s">
        <v>94</v>
      </c>
      <c r="F72" s="152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4"/>
      <c r="T72" s="158">
        <f t="shared" ref="T72:AE72" si="66">T58</f>
        <v>48833.92935066158</v>
      </c>
      <c r="U72" s="158">
        <f t="shared" si="66"/>
        <v>45104.343412494949</v>
      </c>
      <c r="V72" s="158">
        <f t="shared" si="66"/>
        <v>48621.286689013759</v>
      </c>
      <c r="W72" s="158">
        <f t="shared" si="66"/>
        <v>50328.812428981255</v>
      </c>
      <c r="X72" s="158">
        <f t="shared" si="66"/>
        <v>50226.876785269727</v>
      </c>
      <c r="Y72" s="158">
        <f t="shared" si="66"/>
        <v>50126.617633017195</v>
      </c>
      <c r="Z72" s="158">
        <f t="shared" si="66"/>
        <v>51929.733244810574</v>
      </c>
      <c r="AA72" s="158">
        <f t="shared" si="66"/>
        <v>51832.705338723681</v>
      </c>
      <c r="AB72" s="158">
        <f t="shared" si="66"/>
        <v>51737.234789050082</v>
      </c>
      <c r="AC72" s="158">
        <f t="shared" si="66"/>
        <v>53640.11065828045</v>
      </c>
      <c r="AD72" s="158">
        <f t="shared" si="66"/>
        <v>53547.644407983382</v>
      </c>
      <c r="AE72" s="158">
        <f t="shared" si="66"/>
        <v>53456.627404958694</v>
      </c>
      <c r="AF72" s="159">
        <f>SUM(T72:AE72)</f>
        <v>609385.92214324535</v>
      </c>
    </row>
    <row r="73" spans="2:32" s="71" customFormat="1" ht="16" x14ac:dyDescent="0.2">
      <c r="B73" s="71" t="s">
        <v>95</v>
      </c>
      <c r="E73" s="93" t="s">
        <v>89</v>
      </c>
      <c r="F73" s="89"/>
      <c r="G73" s="89"/>
      <c r="H73" s="89"/>
      <c r="I73" s="89"/>
      <c r="J73" s="90"/>
      <c r="K73" s="90"/>
      <c r="L73" s="90"/>
      <c r="M73" s="90"/>
      <c r="N73" s="90"/>
      <c r="O73" s="90"/>
      <c r="P73" s="89"/>
      <c r="Q73" s="89"/>
      <c r="R73" s="89"/>
      <c r="S73" s="120"/>
      <c r="T73" s="108">
        <v>0.4</v>
      </c>
      <c r="U73" s="108">
        <v>0.4</v>
      </c>
      <c r="V73" s="108">
        <v>0.4</v>
      </c>
      <c r="W73" s="108">
        <v>0.4</v>
      </c>
      <c r="X73" s="108">
        <v>0.4</v>
      </c>
      <c r="Y73" s="108">
        <v>0.4</v>
      </c>
      <c r="Z73" s="108">
        <v>0.4</v>
      </c>
      <c r="AA73" s="108">
        <v>0.4</v>
      </c>
      <c r="AB73" s="108">
        <v>0.4</v>
      </c>
      <c r="AC73" s="108">
        <v>0.4</v>
      </c>
      <c r="AD73" s="108">
        <v>0.4</v>
      </c>
      <c r="AE73" s="108">
        <v>0.4</v>
      </c>
      <c r="AF73" s="127"/>
    </row>
    <row r="74" spans="2:32" s="71" customFormat="1" ht="16" x14ac:dyDescent="0.2">
      <c r="E74" s="93" t="s">
        <v>90</v>
      </c>
      <c r="F74" s="89"/>
      <c r="G74" s="91"/>
      <c r="H74" s="91"/>
      <c r="I74" s="91"/>
      <c r="J74" s="99"/>
      <c r="K74" s="99"/>
      <c r="L74" s="99"/>
      <c r="M74" s="99"/>
      <c r="N74" s="99"/>
      <c r="O74" s="99"/>
      <c r="P74" s="91"/>
      <c r="Q74" s="91"/>
      <c r="R74" s="91"/>
      <c r="S74" s="121"/>
      <c r="T74" s="99">
        <f t="shared" ref="T74:AE74" si="67">1-T73</f>
        <v>0.6</v>
      </c>
      <c r="U74" s="99">
        <f t="shared" si="67"/>
        <v>0.6</v>
      </c>
      <c r="V74" s="99">
        <f t="shared" si="67"/>
        <v>0.6</v>
      </c>
      <c r="W74" s="99">
        <f t="shared" si="67"/>
        <v>0.6</v>
      </c>
      <c r="X74" s="99">
        <f t="shared" si="67"/>
        <v>0.6</v>
      </c>
      <c r="Y74" s="99">
        <f t="shared" si="67"/>
        <v>0.6</v>
      </c>
      <c r="Z74" s="99">
        <f t="shared" si="67"/>
        <v>0.6</v>
      </c>
      <c r="AA74" s="99">
        <f t="shared" si="67"/>
        <v>0.6</v>
      </c>
      <c r="AB74" s="99">
        <f t="shared" si="67"/>
        <v>0.6</v>
      </c>
      <c r="AC74" s="99">
        <f t="shared" si="67"/>
        <v>0.6</v>
      </c>
      <c r="AD74" s="99">
        <f t="shared" si="67"/>
        <v>0.6</v>
      </c>
      <c r="AE74" s="99">
        <f t="shared" si="67"/>
        <v>0.6</v>
      </c>
      <c r="AF74" s="124"/>
    </row>
    <row r="75" spans="2:32" s="71" customFormat="1" ht="16" x14ac:dyDescent="0.2">
      <c r="E75" s="94" t="s">
        <v>92</v>
      </c>
      <c r="F75" s="88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122"/>
      <c r="T75" s="87">
        <f t="shared" ref="T75:AE76" si="68">T$72*T73</f>
        <v>19533.571740264633</v>
      </c>
      <c r="U75" s="87">
        <f t="shared" si="68"/>
        <v>18041.737364997982</v>
      </c>
      <c r="V75" s="87">
        <f t="shared" si="68"/>
        <v>19448.514675605504</v>
      </c>
      <c r="W75" s="87">
        <f t="shared" si="68"/>
        <v>20131.524971592502</v>
      </c>
      <c r="X75" s="87">
        <f t="shared" si="68"/>
        <v>20090.750714107893</v>
      </c>
      <c r="Y75" s="87">
        <f t="shared" si="68"/>
        <v>20050.647053206878</v>
      </c>
      <c r="Z75" s="87">
        <f t="shared" si="68"/>
        <v>20771.893297924231</v>
      </c>
      <c r="AA75" s="87">
        <f t="shared" si="68"/>
        <v>20733.082135489472</v>
      </c>
      <c r="AB75" s="87">
        <f t="shared" si="68"/>
        <v>20694.893915620036</v>
      </c>
      <c r="AC75" s="87">
        <f t="shared" si="68"/>
        <v>21456.044263312182</v>
      </c>
      <c r="AD75" s="87">
        <f t="shared" si="68"/>
        <v>21419.057763193356</v>
      </c>
      <c r="AE75" s="87">
        <f t="shared" si="68"/>
        <v>21382.65096198348</v>
      </c>
      <c r="AF75" s="125">
        <f>SUM(T75:AE75)</f>
        <v>243754.36885729813</v>
      </c>
    </row>
    <row r="76" spans="2:32" s="71" customFormat="1" ht="16" x14ac:dyDescent="0.2">
      <c r="E76" s="94" t="s">
        <v>93</v>
      </c>
      <c r="F76" s="88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122"/>
      <c r="T76" s="87">
        <f t="shared" si="68"/>
        <v>29300.357610396946</v>
      </c>
      <c r="U76" s="87">
        <f t="shared" si="68"/>
        <v>27062.606047496967</v>
      </c>
      <c r="V76" s="87">
        <f t="shared" si="68"/>
        <v>29172.772013408256</v>
      </c>
      <c r="W76" s="87">
        <f t="shared" si="68"/>
        <v>30197.287457388753</v>
      </c>
      <c r="X76" s="87">
        <f t="shared" si="68"/>
        <v>30136.126071161834</v>
      </c>
      <c r="Y76" s="87">
        <f t="shared" si="68"/>
        <v>30075.970579810317</v>
      </c>
      <c r="Z76" s="87">
        <f t="shared" si="68"/>
        <v>31157.839946886343</v>
      </c>
      <c r="AA76" s="87">
        <f t="shared" si="68"/>
        <v>31099.623203234209</v>
      </c>
      <c r="AB76" s="87">
        <f t="shared" si="68"/>
        <v>31042.340873430046</v>
      </c>
      <c r="AC76" s="87">
        <f t="shared" si="68"/>
        <v>32184.066394968268</v>
      </c>
      <c r="AD76" s="87">
        <f t="shared" si="68"/>
        <v>32128.586644790026</v>
      </c>
      <c r="AE76" s="87">
        <f t="shared" si="68"/>
        <v>32073.976442975214</v>
      </c>
      <c r="AF76" s="125">
        <f>SUM(T76:AE76)</f>
        <v>365631.55328594713</v>
      </c>
    </row>
    <row r="77" spans="2:32" s="71" customFormat="1" ht="16" x14ac:dyDescent="0.2"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123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129"/>
    </row>
    <row r="78" spans="2:32" s="71" customFormat="1" x14ac:dyDescent="0.2"/>
    <row r="79" spans="2:32" s="71" customFormat="1" x14ac:dyDescent="0.2"/>
    <row r="80" spans="2:32" s="71" customFormat="1" x14ac:dyDescent="0.2"/>
    <row r="81" spans="3:32" s="71" customFormat="1" ht="41.25" customHeight="1" x14ac:dyDescent="0.2">
      <c r="C81" s="131"/>
      <c r="E81" s="7" t="s">
        <v>96</v>
      </c>
      <c r="F81" s="8"/>
      <c r="G81" s="8">
        <v>45658</v>
      </c>
      <c r="H81" s="8">
        <f t="shared" ref="H81:R81" si="69">EDATE(G81,1)</f>
        <v>45689</v>
      </c>
      <c r="I81" s="8">
        <f t="shared" si="69"/>
        <v>45717</v>
      </c>
      <c r="J81" s="8">
        <f t="shared" si="69"/>
        <v>45748</v>
      </c>
      <c r="K81" s="8">
        <f t="shared" si="69"/>
        <v>45778</v>
      </c>
      <c r="L81" s="8">
        <f t="shared" si="69"/>
        <v>45809</v>
      </c>
      <c r="M81" s="8">
        <f t="shared" si="69"/>
        <v>45839</v>
      </c>
      <c r="N81" s="8">
        <f t="shared" si="69"/>
        <v>45870</v>
      </c>
      <c r="O81" s="8">
        <f t="shared" si="69"/>
        <v>45901</v>
      </c>
      <c r="P81" s="9">
        <f t="shared" si="69"/>
        <v>45931</v>
      </c>
      <c r="Q81" s="9">
        <f t="shared" si="69"/>
        <v>45962</v>
      </c>
      <c r="R81" s="9">
        <f t="shared" si="69"/>
        <v>45992</v>
      </c>
      <c r="S81" s="40" t="s">
        <v>3</v>
      </c>
      <c r="T81" s="9">
        <f>EDATE(R81,1)</f>
        <v>46023</v>
      </c>
      <c r="U81" s="9">
        <f t="shared" ref="U81:AE81" si="70">EDATE(T81,1)</f>
        <v>46054</v>
      </c>
      <c r="V81" s="9">
        <f t="shared" si="70"/>
        <v>46082</v>
      </c>
      <c r="W81" s="9">
        <f t="shared" si="70"/>
        <v>46113</v>
      </c>
      <c r="X81" s="9">
        <f t="shared" si="70"/>
        <v>46143</v>
      </c>
      <c r="Y81" s="9">
        <f t="shared" si="70"/>
        <v>46174</v>
      </c>
      <c r="Z81" s="9">
        <f t="shared" si="70"/>
        <v>46204</v>
      </c>
      <c r="AA81" s="9">
        <f t="shared" si="70"/>
        <v>46235</v>
      </c>
      <c r="AB81" s="9">
        <f t="shared" si="70"/>
        <v>46266</v>
      </c>
      <c r="AC81" s="9">
        <f t="shared" si="70"/>
        <v>46296</v>
      </c>
      <c r="AD81" s="9">
        <f t="shared" si="70"/>
        <v>46327</v>
      </c>
      <c r="AE81" s="9">
        <f t="shared" si="70"/>
        <v>46357</v>
      </c>
      <c r="AF81" s="41" t="s">
        <v>4</v>
      </c>
    </row>
    <row r="82" spans="3:32" s="170" customFormat="1" ht="25" customHeight="1" x14ac:dyDescent="0.2">
      <c r="E82" s="171" t="s">
        <v>103</v>
      </c>
      <c r="F82" s="172"/>
      <c r="G82" s="173"/>
      <c r="H82" s="173"/>
      <c r="I82" s="173"/>
      <c r="J82" s="173"/>
      <c r="K82" s="173"/>
      <c r="L82" s="173"/>
      <c r="M82" s="173"/>
      <c r="N82" s="173"/>
      <c r="O82" s="173"/>
      <c r="P82" s="174"/>
      <c r="Q82" s="174"/>
      <c r="R82" s="174"/>
      <c r="S82" s="175"/>
      <c r="T82" s="176">
        <f t="shared" ref="T82:AE82" si="71">SUM(T32,T45)</f>
        <v>423258.04787136085</v>
      </c>
      <c r="U82" s="176">
        <f t="shared" si="71"/>
        <v>394198.40439132252</v>
      </c>
      <c r="V82" s="176">
        <f t="shared" si="71"/>
        <v>428455.85178058199</v>
      </c>
      <c r="W82" s="176">
        <f t="shared" si="71"/>
        <v>447146.80027785356</v>
      </c>
      <c r="X82" s="176">
        <f t="shared" si="71"/>
        <v>449877.82496688573</v>
      </c>
      <c r="Y82" s="176">
        <f t="shared" si="71"/>
        <v>452609.22594856145</v>
      </c>
      <c r="Z82" s="176">
        <f t="shared" si="71"/>
        <v>472650.10022040713</v>
      </c>
      <c r="AA82" s="176">
        <f t="shared" si="71"/>
        <v>475519.92174089554</v>
      </c>
      <c r="AB82" s="176">
        <f t="shared" si="71"/>
        <v>478390.09281514457</v>
      </c>
      <c r="AC82" s="176">
        <f t="shared" si="71"/>
        <v>499868.90672977432</v>
      </c>
      <c r="AD82" s="176">
        <f t="shared" si="71"/>
        <v>502884.33217018633</v>
      </c>
      <c r="AE82" s="176">
        <f t="shared" si="71"/>
        <v>505900.0829000352</v>
      </c>
      <c r="AF82" s="177">
        <f>SUM(T82:AE82)</f>
        <v>5530759.5918130092</v>
      </c>
    </row>
    <row r="83" spans="3:32" s="71" customFormat="1" ht="16" x14ac:dyDescent="0.2">
      <c r="E83" s="93" t="s">
        <v>29</v>
      </c>
      <c r="F83" s="82"/>
      <c r="G83" s="106"/>
      <c r="H83" s="106"/>
      <c r="I83" s="106"/>
      <c r="J83" s="106"/>
      <c r="K83" s="106"/>
      <c r="L83" s="106"/>
      <c r="M83" s="106"/>
      <c r="N83" s="106"/>
      <c r="O83" s="106"/>
      <c r="P83" s="104"/>
      <c r="Q83" s="104"/>
      <c r="R83" s="104"/>
      <c r="S83" s="169"/>
      <c r="T83" s="168">
        <f t="shared" ref="T83:AF83" si="72">T32/SUM(T32,T45)</f>
        <v>0.68540540540540551</v>
      </c>
      <c r="U83" s="168">
        <f t="shared" si="72"/>
        <v>0.6857699805068227</v>
      </c>
      <c r="V83" s="168">
        <f t="shared" si="72"/>
        <v>0.68612856452392468</v>
      </c>
      <c r="W83" s="168">
        <f t="shared" si="72"/>
        <v>0.6864813039309684</v>
      </c>
      <c r="X83" s="168">
        <f t="shared" si="72"/>
        <v>0.68682834046600094</v>
      </c>
      <c r="Y83" s="168">
        <f t="shared" si="72"/>
        <v>0.68716981132075472</v>
      </c>
      <c r="Z83" s="168">
        <f t="shared" si="72"/>
        <v>0.68750584932147873</v>
      </c>
      <c r="AA83" s="168">
        <f t="shared" si="72"/>
        <v>0.6878365831012071</v>
      </c>
      <c r="AB83" s="168">
        <f t="shared" si="72"/>
        <v>0.68816213726393372</v>
      </c>
      <c r="AC83" s="168">
        <f t="shared" si="72"/>
        <v>0.6884826325411334</v>
      </c>
      <c r="AD83" s="168">
        <f t="shared" si="72"/>
        <v>0.68879818594104314</v>
      </c>
      <c r="AE83" s="168">
        <f t="shared" si="72"/>
        <v>0.68910891089108917</v>
      </c>
      <c r="AF83" s="165">
        <f t="shared" si="72"/>
        <v>0.68738687036356139</v>
      </c>
    </row>
    <row r="84" spans="3:32" s="71" customFormat="1" ht="16" x14ac:dyDescent="0.2">
      <c r="E84" s="93" t="s">
        <v>85</v>
      </c>
      <c r="F84" s="82"/>
      <c r="G84" s="106"/>
      <c r="H84" s="106"/>
      <c r="I84" s="106"/>
      <c r="J84" s="106"/>
      <c r="K84" s="106"/>
      <c r="L84" s="106"/>
      <c r="M84" s="106"/>
      <c r="N84" s="106"/>
      <c r="O84" s="106"/>
      <c r="P84" s="104"/>
      <c r="Q84" s="104"/>
      <c r="R84" s="104"/>
      <c r="S84" s="169"/>
      <c r="T84" s="106">
        <f t="shared" ref="T84:AF84" si="73">1-T83</f>
        <v>0.31459459459459449</v>
      </c>
      <c r="U84" s="106">
        <f t="shared" si="73"/>
        <v>0.3142300194931773</v>
      </c>
      <c r="V84" s="106">
        <f t="shared" si="73"/>
        <v>0.31387143547607532</v>
      </c>
      <c r="W84" s="106">
        <f t="shared" si="73"/>
        <v>0.3135186960690316</v>
      </c>
      <c r="X84" s="106">
        <f t="shared" si="73"/>
        <v>0.31317165953399906</v>
      </c>
      <c r="Y84" s="106">
        <f t="shared" si="73"/>
        <v>0.31283018867924528</v>
      </c>
      <c r="Z84" s="106">
        <f t="shared" si="73"/>
        <v>0.31249415067852127</v>
      </c>
      <c r="AA84" s="106">
        <f t="shared" si="73"/>
        <v>0.3121634168987929</v>
      </c>
      <c r="AB84" s="106">
        <f t="shared" si="73"/>
        <v>0.31183786273606628</v>
      </c>
      <c r="AC84" s="106">
        <f t="shared" si="73"/>
        <v>0.3115173674588666</v>
      </c>
      <c r="AD84" s="106">
        <f t="shared" si="73"/>
        <v>0.31120181405895686</v>
      </c>
      <c r="AE84" s="106">
        <f t="shared" si="73"/>
        <v>0.31089108910891083</v>
      </c>
      <c r="AF84" s="165">
        <f t="shared" si="73"/>
        <v>0.31261312963643861</v>
      </c>
    </row>
    <row r="85" spans="3:32" s="71" customFormat="1" ht="16" x14ac:dyDescent="0.2">
      <c r="E85" s="94" t="s">
        <v>86</v>
      </c>
      <c r="F85" s="85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118"/>
      <c r="T85" s="86">
        <f t="shared" ref="T85:AE85" si="74">T82*T83</f>
        <v>290103.35389237059</v>
      </c>
      <c r="U85" s="86">
        <f t="shared" si="74"/>
        <v>270329.43209525786</v>
      </c>
      <c r="V85" s="86">
        <f t="shared" si="74"/>
        <v>293975.79854408617</v>
      </c>
      <c r="W85" s="86">
        <f t="shared" si="74"/>
        <v>306957.91850330122</v>
      </c>
      <c r="X85" s="86">
        <f t="shared" si="74"/>
        <v>308988.83993446018</v>
      </c>
      <c r="Y85" s="86">
        <f t="shared" si="74"/>
        <v>311019.39639710583</v>
      </c>
      <c r="Z85" s="86">
        <f t="shared" si="74"/>
        <v>324949.70858391305</v>
      </c>
      <c r="AA85" s="86">
        <f t="shared" si="74"/>
        <v>327079.99816681101</v>
      </c>
      <c r="AB85" s="86">
        <f t="shared" si="74"/>
        <v>329209.94871756149</v>
      </c>
      <c r="AC85" s="86">
        <f t="shared" si="74"/>
        <v>344151.06083077332</v>
      </c>
      <c r="AD85" s="86">
        <f t="shared" si="74"/>
        <v>346385.81573699729</v>
      </c>
      <c r="AE85" s="86">
        <f t="shared" si="74"/>
        <v>348620.25514695497</v>
      </c>
      <c r="AF85" s="125">
        <f>SUM(T85:AE85)</f>
        <v>3801771.5265495935</v>
      </c>
    </row>
    <row r="86" spans="3:32" s="71" customFormat="1" ht="16" x14ac:dyDescent="0.2">
      <c r="E86" s="94" t="s">
        <v>87</v>
      </c>
      <c r="F86" s="85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118"/>
      <c r="T86" s="86">
        <f t="shared" ref="T86:AE86" si="75">T82*T84</f>
        <v>133154.69397899022</v>
      </c>
      <c r="U86" s="86">
        <f t="shared" si="75"/>
        <v>123868.97229606466</v>
      </c>
      <c r="V86" s="86">
        <f t="shared" si="75"/>
        <v>134480.05323649582</v>
      </c>
      <c r="W86" s="86">
        <f t="shared" si="75"/>
        <v>140188.88177455234</v>
      </c>
      <c r="X86" s="86">
        <f t="shared" si="75"/>
        <v>140888.98503242555</v>
      </c>
      <c r="Y86" s="86">
        <f t="shared" si="75"/>
        <v>141589.82955145562</v>
      </c>
      <c r="Z86" s="86">
        <f t="shared" si="75"/>
        <v>147700.39163649408</v>
      </c>
      <c r="AA86" s="86">
        <f t="shared" si="75"/>
        <v>148439.92357408456</v>
      </c>
      <c r="AB86" s="86">
        <f t="shared" si="75"/>
        <v>149180.14409758305</v>
      </c>
      <c r="AC86" s="86">
        <f t="shared" si="75"/>
        <v>155717.84589900103</v>
      </c>
      <c r="AD86" s="86">
        <f t="shared" si="75"/>
        <v>156498.51643318901</v>
      </c>
      <c r="AE86" s="86">
        <f t="shared" si="75"/>
        <v>157279.82775308023</v>
      </c>
      <c r="AF86" s="125">
        <f>SUM(T86:AE86)</f>
        <v>1728988.0652634162</v>
      </c>
    </row>
    <row r="87" spans="3:32" s="71" customFormat="1" ht="16" x14ac:dyDescent="0.2">
      <c r="E87" s="105"/>
      <c r="F87" s="132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4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5"/>
    </row>
    <row r="88" spans="3:32" s="71" customFormat="1" ht="16" x14ac:dyDescent="0.2">
      <c r="E88" s="143"/>
      <c r="F88" s="138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40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41"/>
    </row>
    <row r="89" spans="3:32" s="71" customFormat="1" ht="16" x14ac:dyDescent="0.2">
      <c r="E89" s="142"/>
      <c r="F89" s="79"/>
      <c r="G89" s="80"/>
      <c r="H89" s="80"/>
      <c r="I89" s="80"/>
      <c r="J89" s="80"/>
      <c r="K89" s="80"/>
      <c r="L89" s="80"/>
      <c r="M89" s="80"/>
      <c r="N89" s="80"/>
      <c r="O89" s="80"/>
      <c r="P89" s="81"/>
      <c r="Q89" s="81"/>
      <c r="R89" s="81"/>
      <c r="S89" s="136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137"/>
    </row>
    <row r="90" spans="3:32" s="71" customFormat="1" ht="16" x14ac:dyDescent="0.2">
      <c r="E90" s="151" t="s">
        <v>103</v>
      </c>
      <c r="F90" s="152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3">
        <f t="shared" ref="T90:AE90" si="76">T82</f>
        <v>423258.04787136085</v>
      </c>
      <c r="U90" s="153">
        <f t="shared" si="76"/>
        <v>394198.40439132252</v>
      </c>
      <c r="V90" s="153">
        <f t="shared" si="76"/>
        <v>428455.85178058199</v>
      </c>
      <c r="W90" s="153">
        <f t="shared" si="76"/>
        <v>447146.80027785356</v>
      </c>
      <c r="X90" s="153">
        <f t="shared" si="76"/>
        <v>449877.82496688573</v>
      </c>
      <c r="Y90" s="153">
        <f t="shared" si="76"/>
        <v>452609.22594856145</v>
      </c>
      <c r="Z90" s="153">
        <f t="shared" si="76"/>
        <v>472650.10022040713</v>
      </c>
      <c r="AA90" s="153">
        <f t="shared" si="76"/>
        <v>475519.92174089554</v>
      </c>
      <c r="AB90" s="153">
        <f t="shared" si="76"/>
        <v>478390.09281514457</v>
      </c>
      <c r="AC90" s="153">
        <f t="shared" si="76"/>
        <v>499868.90672977432</v>
      </c>
      <c r="AD90" s="153">
        <f t="shared" si="76"/>
        <v>502884.33217018633</v>
      </c>
      <c r="AE90" s="153">
        <f t="shared" si="76"/>
        <v>505900.0829000352</v>
      </c>
      <c r="AF90" s="155">
        <f>SUM(T90:AE90)</f>
        <v>5530759.5918130092</v>
      </c>
    </row>
    <row r="91" spans="3:32" s="71" customFormat="1" ht="16" x14ac:dyDescent="0.2">
      <c r="E91" s="93" t="s">
        <v>89</v>
      </c>
      <c r="F91" s="88"/>
      <c r="G91" s="99"/>
      <c r="H91" s="99"/>
      <c r="I91" s="99"/>
      <c r="J91" s="99"/>
      <c r="K91" s="99"/>
      <c r="L91" s="99"/>
      <c r="M91" s="99"/>
      <c r="N91" s="99"/>
      <c r="O91" s="99"/>
      <c r="P91" s="92"/>
      <c r="Q91" s="92"/>
      <c r="R91" s="92"/>
      <c r="S91" s="122"/>
      <c r="T91" s="99">
        <f>SUM(T97,T103)/T$90</f>
        <v>0.62270270270270278</v>
      </c>
      <c r="U91" s="99">
        <f t="shared" ref="U91:AF92" si="77">SUM(U97,U103)/U$90</f>
        <v>0.62300194931773889</v>
      </c>
      <c r="V91" s="99">
        <f t="shared" si="77"/>
        <v>0.62329627839536017</v>
      </c>
      <c r="W91" s="99">
        <f t="shared" si="77"/>
        <v>0.62358581016299142</v>
      </c>
      <c r="X91" s="99">
        <f t="shared" si="77"/>
        <v>0.62387066096053245</v>
      </c>
      <c r="Y91" s="99">
        <f t="shared" si="77"/>
        <v>0.62415094339622645</v>
      </c>
      <c r="Z91" s="99">
        <f t="shared" si="77"/>
        <v>0.62442676649508666</v>
      </c>
      <c r="AA91" s="99">
        <f t="shared" si="77"/>
        <v>0.62469823584029716</v>
      </c>
      <c r="AB91" s="99">
        <f t="shared" si="77"/>
        <v>0.62496545370796874</v>
      </c>
      <c r="AC91" s="99">
        <f t="shared" si="77"/>
        <v>0.6252285191956124</v>
      </c>
      <c r="AD91" s="99">
        <f t="shared" si="77"/>
        <v>0.62548752834467125</v>
      </c>
      <c r="AE91" s="99">
        <f t="shared" si="77"/>
        <v>0.62574257425742574</v>
      </c>
      <c r="AF91" s="167">
        <f t="shared" si="77"/>
        <v>0.62432910746604464</v>
      </c>
    </row>
    <row r="92" spans="3:32" s="71" customFormat="1" ht="16" x14ac:dyDescent="0.2">
      <c r="E92" s="93" t="s">
        <v>90</v>
      </c>
      <c r="F92" s="88"/>
      <c r="G92" s="99"/>
      <c r="H92" s="99"/>
      <c r="I92" s="99"/>
      <c r="J92" s="99"/>
      <c r="K92" s="99"/>
      <c r="L92" s="99"/>
      <c r="M92" s="99"/>
      <c r="N92" s="99"/>
      <c r="O92" s="99"/>
      <c r="P92" s="92"/>
      <c r="Q92" s="92"/>
      <c r="R92" s="92"/>
      <c r="S92" s="122"/>
      <c r="T92" s="99">
        <f>SUM(T98,T104)/T$90</f>
        <v>0.37729729729729727</v>
      </c>
      <c r="U92" s="99">
        <f t="shared" si="77"/>
        <v>0.37699805068226117</v>
      </c>
      <c r="V92" s="99">
        <f t="shared" si="77"/>
        <v>0.37670372160463983</v>
      </c>
      <c r="W92" s="99">
        <f t="shared" si="77"/>
        <v>0.37641418983700853</v>
      </c>
      <c r="X92" s="99">
        <f t="shared" si="77"/>
        <v>0.37612933903946738</v>
      </c>
      <c r="Y92" s="99">
        <f t="shared" si="77"/>
        <v>0.37584905660377349</v>
      </c>
      <c r="Z92" s="99">
        <f t="shared" si="77"/>
        <v>0.37557323350491345</v>
      </c>
      <c r="AA92" s="99">
        <f t="shared" si="77"/>
        <v>0.37530176415970279</v>
      </c>
      <c r="AB92" s="99">
        <f t="shared" si="77"/>
        <v>0.37503454629203126</v>
      </c>
      <c r="AC92" s="99">
        <f t="shared" si="77"/>
        <v>0.37477148080438755</v>
      </c>
      <c r="AD92" s="99">
        <f t="shared" si="77"/>
        <v>0.37451247165532875</v>
      </c>
      <c r="AE92" s="99">
        <f t="shared" si="77"/>
        <v>0.37425742574257426</v>
      </c>
      <c r="AF92" s="167">
        <f t="shared" si="77"/>
        <v>0.3756708925339553</v>
      </c>
    </row>
    <row r="93" spans="3:32" s="71" customFormat="1" ht="16" x14ac:dyDescent="0.2">
      <c r="E93" s="95"/>
      <c r="F93" s="85"/>
      <c r="G93" s="86"/>
      <c r="H93" s="86"/>
      <c r="I93" s="86"/>
      <c r="J93" s="86"/>
      <c r="K93" s="86"/>
      <c r="L93" s="86"/>
      <c r="M93" s="86"/>
      <c r="N93" s="86"/>
      <c r="O93" s="86"/>
      <c r="P93" s="87"/>
      <c r="Q93" s="87"/>
      <c r="R93" s="87"/>
      <c r="S93" s="118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125"/>
    </row>
    <row r="94" spans="3:32" s="71" customFormat="1" ht="16" x14ac:dyDescent="0.2">
      <c r="E94" s="151" t="s">
        <v>86</v>
      </c>
      <c r="F94" s="156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4"/>
      <c r="T94" s="157">
        <f t="shared" ref="T94:AE94" si="78">T85</f>
        <v>290103.35389237059</v>
      </c>
      <c r="U94" s="157">
        <f t="shared" si="78"/>
        <v>270329.43209525786</v>
      </c>
      <c r="V94" s="157">
        <f t="shared" si="78"/>
        <v>293975.79854408617</v>
      </c>
      <c r="W94" s="157">
        <f t="shared" si="78"/>
        <v>306957.91850330122</v>
      </c>
      <c r="X94" s="157">
        <f t="shared" si="78"/>
        <v>308988.83993446018</v>
      </c>
      <c r="Y94" s="157">
        <f t="shared" si="78"/>
        <v>311019.39639710583</v>
      </c>
      <c r="Z94" s="157">
        <f t="shared" si="78"/>
        <v>324949.70858391305</v>
      </c>
      <c r="AA94" s="157">
        <f t="shared" si="78"/>
        <v>327079.99816681101</v>
      </c>
      <c r="AB94" s="157">
        <f t="shared" si="78"/>
        <v>329209.94871756149</v>
      </c>
      <c r="AC94" s="157">
        <f t="shared" si="78"/>
        <v>344151.06083077332</v>
      </c>
      <c r="AD94" s="157">
        <f t="shared" si="78"/>
        <v>346385.81573699729</v>
      </c>
      <c r="AE94" s="157">
        <f t="shared" si="78"/>
        <v>348620.25514695497</v>
      </c>
      <c r="AF94" s="155">
        <f>SUM(T94:AE94)</f>
        <v>3801771.5265495935</v>
      </c>
    </row>
    <row r="95" spans="3:32" s="71" customFormat="1" ht="16" x14ac:dyDescent="0.2">
      <c r="E95" s="93" t="s">
        <v>89</v>
      </c>
      <c r="F95" s="82"/>
      <c r="G95" s="83"/>
      <c r="H95" s="83"/>
      <c r="I95" s="83"/>
      <c r="J95" s="106"/>
      <c r="K95" s="106"/>
      <c r="L95" s="106"/>
      <c r="M95" s="106"/>
      <c r="N95" s="106"/>
      <c r="O95" s="106"/>
      <c r="P95" s="84"/>
      <c r="Q95" s="84"/>
      <c r="R95" s="84"/>
      <c r="S95" s="117"/>
      <c r="T95" s="168">
        <f>T97/T$94</f>
        <v>0.75709779179810721</v>
      </c>
      <c r="U95" s="168">
        <f t="shared" ref="U95:AF96" si="79">U97/U$94</f>
        <v>0.75724843661171115</v>
      </c>
      <c r="V95" s="168">
        <f t="shared" si="79"/>
        <v>0.75739644970414211</v>
      </c>
      <c r="W95" s="168">
        <f t="shared" si="79"/>
        <v>0.75754189944134098</v>
      </c>
      <c r="X95" s="168">
        <f t="shared" si="79"/>
        <v>0.75768485184159506</v>
      </c>
      <c r="Y95" s="168">
        <f t="shared" si="79"/>
        <v>0.75782537067545319</v>
      </c>
      <c r="Z95" s="168">
        <f t="shared" si="79"/>
        <v>0.75796351756057723</v>
      </c>
      <c r="AA95" s="168">
        <f t="shared" si="79"/>
        <v>0.75809935205183587</v>
      </c>
      <c r="AB95" s="168">
        <f t="shared" si="79"/>
        <v>0.75823293172690764</v>
      </c>
      <c r="AC95" s="168">
        <f t="shared" si="79"/>
        <v>0.75836431226765799</v>
      </c>
      <c r="AD95" s="168">
        <f t="shared" si="79"/>
        <v>0.75849354753752962</v>
      </c>
      <c r="AE95" s="168">
        <f t="shared" si="79"/>
        <v>0.75862068965517238</v>
      </c>
      <c r="AF95" s="165">
        <f t="shared" si="79"/>
        <v>0.75791462016757216</v>
      </c>
    </row>
    <row r="96" spans="3:32" s="71" customFormat="1" ht="16" x14ac:dyDescent="0.2">
      <c r="E96" s="93" t="s">
        <v>90</v>
      </c>
      <c r="F96" s="82"/>
      <c r="G96" s="83"/>
      <c r="H96" s="83"/>
      <c r="I96" s="83"/>
      <c r="J96" s="106"/>
      <c r="K96" s="106"/>
      <c r="L96" s="106"/>
      <c r="M96" s="106"/>
      <c r="N96" s="106"/>
      <c r="O96" s="106"/>
      <c r="P96" s="84"/>
      <c r="Q96" s="84"/>
      <c r="R96" s="84"/>
      <c r="S96" s="117"/>
      <c r="T96" s="106">
        <f t="shared" ref="T96:AE96" si="80">T98/T$94</f>
        <v>0.24290220820189271</v>
      </c>
      <c r="U96" s="106">
        <f t="shared" si="80"/>
        <v>0.24275156338828882</v>
      </c>
      <c r="V96" s="106">
        <f t="shared" si="80"/>
        <v>0.24260355029585792</v>
      </c>
      <c r="W96" s="106">
        <f t="shared" si="80"/>
        <v>0.24245810055865916</v>
      </c>
      <c r="X96" s="106">
        <f t="shared" si="80"/>
        <v>0.24231514815840488</v>
      </c>
      <c r="Y96" s="106">
        <f t="shared" si="80"/>
        <v>0.24217462932454689</v>
      </c>
      <c r="Z96" s="106">
        <f t="shared" si="80"/>
        <v>0.24203648243942283</v>
      </c>
      <c r="AA96" s="106">
        <f t="shared" si="80"/>
        <v>0.24190064794816407</v>
      </c>
      <c r="AB96" s="106">
        <f t="shared" si="80"/>
        <v>0.24176706827309236</v>
      </c>
      <c r="AC96" s="106">
        <f t="shared" si="80"/>
        <v>0.24163568773234201</v>
      </c>
      <c r="AD96" s="106">
        <f t="shared" si="80"/>
        <v>0.24150645246247032</v>
      </c>
      <c r="AE96" s="106">
        <f t="shared" si="80"/>
        <v>0.24137931034482757</v>
      </c>
      <c r="AF96" s="165">
        <f t="shared" si="79"/>
        <v>0.24208537983242764</v>
      </c>
    </row>
    <row r="97" spans="1:32" s="71" customFormat="1" ht="16" x14ac:dyDescent="0.2">
      <c r="E97" s="95" t="s">
        <v>92</v>
      </c>
      <c r="F97" s="85"/>
      <c r="G97" s="86"/>
      <c r="H97" s="86"/>
      <c r="I97" s="86"/>
      <c r="J97" s="86"/>
      <c r="K97" s="86"/>
      <c r="L97" s="86"/>
      <c r="M97" s="86"/>
      <c r="N97" s="86"/>
      <c r="O97" s="86"/>
      <c r="P97" s="87"/>
      <c r="Q97" s="87"/>
      <c r="R97" s="87"/>
      <c r="S97" s="118"/>
      <c r="T97" s="86">
        <f>T122</f>
        <v>219636.60862513862</v>
      </c>
      <c r="U97" s="86">
        <f t="shared" ref="U97:AE97" si="81">U122</f>
        <v>204706.53982426575</v>
      </c>
      <c r="V97" s="86">
        <f t="shared" si="81"/>
        <v>222656.22611623097</v>
      </c>
      <c r="W97" s="86">
        <f t="shared" si="81"/>
        <v>232533.48463155114</v>
      </c>
      <c r="X97" s="86">
        <f t="shared" si="81"/>
        <v>234116.1634064478</v>
      </c>
      <c r="Y97" s="86">
        <f t="shared" si="81"/>
        <v>235698.38936189242</v>
      </c>
      <c r="Z97" s="86">
        <f t="shared" si="81"/>
        <v>246300.02414854724</v>
      </c>
      <c r="AA97" s="86">
        <f t="shared" si="81"/>
        <v>247959.1346793751</v>
      </c>
      <c r="AB97" s="86">
        <f t="shared" si="81"/>
        <v>249617.82456978157</v>
      </c>
      <c r="AC97" s="86">
        <f t="shared" si="81"/>
        <v>260991.88256311434</v>
      </c>
      <c r="AD97" s="86">
        <f t="shared" si="81"/>
        <v>262731.40619503614</v>
      </c>
      <c r="AE97" s="86">
        <f t="shared" si="81"/>
        <v>264470.53838734515</v>
      </c>
      <c r="AF97" s="125">
        <f>SUM(T97:AE97)</f>
        <v>2881418.2225087262</v>
      </c>
    </row>
    <row r="98" spans="1:32" s="71" customFormat="1" ht="16" x14ac:dyDescent="0.2">
      <c r="E98" s="95" t="s">
        <v>93</v>
      </c>
      <c r="F98" s="85"/>
      <c r="G98" s="86"/>
      <c r="H98" s="86"/>
      <c r="I98" s="86"/>
      <c r="J98" s="86"/>
      <c r="K98" s="86"/>
      <c r="L98" s="86"/>
      <c r="M98" s="86"/>
      <c r="N98" s="86"/>
      <c r="O98" s="86"/>
      <c r="P98" s="87"/>
      <c r="Q98" s="87"/>
      <c r="R98" s="87"/>
      <c r="S98" s="118"/>
      <c r="T98" s="86">
        <f>T135</f>
        <v>70466.745267231963</v>
      </c>
      <c r="U98" s="86">
        <f t="shared" ref="U98:AE98" si="82">U135</f>
        <v>65622.892270992103</v>
      </c>
      <c r="V98" s="86">
        <f t="shared" si="82"/>
        <v>71319.572427855208</v>
      </c>
      <c r="W98" s="86">
        <f t="shared" si="82"/>
        <v>74424.433871750109</v>
      </c>
      <c r="X98" s="86">
        <f t="shared" si="82"/>
        <v>74872.676528012365</v>
      </c>
      <c r="Y98" s="86">
        <f t="shared" si="82"/>
        <v>75321.007035213421</v>
      </c>
      <c r="Z98" s="86">
        <f t="shared" si="82"/>
        <v>78649.684435365838</v>
      </c>
      <c r="AA98" s="86">
        <f t="shared" si="82"/>
        <v>79120.863487435898</v>
      </c>
      <c r="AB98" s="86">
        <f t="shared" si="82"/>
        <v>79592.124147779919</v>
      </c>
      <c r="AC98" s="86">
        <f t="shared" si="82"/>
        <v>83159.178267658979</v>
      </c>
      <c r="AD98" s="86">
        <f t="shared" si="82"/>
        <v>83654.40954196114</v>
      </c>
      <c r="AE98" s="86">
        <f t="shared" si="82"/>
        <v>84149.716759609815</v>
      </c>
      <c r="AF98" s="125">
        <f>SUM(T98:AE98)</f>
        <v>920353.30404086667</v>
      </c>
    </row>
    <row r="99" spans="1:32" s="71" customFormat="1" ht="16" x14ac:dyDescent="0.2">
      <c r="E99" s="94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119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126"/>
    </row>
    <row r="100" spans="1:32" s="71" customFormat="1" ht="16" x14ac:dyDescent="0.2">
      <c r="E100" s="151" t="s">
        <v>94</v>
      </c>
      <c r="F100" s="152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4"/>
      <c r="T100" s="158">
        <f t="shared" ref="T100:AE100" si="83">T86</f>
        <v>133154.69397899022</v>
      </c>
      <c r="U100" s="158">
        <f t="shared" si="83"/>
        <v>123868.97229606466</v>
      </c>
      <c r="V100" s="158">
        <f t="shared" si="83"/>
        <v>134480.05323649582</v>
      </c>
      <c r="W100" s="158">
        <f t="shared" si="83"/>
        <v>140188.88177455234</v>
      </c>
      <c r="X100" s="158">
        <f t="shared" si="83"/>
        <v>140888.98503242555</v>
      </c>
      <c r="Y100" s="158">
        <f t="shared" si="83"/>
        <v>141589.82955145562</v>
      </c>
      <c r="Z100" s="158">
        <f t="shared" si="83"/>
        <v>147700.39163649408</v>
      </c>
      <c r="AA100" s="158">
        <f t="shared" si="83"/>
        <v>148439.92357408456</v>
      </c>
      <c r="AB100" s="158">
        <f t="shared" si="83"/>
        <v>149180.14409758305</v>
      </c>
      <c r="AC100" s="158">
        <f t="shared" si="83"/>
        <v>155717.84589900103</v>
      </c>
      <c r="AD100" s="158">
        <f t="shared" si="83"/>
        <v>156498.51643318901</v>
      </c>
      <c r="AE100" s="158">
        <f t="shared" si="83"/>
        <v>157279.82775308023</v>
      </c>
      <c r="AF100" s="159">
        <f>SUM(T100:AE100)</f>
        <v>1728988.0652634162</v>
      </c>
    </row>
    <row r="101" spans="1:32" s="71" customFormat="1" ht="16" x14ac:dyDescent="0.2">
      <c r="E101" s="93" t="s">
        <v>89</v>
      </c>
      <c r="F101" s="89"/>
      <c r="G101" s="89"/>
      <c r="H101" s="89"/>
      <c r="I101" s="89"/>
      <c r="J101" s="90"/>
      <c r="K101" s="90"/>
      <c r="L101" s="90"/>
      <c r="M101" s="90"/>
      <c r="N101" s="90"/>
      <c r="O101" s="90"/>
      <c r="P101" s="89"/>
      <c r="Q101" s="89"/>
      <c r="R101" s="89"/>
      <c r="S101" s="120"/>
      <c r="T101" s="90">
        <f>T103/T$100</f>
        <v>0.32989690721649495</v>
      </c>
      <c r="U101" s="90">
        <f t="shared" ref="U101:AF102" si="84">U103/U$100</f>
        <v>0.33002481389578175</v>
      </c>
      <c r="V101" s="90">
        <f t="shared" si="84"/>
        <v>0.33015090853095169</v>
      </c>
      <c r="W101" s="90">
        <f t="shared" si="84"/>
        <v>0.33027522935779818</v>
      </c>
      <c r="X101" s="90">
        <f t="shared" si="84"/>
        <v>0.33039781354388087</v>
      </c>
      <c r="Y101" s="90">
        <f t="shared" si="84"/>
        <v>0.33051869722557287</v>
      </c>
      <c r="Z101" s="90">
        <f t="shared" si="84"/>
        <v>0.33063791554357591</v>
      </c>
      <c r="AA101" s="90">
        <f t="shared" si="84"/>
        <v>0.3307555026769779</v>
      </c>
      <c r="AB101" s="90">
        <f t="shared" si="84"/>
        <v>0.3308714918759233</v>
      </c>
      <c r="AC101" s="90">
        <f t="shared" si="84"/>
        <v>0.33098591549295769</v>
      </c>
      <c r="AD101" s="90">
        <f t="shared" si="84"/>
        <v>0.33109880501311578</v>
      </c>
      <c r="AE101" s="90">
        <f t="shared" si="84"/>
        <v>0.33121019108280253</v>
      </c>
      <c r="AF101" s="166">
        <f t="shared" si="84"/>
        <v>0.33059567532068018</v>
      </c>
    </row>
    <row r="102" spans="1:32" s="71" customFormat="1" ht="16" x14ac:dyDescent="0.2">
      <c r="E102" s="93" t="s">
        <v>90</v>
      </c>
      <c r="F102" s="89"/>
      <c r="G102" s="91"/>
      <c r="H102" s="91"/>
      <c r="I102" s="91"/>
      <c r="J102" s="99"/>
      <c r="K102" s="99"/>
      <c r="L102" s="99"/>
      <c r="M102" s="99"/>
      <c r="N102" s="99"/>
      <c r="O102" s="99"/>
      <c r="P102" s="91"/>
      <c r="Q102" s="91"/>
      <c r="R102" s="91"/>
      <c r="S102" s="121"/>
      <c r="T102" s="99">
        <f t="shared" ref="T102:AE102" si="85">T104/T$100</f>
        <v>0.67010309278350533</v>
      </c>
      <c r="U102" s="99">
        <f t="shared" si="85"/>
        <v>0.66997518610421847</v>
      </c>
      <c r="V102" s="99">
        <f t="shared" si="85"/>
        <v>0.66984909146904836</v>
      </c>
      <c r="W102" s="99">
        <f t="shared" si="85"/>
        <v>0.66972477064220182</v>
      </c>
      <c r="X102" s="99">
        <f t="shared" si="85"/>
        <v>0.66960218645611891</v>
      </c>
      <c r="Y102" s="99">
        <f t="shared" si="85"/>
        <v>0.66948130277442686</v>
      </c>
      <c r="Z102" s="99">
        <f t="shared" si="85"/>
        <v>0.66936208445642409</v>
      </c>
      <c r="AA102" s="99">
        <f t="shared" si="85"/>
        <v>0.66924449732302183</v>
      </c>
      <c r="AB102" s="99">
        <f t="shared" si="85"/>
        <v>0.66912850812407687</v>
      </c>
      <c r="AC102" s="99">
        <f t="shared" si="85"/>
        <v>0.66901408450704203</v>
      </c>
      <c r="AD102" s="99">
        <f t="shared" si="85"/>
        <v>0.66890119498688438</v>
      </c>
      <c r="AE102" s="99">
        <f t="shared" si="85"/>
        <v>0.66878980891719741</v>
      </c>
      <c r="AF102" s="166">
        <f t="shared" si="84"/>
        <v>0.66940432467931987</v>
      </c>
    </row>
    <row r="103" spans="1:32" s="71" customFormat="1" ht="16" x14ac:dyDescent="0.2">
      <c r="E103" s="94" t="s">
        <v>92</v>
      </c>
      <c r="F103" s="88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122"/>
      <c r="T103" s="87">
        <f>T152</f>
        <v>43927.321725027716</v>
      </c>
      <c r="U103" s="87">
        <f t="shared" ref="U103:AE103" si="86">U152</f>
        <v>40879.834529470485</v>
      </c>
      <c r="V103" s="87">
        <f t="shared" si="86"/>
        <v>44398.711755319848</v>
      </c>
      <c r="W103" s="87">
        <f t="shared" si="86"/>
        <v>46300.915081503525</v>
      </c>
      <c r="X103" s="87">
        <f t="shared" si="86"/>
        <v>46549.412607129962</v>
      </c>
      <c r="Y103" s="87">
        <f t="shared" si="86"/>
        <v>46798.086003738033</v>
      </c>
      <c r="Z103" s="87">
        <f t="shared" si="86"/>
        <v>48835.34961566022</v>
      </c>
      <c r="AA103" s="87">
        <f t="shared" si="86"/>
        <v>49097.321539078519</v>
      </c>
      <c r="AB103" s="87">
        <f t="shared" si="86"/>
        <v>49359.456835832512</v>
      </c>
      <c r="AC103" s="87">
        <f t="shared" si="86"/>
        <v>51540.413783472162</v>
      </c>
      <c r="AD103" s="87">
        <f t="shared" si="86"/>
        <v>51816.471777354345</v>
      </c>
      <c r="AE103" s="87">
        <f t="shared" si="86"/>
        <v>52092.681803567975</v>
      </c>
      <c r="AF103" s="125">
        <f>SUM(T103:AE103)</f>
        <v>571595.97705715534</v>
      </c>
    </row>
    <row r="104" spans="1:32" s="71" customFormat="1" ht="16" x14ac:dyDescent="0.2">
      <c r="E104" s="94" t="s">
        <v>93</v>
      </c>
      <c r="F104" s="88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122"/>
      <c r="T104" s="87">
        <f>T165</f>
        <v>89227.372253962545</v>
      </c>
      <c r="U104" s="87">
        <f t="shared" ref="U104:AE104" si="87">U165</f>
        <v>82989.137766594198</v>
      </c>
      <c r="V104" s="87">
        <f t="shared" si="87"/>
        <v>90081.341481175987</v>
      </c>
      <c r="W104" s="87">
        <f t="shared" si="87"/>
        <v>93887.966693048817</v>
      </c>
      <c r="X104" s="87">
        <f t="shared" si="87"/>
        <v>94339.572425295555</v>
      </c>
      <c r="Y104" s="87">
        <f t="shared" si="87"/>
        <v>94791.74354771756</v>
      </c>
      <c r="Z104" s="87">
        <f t="shared" si="87"/>
        <v>98865.042020833862</v>
      </c>
      <c r="AA104" s="87">
        <f t="shared" si="87"/>
        <v>99342.602035005999</v>
      </c>
      <c r="AB104" s="87">
        <f t="shared" si="87"/>
        <v>99820.687261750558</v>
      </c>
      <c r="AC104" s="87">
        <f t="shared" si="87"/>
        <v>104177.43211552882</v>
      </c>
      <c r="AD104" s="87">
        <f t="shared" si="87"/>
        <v>104682.04465583469</v>
      </c>
      <c r="AE104" s="87">
        <f t="shared" si="87"/>
        <v>105187.14594951225</v>
      </c>
      <c r="AF104" s="125">
        <f>SUM(T104:AE104)</f>
        <v>1157392.0882062609</v>
      </c>
    </row>
    <row r="105" spans="1:32" s="71" customFormat="1" ht="16" x14ac:dyDescent="0.2"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123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129"/>
    </row>
    <row r="106" spans="1:32" s="71" customFormat="1" x14ac:dyDescent="0.2"/>
    <row r="107" spans="1:32" s="71" customFormat="1" x14ac:dyDescent="0.2"/>
    <row r="108" spans="1:32" s="71" customFormat="1" ht="16" x14ac:dyDescent="0.2">
      <c r="E108" s="181" t="s">
        <v>97</v>
      </c>
    </row>
    <row r="109" spans="1:32" ht="16" x14ac:dyDescent="0.2">
      <c r="E109" s="2"/>
      <c r="F109" s="2"/>
      <c r="H109" s="6"/>
      <c r="M109" s="5"/>
    </row>
    <row r="110" spans="1:32" ht="26.5" customHeight="1" x14ac:dyDescent="0.2">
      <c r="E110" s="160" t="s">
        <v>98</v>
      </c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3"/>
      <c r="Q110" s="333"/>
      <c r="R110" s="333"/>
      <c r="S110" s="334"/>
      <c r="T110" s="9">
        <f>T$7</f>
        <v>46023</v>
      </c>
      <c r="U110" s="9">
        <f t="shared" ref="U110:AF110" si="88">U$7</f>
        <v>46054</v>
      </c>
      <c r="V110" s="9">
        <f t="shared" si="88"/>
        <v>46082</v>
      </c>
      <c r="W110" s="9">
        <f t="shared" si="88"/>
        <v>46113</v>
      </c>
      <c r="X110" s="9">
        <f t="shared" si="88"/>
        <v>46143</v>
      </c>
      <c r="Y110" s="9">
        <f t="shared" si="88"/>
        <v>46174</v>
      </c>
      <c r="Z110" s="9">
        <f t="shared" si="88"/>
        <v>46204</v>
      </c>
      <c r="AA110" s="9">
        <f t="shared" si="88"/>
        <v>46235</v>
      </c>
      <c r="AB110" s="9">
        <f t="shared" si="88"/>
        <v>46266</v>
      </c>
      <c r="AC110" s="9">
        <f t="shared" si="88"/>
        <v>46296</v>
      </c>
      <c r="AD110" s="9">
        <f t="shared" si="88"/>
        <v>46327</v>
      </c>
      <c r="AE110" s="9">
        <f t="shared" si="88"/>
        <v>46357</v>
      </c>
      <c r="AF110" s="41" t="str">
        <f t="shared" si="88"/>
        <v>FY26</v>
      </c>
    </row>
    <row r="111" spans="1:32" ht="16" x14ac:dyDescent="0.2">
      <c r="A111" s="21" t="s">
        <v>13</v>
      </c>
      <c r="E111" s="10" t="s">
        <v>99</v>
      </c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  <c r="AD111" s="229"/>
      <c r="AE111" s="229"/>
      <c r="AF111" s="307"/>
    </row>
    <row r="112" spans="1:32" ht="16" x14ac:dyDescent="0.2">
      <c r="A112" s="21" t="s">
        <v>13</v>
      </c>
      <c r="E112" s="232" t="s">
        <v>63</v>
      </c>
      <c r="F112" s="233" t="s">
        <v>64</v>
      </c>
      <c r="G112" s="109"/>
      <c r="H112" s="109"/>
      <c r="I112" s="109"/>
      <c r="J112" s="109"/>
      <c r="K112" s="109"/>
      <c r="L112" s="109"/>
      <c r="M112" s="109"/>
      <c r="N112" s="109"/>
      <c r="O112" s="109"/>
      <c r="P112" s="336"/>
      <c r="Q112" s="336"/>
      <c r="R112" s="336"/>
      <c r="S112" s="336"/>
      <c r="T112" s="336">
        <f t="shared" ref="T112:AE112" si="89">T69</f>
        <v>156268.5739221171</v>
      </c>
      <c r="U112" s="336">
        <f t="shared" si="89"/>
        <v>144333.89891998388</v>
      </c>
      <c r="V112" s="336">
        <f t="shared" si="89"/>
        <v>155588.11740484409</v>
      </c>
      <c r="W112" s="336">
        <f t="shared" si="89"/>
        <v>161052.19977274007</v>
      </c>
      <c r="X112" s="336">
        <f t="shared" si="89"/>
        <v>160726.00571286317</v>
      </c>
      <c r="Y112" s="336">
        <f t="shared" si="89"/>
        <v>160405.17642565508</v>
      </c>
      <c r="Z112" s="336">
        <f t="shared" si="89"/>
        <v>166175.14638339391</v>
      </c>
      <c r="AA112" s="336">
        <f t="shared" si="89"/>
        <v>165864.65708391584</v>
      </c>
      <c r="AB112" s="336">
        <f t="shared" si="89"/>
        <v>165559.15132496032</v>
      </c>
      <c r="AC112" s="336">
        <f t="shared" si="89"/>
        <v>171648.35410649749</v>
      </c>
      <c r="AD112" s="336">
        <f t="shared" si="89"/>
        <v>171352.46210554687</v>
      </c>
      <c r="AE112" s="336">
        <f t="shared" si="89"/>
        <v>171061.20769586787</v>
      </c>
      <c r="AF112" s="337">
        <f>SUM(T112:AE112)</f>
        <v>1950034.9508583858</v>
      </c>
    </row>
    <row r="113" spans="1:38" ht="16" x14ac:dyDescent="0.2">
      <c r="A113" s="21" t="s">
        <v>13</v>
      </c>
      <c r="E113" s="232" t="s">
        <v>65</v>
      </c>
      <c r="F113" s="233" t="s">
        <v>66</v>
      </c>
      <c r="G113" s="110"/>
      <c r="H113" s="110"/>
      <c r="I113" s="110"/>
      <c r="J113" s="110"/>
      <c r="K113" s="110"/>
      <c r="L113" s="110"/>
      <c r="M113" s="110"/>
      <c r="N113" s="110"/>
      <c r="O113" s="110"/>
      <c r="P113" s="237"/>
      <c r="Q113" s="237"/>
      <c r="R113" s="237"/>
      <c r="S113" s="338"/>
      <c r="T113" s="244">
        <v>1</v>
      </c>
      <c r="U113" s="244">
        <v>1</v>
      </c>
      <c r="V113" s="244">
        <v>1</v>
      </c>
      <c r="W113" s="244">
        <v>1</v>
      </c>
      <c r="X113" s="244">
        <v>1</v>
      </c>
      <c r="Y113" s="244">
        <v>1</v>
      </c>
      <c r="Z113" s="244">
        <v>1</v>
      </c>
      <c r="AA113" s="244">
        <v>1</v>
      </c>
      <c r="AB113" s="244">
        <v>1</v>
      </c>
      <c r="AC113" s="244">
        <v>1</v>
      </c>
      <c r="AD113" s="244">
        <v>1</v>
      </c>
      <c r="AE113" s="244">
        <v>1</v>
      </c>
      <c r="AF113" s="284">
        <v>1</v>
      </c>
    </row>
    <row r="114" spans="1:38" ht="16" x14ac:dyDescent="0.2">
      <c r="A114" s="21" t="s">
        <v>13</v>
      </c>
      <c r="E114" s="232" t="s">
        <v>67</v>
      </c>
      <c r="F114" s="233" t="s">
        <v>66</v>
      </c>
      <c r="G114" s="110"/>
      <c r="H114" s="110"/>
      <c r="I114" s="110"/>
      <c r="J114" s="110"/>
      <c r="K114" s="110"/>
      <c r="L114" s="110"/>
      <c r="M114" s="110"/>
      <c r="N114" s="110"/>
      <c r="O114" s="110"/>
      <c r="P114" s="237"/>
      <c r="Q114" s="237"/>
      <c r="R114" s="237"/>
      <c r="S114" s="338"/>
      <c r="T114" s="244">
        <v>1</v>
      </c>
      <c r="U114" s="244">
        <v>1</v>
      </c>
      <c r="V114" s="244">
        <v>1</v>
      </c>
      <c r="W114" s="244">
        <v>1</v>
      </c>
      <c r="X114" s="244">
        <v>1</v>
      </c>
      <c r="Y114" s="244">
        <v>1</v>
      </c>
      <c r="Z114" s="244">
        <v>1</v>
      </c>
      <c r="AA114" s="244">
        <v>1</v>
      </c>
      <c r="AB114" s="244">
        <v>1</v>
      </c>
      <c r="AC114" s="244">
        <v>1</v>
      </c>
      <c r="AD114" s="244">
        <v>1</v>
      </c>
      <c r="AE114" s="244">
        <v>1</v>
      </c>
      <c r="AF114" s="284">
        <v>1</v>
      </c>
    </row>
    <row r="115" spans="1:38" ht="16" x14ac:dyDescent="0.2">
      <c r="A115" s="21" t="s">
        <v>13</v>
      </c>
      <c r="E115" s="232" t="s">
        <v>68</v>
      </c>
      <c r="F115" s="233" t="s">
        <v>66</v>
      </c>
      <c r="G115" s="110"/>
      <c r="H115" s="110"/>
      <c r="I115" s="110"/>
      <c r="J115" s="110"/>
      <c r="K115" s="110"/>
      <c r="L115" s="110"/>
      <c r="M115" s="110"/>
      <c r="N115" s="110"/>
      <c r="O115" s="110"/>
      <c r="P115" s="339"/>
      <c r="Q115" s="339"/>
      <c r="R115" s="339"/>
      <c r="S115" s="338"/>
      <c r="T115" s="244">
        <v>0.5</v>
      </c>
      <c r="U115" s="244">
        <v>0.50454545454545452</v>
      </c>
      <c r="V115" s="244">
        <v>0.50909090909090904</v>
      </c>
      <c r="W115" s="244">
        <v>0.51363636363636356</v>
      </c>
      <c r="X115" s="244">
        <v>0.51818181818181808</v>
      </c>
      <c r="Y115" s="244">
        <v>0.5227272727272726</v>
      </c>
      <c r="Z115" s="244">
        <v>0.52727272727272712</v>
      </c>
      <c r="AA115" s="244">
        <v>0.53181818181818163</v>
      </c>
      <c r="AB115" s="244">
        <v>0.53636363636363615</v>
      </c>
      <c r="AC115" s="244">
        <v>0.54090909090909067</v>
      </c>
      <c r="AD115" s="244">
        <v>0.54545454545454519</v>
      </c>
      <c r="AE115" s="244">
        <v>0.54999999999999971</v>
      </c>
      <c r="AF115" s="284">
        <f>AF116/AF112</f>
        <v>0.52565503299018645</v>
      </c>
      <c r="AL115" s="4"/>
    </row>
    <row r="116" spans="1:38" ht="16" x14ac:dyDescent="0.2">
      <c r="A116" s="21" t="s">
        <v>13</v>
      </c>
      <c r="E116" s="232" t="s">
        <v>69</v>
      </c>
      <c r="F116" s="233" t="s">
        <v>64</v>
      </c>
      <c r="G116" s="111"/>
      <c r="H116" s="111"/>
      <c r="I116" s="111"/>
      <c r="J116" s="111"/>
      <c r="K116" s="111"/>
      <c r="L116" s="111"/>
      <c r="M116" s="111"/>
      <c r="N116" s="111"/>
      <c r="O116" s="111"/>
      <c r="P116" s="336"/>
      <c r="Q116" s="336"/>
      <c r="R116" s="336"/>
      <c r="S116" s="336"/>
      <c r="T116" s="336">
        <f>T112*T113*T114*T115</f>
        <v>78134.286961058548</v>
      </c>
      <c r="U116" s="336">
        <f t="shared" ref="U116:AE116" si="90">U112*U113*U114*U115</f>
        <v>72823.012636900952</v>
      </c>
      <c r="V116" s="336">
        <f t="shared" si="90"/>
        <v>79208.496133375171</v>
      </c>
      <c r="W116" s="336">
        <f t="shared" si="90"/>
        <v>82722.266246907384</v>
      </c>
      <c r="X116" s="336">
        <f t="shared" si="90"/>
        <v>83285.293869392714</v>
      </c>
      <c r="Y116" s="336">
        <f t="shared" si="90"/>
        <v>83848.160404319686</v>
      </c>
      <c r="Z116" s="336">
        <f t="shared" si="90"/>
        <v>87619.622638516754</v>
      </c>
      <c r="AA116" s="336">
        <f t="shared" si="90"/>
        <v>88209.840358264308</v>
      </c>
      <c r="AB116" s="336">
        <f t="shared" si="90"/>
        <v>88799.90843793322</v>
      </c>
      <c r="AC116" s="336">
        <f t="shared" si="90"/>
        <v>92846.155175787237</v>
      </c>
      <c r="AD116" s="336">
        <f t="shared" si="90"/>
        <v>93464.979330298243</v>
      </c>
      <c r="AE116" s="336">
        <f t="shared" si="90"/>
        <v>94083.664232727271</v>
      </c>
      <c r="AF116" s="272">
        <f>SUM(T116:AE116)</f>
        <v>1025045.6864254815</v>
      </c>
    </row>
    <row r="117" spans="1:38" ht="16" x14ac:dyDescent="0.2">
      <c r="A117" s="21" t="s">
        <v>13</v>
      </c>
      <c r="E117" s="232" t="s">
        <v>44</v>
      </c>
      <c r="F117" s="233" t="s">
        <v>66</v>
      </c>
      <c r="G117" s="110"/>
      <c r="H117" s="110"/>
      <c r="I117" s="110"/>
      <c r="J117" s="110"/>
      <c r="K117" s="110"/>
      <c r="L117" s="110"/>
      <c r="M117" s="110"/>
      <c r="N117" s="110"/>
      <c r="O117" s="110"/>
      <c r="P117" s="339"/>
      <c r="Q117" s="339"/>
      <c r="R117" s="339"/>
      <c r="S117" s="338"/>
      <c r="T117" s="238">
        <v>0.93700481213240661</v>
      </c>
      <c r="U117" s="238">
        <v>0.93700481213240661</v>
      </c>
      <c r="V117" s="238">
        <v>0.93700481213240661</v>
      </c>
      <c r="W117" s="238">
        <v>0.93700481213240661</v>
      </c>
      <c r="X117" s="238">
        <v>0.93700481213240661</v>
      </c>
      <c r="Y117" s="238">
        <v>0.93700481213240661</v>
      </c>
      <c r="Z117" s="238">
        <v>0.93700481213240661</v>
      </c>
      <c r="AA117" s="238">
        <v>0.93700481213240661</v>
      </c>
      <c r="AB117" s="238">
        <v>0.93700481213240661</v>
      </c>
      <c r="AC117" s="238">
        <v>0.93700481213240661</v>
      </c>
      <c r="AD117" s="238">
        <v>0.93700481213240661</v>
      </c>
      <c r="AE117" s="238">
        <v>0.93700481213240661</v>
      </c>
      <c r="AF117" s="284">
        <f>AF118/AF116</f>
        <v>0.93700481213240683</v>
      </c>
    </row>
    <row r="118" spans="1:38" ht="16" x14ac:dyDescent="0.2">
      <c r="A118" s="21" t="s">
        <v>13</v>
      </c>
      <c r="E118" s="232" t="s">
        <v>70</v>
      </c>
      <c r="F118" s="233" t="s">
        <v>64</v>
      </c>
      <c r="G118" s="111"/>
      <c r="H118" s="111"/>
      <c r="I118" s="111"/>
      <c r="J118" s="111"/>
      <c r="K118" s="111"/>
      <c r="L118" s="111"/>
      <c r="M118" s="111"/>
      <c r="N118" s="111"/>
      <c r="O118" s="111"/>
      <c r="P118" s="336"/>
      <c r="Q118" s="336"/>
      <c r="R118" s="336"/>
      <c r="S118" s="336"/>
      <c r="T118" s="239">
        <f>T116*T117</f>
        <v>73212.202875046205</v>
      </c>
      <c r="U118" s="239">
        <f t="shared" ref="U118:AE118" si="91">U116*U117</f>
        <v>68235.513274755256</v>
      </c>
      <c r="V118" s="239">
        <f t="shared" si="91"/>
        <v>74218.742038743658</v>
      </c>
      <c r="W118" s="239">
        <f t="shared" si="91"/>
        <v>77511.16154385038</v>
      </c>
      <c r="X118" s="239">
        <f t="shared" si="91"/>
        <v>78038.721135482599</v>
      </c>
      <c r="Y118" s="239">
        <f t="shared" si="91"/>
        <v>78566.129787297468</v>
      </c>
      <c r="Z118" s="239">
        <f t="shared" si="91"/>
        <v>82100.008049515745</v>
      </c>
      <c r="AA118" s="239">
        <f t="shared" si="91"/>
        <v>82653.044893125028</v>
      </c>
      <c r="AB118" s="239">
        <f t="shared" si="91"/>
        <v>83205.941523260524</v>
      </c>
      <c r="AC118" s="239">
        <f t="shared" si="91"/>
        <v>86997.294187704785</v>
      </c>
      <c r="AD118" s="239">
        <f t="shared" si="91"/>
        <v>87577.135398345374</v>
      </c>
      <c r="AE118" s="239">
        <f t="shared" si="91"/>
        <v>88156.846129115045</v>
      </c>
      <c r="AF118" s="272">
        <f>SUM(T118:AE118)</f>
        <v>960472.74083624221</v>
      </c>
    </row>
    <row r="119" spans="1:38" ht="16" x14ac:dyDescent="0.2">
      <c r="A119" s="21" t="s">
        <v>13</v>
      </c>
      <c r="E119" s="232" t="s">
        <v>71</v>
      </c>
      <c r="F119" s="233" t="s">
        <v>66</v>
      </c>
      <c r="G119" s="110"/>
      <c r="H119" s="110"/>
      <c r="I119" s="110"/>
      <c r="J119" s="110"/>
      <c r="K119" s="110"/>
      <c r="L119" s="110"/>
      <c r="M119" s="110"/>
      <c r="N119" s="110"/>
      <c r="O119" s="110"/>
      <c r="P119" s="339"/>
      <c r="Q119" s="339"/>
      <c r="R119" s="339"/>
      <c r="S119" s="338"/>
      <c r="T119" s="244">
        <v>1</v>
      </c>
      <c r="U119" s="244">
        <v>1</v>
      </c>
      <c r="V119" s="244">
        <v>1</v>
      </c>
      <c r="W119" s="244">
        <v>1</v>
      </c>
      <c r="X119" s="244">
        <v>1</v>
      </c>
      <c r="Y119" s="244">
        <v>1</v>
      </c>
      <c r="Z119" s="244">
        <v>1</v>
      </c>
      <c r="AA119" s="244">
        <v>1</v>
      </c>
      <c r="AB119" s="244">
        <v>1</v>
      </c>
      <c r="AC119" s="244">
        <v>1</v>
      </c>
      <c r="AD119" s="244">
        <v>1</v>
      </c>
      <c r="AE119" s="244">
        <v>1</v>
      </c>
      <c r="AF119" s="284">
        <v>1</v>
      </c>
    </row>
    <row r="120" spans="1:38" ht="16" x14ac:dyDescent="0.2">
      <c r="A120" s="21" t="s">
        <v>13</v>
      </c>
      <c r="E120" s="232" t="s">
        <v>72</v>
      </c>
      <c r="F120" s="233" t="s">
        <v>66</v>
      </c>
      <c r="G120" s="111"/>
      <c r="H120" s="111"/>
      <c r="I120" s="111"/>
      <c r="J120" s="111"/>
      <c r="K120" s="111"/>
      <c r="L120" s="111"/>
      <c r="M120" s="111"/>
      <c r="N120" s="111"/>
      <c r="O120" s="111"/>
      <c r="P120" s="340"/>
      <c r="Q120" s="340"/>
      <c r="R120" s="340"/>
      <c r="S120" s="336"/>
      <c r="T120" s="239">
        <f>T118*T119</f>
        <v>73212.202875046205</v>
      </c>
      <c r="U120" s="239">
        <f t="shared" ref="U120:AE120" si="92">U118*U119</f>
        <v>68235.513274755256</v>
      </c>
      <c r="V120" s="239">
        <f t="shared" si="92"/>
        <v>74218.742038743658</v>
      </c>
      <c r="W120" s="239">
        <f t="shared" si="92"/>
        <v>77511.16154385038</v>
      </c>
      <c r="X120" s="239">
        <f t="shared" si="92"/>
        <v>78038.721135482599</v>
      </c>
      <c r="Y120" s="239">
        <f t="shared" si="92"/>
        <v>78566.129787297468</v>
      </c>
      <c r="Z120" s="239">
        <f t="shared" si="92"/>
        <v>82100.008049515745</v>
      </c>
      <c r="AA120" s="239">
        <f t="shared" si="92"/>
        <v>82653.044893125028</v>
      </c>
      <c r="AB120" s="239">
        <f t="shared" si="92"/>
        <v>83205.941523260524</v>
      </c>
      <c r="AC120" s="239">
        <f t="shared" si="92"/>
        <v>86997.294187704785</v>
      </c>
      <c r="AD120" s="239">
        <f t="shared" si="92"/>
        <v>87577.135398345374</v>
      </c>
      <c r="AE120" s="239">
        <f t="shared" si="92"/>
        <v>88156.846129115045</v>
      </c>
      <c r="AF120" s="272">
        <f>SUM(T120:AE120)</f>
        <v>960472.74083624221</v>
      </c>
    </row>
    <row r="121" spans="1:38" ht="16" x14ac:dyDescent="0.2">
      <c r="A121" s="21" t="s">
        <v>13</v>
      </c>
      <c r="E121" s="232" t="s">
        <v>73</v>
      </c>
      <c r="F121" s="233" t="s">
        <v>64</v>
      </c>
      <c r="G121" s="112"/>
      <c r="H121" s="112"/>
      <c r="I121" s="112"/>
      <c r="J121" s="112"/>
      <c r="K121" s="112"/>
      <c r="L121" s="112"/>
      <c r="M121" s="112"/>
      <c r="N121" s="112"/>
      <c r="O121" s="112"/>
      <c r="P121" s="341"/>
      <c r="Q121" s="247"/>
      <c r="R121" s="341"/>
      <c r="S121" s="342"/>
      <c r="T121" s="248">
        <v>3</v>
      </c>
      <c r="U121" s="248">
        <v>3</v>
      </c>
      <c r="V121" s="248">
        <v>3</v>
      </c>
      <c r="W121" s="248">
        <v>3</v>
      </c>
      <c r="X121" s="248">
        <v>3</v>
      </c>
      <c r="Y121" s="248">
        <v>3</v>
      </c>
      <c r="Z121" s="248">
        <v>3</v>
      </c>
      <c r="AA121" s="248">
        <v>3</v>
      </c>
      <c r="AB121" s="248">
        <v>3</v>
      </c>
      <c r="AC121" s="248">
        <v>3</v>
      </c>
      <c r="AD121" s="248">
        <v>3</v>
      </c>
      <c r="AE121" s="248">
        <v>3</v>
      </c>
      <c r="AF121" s="291">
        <f>AF122/AF120</f>
        <v>2.9999999999999996</v>
      </c>
      <c r="AK121" s="6"/>
    </row>
    <row r="122" spans="1:38" ht="16" x14ac:dyDescent="0.2">
      <c r="A122" s="21" t="s">
        <v>13</v>
      </c>
      <c r="E122" s="232" t="s">
        <v>75</v>
      </c>
      <c r="F122" s="233" t="s">
        <v>74</v>
      </c>
      <c r="G122" s="109"/>
      <c r="H122" s="109"/>
      <c r="I122" s="109"/>
      <c r="J122" s="109"/>
      <c r="K122" s="109"/>
      <c r="L122" s="109"/>
      <c r="M122" s="109"/>
      <c r="N122" s="109"/>
      <c r="O122" s="109"/>
      <c r="P122" s="247"/>
      <c r="Q122" s="342"/>
      <c r="R122" s="233"/>
      <c r="S122" s="247"/>
      <c r="T122" s="234">
        <f>T120*T121</f>
        <v>219636.60862513862</v>
      </c>
      <c r="U122" s="234">
        <f t="shared" ref="U122:AE122" si="93">U120*U121</f>
        <v>204706.53982426575</v>
      </c>
      <c r="V122" s="234">
        <f t="shared" si="93"/>
        <v>222656.22611623097</v>
      </c>
      <c r="W122" s="234">
        <f t="shared" si="93"/>
        <v>232533.48463155114</v>
      </c>
      <c r="X122" s="234">
        <f t="shared" si="93"/>
        <v>234116.1634064478</v>
      </c>
      <c r="Y122" s="234">
        <f t="shared" si="93"/>
        <v>235698.38936189242</v>
      </c>
      <c r="Z122" s="234">
        <f t="shared" si="93"/>
        <v>246300.02414854724</v>
      </c>
      <c r="AA122" s="234">
        <f t="shared" si="93"/>
        <v>247959.1346793751</v>
      </c>
      <c r="AB122" s="234">
        <f t="shared" si="93"/>
        <v>249617.82456978157</v>
      </c>
      <c r="AC122" s="234">
        <f t="shared" si="93"/>
        <v>260991.88256311434</v>
      </c>
      <c r="AD122" s="234">
        <f t="shared" si="93"/>
        <v>262731.40619503614</v>
      </c>
      <c r="AE122" s="234">
        <f t="shared" si="93"/>
        <v>264470.53838734515</v>
      </c>
      <c r="AF122" s="343">
        <f>SUM(T122:AE122)</f>
        <v>2881418.2225087262</v>
      </c>
      <c r="AG122" s="5"/>
      <c r="AJ122" s="186"/>
      <c r="AK122" s="6"/>
    </row>
    <row r="123" spans="1:38" ht="16" x14ac:dyDescent="0.2">
      <c r="E123" s="344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345"/>
    </row>
    <row r="124" spans="1:38" ht="16" x14ac:dyDescent="0.2">
      <c r="A124" s="21" t="s">
        <v>13</v>
      </c>
      <c r="E124" s="11" t="s">
        <v>100</v>
      </c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345"/>
    </row>
    <row r="125" spans="1:38" ht="16" x14ac:dyDescent="0.2">
      <c r="A125" s="21" t="s">
        <v>13</v>
      </c>
      <c r="E125" s="232" t="s">
        <v>63</v>
      </c>
      <c r="F125" s="233" t="s">
        <v>64</v>
      </c>
      <c r="G125" s="233"/>
      <c r="H125" s="233"/>
      <c r="I125" s="233"/>
      <c r="J125" s="233"/>
      <c r="K125" s="233"/>
      <c r="L125" s="233"/>
      <c r="M125" s="233"/>
      <c r="N125" s="233"/>
      <c r="O125" s="247"/>
      <c r="P125" s="336"/>
      <c r="Q125" s="336"/>
      <c r="R125" s="336"/>
      <c r="S125" s="336"/>
      <c r="T125" s="336">
        <f t="shared" ref="T125:AE125" si="94">T70</f>
        <v>39067.143480529267</v>
      </c>
      <c r="U125" s="336">
        <f t="shared" si="94"/>
        <v>36083.474729995964</v>
      </c>
      <c r="V125" s="336">
        <f t="shared" si="94"/>
        <v>38897.029351211007</v>
      </c>
      <c r="W125" s="336">
        <f t="shared" si="94"/>
        <v>40263.049943185004</v>
      </c>
      <c r="X125" s="336">
        <f t="shared" si="94"/>
        <v>40181.501428215786</v>
      </c>
      <c r="Y125" s="336">
        <f t="shared" si="94"/>
        <v>40101.294106413756</v>
      </c>
      <c r="Z125" s="336">
        <f t="shared" si="94"/>
        <v>41543.786595848462</v>
      </c>
      <c r="AA125" s="336">
        <f t="shared" si="94"/>
        <v>41466.164270978945</v>
      </c>
      <c r="AB125" s="336">
        <f t="shared" si="94"/>
        <v>41389.787831240072</v>
      </c>
      <c r="AC125" s="336">
        <f t="shared" si="94"/>
        <v>42912.088526624364</v>
      </c>
      <c r="AD125" s="336">
        <f t="shared" si="94"/>
        <v>42838.115526386704</v>
      </c>
      <c r="AE125" s="336">
        <f t="shared" si="94"/>
        <v>42765.301923966959</v>
      </c>
      <c r="AF125" s="337">
        <f>SUM(T125:AE125)</f>
        <v>487508.73771459627</v>
      </c>
    </row>
    <row r="126" spans="1:38" ht="16" x14ac:dyDescent="0.2">
      <c r="A126" s="21" t="s">
        <v>13</v>
      </c>
      <c r="E126" s="232" t="s">
        <v>65</v>
      </c>
      <c r="F126" s="233" t="s">
        <v>66</v>
      </c>
      <c r="G126" s="233"/>
      <c r="H126" s="233"/>
      <c r="I126" s="233"/>
      <c r="J126" s="233"/>
      <c r="K126" s="233"/>
      <c r="L126" s="233"/>
      <c r="M126" s="255"/>
      <c r="N126" s="255"/>
      <c r="O126" s="255"/>
      <c r="P126" s="255"/>
      <c r="Q126" s="255"/>
      <c r="R126" s="255"/>
      <c r="S126" s="338"/>
      <c r="T126" s="244">
        <v>1</v>
      </c>
      <c r="U126" s="244">
        <v>1</v>
      </c>
      <c r="V126" s="244">
        <v>1</v>
      </c>
      <c r="W126" s="244">
        <v>1</v>
      </c>
      <c r="X126" s="244">
        <v>1</v>
      </c>
      <c r="Y126" s="244">
        <v>1</v>
      </c>
      <c r="Z126" s="244">
        <v>1</v>
      </c>
      <c r="AA126" s="244">
        <v>1</v>
      </c>
      <c r="AB126" s="244">
        <v>1</v>
      </c>
      <c r="AC126" s="244">
        <v>1</v>
      </c>
      <c r="AD126" s="244">
        <v>1</v>
      </c>
      <c r="AE126" s="244">
        <v>1</v>
      </c>
      <c r="AF126" s="284">
        <v>1</v>
      </c>
    </row>
    <row r="127" spans="1:38" ht="16" x14ac:dyDescent="0.2">
      <c r="A127" s="21" t="s">
        <v>13</v>
      </c>
      <c r="E127" s="232" t="s">
        <v>67</v>
      </c>
      <c r="F127" s="233" t="s">
        <v>66</v>
      </c>
      <c r="G127" s="233"/>
      <c r="H127" s="233"/>
      <c r="I127" s="233"/>
      <c r="J127" s="233"/>
      <c r="K127" s="233"/>
      <c r="L127" s="233"/>
      <c r="M127" s="255"/>
      <c r="N127" s="255"/>
      <c r="O127" s="255"/>
      <c r="P127" s="255"/>
      <c r="Q127" s="255"/>
      <c r="R127" s="255"/>
      <c r="S127" s="338"/>
      <c r="T127" s="244">
        <v>1</v>
      </c>
      <c r="U127" s="244">
        <v>1</v>
      </c>
      <c r="V127" s="244">
        <v>1</v>
      </c>
      <c r="W127" s="244">
        <v>1</v>
      </c>
      <c r="X127" s="244">
        <v>1</v>
      </c>
      <c r="Y127" s="244">
        <v>1</v>
      </c>
      <c r="Z127" s="244">
        <v>1</v>
      </c>
      <c r="AA127" s="244">
        <v>1</v>
      </c>
      <c r="AB127" s="244">
        <v>1</v>
      </c>
      <c r="AC127" s="244">
        <v>1</v>
      </c>
      <c r="AD127" s="244">
        <v>1</v>
      </c>
      <c r="AE127" s="244">
        <v>1</v>
      </c>
      <c r="AF127" s="284">
        <v>1</v>
      </c>
    </row>
    <row r="128" spans="1:38" ht="16" x14ac:dyDescent="0.2">
      <c r="A128" s="21" t="s">
        <v>13</v>
      </c>
      <c r="E128" s="232" t="s">
        <v>68</v>
      </c>
      <c r="F128" s="233" t="s">
        <v>66</v>
      </c>
      <c r="G128" s="233"/>
      <c r="H128" s="233"/>
      <c r="I128" s="233"/>
      <c r="J128" s="233"/>
      <c r="K128" s="233"/>
      <c r="L128" s="233"/>
      <c r="M128" s="346"/>
      <c r="N128" s="346"/>
      <c r="O128" s="255"/>
      <c r="P128" s="255"/>
      <c r="Q128" s="255"/>
      <c r="R128" s="255"/>
      <c r="S128" s="338"/>
      <c r="T128" s="244">
        <v>0.55000000000000004</v>
      </c>
      <c r="U128" s="244">
        <v>0.55454545454545456</v>
      </c>
      <c r="V128" s="244">
        <v>0.55909090909090908</v>
      </c>
      <c r="W128" s="244">
        <v>0.5636363636363636</v>
      </c>
      <c r="X128" s="244">
        <v>0.56818181818181812</v>
      </c>
      <c r="Y128" s="244">
        <v>0.57272727272727264</v>
      </c>
      <c r="Z128" s="244">
        <v>0.57727272727272716</v>
      </c>
      <c r="AA128" s="244">
        <v>0.58181818181818168</v>
      </c>
      <c r="AB128" s="244">
        <v>0.5863636363636362</v>
      </c>
      <c r="AC128" s="244">
        <v>0.59090909090909072</v>
      </c>
      <c r="AD128" s="244">
        <v>0.59545454545454524</v>
      </c>
      <c r="AE128" s="244">
        <v>0.59999999999999976</v>
      </c>
      <c r="AF128" s="284">
        <f>AF129/AF125</f>
        <v>0.5756550329901865</v>
      </c>
      <c r="AL128" s="4"/>
    </row>
    <row r="129" spans="1:33" ht="16" x14ac:dyDescent="0.2">
      <c r="A129" s="21" t="s">
        <v>13</v>
      </c>
      <c r="E129" s="232" t="s">
        <v>69</v>
      </c>
      <c r="F129" s="233" t="s">
        <v>64</v>
      </c>
      <c r="G129" s="233"/>
      <c r="H129" s="233"/>
      <c r="I129" s="233"/>
      <c r="J129" s="233"/>
      <c r="K129" s="233"/>
      <c r="L129" s="233"/>
      <c r="M129" s="247"/>
      <c r="N129" s="247"/>
      <c r="O129" s="247"/>
      <c r="P129" s="247"/>
      <c r="Q129" s="247"/>
      <c r="R129" s="247"/>
      <c r="S129" s="336"/>
      <c r="T129" s="336">
        <f>T125*T126*T127*T128</f>
        <v>21486.928914291097</v>
      </c>
      <c r="U129" s="336">
        <f t="shared" ref="U129:AE129" si="95">U125*U126*U127*U128</f>
        <v>20009.926895725035</v>
      </c>
      <c r="V129" s="336">
        <f t="shared" si="95"/>
        <v>21746.975500904337</v>
      </c>
      <c r="W129" s="336">
        <f t="shared" si="95"/>
        <v>22693.71905888609</v>
      </c>
      <c r="X129" s="336">
        <f t="shared" si="95"/>
        <v>22830.398538758967</v>
      </c>
      <c r="Y129" s="336">
        <f t="shared" si="95"/>
        <v>22967.104806400603</v>
      </c>
      <c r="Z129" s="336">
        <f t="shared" si="95"/>
        <v>23982.094989421606</v>
      </c>
      <c r="AA129" s="336">
        <f t="shared" si="95"/>
        <v>24125.768303115015</v>
      </c>
      <c r="AB129" s="336">
        <f t="shared" si="95"/>
        <v>24269.466501045306</v>
      </c>
      <c r="AC129" s="336">
        <f t="shared" si="95"/>
        <v>25357.143220278023</v>
      </c>
      <c r="AD129" s="336">
        <f t="shared" si="95"/>
        <v>25508.150608893891</v>
      </c>
      <c r="AE129" s="336">
        <f t="shared" si="95"/>
        <v>25659.181154380167</v>
      </c>
      <c r="AF129" s="272">
        <f>SUM(T129:AE129)</f>
        <v>280636.85849210009</v>
      </c>
    </row>
    <row r="130" spans="1:33" ht="16" x14ac:dyDescent="0.2">
      <c r="A130" s="21" t="s">
        <v>13</v>
      </c>
      <c r="E130" s="232" t="s">
        <v>44</v>
      </c>
      <c r="F130" s="233" t="s">
        <v>66</v>
      </c>
      <c r="G130" s="233"/>
      <c r="H130" s="233"/>
      <c r="I130" s="233"/>
      <c r="J130" s="233"/>
      <c r="K130" s="233"/>
      <c r="L130" s="233"/>
      <c r="M130" s="346"/>
      <c r="N130" s="346"/>
      <c r="O130" s="347"/>
      <c r="P130" s="348"/>
      <c r="Q130" s="348"/>
      <c r="R130" s="348"/>
      <c r="S130" s="338"/>
      <c r="T130" s="401">
        <v>0.93700481213240661</v>
      </c>
      <c r="U130" s="401">
        <v>0.93700481213240661</v>
      </c>
      <c r="V130" s="401">
        <v>0.93700481213240661</v>
      </c>
      <c r="W130" s="401">
        <v>0.93700481213240661</v>
      </c>
      <c r="X130" s="401">
        <v>0.93700481213240661</v>
      </c>
      <c r="Y130" s="401">
        <v>0.93700481213240661</v>
      </c>
      <c r="Z130" s="401">
        <v>0.93700481213240661</v>
      </c>
      <c r="AA130" s="401">
        <v>0.93700481213240661</v>
      </c>
      <c r="AB130" s="401">
        <v>0.93700481213240661</v>
      </c>
      <c r="AC130" s="401">
        <v>0.93700481213240661</v>
      </c>
      <c r="AD130" s="401">
        <v>0.93700481213240661</v>
      </c>
      <c r="AE130" s="401">
        <v>0.93700481213240661</v>
      </c>
      <c r="AF130" s="284">
        <f>AF131/AF129</f>
        <v>0.93700481213240683</v>
      </c>
    </row>
    <row r="131" spans="1:33" ht="16" x14ac:dyDescent="0.2">
      <c r="A131" s="21" t="s">
        <v>13</v>
      </c>
      <c r="E131" s="232" t="s">
        <v>70</v>
      </c>
      <c r="F131" s="233" t="s">
        <v>64</v>
      </c>
      <c r="G131" s="233"/>
      <c r="H131" s="233"/>
      <c r="I131" s="233"/>
      <c r="J131" s="233"/>
      <c r="K131" s="233"/>
      <c r="L131" s="233"/>
      <c r="M131" s="247"/>
      <c r="N131" s="247"/>
      <c r="O131" s="247"/>
      <c r="P131" s="247"/>
      <c r="Q131" s="247"/>
      <c r="R131" s="247"/>
      <c r="S131" s="336"/>
      <c r="T131" s="336">
        <f>T129*T130</f>
        <v>20133.355790637703</v>
      </c>
      <c r="U131" s="336">
        <f t="shared" ref="U131:AE131" si="96">U129*U130</f>
        <v>18749.397791712028</v>
      </c>
      <c r="V131" s="336">
        <f t="shared" si="96"/>
        <v>20377.020693672916</v>
      </c>
      <c r="W131" s="336">
        <f t="shared" si="96"/>
        <v>21264.123963357175</v>
      </c>
      <c r="X131" s="336">
        <f t="shared" si="96"/>
        <v>21392.193293717817</v>
      </c>
      <c r="Y131" s="336">
        <f t="shared" si="96"/>
        <v>21520.28772434669</v>
      </c>
      <c r="Z131" s="336">
        <f t="shared" si="96"/>
        <v>22471.338410104523</v>
      </c>
      <c r="AA131" s="336">
        <f t="shared" si="96"/>
        <v>22605.960996410256</v>
      </c>
      <c r="AB131" s="336">
        <f t="shared" si="96"/>
        <v>22740.606899365692</v>
      </c>
      <c r="AC131" s="336">
        <f t="shared" si="96"/>
        <v>23759.765219331137</v>
      </c>
      <c r="AD131" s="336">
        <f t="shared" si="96"/>
        <v>23901.259869131754</v>
      </c>
      <c r="AE131" s="336">
        <f t="shared" si="96"/>
        <v>24042.776217031376</v>
      </c>
      <c r="AF131" s="272">
        <f>SUM(T131:AE131)</f>
        <v>262958.08686881908</v>
      </c>
    </row>
    <row r="132" spans="1:33" ht="16" x14ac:dyDescent="0.2">
      <c r="A132" s="21" t="s">
        <v>13</v>
      </c>
      <c r="E132" s="232" t="s">
        <v>71</v>
      </c>
      <c r="F132" s="233" t="s">
        <v>66</v>
      </c>
      <c r="G132" s="233"/>
      <c r="H132" s="233"/>
      <c r="I132" s="233"/>
      <c r="J132" s="233"/>
      <c r="K132" s="233"/>
      <c r="L132" s="233"/>
      <c r="M132" s="255"/>
      <c r="N132" s="255"/>
      <c r="O132" s="255"/>
      <c r="P132" s="255"/>
      <c r="Q132" s="255"/>
      <c r="R132" s="255"/>
      <c r="S132" s="338"/>
      <c r="T132" s="244">
        <v>1</v>
      </c>
      <c r="U132" s="244">
        <v>1</v>
      </c>
      <c r="V132" s="244">
        <v>1</v>
      </c>
      <c r="W132" s="244">
        <v>1</v>
      </c>
      <c r="X132" s="244">
        <v>1</v>
      </c>
      <c r="Y132" s="244">
        <v>1</v>
      </c>
      <c r="Z132" s="244">
        <v>1</v>
      </c>
      <c r="AA132" s="244">
        <v>1</v>
      </c>
      <c r="AB132" s="244">
        <v>1</v>
      </c>
      <c r="AC132" s="244">
        <v>1</v>
      </c>
      <c r="AD132" s="244">
        <v>1</v>
      </c>
      <c r="AE132" s="244">
        <v>1</v>
      </c>
      <c r="AF132" s="284">
        <v>1</v>
      </c>
    </row>
    <row r="133" spans="1:33" ht="16" x14ac:dyDescent="0.2">
      <c r="A133" s="21" t="s">
        <v>13</v>
      </c>
      <c r="E133" s="232" t="s">
        <v>72</v>
      </c>
      <c r="F133" s="233" t="s">
        <v>66</v>
      </c>
      <c r="G133" s="233"/>
      <c r="H133" s="233"/>
      <c r="I133" s="233"/>
      <c r="J133" s="233"/>
      <c r="K133" s="233"/>
      <c r="L133" s="233"/>
      <c r="M133" s="247"/>
      <c r="N133" s="247"/>
      <c r="O133" s="247"/>
      <c r="P133" s="247"/>
      <c r="Q133" s="247"/>
      <c r="R133" s="247"/>
      <c r="S133" s="336"/>
      <c r="T133" s="239">
        <f>T131*T132</f>
        <v>20133.355790637703</v>
      </c>
      <c r="U133" s="239">
        <f t="shared" ref="U133:AE133" si="97">U131*U132</f>
        <v>18749.397791712028</v>
      </c>
      <c r="V133" s="239">
        <f t="shared" si="97"/>
        <v>20377.020693672916</v>
      </c>
      <c r="W133" s="239">
        <f t="shared" si="97"/>
        <v>21264.123963357175</v>
      </c>
      <c r="X133" s="239">
        <f t="shared" si="97"/>
        <v>21392.193293717817</v>
      </c>
      <c r="Y133" s="239">
        <f t="shared" si="97"/>
        <v>21520.28772434669</v>
      </c>
      <c r="Z133" s="239">
        <f t="shared" si="97"/>
        <v>22471.338410104523</v>
      </c>
      <c r="AA133" s="239">
        <f t="shared" si="97"/>
        <v>22605.960996410256</v>
      </c>
      <c r="AB133" s="239">
        <f t="shared" si="97"/>
        <v>22740.606899365692</v>
      </c>
      <c r="AC133" s="239">
        <f t="shared" si="97"/>
        <v>23759.765219331137</v>
      </c>
      <c r="AD133" s="239">
        <f t="shared" si="97"/>
        <v>23901.259869131754</v>
      </c>
      <c r="AE133" s="239">
        <f t="shared" si="97"/>
        <v>24042.776217031376</v>
      </c>
      <c r="AF133" s="272">
        <f>SUM(T133:AE133)</f>
        <v>262958.08686881908</v>
      </c>
    </row>
    <row r="134" spans="1:33" ht="16" x14ac:dyDescent="0.2">
      <c r="A134" s="21" t="s">
        <v>13</v>
      </c>
      <c r="E134" s="232" t="s">
        <v>73</v>
      </c>
      <c r="F134" s="233" t="s">
        <v>64</v>
      </c>
      <c r="G134" s="233"/>
      <c r="H134" s="233"/>
      <c r="I134" s="233"/>
      <c r="J134" s="233"/>
      <c r="K134" s="233"/>
      <c r="L134" s="233"/>
      <c r="M134" s="42"/>
      <c r="N134" s="42"/>
      <c r="O134" s="349"/>
      <c r="P134" s="349"/>
      <c r="Q134" s="349"/>
      <c r="R134" s="349"/>
      <c r="S134" s="349"/>
      <c r="T134" s="350">
        <v>3.5</v>
      </c>
      <c r="U134" s="248">
        <v>3.5</v>
      </c>
      <c r="V134" s="248">
        <v>3.5</v>
      </c>
      <c r="W134" s="248">
        <v>3.5</v>
      </c>
      <c r="X134" s="248">
        <v>3.5</v>
      </c>
      <c r="Y134" s="248">
        <v>3.5</v>
      </c>
      <c r="Z134" s="248">
        <v>3.5</v>
      </c>
      <c r="AA134" s="248">
        <v>3.5</v>
      </c>
      <c r="AB134" s="248">
        <v>3.5</v>
      </c>
      <c r="AC134" s="248">
        <v>3.5</v>
      </c>
      <c r="AD134" s="248">
        <v>3.5</v>
      </c>
      <c r="AE134" s="248">
        <v>3.5</v>
      </c>
      <c r="AF134" s="351">
        <f>AF135/AF133</f>
        <v>3.4999999999999996</v>
      </c>
    </row>
    <row r="135" spans="1:33" ht="16" x14ac:dyDescent="0.2">
      <c r="A135" s="21" t="s">
        <v>13</v>
      </c>
      <c r="E135" s="352" t="s">
        <v>75</v>
      </c>
      <c r="F135" s="353" t="s">
        <v>74</v>
      </c>
      <c r="G135" s="353"/>
      <c r="H135" s="353"/>
      <c r="I135" s="353"/>
      <c r="J135" s="353"/>
      <c r="K135" s="353"/>
      <c r="L135" s="353"/>
      <c r="M135" s="354"/>
      <c r="N135" s="355"/>
      <c r="O135" s="354"/>
      <c r="P135" s="354"/>
      <c r="Q135" s="354"/>
      <c r="R135" s="354"/>
      <c r="S135" s="354"/>
      <c r="T135" s="356">
        <f>T133*T134</f>
        <v>70466.745267231963</v>
      </c>
      <c r="U135" s="356">
        <f t="shared" ref="U135:AE135" si="98">U133*U134</f>
        <v>65622.892270992103</v>
      </c>
      <c r="V135" s="356">
        <f t="shared" si="98"/>
        <v>71319.572427855208</v>
      </c>
      <c r="W135" s="356">
        <f t="shared" si="98"/>
        <v>74424.433871750109</v>
      </c>
      <c r="X135" s="356">
        <f t="shared" si="98"/>
        <v>74872.676528012365</v>
      </c>
      <c r="Y135" s="356">
        <f t="shared" si="98"/>
        <v>75321.007035213421</v>
      </c>
      <c r="Z135" s="356">
        <f t="shared" si="98"/>
        <v>78649.684435365838</v>
      </c>
      <c r="AA135" s="356">
        <f t="shared" si="98"/>
        <v>79120.863487435898</v>
      </c>
      <c r="AB135" s="356">
        <f t="shared" si="98"/>
        <v>79592.124147779919</v>
      </c>
      <c r="AC135" s="356">
        <f t="shared" si="98"/>
        <v>83159.178267658979</v>
      </c>
      <c r="AD135" s="356">
        <f t="shared" si="98"/>
        <v>83654.40954196114</v>
      </c>
      <c r="AE135" s="356">
        <f t="shared" si="98"/>
        <v>84149.716759609815</v>
      </c>
      <c r="AF135" s="357">
        <f>SUM(T135:AE135)</f>
        <v>920353.30404086667</v>
      </c>
      <c r="AG135" s="5"/>
    </row>
    <row r="136" spans="1:33" ht="16" x14ac:dyDescent="0.2"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</row>
    <row r="137" spans="1:33" ht="16" x14ac:dyDescent="0.2"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</row>
    <row r="138" spans="1:33" ht="16" x14ac:dyDescent="0.2"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</row>
    <row r="139" spans="1:33" ht="16" x14ac:dyDescent="0.2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</row>
    <row r="140" spans="1:33" ht="31" customHeight="1" x14ac:dyDescent="0.2">
      <c r="E140" s="160" t="s">
        <v>101</v>
      </c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3"/>
      <c r="Q140" s="333"/>
      <c r="R140" s="333"/>
      <c r="S140" s="334"/>
      <c r="T140" s="9">
        <f>T$7</f>
        <v>46023</v>
      </c>
      <c r="U140" s="9">
        <f t="shared" ref="U140:AF140" si="99">U$7</f>
        <v>46054</v>
      </c>
      <c r="V140" s="9">
        <f t="shared" si="99"/>
        <v>46082</v>
      </c>
      <c r="W140" s="9">
        <f t="shared" si="99"/>
        <v>46113</v>
      </c>
      <c r="X140" s="9">
        <f t="shared" si="99"/>
        <v>46143</v>
      </c>
      <c r="Y140" s="9">
        <f t="shared" si="99"/>
        <v>46174</v>
      </c>
      <c r="Z140" s="9">
        <f t="shared" si="99"/>
        <v>46204</v>
      </c>
      <c r="AA140" s="9">
        <f t="shared" si="99"/>
        <v>46235</v>
      </c>
      <c r="AB140" s="9">
        <f t="shared" si="99"/>
        <v>46266</v>
      </c>
      <c r="AC140" s="9">
        <f t="shared" si="99"/>
        <v>46296</v>
      </c>
      <c r="AD140" s="9">
        <f t="shared" si="99"/>
        <v>46327</v>
      </c>
      <c r="AE140" s="9">
        <f t="shared" si="99"/>
        <v>46357</v>
      </c>
      <c r="AF140" s="41" t="str">
        <f t="shared" si="99"/>
        <v>FY26</v>
      </c>
    </row>
    <row r="141" spans="1:33" ht="16" x14ac:dyDescent="0.2">
      <c r="A141" s="21" t="s">
        <v>13</v>
      </c>
      <c r="E141" s="10" t="s">
        <v>99</v>
      </c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307"/>
    </row>
    <row r="142" spans="1:33" ht="16" x14ac:dyDescent="0.2">
      <c r="A142" s="21" t="s">
        <v>13</v>
      </c>
      <c r="E142" s="232" t="s">
        <v>63</v>
      </c>
      <c r="F142" s="233" t="s">
        <v>64</v>
      </c>
      <c r="G142" s="247"/>
      <c r="H142" s="247"/>
      <c r="I142" s="247"/>
      <c r="J142" s="111"/>
      <c r="K142" s="111"/>
      <c r="L142" s="111"/>
      <c r="M142" s="111"/>
      <c r="N142" s="111"/>
      <c r="O142" s="111"/>
      <c r="P142" s="336"/>
      <c r="Q142" s="336"/>
      <c r="R142" s="336"/>
      <c r="S142" s="336"/>
      <c r="T142" s="336">
        <f t="shared" ref="T142:AE142" si="100">T75</f>
        <v>19533.571740264633</v>
      </c>
      <c r="U142" s="336">
        <f t="shared" si="100"/>
        <v>18041.737364997982</v>
      </c>
      <c r="V142" s="336">
        <f t="shared" si="100"/>
        <v>19448.514675605504</v>
      </c>
      <c r="W142" s="336">
        <f t="shared" si="100"/>
        <v>20131.524971592502</v>
      </c>
      <c r="X142" s="336">
        <f t="shared" si="100"/>
        <v>20090.750714107893</v>
      </c>
      <c r="Y142" s="336">
        <f t="shared" si="100"/>
        <v>20050.647053206878</v>
      </c>
      <c r="Z142" s="336">
        <f t="shared" si="100"/>
        <v>20771.893297924231</v>
      </c>
      <c r="AA142" s="336">
        <f t="shared" si="100"/>
        <v>20733.082135489472</v>
      </c>
      <c r="AB142" s="336">
        <f t="shared" si="100"/>
        <v>20694.893915620036</v>
      </c>
      <c r="AC142" s="336">
        <f t="shared" si="100"/>
        <v>21456.044263312182</v>
      </c>
      <c r="AD142" s="336">
        <f t="shared" si="100"/>
        <v>21419.057763193356</v>
      </c>
      <c r="AE142" s="336">
        <f t="shared" si="100"/>
        <v>21382.65096198348</v>
      </c>
      <c r="AF142" s="337">
        <f>SUM(T142:AE142)</f>
        <v>243754.36885729813</v>
      </c>
    </row>
    <row r="143" spans="1:33" ht="16" x14ac:dyDescent="0.2">
      <c r="A143" s="21" t="s">
        <v>13</v>
      </c>
      <c r="E143" s="232" t="s">
        <v>65</v>
      </c>
      <c r="F143" s="233" t="s">
        <v>66</v>
      </c>
      <c r="G143" s="247"/>
      <c r="H143" s="247"/>
      <c r="I143" s="247"/>
      <c r="J143" s="113"/>
      <c r="K143" s="113"/>
      <c r="L143" s="113"/>
      <c r="M143" s="113"/>
      <c r="N143" s="113"/>
      <c r="O143" s="113"/>
      <c r="P143" s="358"/>
      <c r="Q143" s="358"/>
      <c r="R143" s="358"/>
      <c r="S143" s="338"/>
      <c r="T143" s="244">
        <v>1</v>
      </c>
      <c r="U143" s="244">
        <v>1</v>
      </c>
      <c r="V143" s="244">
        <v>1</v>
      </c>
      <c r="W143" s="244">
        <v>1</v>
      </c>
      <c r="X143" s="244">
        <v>1</v>
      </c>
      <c r="Y143" s="244">
        <v>1</v>
      </c>
      <c r="Z143" s="244">
        <v>1</v>
      </c>
      <c r="AA143" s="244">
        <v>1</v>
      </c>
      <c r="AB143" s="244">
        <v>1</v>
      </c>
      <c r="AC143" s="244">
        <v>1</v>
      </c>
      <c r="AD143" s="244">
        <v>1</v>
      </c>
      <c r="AE143" s="244">
        <v>1</v>
      </c>
      <c r="AF143" s="284">
        <v>1</v>
      </c>
    </row>
    <row r="144" spans="1:33" ht="16" x14ac:dyDescent="0.2">
      <c r="A144" s="21" t="s">
        <v>13</v>
      </c>
      <c r="E144" s="232" t="s">
        <v>67</v>
      </c>
      <c r="F144" s="233" t="s">
        <v>66</v>
      </c>
      <c r="G144" s="247"/>
      <c r="H144" s="247"/>
      <c r="I144" s="247"/>
      <c r="J144" s="113"/>
      <c r="K144" s="113"/>
      <c r="L144" s="113"/>
      <c r="M144" s="113"/>
      <c r="N144" s="113"/>
      <c r="O144" s="113"/>
      <c r="P144" s="358"/>
      <c r="Q144" s="358"/>
      <c r="R144" s="358"/>
      <c r="S144" s="338"/>
      <c r="T144" s="244">
        <v>1</v>
      </c>
      <c r="U144" s="244">
        <v>1</v>
      </c>
      <c r="V144" s="244">
        <v>1</v>
      </c>
      <c r="W144" s="244">
        <v>1</v>
      </c>
      <c r="X144" s="244">
        <v>1</v>
      </c>
      <c r="Y144" s="244">
        <v>1</v>
      </c>
      <c r="Z144" s="244">
        <v>1</v>
      </c>
      <c r="AA144" s="244">
        <v>1</v>
      </c>
      <c r="AB144" s="244">
        <v>1</v>
      </c>
      <c r="AC144" s="244">
        <v>1</v>
      </c>
      <c r="AD144" s="244">
        <v>1</v>
      </c>
      <c r="AE144" s="244">
        <v>1</v>
      </c>
      <c r="AF144" s="284">
        <v>1</v>
      </c>
    </row>
    <row r="145" spans="1:38" ht="16" x14ac:dyDescent="0.2">
      <c r="A145" s="21" t="s">
        <v>13</v>
      </c>
      <c r="E145" s="232" t="s">
        <v>68</v>
      </c>
      <c r="F145" s="233" t="s">
        <v>66</v>
      </c>
      <c r="G145" s="247"/>
      <c r="H145" s="247"/>
      <c r="I145" s="247"/>
      <c r="J145" s="113"/>
      <c r="K145" s="113"/>
      <c r="L145" s="113"/>
      <c r="M145" s="113"/>
      <c r="N145" s="113"/>
      <c r="O145" s="110"/>
      <c r="P145" s="255"/>
      <c r="Q145" s="255"/>
      <c r="R145" s="255"/>
      <c r="S145" s="338"/>
      <c r="T145" s="244">
        <v>0.6</v>
      </c>
      <c r="U145" s="244">
        <v>0.6045454545454545</v>
      </c>
      <c r="V145" s="244">
        <v>0.60909090909090902</v>
      </c>
      <c r="W145" s="244">
        <v>0.61363636363636354</v>
      </c>
      <c r="X145" s="244">
        <v>0.61818181818181805</v>
      </c>
      <c r="Y145" s="244">
        <v>0.62272727272727257</v>
      </c>
      <c r="Z145" s="244">
        <v>0.62727272727272709</v>
      </c>
      <c r="AA145" s="244">
        <v>0.63181818181818161</v>
      </c>
      <c r="AB145" s="244">
        <v>0.63636363636363613</v>
      </c>
      <c r="AC145" s="244">
        <v>0.64090909090909065</v>
      </c>
      <c r="AD145" s="244">
        <v>0.64545454545454517</v>
      </c>
      <c r="AE145" s="244">
        <v>0.64999999999999969</v>
      </c>
      <c r="AF145" s="284">
        <f>AF146/AF142</f>
        <v>0.62565503299018654</v>
      </c>
      <c r="AL145" s="184"/>
    </row>
    <row r="146" spans="1:38" ht="16" x14ac:dyDescent="0.2">
      <c r="A146" s="21" t="s">
        <v>13</v>
      </c>
      <c r="E146" s="232" t="s">
        <v>69</v>
      </c>
      <c r="F146" s="233" t="s">
        <v>64</v>
      </c>
      <c r="G146" s="247"/>
      <c r="H146" s="247"/>
      <c r="I146" s="247"/>
      <c r="J146" s="111"/>
      <c r="K146" s="111"/>
      <c r="L146" s="111"/>
      <c r="M146" s="111"/>
      <c r="N146" s="111"/>
      <c r="O146" s="111"/>
      <c r="P146" s="247"/>
      <c r="Q146" s="247"/>
      <c r="R146" s="247"/>
      <c r="S146" s="336"/>
      <c r="T146" s="336">
        <f>T142*T143*T144*T145</f>
        <v>11720.14304415878</v>
      </c>
      <c r="U146" s="336">
        <f t="shared" ref="U146:AE146" si="101">U142*U143*U144*U145</f>
        <v>10907.050316112416</v>
      </c>
      <c r="V146" s="336">
        <f t="shared" si="101"/>
        <v>11845.913484232442</v>
      </c>
      <c r="W146" s="336">
        <f t="shared" si="101"/>
        <v>12353.435778022669</v>
      </c>
      <c r="X146" s="336">
        <f t="shared" si="101"/>
        <v>12419.736805084876</v>
      </c>
      <c r="Y146" s="336">
        <f t="shared" si="101"/>
        <v>12486.084755860644</v>
      </c>
      <c r="Z146" s="336">
        <f t="shared" si="101"/>
        <v>13029.642159607014</v>
      </c>
      <c r="AA146" s="336">
        <f t="shared" si="101"/>
        <v>13099.538258331981</v>
      </c>
      <c r="AB146" s="336">
        <f t="shared" si="101"/>
        <v>13169.477946303654</v>
      </c>
      <c r="AC146" s="336">
        <f t="shared" si="101"/>
        <v>13751.373823304621</v>
      </c>
      <c r="AD146" s="336">
        <f t="shared" si="101"/>
        <v>13825.028192606615</v>
      </c>
      <c r="AE146" s="336">
        <f t="shared" si="101"/>
        <v>13898.723125289254</v>
      </c>
      <c r="AF146" s="272">
        <f>SUM(T146:AE146)</f>
        <v>152506.14768891496</v>
      </c>
    </row>
    <row r="147" spans="1:38" ht="16" x14ac:dyDescent="0.2">
      <c r="A147" s="21" t="s">
        <v>13</v>
      </c>
      <c r="E147" s="232" t="s">
        <v>44</v>
      </c>
      <c r="F147" s="233" t="s">
        <v>66</v>
      </c>
      <c r="G147" s="233"/>
      <c r="H147" s="233"/>
      <c r="I147" s="233"/>
      <c r="J147" s="110"/>
      <c r="K147" s="110"/>
      <c r="L147" s="110"/>
      <c r="M147" s="110"/>
      <c r="N147" s="110"/>
      <c r="O147" s="110"/>
      <c r="P147" s="255"/>
      <c r="Q147" s="255"/>
      <c r="R147" s="255"/>
      <c r="S147" s="338"/>
      <c r="T147" s="244">
        <v>0.93700481213240661</v>
      </c>
      <c r="U147" s="244">
        <v>0.93700481213240661</v>
      </c>
      <c r="V147" s="244">
        <v>0.93700481213240661</v>
      </c>
      <c r="W147" s="244">
        <v>0.93700481213240661</v>
      </c>
      <c r="X147" s="244">
        <v>0.93700481213240661</v>
      </c>
      <c r="Y147" s="244">
        <v>0.93700481213240661</v>
      </c>
      <c r="Z147" s="244">
        <v>0.93700481213240661</v>
      </c>
      <c r="AA147" s="244">
        <v>0.93700481213240661</v>
      </c>
      <c r="AB147" s="244">
        <v>0.93700481213240661</v>
      </c>
      <c r="AC147" s="244">
        <v>0.93700481213240661</v>
      </c>
      <c r="AD147" s="244">
        <v>0.93700481213240661</v>
      </c>
      <c r="AE147" s="244">
        <v>0.93700481213240661</v>
      </c>
      <c r="AF147" s="284">
        <f>AF148/AF146</f>
        <v>0.93700481213240672</v>
      </c>
    </row>
    <row r="148" spans="1:38" ht="16" x14ac:dyDescent="0.2">
      <c r="A148" s="21" t="s">
        <v>13</v>
      </c>
      <c r="E148" s="232" t="s">
        <v>70</v>
      </c>
      <c r="F148" s="233" t="s">
        <v>64</v>
      </c>
      <c r="G148" s="233"/>
      <c r="H148" s="233"/>
      <c r="I148" s="233"/>
      <c r="J148" s="111"/>
      <c r="K148" s="111"/>
      <c r="L148" s="111"/>
      <c r="M148" s="111"/>
      <c r="N148" s="111"/>
      <c r="O148" s="111"/>
      <c r="P148" s="247"/>
      <c r="Q148" s="247"/>
      <c r="R148" s="247"/>
      <c r="S148" s="336"/>
      <c r="T148" s="336">
        <f>T146*T147</f>
        <v>10981.830431256929</v>
      </c>
      <c r="U148" s="336">
        <f t="shared" ref="U148:AE148" si="102">U146*U147</f>
        <v>10219.958632367621</v>
      </c>
      <c r="V148" s="336">
        <f t="shared" si="102"/>
        <v>11099.677938829962</v>
      </c>
      <c r="W148" s="336">
        <f t="shared" si="102"/>
        <v>11575.228770375881</v>
      </c>
      <c r="X148" s="336">
        <f t="shared" si="102"/>
        <v>11637.35315178249</v>
      </c>
      <c r="Y148" s="336">
        <f t="shared" si="102"/>
        <v>11699.521500934508</v>
      </c>
      <c r="Z148" s="336">
        <f t="shared" si="102"/>
        <v>12208.837403915055</v>
      </c>
      <c r="AA148" s="336">
        <f t="shared" si="102"/>
        <v>12274.33038476963</v>
      </c>
      <c r="AB148" s="336">
        <f t="shared" si="102"/>
        <v>12339.864208958128</v>
      </c>
      <c r="AC148" s="336">
        <f t="shared" si="102"/>
        <v>12885.103445868041</v>
      </c>
      <c r="AD148" s="336">
        <f t="shared" si="102"/>
        <v>12954.117944338586</v>
      </c>
      <c r="AE148" s="336">
        <f t="shared" si="102"/>
        <v>13023.170450891994</v>
      </c>
      <c r="AF148" s="272">
        <f>SUM(T148:AE148)</f>
        <v>142898.99426428883</v>
      </c>
    </row>
    <row r="149" spans="1:38" ht="16" x14ac:dyDescent="0.2">
      <c r="A149" s="21" t="s">
        <v>13</v>
      </c>
      <c r="E149" s="232" t="s">
        <v>71</v>
      </c>
      <c r="F149" s="233" t="s">
        <v>66</v>
      </c>
      <c r="G149" s="233"/>
      <c r="H149" s="233"/>
      <c r="I149" s="233"/>
      <c r="J149" s="110"/>
      <c r="K149" s="110"/>
      <c r="L149" s="110"/>
      <c r="M149" s="110"/>
      <c r="N149" s="110"/>
      <c r="O149" s="110"/>
      <c r="P149" s="255"/>
      <c r="Q149" s="255"/>
      <c r="R149" s="255"/>
      <c r="S149" s="338"/>
      <c r="T149" s="244">
        <v>1</v>
      </c>
      <c r="U149" s="244">
        <v>1</v>
      </c>
      <c r="V149" s="244">
        <v>1</v>
      </c>
      <c r="W149" s="244">
        <v>1</v>
      </c>
      <c r="X149" s="244">
        <v>1</v>
      </c>
      <c r="Y149" s="244">
        <v>1</v>
      </c>
      <c r="Z149" s="244">
        <v>1</v>
      </c>
      <c r="AA149" s="244">
        <v>1</v>
      </c>
      <c r="AB149" s="244">
        <v>1</v>
      </c>
      <c r="AC149" s="244">
        <v>1</v>
      </c>
      <c r="AD149" s="244">
        <v>1</v>
      </c>
      <c r="AE149" s="244">
        <v>1</v>
      </c>
      <c r="AF149" s="284">
        <v>1</v>
      </c>
    </row>
    <row r="150" spans="1:38" ht="16" x14ac:dyDescent="0.2">
      <c r="A150" s="21" t="s">
        <v>13</v>
      </c>
      <c r="E150" s="232" t="s">
        <v>72</v>
      </c>
      <c r="F150" s="233" t="s">
        <v>66</v>
      </c>
      <c r="G150" s="233"/>
      <c r="H150" s="233"/>
      <c r="I150" s="233"/>
      <c r="J150" s="111"/>
      <c r="K150" s="111"/>
      <c r="L150" s="111"/>
      <c r="M150" s="111"/>
      <c r="N150" s="111"/>
      <c r="O150" s="111"/>
      <c r="P150" s="247"/>
      <c r="Q150" s="247"/>
      <c r="R150" s="247"/>
      <c r="S150" s="336"/>
      <c r="T150" s="239">
        <f>T148*T149</f>
        <v>10981.830431256929</v>
      </c>
      <c r="U150" s="239">
        <f t="shared" ref="U150:AE150" si="103">U148*U149</f>
        <v>10219.958632367621</v>
      </c>
      <c r="V150" s="239">
        <f t="shared" si="103"/>
        <v>11099.677938829962</v>
      </c>
      <c r="W150" s="239">
        <f t="shared" si="103"/>
        <v>11575.228770375881</v>
      </c>
      <c r="X150" s="239">
        <f t="shared" si="103"/>
        <v>11637.35315178249</v>
      </c>
      <c r="Y150" s="239">
        <f t="shared" si="103"/>
        <v>11699.521500934508</v>
      </c>
      <c r="Z150" s="239">
        <f t="shared" si="103"/>
        <v>12208.837403915055</v>
      </c>
      <c r="AA150" s="239">
        <f t="shared" si="103"/>
        <v>12274.33038476963</v>
      </c>
      <c r="AB150" s="239">
        <f t="shared" si="103"/>
        <v>12339.864208958128</v>
      </c>
      <c r="AC150" s="239">
        <f t="shared" si="103"/>
        <v>12885.103445868041</v>
      </c>
      <c r="AD150" s="239">
        <f t="shared" si="103"/>
        <v>12954.117944338586</v>
      </c>
      <c r="AE150" s="239">
        <f t="shared" si="103"/>
        <v>13023.170450891994</v>
      </c>
      <c r="AF150" s="272">
        <f>SUM(T150:AE150)</f>
        <v>142898.99426428883</v>
      </c>
    </row>
    <row r="151" spans="1:38" ht="16" x14ac:dyDescent="0.2">
      <c r="A151" s="21" t="s">
        <v>13</v>
      </c>
      <c r="E151" s="232" t="s">
        <v>73</v>
      </c>
      <c r="F151" s="233" t="s">
        <v>64</v>
      </c>
      <c r="G151" s="233"/>
      <c r="H151" s="233"/>
      <c r="I151" s="233"/>
      <c r="J151" s="114"/>
      <c r="K151" s="114"/>
      <c r="L151" s="114"/>
      <c r="M151" s="114"/>
      <c r="N151" s="114"/>
      <c r="O151" s="111"/>
      <c r="P151" s="247"/>
      <c r="Q151" s="247"/>
      <c r="R151" s="247"/>
      <c r="S151" s="247"/>
      <c r="T151" s="248">
        <v>4</v>
      </c>
      <c r="U151" s="248">
        <v>4</v>
      </c>
      <c r="V151" s="248">
        <v>4</v>
      </c>
      <c r="W151" s="248">
        <v>4</v>
      </c>
      <c r="X151" s="248">
        <v>4</v>
      </c>
      <c r="Y151" s="248">
        <v>4</v>
      </c>
      <c r="Z151" s="248">
        <v>4</v>
      </c>
      <c r="AA151" s="248">
        <v>4</v>
      </c>
      <c r="AB151" s="248">
        <v>4</v>
      </c>
      <c r="AC151" s="248">
        <v>4</v>
      </c>
      <c r="AD151" s="248">
        <v>4</v>
      </c>
      <c r="AE151" s="248">
        <v>4</v>
      </c>
      <c r="AF151" s="291">
        <f>AF152/AF150</f>
        <v>4</v>
      </c>
    </row>
    <row r="152" spans="1:38" ht="16" x14ac:dyDescent="0.2">
      <c r="A152" s="21" t="s">
        <v>13</v>
      </c>
      <c r="E152" s="232" t="s">
        <v>75</v>
      </c>
      <c r="F152" s="233" t="s">
        <v>74</v>
      </c>
      <c r="G152" s="233"/>
      <c r="H152" s="233"/>
      <c r="I152" s="233"/>
      <c r="J152" s="111"/>
      <c r="K152" s="111"/>
      <c r="L152" s="111"/>
      <c r="M152" s="111"/>
      <c r="N152" s="111"/>
      <c r="O152" s="111"/>
      <c r="P152" s="336"/>
      <c r="Q152" s="336"/>
      <c r="R152" s="336"/>
      <c r="S152" s="336"/>
      <c r="T152" s="239">
        <f>T150*T151</f>
        <v>43927.321725027716</v>
      </c>
      <c r="U152" s="239">
        <f t="shared" ref="U152:AE152" si="104">U150*U151</f>
        <v>40879.834529470485</v>
      </c>
      <c r="V152" s="239">
        <f t="shared" si="104"/>
        <v>44398.711755319848</v>
      </c>
      <c r="W152" s="239">
        <f t="shared" si="104"/>
        <v>46300.915081503525</v>
      </c>
      <c r="X152" s="239">
        <f t="shared" si="104"/>
        <v>46549.412607129962</v>
      </c>
      <c r="Y152" s="239">
        <f t="shared" si="104"/>
        <v>46798.086003738033</v>
      </c>
      <c r="Z152" s="239">
        <f t="shared" si="104"/>
        <v>48835.34961566022</v>
      </c>
      <c r="AA152" s="239">
        <f t="shared" si="104"/>
        <v>49097.321539078519</v>
      </c>
      <c r="AB152" s="239">
        <f t="shared" si="104"/>
        <v>49359.456835832512</v>
      </c>
      <c r="AC152" s="239">
        <f t="shared" si="104"/>
        <v>51540.413783472162</v>
      </c>
      <c r="AD152" s="239">
        <f t="shared" si="104"/>
        <v>51816.471777354345</v>
      </c>
      <c r="AE152" s="239">
        <f t="shared" si="104"/>
        <v>52092.681803567975</v>
      </c>
      <c r="AF152" s="272">
        <f>SUM(T152:AE152)</f>
        <v>571595.97705715534</v>
      </c>
      <c r="AG152" s="5"/>
    </row>
    <row r="153" spans="1:38" ht="16" x14ac:dyDescent="0.2">
      <c r="E153" s="359"/>
      <c r="F153" s="360"/>
      <c r="G153" s="360"/>
      <c r="H153" s="360"/>
      <c r="I153" s="360"/>
      <c r="J153" s="360"/>
      <c r="K153" s="360"/>
      <c r="L153" s="360"/>
      <c r="M153" s="360"/>
      <c r="N153" s="360"/>
      <c r="O153" s="360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361"/>
      <c r="AB153" s="361"/>
      <c r="AC153" s="361"/>
      <c r="AD153" s="361"/>
      <c r="AE153" s="361"/>
      <c r="AF153" s="362"/>
    </row>
    <row r="154" spans="1:38" ht="16" x14ac:dyDescent="0.2">
      <c r="A154" s="21" t="s">
        <v>13</v>
      </c>
      <c r="E154" s="35" t="s">
        <v>100</v>
      </c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  <c r="AA154" s="364"/>
      <c r="AB154" s="364"/>
      <c r="AC154" s="364"/>
      <c r="AD154" s="364"/>
      <c r="AE154" s="364"/>
      <c r="AF154" s="365"/>
    </row>
    <row r="155" spans="1:38" ht="16" x14ac:dyDescent="0.2">
      <c r="A155" s="21" t="s">
        <v>13</v>
      </c>
      <c r="E155" s="232" t="s">
        <v>63</v>
      </c>
      <c r="F155" s="233" t="s">
        <v>64</v>
      </c>
      <c r="G155" s="233"/>
      <c r="H155" s="233"/>
      <c r="I155" s="233"/>
      <c r="J155" s="233"/>
      <c r="K155" s="233"/>
      <c r="L155" s="233"/>
      <c r="M155" s="233"/>
      <c r="N155" s="233"/>
      <c r="O155" s="247"/>
      <c r="P155" s="231"/>
      <c r="Q155" s="231"/>
      <c r="R155" s="231"/>
      <c r="S155" s="231"/>
      <c r="T155" s="336">
        <f t="shared" ref="T155:AE155" si="105">T76</f>
        <v>29300.357610396946</v>
      </c>
      <c r="U155" s="336">
        <f t="shared" si="105"/>
        <v>27062.606047496967</v>
      </c>
      <c r="V155" s="336">
        <f t="shared" si="105"/>
        <v>29172.772013408256</v>
      </c>
      <c r="W155" s="336">
        <f t="shared" si="105"/>
        <v>30197.287457388753</v>
      </c>
      <c r="X155" s="336">
        <f t="shared" si="105"/>
        <v>30136.126071161834</v>
      </c>
      <c r="Y155" s="336">
        <f t="shared" si="105"/>
        <v>30075.970579810317</v>
      </c>
      <c r="Z155" s="336">
        <f t="shared" si="105"/>
        <v>31157.839946886343</v>
      </c>
      <c r="AA155" s="336">
        <f t="shared" si="105"/>
        <v>31099.623203234209</v>
      </c>
      <c r="AB155" s="336">
        <f t="shared" si="105"/>
        <v>31042.340873430046</v>
      </c>
      <c r="AC155" s="336">
        <f t="shared" si="105"/>
        <v>32184.066394968268</v>
      </c>
      <c r="AD155" s="336">
        <f t="shared" si="105"/>
        <v>32128.586644790026</v>
      </c>
      <c r="AE155" s="336">
        <f t="shared" si="105"/>
        <v>32073.976442975214</v>
      </c>
      <c r="AF155" s="337">
        <f>SUM(T155:AE155)</f>
        <v>365631.55328594713</v>
      </c>
    </row>
    <row r="156" spans="1:38" ht="16" x14ac:dyDescent="0.2">
      <c r="A156" s="21" t="s">
        <v>13</v>
      </c>
      <c r="E156" s="232" t="s">
        <v>65</v>
      </c>
      <c r="F156" s="233" t="s">
        <v>66</v>
      </c>
      <c r="G156" s="233"/>
      <c r="H156" s="233"/>
      <c r="I156" s="233"/>
      <c r="J156" s="233"/>
      <c r="K156" s="233"/>
      <c r="L156" s="233"/>
      <c r="M156" s="233"/>
      <c r="N156" s="233"/>
      <c r="O156" s="255"/>
      <c r="P156" s="231"/>
      <c r="Q156" s="231"/>
      <c r="R156" s="231"/>
      <c r="S156" s="231"/>
      <c r="T156" s="244">
        <v>1</v>
      </c>
      <c r="U156" s="244">
        <v>1</v>
      </c>
      <c r="V156" s="244">
        <v>1</v>
      </c>
      <c r="W156" s="244">
        <v>1</v>
      </c>
      <c r="X156" s="244">
        <v>1</v>
      </c>
      <c r="Y156" s="244">
        <v>1</v>
      </c>
      <c r="Z156" s="244">
        <v>1</v>
      </c>
      <c r="AA156" s="244">
        <v>1</v>
      </c>
      <c r="AB156" s="244">
        <v>1</v>
      </c>
      <c r="AC156" s="244">
        <v>1</v>
      </c>
      <c r="AD156" s="244">
        <v>1</v>
      </c>
      <c r="AE156" s="244">
        <v>1</v>
      </c>
      <c r="AF156" s="284">
        <v>1</v>
      </c>
    </row>
    <row r="157" spans="1:38" ht="16" x14ac:dyDescent="0.2">
      <c r="A157" s="21" t="s">
        <v>13</v>
      </c>
      <c r="E157" s="232" t="s">
        <v>67</v>
      </c>
      <c r="F157" s="233" t="s">
        <v>66</v>
      </c>
      <c r="G157" s="233"/>
      <c r="H157" s="233"/>
      <c r="I157" s="233"/>
      <c r="J157" s="233"/>
      <c r="K157" s="233"/>
      <c r="L157" s="233"/>
      <c r="M157" s="233"/>
      <c r="N157" s="233"/>
      <c r="O157" s="255"/>
      <c r="P157" s="231"/>
      <c r="Q157" s="231"/>
      <c r="R157" s="231"/>
      <c r="S157" s="231"/>
      <c r="T157" s="244">
        <v>1</v>
      </c>
      <c r="U157" s="244">
        <v>1</v>
      </c>
      <c r="V157" s="244">
        <v>1</v>
      </c>
      <c r="W157" s="244">
        <v>1</v>
      </c>
      <c r="X157" s="244">
        <v>1</v>
      </c>
      <c r="Y157" s="244">
        <v>1</v>
      </c>
      <c r="Z157" s="244">
        <v>1</v>
      </c>
      <c r="AA157" s="244">
        <v>1</v>
      </c>
      <c r="AB157" s="244">
        <v>1</v>
      </c>
      <c r="AC157" s="244">
        <v>1</v>
      </c>
      <c r="AD157" s="244">
        <v>1</v>
      </c>
      <c r="AE157" s="244">
        <v>1</v>
      </c>
      <c r="AF157" s="284">
        <v>1</v>
      </c>
    </row>
    <row r="158" spans="1:38" ht="16" x14ac:dyDescent="0.2">
      <c r="A158" s="21" t="s">
        <v>13</v>
      </c>
      <c r="E158" s="232" t="s">
        <v>68</v>
      </c>
      <c r="F158" s="233" t="s">
        <v>66</v>
      </c>
      <c r="G158" s="233"/>
      <c r="H158" s="233"/>
      <c r="I158" s="233"/>
      <c r="J158" s="233"/>
      <c r="K158" s="233"/>
      <c r="L158" s="233"/>
      <c r="M158" s="233"/>
      <c r="N158" s="233"/>
      <c r="O158" s="255"/>
      <c r="P158" s="231"/>
      <c r="Q158" s="231"/>
      <c r="R158" s="231"/>
      <c r="S158" s="231"/>
      <c r="T158" s="244">
        <v>0.65</v>
      </c>
      <c r="U158" s="244">
        <v>0.65454545454545454</v>
      </c>
      <c r="V158" s="244">
        <v>0.65909090909090906</v>
      </c>
      <c r="W158" s="244">
        <v>0.66363636363636358</v>
      </c>
      <c r="X158" s="244">
        <v>0.6681818181818181</v>
      </c>
      <c r="Y158" s="244">
        <v>0.67272727272727262</v>
      </c>
      <c r="Z158" s="244">
        <v>0.67727272727272714</v>
      </c>
      <c r="AA158" s="244">
        <v>0.68181818181818166</v>
      </c>
      <c r="AB158" s="244">
        <v>0.68636363636363618</v>
      </c>
      <c r="AC158" s="244">
        <v>0.6909090909090907</v>
      </c>
      <c r="AD158" s="244">
        <v>0.69545454545454521</v>
      </c>
      <c r="AE158" s="244">
        <v>0.69999999999999973</v>
      </c>
      <c r="AF158" s="284">
        <f>AF159/AF155</f>
        <v>0.67565503299018659</v>
      </c>
      <c r="AL158" s="184"/>
    </row>
    <row r="159" spans="1:38" ht="16" x14ac:dyDescent="0.2">
      <c r="E159" s="232" t="s">
        <v>69</v>
      </c>
      <c r="F159" s="233" t="s">
        <v>64</v>
      </c>
      <c r="G159" s="233"/>
      <c r="H159" s="233"/>
      <c r="I159" s="233"/>
      <c r="J159" s="233"/>
      <c r="K159" s="233"/>
      <c r="L159" s="233"/>
      <c r="M159" s="233"/>
      <c r="N159" s="233"/>
      <c r="O159" s="255"/>
      <c r="P159" s="231"/>
      <c r="Q159" s="231"/>
      <c r="R159" s="231"/>
      <c r="S159" s="231"/>
      <c r="T159" s="336">
        <f>T155*T156*T157*T158</f>
        <v>19045.232446758015</v>
      </c>
      <c r="U159" s="336">
        <f t="shared" ref="U159:AE159" si="106">U155*U156*U157*U158</f>
        <v>17713.705776543469</v>
      </c>
      <c r="V159" s="336">
        <f t="shared" si="106"/>
        <v>19227.508827019075</v>
      </c>
      <c r="W159" s="336">
        <f t="shared" si="106"/>
        <v>20040.018039903443</v>
      </c>
      <c r="X159" s="336">
        <f t="shared" si="106"/>
        <v>20136.411511185404</v>
      </c>
      <c r="Y159" s="336">
        <f t="shared" si="106"/>
        <v>20232.925662781483</v>
      </c>
      <c r="Z159" s="336">
        <f t="shared" si="106"/>
        <v>21102.355236754836</v>
      </c>
      <c r="AA159" s="336">
        <f t="shared" si="106"/>
        <v>21204.288547659682</v>
      </c>
      <c r="AB159" s="336">
        <f t="shared" si="106"/>
        <v>21306.333963126981</v>
      </c>
      <c r="AC159" s="336">
        <f t="shared" si="106"/>
        <v>22236.264054705342</v>
      </c>
      <c r="AD159" s="336">
        <f t="shared" si="106"/>
        <v>22343.97162114942</v>
      </c>
      <c r="AE159" s="336">
        <f t="shared" si="106"/>
        <v>22451.783510082641</v>
      </c>
      <c r="AF159" s="272">
        <f>SUM(T159:AE159)</f>
        <v>247040.79919766978</v>
      </c>
    </row>
    <row r="160" spans="1:38" ht="16" x14ac:dyDescent="0.2">
      <c r="A160" s="21" t="s">
        <v>13</v>
      </c>
      <c r="E160" s="232" t="s">
        <v>44</v>
      </c>
      <c r="F160" s="233" t="s">
        <v>66</v>
      </c>
      <c r="G160" s="233"/>
      <c r="H160" s="233"/>
      <c r="I160" s="233"/>
      <c r="J160" s="233"/>
      <c r="K160" s="233"/>
      <c r="L160" s="233"/>
      <c r="M160" s="233"/>
      <c r="N160" s="233"/>
      <c r="O160" s="255"/>
      <c r="P160" s="231"/>
      <c r="Q160" s="231"/>
      <c r="R160" s="231"/>
      <c r="S160" s="231"/>
      <c r="T160" s="244">
        <v>0.93700481213240661</v>
      </c>
      <c r="U160" s="244">
        <v>0.93700481213240661</v>
      </c>
      <c r="V160" s="244">
        <v>0.93700481213240661</v>
      </c>
      <c r="W160" s="244">
        <v>0.93700481213240661</v>
      </c>
      <c r="X160" s="244">
        <v>0.93700481213240661</v>
      </c>
      <c r="Y160" s="244">
        <v>0.93700481213240661</v>
      </c>
      <c r="Z160" s="244">
        <v>0.93700481213240661</v>
      </c>
      <c r="AA160" s="244">
        <v>0.93700481213240661</v>
      </c>
      <c r="AB160" s="244">
        <v>0.93700481213240661</v>
      </c>
      <c r="AC160" s="244">
        <v>0.93700481213240661</v>
      </c>
      <c r="AD160" s="244">
        <v>0.93700481213240661</v>
      </c>
      <c r="AE160" s="244">
        <v>0.93700481213240661</v>
      </c>
      <c r="AF160" s="284">
        <f>AF161/AF159</f>
        <v>0.93700481213240661</v>
      </c>
    </row>
    <row r="161" spans="1:32" ht="16" x14ac:dyDescent="0.2">
      <c r="E161" s="232" t="s">
        <v>70</v>
      </c>
      <c r="F161" s="233" t="s">
        <v>64</v>
      </c>
      <c r="G161" s="233"/>
      <c r="H161" s="233"/>
      <c r="I161" s="233"/>
      <c r="J161" s="233"/>
      <c r="K161" s="233"/>
      <c r="L161" s="233"/>
      <c r="M161" s="233"/>
      <c r="N161" s="233"/>
      <c r="O161" s="255"/>
      <c r="P161" s="231"/>
      <c r="Q161" s="231"/>
      <c r="R161" s="231"/>
      <c r="S161" s="231"/>
      <c r="T161" s="336">
        <f>T159*T160</f>
        <v>17845.47445079251</v>
      </c>
      <c r="U161" s="336">
        <f t="shared" ref="U161:AE161" si="107">U159*U160</f>
        <v>16597.827553318839</v>
      </c>
      <c r="V161" s="336">
        <f t="shared" si="107"/>
        <v>18016.268296235197</v>
      </c>
      <c r="W161" s="336">
        <f t="shared" si="107"/>
        <v>18777.593338609764</v>
      </c>
      <c r="X161" s="336">
        <f t="shared" si="107"/>
        <v>18867.914485059111</v>
      </c>
      <c r="Y161" s="336">
        <f t="shared" si="107"/>
        <v>18958.348709543512</v>
      </c>
      <c r="Z161" s="336">
        <f t="shared" si="107"/>
        <v>19773.008404166772</v>
      </c>
      <c r="AA161" s="336">
        <f t="shared" si="107"/>
        <v>19868.520407001201</v>
      </c>
      <c r="AB161" s="336">
        <f t="shared" si="107"/>
        <v>19964.137452350111</v>
      </c>
      <c r="AC161" s="336">
        <f t="shared" si="107"/>
        <v>20835.486423105765</v>
      </c>
      <c r="AD161" s="336">
        <f t="shared" si="107"/>
        <v>20936.408931166938</v>
      </c>
      <c r="AE161" s="336">
        <f t="shared" si="107"/>
        <v>21037.42918990245</v>
      </c>
      <c r="AF161" s="272">
        <f>SUM(T161:AE161)</f>
        <v>231478.41764125216</v>
      </c>
    </row>
    <row r="162" spans="1:32" ht="16" x14ac:dyDescent="0.2">
      <c r="A162" s="21" t="s">
        <v>13</v>
      </c>
      <c r="E162" s="232" t="s">
        <v>71</v>
      </c>
      <c r="F162" s="233" t="s">
        <v>66</v>
      </c>
      <c r="G162" s="233"/>
      <c r="H162" s="233"/>
      <c r="I162" s="233"/>
      <c r="J162" s="233"/>
      <c r="K162" s="233"/>
      <c r="L162" s="233"/>
      <c r="M162" s="233"/>
      <c r="N162" s="233"/>
      <c r="O162" s="255"/>
      <c r="P162" s="231"/>
      <c r="Q162" s="231"/>
      <c r="R162" s="231"/>
      <c r="S162" s="231"/>
      <c r="T162" s="244">
        <v>1</v>
      </c>
      <c r="U162" s="244">
        <v>1</v>
      </c>
      <c r="V162" s="244">
        <v>1</v>
      </c>
      <c r="W162" s="244">
        <v>1</v>
      </c>
      <c r="X162" s="244">
        <v>1</v>
      </c>
      <c r="Y162" s="244">
        <v>1</v>
      </c>
      <c r="Z162" s="244">
        <v>1</v>
      </c>
      <c r="AA162" s="244">
        <v>1</v>
      </c>
      <c r="AB162" s="244">
        <v>1</v>
      </c>
      <c r="AC162" s="244">
        <v>1</v>
      </c>
      <c r="AD162" s="244">
        <v>1</v>
      </c>
      <c r="AE162" s="244">
        <v>1</v>
      </c>
      <c r="AF162" s="284">
        <f>AF163/AF161</f>
        <v>1</v>
      </c>
    </row>
    <row r="163" spans="1:32" ht="16" x14ac:dyDescent="0.2">
      <c r="A163" s="21" t="s">
        <v>13</v>
      </c>
      <c r="E163" s="232" t="s">
        <v>72</v>
      </c>
      <c r="F163" s="233" t="s">
        <v>66</v>
      </c>
      <c r="G163" s="233"/>
      <c r="H163" s="233"/>
      <c r="I163" s="233"/>
      <c r="J163" s="233"/>
      <c r="K163" s="233"/>
      <c r="L163" s="233"/>
      <c r="M163" s="233"/>
      <c r="N163" s="233"/>
      <c r="O163" s="342"/>
      <c r="P163" s="366"/>
      <c r="Q163" s="366"/>
      <c r="R163" s="366"/>
      <c r="S163" s="366"/>
      <c r="T163" s="239">
        <f>T161*T162</f>
        <v>17845.47445079251</v>
      </c>
      <c r="U163" s="239">
        <f t="shared" ref="U163:AE163" si="108">U161*U162</f>
        <v>16597.827553318839</v>
      </c>
      <c r="V163" s="239">
        <f t="shared" si="108"/>
        <v>18016.268296235197</v>
      </c>
      <c r="W163" s="239">
        <f t="shared" si="108"/>
        <v>18777.593338609764</v>
      </c>
      <c r="X163" s="239">
        <f t="shared" si="108"/>
        <v>18867.914485059111</v>
      </c>
      <c r="Y163" s="239">
        <f t="shared" si="108"/>
        <v>18958.348709543512</v>
      </c>
      <c r="Z163" s="239">
        <f t="shared" si="108"/>
        <v>19773.008404166772</v>
      </c>
      <c r="AA163" s="239">
        <f t="shared" si="108"/>
        <v>19868.520407001201</v>
      </c>
      <c r="AB163" s="239">
        <f t="shared" si="108"/>
        <v>19964.137452350111</v>
      </c>
      <c r="AC163" s="239">
        <f t="shared" si="108"/>
        <v>20835.486423105765</v>
      </c>
      <c r="AD163" s="239">
        <f t="shared" si="108"/>
        <v>20936.408931166938</v>
      </c>
      <c r="AE163" s="239">
        <f t="shared" si="108"/>
        <v>21037.42918990245</v>
      </c>
      <c r="AF163" s="272">
        <f>SUM(T163:AE163)</f>
        <v>231478.41764125216</v>
      </c>
    </row>
    <row r="164" spans="1:32" ht="16" x14ac:dyDescent="0.2">
      <c r="A164" s="21" t="s">
        <v>13</v>
      </c>
      <c r="E164" s="232" t="s">
        <v>73</v>
      </c>
      <c r="F164" s="233" t="s">
        <v>64</v>
      </c>
      <c r="G164" s="233"/>
      <c r="H164" s="233"/>
      <c r="I164" s="233"/>
      <c r="J164" s="233"/>
      <c r="K164" s="233"/>
      <c r="L164" s="233"/>
      <c r="M164" s="233"/>
      <c r="N164" s="233"/>
      <c r="O164" s="367"/>
      <c r="P164" s="367"/>
      <c r="Q164" s="367"/>
      <c r="R164" s="367"/>
      <c r="S164" s="367"/>
      <c r="T164" s="350">
        <v>5</v>
      </c>
      <c r="U164" s="248">
        <v>5</v>
      </c>
      <c r="V164" s="248">
        <v>5</v>
      </c>
      <c r="W164" s="248">
        <v>5</v>
      </c>
      <c r="X164" s="248">
        <v>5</v>
      </c>
      <c r="Y164" s="248">
        <v>5</v>
      </c>
      <c r="Z164" s="248">
        <v>5</v>
      </c>
      <c r="AA164" s="248">
        <v>5</v>
      </c>
      <c r="AB164" s="248">
        <v>5</v>
      </c>
      <c r="AC164" s="248">
        <v>5</v>
      </c>
      <c r="AD164" s="248">
        <v>5</v>
      </c>
      <c r="AE164" s="248">
        <v>5</v>
      </c>
      <c r="AF164" s="291">
        <f>AF165/AF163</f>
        <v>5.0000000000000009</v>
      </c>
    </row>
    <row r="165" spans="1:32" ht="16" x14ac:dyDescent="0.2">
      <c r="A165" s="21" t="s">
        <v>13</v>
      </c>
      <c r="E165" s="352" t="s">
        <v>75</v>
      </c>
      <c r="F165" s="353" t="s">
        <v>74</v>
      </c>
      <c r="G165" s="353"/>
      <c r="H165" s="353"/>
      <c r="I165" s="353"/>
      <c r="J165" s="353"/>
      <c r="K165" s="353"/>
      <c r="L165" s="353"/>
      <c r="M165" s="353"/>
      <c r="N165" s="368"/>
      <c r="O165" s="369"/>
      <c r="P165" s="370"/>
      <c r="Q165" s="370"/>
      <c r="R165" s="370"/>
      <c r="S165" s="370"/>
      <c r="T165" s="371">
        <f t="shared" ref="T165:AE165" si="109">T163*T164</f>
        <v>89227.372253962545</v>
      </c>
      <c r="U165" s="371">
        <f t="shared" si="109"/>
        <v>82989.137766594198</v>
      </c>
      <c r="V165" s="371">
        <f t="shared" si="109"/>
        <v>90081.341481175987</v>
      </c>
      <c r="W165" s="371">
        <f t="shared" si="109"/>
        <v>93887.966693048817</v>
      </c>
      <c r="X165" s="371">
        <f t="shared" si="109"/>
        <v>94339.572425295555</v>
      </c>
      <c r="Y165" s="371">
        <f t="shared" si="109"/>
        <v>94791.74354771756</v>
      </c>
      <c r="Z165" s="371">
        <f t="shared" si="109"/>
        <v>98865.042020833862</v>
      </c>
      <c r="AA165" s="371">
        <f t="shared" si="109"/>
        <v>99342.602035005999</v>
      </c>
      <c r="AB165" s="371">
        <f t="shared" si="109"/>
        <v>99820.687261750558</v>
      </c>
      <c r="AC165" s="371">
        <f t="shared" si="109"/>
        <v>104177.43211552882</v>
      </c>
      <c r="AD165" s="371">
        <f t="shared" si="109"/>
        <v>104682.04465583469</v>
      </c>
      <c r="AE165" s="371">
        <f t="shared" si="109"/>
        <v>105187.14594951225</v>
      </c>
      <c r="AF165" s="298">
        <f>SUM(T165:AE165)</f>
        <v>1157392.0882062609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760-5594-4615-B783-613D7963F0E9}">
  <dimension ref="A2:AE139"/>
  <sheetViews>
    <sheetView showGridLines="0" zoomScale="40" zoomScaleNormal="40" workbookViewId="0">
      <pane xSplit="3" ySplit="3" topLeftCell="D28" activePane="bottomRight" state="frozen"/>
      <selection pane="topRight"/>
      <selection pane="bottomLeft"/>
      <selection pane="bottomRight" activeCell="K54" sqref="K54:L54"/>
    </sheetView>
  </sheetViews>
  <sheetFormatPr baseColWidth="10" defaultColWidth="8.5" defaultRowHeight="15" x14ac:dyDescent="0.2"/>
  <cols>
    <col min="1" max="2" width="8.5" style="21"/>
    <col min="3" max="3" width="26" customWidth="1"/>
    <col min="4" max="4" width="7.5" bestFit="1" customWidth="1"/>
    <col min="5" max="5" width="12.1640625" bestFit="1" customWidth="1"/>
    <col min="6" max="6" width="11.5" bestFit="1" customWidth="1"/>
    <col min="7" max="7" width="12.1640625" bestFit="1" customWidth="1"/>
    <col min="8" max="9" width="12.5" bestFit="1" customWidth="1"/>
    <col min="10" max="10" width="12.1640625" bestFit="1" customWidth="1"/>
    <col min="11" max="12" width="12.5" bestFit="1" customWidth="1"/>
    <col min="13" max="14" width="14.5" bestFit="1" customWidth="1"/>
    <col min="15" max="15" width="14.1640625" bestFit="1" customWidth="1"/>
    <col min="16" max="16" width="14.5" bestFit="1" customWidth="1"/>
    <col min="17" max="17" width="14.83203125" customWidth="1"/>
    <col min="18" max="29" width="12.83203125" bestFit="1" customWidth="1"/>
    <col min="30" max="30" width="14.5" bestFit="1" customWidth="1"/>
    <col min="31" max="31" width="13.5" customWidth="1"/>
  </cols>
  <sheetData>
    <row r="2" spans="1:31" ht="16" x14ac:dyDescent="0.2">
      <c r="C2" s="1" t="s">
        <v>48</v>
      </c>
      <c r="D2" s="2"/>
      <c r="E2" s="22">
        <f>MONTH(E3)</f>
        <v>1</v>
      </c>
      <c r="F2" s="22">
        <f t="shared" ref="F2:M2" si="0">MONTH(F3)</f>
        <v>2</v>
      </c>
      <c r="G2" s="22">
        <f t="shared" si="0"/>
        <v>3</v>
      </c>
      <c r="H2" s="22">
        <f t="shared" si="0"/>
        <v>4</v>
      </c>
      <c r="I2" s="22">
        <f t="shared" si="0"/>
        <v>5</v>
      </c>
      <c r="J2" s="22">
        <f t="shared" si="0"/>
        <v>6</v>
      </c>
      <c r="K2" s="22">
        <f t="shared" si="0"/>
        <v>7</v>
      </c>
      <c r="L2" s="22">
        <f t="shared" si="0"/>
        <v>8</v>
      </c>
      <c r="M2" s="22">
        <f t="shared" si="0"/>
        <v>9</v>
      </c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</row>
    <row r="3" spans="1:31" ht="17" x14ac:dyDescent="0.2">
      <c r="C3" s="7" t="s">
        <v>2</v>
      </c>
      <c r="D3" s="8"/>
      <c r="E3" s="8">
        <v>45658</v>
      </c>
      <c r="F3" s="8">
        <f>EDATE(E3,1)</f>
        <v>45689</v>
      </c>
      <c r="G3" s="8">
        <f t="shared" ref="G3:AC3" si="1">EDATE(F3,1)</f>
        <v>45717</v>
      </c>
      <c r="H3" s="8">
        <f t="shared" si="1"/>
        <v>45748</v>
      </c>
      <c r="I3" s="8">
        <f t="shared" si="1"/>
        <v>45778</v>
      </c>
      <c r="J3" s="8">
        <f t="shared" si="1"/>
        <v>45809</v>
      </c>
      <c r="K3" s="8">
        <f t="shared" si="1"/>
        <v>45839</v>
      </c>
      <c r="L3" s="8">
        <f t="shared" si="1"/>
        <v>45870</v>
      </c>
      <c r="M3" s="8">
        <f t="shared" si="1"/>
        <v>45901</v>
      </c>
      <c r="N3" s="9">
        <f t="shared" si="1"/>
        <v>45931</v>
      </c>
      <c r="O3" s="9">
        <f t="shared" si="1"/>
        <v>45962</v>
      </c>
      <c r="P3" s="9">
        <f t="shared" si="1"/>
        <v>45992</v>
      </c>
      <c r="Q3" s="40" t="s">
        <v>3</v>
      </c>
      <c r="R3" s="9">
        <f>EDATE(P3,1)</f>
        <v>46023</v>
      </c>
      <c r="S3" s="9">
        <f t="shared" si="1"/>
        <v>46054</v>
      </c>
      <c r="T3" s="9">
        <f t="shared" si="1"/>
        <v>46082</v>
      </c>
      <c r="U3" s="9">
        <f t="shared" si="1"/>
        <v>46113</v>
      </c>
      <c r="V3" s="9">
        <f t="shared" si="1"/>
        <v>46143</v>
      </c>
      <c r="W3" s="9">
        <f t="shared" si="1"/>
        <v>46174</v>
      </c>
      <c r="X3" s="9">
        <f t="shared" si="1"/>
        <v>46204</v>
      </c>
      <c r="Y3" s="9">
        <f t="shared" si="1"/>
        <v>46235</v>
      </c>
      <c r="Z3" s="9">
        <f t="shared" si="1"/>
        <v>46266</v>
      </c>
      <c r="AA3" s="9">
        <f t="shared" si="1"/>
        <v>46296</v>
      </c>
      <c r="AB3" s="9">
        <f t="shared" si="1"/>
        <v>46327</v>
      </c>
      <c r="AC3" s="9">
        <f t="shared" si="1"/>
        <v>46357</v>
      </c>
      <c r="AD3" s="41" t="s">
        <v>4</v>
      </c>
    </row>
    <row r="4" spans="1:31" ht="16" x14ac:dyDescent="0.2">
      <c r="A4" s="21" t="s">
        <v>13</v>
      </c>
      <c r="C4" s="10" t="s">
        <v>13</v>
      </c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229"/>
      <c r="O4" s="229"/>
      <c r="P4" s="229"/>
      <c r="Q4" s="306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307"/>
    </row>
    <row r="5" spans="1:31" ht="16" x14ac:dyDescent="0.2">
      <c r="A5" s="21" t="s">
        <v>13</v>
      </c>
      <c r="C5" s="232" t="s">
        <v>63</v>
      </c>
      <c r="D5" s="233" t="s">
        <v>64</v>
      </c>
      <c r="E5" s="235">
        <v>82211</v>
      </c>
      <c r="F5" s="235">
        <v>68741</v>
      </c>
      <c r="G5" s="235">
        <v>89225</v>
      </c>
      <c r="H5" s="235">
        <v>104138</v>
      </c>
      <c r="I5" s="235">
        <v>106864</v>
      </c>
      <c r="J5" s="235">
        <v>118112</v>
      </c>
      <c r="K5" s="235">
        <v>143445</v>
      </c>
      <c r="L5" s="235">
        <v>149102</v>
      </c>
      <c r="M5" s="340" t="e">
        <v>#REF!</v>
      </c>
      <c r="N5" s="239">
        <f>SUM(N32,N61,N87)</f>
        <v>166005</v>
      </c>
      <c r="O5" s="239">
        <f>SUM(O32,O61,O87)</f>
        <v>160650</v>
      </c>
      <c r="P5" s="239">
        <f>SUM(P32,P61,P87)</f>
        <v>166005</v>
      </c>
      <c r="Q5" s="270">
        <f>SUM(Q32,Q61,Q87)</f>
        <v>1510262</v>
      </c>
      <c r="R5" s="239">
        <f t="shared" ref="R5:AD5" si="2">SUM(R32,R61,R87)</f>
        <v>136400</v>
      </c>
      <c r="S5" s="239">
        <f t="shared" si="2"/>
        <v>123200</v>
      </c>
      <c r="T5" s="239">
        <f t="shared" si="2"/>
        <v>136400</v>
      </c>
      <c r="U5" s="239">
        <f t="shared" si="2"/>
        <v>159150</v>
      </c>
      <c r="V5" s="239">
        <f t="shared" si="2"/>
        <v>164455</v>
      </c>
      <c r="W5" s="239">
        <f t="shared" si="2"/>
        <v>159150</v>
      </c>
      <c r="X5" s="239">
        <f t="shared" si="2"/>
        <v>180117.75</v>
      </c>
      <c r="Y5" s="239">
        <f t="shared" si="2"/>
        <v>180117.75</v>
      </c>
      <c r="Z5" s="239">
        <f t="shared" si="2"/>
        <v>174307.5</v>
      </c>
      <c r="AA5" s="239">
        <f t="shared" si="2"/>
        <v>205088.63750000001</v>
      </c>
      <c r="AB5" s="239">
        <f t="shared" si="2"/>
        <v>198472.875</v>
      </c>
      <c r="AC5" s="239">
        <f t="shared" si="2"/>
        <v>205088.63750000001</v>
      </c>
      <c r="AD5" s="272">
        <f t="shared" si="2"/>
        <v>2021948.15</v>
      </c>
    </row>
    <row r="6" spans="1:31" ht="16" x14ac:dyDescent="0.2">
      <c r="A6" s="21" t="s">
        <v>13</v>
      </c>
      <c r="C6" s="232" t="s">
        <v>65</v>
      </c>
      <c r="D6" s="233" t="s">
        <v>66</v>
      </c>
      <c r="E6" s="382">
        <v>1</v>
      </c>
      <c r="F6" s="382">
        <v>1</v>
      </c>
      <c r="G6" s="382">
        <v>0.99992154665172317</v>
      </c>
      <c r="H6" s="382">
        <v>0.99998079471470547</v>
      </c>
      <c r="I6" s="382">
        <v>1</v>
      </c>
      <c r="J6" s="382">
        <v>0.99998306691953398</v>
      </c>
      <c r="K6" s="382">
        <v>1</v>
      </c>
      <c r="L6" s="382">
        <v>0.99998658636369731</v>
      </c>
      <c r="M6" s="377" t="e">
        <v>#REF!</v>
      </c>
      <c r="N6" s="382">
        <v>0.99998658636369731</v>
      </c>
      <c r="O6" s="382">
        <v>0.99998658636369731</v>
      </c>
      <c r="P6" s="382">
        <v>0.99998658636369731</v>
      </c>
      <c r="Q6" s="274">
        <v>1</v>
      </c>
      <c r="R6" s="386">
        <v>1</v>
      </c>
      <c r="S6" s="386">
        <v>1</v>
      </c>
      <c r="T6" s="386">
        <v>1</v>
      </c>
      <c r="U6" s="386">
        <v>1</v>
      </c>
      <c r="V6" s="386">
        <v>1</v>
      </c>
      <c r="W6" s="386">
        <v>1</v>
      </c>
      <c r="X6" s="386">
        <v>1</v>
      </c>
      <c r="Y6" s="386">
        <v>1</v>
      </c>
      <c r="Z6" s="386">
        <v>1</v>
      </c>
      <c r="AA6" s="386">
        <v>1</v>
      </c>
      <c r="AB6" s="386">
        <v>1</v>
      </c>
      <c r="AC6" s="386">
        <v>1</v>
      </c>
      <c r="AD6" s="416">
        <v>1</v>
      </c>
    </row>
    <row r="7" spans="1:31" ht="16" x14ac:dyDescent="0.2">
      <c r="A7" s="21" t="s">
        <v>13</v>
      </c>
      <c r="C7" s="232" t="s">
        <v>67</v>
      </c>
      <c r="D7" s="233" t="s">
        <v>66</v>
      </c>
      <c r="E7" s="382">
        <v>0.9947452287406795</v>
      </c>
      <c r="F7" s="382">
        <v>0.99349733055963685</v>
      </c>
      <c r="G7" s="382">
        <v>0.99565110179560179</v>
      </c>
      <c r="H7" s="382">
        <v>0.99355650303449339</v>
      </c>
      <c r="I7" s="382">
        <v>0.99545216349752952</v>
      </c>
      <c r="J7" s="382">
        <v>0.9975615951231902</v>
      </c>
      <c r="K7" s="382">
        <v>0.99872424971243334</v>
      </c>
      <c r="L7" s="382">
        <v>0.99075117370892019</v>
      </c>
      <c r="M7" s="377" t="e">
        <v>#REF!</v>
      </c>
      <c r="N7" s="382">
        <v>0.99998658636369731</v>
      </c>
      <c r="O7" s="382">
        <v>0.99998658636369731</v>
      </c>
      <c r="P7" s="382">
        <v>0.99998658636369731</v>
      </c>
      <c r="Q7" s="274">
        <v>1</v>
      </c>
      <c r="R7" s="386">
        <v>1</v>
      </c>
      <c r="S7" s="386">
        <v>1</v>
      </c>
      <c r="T7" s="386">
        <v>1</v>
      </c>
      <c r="U7" s="386">
        <v>1</v>
      </c>
      <c r="V7" s="386">
        <v>1</v>
      </c>
      <c r="W7" s="386">
        <v>1</v>
      </c>
      <c r="X7" s="386">
        <v>1</v>
      </c>
      <c r="Y7" s="386">
        <v>1</v>
      </c>
      <c r="Z7" s="386">
        <v>1</v>
      </c>
      <c r="AA7" s="386">
        <v>1</v>
      </c>
      <c r="AB7" s="386">
        <v>1</v>
      </c>
      <c r="AC7" s="386">
        <v>1</v>
      </c>
      <c r="AD7" s="416">
        <v>1</v>
      </c>
    </row>
    <row r="8" spans="1:31" ht="16" x14ac:dyDescent="0.2">
      <c r="A8" s="21" t="s">
        <v>13</v>
      </c>
      <c r="C8" s="232" t="s">
        <v>68</v>
      </c>
      <c r="D8" s="233" t="s">
        <v>66</v>
      </c>
      <c r="E8" s="237">
        <v>0.20776727521735408</v>
      </c>
      <c r="F8" s="237">
        <v>0.17962046446247107</v>
      </c>
      <c r="G8" s="237">
        <v>0.21106608127884724</v>
      </c>
      <c r="H8" s="237">
        <v>0.17793456724496207</v>
      </c>
      <c r="I8" s="237">
        <v>0.16881310045310122</v>
      </c>
      <c r="J8" s="237">
        <v>0.18417613009454942</v>
      </c>
      <c r="K8" s="237">
        <v>0.19374991274727421</v>
      </c>
      <c r="L8" s="237">
        <v>0.16762004048171891</v>
      </c>
      <c r="M8" s="377" t="e">
        <v>#REF!</v>
      </c>
      <c r="N8" s="383">
        <v>0.187</v>
      </c>
      <c r="O8" s="383">
        <v>0.184</v>
      </c>
      <c r="P8" s="383">
        <v>0.187</v>
      </c>
      <c r="Q8" s="283">
        <f t="shared" ref="Q8:AD8" si="3">SUM(Q36,Q91)/SUM(Q87,Q32)</f>
        <v>0.18365224740379366</v>
      </c>
      <c r="R8" s="386">
        <f t="shared" si="3"/>
        <v>0.18806818181818183</v>
      </c>
      <c r="S8" s="386">
        <f t="shared" si="3"/>
        <v>0.18806818181818183</v>
      </c>
      <c r="T8" s="386">
        <f t="shared" si="3"/>
        <v>0.18806818181818183</v>
      </c>
      <c r="U8" s="386">
        <f t="shared" si="3"/>
        <v>0.18638077285579641</v>
      </c>
      <c r="V8" s="386">
        <f t="shared" si="3"/>
        <v>0.18638077285579641</v>
      </c>
      <c r="W8" s="386">
        <f t="shared" si="3"/>
        <v>0.18638077285579641</v>
      </c>
      <c r="X8" s="386">
        <f t="shared" si="3"/>
        <v>0.18591067510003872</v>
      </c>
      <c r="Y8" s="386">
        <f t="shared" si="3"/>
        <v>0.18591067510003872</v>
      </c>
      <c r="Z8" s="386">
        <f t="shared" si="3"/>
        <v>0.1859106751000387</v>
      </c>
      <c r="AA8" s="386">
        <f t="shared" si="3"/>
        <v>0.18506134024611676</v>
      </c>
      <c r="AB8" s="386">
        <f t="shared" si="3"/>
        <v>0.18506134024611676</v>
      </c>
      <c r="AC8" s="386">
        <f t="shared" si="3"/>
        <v>0.18506134024611676</v>
      </c>
      <c r="AD8" s="416">
        <f t="shared" si="3"/>
        <v>0.18618979547027456</v>
      </c>
    </row>
    <row r="9" spans="1:31" ht="16" x14ac:dyDescent="0.2">
      <c r="A9" s="21" t="s">
        <v>13</v>
      </c>
      <c r="C9" s="232" t="s">
        <v>44</v>
      </c>
      <c r="D9" s="233" t="s">
        <v>66</v>
      </c>
      <c r="E9" s="237">
        <v>0.8171384850803366</v>
      </c>
      <c r="F9" s="237">
        <v>0.84225972120322812</v>
      </c>
      <c r="G9" s="237">
        <v>0.8485785908581791</v>
      </c>
      <c r="H9" s="237">
        <v>0.85214557305812055</v>
      </c>
      <c r="I9" s="237">
        <v>0.86373760997883953</v>
      </c>
      <c r="J9" s="237">
        <v>0.85857142857142854</v>
      </c>
      <c r="K9" s="237">
        <v>0.87113160644161836</v>
      </c>
      <c r="L9" s="237">
        <v>0.86155647994830575</v>
      </c>
      <c r="M9" s="377" t="e">
        <v>#REF!</v>
      </c>
      <c r="N9" s="237">
        <v>0.82</v>
      </c>
      <c r="O9" s="386">
        <v>0.84</v>
      </c>
      <c r="P9" s="386">
        <v>0.82</v>
      </c>
      <c r="Q9" s="283">
        <f t="shared" ref="Q9:AD9" si="4">SUM(Q38,Q93)/SUM(Q36,Q91)</f>
        <v>0.84768100123364387</v>
      </c>
      <c r="R9" s="386">
        <f t="shared" si="4"/>
        <v>0.8600000000000001</v>
      </c>
      <c r="S9" s="386">
        <f t="shared" si="4"/>
        <v>0.86</v>
      </c>
      <c r="T9" s="386">
        <f t="shared" si="4"/>
        <v>0.8600000000000001</v>
      </c>
      <c r="U9" s="386">
        <f t="shared" si="4"/>
        <v>0.86</v>
      </c>
      <c r="V9" s="386">
        <f t="shared" si="4"/>
        <v>0.85999999999999988</v>
      </c>
      <c r="W9" s="386">
        <f t="shared" si="4"/>
        <v>0.86</v>
      </c>
      <c r="X9" s="386">
        <f t="shared" si="4"/>
        <v>0.85999999999999988</v>
      </c>
      <c r="Y9" s="386">
        <f t="shared" si="4"/>
        <v>0.85999999999999988</v>
      </c>
      <c r="Z9" s="386">
        <f t="shared" si="4"/>
        <v>0.86</v>
      </c>
      <c r="AA9" s="386">
        <f t="shared" si="4"/>
        <v>0.86</v>
      </c>
      <c r="AB9" s="386">
        <f t="shared" si="4"/>
        <v>0.86</v>
      </c>
      <c r="AC9" s="386">
        <f t="shared" si="4"/>
        <v>0.86</v>
      </c>
      <c r="AD9" s="416">
        <f t="shared" si="4"/>
        <v>0.8600000000000001</v>
      </c>
    </row>
    <row r="10" spans="1:31" ht="16" x14ac:dyDescent="0.2">
      <c r="A10" s="21" t="s">
        <v>13</v>
      </c>
      <c r="C10" s="232" t="s">
        <v>71</v>
      </c>
      <c r="D10" s="233" t="s">
        <v>66</v>
      </c>
      <c r="E10" s="237">
        <v>1</v>
      </c>
      <c r="F10" s="237">
        <v>0.99970963995354234</v>
      </c>
      <c r="G10" s="237">
        <v>0.99993714644877441</v>
      </c>
      <c r="H10" s="237">
        <v>1</v>
      </c>
      <c r="I10" s="237">
        <v>0.99993552962413768</v>
      </c>
      <c r="J10" s="237">
        <v>0.99978530406312061</v>
      </c>
      <c r="K10" s="237">
        <v>1</v>
      </c>
      <c r="L10" s="237">
        <v>1</v>
      </c>
      <c r="M10" s="377" t="e">
        <v>#REF!</v>
      </c>
      <c r="N10" s="237">
        <v>1</v>
      </c>
      <c r="O10" s="237">
        <v>1</v>
      </c>
      <c r="P10" s="237">
        <v>1</v>
      </c>
      <c r="Q10" s="285">
        <v>1</v>
      </c>
      <c r="R10" s="386">
        <v>1</v>
      </c>
      <c r="S10" s="386">
        <v>1</v>
      </c>
      <c r="T10" s="386">
        <v>1</v>
      </c>
      <c r="U10" s="386">
        <v>1</v>
      </c>
      <c r="V10" s="386">
        <v>1</v>
      </c>
      <c r="W10" s="386">
        <v>1</v>
      </c>
      <c r="X10" s="386">
        <v>1</v>
      </c>
      <c r="Y10" s="386">
        <v>1</v>
      </c>
      <c r="Z10" s="386">
        <v>1</v>
      </c>
      <c r="AA10" s="386">
        <v>1</v>
      </c>
      <c r="AB10" s="386">
        <v>1</v>
      </c>
      <c r="AC10" s="386">
        <v>1</v>
      </c>
      <c r="AD10" s="416">
        <v>1</v>
      </c>
    </row>
    <row r="11" spans="1:31" ht="16" x14ac:dyDescent="0.2">
      <c r="A11" s="21" t="s">
        <v>13</v>
      </c>
      <c r="C11" s="232" t="s">
        <v>72</v>
      </c>
      <c r="D11" s="233" t="s">
        <v>64</v>
      </c>
      <c r="E11" s="235">
        <f t="shared" ref="E11:M11" si="5">E5*E6*E7*E8*E9*E10</f>
        <v>13884</v>
      </c>
      <c r="F11" s="235">
        <f t="shared" si="5"/>
        <v>10329</v>
      </c>
      <c r="G11" s="235">
        <f t="shared" si="5"/>
        <v>15909</v>
      </c>
      <c r="H11" s="235">
        <f t="shared" si="5"/>
        <v>15688</v>
      </c>
      <c r="I11" s="235">
        <f t="shared" si="5"/>
        <v>15510</v>
      </c>
      <c r="J11" s="235">
        <f t="shared" si="5"/>
        <v>18627</v>
      </c>
      <c r="K11" s="235">
        <f t="shared" si="5"/>
        <v>24179.999999999996</v>
      </c>
      <c r="L11" s="235">
        <f t="shared" si="5"/>
        <v>21333</v>
      </c>
      <c r="M11" s="340" t="e">
        <f t="shared" si="5"/>
        <v>#REF!</v>
      </c>
      <c r="N11" s="239">
        <f>SUM(N40,N67,N95)</f>
        <v>25092.158281929445</v>
      </c>
      <c r="O11" s="239">
        <f>SUM(O40,O67,O95)</f>
        <v>24282.733821222046</v>
      </c>
      <c r="P11" s="239">
        <f>SUM(P40,P67,P95)</f>
        <v>25092.158281929445</v>
      </c>
      <c r="Q11" s="270">
        <f>SUM(Q40,Q67,Q95)</f>
        <v>235106.35441915659</v>
      </c>
      <c r="R11" s="239">
        <f t="shared" ref="R11:AD11" si="6">SUM(R40,R67,R95)</f>
        <v>22061.15</v>
      </c>
      <c r="S11" s="239">
        <f t="shared" si="6"/>
        <v>19926.2</v>
      </c>
      <c r="T11" s="239">
        <f t="shared" si="6"/>
        <v>22061.15</v>
      </c>
      <c r="U11" s="239">
        <f t="shared" si="6"/>
        <v>25509.75</v>
      </c>
      <c r="V11" s="239">
        <f t="shared" si="6"/>
        <v>26360.074999999997</v>
      </c>
      <c r="W11" s="239">
        <f t="shared" si="6"/>
        <v>25509.75</v>
      </c>
      <c r="X11" s="239">
        <f t="shared" si="6"/>
        <v>28797.798749999994</v>
      </c>
      <c r="Y11" s="239">
        <f t="shared" si="6"/>
        <v>28797.798749999994</v>
      </c>
      <c r="Z11" s="239">
        <f t="shared" si="6"/>
        <v>27868.837499999998</v>
      </c>
      <c r="AA11" s="239">
        <f t="shared" si="6"/>
        <v>32640.4211875</v>
      </c>
      <c r="AB11" s="239">
        <f t="shared" si="6"/>
        <v>31587.504375</v>
      </c>
      <c r="AC11" s="239">
        <f t="shared" si="6"/>
        <v>32640.4211875</v>
      </c>
      <c r="AD11" s="272">
        <f t="shared" si="6"/>
        <v>323760.85675000004</v>
      </c>
    </row>
    <row r="12" spans="1:31" ht="16" x14ac:dyDescent="0.2">
      <c r="A12" s="21" t="s">
        <v>13</v>
      </c>
      <c r="C12" s="232" t="s">
        <v>73</v>
      </c>
      <c r="D12" s="233" t="s">
        <v>74</v>
      </c>
      <c r="E12" s="241">
        <v>10.68336430423509</v>
      </c>
      <c r="F12" s="241">
        <v>10.802540420176204</v>
      </c>
      <c r="G12" s="241">
        <v>11.059734112766359</v>
      </c>
      <c r="H12" s="241">
        <v>14.511882330443651</v>
      </c>
      <c r="I12" s="241">
        <v>15.00124758220503</v>
      </c>
      <c r="J12" s="241">
        <v>14.699171095721265</v>
      </c>
      <c r="K12" s="241">
        <v>15.620146815550045</v>
      </c>
      <c r="L12" s="241">
        <v>15.873515679932501</v>
      </c>
      <c r="M12" s="373" t="e">
        <f t="shared" ref="M12" si="7">M13/M11</f>
        <v>#REF!</v>
      </c>
      <c r="N12" s="394">
        <f t="shared" ref="N12:Q12" si="8">N13/N11</f>
        <v>19.062911306449234</v>
      </c>
      <c r="O12" s="394">
        <f t="shared" si="8"/>
        <v>19.062911306449234</v>
      </c>
      <c r="P12" s="394">
        <f t="shared" si="8"/>
        <v>19.062911306449234</v>
      </c>
      <c r="Q12" s="289">
        <f t="shared" si="8"/>
        <v>16.118574650993246</v>
      </c>
      <c r="R12" s="387">
        <v>18.6344410876133</v>
      </c>
      <c r="S12" s="387">
        <v>18.634441087613293</v>
      </c>
      <c r="T12" s="387">
        <v>18.634441087613293</v>
      </c>
      <c r="U12" s="387">
        <v>18.557522123893804</v>
      </c>
      <c r="V12" s="387">
        <v>18.557522123893808</v>
      </c>
      <c r="W12" s="387">
        <v>18.557522123893804</v>
      </c>
      <c r="X12" s="387">
        <v>18.53584447144593</v>
      </c>
      <c r="Y12" s="387">
        <v>18.53584447144593</v>
      </c>
      <c r="Z12" s="387">
        <v>18.53584447144593</v>
      </c>
      <c r="AA12" s="387">
        <v>18.496399792742409</v>
      </c>
      <c r="AB12" s="387">
        <v>18.496399792742412</v>
      </c>
      <c r="AC12" s="387">
        <v>18.496399792742409</v>
      </c>
      <c r="AD12" s="417">
        <f t="shared" ref="AD12" si="9">AD13/AD11</f>
        <v>18.548728771703189</v>
      </c>
      <c r="AE12" s="418"/>
    </row>
    <row r="13" spans="1:31" ht="16" x14ac:dyDescent="0.2">
      <c r="A13" s="21" t="s">
        <v>13</v>
      </c>
      <c r="C13" s="232" t="s">
        <v>75</v>
      </c>
      <c r="D13" s="233" t="s">
        <v>74</v>
      </c>
      <c r="E13" s="235">
        <v>148327.82999999999</v>
      </c>
      <c r="F13" s="235">
        <v>111579.44</v>
      </c>
      <c r="G13" s="235">
        <v>175949.31</v>
      </c>
      <c r="H13" s="235">
        <v>227662.41</v>
      </c>
      <c r="I13" s="235">
        <v>232669.35</v>
      </c>
      <c r="J13" s="235">
        <v>273801.46000000002</v>
      </c>
      <c r="K13" s="235">
        <v>377695.15</v>
      </c>
      <c r="L13" s="235">
        <v>338629.71</v>
      </c>
      <c r="M13" s="340">
        <v>486195.06</v>
      </c>
      <c r="N13" s="239">
        <f>SUM(N42,N69,N97)</f>
        <v>478329.58781580662</v>
      </c>
      <c r="O13" s="239">
        <f>SUM(O42,O69,O97)</f>
        <v>462899.60111207096</v>
      </c>
      <c r="P13" s="239">
        <f>SUM(P42,P69,P97)</f>
        <v>478329.58781580662</v>
      </c>
      <c r="Q13" s="374">
        <f>SUM(Q42,Q69,Q97)</f>
        <v>3789579.3246280514</v>
      </c>
      <c r="R13" s="239">
        <f t="shared" ref="R13:AD13" si="10">SUM(R42,R69,R97)</f>
        <v>411097.2</v>
      </c>
      <c r="S13" s="239">
        <f t="shared" si="10"/>
        <v>371313.60000000003</v>
      </c>
      <c r="T13" s="239">
        <f t="shared" si="10"/>
        <v>411097.2</v>
      </c>
      <c r="U13" s="239">
        <f t="shared" si="10"/>
        <v>473397.75</v>
      </c>
      <c r="V13" s="239">
        <f t="shared" si="10"/>
        <v>489177.67499999999</v>
      </c>
      <c r="W13" s="239">
        <f t="shared" si="10"/>
        <v>473397.75</v>
      </c>
      <c r="X13" s="239">
        <f t="shared" si="10"/>
        <v>533791.51874999993</v>
      </c>
      <c r="Y13" s="239">
        <f t="shared" si="10"/>
        <v>533791.51874999993</v>
      </c>
      <c r="Z13" s="239">
        <f t="shared" si="10"/>
        <v>516572.43749999994</v>
      </c>
      <c r="AA13" s="239">
        <f t="shared" si="10"/>
        <v>603730.27968749998</v>
      </c>
      <c r="AB13" s="239">
        <f t="shared" si="10"/>
        <v>584255.109375</v>
      </c>
      <c r="AC13" s="239">
        <f t="shared" si="10"/>
        <v>603730.27968749998</v>
      </c>
      <c r="AD13" s="272">
        <f t="shared" si="10"/>
        <v>6005352.3187500006</v>
      </c>
      <c r="AE13" s="5">
        <f>AD13/12</f>
        <v>500446.02656250005</v>
      </c>
    </row>
    <row r="14" spans="1:31" ht="16" x14ac:dyDescent="0.2">
      <c r="C14" s="344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1"/>
      <c r="O14" s="231"/>
      <c r="P14" s="231"/>
      <c r="Q14" s="419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345"/>
    </row>
    <row r="15" spans="1:31" ht="16" x14ac:dyDescent="0.2">
      <c r="A15" s="21" t="s">
        <v>14</v>
      </c>
      <c r="C15" s="11" t="s">
        <v>14</v>
      </c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1"/>
      <c r="O15" s="231"/>
      <c r="P15" s="231"/>
      <c r="Q15" s="419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345"/>
    </row>
    <row r="16" spans="1:31" ht="16" x14ac:dyDescent="0.2">
      <c r="A16" s="21" t="s">
        <v>14</v>
      </c>
      <c r="C16" s="232" t="s">
        <v>63</v>
      </c>
      <c r="D16" s="233" t="s">
        <v>64</v>
      </c>
      <c r="E16" s="233"/>
      <c r="F16" s="233"/>
      <c r="G16" s="233"/>
      <c r="H16" s="233"/>
      <c r="I16" s="233"/>
      <c r="J16" s="233"/>
      <c r="K16" s="235">
        <v>57914</v>
      </c>
      <c r="L16" s="235">
        <v>161694</v>
      </c>
      <c r="M16" s="420" t="e">
        <v>#REF!</v>
      </c>
      <c r="N16" s="421">
        <v>170500</v>
      </c>
      <c r="O16" s="421">
        <v>165000</v>
      </c>
      <c r="P16" s="421">
        <v>170500</v>
      </c>
      <c r="Q16" s="270">
        <f>Q45</f>
        <v>890057</v>
      </c>
      <c r="R16" s="239">
        <f t="shared" ref="R16:AD16" si="11">SUM(R45,R72,R100)</f>
        <v>155000</v>
      </c>
      <c r="S16" s="239">
        <f t="shared" si="11"/>
        <v>140000</v>
      </c>
      <c r="T16" s="239">
        <f t="shared" si="11"/>
        <v>155000</v>
      </c>
      <c r="U16" s="239">
        <f t="shared" si="11"/>
        <v>165000</v>
      </c>
      <c r="V16" s="239">
        <f t="shared" si="11"/>
        <v>170500</v>
      </c>
      <c r="W16" s="239">
        <f t="shared" si="11"/>
        <v>165000</v>
      </c>
      <c r="X16" s="239">
        <f t="shared" si="11"/>
        <v>186000</v>
      </c>
      <c r="Y16" s="239">
        <f t="shared" si="11"/>
        <v>186000</v>
      </c>
      <c r="Z16" s="239">
        <f t="shared" si="11"/>
        <v>180000</v>
      </c>
      <c r="AA16" s="239">
        <f t="shared" si="11"/>
        <v>201500</v>
      </c>
      <c r="AB16" s="239">
        <f t="shared" si="11"/>
        <v>195000</v>
      </c>
      <c r="AC16" s="239">
        <f t="shared" si="11"/>
        <v>201500</v>
      </c>
      <c r="AD16" s="272">
        <f t="shared" si="11"/>
        <v>2100500</v>
      </c>
    </row>
    <row r="17" spans="1:30" ht="16" x14ac:dyDescent="0.2">
      <c r="A17" s="21" t="s">
        <v>14</v>
      </c>
      <c r="C17" s="232" t="s">
        <v>65</v>
      </c>
      <c r="D17" s="233" t="s">
        <v>66</v>
      </c>
      <c r="E17" s="233"/>
      <c r="F17" s="233"/>
      <c r="G17" s="233"/>
      <c r="H17" s="233"/>
      <c r="I17" s="233"/>
      <c r="J17" s="233"/>
      <c r="K17" s="382">
        <v>1</v>
      </c>
      <c r="L17" s="382">
        <v>0.9999938154786201</v>
      </c>
      <c r="M17" s="422" t="e">
        <v>#REF!</v>
      </c>
      <c r="N17" s="423">
        <v>1</v>
      </c>
      <c r="O17" s="423">
        <v>1</v>
      </c>
      <c r="P17" s="423">
        <v>1</v>
      </c>
      <c r="Q17" s="283">
        <f>Q46</f>
        <v>0.9999864235578424</v>
      </c>
      <c r="R17" s="386">
        <v>1</v>
      </c>
      <c r="S17" s="386">
        <v>1</v>
      </c>
      <c r="T17" s="386">
        <v>1</v>
      </c>
      <c r="U17" s="386">
        <v>1</v>
      </c>
      <c r="V17" s="386">
        <v>1</v>
      </c>
      <c r="W17" s="386">
        <v>1</v>
      </c>
      <c r="X17" s="386">
        <v>1</v>
      </c>
      <c r="Y17" s="386">
        <v>1</v>
      </c>
      <c r="Z17" s="386">
        <v>1</v>
      </c>
      <c r="AA17" s="386">
        <v>1</v>
      </c>
      <c r="AB17" s="386">
        <v>1</v>
      </c>
      <c r="AC17" s="386">
        <v>1</v>
      </c>
      <c r="AD17" s="416">
        <v>1</v>
      </c>
    </row>
    <row r="18" spans="1:30" ht="16" x14ac:dyDescent="0.2">
      <c r="A18" s="21" t="s">
        <v>14</v>
      </c>
      <c r="C18" s="232" t="s">
        <v>67</v>
      </c>
      <c r="D18" s="233" t="s">
        <v>66</v>
      </c>
      <c r="E18" s="233"/>
      <c r="F18" s="233"/>
      <c r="G18" s="233"/>
      <c r="H18" s="233"/>
      <c r="I18" s="233"/>
      <c r="J18" s="233"/>
      <c r="K18" s="382">
        <v>0.99944745657354006</v>
      </c>
      <c r="L18" s="382">
        <v>0.9937783330137977</v>
      </c>
      <c r="M18" s="422" t="e">
        <v>#REF!</v>
      </c>
      <c r="N18" s="423">
        <v>1</v>
      </c>
      <c r="O18" s="423">
        <v>1</v>
      </c>
      <c r="P18" s="423">
        <v>1</v>
      </c>
      <c r="Q18" s="283">
        <f>Q47</f>
        <v>0.9999864235578424</v>
      </c>
      <c r="R18" s="386">
        <v>1</v>
      </c>
      <c r="S18" s="386">
        <v>1</v>
      </c>
      <c r="T18" s="386">
        <v>1</v>
      </c>
      <c r="U18" s="386">
        <v>1</v>
      </c>
      <c r="V18" s="386">
        <v>1</v>
      </c>
      <c r="W18" s="386">
        <v>1</v>
      </c>
      <c r="X18" s="386">
        <v>1</v>
      </c>
      <c r="Y18" s="386">
        <v>1</v>
      </c>
      <c r="Z18" s="386">
        <v>1</v>
      </c>
      <c r="AA18" s="386">
        <v>1</v>
      </c>
      <c r="AB18" s="386">
        <v>1</v>
      </c>
      <c r="AC18" s="386">
        <v>1</v>
      </c>
      <c r="AD18" s="416">
        <v>1</v>
      </c>
    </row>
    <row r="19" spans="1:30" ht="16" x14ac:dyDescent="0.2">
      <c r="A19" s="21" t="s">
        <v>14</v>
      </c>
      <c r="C19" s="232" t="s">
        <v>68</v>
      </c>
      <c r="D19" s="233" t="s">
        <v>66</v>
      </c>
      <c r="E19" s="233"/>
      <c r="F19" s="233"/>
      <c r="G19" s="233"/>
      <c r="H19" s="233"/>
      <c r="I19" s="233"/>
      <c r="J19" s="233"/>
      <c r="K19" s="237">
        <v>0.40224940395978026</v>
      </c>
      <c r="L19" s="237">
        <v>0.33704655634867786</v>
      </c>
      <c r="M19" s="422" t="e">
        <v>#REF!</v>
      </c>
      <c r="N19" s="423">
        <v>0.48</v>
      </c>
      <c r="O19" s="423">
        <v>0.48</v>
      </c>
      <c r="P19" s="423">
        <v>0.48</v>
      </c>
      <c r="Q19" s="283">
        <f>Q48</f>
        <v>0.44857522608102629</v>
      </c>
      <c r="R19" s="386">
        <f t="shared" ref="R19:AD19" si="12">R48</f>
        <v>0.4</v>
      </c>
      <c r="S19" s="386">
        <f t="shared" si="12"/>
        <v>0.4</v>
      </c>
      <c r="T19" s="386">
        <f t="shared" si="12"/>
        <v>0.4</v>
      </c>
      <c r="U19" s="386">
        <f t="shared" si="12"/>
        <v>0.4</v>
      </c>
      <c r="V19" s="386">
        <f t="shared" si="12"/>
        <v>0.4</v>
      </c>
      <c r="W19" s="386">
        <f t="shared" si="12"/>
        <v>0.4</v>
      </c>
      <c r="X19" s="386">
        <f t="shared" si="12"/>
        <v>0.4</v>
      </c>
      <c r="Y19" s="386">
        <f t="shared" si="12"/>
        <v>0.4</v>
      </c>
      <c r="Z19" s="386">
        <f t="shared" si="12"/>
        <v>0.4</v>
      </c>
      <c r="AA19" s="386">
        <f t="shared" si="12"/>
        <v>0.4</v>
      </c>
      <c r="AB19" s="386">
        <f t="shared" si="12"/>
        <v>0.4</v>
      </c>
      <c r="AC19" s="386">
        <f t="shared" si="12"/>
        <v>0.4</v>
      </c>
      <c r="AD19" s="416">
        <f t="shared" si="12"/>
        <v>0.4</v>
      </c>
    </row>
    <row r="20" spans="1:30" ht="16" x14ac:dyDescent="0.2">
      <c r="A20" s="21" t="s">
        <v>14</v>
      </c>
      <c r="C20" s="232" t="s">
        <v>44</v>
      </c>
      <c r="D20" s="233" t="s">
        <v>66</v>
      </c>
      <c r="E20" s="233"/>
      <c r="F20" s="233"/>
      <c r="G20" s="233"/>
      <c r="H20" s="233"/>
      <c r="I20" s="233"/>
      <c r="J20" s="233"/>
      <c r="K20" s="237">
        <v>0.95653481080616753</v>
      </c>
      <c r="L20" s="237">
        <v>0.93428608356875131</v>
      </c>
      <c r="M20" s="424" t="e">
        <v>#REF!</v>
      </c>
      <c r="N20" s="425">
        <v>0.9</v>
      </c>
      <c r="O20" s="425">
        <v>0.9</v>
      </c>
      <c r="P20" s="425">
        <v>0.9</v>
      </c>
      <c r="Q20" s="283">
        <f t="shared" ref="Q20:AD20" si="13">Q50</f>
        <v>0.91143850815884431</v>
      </c>
      <c r="R20" s="386">
        <f t="shared" si="13"/>
        <v>0.9</v>
      </c>
      <c r="S20" s="386">
        <f t="shared" si="13"/>
        <v>0.9</v>
      </c>
      <c r="T20" s="386">
        <f t="shared" si="13"/>
        <v>0.9</v>
      </c>
      <c r="U20" s="386">
        <f t="shared" si="13"/>
        <v>0.9</v>
      </c>
      <c r="V20" s="386">
        <f t="shared" si="13"/>
        <v>0.9</v>
      </c>
      <c r="W20" s="386">
        <f t="shared" si="13"/>
        <v>0.9</v>
      </c>
      <c r="X20" s="386">
        <f t="shared" si="13"/>
        <v>0.9</v>
      </c>
      <c r="Y20" s="386">
        <f t="shared" si="13"/>
        <v>0.9</v>
      </c>
      <c r="Z20" s="386">
        <f t="shared" si="13"/>
        <v>0.9</v>
      </c>
      <c r="AA20" s="386">
        <f t="shared" si="13"/>
        <v>0.9</v>
      </c>
      <c r="AB20" s="386">
        <f t="shared" si="13"/>
        <v>0.9</v>
      </c>
      <c r="AC20" s="386">
        <f t="shared" si="13"/>
        <v>0.9</v>
      </c>
      <c r="AD20" s="416">
        <f t="shared" si="13"/>
        <v>0.9</v>
      </c>
    </row>
    <row r="21" spans="1:30" ht="16" x14ac:dyDescent="0.2">
      <c r="A21" s="21" t="s">
        <v>14</v>
      </c>
      <c r="C21" s="232" t="s">
        <v>71</v>
      </c>
      <c r="D21" s="233" t="s">
        <v>66</v>
      </c>
      <c r="E21" s="233"/>
      <c r="F21" s="233"/>
      <c r="G21" s="233"/>
      <c r="H21" s="233"/>
      <c r="I21" s="233"/>
      <c r="J21" s="233"/>
      <c r="K21" s="237">
        <v>0.99991019711732743</v>
      </c>
      <c r="L21" s="237">
        <v>0.99978260869565216</v>
      </c>
      <c r="M21" s="422" t="e">
        <v>#REF!</v>
      </c>
      <c r="N21" s="423">
        <v>1</v>
      </c>
      <c r="O21" s="423">
        <v>1</v>
      </c>
      <c r="P21" s="423">
        <v>1</v>
      </c>
      <c r="Q21" s="283">
        <f>Q52</f>
        <v>0.99996005437695445</v>
      </c>
      <c r="R21" s="386">
        <v>1</v>
      </c>
      <c r="S21" s="386">
        <v>1</v>
      </c>
      <c r="T21" s="386">
        <v>1</v>
      </c>
      <c r="U21" s="386">
        <v>1</v>
      </c>
      <c r="V21" s="386">
        <v>1</v>
      </c>
      <c r="W21" s="386">
        <v>1</v>
      </c>
      <c r="X21" s="386">
        <v>1</v>
      </c>
      <c r="Y21" s="386">
        <v>1</v>
      </c>
      <c r="Z21" s="386">
        <v>1</v>
      </c>
      <c r="AA21" s="386">
        <v>1</v>
      </c>
      <c r="AB21" s="386">
        <v>1</v>
      </c>
      <c r="AC21" s="386">
        <v>1</v>
      </c>
      <c r="AD21" s="416">
        <v>1</v>
      </c>
    </row>
    <row r="22" spans="1:30" ht="16" x14ac:dyDescent="0.2">
      <c r="A22" s="21" t="s">
        <v>14</v>
      </c>
      <c r="C22" s="232" t="s">
        <v>72</v>
      </c>
      <c r="D22" s="233" t="s">
        <v>64</v>
      </c>
      <c r="E22" s="233"/>
      <c r="F22" s="233"/>
      <c r="G22" s="233"/>
      <c r="H22" s="233"/>
      <c r="I22" s="233"/>
      <c r="J22" s="233"/>
      <c r="K22" s="235">
        <f t="shared" ref="K22:AD22" si="14">K16*K17*K18*K19*K20*K21</f>
        <v>22269</v>
      </c>
      <c r="L22" s="235">
        <f t="shared" si="14"/>
        <v>50589</v>
      </c>
      <c r="M22" s="420" t="e">
        <f t="shared" si="14"/>
        <v>#REF!</v>
      </c>
      <c r="N22" s="426">
        <f>N16*N17*N18*N19*N20*N21</f>
        <v>73656</v>
      </c>
      <c r="O22" s="426">
        <f>O16*O17*O18*O19*O20*O21</f>
        <v>71280</v>
      </c>
      <c r="P22" s="426">
        <f>P16*P17*P18*P19*P20*P21</f>
        <v>73656</v>
      </c>
      <c r="Q22" s="374">
        <f t="shared" si="14"/>
        <v>363874.26180361846</v>
      </c>
      <c r="R22" s="234">
        <f t="shared" si="14"/>
        <v>55800</v>
      </c>
      <c r="S22" s="234">
        <f t="shared" si="14"/>
        <v>50400</v>
      </c>
      <c r="T22" s="234">
        <f t="shared" si="14"/>
        <v>55800</v>
      </c>
      <c r="U22" s="234">
        <f t="shared" si="14"/>
        <v>59400</v>
      </c>
      <c r="V22" s="234">
        <f t="shared" si="14"/>
        <v>61380</v>
      </c>
      <c r="W22" s="234">
        <f t="shared" si="14"/>
        <v>59400</v>
      </c>
      <c r="X22" s="234">
        <f t="shared" si="14"/>
        <v>66960</v>
      </c>
      <c r="Y22" s="234">
        <f t="shared" si="14"/>
        <v>66960</v>
      </c>
      <c r="Z22" s="234">
        <f t="shared" si="14"/>
        <v>64800</v>
      </c>
      <c r="AA22" s="234">
        <f t="shared" si="14"/>
        <v>72540</v>
      </c>
      <c r="AB22" s="234">
        <f t="shared" si="14"/>
        <v>70200</v>
      </c>
      <c r="AC22" s="234">
        <f t="shared" si="14"/>
        <v>72540</v>
      </c>
      <c r="AD22" s="343">
        <f t="shared" si="14"/>
        <v>756180</v>
      </c>
    </row>
    <row r="23" spans="1:30" ht="16" x14ac:dyDescent="0.2">
      <c r="A23" s="21" t="s">
        <v>14</v>
      </c>
      <c r="C23" s="232" t="s">
        <v>73</v>
      </c>
      <c r="D23" s="233" t="s">
        <v>74</v>
      </c>
      <c r="E23" s="233"/>
      <c r="F23" s="233"/>
      <c r="G23" s="233"/>
      <c r="H23" s="379"/>
      <c r="I23" s="379"/>
      <c r="J23" s="379"/>
      <c r="K23" s="384">
        <f>K24/K22</f>
        <v>2.4548188064125016</v>
      </c>
      <c r="L23" s="384">
        <f>L24/L22</f>
        <v>2.4658644369329301</v>
      </c>
      <c r="M23" s="427" t="e">
        <f t="shared" ref="M23" si="15">M24/M22</f>
        <v>#REF!</v>
      </c>
      <c r="N23" s="427">
        <v>2.8</v>
      </c>
      <c r="O23" s="427">
        <v>2.8</v>
      </c>
      <c r="P23" s="427">
        <v>2.8</v>
      </c>
      <c r="Q23" s="428">
        <f t="shared" ref="Q23:AD23" si="16">Q54</f>
        <v>2.6898446858222909</v>
      </c>
      <c r="R23" s="387">
        <f t="shared" si="16"/>
        <v>3</v>
      </c>
      <c r="S23" s="387">
        <f t="shared" si="16"/>
        <v>3</v>
      </c>
      <c r="T23" s="387">
        <f t="shared" si="16"/>
        <v>3</v>
      </c>
      <c r="U23" s="387">
        <f t="shared" si="16"/>
        <v>3</v>
      </c>
      <c r="V23" s="387">
        <f t="shared" si="16"/>
        <v>3</v>
      </c>
      <c r="W23" s="387">
        <f t="shared" si="16"/>
        <v>3</v>
      </c>
      <c r="X23" s="387">
        <f t="shared" si="16"/>
        <v>3</v>
      </c>
      <c r="Y23" s="387">
        <f t="shared" si="16"/>
        <v>3</v>
      </c>
      <c r="Z23" s="387">
        <f t="shared" si="16"/>
        <v>3</v>
      </c>
      <c r="AA23" s="387">
        <f t="shared" si="16"/>
        <v>3</v>
      </c>
      <c r="AB23" s="387">
        <f t="shared" si="16"/>
        <v>3</v>
      </c>
      <c r="AC23" s="387">
        <f t="shared" si="16"/>
        <v>3</v>
      </c>
      <c r="AD23" s="417">
        <f t="shared" si="16"/>
        <v>3</v>
      </c>
    </row>
    <row r="24" spans="1:30" ht="16" x14ac:dyDescent="0.2">
      <c r="A24" s="21" t="s">
        <v>14</v>
      </c>
      <c r="C24" s="352" t="s">
        <v>75</v>
      </c>
      <c r="D24" s="353" t="s">
        <v>74</v>
      </c>
      <c r="E24" s="356"/>
      <c r="F24" s="356"/>
      <c r="G24" s="429"/>
      <c r="H24" s="356"/>
      <c r="I24" s="356"/>
      <c r="J24" s="356"/>
      <c r="K24" s="380">
        <v>54666.36</v>
      </c>
      <c r="L24" s="430">
        <v>124745.61599999999</v>
      </c>
      <c r="M24" s="431">
        <v>196888.96799999999</v>
      </c>
      <c r="N24" s="431">
        <f>N22*N23</f>
        <v>206236.79999999999</v>
      </c>
      <c r="O24" s="431">
        <f>O22*O23</f>
        <v>199584</v>
      </c>
      <c r="P24" s="431">
        <f>P22*P23</f>
        <v>206236.79999999999</v>
      </c>
      <c r="Q24" s="381">
        <f t="shared" ref="Q24:AC24" si="17">Q22*Q23</f>
        <v>978765.24941997207</v>
      </c>
      <c r="R24" s="356">
        <f t="shared" si="17"/>
        <v>167400</v>
      </c>
      <c r="S24" s="356">
        <f t="shared" si="17"/>
        <v>151200</v>
      </c>
      <c r="T24" s="356">
        <f t="shared" si="17"/>
        <v>167400</v>
      </c>
      <c r="U24" s="356">
        <f t="shared" si="17"/>
        <v>178200</v>
      </c>
      <c r="V24" s="356">
        <f t="shared" si="17"/>
        <v>184140</v>
      </c>
      <c r="W24" s="356">
        <f t="shared" si="17"/>
        <v>178200</v>
      </c>
      <c r="X24" s="356">
        <f t="shared" si="17"/>
        <v>200880</v>
      </c>
      <c r="Y24" s="356">
        <f t="shared" si="17"/>
        <v>200880</v>
      </c>
      <c r="Z24" s="356">
        <f t="shared" si="17"/>
        <v>194400</v>
      </c>
      <c r="AA24" s="356">
        <f t="shared" si="17"/>
        <v>217620</v>
      </c>
      <c r="AB24" s="356">
        <f t="shared" si="17"/>
        <v>210600</v>
      </c>
      <c r="AC24" s="356">
        <f t="shared" si="17"/>
        <v>217620</v>
      </c>
      <c r="AD24" s="357">
        <f>AD22*AD23</f>
        <v>2268540</v>
      </c>
    </row>
    <row r="25" spans="1:30" ht="16" x14ac:dyDescent="0.2">
      <c r="C25" s="432"/>
      <c r="D25" s="433"/>
      <c r="E25" s="434"/>
      <c r="F25" s="434"/>
      <c r="G25" s="434"/>
      <c r="H25" s="434"/>
      <c r="I25" s="434"/>
      <c r="J25" s="434"/>
      <c r="K25" s="434"/>
      <c r="L25" s="434"/>
      <c r="M25" s="434"/>
      <c r="N25" s="435"/>
      <c r="O25" s="435"/>
      <c r="P25" s="435"/>
      <c r="Q25" s="435"/>
      <c r="R25" s="435"/>
      <c r="S25" s="435"/>
      <c r="T25" s="435"/>
      <c r="U25" s="435"/>
      <c r="V25" s="435"/>
      <c r="W25" s="435"/>
      <c r="X25" s="435"/>
      <c r="Y25" s="435"/>
      <c r="Z25" s="435"/>
      <c r="AA25" s="435"/>
      <c r="AB25" s="435"/>
      <c r="AC25" s="435"/>
      <c r="AD25" s="435"/>
    </row>
    <row r="26" spans="1:30" s="24" customFormat="1" ht="16" x14ac:dyDescent="0.2">
      <c r="C26" s="25"/>
      <c r="D26" s="25"/>
      <c r="E26" s="25" t="b">
        <f t="shared" ref="E26:P26" si="18">E5=SUM(E32,E61,E87)</f>
        <v>1</v>
      </c>
      <c r="F26" s="25" t="b">
        <f t="shared" si="18"/>
        <v>1</v>
      </c>
      <c r="G26" s="25" t="b">
        <f t="shared" si="18"/>
        <v>1</v>
      </c>
      <c r="H26" s="25" t="b">
        <f t="shared" si="18"/>
        <v>1</v>
      </c>
      <c r="I26" s="25" t="b">
        <f t="shared" si="18"/>
        <v>1</v>
      </c>
      <c r="J26" s="25" t="b">
        <f t="shared" si="18"/>
        <v>1</v>
      </c>
      <c r="K26" s="25" t="b">
        <f t="shared" si="18"/>
        <v>1</v>
      </c>
      <c r="L26" s="25" t="b">
        <f t="shared" si="18"/>
        <v>1</v>
      </c>
      <c r="M26" s="25" t="e">
        <f t="shared" si="18"/>
        <v>#REF!</v>
      </c>
      <c r="N26" s="25" t="b">
        <f t="shared" si="18"/>
        <v>1</v>
      </c>
      <c r="O26" s="25" t="b">
        <f t="shared" si="18"/>
        <v>1</v>
      </c>
      <c r="P26" s="25" t="b">
        <f t="shared" si="18"/>
        <v>1</v>
      </c>
      <c r="Q26" s="25"/>
      <c r="R26" s="25" t="b">
        <f t="shared" ref="R26:AD26" si="19">R5=SUM(R32,R61,R87)</f>
        <v>1</v>
      </c>
      <c r="S26" s="25" t="b">
        <f t="shared" si="19"/>
        <v>1</v>
      </c>
      <c r="T26" s="25" t="b">
        <f t="shared" si="19"/>
        <v>1</v>
      </c>
      <c r="U26" s="25" t="b">
        <f t="shared" si="19"/>
        <v>1</v>
      </c>
      <c r="V26" s="25" t="b">
        <f t="shared" si="19"/>
        <v>1</v>
      </c>
      <c r="W26" s="25" t="b">
        <f t="shared" si="19"/>
        <v>1</v>
      </c>
      <c r="X26" s="25" t="b">
        <f t="shared" si="19"/>
        <v>1</v>
      </c>
      <c r="Y26" s="25" t="b">
        <f t="shared" si="19"/>
        <v>1</v>
      </c>
      <c r="Z26" s="25" t="b">
        <f t="shared" si="19"/>
        <v>1</v>
      </c>
      <c r="AA26" s="25" t="b">
        <f t="shared" si="19"/>
        <v>1</v>
      </c>
      <c r="AB26" s="25" t="b">
        <f t="shared" si="19"/>
        <v>1</v>
      </c>
      <c r="AC26" s="25" t="b">
        <f t="shared" si="19"/>
        <v>1</v>
      </c>
      <c r="AD26" s="25" t="b">
        <f t="shared" si="19"/>
        <v>1</v>
      </c>
    </row>
    <row r="27" spans="1:30" s="24" customFormat="1" ht="16" x14ac:dyDescent="0.2">
      <c r="C27" s="25"/>
      <c r="D27" s="25"/>
      <c r="E27" s="26" t="b">
        <f t="shared" ref="E27:AD27" si="20">E11=SUM(E40,E67,E95)</f>
        <v>1</v>
      </c>
      <c r="F27" s="26" t="b">
        <f t="shared" si="20"/>
        <v>1</v>
      </c>
      <c r="G27" s="26" t="b">
        <f t="shared" si="20"/>
        <v>1</v>
      </c>
      <c r="H27" s="26" t="b">
        <f t="shared" si="20"/>
        <v>1</v>
      </c>
      <c r="I27" s="26" t="b">
        <f t="shared" si="20"/>
        <v>1</v>
      </c>
      <c r="J27" s="26" t="b">
        <f t="shared" si="20"/>
        <v>1</v>
      </c>
      <c r="K27" s="26" t="b">
        <f t="shared" si="20"/>
        <v>1</v>
      </c>
      <c r="L27" s="26" t="b">
        <f t="shared" si="20"/>
        <v>1</v>
      </c>
      <c r="M27" s="26" t="e">
        <f t="shared" si="20"/>
        <v>#REF!</v>
      </c>
      <c r="N27" s="26" t="b">
        <f t="shared" si="20"/>
        <v>1</v>
      </c>
      <c r="O27" s="26" t="b">
        <f t="shared" si="20"/>
        <v>1</v>
      </c>
      <c r="P27" s="26" t="b">
        <f t="shared" si="20"/>
        <v>1</v>
      </c>
      <c r="Q27" s="26" t="b">
        <f t="shared" si="20"/>
        <v>1</v>
      </c>
      <c r="R27" s="26" t="b">
        <f t="shared" si="20"/>
        <v>1</v>
      </c>
      <c r="S27" s="26" t="b">
        <f t="shared" si="20"/>
        <v>1</v>
      </c>
      <c r="T27" s="26" t="b">
        <f t="shared" si="20"/>
        <v>1</v>
      </c>
      <c r="U27" s="26" t="b">
        <f t="shared" si="20"/>
        <v>1</v>
      </c>
      <c r="V27" s="26" t="b">
        <f t="shared" si="20"/>
        <v>1</v>
      </c>
      <c r="W27" s="26" t="b">
        <f t="shared" si="20"/>
        <v>1</v>
      </c>
      <c r="X27" s="26" t="b">
        <f t="shared" si="20"/>
        <v>1</v>
      </c>
      <c r="Y27" s="26" t="b">
        <f t="shared" si="20"/>
        <v>1</v>
      </c>
      <c r="Z27" s="26" t="b">
        <f t="shared" si="20"/>
        <v>1</v>
      </c>
      <c r="AA27" s="26" t="b">
        <f t="shared" si="20"/>
        <v>1</v>
      </c>
      <c r="AB27" s="26" t="b">
        <f t="shared" si="20"/>
        <v>1</v>
      </c>
      <c r="AC27" s="26" t="b">
        <f t="shared" si="20"/>
        <v>1</v>
      </c>
      <c r="AD27" s="26" t="b">
        <f t="shared" si="20"/>
        <v>1</v>
      </c>
    </row>
    <row r="28" spans="1:30" s="24" customFormat="1" ht="16" x14ac:dyDescent="0.2">
      <c r="C28" s="25"/>
      <c r="D28" s="25"/>
      <c r="E28" s="26" t="b">
        <f t="shared" ref="E28:AD28" si="21">E13=SUM(E42,E69,E97)</f>
        <v>1</v>
      </c>
      <c r="F28" s="26" t="b">
        <f t="shared" si="21"/>
        <v>1</v>
      </c>
      <c r="G28" s="26" t="b">
        <f t="shared" si="21"/>
        <v>1</v>
      </c>
      <c r="H28" s="26" t="b">
        <f t="shared" si="21"/>
        <v>1</v>
      </c>
      <c r="I28" s="26" t="b">
        <f t="shared" si="21"/>
        <v>1</v>
      </c>
      <c r="J28" s="26" t="b">
        <f t="shared" si="21"/>
        <v>1</v>
      </c>
      <c r="K28" s="26" t="b">
        <f t="shared" si="21"/>
        <v>1</v>
      </c>
      <c r="L28" s="26" t="b">
        <f t="shared" si="21"/>
        <v>1</v>
      </c>
      <c r="M28" s="26" t="b">
        <f t="shared" si="21"/>
        <v>0</v>
      </c>
      <c r="N28" s="26" t="b">
        <f t="shared" si="21"/>
        <v>1</v>
      </c>
      <c r="O28" s="26" t="b">
        <f t="shared" si="21"/>
        <v>1</v>
      </c>
      <c r="P28" s="26" t="b">
        <f t="shared" si="21"/>
        <v>1</v>
      </c>
      <c r="Q28" s="26" t="b">
        <f t="shared" si="21"/>
        <v>1</v>
      </c>
      <c r="R28" s="26" t="b">
        <f t="shared" si="21"/>
        <v>1</v>
      </c>
      <c r="S28" s="26" t="b">
        <f t="shared" si="21"/>
        <v>1</v>
      </c>
      <c r="T28" s="26" t="b">
        <f t="shared" si="21"/>
        <v>1</v>
      </c>
      <c r="U28" s="26" t="b">
        <f t="shared" si="21"/>
        <v>1</v>
      </c>
      <c r="V28" s="26" t="b">
        <f t="shared" si="21"/>
        <v>1</v>
      </c>
      <c r="W28" s="26" t="b">
        <f t="shared" si="21"/>
        <v>1</v>
      </c>
      <c r="X28" s="26" t="b">
        <f t="shared" si="21"/>
        <v>1</v>
      </c>
      <c r="Y28" s="26" t="b">
        <f t="shared" si="21"/>
        <v>1</v>
      </c>
      <c r="Z28" s="26" t="b">
        <f t="shared" si="21"/>
        <v>1</v>
      </c>
      <c r="AA28" s="26" t="b">
        <f t="shared" si="21"/>
        <v>1</v>
      </c>
      <c r="AB28" s="26" t="b">
        <f t="shared" si="21"/>
        <v>1</v>
      </c>
      <c r="AC28" s="26" t="b">
        <f t="shared" si="21"/>
        <v>1</v>
      </c>
      <c r="AD28" s="26" t="b">
        <f t="shared" si="21"/>
        <v>1</v>
      </c>
    </row>
    <row r="29" spans="1:30" ht="16" x14ac:dyDescent="0.2">
      <c r="C29" s="1" t="s">
        <v>47</v>
      </c>
      <c r="D29" s="2"/>
      <c r="F29" s="6"/>
      <c r="K29" s="5"/>
    </row>
    <row r="30" spans="1:30" ht="17" x14ac:dyDescent="0.2">
      <c r="C30" s="7" t="s">
        <v>2</v>
      </c>
      <c r="D30" s="8"/>
      <c r="E30" s="8">
        <v>45658</v>
      </c>
      <c r="F30" s="8">
        <f>EDATE(E30,1)</f>
        <v>45689</v>
      </c>
      <c r="G30" s="8">
        <f t="shared" ref="G30:AC30" si="22">EDATE(F30,1)</f>
        <v>45717</v>
      </c>
      <c r="H30" s="8">
        <f t="shared" si="22"/>
        <v>45748</v>
      </c>
      <c r="I30" s="8">
        <f t="shared" si="22"/>
        <v>45778</v>
      </c>
      <c r="J30" s="8">
        <f t="shared" si="22"/>
        <v>45809</v>
      </c>
      <c r="K30" s="8">
        <f t="shared" si="22"/>
        <v>45839</v>
      </c>
      <c r="L30" s="8">
        <f t="shared" si="22"/>
        <v>45870</v>
      </c>
      <c r="M30" s="9">
        <f t="shared" si="22"/>
        <v>45901</v>
      </c>
      <c r="N30" s="9">
        <f t="shared" si="22"/>
        <v>45931</v>
      </c>
      <c r="O30" s="9">
        <f t="shared" si="22"/>
        <v>45962</v>
      </c>
      <c r="P30" s="9">
        <f t="shared" si="22"/>
        <v>45992</v>
      </c>
      <c r="Q30" s="40" t="s">
        <v>3</v>
      </c>
      <c r="R30" s="9">
        <f>EDATE(P30,1)</f>
        <v>46023</v>
      </c>
      <c r="S30" s="9">
        <f t="shared" si="22"/>
        <v>46054</v>
      </c>
      <c r="T30" s="9">
        <f t="shared" si="22"/>
        <v>46082</v>
      </c>
      <c r="U30" s="9">
        <f t="shared" si="22"/>
        <v>46113</v>
      </c>
      <c r="V30" s="9">
        <f t="shared" si="22"/>
        <v>46143</v>
      </c>
      <c r="W30" s="9">
        <f t="shared" si="22"/>
        <v>46174</v>
      </c>
      <c r="X30" s="9">
        <f t="shared" si="22"/>
        <v>46204</v>
      </c>
      <c r="Y30" s="9">
        <f t="shared" si="22"/>
        <v>46235</v>
      </c>
      <c r="Z30" s="9">
        <f t="shared" si="22"/>
        <v>46266</v>
      </c>
      <c r="AA30" s="9">
        <f t="shared" si="22"/>
        <v>46296</v>
      </c>
      <c r="AB30" s="9">
        <f t="shared" si="22"/>
        <v>46327</v>
      </c>
      <c r="AC30" s="9">
        <f t="shared" si="22"/>
        <v>46357</v>
      </c>
      <c r="AD30" s="40" t="s">
        <v>4</v>
      </c>
    </row>
    <row r="31" spans="1:30" ht="16" x14ac:dyDescent="0.2">
      <c r="A31" s="21" t="s">
        <v>13</v>
      </c>
      <c r="C31" s="10" t="s">
        <v>13</v>
      </c>
      <c r="D31" s="335"/>
      <c r="E31" s="335"/>
      <c r="F31" s="335"/>
      <c r="G31" s="335"/>
      <c r="H31" s="335"/>
      <c r="I31" s="335"/>
      <c r="J31" s="335"/>
      <c r="K31" s="335"/>
      <c r="L31" s="335"/>
      <c r="M31" s="335"/>
      <c r="N31" s="229"/>
      <c r="O31" s="229"/>
      <c r="P31" s="229"/>
      <c r="Q31" s="306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307"/>
    </row>
    <row r="32" spans="1:30" ht="16" x14ac:dyDescent="0.2">
      <c r="A32" s="21" t="s">
        <v>13</v>
      </c>
      <c r="C32" s="232" t="s">
        <v>63</v>
      </c>
      <c r="D32" s="233" t="s">
        <v>64</v>
      </c>
      <c r="E32" s="234">
        <v>82211</v>
      </c>
      <c r="F32" s="234">
        <v>68741</v>
      </c>
      <c r="G32" s="234">
        <v>89225</v>
      </c>
      <c r="H32" s="234">
        <v>102656</v>
      </c>
      <c r="I32" s="234">
        <v>105505</v>
      </c>
      <c r="J32" s="234">
        <v>116039</v>
      </c>
      <c r="K32" s="234">
        <v>141397</v>
      </c>
      <c r="L32" s="234">
        <v>147314</v>
      </c>
      <c r="M32" s="420">
        <v>154051</v>
      </c>
      <c r="N32" s="421">
        <v>164300</v>
      </c>
      <c r="O32" s="39">
        <f>5300*30</f>
        <v>159000</v>
      </c>
      <c r="P32" s="421">
        <v>164300</v>
      </c>
      <c r="Q32" s="270">
        <f>SUM(E32:P32)</f>
        <v>1494739</v>
      </c>
      <c r="R32" s="236">
        <v>133300</v>
      </c>
      <c r="S32" s="236">
        <v>120400</v>
      </c>
      <c r="T32" s="236">
        <v>133300</v>
      </c>
      <c r="U32" s="236">
        <v>156000</v>
      </c>
      <c r="V32" s="236">
        <v>161200</v>
      </c>
      <c r="W32" s="236">
        <v>156000</v>
      </c>
      <c r="X32" s="236">
        <v>176700</v>
      </c>
      <c r="Y32" s="236">
        <v>176700</v>
      </c>
      <c r="Z32" s="236">
        <v>171000</v>
      </c>
      <c r="AA32" s="236">
        <v>201500</v>
      </c>
      <c r="AB32" s="236">
        <v>195000</v>
      </c>
      <c r="AC32" s="236">
        <v>201500</v>
      </c>
      <c r="AD32" s="337">
        <f>SUM(R32:AC32)</f>
        <v>1982600</v>
      </c>
    </row>
    <row r="33" spans="1:31" ht="16" x14ac:dyDescent="0.2">
      <c r="A33" s="21" t="s">
        <v>13</v>
      </c>
      <c r="C33" s="232" t="s">
        <v>65</v>
      </c>
      <c r="D33" s="233" t="s">
        <v>66</v>
      </c>
      <c r="E33" s="237">
        <v>1</v>
      </c>
      <c r="F33" s="237">
        <v>1</v>
      </c>
      <c r="G33" s="237">
        <v>0.99992154665172317</v>
      </c>
      <c r="H33" s="237">
        <v>0.99998051745635907</v>
      </c>
      <c r="I33" s="237">
        <v>1</v>
      </c>
      <c r="J33" s="237">
        <v>0.99998276441541201</v>
      </c>
      <c r="K33" s="237">
        <v>1</v>
      </c>
      <c r="L33" s="237">
        <v>0.9999864235578424</v>
      </c>
      <c r="M33" s="422">
        <v>0.9999864235578424</v>
      </c>
      <c r="N33" s="422">
        <v>0.9999864235578424</v>
      </c>
      <c r="O33" s="422">
        <v>0.9999864235578424</v>
      </c>
      <c r="P33" s="422">
        <v>0.9999864235578424</v>
      </c>
      <c r="Q33" s="436">
        <v>0.9999864235578424</v>
      </c>
      <c r="R33" s="244">
        <v>1</v>
      </c>
      <c r="S33" s="244">
        <v>1</v>
      </c>
      <c r="T33" s="244">
        <v>1</v>
      </c>
      <c r="U33" s="244">
        <v>1</v>
      </c>
      <c r="V33" s="244">
        <v>1</v>
      </c>
      <c r="W33" s="244">
        <v>1</v>
      </c>
      <c r="X33" s="244">
        <v>1</v>
      </c>
      <c r="Y33" s="244">
        <v>1</v>
      </c>
      <c r="Z33" s="244">
        <v>1</v>
      </c>
      <c r="AA33" s="244">
        <v>1</v>
      </c>
      <c r="AB33" s="244">
        <v>1</v>
      </c>
      <c r="AC33" s="244">
        <v>1</v>
      </c>
      <c r="AD33" s="284">
        <v>1</v>
      </c>
    </row>
    <row r="34" spans="1:31" ht="16" x14ac:dyDescent="0.2">
      <c r="A34" s="21" t="s">
        <v>13</v>
      </c>
      <c r="C34" s="232" t="s">
        <v>67</v>
      </c>
      <c r="D34" s="233" t="s">
        <v>66</v>
      </c>
      <c r="E34" s="237">
        <v>0.9947452287406795</v>
      </c>
      <c r="F34" s="237">
        <v>0.99349733055963685</v>
      </c>
      <c r="G34" s="237">
        <v>0.99565110179560179</v>
      </c>
      <c r="H34" s="237">
        <v>0.99356089387651725</v>
      </c>
      <c r="I34" s="237">
        <v>0.99546940903274728</v>
      </c>
      <c r="J34" s="237">
        <v>0.99756112274533126</v>
      </c>
      <c r="K34" s="237">
        <v>0.99876942226497023</v>
      </c>
      <c r="L34" s="237">
        <v>0.99081541218637992</v>
      </c>
      <c r="M34" s="422">
        <v>0.9999864235578424</v>
      </c>
      <c r="N34" s="422">
        <v>0.9999864235578424</v>
      </c>
      <c r="O34" s="422">
        <v>0.9999864235578424</v>
      </c>
      <c r="P34" s="422">
        <v>0.9999864235578424</v>
      </c>
      <c r="Q34" s="436">
        <v>0.9999864235578424</v>
      </c>
      <c r="R34" s="244">
        <v>1</v>
      </c>
      <c r="S34" s="244">
        <v>1</v>
      </c>
      <c r="T34" s="244">
        <v>1</v>
      </c>
      <c r="U34" s="244">
        <v>1</v>
      </c>
      <c r="V34" s="244">
        <v>1</v>
      </c>
      <c r="W34" s="244">
        <v>1</v>
      </c>
      <c r="X34" s="244">
        <v>1</v>
      </c>
      <c r="Y34" s="244">
        <v>1</v>
      </c>
      <c r="Z34" s="244">
        <v>1</v>
      </c>
      <c r="AA34" s="244">
        <v>1</v>
      </c>
      <c r="AB34" s="244">
        <v>1</v>
      </c>
      <c r="AC34" s="244">
        <v>1</v>
      </c>
      <c r="AD34" s="284">
        <v>1</v>
      </c>
    </row>
    <row r="35" spans="1:31" ht="16" x14ac:dyDescent="0.2">
      <c r="A35" s="21" t="s">
        <v>13</v>
      </c>
      <c r="C35" s="232" t="s">
        <v>68</v>
      </c>
      <c r="D35" s="233" t="s">
        <v>66</v>
      </c>
      <c r="E35" s="237">
        <v>0.20776727521735408</v>
      </c>
      <c r="F35" s="237">
        <v>0.17962046446247107</v>
      </c>
      <c r="G35" s="237">
        <v>0.21106608127884724</v>
      </c>
      <c r="H35" s="237">
        <v>0.16941358720696517</v>
      </c>
      <c r="I35" s="237">
        <v>0.1618345758709665</v>
      </c>
      <c r="J35" s="237">
        <v>0.1767368730238264</v>
      </c>
      <c r="K35" s="237">
        <v>0.18676136323403411</v>
      </c>
      <c r="L35" s="237">
        <v>0.16075747298899007</v>
      </c>
      <c r="M35" s="422">
        <v>0.1798300562800631</v>
      </c>
      <c r="N35" s="437">
        <v>0.17499999999999999</v>
      </c>
      <c r="O35" s="437">
        <v>0.17499999999999999</v>
      </c>
      <c r="P35" s="437">
        <v>0.17499999999999999</v>
      </c>
      <c r="Q35" s="436">
        <f>Q36/Q32</f>
        <v>0.17769652818910953</v>
      </c>
      <c r="R35" s="238">
        <v>0.17499999999999999</v>
      </c>
      <c r="S35" s="238">
        <v>0.17499999999999999</v>
      </c>
      <c r="T35" s="238">
        <v>0.17499999999999999</v>
      </c>
      <c r="U35" s="238">
        <v>0.17499999999999999</v>
      </c>
      <c r="V35" s="238">
        <v>0.17499999999999999</v>
      </c>
      <c r="W35" s="238">
        <v>0.17499999999999999</v>
      </c>
      <c r="X35" s="238">
        <v>0.17499999999999999</v>
      </c>
      <c r="Y35" s="238">
        <v>0.17499999999999999</v>
      </c>
      <c r="Z35" s="238">
        <v>0.17499999999999999</v>
      </c>
      <c r="AA35" s="238">
        <v>0.17499999999999999</v>
      </c>
      <c r="AB35" s="238">
        <v>0.17499999999999999</v>
      </c>
      <c r="AC35" s="238">
        <v>0.17499999999999999</v>
      </c>
      <c r="AD35" s="284">
        <f>AD36/AD32</f>
        <v>0.17499999999999999</v>
      </c>
    </row>
    <row r="36" spans="1:31" ht="16" x14ac:dyDescent="0.2">
      <c r="A36" s="21" t="s">
        <v>13</v>
      </c>
      <c r="C36" s="232" t="s">
        <v>69</v>
      </c>
      <c r="D36" s="233" t="s">
        <v>64</v>
      </c>
      <c r="E36" s="235">
        <f t="shared" ref="E36:P36" si="23">E32*E33*E34*E35</f>
        <v>16991</v>
      </c>
      <c r="F36" s="235">
        <f t="shared" si="23"/>
        <v>12267</v>
      </c>
      <c r="G36" s="235">
        <f t="shared" si="23"/>
        <v>18749</v>
      </c>
      <c r="H36" s="235">
        <f t="shared" si="23"/>
        <v>17279</v>
      </c>
      <c r="I36" s="235">
        <f t="shared" si="23"/>
        <v>16997</v>
      </c>
      <c r="J36" s="235">
        <f t="shared" si="23"/>
        <v>20458</v>
      </c>
      <c r="K36" s="235">
        <f t="shared" si="23"/>
        <v>26375</v>
      </c>
      <c r="L36" s="235">
        <f t="shared" si="23"/>
        <v>23464</v>
      </c>
      <c r="M36" s="438">
        <f t="shared" si="23"/>
        <v>27702.247788752025</v>
      </c>
      <c r="N36" s="421">
        <f t="shared" si="23"/>
        <v>28751.71929199338</v>
      </c>
      <c r="O36" s="421">
        <f t="shared" si="23"/>
        <v>27824.244476122625</v>
      </c>
      <c r="P36" s="421">
        <f t="shared" si="23"/>
        <v>28751.71929199338</v>
      </c>
      <c r="Q36" s="270">
        <f>SUM(E36:P36)</f>
        <v>265609.9308488614</v>
      </c>
      <c r="R36" s="236">
        <f t="shared" ref="R36:AC36" si="24">R32*R33*R34*R35</f>
        <v>23327.5</v>
      </c>
      <c r="S36" s="236">
        <f t="shared" si="24"/>
        <v>21070</v>
      </c>
      <c r="T36" s="236">
        <f t="shared" si="24"/>
        <v>23327.5</v>
      </c>
      <c r="U36" s="236">
        <f t="shared" si="24"/>
        <v>27300</v>
      </c>
      <c r="V36" s="236">
        <f t="shared" si="24"/>
        <v>28210</v>
      </c>
      <c r="W36" s="236">
        <f t="shared" si="24"/>
        <v>27300</v>
      </c>
      <c r="X36" s="236">
        <f t="shared" si="24"/>
        <v>30922.499999999996</v>
      </c>
      <c r="Y36" s="236">
        <f t="shared" si="24"/>
        <v>30922.499999999996</v>
      </c>
      <c r="Z36" s="236">
        <f t="shared" si="24"/>
        <v>29924.999999999996</v>
      </c>
      <c r="AA36" s="236">
        <f t="shared" si="24"/>
        <v>35262.5</v>
      </c>
      <c r="AB36" s="236">
        <f t="shared" si="24"/>
        <v>34125</v>
      </c>
      <c r="AC36" s="236">
        <f t="shared" si="24"/>
        <v>35262.5</v>
      </c>
      <c r="AD36" s="272">
        <f>SUM(R36:AC36)</f>
        <v>346955</v>
      </c>
    </row>
    <row r="37" spans="1:31" ht="16" x14ac:dyDescent="0.2">
      <c r="A37" s="21" t="s">
        <v>13</v>
      </c>
      <c r="C37" s="232" t="s">
        <v>44</v>
      </c>
      <c r="D37" s="233" t="s">
        <v>66</v>
      </c>
      <c r="E37" s="237">
        <v>0.8171384850803366</v>
      </c>
      <c r="F37" s="237">
        <v>0.84225972120322812</v>
      </c>
      <c r="G37" s="237">
        <v>0.8485785908581791</v>
      </c>
      <c r="H37" s="237">
        <v>0.85548932229874419</v>
      </c>
      <c r="I37" s="237">
        <v>0.86644702006236396</v>
      </c>
      <c r="J37" s="237">
        <v>0.86108123961286542</v>
      </c>
      <c r="K37" s="237">
        <v>0.87272037914691947</v>
      </c>
      <c r="L37" s="237">
        <v>0.86387657688373676</v>
      </c>
      <c r="M37" s="422">
        <v>0.86438147493051287</v>
      </c>
      <c r="N37" s="437">
        <v>0.83</v>
      </c>
      <c r="O37" s="437">
        <v>0.83</v>
      </c>
      <c r="P37" s="437">
        <v>0.83</v>
      </c>
      <c r="Q37" s="436">
        <f>Q38/Q36</f>
        <v>0.84826002560358948</v>
      </c>
      <c r="R37" s="238">
        <v>0.86</v>
      </c>
      <c r="S37" s="238">
        <v>0.86</v>
      </c>
      <c r="T37" s="238">
        <v>0.86</v>
      </c>
      <c r="U37" s="238">
        <v>0.86</v>
      </c>
      <c r="V37" s="238">
        <v>0.86</v>
      </c>
      <c r="W37" s="238">
        <v>0.86</v>
      </c>
      <c r="X37" s="238">
        <v>0.86</v>
      </c>
      <c r="Y37" s="238">
        <v>0.86</v>
      </c>
      <c r="Z37" s="238">
        <v>0.86</v>
      </c>
      <c r="AA37" s="238">
        <v>0.86</v>
      </c>
      <c r="AB37" s="238">
        <v>0.86</v>
      </c>
      <c r="AC37" s="238">
        <v>0.86</v>
      </c>
      <c r="AD37" s="284">
        <f>R37</f>
        <v>0.86</v>
      </c>
    </row>
    <row r="38" spans="1:31" ht="16" x14ac:dyDescent="0.2">
      <c r="A38" s="21" t="s">
        <v>13</v>
      </c>
      <c r="C38" s="232" t="s">
        <v>70</v>
      </c>
      <c r="D38" s="233" t="s">
        <v>64</v>
      </c>
      <c r="E38" s="235">
        <f t="shared" ref="E38:P38" si="25">E36*E37</f>
        <v>13884</v>
      </c>
      <c r="F38" s="235">
        <f t="shared" si="25"/>
        <v>10332</v>
      </c>
      <c r="G38" s="235">
        <f t="shared" si="25"/>
        <v>15910</v>
      </c>
      <c r="H38" s="235">
        <f t="shared" si="25"/>
        <v>14782</v>
      </c>
      <c r="I38" s="235">
        <f t="shared" si="25"/>
        <v>14727</v>
      </c>
      <c r="J38" s="235">
        <f t="shared" si="25"/>
        <v>17616</v>
      </c>
      <c r="K38" s="235">
        <f t="shared" si="25"/>
        <v>23018</v>
      </c>
      <c r="L38" s="235">
        <f t="shared" si="25"/>
        <v>20270</v>
      </c>
      <c r="M38" s="438">
        <f t="shared" si="25"/>
        <v>23945.309802532014</v>
      </c>
      <c r="N38" s="421">
        <f t="shared" si="25"/>
        <v>23863.927012354503</v>
      </c>
      <c r="O38" s="421">
        <f t="shared" si="25"/>
        <v>23094.122915181779</v>
      </c>
      <c r="P38" s="421">
        <f t="shared" si="25"/>
        <v>23863.927012354503</v>
      </c>
      <c r="Q38" s="270">
        <f>SUM(E38:P38)</f>
        <v>225306.28674242282</v>
      </c>
      <c r="R38" s="336">
        <f t="shared" ref="R38:AC38" si="26">R36*R37</f>
        <v>20061.650000000001</v>
      </c>
      <c r="S38" s="336">
        <f t="shared" si="26"/>
        <v>18120.2</v>
      </c>
      <c r="T38" s="336">
        <f t="shared" si="26"/>
        <v>20061.650000000001</v>
      </c>
      <c r="U38" s="336">
        <f t="shared" si="26"/>
        <v>23478</v>
      </c>
      <c r="V38" s="336">
        <f t="shared" si="26"/>
        <v>24260.6</v>
      </c>
      <c r="W38" s="336">
        <f t="shared" si="26"/>
        <v>23478</v>
      </c>
      <c r="X38" s="336">
        <f t="shared" si="26"/>
        <v>26593.349999999995</v>
      </c>
      <c r="Y38" s="336">
        <f t="shared" si="26"/>
        <v>26593.349999999995</v>
      </c>
      <c r="Z38" s="336">
        <f t="shared" si="26"/>
        <v>25735.499999999996</v>
      </c>
      <c r="AA38" s="336">
        <f t="shared" si="26"/>
        <v>30325.75</v>
      </c>
      <c r="AB38" s="336">
        <f t="shared" si="26"/>
        <v>29347.5</v>
      </c>
      <c r="AC38" s="336">
        <f t="shared" si="26"/>
        <v>30325.75</v>
      </c>
      <c r="AD38" s="272">
        <f>SUM(R38:AC38)</f>
        <v>298381.30000000005</v>
      </c>
    </row>
    <row r="39" spans="1:31" ht="16" x14ac:dyDescent="0.2">
      <c r="A39" s="21" t="s">
        <v>13</v>
      </c>
      <c r="C39" s="232" t="s">
        <v>71</v>
      </c>
      <c r="D39" s="233" t="s">
        <v>66</v>
      </c>
      <c r="E39" s="237">
        <v>1</v>
      </c>
      <c r="F39" s="237">
        <v>0.99970963995354234</v>
      </c>
      <c r="G39" s="237">
        <v>0.99993714644877441</v>
      </c>
      <c r="H39" s="237">
        <v>1</v>
      </c>
      <c r="I39" s="237">
        <v>0.99993209750797851</v>
      </c>
      <c r="J39" s="237">
        <v>0.99977293369663944</v>
      </c>
      <c r="K39" s="237">
        <v>1</v>
      </c>
      <c r="L39" s="237">
        <v>1</v>
      </c>
      <c r="M39" s="422">
        <v>1</v>
      </c>
      <c r="N39" s="437">
        <v>1</v>
      </c>
      <c r="O39" s="437">
        <v>1</v>
      </c>
      <c r="P39" s="437">
        <v>1</v>
      </c>
      <c r="Q39" s="436">
        <v>0.99996005437695445</v>
      </c>
      <c r="R39" s="244">
        <v>1</v>
      </c>
      <c r="S39" s="244">
        <v>1</v>
      </c>
      <c r="T39" s="244">
        <v>1</v>
      </c>
      <c r="U39" s="244">
        <v>1</v>
      </c>
      <c r="V39" s="244">
        <v>1</v>
      </c>
      <c r="W39" s="244">
        <v>1</v>
      </c>
      <c r="X39" s="244">
        <v>1</v>
      </c>
      <c r="Y39" s="244">
        <v>1</v>
      </c>
      <c r="Z39" s="244">
        <v>1</v>
      </c>
      <c r="AA39" s="244">
        <v>1</v>
      </c>
      <c r="AB39" s="244">
        <v>1</v>
      </c>
      <c r="AC39" s="244">
        <v>1</v>
      </c>
      <c r="AD39" s="284">
        <v>1</v>
      </c>
    </row>
    <row r="40" spans="1:31" ht="16" x14ac:dyDescent="0.2">
      <c r="A40" s="21" t="s">
        <v>13</v>
      </c>
      <c r="C40" s="232" t="s">
        <v>72</v>
      </c>
      <c r="D40" s="233" t="s">
        <v>66</v>
      </c>
      <c r="E40" s="235">
        <f t="shared" ref="E40:P40" si="27">E38*E39</f>
        <v>13884</v>
      </c>
      <c r="F40" s="235">
        <f t="shared" si="27"/>
        <v>10329</v>
      </c>
      <c r="G40" s="235">
        <f t="shared" si="27"/>
        <v>15909</v>
      </c>
      <c r="H40" s="235">
        <f t="shared" si="27"/>
        <v>14782</v>
      </c>
      <c r="I40" s="235">
        <f t="shared" si="27"/>
        <v>14726</v>
      </c>
      <c r="J40" s="235">
        <f t="shared" si="27"/>
        <v>17612</v>
      </c>
      <c r="K40" s="235">
        <f t="shared" si="27"/>
        <v>23018</v>
      </c>
      <c r="L40" s="235">
        <f t="shared" si="27"/>
        <v>20270</v>
      </c>
      <c r="M40" s="235">
        <f t="shared" si="27"/>
        <v>23945.309802532014</v>
      </c>
      <c r="N40" s="235">
        <f t="shared" si="27"/>
        <v>23863.927012354503</v>
      </c>
      <c r="O40" s="235">
        <f t="shared" si="27"/>
        <v>23094.122915181779</v>
      </c>
      <c r="P40" s="235">
        <f t="shared" si="27"/>
        <v>23863.927012354503</v>
      </c>
      <c r="Q40" s="270">
        <f>SUM(E40:P40)</f>
        <v>225297.28674242282</v>
      </c>
      <c r="R40" s="336">
        <f t="shared" ref="R40:AD40" si="28">R38*R39</f>
        <v>20061.650000000001</v>
      </c>
      <c r="S40" s="336">
        <f t="shared" si="28"/>
        <v>18120.2</v>
      </c>
      <c r="T40" s="336">
        <f t="shared" si="28"/>
        <v>20061.650000000001</v>
      </c>
      <c r="U40" s="336">
        <f t="shared" si="28"/>
        <v>23478</v>
      </c>
      <c r="V40" s="336">
        <f t="shared" si="28"/>
        <v>24260.6</v>
      </c>
      <c r="W40" s="336">
        <f t="shared" si="28"/>
        <v>23478</v>
      </c>
      <c r="X40" s="336">
        <f t="shared" si="28"/>
        <v>26593.349999999995</v>
      </c>
      <c r="Y40" s="336">
        <f t="shared" si="28"/>
        <v>26593.349999999995</v>
      </c>
      <c r="Z40" s="336">
        <f t="shared" si="28"/>
        <v>25735.499999999996</v>
      </c>
      <c r="AA40" s="336">
        <f t="shared" si="28"/>
        <v>30325.75</v>
      </c>
      <c r="AB40" s="336">
        <f t="shared" si="28"/>
        <v>29347.5</v>
      </c>
      <c r="AC40" s="336">
        <f t="shared" si="28"/>
        <v>30325.75</v>
      </c>
      <c r="AD40" s="272">
        <f t="shared" si="28"/>
        <v>298381.30000000005</v>
      </c>
    </row>
    <row r="41" spans="1:31" ht="16" x14ac:dyDescent="0.2">
      <c r="A41" s="21" t="s">
        <v>13</v>
      </c>
      <c r="C41" s="232" t="s">
        <v>73</v>
      </c>
      <c r="D41" s="233" t="s">
        <v>64</v>
      </c>
      <c r="E41" s="240">
        <f t="shared" ref="E41:L41" si="29">E42/E40</f>
        <v>10.68336430423509</v>
      </c>
      <c r="F41" s="240">
        <f t="shared" si="29"/>
        <v>10.802540420176204</v>
      </c>
      <c r="G41" s="240">
        <f t="shared" si="29"/>
        <v>11.059734112766359</v>
      </c>
      <c r="H41" s="240">
        <f t="shared" si="29"/>
        <v>14.160466107427954</v>
      </c>
      <c r="I41" s="240">
        <f t="shared" si="29"/>
        <v>14.694350129023496</v>
      </c>
      <c r="J41" s="240">
        <f t="shared" si="29"/>
        <v>14.390941403588464</v>
      </c>
      <c r="K41" s="240">
        <f t="shared" si="29"/>
        <v>15.265709444782349</v>
      </c>
      <c r="L41" s="240">
        <f t="shared" si="29"/>
        <v>15.494726689689195</v>
      </c>
      <c r="M41" s="439">
        <v>18.654428137355946</v>
      </c>
      <c r="N41" s="439">
        <v>18.5</v>
      </c>
      <c r="O41" s="420">
        <v>18.5</v>
      </c>
      <c r="P41" s="439">
        <v>18.5</v>
      </c>
      <c r="Q41" s="440">
        <f>Q42/Q40</f>
        <v>15.700924522762843</v>
      </c>
      <c r="R41" s="248">
        <v>18</v>
      </c>
      <c r="S41" s="248">
        <v>18</v>
      </c>
      <c r="T41" s="248">
        <v>18</v>
      </c>
      <c r="U41" s="248">
        <v>18</v>
      </c>
      <c r="V41" s="248">
        <v>18</v>
      </c>
      <c r="W41" s="248">
        <v>18</v>
      </c>
      <c r="X41" s="248">
        <v>18</v>
      </c>
      <c r="Y41" s="248">
        <v>18</v>
      </c>
      <c r="Z41" s="248">
        <v>18</v>
      </c>
      <c r="AA41" s="248">
        <v>18</v>
      </c>
      <c r="AB41" s="248">
        <v>18</v>
      </c>
      <c r="AC41" s="248">
        <v>18</v>
      </c>
      <c r="AD41" s="291">
        <f>R41</f>
        <v>18</v>
      </c>
    </row>
    <row r="42" spans="1:31" ht="16" x14ac:dyDescent="0.2">
      <c r="A42" s="21" t="s">
        <v>13</v>
      </c>
      <c r="C42" s="232" t="s">
        <v>75</v>
      </c>
      <c r="D42" s="233" t="s">
        <v>74</v>
      </c>
      <c r="E42" s="234">
        <v>148327.82999999999</v>
      </c>
      <c r="F42" s="234">
        <v>111579.44</v>
      </c>
      <c r="G42" s="234">
        <v>175949.31</v>
      </c>
      <c r="H42" s="234">
        <v>209320.01</v>
      </c>
      <c r="I42" s="234">
        <v>216389</v>
      </c>
      <c r="J42" s="234">
        <v>253453.26</v>
      </c>
      <c r="K42" s="234">
        <v>351386.10000000009</v>
      </c>
      <c r="L42" s="234">
        <v>314078.11</v>
      </c>
      <c r="M42" s="420">
        <f t="shared" ref="M42:AD42" si="30">M40*M41</f>
        <v>446686.06093805836</v>
      </c>
      <c r="N42" s="234">
        <f t="shared" si="30"/>
        <v>441482.64972855832</v>
      </c>
      <c r="O42" s="394">
        <f t="shared" si="30"/>
        <v>427241.2739308629</v>
      </c>
      <c r="P42" s="233">
        <f t="shared" si="30"/>
        <v>441482.64972855832</v>
      </c>
      <c r="Q42" s="374">
        <f>SUM(E42:P42)</f>
        <v>3537375.6943260385</v>
      </c>
      <c r="R42" s="234">
        <f t="shared" si="30"/>
        <v>361109.7</v>
      </c>
      <c r="S42" s="234">
        <f t="shared" si="30"/>
        <v>326163.60000000003</v>
      </c>
      <c r="T42" s="234">
        <f t="shared" si="30"/>
        <v>361109.7</v>
      </c>
      <c r="U42" s="234">
        <f t="shared" si="30"/>
        <v>422604</v>
      </c>
      <c r="V42" s="234">
        <f t="shared" si="30"/>
        <v>436690.8</v>
      </c>
      <c r="W42" s="234">
        <f t="shared" si="30"/>
        <v>422604</v>
      </c>
      <c r="X42" s="234">
        <f t="shared" si="30"/>
        <v>478680.29999999993</v>
      </c>
      <c r="Y42" s="234">
        <f t="shared" si="30"/>
        <v>478680.29999999993</v>
      </c>
      <c r="Z42" s="234">
        <f t="shared" si="30"/>
        <v>463238.99999999994</v>
      </c>
      <c r="AA42" s="234">
        <f t="shared" si="30"/>
        <v>545863.5</v>
      </c>
      <c r="AB42" s="234">
        <f t="shared" si="30"/>
        <v>528255</v>
      </c>
      <c r="AC42" s="234">
        <f t="shared" si="30"/>
        <v>545863.5</v>
      </c>
      <c r="AD42" s="343">
        <f t="shared" si="30"/>
        <v>5370863.4000000004</v>
      </c>
      <c r="AE42" s="5">
        <f>AD42/12</f>
        <v>447571.95</v>
      </c>
    </row>
    <row r="43" spans="1:31" ht="16" x14ac:dyDescent="0.2">
      <c r="C43" s="344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1"/>
      <c r="O43" s="231"/>
      <c r="P43" s="231"/>
      <c r="Q43" s="419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345"/>
    </row>
    <row r="44" spans="1:31" ht="16" x14ac:dyDescent="0.2">
      <c r="A44" s="21" t="s">
        <v>14</v>
      </c>
      <c r="C44" s="11" t="s">
        <v>14</v>
      </c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1"/>
      <c r="O44" s="231"/>
      <c r="P44" s="231"/>
      <c r="Q44" s="419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345"/>
    </row>
    <row r="45" spans="1:31" ht="16" x14ac:dyDescent="0.2">
      <c r="A45" s="21" t="s">
        <v>14</v>
      </c>
      <c r="C45" s="232" t="s">
        <v>63</v>
      </c>
      <c r="D45" s="233" t="s">
        <v>64</v>
      </c>
      <c r="E45" s="233"/>
      <c r="F45" s="233"/>
      <c r="G45" s="233"/>
      <c r="H45" s="233"/>
      <c r="I45" s="233"/>
      <c r="J45" s="233"/>
      <c r="K45" s="3">
        <v>57914</v>
      </c>
      <c r="L45" s="3">
        <v>161694</v>
      </c>
      <c r="M45" s="420">
        <v>164449</v>
      </c>
      <c r="N45" s="421">
        <v>170500</v>
      </c>
      <c r="O45" s="421">
        <v>165000</v>
      </c>
      <c r="P45" s="421">
        <v>170500</v>
      </c>
      <c r="Q45" s="270">
        <f>SUM(E45:P45)</f>
        <v>890057</v>
      </c>
      <c r="R45" s="236">
        <v>155000</v>
      </c>
      <c r="S45" s="236">
        <v>140000</v>
      </c>
      <c r="T45" s="236">
        <v>155000</v>
      </c>
      <c r="U45" s="236">
        <v>165000</v>
      </c>
      <c r="V45" s="236">
        <v>170500</v>
      </c>
      <c r="W45" s="236">
        <v>165000</v>
      </c>
      <c r="X45" s="236">
        <v>186000</v>
      </c>
      <c r="Y45" s="236">
        <v>186000</v>
      </c>
      <c r="Z45" s="236">
        <v>180000</v>
      </c>
      <c r="AA45" s="236">
        <v>201500</v>
      </c>
      <c r="AB45" s="236">
        <v>195000</v>
      </c>
      <c r="AC45" s="236">
        <v>201500</v>
      </c>
      <c r="AD45" s="337">
        <f>SUM(R45:AC45)</f>
        <v>2100500</v>
      </c>
    </row>
    <row r="46" spans="1:31" ht="16" x14ac:dyDescent="0.2">
      <c r="A46" s="21" t="s">
        <v>14</v>
      </c>
      <c r="C46" s="232" t="s">
        <v>65</v>
      </c>
      <c r="D46" s="233" t="s">
        <v>66</v>
      </c>
      <c r="E46" s="233"/>
      <c r="F46" s="233"/>
      <c r="G46" s="233"/>
      <c r="H46" s="233"/>
      <c r="I46" s="233"/>
      <c r="J46" s="233"/>
      <c r="K46" s="255">
        <v>1</v>
      </c>
      <c r="L46" s="255">
        <v>1</v>
      </c>
      <c r="M46" s="423">
        <v>1</v>
      </c>
      <c r="N46" s="423">
        <v>1</v>
      </c>
      <c r="O46" s="423">
        <v>1</v>
      </c>
      <c r="P46" s="423">
        <v>1</v>
      </c>
      <c r="Q46" s="436">
        <v>0.9999864235578424</v>
      </c>
      <c r="R46" s="244">
        <v>1</v>
      </c>
      <c r="S46" s="244">
        <v>1</v>
      </c>
      <c r="T46" s="244">
        <v>1</v>
      </c>
      <c r="U46" s="244">
        <v>1</v>
      </c>
      <c r="V46" s="244">
        <v>1</v>
      </c>
      <c r="W46" s="244">
        <v>1</v>
      </c>
      <c r="X46" s="244">
        <v>1</v>
      </c>
      <c r="Y46" s="244">
        <v>1</v>
      </c>
      <c r="Z46" s="244">
        <v>1</v>
      </c>
      <c r="AA46" s="244">
        <v>1</v>
      </c>
      <c r="AB46" s="244">
        <v>1</v>
      </c>
      <c r="AC46" s="244">
        <v>1</v>
      </c>
      <c r="AD46" s="284">
        <v>0.9999864235578424</v>
      </c>
    </row>
    <row r="47" spans="1:31" ht="16" x14ac:dyDescent="0.2">
      <c r="A47" s="21" t="s">
        <v>14</v>
      </c>
      <c r="C47" s="232" t="s">
        <v>67</v>
      </c>
      <c r="D47" s="233" t="s">
        <v>66</v>
      </c>
      <c r="E47" s="233"/>
      <c r="F47" s="233"/>
      <c r="G47" s="233"/>
      <c r="H47" s="233"/>
      <c r="I47" s="233"/>
      <c r="J47" s="233"/>
      <c r="K47" s="255">
        <v>1</v>
      </c>
      <c r="L47" s="255">
        <v>1</v>
      </c>
      <c r="M47" s="423">
        <v>1</v>
      </c>
      <c r="N47" s="423">
        <v>1</v>
      </c>
      <c r="O47" s="423">
        <v>1</v>
      </c>
      <c r="P47" s="423">
        <v>1</v>
      </c>
      <c r="Q47" s="436">
        <v>0.9999864235578424</v>
      </c>
      <c r="R47" s="244">
        <v>1</v>
      </c>
      <c r="S47" s="244">
        <v>1</v>
      </c>
      <c r="T47" s="244">
        <v>1</v>
      </c>
      <c r="U47" s="244">
        <v>1</v>
      </c>
      <c r="V47" s="244">
        <v>1</v>
      </c>
      <c r="W47" s="244">
        <v>1</v>
      </c>
      <c r="X47" s="244">
        <v>1</v>
      </c>
      <c r="Y47" s="244">
        <v>1</v>
      </c>
      <c r="Z47" s="244">
        <v>1</v>
      </c>
      <c r="AA47" s="244">
        <v>1</v>
      </c>
      <c r="AB47" s="244">
        <v>1</v>
      </c>
      <c r="AC47" s="244">
        <v>1</v>
      </c>
      <c r="AD47" s="284">
        <v>0.9999864235578424</v>
      </c>
    </row>
    <row r="48" spans="1:31" ht="16" x14ac:dyDescent="0.2">
      <c r="A48" s="21" t="s">
        <v>14</v>
      </c>
      <c r="C48" s="232" t="s">
        <v>68</v>
      </c>
      <c r="D48" s="233" t="s">
        <v>66</v>
      </c>
      <c r="E48" s="233"/>
      <c r="F48" s="233"/>
      <c r="G48" s="233"/>
      <c r="H48" s="233"/>
      <c r="I48" s="233"/>
      <c r="J48" s="233"/>
      <c r="K48" s="441">
        <v>0.40202714369582482</v>
      </c>
      <c r="L48" s="441">
        <v>0.33494749341348473</v>
      </c>
      <c r="M48" s="423">
        <v>0.48</v>
      </c>
      <c r="N48" s="423">
        <v>0.48</v>
      </c>
      <c r="O48" s="423">
        <v>0.48</v>
      </c>
      <c r="P48" s="423">
        <v>0.48</v>
      </c>
      <c r="Q48" s="436">
        <f>Q49/Q45</f>
        <v>0.44857522608102629</v>
      </c>
      <c r="R48" s="244">
        <v>0.4</v>
      </c>
      <c r="S48" s="244">
        <v>0.4</v>
      </c>
      <c r="T48" s="244">
        <v>0.4</v>
      </c>
      <c r="U48" s="244">
        <v>0.4</v>
      </c>
      <c r="V48" s="244">
        <v>0.4</v>
      </c>
      <c r="W48" s="244">
        <v>0.4</v>
      </c>
      <c r="X48" s="244">
        <v>0.4</v>
      </c>
      <c r="Y48" s="244">
        <v>0.4</v>
      </c>
      <c r="Z48" s="244">
        <v>0.4</v>
      </c>
      <c r="AA48" s="244">
        <v>0.4</v>
      </c>
      <c r="AB48" s="244">
        <v>0.4</v>
      </c>
      <c r="AC48" s="244">
        <v>0.4</v>
      </c>
      <c r="AD48" s="284">
        <f>AD49/AD45</f>
        <v>0.4</v>
      </c>
    </row>
    <row r="49" spans="1:31" ht="16" x14ac:dyDescent="0.2">
      <c r="A49" s="21" t="s">
        <v>14</v>
      </c>
      <c r="C49" s="232" t="s">
        <v>69</v>
      </c>
      <c r="D49" s="233" t="s">
        <v>64</v>
      </c>
      <c r="E49" s="233"/>
      <c r="F49" s="233"/>
      <c r="G49" s="233"/>
      <c r="H49" s="233"/>
      <c r="I49" s="233"/>
      <c r="J49" s="233"/>
      <c r="K49" s="234">
        <f t="shared" ref="K49:P49" si="31">K45*K46*K47*K48</f>
        <v>23283</v>
      </c>
      <c r="L49" s="234">
        <f t="shared" si="31"/>
        <v>54159</v>
      </c>
      <c r="M49" s="234">
        <f t="shared" si="31"/>
        <v>78935.520000000004</v>
      </c>
      <c r="N49" s="234">
        <f t="shared" si="31"/>
        <v>81840</v>
      </c>
      <c r="O49" s="234">
        <f t="shared" si="31"/>
        <v>79200</v>
      </c>
      <c r="P49" s="234">
        <f t="shared" si="31"/>
        <v>81840</v>
      </c>
      <c r="Q49" s="270">
        <f>SUM(E49:P49)</f>
        <v>399257.52</v>
      </c>
      <c r="R49" s="236">
        <f t="shared" ref="R49:AC49" si="32">R45*R46*R47*R48</f>
        <v>62000</v>
      </c>
      <c r="S49" s="236">
        <f t="shared" si="32"/>
        <v>56000</v>
      </c>
      <c r="T49" s="236">
        <f t="shared" si="32"/>
        <v>62000</v>
      </c>
      <c r="U49" s="236">
        <f t="shared" si="32"/>
        <v>66000</v>
      </c>
      <c r="V49" s="236">
        <f t="shared" si="32"/>
        <v>68200</v>
      </c>
      <c r="W49" s="236">
        <f t="shared" si="32"/>
        <v>66000</v>
      </c>
      <c r="X49" s="236">
        <f t="shared" si="32"/>
        <v>74400</v>
      </c>
      <c r="Y49" s="236">
        <f t="shared" si="32"/>
        <v>74400</v>
      </c>
      <c r="Z49" s="236">
        <f t="shared" si="32"/>
        <v>72000</v>
      </c>
      <c r="AA49" s="236">
        <f t="shared" si="32"/>
        <v>80600</v>
      </c>
      <c r="AB49" s="236">
        <f t="shared" si="32"/>
        <v>78000</v>
      </c>
      <c r="AC49" s="236">
        <f t="shared" si="32"/>
        <v>80600</v>
      </c>
      <c r="AD49" s="272">
        <f>SUM(R49:AC49)</f>
        <v>840200</v>
      </c>
    </row>
    <row r="50" spans="1:31" ht="16" x14ac:dyDescent="0.2">
      <c r="A50" s="21" t="s">
        <v>14</v>
      </c>
      <c r="C50" s="232" t="s">
        <v>44</v>
      </c>
      <c r="D50" s="233" t="s">
        <v>66</v>
      </c>
      <c r="E50" s="233"/>
      <c r="F50" s="233"/>
      <c r="G50" s="233"/>
      <c r="H50" s="233"/>
      <c r="I50" s="233"/>
      <c r="J50" s="233"/>
      <c r="K50" s="441">
        <v>0.95047889017738263</v>
      </c>
      <c r="L50" s="441">
        <v>0.93347366088738715</v>
      </c>
      <c r="M50" s="442">
        <v>0.92</v>
      </c>
      <c r="N50" s="425">
        <v>0.9</v>
      </c>
      <c r="O50" s="425">
        <v>0.9</v>
      </c>
      <c r="P50" s="425">
        <v>0.9</v>
      </c>
      <c r="Q50" s="436">
        <f>Q51/Q49</f>
        <v>0.91143850815884431</v>
      </c>
      <c r="R50" s="244">
        <v>0.9</v>
      </c>
      <c r="S50" s="244">
        <v>0.9</v>
      </c>
      <c r="T50" s="244">
        <v>0.9</v>
      </c>
      <c r="U50" s="244">
        <v>0.9</v>
      </c>
      <c r="V50" s="244">
        <v>0.9</v>
      </c>
      <c r="W50" s="244">
        <v>0.9</v>
      </c>
      <c r="X50" s="244">
        <v>0.9</v>
      </c>
      <c r="Y50" s="244">
        <v>0.9</v>
      </c>
      <c r="Z50" s="244">
        <v>0.9</v>
      </c>
      <c r="AA50" s="244">
        <v>0.9</v>
      </c>
      <c r="AB50" s="244">
        <v>0.9</v>
      </c>
      <c r="AC50" s="244">
        <v>0.9</v>
      </c>
      <c r="AD50" s="284">
        <f>AD51/AD49</f>
        <v>0.9</v>
      </c>
    </row>
    <row r="51" spans="1:31" ht="16" x14ac:dyDescent="0.2">
      <c r="A51" s="21" t="s">
        <v>14</v>
      </c>
      <c r="C51" s="232" t="s">
        <v>70</v>
      </c>
      <c r="D51" s="233" t="s">
        <v>64</v>
      </c>
      <c r="E51" s="233"/>
      <c r="F51" s="233"/>
      <c r="G51" s="233"/>
      <c r="H51" s="233"/>
      <c r="I51" s="233"/>
      <c r="J51" s="233"/>
      <c r="K51" s="234">
        <f t="shared" ref="K51:P51" si="33">K49*K50</f>
        <v>22130</v>
      </c>
      <c r="L51" s="234">
        <f t="shared" si="33"/>
        <v>50556</v>
      </c>
      <c r="M51" s="234">
        <f t="shared" si="33"/>
        <v>72620.678400000004</v>
      </c>
      <c r="N51" s="234">
        <f t="shared" si="33"/>
        <v>73656</v>
      </c>
      <c r="O51" s="234">
        <f t="shared" si="33"/>
        <v>71280</v>
      </c>
      <c r="P51" s="234">
        <f t="shared" si="33"/>
        <v>73656</v>
      </c>
      <c r="Q51" s="270">
        <f>SUM(E51:P51)</f>
        <v>363898.67839999998</v>
      </c>
      <c r="R51" s="236">
        <f t="shared" ref="R51:AC51" si="34">R49*R50</f>
        <v>55800</v>
      </c>
      <c r="S51" s="236">
        <f t="shared" si="34"/>
        <v>50400</v>
      </c>
      <c r="T51" s="236">
        <f t="shared" si="34"/>
        <v>55800</v>
      </c>
      <c r="U51" s="236">
        <f t="shared" si="34"/>
        <v>59400</v>
      </c>
      <c r="V51" s="236">
        <f t="shared" si="34"/>
        <v>61380</v>
      </c>
      <c r="W51" s="236">
        <f t="shared" si="34"/>
        <v>59400</v>
      </c>
      <c r="X51" s="236">
        <f t="shared" si="34"/>
        <v>66960</v>
      </c>
      <c r="Y51" s="236">
        <f t="shared" si="34"/>
        <v>66960</v>
      </c>
      <c r="Z51" s="236">
        <f t="shared" si="34"/>
        <v>64800</v>
      </c>
      <c r="AA51" s="236">
        <f t="shared" si="34"/>
        <v>72540</v>
      </c>
      <c r="AB51" s="236">
        <f t="shared" si="34"/>
        <v>70200</v>
      </c>
      <c r="AC51" s="236">
        <f t="shared" si="34"/>
        <v>72540</v>
      </c>
      <c r="AD51" s="272">
        <f>SUM(R51:AC51)</f>
        <v>756180</v>
      </c>
    </row>
    <row r="52" spans="1:31" ht="16" x14ac:dyDescent="0.2">
      <c r="A52" s="21" t="s">
        <v>14</v>
      </c>
      <c r="C52" s="232" t="s">
        <v>71</v>
      </c>
      <c r="D52" s="233" t="s">
        <v>66</v>
      </c>
      <c r="E52" s="233"/>
      <c r="F52" s="233"/>
      <c r="G52" s="233"/>
      <c r="H52" s="233"/>
      <c r="I52" s="233"/>
      <c r="J52" s="233"/>
      <c r="K52" s="255">
        <v>1</v>
      </c>
      <c r="L52" s="255">
        <v>1</v>
      </c>
      <c r="M52" s="423">
        <v>1</v>
      </c>
      <c r="N52" s="423">
        <v>1</v>
      </c>
      <c r="O52" s="423">
        <v>1</v>
      </c>
      <c r="P52" s="423">
        <v>1</v>
      </c>
      <c r="Q52" s="436">
        <v>0.99996005437695445</v>
      </c>
      <c r="R52" s="244">
        <v>1</v>
      </c>
      <c r="S52" s="244">
        <v>1</v>
      </c>
      <c r="T52" s="244">
        <v>1</v>
      </c>
      <c r="U52" s="244">
        <v>1</v>
      </c>
      <c r="V52" s="244">
        <v>1</v>
      </c>
      <c r="W52" s="244">
        <v>1</v>
      </c>
      <c r="X52" s="244">
        <v>1</v>
      </c>
      <c r="Y52" s="244">
        <v>1</v>
      </c>
      <c r="Z52" s="244">
        <v>1</v>
      </c>
      <c r="AA52" s="244">
        <v>1</v>
      </c>
      <c r="AB52" s="244">
        <v>1</v>
      </c>
      <c r="AC52" s="244">
        <v>1</v>
      </c>
      <c r="AD52" s="284">
        <v>0.99996005437695445</v>
      </c>
    </row>
    <row r="53" spans="1:31" ht="16" x14ac:dyDescent="0.2">
      <c r="A53" s="21" t="s">
        <v>14</v>
      </c>
      <c r="C53" s="232" t="s">
        <v>72</v>
      </c>
      <c r="D53" s="233" t="s">
        <v>66</v>
      </c>
      <c r="E53" s="233"/>
      <c r="F53" s="233"/>
      <c r="G53" s="233"/>
      <c r="H53" s="233"/>
      <c r="I53" s="233"/>
      <c r="J53" s="233"/>
      <c r="K53" s="234">
        <f t="shared" ref="K53:P53" si="35">K51*K52</f>
        <v>22130</v>
      </c>
      <c r="L53" s="234">
        <f t="shared" si="35"/>
        <v>50556</v>
      </c>
      <c r="M53" s="234">
        <f t="shared" si="35"/>
        <v>72620.678400000004</v>
      </c>
      <c r="N53" s="234">
        <f t="shared" si="35"/>
        <v>73656</v>
      </c>
      <c r="O53" s="234">
        <f t="shared" si="35"/>
        <v>71280</v>
      </c>
      <c r="P53" s="234">
        <f t="shared" si="35"/>
        <v>73656</v>
      </c>
      <c r="Q53" s="270">
        <f>SUM(E53:P53)</f>
        <v>363898.67839999998</v>
      </c>
      <c r="R53" s="239">
        <f t="shared" ref="R53:AC53" si="36">R51*R52</f>
        <v>55800</v>
      </c>
      <c r="S53" s="239">
        <f t="shared" si="36"/>
        <v>50400</v>
      </c>
      <c r="T53" s="239">
        <f t="shared" si="36"/>
        <v>55800</v>
      </c>
      <c r="U53" s="239">
        <f t="shared" si="36"/>
        <v>59400</v>
      </c>
      <c r="V53" s="239">
        <f t="shared" si="36"/>
        <v>61380</v>
      </c>
      <c r="W53" s="239">
        <f t="shared" si="36"/>
        <v>59400</v>
      </c>
      <c r="X53" s="239">
        <f t="shared" si="36"/>
        <v>66960</v>
      </c>
      <c r="Y53" s="239">
        <f t="shared" si="36"/>
        <v>66960</v>
      </c>
      <c r="Z53" s="239">
        <f t="shared" si="36"/>
        <v>64800</v>
      </c>
      <c r="AA53" s="239">
        <f t="shared" si="36"/>
        <v>72540</v>
      </c>
      <c r="AB53" s="239">
        <f t="shared" si="36"/>
        <v>70200</v>
      </c>
      <c r="AC53" s="239">
        <f t="shared" si="36"/>
        <v>72540</v>
      </c>
      <c r="AD53" s="272">
        <f>SUM(R53:AC53)</f>
        <v>756180</v>
      </c>
    </row>
    <row r="54" spans="1:31" ht="16" x14ac:dyDescent="0.2">
      <c r="A54" s="21" t="s">
        <v>14</v>
      </c>
      <c r="C54" s="232" t="s">
        <v>73</v>
      </c>
      <c r="D54" s="233" t="s">
        <v>64</v>
      </c>
      <c r="E54" s="233"/>
      <c r="F54" s="233"/>
      <c r="G54" s="233"/>
      <c r="H54" s="233"/>
      <c r="I54" s="233"/>
      <c r="J54" s="233"/>
      <c r="K54" s="42">
        <v>2.470237686398459</v>
      </c>
      <c r="L54" s="42">
        <v>2.4674740090196416</v>
      </c>
      <c r="M54" s="427">
        <v>2.58</v>
      </c>
      <c r="N54" s="427">
        <v>2.8</v>
      </c>
      <c r="O54" s="427">
        <v>2.8</v>
      </c>
      <c r="P54" s="427">
        <v>2.8</v>
      </c>
      <c r="Q54" s="428">
        <f>Q55/Q53</f>
        <v>2.6898446858222909</v>
      </c>
      <c r="R54" s="350">
        <v>3</v>
      </c>
      <c r="S54" s="350">
        <v>3</v>
      </c>
      <c r="T54" s="350">
        <v>3</v>
      </c>
      <c r="U54" s="350">
        <v>3</v>
      </c>
      <c r="V54" s="350">
        <v>3</v>
      </c>
      <c r="W54" s="350">
        <v>3</v>
      </c>
      <c r="X54" s="350">
        <v>3</v>
      </c>
      <c r="Y54" s="350">
        <v>3</v>
      </c>
      <c r="Z54" s="350">
        <v>3</v>
      </c>
      <c r="AA54" s="350">
        <v>3</v>
      </c>
      <c r="AB54" s="350">
        <v>3</v>
      </c>
      <c r="AC54" s="350">
        <v>3</v>
      </c>
      <c r="AD54" s="351">
        <f>AD55/AD53</f>
        <v>3</v>
      </c>
    </row>
    <row r="55" spans="1:31" ht="16" x14ac:dyDescent="0.2">
      <c r="A55" s="21" t="s">
        <v>14</v>
      </c>
      <c r="C55" s="352" t="s">
        <v>75</v>
      </c>
      <c r="D55" s="353" t="s">
        <v>74</v>
      </c>
      <c r="E55" s="353"/>
      <c r="F55" s="353"/>
      <c r="G55" s="353"/>
      <c r="H55" s="353"/>
      <c r="I55" s="353"/>
      <c r="J55" s="353"/>
      <c r="K55" s="356">
        <v>54666.359999997898</v>
      </c>
      <c r="L55" s="429">
        <v>124745.615999997</v>
      </c>
      <c r="M55" s="431">
        <f t="shared" ref="M55:AC55" si="37">M53*M54</f>
        <v>187361.35027200001</v>
      </c>
      <c r="N55" s="431">
        <f t="shared" si="37"/>
        <v>206236.79999999999</v>
      </c>
      <c r="O55" s="431">
        <f t="shared" si="37"/>
        <v>199584</v>
      </c>
      <c r="P55" s="431">
        <f t="shared" si="37"/>
        <v>206236.79999999999</v>
      </c>
      <c r="Q55" s="381">
        <f>SUM(E55:P55)</f>
        <v>978830.92627199483</v>
      </c>
      <c r="R55" s="356">
        <f t="shared" si="37"/>
        <v>167400</v>
      </c>
      <c r="S55" s="356">
        <f t="shared" si="37"/>
        <v>151200</v>
      </c>
      <c r="T55" s="356">
        <f t="shared" si="37"/>
        <v>167400</v>
      </c>
      <c r="U55" s="356">
        <f t="shared" si="37"/>
        <v>178200</v>
      </c>
      <c r="V55" s="356">
        <f t="shared" si="37"/>
        <v>184140</v>
      </c>
      <c r="W55" s="356">
        <f t="shared" si="37"/>
        <v>178200</v>
      </c>
      <c r="X55" s="356">
        <f t="shared" si="37"/>
        <v>200880</v>
      </c>
      <c r="Y55" s="356">
        <f t="shared" si="37"/>
        <v>200880</v>
      </c>
      <c r="Z55" s="356">
        <f t="shared" si="37"/>
        <v>194400</v>
      </c>
      <c r="AA55" s="356">
        <f t="shared" si="37"/>
        <v>217620</v>
      </c>
      <c r="AB55" s="356">
        <f t="shared" si="37"/>
        <v>210600</v>
      </c>
      <c r="AC55" s="356">
        <f t="shared" si="37"/>
        <v>217620</v>
      </c>
      <c r="AD55" s="357">
        <f>SUM(R55:AC55)</f>
        <v>2268540</v>
      </c>
      <c r="AE55" s="5">
        <f>AD55/12</f>
        <v>189045</v>
      </c>
    </row>
    <row r="56" spans="1:31" ht="16" x14ac:dyDescent="0.2"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spans="1:31" ht="16" x14ac:dyDescent="0.2"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spans="1:31" ht="16" hidden="1" x14ac:dyDescent="0.2">
      <c r="C58" s="1" t="s">
        <v>104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spans="1:31" ht="17" hidden="1" x14ac:dyDescent="0.2">
      <c r="C59" s="7" t="s">
        <v>2</v>
      </c>
      <c r="D59" s="8"/>
      <c r="E59" s="8">
        <v>45658</v>
      </c>
      <c r="F59" s="8">
        <f>EDATE(E59,1)</f>
        <v>45689</v>
      </c>
      <c r="G59" s="8">
        <f t="shared" ref="G59:AC59" si="38">EDATE(F59,1)</f>
        <v>45717</v>
      </c>
      <c r="H59" s="8">
        <f t="shared" si="38"/>
        <v>45748</v>
      </c>
      <c r="I59" s="8">
        <f t="shared" si="38"/>
        <v>45778</v>
      </c>
      <c r="J59" s="8">
        <f t="shared" si="38"/>
        <v>45809</v>
      </c>
      <c r="K59" s="8">
        <f t="shared" si="38"/>
        <v>45839</v>
      </c>
      <c r="L59" s="8">
        <f t="shared" si="38"/>
        <v>45870</v>
      </c>
      <c r="M59" s="9">
        <f t="shared" si="38"/>
        <v>45901</v>
      </c>
      <c r="N59" s="9">
        <f t="shared" si="38"/>
        <v>45931</v>
      </c>
      <c r="O59" s="9">
        <f t="shared" si="38"/>
        <v>45962</v>
      </c>
      <c r="P59" s="9">
        <f t="shared" si="38"/>
        <v>45992</v>
      </c>
      <c r="Q59" s="9" t="s">
        <v>3</v>
      </c>
      <c r="R59" s="9">
        <f>EDATE(P59,1)</f>
        <v>46023</v>
      </c>
      <c r="S59" s="9">
        <f t="shared" si="38"/>
        <v>46054</v>
      </c>
      <c r="T59" s="9">
        <f t="shared" si="38"/>
        <v>46082</v>
      </c>
      <c r="U59" s="9">
        <f t="shared" si="38"/>
        <v>46113</v>
      </c>
      <c r="V59" s="9">
        <f t="shared" si="38"/>
        <v>46143</v>
      </c>
      <c r="W59" s="9">
        <f t="shared" si="38"/>
        <v>46174</v>
      </c>
      <c r="X59" s="9">
        <f t="shared" si="38"/>
        <v>46204</v>
      </c>
      <c r="Y59" s="9">
        <f t="shared" si="38"/>
        <v>46235</v>
      </c>
      <c r="Z59" s="9">
        <f t="shared" si="38"/>
        <v>46266</v>
      </c>
      <c r="AA59" s="9">
        <f t="shared" si="38"/>
        <v>46296</v>
      </c>
      <c r="AB59" s="9">
        <f t="shared" si="38"/>
        <v>46327</v>
      </c>
      <c r="AC59" s="9">
        <f t="shared" si="38"/>
        <v>46357</v>
      </c>
      <c r="AD59" s="9" t="s">
        <v>4</v>
      </c>
    </row>
    <row r="60" spans="1:31" ht="16" hidden="1" x14ac:dyDescent="0.2">
      <c r="A60" s="21" t="s">
        <v>13</v>
      </c>
      <c r="C60" s="10" t="s">
        <v>13</v>
      </c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443"/>
    </row>
    <row r="61" spans="1:31" ht="16" hidden="1" x14ac:dyDescent="0.2">
      <c r="A61" s="21" t="s">
        <v>13</v>
      </c>
      <c r="C61" s="232" t="s">
        <v>63</v>
      </c>
      <c r="D61" s="233" t="s">
        <v>64</v>
      </c>
      <c r="E61" s="233"/>
      <c r="F61" s="233"/>
      <c r="G61" s="233"/>
      <c r="H61" s="233"/>
      <c r="I61" s="233"/>
      <c r="J61" s="233"/>
      <c r="K61" s="233"/>
      <c r="L61" s="233"/>
      <c r="M61" s="24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  <c r="AC61" s="392"/>
      <c r="AD61" s="444"/>
    </row>
    <row r="62" spans="1:31" ht="16" hidden="1" x14ac:dyDescent="0.2">
      <c r="A62" s="21" t="s">
        <v>13</v>
      </c>
      <c r="C62" s="232" t="s">
        <v>65</v>
      </c>
      <c r="D62" s="233"/>
      <c r="E62" s="233"/>
      <c r="F62" s="233"/>
      <c r="G62" s="233"/>
      <c r="H62" s="233"/>
      <c r="I62" s="233"/>
      <c r="J62" s="233"/>
      <c r="K62" s="233"/>
      <c r="L62" s="233"/>
      <c r="M62" s="246"/>
      <c r="N62" s="392"/>
      <c r="O62" s="392"/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2"/>
      <c r="AA62" s="392"/>
      <c r="AB62" s="392"/>
      <c r="AC62" s="392"/>
      <c r="AD62" s="444"/>
    </row>
    <row r="63" spans="1:31" ht="16" hidden="1" x14ac:dyDescent="0.2">
      <c r="A63" s="21" t="s">
        <v>13</v>
      </c>
      <c r="C63" s="232" t="s">
        <v>67</v>
      </c>
      <c r="D63" s="233"/>
      <c r="E63" s="233"/>
      <c r="F63" s="233"/>
      <c r="G63" s="233"/>
      <c r="H63" s="233"/>
      <c r="I63" s="233"/>
      <c r="J63" s="233"/>
      <c r="K63" s="233"/>
      <c r="L63" s="233"/>
      <c r="M63" s="246"/>
      <c r="N63" s="392"/>
      <c r="O63" s="392"/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2"/>
      <c r="AA63" s="392"/>
      <c r="AB63" s="392"/>
      <c r="AC63" s="392"/>
      <c r="AD63" s="444"/>
    </row>
    <row r="64" spans="1:31" ht="16" hidden="1" x14ac:dyDescent="0.2">
      <c r="A64" s="21" t="s">
        <v>13</v>
      </c>
      <c r="C64" s="232" t="s">
        <v>68</v>
      </c>
      <c r="D64" s="233"/>
      <c r="E64" s="233"/>
      <c r="F64" s="233"/>
      <c r="G64" s="233"/>
      <c r="H64" s="233"/>
      <c r="I64" s="233"/>
      <c r="J64" s="233"/>
      <c r="K64" s="233"/>
      <c r="L64" s="233"/>
      <c r="M64" s="246"/>
      <c r="N64" s="392"/>
      <c r="O64" s="392"/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392"/>
      <c r="AC64" s="392"/>
      <c r="AD64" s="444"/>
    </row>
    <row r="65" spans="1:30" ht="16" hidden="1" x14ac:dyDescent="0.2">
      <c r="A65" s="21" t="s">
        <v>13</v>
      </c>
      <c r="C65" s="232" t="s">
        <v>44</v>
      </c>
      <c r="D65" s="233" t="s">
        <v>66</v>
      </c>
      <c r="E65" s="233"/>
      <c r="F65" s="233"/>
      <c r="G65" s="233"/>
      <c r="H65" s="233"/>
      <c r="I65" s="233"/>
      <c r="J65" s="233"/>
      <c r="K65" s="233"/>
      <c r="L65" s="233"/>
      <c r="M65" s="246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92"/>
      <c r="Z65" s="392"/>
      <c r="AA65" s="392"/>
      <c r="AB65" s="392"/>
      <c r="AC65" s="392"/>
      <c r="AD65" s="444"/>
    </row>
    <row r="66" spans="1:30" ht="16" hidden="1" x14ac:dyDescent="0.2">
      <c r="A66" s="21" t="s">
        <v>13</v>
      </c>
      <c r="C66" s="232" t="s">
        <v>71</v>
      </c>
      <c r="D66" s="233" t="s">
        <v>66</v>
      </c>
      <c r="E66" s="233"/>
      <c r="F66" s="233"/>
      <c r="G66" s="233"/>
      <c r="H66" s="233"/>
      <c r="I66" s="233"/>
      <c r="J66" s="233"/>
      <c r="K66" s="233"/>
      <c r="L66" s="233"/>
      <c r="M66" s="246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2"/>
      <c r="AA66" s="392"/>
      <c r="AB66" s="392"/>
      <c r="AC66" s="392"/>
      <c r="AD66" s="444"/>
    </row>
    <row r="67" spans="1:30" ht="16" hidden="1" x14ac:dyDescent="0.2">
      <c r="A67" s="21" t="s">
        <v>13</v>
      </c>
      <c r="C67" s="232" t="s">
        <v>72</v>
      </c>
      <c r="D67" s="233" t="s">
        <v>64</v>
      </c>
      <c r="E67" s="233"/>
      <c r="F67" s="233"/>
      <c r="G67" s="233"/>
      <c r="H67" s="233"/>
      <c r="I67" s="233"/>
      <c r="J67" s="233"/>
      <c r="K67" s="233"/>
      <c r="L67" s="233"/>
      <c r="M67" s="394">
        <f t="shared" ref="M67:AD67" si="39">M61*M62*M63*M64*M65*M66</f>
        <v>0</v>
      </c>
      <c r="N67" s="395">
        <f t="shared" si="39"/>
        <v>0</v>
      </c>
      <c r="O67" s="395">
        <f t="shared" si="39"/>
        <v>0</v>
      </c>
      <c r="P67" s="395">
        <f t="shared" si="39"/>
        <v>0</v>
      </c>
      <c r="Q67" s="395">
        <f t="shared" si="39"/>
        <v>0</v>
      </c>
      <c r="R67" s="395">
        <f t="shared" si="39"/>
        <v>0</v>
      </c>
      <c r="S67" s="395">
        <f t="shared" si="39"/>
        <v>0</v>
      </c>
      <c r="T67" s="395">
        <f t="shared" si="39"/>
        <v>0</v>
      </c>
      <c r="U67" s="395">
        <f t="shared" si="39"/>
        <v>0</v>
      </c>
      <c r="V67" s="395">
        <f t="shared" si="39"/>
        <v>0</v>
      </c>
      <c r="W67" s="395">
        <f t="shared" si="39"/>
        <v>0</v>
      </c>
      <c r="X67" s="395">
        <f t="shared" si="39"/>
        <v>0</v>
      </c>
      <c r="Y67" s="395">
        <f t="shared" si="39"/>
        <v>0</v>
      </c>
      <c r="Z67" s="395">
        <f t="shared" si="39"/>
        <v>0</v>
      </c>
      <c r="AA67" s="395">
        <f t="shared" si="39"/>
        <v>0</v>
      </c>
      <c r="AB67" s="395">
        <f t="shared" si="39"/>
        <v>0</v>
      </c>
      <c r="AC67" s="395">
        <f t="shared" si="39"/>
        <v>0</v>
      </c>
      <c r="AD67" s="445">
        <f t="shared" si="39"/>
        <v>0</v>
      </c>
    </row>
    <row r="68" spans="1:30" ht="16" hidden="1" x14ac:dyDescent="0.2">
      <c r="A68" s="21" t="s">
        <v>13</v>
      </c>
      <c r="C68" s="232" t="s">
        <v>73</v>
      </c>
      <c r="D68" s="233" t="s">
        <v>74</v>
      </c>
      <c r="E68" s="233"/>
      <c r="F68" s="233"/>
      <c r="G68" s="233"/>
      <c r="H68" s="233"/>
      <c r="I68" s="233"/>
      <c r="J68" s="233"/>
      <c r="K68" s="233"/>
      <c r="L68" s="233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446"/>
    </row>
    <row r="69" spans="1:30" ht="16" hidden="1" x14ac:dyDescent="0.2">
      <c r="A69" s="21" t="s">
        <v>13</v>
      </c>
      <c r="C69" s="232" t="s">
        <v>75</v>
      </c>
      <c r="D69" s="233" t="s">
        <v>74</v>
      </c>
      <c r="E69" s="233"/>
      <c r="F69" s="233"/>
      <c r="G69" s="233"/>
      <c r="H69" s="233"/>
      <c r="I69" s="233"/>
      <c r="J69" s="233"/>
      <c r="K69" s="233"/>
      <c r="L69" s="233"/>
      <c r="M69" s="233">
        <f t="shared" ref="M69:AD69" si="40">M67*M68</f>
        <v>0</v>
      </c>
      <c r="N69" s="233">
        <f t="shared" si="40"/>
        <v>0</v>
      </c>
      <c r="O69" s="233">
        <f t="shared" si="40"/>
        <v>0</v>
      </c>
      <c r="P69" s="233">
        <f t="shared" si="40"/>
        <v>0</v>
      </c>
      <c r="Q69" s="233">
        <f t="shared" si="40"/>
        <v>0</v>
      </c>
      <c r="R69" s="233">
        <f t="shared" si="40"/>
        <v>0</v>
      </c>
      <c r="S69" s="233">
        <f t="shared" si="40"/>
        <v>0</v>
      </c>
      <c r="T69" s="233">
        <f t="shared" si="40"/>
        <v>0</v>
      </c>
      <c r="U69" s="233">
        <f t="shared" si="40"/>
        <v>0</v>
      </c>
      <c r="V69" s="233">
        <f t="shared" si="40"/>
        <v>0</v>
      </c>
      <c r="W69" s="233">
        <f t="shared" si="40"/>
        <v>0</v>
      </c>
      <c r="X69" s="233">
        <f t="shared" si="40"/>
        <v>0</v>
      </c>
      <c r="Y69" s="233">
        <f t="shared" si="40"/>
        <v>0</v>
      </c>
      <c r="Z69" s="233">
        <f t="shared" si="40"/>
        <v>0</v>
      </c>
      <c r="AA69" s="233">
        <f t="shared" si="40"/>
        <v>0</v>
      </c>
      <c r="AB69" s="233">
        <f t="shared" si="40"/>
        <v>0</v>
      </c>
      <c r="AC69" s="233">
        <f t="shared" si="40"/>
        <v>0</v>
      </c>
      <c r="AD69" s="447">
        <f t="shared" si="40"/>
        <v>0</v>
      </c>
    </row>
    <row r="70" spans="1:30" ht="16" hidden="1" x14ac:dyDescent="0.2">
      <c r="C70" s="344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448"/>
    </row>
    <row r="71" spans="1:30" ht="16" hidden="1" x14ac:dyDescent="0.2">
      <c r="A71" s="21" t="s">
        <v>14</v>
      </c>
      <c r="C71" s="11" t="s">
        <v>14</v>
      </c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448"/>
    </row>
    <row r="72" spans="1:30" ht="16" hidden="1" x14ac:dyDescent="0.2">
      <c r="A72" s="21" t="s">
        <v>14</v>
      </c>
      <c r="C72" s="232" t="s">
        <v>63</v>
      </c>
      <c r="D72" s="233" t="s">
        <v>64</v>
      </c>
      <c r="E72" s="233"/>
      <c r="F72" s="233"/>
      <c r="G72" s="233"/>
      <c r="H72" s="233"/>
      <c r="I72" s="233"/>
      <c r="J72" s="233"/>
      <c r="K72" s="233"/>
      <c r="L72" s="233"/>
      <c r="M72" s="242"/>
      <c r="N72" s="392"/>
      <c r="O72" s="392"/>
      <c r="P72" s="392"/>
      <c r="Q72" s="392"/>
      <c r="R72" s="392"/>
      <c r="S72" s="392"/>
      <c r="T72" s="392"/>
      <c r="U72" s="392"/>
      <c r="V72" s="392"/>
      <c r="W72" s="392"/>
      <c r="X72" s="392"/>
      <c r="Y72" s="392"/>
      <c r="Z72" s="392"/>
      <c r="AA72" s="392"/>
      <c r="AB72" s="392"/>
      <c r="AC72" s="392"/>
      <c r="AD72" s="444"/>
    </row>
    <row r="73" spans="1:30" ht="16" hidden="1" x14ac:dyDescent="0.2">
      <c r="A73" s="21" t="s">
        <v>14</v>
      </c>
      <c r="C73" s="232" t="s">
        <v>65</v>
      </c>
      <c r="D73" s="233"/>
      <c r="E73" s="233"/>
      <c r="F73" s="233"/>
      <c r="G73" s="233"/>
      <c r="H73" s="233"/>
      <c r="I73" s="233"/>
      <c r="J73" s="233"/>
      <c r="K73" s="233"/>
      <c r="L73" s="233"/>
      <c r="M73" s="246"/>
      <c r="N73" s="392"/>
      <c r="O73" s="392"/>
      <c r="P73" s="392"/>
      <c r="Q73" s="392"/>
      <c r="R73" s="392"/>
      <c r="S73" s="392"/>
      <c r="T73" s="392"/>
      <c r="U73" s="392"/>
      <c r="V73" s="392"/>
      <c r="W73" s="392"/>
      <c r="X73" s="392"/>
      <c r="Y73" s="392"/>
      <c r="Z73" s="392"/>
      <c r="AA73" s="392"/>
      <c r="AB73" s="392"/>
      <c r="AC73" s="392"/>
      <c r="AD73" s="444"/>
    </row>
    <row r="74" spans="1:30" ht="16" hidden="1" x14ac:dyDescent="0.2">
      <c r="A74" s="21" t="s">
        <v>14</v>
      </c>
      <c r="C74" s="232" t="s">
        <v>67</v>
      </c>
      <c r="D74" s="233"/>
      <c r="E74" s="233"/>
      <c r="F74" s="233"/>
      <c r="G74" s="233"/>
      <c r="H74" s="233"/>
      <c r="I74" s="233"/>
      <c r="J74" s="233"/>
      <c r="K74" s="233"/>
      <c r="L74" s="233"/>
      <c r="M74" s="246"/>
      <c r="N74" s="392"/>
      <c r="O74" s="392"/>
      <c r="P74" s="392"/>
      <c r="Q74" s="392"/>
      <c r="R74" s="392"/>
      <c r="S74" s="392"/>
      <c r="T74" s="392"/>
      <c r="U74" s="392"/>
      <c r="V74" s="392"/>
      <c r="W74" s="392"/>
      <c r="X74" s="392"/>
      <c r="Y74" s="392"/>
      <c r="Z74" s="392"/>
      <c r="AA74" s="392"/>
      <c r="AB74" s="392"/>
      <c r="AC74" s="392"/>
      <c r="AD74" s="444"/>
    </row>
    <row r="75" spans="1:30" ht="16" hidden="1" x14ac:dyDescent="0.2">
      <c r="A75" s="21" t="s">
        <v>14</v>
      </c>
      <c r="C75" s="232" t="s">
        <v>68</v>
      </c>
      <c r="D75" s="233"/>
      <c r="E75" s="233"/>
      <c r="F75" s="233"/>
      <c r="G75" s="233"/>
      <c r="H75" s="233"/>
      <c r="I75" s="233"/>
      <c r="J75" s="233"/>
      <c r="K75" s="233"/>
      <c r="L75" s="233"/>
      <c r="M75" s="246"/>
      <c r="N75" s="392"/>
      <c r="O75" s="392"/>
      <c r="P75" s="392"/>
      <c r="Q75" s="392"/>
      <c r="R75" s="392"/>
      <c r="S75" s="392"/>
      <c r="T75" s="392"/>
      <c r="U75" s="392"/>
      <c r="V75" s="392"/>
      <c r="W75" s="392"/>
      <c r="X75" s="392"/>
      <c r="Y75" s="392"/>
      <c r="Z75" s="392"/>
      <c r="AA75" s="392"/>
      <c r="AB75" s="392"/>
      <c r="AC75" s="392"/>
      <c r="AD75" s="444"/>
    </row>
    <row r="76" spans="1:30" ht="16" hidden="1" x14ac:dyDescent="0.2">
      <c r="A76" s="21" t="s">
        <v>14</v>
      </c>
      <c r="C76" s="232" t="s">
        <v>44</v>
      </c>
      <c r="D76" s="233"/>
      <c r="E76" s="233"/>
      <c r="F76" s="233"/>
      <c r="G76" s="233"/>
      <c r="H76" s="233"/>
      <c r="I76" s="233"/>
      <c r="J76" s="233"/>
      <c r="K76" s="233"/>
      <c r="L76" s="233"/>
      <c r="M76" s="246"/>
      <c r="N76" s="392"/>
      <c r="O76" s="392"/>
      <c r="P76" s="392"/>
      <c r="Q76" s="392"/>
      <c r="R76" s="392"/>
      <c r="S76" s="392"/>
      <c r="T76" s="392"/>
      <c r="U76" s="392"/>
      <c r="V76" s="392"/>
      <c r="W76" s="392"/>
      <c r="X76" s="392"/>
      <c r="Y76" s="392"/>
      <c r="Z76" s="392"/>
      <c r="AA76" s="392"/>
      <c r="AB76" s="392"/>
      <c r="AC76" s="392"/>
      <c r="AD76" s="444"/>
    </row>
    <row r="77" spans="1:30" ht="16" hidden="1" x14ac:dyDescent="0.2">
      <c r="A77" s="21" t="s">
        <v>14</v>
      </c>
      <c r="C77" s="232" t="s">
        <v>71</v>
      </c>
      <c r="D77" s="233" t="s">
        <v>66</v>
      </c>
      <c r="E77" s="233"/>
      <c r="F77" s="233"/>
      <c r="G77" s="233"/>
      <c r="H77" s="233"/>
      <c r="I77" s="233"/>
      <c r="J77" s="233"/>
      <c r="K77" s="233"/>
      <c r="L77" s="233"/>
      <c r="M77" s="246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  <c r="AC77" s="392"/>
      <c r="AD77" s="444"/>
    </row>
    <row r="78" spans="1:30" ht="16" hidden="1" x14ac:dyDescent="0.2">
      <c r="A78" s="21" t="s">
        <v>14</v>
      </c>
      <c r="C78" s="232" t="s">
        <v>72</v>
      </c>
      <c r="D78" s="233" t="s">
        <v>66</v>
      </c>
      <c r="E78" s="233"/>
      <c r="F78" s="233"/>
      <c r="G78" s="233"/>
      <c r="H78" s="233"/>
      <c r="I78" s="233"/>
      <c r="J78" s="233"/>
      <c r="K78" s="233"/>
      <c r="L78" s="233"/>
      <c r="M78" s="394">
        <f t="shared" ref="M78:AD78" si="41">M72*M73*M74*M75*M76*M77</f>
        <v>0</v>
      </c>
      <c r="N78" s="395">
        <f t="shared" si="41"/>
        <v>0</v>
      </c>
      <c r="O78" s="395">
        <f t="shared" si="41"/>
        <v>0</v>
      </c>
      <c r="P78" s="395">
        <f t="shared" si="41"/>
        <v>0</v>
      </c>
      <c r="Q78" s="395">
        <f t="shared" si="41"/>
        <v>0</v>
      </c>
      <c r="R78" s="395">
        <f t="shared" si="41"/>
        <v>0</v>
      </c>
      <c r="S78" s="395">
        <f t="shared" si="41"/>
        <v>0</v>
      </c>
      <c r="T78" s="395">
        <f t="shared" si="41"/>
        <v>0</v>
      </c>
      <c r="U78" s="395">
        <f t="shared" si="41"/>
        <v>0</v>
      </c>
      <c r="V78" s="395">
        <f t="shared" si="41"/>
        <v>0</v>
      </c>
      <c r="W78" s="395">
        <f t="shared" si="41"/>
        <v>0</v>
      </c>
      <c r="X78" s="395">
        <f t="shared" si="41"/>
        <v>0</v>
      </c>
      <c r="Y78" s="395">
        <f t="shared" si="41"/>
        <v>0</v>
      </c>
      <c r="Z78" s="395">
        <f t="shared" si="41"/>
        <v>0</v>
      </c>
      <c r="AA78" s="395">
        <f t="shared" si="41"/>
        <v>0</v>
      </c>
      <c r="AB78" s="395">
        <f t="shared" si="41"/>
        <v>0</v>
      </c>
      <c r="AC78" s="395">
        <f t="shared" si="41"/>
        <v>0</v>
      </c>
      <c r="AD78" s="445">
        <f t="shared" si="41"/>
        <v>0</v>
      </c>
    </row>
    <row r="79" spans="1:30" ht="16" hidden="1" x14ac:dyDescent="0.2">
      <c r="A79" s="21" t="s">
        <v>14</v>
      </c>
      <c r="C79" s="232" t="s">
        <v>73</v>
      </c>
      <c r="D79" s="233" t="s">
        <v>64</v>
      </c>
      <c r="E79" s="233"/>
      <c r="F79" s="233"/>
      <c r="G79" s="233"/>
      <c r="H79" s="233"/>
      <c r="I79" s="233"/>
      <c r="J79" s="233"/>
      <c r="K79" s="233"/>
      <c r="L79" s="233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446"/>
    </row>
    <row r="80" spans="1:30" ht="16" hidden="1" x14ac:dyDescent="0.2">
      <c r="A80" s="21" t="s">
        <v>14</v>
      </c>
      <c r="C80" s="232" t="s">
        <v>75</v>
      </c>
      <c r="D80" s="233" t="s">
        <v>74</v>
      </c>
      <c r="E80" s="233"/>
      <c r="F80" s="233"/>
      <c r="G80" s="233"/>
      <c r="H80" s="233"/>
      <c r="I80" s="233"/>
      <c r="J80" s="233"/>
      <c r="K80" s="233"/>
      <c r="L80" s="233"/>
      <c r="M80" s="233">
        <f t="shared" ref="M80:AD80" si="42">M78*M79</f>
        <v>0</v>
      </c>
      <c r="N80" s="233">
        <f t="shared" si="42"/>
        <v>0</v>
      </c>
      <c r="O80" s="233">
        <f t="shared" si="42"/>
        <v>0</v>
      </c>
      <c r="P80" s="233">
        <f t="shared" si="42"/>
        <v>0</v>
      </c>
      <c r="Q80" s="233">
        <f t="shared" si="42"/>
        <v>0</v>
      </c>
      <c r="R80" s="233">
        <f t="shared" si="42"/>
        <v>0</v>
      </c>
      <c r="S80" s="233">
        <f t="shared" si="42"/>
        <v>0</v>
      </c>
      <c r="T80" s="233">
        <f t="shared" si="42"/>
        <v>0</v>
      </c>
      <c r="U80" s="233">
        <f t="shared" si="42"/>
        <v>0</v>
      </c>
      <c r="V80" s="233">
        <f t="shared" si="42"/>
        <v>0</v>
      </c>
      <c r="W80" s="233">
        <f t="shared" si="42"/>
        <v>0</v>
      </c>
      <c r="X80" s="233">
        <f t="shared" si="42"/>
        <v>0</v>
      </c>
      <c r="Y80" s="233">
        <f t="shared" si="42"/>
        <v>0</v>
      </c>
      <c r="Z80" s="233">
        <f t="shared" si="42"/>
        <v>0</v>
      </c>
      <c r="AA80" s="233">
        <f t="shared" si="42"/>
        <v>0</v>
      </c>
      <c r="AB80" s="233">
        <f t="shared" si="42"/>
        <v>0</v>
      </c>
      <c r="AC80" s="233">
        <f t="shared" si="42"/>
        <v>0</v>
      </c>
      <c r="AD80" s="447">
        <f t="shared" si="42"/>
        <v>0</v>
      </c>
    </row>
    <row r="81" spans="1:30" ht="16" hidden="1" x14ac:dyDescent="0.2">
      <c r="C81" s="352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  <c r="AA81" s="361"/>
      <c r="AB81" s="361"/>
      <c r="AC81" s="361"/>
      <c r="AD81" s="449"/>
    </row>
    <row r="82" spans="1:30" ht="16" x14ac:dyDescent="0.2"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 ht="16" x14ac:dyDescent="0.2"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 ht="16" x14ac:dyDescent="0.2">
      <c r="C84" s="1" t="s">
        <v>59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 ht="17" x14ac:dyDescent="0.2">
      <c r="C85" s="7" t="s">
        <v>2</v>
      </c>
      <c r="D85" s="8"/>
      <c r="E85" s="8">
        <v>45658</v>
      </c>
      <c r="F85" s="8">
        <f>EDATE(E85,1)</f>
        <v>45689</v>
      </c>
      <c r="G85" s="8">
        <f t="shared" ref="G85:AC85" si="43">EDATE(F85,1)</f>
        <v>45717</v>
      </c>
      <c r="H85" s="8">
        <f t="shared" si="43"/>
        <v>45748</v>
      </c>
      <c r="I85" s="8">
        <f t="shared" si="43"/>
        <v>45778</v>
      </c>
      <c r="J85" s="8">
        <f t="shared" si="43"/>
        <v>45809</v>
      </c>
      <c r="K85" s="8">
        <f t="shared" si="43"/>
        <v>45839</v>
      </c>
      <c r="L85" s="8">
        <f t="shared" si="43"/>
        <v>45870</v>
      </c>
      <c r="M85" s="9">
        <f t="shared" si="43"/>
        <v>45901</v>
      </c>
      <c r="N85" s="9">
        <f t="shared" si="43"/>
        <v>45931</v>
      </c>
      <c r="O85" s="9">
        <f t="shared" si="43"/>
        <v>45962</v>
      </c>
      <c r="P85" s="9">
        <f t="shared" si="43"/>
        <v>45992</v>
      </c>
      <c r="Q85" s="40" t="s">
        <v>3</v>
      </c>
      <c r="R85" s="9">
        <f>EDATE(P85,1)</f>
        <v>46023</v>
      </c>
      <c r="S85" s="9">
        <f t="shared" si="43"/>
        <v>46054</v>
      </c>
      <c r="T85" s="9">
        <f t="shared" si="43"/>
        <v>46082</v>
      </c>
      <c r="U85" s="9">
        <f t="shared" si="43"/>
        <v>46113</v>
      </c>
      <c r="V85" s="9">
        <f t="shared" si="43"/>
        <v>46143</v>
      </c>
      <c r="W85" s="9">
        <f t="shared" si="43"/>
        <v>46174</v>
      </c>
      <c r="X85" s="9">
        <f t="shared" si="43"/>
        <v>46204</v>
      </c>
      <c r="Y85" s="9">
        <f t="shared" si="43"/>
        <v>46235</v>
      </c>
      <c r="Z85" s="9">
        <f t="shared" si="43"/>
        <v>46266</v>
      </c>
      <c r="AA85" s="9">
        <f t="shared" si="43"/>
        <v>46296</v>
      </c>
      <c r="AB85" s="9">
        <f t="shared" si="43"/>
        <v>46327</v>
      </c>
      <c r="AC85" s="9">
        <f t="shared" si="43"/>
        <v>46357</v>
      </c>
      <c r="AD85" s="41" t="s">
        <v>4</v>
      </c>
    </row>
    <row r="86" spans="1:30" ht="16" x14ac:dyDescent="0.2">
      <c r="A86" s="21" t="s">
        <v>13</v>
      </c>
      <c r="C86" s="10" t="s">
        <v>13</v>
      </c>
      <c r="D86" s="335"/>
      <c r="E86" s="335"/>
      <c r="F86" s="335"/>
      <c r="G86" s="335"/>
      <c r="H86" s="335"/>
      <c r="I86" s="335"/>
      <c r="J86" s="335"/>
      <c r="K86" s="335"/>
      <c r="L86" s="335"/>
      <c r="M86" s="335"/>
      <c r="N86" s="229"/>
      <c r="O86" s="229"/>
      <c r="P86" s="229"/>
      <c r="Q86" s="306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307"/>
    </row>
    <row r="87" spans="1:30" ht="16" x14ac:dyDescent="0.2">
      <c r="A87" s="21" t="s">
        <v>13</v>
      </c>
      <c r="C87" s="232" t="s">
        <v>63</v>
      </c>
      <c r="D87" s="233" t="s">
        <v>64</v>
      </c>
      <c r="E87" s="234"/>
      <c r="F87" s="234"/>
      <c r="G87" s="234"/>
      <c r="H87" s="234">
        <v>1482</v>
      </c>
      <c r="I87" s="234">
        <v>1359</v>
      </c>
      <c r="J87" s="234">
        <v>2073</v>
      </c>
      <c r="K87" s="234">
        <v>2048</v>
      </c>
      <c r="L87" s="234">
        <v>1788</v>
      </c>
      <c r="M87" s="420">
        <v>1713</v>
      </c>
      <c r="N87" s="421">
        <v>1705</v>
      </c>
      <c r="O87" s="421">
        <v>1650</v>
      </c>
      <c r="P87" s="421">
        <v>1705</v>
      </c>
      <c r="Q87" s="270">
        <f>SUM(E87:P87)</f>
        <v>15523</v>
      </c>
      <c r="R87" s="236">
        <v>3100</v>
      </c>
      <c r="S87" s="236">
        <v>2800</v>
      </c>
      <c r="T87" s="236">
        <v>3100</v>
      </c>
      <c r="U87" s="236">
        <v>3150</v>
      </c>
      <c r="V87" s="236">
        <v>3255</v>
      </c>
      <c r="W87" s="236">
        <v>3150</v>
      </c>
      <c r="X87" s="236">
        <v>3417.75</v>
      </c>
      <c r="Y87" s="236">
        <v>3417.75</v>
      </c>
      <c r="Z87" s="236">
        <v>3307.5</v>
      </c>
      <c r="AA87" s="236">
        <v>3588.6375000000003</v>
      </c>
      <c r="AB87" s="236">
        <v>3472.875</v>
      </c>
      <c r="AC87" s="236">
        <v>3588.6375000000003</v>
      </c>
      <c r="AD87" s="337">
        <f>SUM(R87:AC87)</f>
        <v>39348.149999999994</v>
      </c>
    </row>
    <row r="88" spans="1:30" ht="16" x14ac:dyDescent="0.2">
      <c r="A88" s="21" t="s">
        <v>13</v>
      </c>
      <c r="C88" s="232" t="s">
        <v>65</v>
      </c>
      <c r="D88" s="233" t="s">
        <v>66</v>
      </c>
      <c r="E88" s="234"/>
      <c r="F88" s="234"/>
      <c r="G88" s="234"/>
      <c r="H88" s="385">
        <v>1</v>
      </c>
      <c r="I88" s="385">
        <v>1</v>
      </c>
      <c r="J88" s="385">
        <v>1</v>
      </c>
      <c r="K88" s="385">
        <v>1</v>
      </c>
      <c r="L88" s="385">
        <v>1</v>
      </c>
      <c r="M88" s="450">
        <v>1</v>
      </c>
      <c r="N88" s="450">
        <v>1</v>
      </c>
      <c r="O88" s="450">
        <v>1</v>
      </c>
      <c r="P88" s="450">
        <v>1</v>
      </c>
      <c r="Q88" s="436">
        <v>0.9999864235578424</v>
      </c>
      <c r="R88" s="244">
        <v>1</v>
      </c>
      <c r="S88" s="244">
        <v>1</v>
      </c>
      <c r="T88" s="244">
        <v>1</v>
      </c>
      <c r="U88" s="244">
        <v>1</v>
      </c>
      <c r="V88" s="244">
        <v>1</v>
      </c>
      <c r="W88" s="244">
        <v>1</v>
      </c>
      <c r="X88" s="244">
        <v>1</v>
      </c>
      <c r="Y88" s="244">
        <v>1</v>
      </c>
      <c r="Z88" s="244">
        <v>1</v>
      </c>
      <c r="AA88" s="244">
        <v>1</v>
      </c>
      <c r="AB88" s="244">
        <v>1</v>
      </c>
      <c r="AC88" s="244">
        <v>1</v>
      </c>
      <c r="AD88" s="284">
        <v>0.9999864235578424</v>
      </c>
    </row>
    <row r="89" spans="1:30" ht="16" x14ac:dyDescent="0.2">
      <c r="A89" s="21" t="s">
        <v>13</v>
      </c>
      <c r="C89" s="232" t="s">
        <v>67</v>
      </c>
      <c r="D89" s="233" t="s">
        <v>66</v>
      </c>
      <c r="E89" s="234"/>
      <c r="F89" s="234"/>
      <c r="G89" s="234"/>
      <c r="H89" s="385">
        <v>0.99325236167341435</v>
      </c>
      <c r="I89" s="385">
        <v>0.99411331861662988</v>
      </c>
      <c r="J89" s="385">
        <v>0.9975880366618427</v>
      </c>
      <c r="K89" s="385">
        <v>0.99560546875</v>
      </c>
      <c r="L89" s="385">
        <v>0.9854586129753915</v>
      </c>
      <c r="M89" s="450">
        <v>0.9854586129753915</v>
      </c>
      <c r="N89" s="450">
        <v>0.9854586129753915</v>
      </c>
      <c r="O89" s="450">
        <v>0.9854586129753915</v>
      </c>
      <c r="P89" s="450">
        <v>0.9854586129753915</v>
      </c>
      <c r="Q89" s="436">
        <v>0.9999864235578424</v>
      </c>
      <c r="R89" s="244">
        <v>1</v>
      </c>
      <c r="S89" s="244">
        <v>1</v>
      </c>
      <c r="T89" s="244">
        <v>1</v>
      </c>
      <c r="U89" s="244">
        <v>1</v>
      </c>
      <c r="V89" s="244">
        <v>1</v>
      </c>
      <c r="W89" s="244">
        <v>1</v>
      </c>
      <c r="X89" s="244">
        <v>1</v>
      </c>
      <c r="Y89" s="244">
        <v>1</v>
      </c>
      <c r="Z89" s="244">
        <v>1</v>
      </c>
      <c r="AA89" s="244">
        <v>1</v>
      </c>
      <c r="AB89" s="244">
        <v>1</v>
      </c>
      <c r="AC89" s="244">
        <v>1</v>
      </c>
      <c r="AD89" s="284">
        <v>0.9999864235578424</v>
      </c>
    </row>
    <row r="90" spans="1:30" ht="16" x14ac:dyDescent="0.2">
      <c r="A90" s="21" t="s">
        <v>13</v>
      </c>
      <c r="C90" s="232" t="s">
        <v>68</v>
      </c>
      <c r="D90" s="233" t="s">
        <v>66</v>
      </c>
      <c r="E90" s="234"/>
      <c r="F90" s="234"/>
      <c r="G90" s="234"/>
      <c r="H90" s="385">
        <v>0.76834239130434778</v>
      </c>
      <c r="I90" s="385">
        <v>0.71132494448556627</v>
      </c>
      <c r="J90" s="385">
        <v>0.60058027079303677</v>
      </c>
      <c r="K90" s="385">
        <v>0.67778322707209415</v>
      </c>
      <c r="L90" s="385">
        <v>0.73609534619750283</v>
      </c>
      <c r="M90" s="423">
        <v>0.86</v>
      </c>
      <c r="N90" s="423">
        <v>0.86</v>
      </c>
      <c r="O90" s="423">
        <v>0.86</v>
      </c>
      <c r="P90" s="423">
        <v>0.86</v>
      </c>
      <c r="Q90" s="436">
        <f>Q91/Q87</f>
        <v>0.7571397036453521</v>
      </c>
      <c r="R90" s="244">
        <v>0.75</v>
      </c>
      <c r="S90" s="244">
        <v>0.75</v>
      </c>
      <c r="T90" s="244">
        <v>0.75</v>
      </c>
      <c r="U90" s="244">
        <v>0.75</v>
      </c>
      <c r="V90" s="244">
        <v>0.75</v>
      </c>
      <c r="W90" s="244">
        <v>0.75</v>
      </c>
      <c r="X90" s="244">
        <v>0.75</v>
      </c>
      <c r="Y90" s="244">
        <v>0.75</v>
      </c>
      <c r="Z90" s="244">
        <v>0.75</v>
      </c>
      <c r="AA90" s="244">
        <v>0.75</v>
      </c>
      <c r="AB90" s="244">
        <v>0.75</v>
      </c>
      <c r="AC90" s="244">
        <v>0.75</v>
      </c>
      <c r="AD90" s="284">
        <f>AD91/AD87</f>
        <v>0.75000000000000022</v>
      </c>
    </row>
    <row r="91" spans="1:30" ht="16" x14ac:dyDescent="0.2">
      <c r="A91" s="21" t="s">
        <v>13</v>
      </c>
      <c r="C91" s="232" t="s">
        <v>69</v>
      </c>
      <c r="D91" s="233" t="s">
        <v>64</v>
      </c>
      <c r="E91" s="234"/>
      <c r="F91" s="234"/>
      <c r="G91" s="234"/>
      <c r="H91" s="234">
        <f t="shared" ref="H91:P91" si="44">H87*H88*H89*H90</f>
        <v>1131</v>
      </c>
      <c r="I91" s="234">
        <f t="shared" si="44"/>
        <v>961</v>
      </c>
      <c r="J91" s="234">
        <f t="shared" si="44"/>
        <v>1242</v>
      </c>
      <c r="K91" s="234">
        <f t="shared" si="44"/>
        <v>1382</v>
      </c>
      <c r="L91" s="234">
        <f t="shared" si="44"/>
        <v>1297</v>
      </c>
      <c r="M91" s="420">
        <f t="shared" si="44"/>
        <v>1451.7579194630871</v>
      </c>
      <c r="N91" s="420">
        <f t="shared" si="44"/>
        <v>1444.9779642058165</v>
      </c>
      <c r="O91" s="420">
        <f t="shared" si="44"/>
        <v>1398.3657718120805</v>
      </c>
      <c r="P91" s="420">
        <f t="shared" si="44"/>
        <v>1444.9779642058165</v>
      </c>
      <c r="Q91" s="270">
        <f>SUM(E91:P91)</f>
        <v>11753.079619686801</v>
      </c>
      <c r="R91" s="236">
        <f t="shared" ref="R91:AC91" si="45">R87*R88*R89*R90</f>
        <v>2325</v>
      </c>
      <c r="S91" s="236">
        <f t="shared" si="45"/>
        <v>2100</v>
      </c>
      <c r="T91" s="236">
        <f t="shared" si="45"/>
        <v>2325</v>
      </c>
      <c r="U91" s="236">
        <f t="shared" si="45"/>
        <v>2362.5</v>
      </c>
      <c r="V91" s="236">
        <f t="shared" si="45"/>
        <v>2441.25</v>
      </c>
      <c r="W91" s="236">
        <f t="shared" si="45"/>
        <v>2362.5</v>
      </c>
      <c r="X91" s="236">
        <f t="shared" si="45"/>
        <v>2563.3125</v>
      </c>
      <c r="Y91" s="236">
        <f t="shared" si="45"/>
        <v>2563.3125</v>
      </c>
      <c r="Z91" s="236">
        <f t="shared" si="45"/>
        <v>2480.625</v>
      </c>
      <c r="AA91" s="236">
        <f t="shared" si="45"/>
        <v>2691.4781250000001</v>
      </c>
      <c r="AB91" s="236">
        <f t="shared" si="45"/>
        <v>2604.65625</v>
      </c>
      <c r="AC91" s="236">
        <f t="shared" si="45"/>
        <v>2691.4781250000001</v>
      </c>
      <c r="AD91" s="272">
        <f>SUM(R91:AC91)</f>
        <v>29511.112500000003</v>
      </c>
    </row>
    <row r="92" spans="1:30" ht="16" x14ac:dyDescent="0.2">
      <c r="A92" s="21" t="s">
        <v>13</v>
      </c>
      <c r="C92" s="232" t="s">
        <v>44</v>
      </c>
      <c r="D92" s="233" t="s">
        <v>66</v>
      </c>
      <c r="E92" s="233"/>
      <c r="F92" s="233"/>
      <c r="G92" s="233"/>
      <c r="H92" s="255">
        <v>0.80106100795755963</v>
      </c>
      <c r="I92" s="255">
        <v>0.81581685744016652</v>
      </c>
      <c r="J92" s="255">
        <v>0.81723027375201285</v>
      </c>
      <c r="K92" s="255">
        <v>0.84081041968162085</v>
      </c>
      <c r="L92" s="255">
        <v>0.81958365458750959</v>
      </c>
      <c r="M92" s="423">
        <v>0.85</v>
      </c>
      <c r="N92" s="423">
        <v>0.85</v>
      </c>
      <c r="O92" s="423">
        <v>0.85</v>
      </c>
      <c r="P92" s="423">
        <v>0.85</v>
      </c>
      <c r="Q92" s="436">
        <f>Q93/Q91</f>
        <v>0.83459552680161075</v>
      </c>
      <c r="R92" s="244">
        <v>0.86</v>
      </c>
      <c r="S92" s="244">
        <v>0.86</v>
      </c>
      <c r="T92" s="244">
        <v>0.86</v>
      </c>
      <c r="U92" s="244">
        <v>0.86</v>
      </c>
      <c r="V92" s="244">
        <v>0.86</v>
      </c>
      <c r="W92" s="244">
        <v>0.86</v>
      </c>
      <c r="X92" s="244">
        <v>0.86</v>
      </c>
      <c r="Y92" s="244">
        <v>0.86</v>
      </c>
      <c r="Z92" s="244">
        <v>0.86</v>
      </c>
      <c r="AA92" s="244">
        <v>0.86</v>
      </c>
      <c r="AB92" s="244">
        <v>0.86</v>
      </c>
      <c r="AC92" s="244">
        <v>0.86</v>
      </c>
      <c r="AD92" s="284">
        <f>AD93/AD91</f>
        <v>0.85999999999999988</v>
      </c>
    </row>
    <row r="93" spans="1:30" ht="16" x14ac:dyDescent="0.2">
      <c r="A93" s="21" t="s">
        <v>13</v>
      </c>
      <c r="C93" s="232" t="s">
        <v>70</v>
      </c>
      <c r="D93" s="233"/>
      <c r="E93" s="233"/>
      <c r="F93" s="233"/>
      <c r="G93" s="233"/>
      <c r="H93" s="234">
        <f t="shared" ref="H93:P93" si="46">H91*H92</f>
        <v>906</v>
      </c>
      <c r="I93" s="234">
        <f t="shared" si="46"/>
        <v>784</v>
      </c>
      <c r="J93" s="234">
        <f t="shared" si="46"/>
        <v>1015</v>
      </c>
      <c r="K93" s="234">
        <f t="shared" si="46"/>
        <v>1162</v>
      </c>
      <c r="L93" s="234">
        <f t="shared" si="46"/>
        <v>1063</v>
      </c>
      <c r="M93" s="420">
        <f t="shared" si="46"/>
        <v>1233.994231543624</v>
      </c>
      <c r="N93" s="420">
        <f t="shared" si="46"/>
        <v>1228.231269574944</v>
      </c>
      <c r="O93" s="420">
        <f t="shared" si="46"/>
        <v>1188.6109060402684</v>
      </c>
      <c r="P93" s="420">
        <f t="shared" si="46"/>
        <v>1228.231269574944</v>
      </c>
      <c r="Q93" s="270">
        <f>SUM(E93:P93)</f>
        <v>9809.0676767337809</v>
      </c>
      <c r="R93" s="236">
        <f t="shared" ref="R93:AC93" si="47">R91*R92</f>
        <v>1999.5</v>
      </c>
      <c r="S93" s="236">
        <f t="shared" si="47"/>
        <v>1806</v>
      </c>
      <c r="T93" s="236">
        <f t="shared" si="47"/>
        <v>1999.5</v>
      </c>
      <c r="U93" s="236">
        <f t="shared" si="47"/>
        <v>2031.75</v>
      </c>
      <c r="V93" s="236">
        <f t="shared" si="47"/>
        <v>2099.4749999999999</v>
      </c>
      <c r="W93" s="236">
        <f t="shared" si="47"/>
        <v>2031.75</v>
      </c>
      <c r="X93" s="236">
        <f t="shared" si="47"/>
        <v>2204.44875</v>
      </c>
      <c r="Y93" s="236">
        <f t="shared" si="47"/>
        <v>2204.44875</v>
      </c>
      <c r="Z93" s="236">
        <f t="shared" si="47"/>
        <v>2133.3375000000001</v>
      </c>
      <c r="AA93" s="236">
        <f t="shared" si="47"/>
        <v>2314.6711875000001</v>
      </c>
      <c r="AB93" s="236">
        <f t="shared" si="47"/>
        <v>2240.004375</v>
      </c>
      <c r="AC93" s="236">
        <f t="shared" si="47"/>
        <v>2314.6711875000001</v>
      </c>
      <c r="AD93" s="272">
        <f>SUM(R93:AC93)</f>
        <v>25379.55675</v>
      </c>
    </row>
    <row r="94" spans="1:30" ht="16" x14ac:dyDescent="0.2">
      <c r="A94" s="21" t="s">
        <v>13</v>
      </c>
      <c r="C94" s="232" t="s">
        <v>71</v>
      </c>
      <c r="D94" s="233" t="s">
        <v>66</v>
      </c>
      <c r="E94" s="233"/>
      <c r="F94" s="233"/>
      <c r="G94" s="233"/>
      <c r="H94" s="255">
        <v>1</v>
      </c>
      <c r="I94" s="255">
        <v>1</v>
      </c>
      <c r="J94" s="255">
        <v>1</v>
      </c>
      <c r="K94" s="255">
        <v>1</v>
      </c>
      <c r="L94" s="255">
        <v>1</v>
      </c>
      <c r="M94" s="423">
        <v>1</v>
      </c>
      <c r="N94" s="423">
        <v>1</v>
      </c>
      <c r="O94" s="423">
        <v>1</v>
      </c>
      <c r="P94" s="423">
        <v>1</v>
      </c>
      <c r="Q94" s="436">
        <v>0.99996005437695445</v>
      </c>
      <c r="R94" s="244">
        <v>1</v>
      </c>
      <c r="S94" s="244">
        <v>1</v>
      </c>
      <c r="T94" s="244">
        <v>1</v>
      </c>
      <c r="U94" s="244">
        <v>1</v>
      </c>
      <c r="V94" s="244">
        <v>1</v>
      </c>
      <c r="W94" s="244">
        <v>1</v>
      </c>
      <c r="X94" s="244">
        <v>1</v>
      </c>
      <c r="Y94" s="244">
        <v>1</v>
      </c>
      <c r="Z94" s="244">
        <v>1</v>
      </c>
      <c r="AA94" s="244">
        <v>1</v>
      </c>
      <c r="AB94" s="244">
        <v>1</v>
      </c>
      <c r="AC94" s="244">
        <v>1</v>
      </c>
      <c r="AD94" s="284">
        <v>0.99996005437695445</v>
      </c>
    </row>
    <row r="95" spans="1:30" ht="16" x14ac:dyDescent="0.2">
      <c r="A95" s="21" t="s">
        <v>13</v>
      </c>
      <c r="C95" s="232" t="s">
        <v>72</v>
      </c>
      <c r="D95" s="233" t="s">
        <v>66</v>
      </c>
      <c r="E95" s="233"/>
      <c r="F95" s="233"/>
      <c r="G95" s="233"/>
      <c r="H95" s="234">
        <f t="shared" ref="H95:P95" si="48">H93*H94</f>
        <v>906</v>
      </c>
      <c r="I95" s="234">
        <f t="shared" si="48"/>
        <v>784</v>
      </c>
      <c r="J95" s="234">
        <f t="shared" si="48"/>
        <v>1015</v>
      </c>
      <c r="K95" s="234">
        <f t="shared" si="48"/>
        <v>1162</v>
      </c>
      <c r="L95" s="234">
        <f t="shared" si="48"/>
        <v>1063</v>
      </c>
      <c r="M95" s="234">
        <f t="shared" si="48"/>
        <v>1233.994231543624</v>
      </c>
      <c r="N95" s="234">
        <f t="shared" si="48"/>
        <v>1228.231269574944</v>
      </c>
      <c r="O95" s="234">
        <f t="shared" si="48"/>
        <v>1188.6109060402684</v>
      </c>
      <c r="P95" s="234">
        <f t="shared" si="48"/>
        <v>1228.231269574944</v>
      </c>
      <c r="Q95" s="270">
        <f>SUM(E95:P95)</f>
        <v>9809.0676767337809</v>
      </c>
      <c r="R95" s="239">
        <f t="shared" ref="R95:AC95" si="49">R93*R94</f>
        <v>1999.5</v>
      </c>
      <c r="S95" s="239">
        <f t="shared" si="49"/>
        <v>1806</v>
      </c>
      <c r="T95" s="239">
        <f t="shared" si="49"/>
        <v>1999.5</v>
      </c>
      <c r="U95" s="239">
        <f t="shared" si="49"/>
        <v>2031.75</v>
      </c>
      <c r="V95" s="239">
        <f t="shared" si="49"/>
        <v>2099.4749999999999</v>
      </c>
      <c r="W95" s="239">
        <f t="shared" si="49"/>
        <v>2031.75</v>
      </c>
      <c r="X95" s="239">
        <f t="shared" si="49"/>
        <v>2204.44875</v>
      </c>
      <c r="Y95" s="239">
        <f t="shared" si="49"/>
        <v>2204.44875</v>
      </c>
      <c r="Z95" s="239">
        <f t="shared" si="49"/>
        <v>2133.3375000000001</v>
      </c>
      <c r="AA95" s="239">
        <f t="shared" si="49"/>
        <v>2314.6711875000001</v>
      </c>
      <c r="AB95" s="239">
        <f t="shared" si="49"/>
        <v>2240.004375</v>
      </c>
      <c r="AC95" s="239">
        <f t="shared" si="49"/>
        <v>2314.6711875000001</v>
      </c>
      <c r="AD95" s="272">
        <f>SUM(R95:AC95)</f>
        <v>25379.55675</v>
      </c>
    </row>
    <row r="96" spans="1:30" ht="16" x14ac:dyDescent="0.2">
      <c r="A96" s="21" t="s">
        <v>13</v>
      </c>
      <c r="C96" s="232" t="s">
        <v>73</v>
      </c>
      <c r="D96" s="233" t="s">
        <v>64</v>
      </c>
      <c r="E96" s="233"/>
      <c r="F96" s="233"/>
      <c r="G96" s="233"/>
      <c r="H96" s="240">
        <f>H97/H95</f>
        <v>20.245474613686422</v>
      </c>
      <c r="I96" s="240">
        <f>I97/I95</f>
        <v>20.765752551020281</v>
      </c>
      <c r="J96" s="240">
        <f>J97/J95</f>
        <v>20.047487684729063</v>
      </c>
      <c r="K96" s="240">
        <f>K97/K95</f>
        <v>22.641179001721085</v>
      </c>
      <c r="L96" s="240">
        <f>L97/L95</f>
        <v>23.09651928504233</v>
      </c>
      <c r="M96" s="420">
        <v>30</v>
      </c>
      <c r="N96" s="420">
        <v>30</v>
      </c>
      <c r="O96" s="420">
        <v>30</v>
      </c>
      <c r="P96" s="420">
        <v>30</v>
      </c>
      <c r="Q96" s="374">
        <f>Q97/Q95</f>
        <v>25.711274365067055</v>
      </c>
      <c r="R96" s="242">
        <v>25</v>
      </c>
      <c r="S96" s="242">
        <v>25</v>
      </c>
      <c r="T96" s="242">
        <v>25</v>
      </c>
      <c r="U96" s="242">
        <v>25</v>
      </c>
      <c r="V96" s="242">
        <v>25</v>
      </c>
      <c r="W96" s="242">
        <v>25</v>
      </c>
      <c r="X96" s="242">
        <v>25</v>
      </c>
      <c r="Y96" s="242">
        <v>25</v>
      </c>
      <c r="Z96" s="242">
        <v>25</v>
      </c>
      <c r="AA96" s="242">
        <v>25</v>
      </c>
      <c r="AB96" s="242">
        <v>25</v>
      </c>
      <c r="AC96" s="242">
        <v>25</v>
      </c>
      <c r="AD96" s="343">
        <f>AD97/AD95</f>
        <v>25</v>
      </c>
    </row>
    <row r="97" spans="1:31" ht="16" x14ac:dyDescent="0.2">
      <c r="A97" s="21" t="s">
        <v>13</v>
      </c>
      <c r="C97" s="232" t="s">
        <v>75</v>
      </c>
      <c r="D97" s="233" t="s">
        <v>74</v>
      </c>
      <c r="E97" s="233"/>
      <c r="F97" s="233"/>
      <c r="G97" s="233"/>
      <c r="H97" s="234">
        <v>18342.3999999999</v>
      </c>
      <c r="I97" s="234">
        <v>16280.3499999999</v>
      </c>
      <c r="J97" s="234">
        <v>20348.2</v>
      </c>
      <c r="K97" s="234">
        <v>26309.049999999901</v>
      </c>
      <c r="L97" s="234">
        <v>24551.599999999999</v>
      </c>
      <c r="M97" s="420">
        <f t="shared" ref="M97:AC97" si="50">M95*M96</f>
        <v>37019.82694630872</v>
      </c>
      <c r="N97" s="421">
        <f t="shared" si="50"/>
        <v>36846.938087248323</v>
      </c>
      <c r="O97" s="421">
        <f t="shared" si="50"/>
        <v>35658.327181208057</v>
      </c>
      <c r="P97" s="421">
        <f t="shared" si="50"/>
        <v>36846.938087248323</v>
      </c>
      <c r="Q97" s="270">
        <f>SUM(E97:P97)</f>
        <v>252203.63030201313</v>
      </c>
      <c r="R97" s="239">
        <f t="shared" si="50"/>
        <v>49987.5</v>
      </c>
      <c r="S97" s="239">
        <f t="shared" si="50"/>
        <v>45150</v>
      </c>
      <c r="T97" s="239">
        <f t="shared" si="50"/>
        <v>49987.5</v>
      </c>
      <c r="U97" s="239">
        <f t="shared" si="50"/>
        <v>50793.75</v>
      </c>
      <c r="V97" s="239">
        <f t="shared" si="50"/>
        <v>52486.875</v>
      </c>
      <c r="W97" s="239">
        <f t="shared" si="50"/>
        <v>50793.75</v>
      </c>
      <c r="X97" s="239">
        <f t="shared" si="50"/>
        <v>55111.21875</v>
      </c>
      <c r="Y97" s="239">
        <f t="shared" si="50"/>
        <v>55111.21875</v>
      </c>
      <c r="Z97" s="239">
        <f t="shared" si="50"/>
        <v>53333.4375</v>
      </c>
      <c r="AA97" s="239">
        <f t="shared" si="50"/>
        <v>57866.779687500006</v>
      </c>
      <c r="AB97" s="239">
        <f t="shared" si="50"/>
        <v>56000.109375</v>
      </c>
      <c r="AC97" s="239">
        <f t="shared" si="50"/>
        <v>57866.779687500006</v>
      </c>
      <c r="AD97" s="272">
        <f>SUM(R97:AC97)</f>
        <v>634488.91874999995</v>
      </c>
      <c r="AE97" s="5">
        <f>AD97/12</f>
        <v>52874.076562499999</v>
      </c>
    </row>
    <row r="98" spans="1:31" ht="16" x14ac:dyDescent="0.2">
      <c r="C98" s="359"/>
      <c r="D98" s="360"/>
      <c r="E98" s="360"/>
      <c r="F98" s="360"/>
      <c r="G98" s="360"/>
      <c r="H98" s="360"/>
      <c r="I98" s="360"/>
      <c r="J98" s="360"/>
      <c r="K98" s="360"/>
      <c r="L98" s="360"/>
      <c r="M98" s="360"/>
      <c r="N98" s="361"/>
      <c r="O98" s="361"/>
      <c r="P98" s="361"/>
      <c r="Q98" s="451"/>
      <c r="R98" s="361"/>
      <c r="S98" s="361"/>
      <c r="T98" s="361"/>
      <c r="U98" s="361"/>
      <c r="V98" s="361"/>
      <c r="W98" s="361"/>
      <c r="X98" s="361"/>
      <c r="Y98" s="361"/>
      <c r="Z98" s="361"/>
      <c r="AA98" s="361"/>
      <c r="AB98" s="361"/>
      <c r="AC98" s="361"/>
      <c r="AD98" s="362"/>
    </row>
    <row r="99" spans="1:31" ht="16" hidden="1" x14ac:dyDescent="0.2">
      <c r="A99" s="21" t="s">
        <v>14</v>
      </c>
      <c r="C99" s="35" t="s">
        <v>14</v>
      </c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  <c r="AA99" s="364"/>
      <c r="AB99" s="364"/>
      <c r="AC99" s="364"/>
      <c r="AD99" s="365"/>
    </row>
    <row r="100" spans="1:31" ht="16" hidden="1" x14ac:dyDescent="0.2">
      <c r="A100" s="21" t="s">
        <v>14</v>
      </c>
      <c r="C100" s="232" t="s">
        <v>63</v>
      </c>
      <c r="D100" s="233" t="s">
        <v>64</v>
      </c>
      <c r="E100" s="233"/>
      <c r="F100" s="233"/>
      <c r="G100" s="233"/>
      <c r="H100" s="233"/>
      <c r="I100" s="233"/>
      <c r="J100" s="233"/>
      <c r="K100" s="233"/>
      <c r="L100" s="233"/>
      <c r="M100" s="242"/>
      <c r="N100" s="392"/>
      <c r="O100" s="392"/>
      <c r="P100" s="392"/>
      <c r="Q100" s="392"/>
      <c r="R100" s="392"/>
      <c r="S100" s="392"/>
      <c r="T100" s="392"/>
      <c r="U100" s="392"/>
      <c r="V100" s="392"/>
      <c r="W100" s="392"/>
      <c r="X100" s="392"/>
      <c r="Y100" s="392"/>
      <c r="Z100" s="392"/>
      <c r="AA100" s="392"/>
      <c r="AB100" s="392"/>
      <c r="AC100" s="392"/>
      <c r="AD100" s="444"/>
    </row>
    <row r="101" spans="1:31" ht="16" hidden="1" x14ac:dyDescent="0.2">
      <c r="A101" s="21" t="s">
        <v>14</v>
      </c>
      <c r="C101" s="232" t="s">
        <v>65</v>
      </c>
      <c r="D101" s="233"/>
      <c r="E101" s="233"/>
      <c r="F101" s="233"/>
      <c r="G101" s="233"/>
      <c r="H101" s="233"/>
      <c r="I101" s="233"/>
      <c r="J101" s="233"/>
      <c r="K101" s="233"/>
      <c r="L101" s="233"/>
      <c r="M101" s="246"/>
      <c r="N101" s="392"/>
      <c r="O101" s="392"/>
      <c r="P101" s="392"/>
      <c r="Q101" s="392"/>
      <c r="R101" s="392"/>
      <c r="S101" s="392"/>
      <c r="T101" s="392"/>
      <c r="U101" s="392"/>
      <c r="V101" s="392"/>
      <c r="W101" s="392"/>
      <c r="X101" s="392"/>
      <c r="Y101" s="392"/>
      <c r="Z101" s="392"/>
      <c r="AA101" s="392"/>
      <c r="AB101" s="392"/>
      <c r="AC101" s="392"/>
      <c r="AD101" s="444"/>
    </row>
    <row r="102" spans="1:31" ht="16" hidden="1" x14ac:dyDescent="0.2">
      <c r="A102" s="21" t="s">
        <v>14</v>
      </c>
      <c r="C102" s="232" t="s">
        <v>67</v>
      </c>
      <c r="D102" s="233"/>
      <c r="E102" s="233"/>
      <c r="F102" s="233"/>
      <c r="G102" s="233"/>
      <c r="H102" s="233"/>
      <c r="I102" s="233"/>
      <c r="J102" s="233"/>
      <c r="K102" s="233"/>
      <c r="L102" s="233"/>
      <c r="M102" s="246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92"/>
      <c r="AB102" s="392"/>
      <c r="AC102" s="392"/>
      <c r="AD102" s="444"/>
    </row>
    <row r="103" spans="1:31" ht="16" hidden="1" x14ac:dyDescent="0.2">
      <c r="A103" s="21" t="s">
        <v>14</v>
      </c>
      <c r="C103" s="232" t="s">
        <v>68</v>
      </c>
      <c r="D103" s="233"/>
      <c r="E103" s="233"/>
      <c r="F103" s="233"/>
      <c r="G103" s="233"/>
      <c r="H103" s="233"/>
      <c r="I103" s="233"/>
      <c r="J103" s="233"/>
      <c r="K103" s="233"/>
      <c r="L103" s="233"/>
      <c r="M103" s="246"/>
      <c r="N103" s="392"/>
      <c r="O103" s="392"/>
      <c r="P103" s="392"/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  <c r="AC103" s="392"/>
      <c r="AD103" s="444"/>
    </row>
    <row r="104" spans="1:31" ht="16" hidden="1" x14ac:dyDescent="0.2">
      <c r="A104" s="21" t="s">
        <v>14</v>
      </c>
      <c r="C104" s="232" t="s">
        <v>44</v>
      </c>
      <c r="D104" s="233" t="s">
        <v>66</v>
      </c>
      <c r="E104" s="233"/>
      <c r="F104" s="233"/>
      <c r="G104" s="233"/>
      <c r="H104" s="233"/>
      <c r="I104" s="233"/>
      <c r="J104" s="233"/>
      <c r="K104" s="233"/>
      <c r="L104" s="233"/>
      <c r="M104" s="246"/>
      <c r="N104" s="392"/>
      <c r="O104" s="392"/>
      <c r="P104" s="392"/>
      <c r="Q104" s="392"/>
      <c r="R104" s="392"/>
      <c r="S104" s="392"/>
      <c r="T104" s="392"/>
      <c r="U104" s="392"/>
      <c r="V104" s="392"/>
      <c r="W104" s="392"/>
      <c r="X104" s="392"/>
      <c r="Y104" s="392"/>
      <c r="Z104" s="392"/>
      <c r="AA104" s="392"/>
      <c r="AB104" s="392"/>
      <c r="AC104" s="392"/>
      <c r="AD104" s="444"/>
    </row>
    <row r="105" spans="1:31" ht="16" hidden="1" x14ac:dyDescent="0.2">
      <c r="A105" s="21" t="s">
        <v>14</v>
      </c>
      <c r="C105" s="232" t="s">
        <v>71</v>
      </c>
      <c r="D105" s="233" t="s">
        <v>66</v>
      </c>
      <c r="E105" s="233"/>
      <c r="F105" s="233"/>
      <c r="G105" s="233"/>
      <c r="H105" s="233"/>
      <c r="I105" s="233"/>
      <c r="J105" s="233"/>
      <c r="K105" s="233"/>
      <c r="L105" s="233"/>
      <c r="M105" s="246"/>
      <c r="N105" s="392"/>
      <c r="O105" s="392"/>
      <c r="P105" s="392"/>
      <c r="Q105" s="392"/>
      <c r="R105" s="392"/>
      <c r="S105" s="392"/>
      <c r="T105" s="392"/>
      <c r="U105" s="392"/>
      <c r="V105" s="392"/>
      <c r="W105" s="392"/>
      <c r="X105" s="392"/>
      <c r="Y105" s="392"/>
      <c r="Z105" s="392"/>
      <c r="AA105" s="392"/>
      <c r="AB105" s="392"/>
      <c r="AC105" s="392"/>
      <c r="AD105" s="444"/>
    </row>
    <row r="106" spans="1:31" ht="16" hidden="1" x14ac:dyDescent="0.2">
      <c r="A106" s="21" t="s">
        <v>14</v>
      </c>
      <c r="C106" s="232" t="s">
        <v>72</v>
      </c>
      <c r="D106" s="233" t="s">
        <v>64</v>
      </c>
      <c r="E106" s="233"/>
      <c r="F106" s="233"/>
      <c r="G106" s="233"/>
      <c r="H106" s="233"/>
      <c r="I106" s="233"/>
      <c r="J106" s="233"/>
      <c r="K106" s="233"/>
      <c r="L106" s="233"/>
      <c r="M106" s="394">
        <f t="shared" ref="M106:AD106" si="51">M100*M101*M102*M103*M104*M105</f>
        <v>0</v>
      </c>
      <c r="N106" s="395">
        <f t="shared" si="51"/>
        <v>0</v>
      </c>
      <c r="O106" s="395">
        <f t="shared" si="51"/>
        <v>0</v>
      </c>
      <c r="P106" s="395">
        <f t="shared" si="51"/>
        <v>0</v>
      </c>
      <c r="Q106" s="395">
        <f t="shared" si="51"/>
        <v>0</v>
      </c>
      <c r="R106" s="395">
        <f t="shared" si="51"/>
        <v>0</v>
      </c>
      <c r="S106" s="395">
        <f t="shared" si="51"/>
        <v>0</v>
      </c>
      <c r="T106" s="395">
        <f t="shared" si="51"/>
        <v>0</v>
      </c>
      <c r="U106" s="395">
        <f t="shared" si="51"/>
        <v>0</v>
      </c>
      <c r="V106" s="395">
        <f t="shared" si="51"/>
        <v>0</v>
      </c>
      <c r="W106" s="395">
        <f t="shared" si="51"/>
        <v>0</v>
      </c>
      <c r="X106" s="395">
        <f t="shared" si="51"/>
        <v>0</v>
      </c>
      <c r="Y106" s="395">
        <f t="shared" si="51"/>
        <v>0</v>
      </c>
      <c r="Z106" s="395">
        <f t="shared" si="51"/>
        <v>0</v>
      </c>
      <c r="AA106" s="395">
        <f t="shared" si="51"/>
        <v>0</v>
      </c>
      <c r="AB106" s="395">
        <f t="shared" si="51"/>
        <v>0</v>
      </c>
      <c r="AC106" s="395">
        <f t="shared" si="51"/>
        <v>0</v>
      </c>
      <c r="AD106" s="445">
        <f t="shared" si="51"/>
        <v>0</v>
      </c>
    </row>
    <row r="107" spans="1:31" ht="16" hidden="1" x14ac:dyDescent="0.2">
      <c r="A107" s="21" t="s">
        <v>14</v>
      </c>
      <c r="C107" s="232" t="s">
        <v>73</v>
      </c>
      <c r="D107" s="233" t="s">
        <v>74</v>
      </c>
      <c r="E107" s="233"/>
      <c r="F107" s="233"/>
      <c r="G107" s="233"/>
      <c r="H107" s="233"/>
      <c r="I107" s="233"/>
      <c r="J107" s="233"/>
      <c r="K107" s="233"/>
      <c r="L107" s="233"/>
      <c r="M107" s="378"/>
      <c r="N107" s="378"/>
      <c r="O107" s="378"/>
      <c r="P107" s="378"/>
      <c r="Q107" s="378"/>
      <c r="R107" s="378"/>
      <c r="S107" s="378"/>
      <c r="T107" s="378"/>
      <c r="U107" s="378"/>
      <c r="V107" s="378"/>
      <c r="W107" s="378"/>
      <c r="X107" s="378"/>
      <c r="Y107" s="378"/>
      <c r="Z107" s="378"/>
      <c r="AA107" s="378"/>
      <c r="AB107" s="378"/>
      <c r="AC107" s="378"/>
      <c r="AD107" s="452"/>
    </row>
    <row r="108" spans="1:31" ht="16" hidden="1" x14ac:dyDescent="0.2">
      <c r="A108" s="21" t="s">
        <v>14</v>
      </c>
      <c r="C108" s="352" t="s">
        <v>75</v>
      </c>
      <c r="D108" s="353" t="s">
        <v>74</v>
      </c>
      <c r="E108" s="353"/>
      <c r="F108" s="353"/>
      <c r="G108" s="353"/>
      <c r="H108" s="353"/>
      <c r="I108" s="353"/>
      <c r="J108" s="353"/>
      <c r="K108" s="353"/>
      <c r="L108" s="368"/>
      <c r="M108" s="453">
        <f t="shared" ref="M108:AD108" si="52">M106*M107</f>
        <v>0</v>
      </c>
      <c r="N108" s="454">
        <f t="shared" si="52"/>
        <v>0</v>
      </c>
      <c r="O108" s="454">
        <f t="shared" si="52"/>
        <v>0</v>
      </c>
      <c r="P108" s="454">
        <f t="shared" si="52"/>
        <v>0</v>
      </c>
      <c r="Q108" s="454">
        <f t="shared" si="52"/>
        <v>0</v>
      </c>
      <c r="R108" s="454">
        <f t="shared" si="52"/>
        <v>0</v>
      </c>
      <c r="S108" s="454">
        <f t="shared" si="52"/>
        <v>0</v>
      </c>
      <c r="T108" s="454">
        <f t="shared" si="52"/>
        <v>0</v>
      </c>
      <c r="U108" s="454">
        <f t="shared" si="52"/>
        <v>0</v>
      </c>
      <c r="V108" s="454">
        <f t="shared" si="52"/>
        <v>0</v>
      </c>
      <c r="W108" s="454">
        <f t="shared" si="52"/>
        <v>0</v>
      </c>
      <c r="X108" s="454">
        <f t="shared" si="52"/>
        <v>0</v>
      </c>
      <c r="Y108" s="454">
        <f t="shared" si="52"/>
        <v>0</v>
      </c>
      <c r="Z108" s="454">
        <f t="shared" si="52"/>
        <v>0</v>
      </c>
      <c r="AA108" s="454">
        <f t="shared" si="52"/>
        <v>0</v>
      </c>
      <c r="AB108" s="454">
        <f t="shared" si="52"/>
        <v>0</v>
      </c>
      <c r="AC108" s="454">
        <f t="shared" si="52"/>
        <v>0</v>
      </c>
      <c r="AD108" s="455">
        <f t="shared" si="52"/>
        <v>0</v>
      </c>
    </row>
    <row r="110" spans="1:31" ht="16" x14ac:dyDescent="0.2">
      <c r="C110" s="1" t="s">
        <v>105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spans="1:31" ht="17" x14ac:dyDescent="0.2">
      <c r="C111" s="7" t="s">
        <v>2</v>
      </c>
      <c r="D111" s="8"/>
      <c r="E111" s="8">
        <v>45658</v>
      </c>
      <c r="F111" s="8">
        <f t="shared" ref="F111:P111" si="53">EDATE(E111,1)</f>
        <v>45689</v>
      </c>
      <c r="G111" s="8">
        <f t="shared" si="53"/>
        <v>45717</v>
      </c>
      <c r="H111" s="8">
        <f t="shared" si="53"/>
        <v>45748</v>
      </c>
      <c r="I111" s="8">
        <f t="shared" si="53"/>
        <v>45778</v>
      </c>
      <c r="J111" s="8">
        <f t="shared" si="53"/>
        <v>45809</v>
      </c>
      <c r="K111" s="8">
        <f t="shared" si="53"/>
        <v>45839</v>
      </c>
      <c r="L111" s="8">
        <f t="shared" si="53"/>
        <v>45870</v>
      </c>
      <c r="M111" s="9">
        <f t="shared" si="53"/>
        <v>45901</v>
      </c>
      <c r="N111" s="9">
        <f t="shared" si="53"/>
        <v>45931</v>
      </c>
      <c r="O111" s="9">
        <f t="shared" si="53"/>
        <v>45962</v>
      </c>
      <c r="P111" s="9">
        <f t="shared" si="53"/>
        <v>45992</v>
      </c>
      <c r="Q111" s="40" t="s">
        <v>3</v>
      </c>
      <c r="R111" s="9">
        <f>EDATE(P111,1)</f>
        <v>46023</v>
      </c>
      <c r="S111" s="9">
        <f t="shared" ref="S111:AC111" si="54">EDATE(R111,1)</f>
        <v>46054</v>
      </c>
      <c r="T111" s="9">
        <f t="shared" si="54"/>
        <v>46082</v>
      </c>
      <c r="U111" s="9">
        <f t="shared" si="54"/>
        <v>46113</v>
      </c>
      <c r="V111" s="9">
        <f t="shared" si="54"/>
        <v>46143</v>
      </c>
      <c r="W111" s="9">
        <f t="shared" si="54"/>
        <v>46174</v>
      </c>
      <c r="X111" s="9">
        <f t="shared" si="54"/>
        <v>46204</v>
      </c>
      <c r="Y111" s="9">
        <f t="shared" si="54"/>
        <v>46235</v>
      </c>
      <c r="Z111" s="9">
        <f t="shared" si="54"/>
        <v>46266</v>
      </c>
      <c r="AA111" s="9">
        <f t="shared" si="54"/>
        <v>46296</v>
      </c>
      <c r="AB111" s="9">
        <f t="shared" si="54"/>
        <v>46327</v>
      </c>
      <c r="AC111" s="9">
        <f t="shared" si="54"/>
        <v>46357</v>
      </c>
      <c r="AD111" s="41" t="s">
        <v>4</v>
      </c>
    </row>
    <row r="112" spans="1:31" ht="16" x14ac:dyDescent="0.2">
      <c r="C112" s="10" t="s">
        <v>13</v>
      </c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229"/>
      <c r="O112" s="229"/>
      <c r="P112" s="229"/>
      <c r="Q112" s="306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  <c r="AD112" s="307"/>
    </row>
    <row r="113" spans="3:30" ht="16" x14ac:dyDescent="0.2">
      <c r="C113" s="232" t="s">
        <v>63</v>
      </c>
      <c r="D113" s="233" t="s">
        <v>64</v>
      </c>
      <c r="E113" s="234"/>
      <c r="F113" s="234"/>
      <c r="G113" s="234"/>
      <c r="H113" s="234"/>
      <c r="I113" s="234"/>
      <c r="J113" s="234"/>
      <c r="K113" s="234"/>
      <c r="L113" s="234"/>
      <c r="M113" s="420"/>
      <c r="N113" s="421"/>
      <c r="O113" s="421"/>
      <c r="P113" s="421"/>
      <c r="Q113" s="270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337">
        <f>SUM(R113:AC113)</f>
        <v>0</v>
      </c>
    </row>
    <row r="114" spans="3:30" ht="16" x14ac:dyDescent="0.2">
      <c r="C114" s="232" t="s">
        <v>65</v>
      </c>
      <c r="D114" s="233" t="s">
        <v>66</v>
      </c>
      <c r="E114" s="234"/>
      <c r="F114" s="234"/>
      <c r="G114" s="234"/>
      <c r="H114" s="385"/>
      <c r="I114" s="385"/>
      <c r="J114" s="385"/>
      <c r="K114" s="385"/>
      <c r="L114" s="385"/>
      <c r="M114" s="450"/>
      <c r="N114" s="450"/>
      <c r="O114" s="450"/>
      <c r="P114" s="450"/>
      <c r="Q114" s="436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  <c r="AD114" s="284">
        <v>0.9999864235578424</v>
      </c>
    </row>
    <row r="115" spans="3:30" ht="16" x14ac:dyDescent="0.2">
      <c r="C115" s="232" t="s">
        <v>67</v>
      </c>
      <c r="D115" s="233" t="s">
        <v>66</v>
      </c>
      <c r="E115" s="234"/>
      <c r="F115" s="234"/>
      <c r="G115" s="234"/>
      <c r="H115" s="385"/>
      <c r="I115" s="385"/>
      <c r="J115" s="385"/>
      <c r="K115" s="385"/>
      <c r="L115" s="385"/>
      <c r="M115" s="450"/>
      <c r="N115" s="450"/>
      <c r="O115" s="450"/>
      <c r="P115" s="450"/>
      <c r="Q115" s="436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  <c r="AD115" s="284">
        <v>0.9999864235578424</v>
      </c>
    </row>
    <row r="116" spans="3:30" ht="16" x14ac:dyDescent="0.2">
      <c r="C116" s="232" t="s">
        <v>68</v>
      </c>
      <c r="D116" s="233" t="s">
        <v>66</v>
      </c>
      <c r="E116" s="234"/>
      <c r="F116" s="234"/>
      <c r="G116" s="234"/>
      <c r="H116" s="385"/>
      <c r="I116" s="385"/>
      <c r="J116" s="385"/>
      <c r="K116" s="385"/>
      <c r="L116" s="385"/>
      <c r="M116" s="423"/>
      <c r="N116" s="423"/>
      <c r="O116" s="423"/>
      <c r="P116" s="423"/>
      <c r="Q116" s="436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  <c r="AD116" s="284" t="e">
        <f>AD117/AD113</f>
        <v>#DIV/0!</v>
      </c>
    </row>
    <row r="117" spans="3:30" ht="16" x14ac:dyDescent="0.2">
      <c r="C117" s="232" t="s">
        <v>69</v>
      </c>
      <c r="D117" s="233" t="s">
        <v>64</v>
      </c>
      <c r="E117" s="234"/>
      <c r="F117" s="234"/>
      <c r="G117" s="234"/>
      <c r="H117" s="234"/>
      <c r="I117" s="234"/>
      <c r="J117" s="234"/>
      <c r="K117" s="234"/>
      <c r="L117" s="234"/>
      <c r="M117" s="420"/>
      <c r="N117" s="420"/>
      <c r="O117" s="420"/>
      <c r="P117" s="420"/>
      <c r="Q117" s="270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72">
        <f>SUM(R117:AC117)</f>
        <v>0</v>
      </c>
    </row>
    <row r="118" spans="3:30" ht="16" x14ac:dyDescent="0.2">
      <c r="C118" s="232" t="s">
        <v>44</v>
      </c>
      <c r="D118" s="233" t="s">
        <v>66</v>
      </c>
      <c r="E118" s="233"/>
      <c r="F118" s="233"/>
      <c r="G118" s="233"/>
      <c r="H118" s="255"/>
      <c r="I118" s="255"/>
      <c r="J118" s="255"/>
      <c r="K118" s="255"/>
      <c r="L118" s="255"/>
      <c r="M118" s="423"/>
      <c r="N118" s="423"/>
      <c r="O118" s="423"/>
      <c r="P118" s="423"/>
      <c r="Q118" s="436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84" t="e">
        <f>AD119/AD117</f>
        <v>#DIV/0!</v>
      </c>
    </row>
    <row r="119" spans="3:30" ht="16" x14ac:dyDescent="0.2">
      <c r="C119" s="232" t="s">
        <v>70</v>
      </c>
      <c r="D119" s="233"/>
      <c r="E119" s="233"/>
      <c r="F119" s="233"/>
      <c r="G119" s="233"/>
      <c r="H119" s="234"/>
      <c r="I119" s="234"/>
      <c r="J119" s="234"/>
      <c r="K119" s="234"/>
      <c r="L119" s="234"/>
      <c r="M119" s="420"/>
      <c r="N119" s="420"/>
      <c r="O119" s="420"/>
      <c r="P119" s="420"/>
      <c r="Q119" s="270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72">
        <f>SUM(R119:AC119)</f>
        <v>0</v>
      </c>
    </row>
    <row r="120" spans="3:30" ht="16" x14ac:dyDescent="0.2">
      <c r="C120" s="232" t="s">
        <v>71</v>
      </c>
      <c r="D120" s="233" t="s">
        <v>66</v>
      </c>
      <c r="E120" s="233"/>
      <c r="F120" s="233"/>
      <c r="G120" s="233"/>
      <c r="H120" s="255"/>
      <c r="I120" s="255"/>
      <c r="J120" s="255"/>
      <c r="K120" s="255"/>
      <c r="L120" s="255"/>
      <c r="M120" s="423"/>
      <c r="N120" s="423"/>
      <c r="O120" s="423"/>
      <c r="P120" s="423"/>
      <c r="Q120" s="436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84">
        <v>0.99996005437695445</v>
      </c>
    </row>
    <row r="121" spans="3:30" ht="16" x14ac:dyDescent="0.2">
      <c r="C121" s="232" t="s">
        <v>72</v>
      </c>
      <c r="D121" s="233" t="s">
        <v>66</v>
      </c>
      <c r="E121" s="233"/>
      <c r="F121" s="233"/>
      <c r="G121" s="233"/>
      <c r="H121" s="234"/>
      <c r="I121" s="234"/>
      <c r="J121" s="234"/>
      <c r="K121" s="234"/>
      <c r="L121" s="234"/>
      <c r="M121" s="234"/>
      <c r="N121" s="234"/>
      <c r="O121" s="234"/>
      <c r="P121" s="234"/>
      <c r="Q121" s="270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72">
        <f>SUM(R121:AC121)</f>
        <v>0</v>
      </c>
    </row>
    <row r="122" spans="3:30" ht="16" x14ac:dyDescent="0.2">
      <c r="C122" s="232" t="s">
        <v>73</v>
      </c>
      <c r="D122" s="233" t="s">
        <v>64</v>
      </c>
      <c r="E122" s="233"/>
      <c r="F122" s="233"/>
      <c r="G122" s="233"/>
      <c r="H122" s="240"/>
      <c r="I122" s="240"/>
      <c r="J122" s="240"/>
      <c r="K122" s="240"/>
      <c r="L122" s="240"/>
      <c r="M122" s="420"/>
      <c r="N122" s="420"/>
      <c r="O122" s="420"/>
      <c r="P122" s="420"/>
      <c r="Q122" s="374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343" t="e">
        <f>AD123/AD121</f>
        <v>#DIV/0!</v>
      </c>
    </row>
    <row r="123" spans="3:30" ht="16" x14ac:dyDescent="0.2">
      <c r="C123" s="232" t="s">
        <v>75</v>
      </c>
      <c r="D123" s="233" t="s">
        <v>74</v>
      </c>
      <c r="E123" s="233"/>
      <c r="F123" s="233"/>
      <c r="G123" s="233"/>
      <c r="H123" s="234"/>
      <c r="I123" s="234"/>
      <c r="J123" s="234"/>
      <c r="K123" s="234"/>
      <c r="L123" s="234"/>
      <c r="M123" s="420"/>
      <c r="N123" s="421"/>
      <c r="O123" s="421"/>
      <c r="P123" s="421"/>
      <c r="Q123" s="270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72">
        <f>SUM(R123:AC123)</f>
        <v>0</v>
      </c>
    </row>
    <row r="124" spans="3:30" ht="16" x14ac:dyDescent="0.2">
      <c r="C124" s="359"/>
      <c r="D124" s="360"/>
      <c r="E124" s="360"/>
      <c r="F124" s="360"/>
      <c r="G124" s="360"/>
      <c r="H124" s="360"/>
      <c r="I124" s="360"/>
      <c r="J124" s="360"/>
      <c r="K124" s="360"/>
      <c r="L124" s="360"/>
      <c r="M124" s="360"/>
      <c r="N124" s="361"/>
      <c r="O124" s="361"/>
      <c r="P124" s="361"/>
      <c r="Q124" s="451"/>
      <c r="R124" s="361"/>
      <c r="S124" s="361"/>
      <c r="T124" s="361"/>
      <c r="U124" s="361"/>
      <c r="V124" s="361"/>
      <c r="W124" s="361"/>
      <c r="X124" s="361"/>
      <c r="Y124" s="361"/>
      <c r="Z124" s="361"/>
      <c r="AA124" s="361"/>
      <c r="AB124" s="361"/>
      <c r="AC124" s="361"/>
      <c r="AD124" s="362"/>
    </row>
    <row r="126" spans="3:30" ht="16" x14ac:dyDescent="0.2">
      <c r="C126" s="1" t="s">
        <v>106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spans="3:30" ht="17" x14ac:dyDescent="0.2">
      <c r="C127" s="7" t="s">
        <v>2</v>
      </c>
      <c r="D127" s="8"/>
      <c r="E127" s="8">
        <v>45658</v>
      </c>
      <c r="F127" s="8">
        <f t="shared" ref="F127:P127" si="55">EDATE(E127,1)</f>
        <v>45689</v>
      </c>
      <c r="G127" s="8">
        <f t="shared" si="55"/>
        <v>45717</v>
      </c>
      <c r="H127" s="8">
        <f t="shared" si="55"/>
        <v>45748</v>
      </c>
      <c r="I127" s="8">
        <f t="shared" si="55"/>
        <v>45778</v>
      </c>
      <c r="J127" s="8">
        <f t="shared" si="55"/>
        <v>45809</v>
      </c>
      <c r="K127" s="8">
        <f t="shared" si="55"/>
        <v>45839</v>
      </c>
      <c r="L127" s="8">
        <f t="shared" si="55"/>
        <v>45870</v>
      </c>
      <c r="M127" s="9">
        <f t="shared" si="55"/>
        <v>45901</v>
      </c>
      <c r="N127" s="9">
        <f t="shared" si="55"/>
        <v>45931</v>
      </c>
      <c r="O127" s="9">
        <f t="shared" si="55"/>
        <v>45962</v>
      </c>
      <c r="P127" s="9">
        <f t="shared" si="55"/>
        <v>45992</v>
      </c>
      <c r="Q127" s="40" t="s">
        <v>3</v>
      </c>
      <c r="R127" s="9">
        <f>EDATE(P127,1)</f>
        <v>46023</v>
      </c>
      <c r="S127" s="9">
        <f t="shared" ref="S127:AC127" si="56">EDATE(R127,1)</f>
        <v>46054</v>
      </c>
      <c r="T127" s="9">
        <f t="shared" si="56"/>
        <v>46082</v>
      </c>
      <c r="U127" s="9">
        <f t="shared" si="56"/>
        <v>46113</v>
      </c>
      <c r="V127" s="9">
        <f t="shared" si="56"/>
        <v>46143</v>
      </c>
      <c r="W127" s="9">
        <f t="shared" si="56"/>
        <v>46174</v>
      </c>
      <c r="X127" s="9">
        <f t="shared" si="56"/>
        <v>46204</v>
      </c>
      <c r="Y127" s="9">
        <f t="shared" si="56"/>
        <v>46235</v>
      </c>
      <c r="Z127" s="9">
        <f t="shared" si="56"/>
        <v>46266</v>
      </c>
      <c r="AA127" s="9">
        <f t="shared" si="56"/>
        <v>46296</v>
      </c>
      <c r="AB127" s="9">
        <f t="shared" si="56"/>
        <v>46327</v>
      </c>
      <c r="AC127" s="9">
        <f t="shared" si="56"/>
        <v>46357</v>
      </c>
      <c r="AD127" s="41" t="s">
        <v>4</v>
      </c>
    </row>
    <row r="128" spans="3:30" ht="16" x14ac:dyDescent="0.2">
      <c r="C128" s="10" t="s">
        <v>13</v>
      </c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229"/>
      <c r="O128" s="229"/>
      <c r="P128" s="229"/>
      <c r="Q128" s="306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307"/>
    </row>
    <row r="129" spans="3:30" ht="16" x14ac:dyDescent="0.2">
      <c r="C129" s="232" t="s">
        <v>63</v>
      </c>
      <c r="D129" s="233" t="s">
        <v>64</v>
      </c>
      <c r="E129" s="234"/>
      <c r="F129" s="234"/>
      <c r="G129" s="234"/>
      <c r="H129" s="234"/>
      <c r="I129" s="234"/>
      <c r="J129" s="234"/>
      <c r="K129" s="234"/>
      <c r="L129" s="234"/>
      <c r="M129" s="420"/>
      <c r="N129" s="421"/>
      <c r="O129" s="421"/>
      <c r="P129" s="421"/>
      <c r="Q129" s="270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337">
        <f>SUM(R129:AC129)</f>
        <v>0</v>
      </c>
    </row>
    <row r="130" spans="3:30" ht="16" x14ac:dyDescent="0.2">
      <c r="C130" s="232" t="s">
        <v>65</v>
      </c>
      <c r="D130" s="233" t="s">
        <v>66</v>
      </c>
      <c r="E130" s="234"/>
      <c r="F130" s="234"/>
      <c r="G130" s="234"/>
      <c r="H130" s="385"/>
      <c r="I130" s="385"/>
      <c r="J130" s="385"/>
      <c r="K130" s="385"/>
      <c r="L130" s="385"/>
      <c r="M130" s="450"/>
      <c r="N130" s="450"/>
      <c r="O130" s="450"/>
      <c r="P130" s="450"/>
      <c r="Q130" s="436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84">
        <v>0.9999864235578424</v>
      </c>
    </row>
    <row r="131" spans="3:30" ht="16" x14ac:dyDescent="0.2">
      <c r="C131" s="232" t="s">
        <v>67</v>
      </c>
      <c r="D131" s="233" t="s">
        <v>66</v>
      </c>
      <c r="E131" s="234"/>
      <c r="F131" s="234"/>
      <c r="G131" s="234"/>
      <c r="H131" s="385"/>
      <c r="I131" s="385"/>
      <c r="J131" s="385"/>
      <c r="K131" s="385"/>
      <c r="L131" s="385"/>
      <c r="M131" s="450"/>
      <c r="N131" s="450"/>
      <c r="O131" s="450"/>
      <c r="P131" s="450"/>
      <c r="Q131" s="436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84">
        <v>0.9999864235578424</v>
      </c>
    </row>
    <row r="132" spans="3:30" ht="16" x14ac:dyDescent="0.2">
      <c r="C132" s="232" t="s">
        <v>68</v>
      </c>
      <c r="D132" s="233" t="s">
        <v>66</v>
      </c>
      <c r="E132" s="234"/>
      <c r="F132" s="234"/>
      <c r="G132" s="234"/>
      <c r="H132" s="385"/>
      <c r="I132" s="385"/>
      <c r="J132" s="385"/>
      <c r="K132" s="385"/>
      <c r="L132" s="385"/>
      <c r="M132" s="423"/>
      <c r="N132" s="423"/>
      <c r="O132" s="423"/>
      <c r="P132" s="423"/>
      <c r="Q132" s="436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84" t="e">
        <f>AD133/AD129</f>
        <v>#DIV/0!</v>
      </c>
    </row>
    <row r="133" spans="3:30" ht="16" x14ac:dyDescent="0.2">
      <c r="C133" s="232" t="s">
        <v>69</v>
      </c>
      <c r="D133" s="233" t="s">
        <v>64</v>
      </c>
      <c r="E133" s="234"/>
      <c r="F133" s="234"/>
      <c r="G133" s="234"/>
      <c r="H133" s="234"/>
      <c r="I133" s="234"/>
      <c r="J133" s="234"/>
      <c r="K133" s="234"/>
      <c r="L133" s="234"/>
      <c r="M133" s="420"/>
      <c r="N133" s="420"/>
      <c r="O133" s="420"/>
      <c r="P133" s="420"/>
      <c r="Q133" s="270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72">
        <f>SUM(R133:AC133)</f>
        <v>0</v>
      </c>
    </row>
    <row r="134" spans="3:30" ht="16" x14ac:dyDescent="0.2">
      <c r="C134" s="232" t="s">
        <v>44</v>
      </c>
      <c r="D134" s="233" t="s">
        <v>66</v>
      </c>
      <c r="E134" s="233"/>
      <c r="F134" s="233"/>
      <c r="G134" s="233"/>
      <c r="H134" s="255"/>
      <c r="I134" s="255"/>
      <c r="J134" s="255"/>
      <c r="K134" s="255"/>
      <c r="L134" s="255"/>
      <c r="M134" s="423"/>
      <c r="N134" s="423"/>
      <c r="O134" s="423"/>
      <c r="P134" s="423"/>
      <c r="Q134" s="436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84" t="e">
        <f>AD135/AD133</f>
        <v>#DIV/0!</v>
      </c>
    </row>
    <row r="135" spans="3:30" ht="16" x14ac:dyDescent="0.2">
      <c r="C135" s="232" t="s">
        <v>70</v>
      </c>
      <c r="D135" s="233"/>
      <c r="E135" s="233"/>
      <c r="F135" s="233"/>
      <c r="G135" s="233"/>
      <c r="H135" s="234"/>
      <c r="I135" s="234"/>
      <c r="J135" s="234"/>
      <c r="K135" s="234"/>
      <c r="L135" s="234"/>
      <c r="M135" s="420"/>
      <c r="N135" s="420"/>
      <c r="O135" s="420"/>
      <c r="P135" s="420"/>
      <c r="Q135" s="270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72">
        <f>SUM(R135:AC135)</f>
        <v>0</v>
      </c>
    </row>
    <row r="136" spans="3:30" ht="16" x14ac:dyDescent="0.2">
      <c r="C136" s="232" t="s">
        <v>71</v>
      </c>
      <c r="D136" s="233" t="s">
        <v>66</v>
      </c>
      <c r="E136" s="233"/>
      <c r="F136" s="233"/>
      <c r="G136" s="233"/>
      <c r="H136" s="255"/>
      <c r="I136" s="255"/>
      <c r="J136" s="255"/>
      <c r="K136" s="255"/>
      <c r="L136" s="255"/>
      <c r="M136" s="423"/>
      <c r="N136" s="423"/>
      <c r="O136" s="423"/>
      <c r="P136" s="423"/>
      <c r="Q136" s="436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  <c r="AD136" s="284">
        <v>0.99996005437695445</v>
      </c>
    </row>
    <row r="137" spans="3:30" ht="16" x14ac:dyDescent="0.2">
      <c r="C137" s="232" t="s">
        <v>72</v>
      </c>
      <c r="D137" s="233" t="s">
        <v>66</v>
      </c>
      <c r="E137" s="233"/>
      <c r="F137" s="233"/>
      <c r="G137" s="233"/>
      <c r="H137" s="234"/>
      <c r="I137" s="234"/>
      <c r="J137" s="234"/>
      <c r="K137" s="234"/>
      <c r="L137" s="234"/>
      <c r="M137" s="234"/>
      <c r="N137" s="234"/>
      <c r="O137" s="234"/>
      <c r="P137" s="234"/>
      <c r="Q137" s="270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72">
        <f>SUM(R137:AC137)</f>
        <v>0</v>
      </c>
    </row>
    <row r="138" spans="3:30" ht="16" x14ac:dyDescent="0.2">
      <c r="C138" s="232" t="s">
        <v>73</v>
      </c>
      <c r="D138" s="233" t="s">
        <v>64</v>
      </c>
      <c r="E138" s="233"/>
      <c r="F138" s="233"/>
      <c r="G138" s="233"/>
      <c r="H138" s="240"/>
      <c r="I138" s="240"/>
      <c r="J138" s="240"/>
      <c r="K138" s="240"/>
      <c r="L138" s="240"/>
      <c r="M138" s="420"/>
      <c r="N138" s="420"/>
      <c r="O138" s="420"/>
      <c r="P138" s="420"/>
      <c r="Q138" s="374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343" t="e">
        <f>AD139/AD137</f>
        <v>#DIV/0!</v>
      </c>
    </row>
    <row r="139" spans="3:30" ht="16" x14ac:dyDescent="0.2">
      <c r="C139" s="232" t="s">
        <v>75</v>
      </c>
      <c r="D139" s="233" t="s">
        <v>74</v>
      </c>
      <c r="E139" s="233"/>
      <c r="F139" s="233"/>
      <c r="G139" s="233"/>
      <c r="H139" s="234"/>
      <c r="I139" s="234"/>
      <c r="J139" s="234"/>
      <c r="K139" s="234"/>
      <c r="L139" s="234"/>
      <c r="M139" s="420"/>
      <c r="N139" s="421"/>
      <c r="O139" s="421"/>
      <c r="P139" s="421"/>
      <c r="Q139" s="270"/>
      <c r="R139" s="239"/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72">
        <f>SUM(R139:AC139)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06FD-0373-8F46-AEDA-6632C8A2507F}">
  <dimension ref="A2:AE125"/>
  <sheetViews>
    <sheetView showGridLines="0" zoomScale="86" zoomScaleNormal="85" workbookViewId="0">
      <pane xSplit="3" ySplit="3" topLeftCell="S27" activePane="bottomRight" state="frozen"/>
      <selection pane="topRight"/>
      <selection pane="bottomLeft"/>
      <selection pane="bottomRight" activeCell="AE60" sqref="AE60"/>
    </sheetView>
  </sheetViews>
  <sheetFormatPr baseColWidth="10" defaultColWidth="8.5" defaultRowHeight="15" x14ac:dyDescent="0.2"/>
  <cols>
    <col min="1" max="1" width="8.5" hidden="1" customWidth="1"/>
    <col min="3" max="3" width="38.5" customWidth="1"/>
    <col min="4" max="4" width="9.5" customWidth="1"/>
    <col min="5" max="11" width="19.5" bestFit="1" customWidth="1"/>
    <col min="12" max="12" width="18.5" bestFit="1" customWidth="1"/>
    <col min="13" max="17" width="12.5" customWidth="1"/>
    <col min="18" max="29" width="14" customWidth="1"/>
    <col min="30" max="30" width="14" style="30" customWidth="1"/>
    <col min="31" max="31" width="9.1640625" bestFit="1" customWidth="1"/>
  </cols>
  <sheetData>
    <row r="2" spans="1:31" ht="17" thickBot="1" x14ac:dyDescent="0.25">
      <c r="C2" s="1" t="s">
        <v>48</v>
      </c>
      <c r="D2" s="2"/>
      <c r="E2" s="22">
        <v>1</v>
      </c>
      <c r="F2" s="22">
        <v>2</v>
      </c>
      <c r="G2" s="22">
        <v>3</v>
      </c>
      <c r="H2" s="22">
        <v>4</v>
      </c>
      <c r="I2" s="22">
        <v>5</v>
      </c>
      <c r="J2" s="22">
        <v>6</v>
      </c>
      <c r="K2" s="22">
        <v>7</v>
      </c>
      <c r="L2" s="22">
        <v>8</v>
      </c>
      <c r="M2" s="228"/>
      <c r="N2" s="228"/>
      <c r="O2" s="228"/>
      <c r="P2" s="228"/>
      <c r="Q2" s="228"/>
      <c r="R2" s="228"/>
      <c r="S2" s="228"/>
      <c r="T2" s="228"/>
      <c r="U2" s="228"/>
    </row>
    <row r="3" spans="1:31" ht="17" x14ac:dyDescent="0.2">
      <c r="C3" s="7" t="s">
        <v>2</v>
      </c>
      <c r="D3" s="8"/>
      <c r="E3" s="8">
        <v>45658</v>
      </c>
      <c r="F3" s="8">
        <v>45689</v>
      </c>
      <c r="G3" s="8">
        <v>45717</v>
      </c>
      <c r="H3" s="8">
        <v>45748</v>
      </c>
      <c r="I3" s="8">
        <v>45778</v>
      </c>
      <c r="J3" s="8">
        <v>45809</v>
      </c>
      <c r="K3" s="8">
        <v>45839</v>
      </c>
      <c r="L3" s="8">
        <v>45870</v>
      </c>
      <c r="M3" s="9">
        <f>EDATE(L3,1)</f>
        <v>45901</v>
      </c>
      <c r="N3" s="9">
        <f>EDATE(M3,1)</f>
        <v>45931</v>
      </c>
      <c r="O3" s="9">
        <f>EDATE(N3,1)</f>
        <v>45962</v>
      </c>
      <c r="P3" s="9">
        <f>EDATE(O3,1)</f>
        <v>45992</v>
      </c>
      <c r="Q3" s="9" t="s">
        <v>3</v>
      </c>
      <c r="R3" s="456">
        <f>EDATE(P3,1)</f>
        <v>46023</v>
      </c>
      <c r="S3" s="457">
        <f t="shared" ref="S3:AC3" si="0">EDATE(R3,1)</f>
        <v>46054</v>
      </c>
      <c r="T3" s="457">
        <f t="shared" si="0"/>
        <v>46082</v>
      </c>
      <c r="U3" s="457">
        <f t="shared" si="0"/>
        <v>46113</v>
      </c>
      <c r="V3" s="457">
        <f t="shared" si="0"/>
        <v>46143</v>
      </c>
      <c r="W3" s="457">
        <f t="shared" si="0"/>
        <v>46174</v>
      </c>
      <c r="X3" s="457">
        <f t="shared" si="0"/>
        <v>46204</v>
      </c>
      <c r="Y3" s="457">
        <f t="shared" si="0"/>
        <v>46235</v>
      </c>
      <c r="Z3" s="457">
        <f t="shared" si="0"/>
        <v>46266</v>
      </c>
      <c r="AA3" s="457">
        <f t="shared" si="0"/>
        <v>46296</v>
      </c>
      <c r="AB3" s="457">
        <f t="shared" si="0"/>
        <v>46327</v>
      </c>
      <c r="AC3" s="457">
        <f t="shared" si="0"/>
        <v>46357</v>
      </c>
      <c r="AD3" s="458" t="s">
        <v>4</v>
      </c>
    </row>
    <row r="4" spans="1:31" ht="16" x14ac:dyDescent="0.2">
      <c r="C4" s="16" t="s">
        <v>49</v>
      </c>
      <c r="D4" s="12"/>
      <c r="E4" s="12"/>
      <c r="F4" s="12"/>
      <c r="G4" s="12"/>
      <c r="H4" s="229"/>
      <c r="I4" s="229"/>
      <c r="J4" s="229"/>
      <c r="K4" s="229"/>
      <c r="L4" s="229"/>
      <c r="M4" s="229"/>
      <c r="N4" s="229"/>
      <c r="O4" s="229"/>
      <c r="P4" s="229"/>
      <c r="Q4" s="388"/>
      <c r="R4" s="459"/>
      <c r="S4" s="229"/>
      <c r="T4" s="229"/>
      <c r="U4" s="229"/>
      <c r="V4" s="13"/>
      <c r="W4" s="13"/>
      <c r="X4" s="13"/>
      <c r="Y4" s="13"/>
      <c r="Z4" s="13"/>
      <c r="AA4" s="13"/>
      <c r="AB4" s="13"/>
      <c r="AC4" s="13"/>
      <c r="AD4" s="43"/>
    </row>
    <row r="5" spans="1:31" ht="16" x14ac:dyDescent="0.2">
      <c r="A5" s="21" t="s">
        <v>10</v>
      </c>
      <c r="B5" s="21"/>
      <c r="C5" s="11" t="s">
        <v>10</v>
      </c>
      <c r="D5" s="230"/>
      <c r="E5" s="230"/>
      <c r="F5" s="230"/>
      <c r="G5" s="230"/>
      <c r="H5" s="231"/>
      <c r="I5" s="231"/>
      <c r="J5" s="231"/>
      <c r="K5" s="231"/>
      <c r="L5" s="231"/>
      <c r="M5" s="231"/>
      <c r="N5" s="231"/>
      <c r="O5" s="231"/>
      <c r="P5" s="231"/>
      <c r="Q5" s="249"/>
      <c r="R5" s="460"/>
      <c r="S5" s="231"/>
      <c r="T5" s="231"/>
      <c r="U5" s="231"/>
      <c r="V5" s="14"/>
      <c r="W5" s="14"/>
      <c r="X5" s="14"/>
      <c r="Y5" s="14"/>
      <c r="Z5" s="14"/>
      <c r="AA5" s="14"/>
      <c r="AB5" s="14"/>
      <c r="AC5" s="14"/>
      <c r="AD5" s="44"/>
    </row>
    <row r="6" spans="1:31" ht="16" x14ac:dyDescent="0.2">
      <c r="A6" s="21" t="s">
        <v>10</v>
      </c>
      <c r="B6" s="21"/>
      <c r="C6" s="232" t="s">
        <v>63</v>
      </c>
      <c r="D6" s="233" t="s">
        <v>64</v>
      </c>
      <c r="E6" s="234">
        <v>53735</v>
      </c>
      <c r="F6" s="234">
        <v>42949</v>
      </c>
      <c r="G6" s="234">
        <v>67209</v>
      </c>
      <c r="H6" s="234">
        <v>63363</v>
      </c>
      <c r="I6" s="234">
        <v>55207</v>
      </c>
      <c r="J6" s="234">
        <v>55876</v>
      </c>
      <c r="K6" s="234">
        <v>75265</v>
      </c>
      <c r="L6" s="234">
        <v>75567</v>
      </c>
      <c r="M6" s="242">
        <v>76528</v>
      </c>
      <c r="N6" s="236">
        <v>84180.800000000003</v>
      </c>
      <c r="O6" s="236">
        <v>88007.2</v>
      </c>
      <c r="P6" s="236">
        <v>91833.599999999991</v>
      </c>
      <c r="Q6" s="64">
        <f>SUM(E6:P6)</f>
        <v>829720.6</v>
      </c>
      <c r="R6" s="461">
        <v>91833.599999999991</v>
      </c>
      <c r="S6" s="236">
        <v>84180.800000000003</v>
      </c>
      <c r="T6" s="236">
        <v>88007.200000000012</v>
      </c>
      <c r="U6" s="236">
        <v>91833.60000000002</v>
      </c>
      <c r="V6" s="236">
        <v>95660.000000000015</v>
      </c>
      <c r="W6" s="236">
        <v>99486.400000000023</v>
      </c>
      <c r="X6" s="236">
        <v>103312.80000000002</v>
      </c>
      <c r="Y6" s="236">
        <v>107139.20000000003</v>
      </c>
      <c r="Z6" s="236">
        <v>110965.60000000003</v>
      </c>
      <c r="AA6" s="236">
        <v>114792.00000000003</v>
      </c>
      <c r="AB6" s="236">
        <v>118618.40000000004</v>
      </c>
      <c r="AC6" s="236">
        <v>122444.80000000005</v>
      </c>
      <c r="AD6" s="462"/>
    </row>
    <row r="7" spans="1:31" s="4" customFormat="1" ht="16" x14ac:dyDescent="0.2">
      <c r="A7" s="21" t="s">
        <v>10</v>
      </c>
      <c r="B7" s="21"/>
      <c r="C7" s="232" t="s">
        <v>65</v>
      </c>
      <c r="D7" s="233" t="s">
        <v>66</v>
      </c>
      <c r="E7" s="382">
        <v>0.86850283800130268</v>
      </c>
      <c r="F7" s="382">
        <v>0.85471140189527117</v>
      </c>
      <c r="G7" s="382">
        <v>0.83383177848204848</v>
      </c>
      <c r="H7" s="382">
        <v>0.84408882155200982</v>
      </c>
      <c r="I7" s="382">
        <v>0.84893220062673214</v>
      </c>
      <c r="J7" s="382">
        <v>0.8469826043381774</v>
      </c>
      <c r="K7" s="382">
        <v>0.86534245665315879</v>
      </c>
      <c r="L7" s="382">
        <v>0.87183558960922092</v>
      </c>
      <c r="M7" s="463">
        <v>0.88</v>
      </c>
      <c r="N7" s="238">
        <v>0.88</v>
      </c>
      <c r="O7" s="238">
        <v>0.88</v>
      </c>
      <c r="P7" s="238">
        <v>0.88</v>
      </c>
      <c r="Q7" s="65"/>
      <c r="R7" s="464">
        <v>0.88</v>
      </c>
      <c r="S7" s="238">
        <v>0.88</v>
      </c>
      <c r="T7" s="238">
        <v>0.88</v>
      </c>
      <c r="U7" s="238">
        <v>0.88</v>
      </c>
      <c r="V7" s="238">
        <v>0.88</v>
      </c>
      <c r="W7" s="238">
        <v>0.88</v>
      </c>
      <c r="X7" s="238">
        <v>0.88</v>
      </c>
      <c r="Y7" s="238">
        <v>0.88</v>
      </c>
      <c r="Z7" s="238">
        <v>0.88</v>
      </c>
      <c r="AA7" s="238">
        <v>0.88</v>
      </c>
      <c r="AB7" s="238">
        <v>0.88</v>
      </c>
      <c r="AC7" s="238">
        <v>0.88</v>
      </c>
      <c r="AD7" s="465"/>
    </row>
    <row r="8" spans="1:31" s="4" customFormat="1" ht="16" x14ac:dyDescent="0.2">
      <c r="A8" s="21" t="s">
        <v>10</v>
      </c>
      <c r="B8" s="21"/>
      <c r="C8" s="232" t="s">
        <v>67</v>
      </c>
      <c r="D8" s="233" t="s">
        <v>66</v>
      </c>
      <c r="E8" s="237">
        <v>0.99910004499775007</v>
      </c>
      <c r="F8" s="237">
        <v>0.98850418153586317</v>
      </c>
      <c r="G8" s="237">
        <v>0.99842972109705397</v>
      </c>
      <c r="H8" s="237">
        <v>0.99586792311719396</v>
      </c>
      <c r="I8" s="237">
        <v>0.99556190923250898</v>
      </c>
      <c r="J8" s="237">
        <v>0.99790812661116512</v>
      </c>
      <c r="K8" s="237">
        <v>0.99878704130201135</v>
      </c>
      <c r="L8" s="237">
        <v>0.98025257278163991</v>
      </c>
      <c r="M8" s="463">
        <v>0.98025257278163991</v>
      </c>
      <c r="N8" s="238">
        <v>0.98025257278163991</v>
      </c>
      <c r="O8" s="238">
        <v>0.98025257278163991</v>
      </c>
      <c r="P8" s="238">
        <v>0.98025257278163991</v>
      </c>
      <c r="Q8" s="65"/>
      <c r="R8" s="464">
        <v>0.98025257278163991</v>
      </c>
      <c r="S8" s="238">
        <v>0.98025257278163991</v>
      </c>
      <c r="T8" s="238">
        <v>0.98025257278163991</v>
      </c>
      <c r="U8" s="238">
        <v>0.98025257278163991</v>
      </c>
      <c r="V8" s="238">
        <v>0.98025257278163991</v>
      </c>
      <c r="W8" s="238">
        <v>0.98025257278163991</v>
      </c>
      <c r="X8" s="238">
        <v>0.98025257278163991</v>
      </c>
      <c r="Y8" s="238">
        <v>0.98025257278163991</v>
      </c>
      <c r="Z8" s="238">
        <v>0.98025257278163991</v>
      </c>
      <c r="AA8" s="238">
        <v>0.98025257278163991</v>
      </c>
      <c r="AB8" s="238">
        <v>0.98025257278163991</v>
      </c>
      <c r="AC8" s="238">
        <v>0.98025257278163991</v>
      </c>
      <c r="AD8" s="465"/>
    </row>
    <row r="9" spans="1:31" s="4" customFormat="1" ht="16" x14ac:dyDescent="0.2">
      <c r="A9" s="21" t="s">
        <v>10</v>
      </c>
      <c r="B9" s="21"/>
      <c r="C9" s="232" t="s">
        <v>68</v>
      </c>
      <c r="D9" s="233" t="s">
        <v>66</v>
      </c>
      <c r="E9" s="237">
        <v>0.3795011474038647</v>
      </c>
      <c r="F9" s="237">
        <v>0.39151762339129714</v>
      </c>
      <c r="G9" s="237">
        <v>0.40414276267581722</v>
      </c>
      <c r="H9" s="237">
        <v>0.44856654713403299</v>
      </c>
      <c r="I9" s="237">
        <v>0.43732184573179878</v>
      </c>
      <c r="J9" s="237">
        <v>0.46805852584326763</v>
      </c>
      <c r="K9" s="237">
        <v>0.46707967594656502</v>
      </c>
      <c r="L9" s="237">
        <v>0.41640730245737911</v>
      </c>
      <c r="M9" s="463">
        <v>0.41640730245737911</v>
      </c>
      <c r="N9" s="238">
        <v>0.41640730245737911</v>
      </c>
      <c r="O9" s="238">
        <v>0.41640730245737911</v>
      </c>
      <c r="P9" s="238">
        <v>0.41640730245737911</v>
      </c>
      <c r="Q9" s="65"/>
      <c r="R9" s="464">
        <v>0.41640730245737911</v>
      </c>
      <c r="S9" s="238">
        <v>0.41640730245737911</v>
      </c>
      <c r="T9" s="238">
        <v>0.41640730245737911</v>
      </c>
      <c r="U9" s="238">
        <v>0.41640730245737911</v>
      </c>
      <c r="V9" s="238">
        <v>0.41640730245737911</v>
      </c>
      <c r="W9" s="238">
        <v>0.41640730245737911</v>
      </c>
      <c r="X9" s="238">
        <v>0.41640730245737911</v>
      </c>
      <c r="Y9" s="238">
        <v>0.41640730245737911</v>
      </c>
      <c r="Z9" s="238">
        <v>0.41640730245737911</v>
      </c>
      <c r="AA9" s="238">
        <v>0.41640730245737911</v>
      </c>
      <c r="AB9" s="238">
        <v>0.41640730245737911</v>
      </c>
      <c r="AC9" s="238">
        <v>0.41640730245737911</v>
      </c>
      <c r="AD9" s="465"/>
    </row>
    <row r="10" spans="1:31" s="4" customFormat="1" ht="16" x14ac:dyDescent="0.2">
      <c r="A10" s="21" t="s">
        <v>10</v>
      </c>
      <c r="B10" s="21"/>
      <c r="C10" s="232" t="s">
        <v>44</v>
      </c>
      <c r="D10" s="233" t="s">
        <v>66</v>
      </c>
      <c r="E10" s="237">
        <v>0.85278327211076577</v>
      </c>
      <c r="F10" s="237">
        <v>0.85619764904624485</v>
      </c>
      <c r="G10" s="237">
        <v>0.83257418299208419</v>
      </c>
      <c r="H10" s="237">
        <v>0.83663987945755902</v>
      </c>
      <c r="I10" s="237">
        <v>0.81720166625827007</v>
      </c>
      <c r="J10" s="237">
        <v>0.81443112418004981</v>
      </c>
      <c r="K10" s="237">
        <v>0.84722222222222221</v>
      </c>
      <c r="L10" s="237">
        <v>0.86691209281570725</v>
      </c>
      <c r="M10" s="463">
        <v>0.86691209281570725</v>
      </c>
      <c r="N10" s="238">
        <v>0.86691209281570725</v>
      </c>
      <c r="O10" s="238">
        <v>0.86691209281570725</v>
      </c>
      <c r="P10" s="238">
        <v>0.86691209281570725</v>
      </c>
      <c r="Q10" s="65"/>
      <c r="R10" s="464">
        <v>0.86691209281570725</v>
      </c>
      <c r="S10" s="238">
        <v>0.86691209281570725</v>
      </c>
      <c r="T10" s="238">
        <v>0.86691209281570725</v>
      </c>
      <c r="U10" s="238">
        <v>0.86691209281570725</v>
      </c>
      <c r="V10" s="238">
        <v>0.86691209281570725</v>
      </c>
      <c r="W10" s="238">
        <v>0.86691209281570725</v>
      </c>
      <c r="X10" s="238">
        <v>0.86691209281570725</v>
      </c>
      <c r="Y10" s="238">
        <v>0.86691209281570725</v>
      </c>
      <c r="Z10" s="238">
        <v>0.86691209281570725</v>
      </c>
      <c r="AA10" s="238">
        <v>0.86691209281570725</v>
      </c>
      <c r="AB10" s="238">
        <v>0.86691209281570725</v>
      </c>
      <c r="AC10" s="238">
        <v>0.86691209281570725</v>
      </c>
      <c r="AD10" s="465"/>
    </row>
    <row r="11" spans="1:31" s="4" customFormat="1" ht="16" x14ac:dyDescent="0.2">
      <c r="A11" s="21" t="s">
        <v>10</v>
      </c>
      <c r="B11" s="21"/>
      <c r="C11" s="232" t="s">
        <v>71</v>
      </c>
      <c r="D11" s="233" t="s">
        <v>66</v>
      </c>
      <c r="E11" s="237">
        <v>0.99555997349237901</v>
      </c>
      <c r="F11" s="237">
        <v>0.99687602762249261</v>
      </c>
      <c r="G11" s="237">
        <v>0.99776916131088333</v>
      </c>
      <c r="H11" s="237">
        <v>0.9988993946670669</v>
      </c>
      <c r="I11" s="237">
        <v>0.99874062968515742</v>
      </c>
      <c r="J11" s="237">
        <v>0.99888907404321503</v>
      </c>
      <c r="K11" s="237">
        <v>0.99844611918265869</v>
      </c>
      <c r="L11" s="237">
        <v>0.99849869171706773</v>
      </c>
      <c r="M11" s="463">
        <v>0.99849869171706773</v>
      </c>
      <c r="N11" s="238">
        <v>0.99849869171706773</v>
      </c>
      <c r="O11" s="238">
        <v>0.99849869171706773</v>
      </c>
      <c r="P11" s="238">
        <v>0.99849869171706773</v>
      </c>
      <c r="Q11" s="65"/>
      <c r="R11" s="464">
        <v>0.99849869171706773</v>
      </c>
      <c r="S11" s="238">
        <v>0.99849869171706773</v>
      </c>
      <c r="T11" s="238">
        <v>0.99849869171706773</v>
      </c>
      <c r="U11" s="238">
        <v>0.99849869171706773</v>
      </c>
      <c r="V11" s="238">
        <v>0.99849869171706773</v>
      </c>
      <c r="W11" s="238">
        <v>0.99849869171706773</v>
      </c>
      <c r="X11" s="238">
        <v>0.99849869171706773</v>
      </c>
      <c r="Y11" s="238">
        <v>0.99849869171706773</v>
      </c>
      <c r="Z11" s="238">
        <v>0.99849869171706773</v>
      </c>
      <c r="AA11" s="238">
        <v>0.99849869171706773</v>
      </c>
      <c r="AB11" s="238">
        <v>0.99849869171706773</v>
      </c>
      <c r="AC11" s="238">
        <v>0.99849869171706773</v>
      </c>
      <c r="AD11" s="465"/>
    </row>
    <row r="12" spans="1:31" ht="16" x14ac:dyDescent="0.2">
      <c r="A12" s="21" t="s">
        <v>10</v>
      </c>
      <c r="B12" s="21"/>
      <c r="C12" s="232" t="s">
        <v>72</v>
      </c>
      <c r="D12" s="233" t="s">
        <v>64</v>
      </c>
      <c r="E12" s="234">
        <f t="shared" ref="E12:L12" si="1">E6*E7*E8*E9*E10*E11</f>
        <v>15023</v>
      </c>
      <c r="F12" s="234">
        <f t="shared" si="1"/>
        <v>12126</v>
      </c>
      <c r="G12" s="234">
        <f t="shared" si="1"/>
        <v>18785</v>
      </c>
      <c r="H12" s="234">
        <f t="shared" si="1"/>
        <v>19967</v>
      </c>
      <c r="I12" s="234">
        <f t="shared" si="1"/>
        <v>16654</v>
      </c>
      <c r="J12" s="234">
        <f t="shared" si="1"/>
        <v>17983</v>
      </c>
      <c r="K12" s="234">
        <f t="shared" si="1"/>
        <v>25701.999999999996</v>
      </c>
      <c r="L12" s="234">
        <f t="shared" si="1"/>
        <v>23278</v>
      </c>
      <c r="M12" s="234">
        <v>23794.79265838924</v>
      </c>
      <c r="N12" s="239">
        <v>26174.271924228171</v>
      </c>
      <c r="O12" s="239">
        <v>27364.011557147627</v>
      </c>
      <c r="P12" s="239">
        <v>28553.751190067087</v>
      </c>
      <c r="Q12" s="66"/>
      <c r="R12" s="466">
        <v>28553.751190067087</v>
      </c>
      <c r="S12" s="239">
        <v>26174.271924228171</v>
      </c>
      <c r="T12" s="239">
        <v>27364.011557147634</v>
      </c>
      <c r="U12" s="239">
        <v>28553.751190067091</v>
      </c>
      <c r="V12" s="239">
        <v>29743.490822986558</v>
      </c>
      <c r="W12" s="239">
        <v>30933.230455906025</v>
      </c>
      <c r="X12" s="239">
        <v>32122.970088825477</v>
      </c>
      <c r="Y12" s="239">
        <v>33312.709721744948</v>
      </c>
      <c r="Z12" s="239">
        <v>34502.449354664415</v>
      </c>
      <c r="AA12" s="239">
        <v>35692.188987583868</v>
      </c>
      <c r="AB12" s="239">
        <v>36881.928620503342</v>
      </c>
      <c r="AC12" s="239">
        <v>38071.668253422802</v>
      </c>
      <c r="AD12" s="467"/>
    </row>
    <row r="13" spans="1:31" ht="16" x14ac:dyDescent="0.2">
      <c r="A13" s="21" t="s">
        <v>10</v>
      </c>
      <c r="B13" s="21"/>
      <c r="C13" s="232" t="s">
        <v>73</v>
      </c>
      <c r="D13" s="233" t="s">
        <v>74</v>
      </c>
      <c r="E13" s="240">
        <f t="shared" ref="E13:L13" si="2">E14/E12</f>
        <v>12.115429008853091</v>
      </c>
      <c r="F13" s="240">
        <f t="shared" si="2"/>
        <v>10.959087910275441</v>
      </c>
      <c r="G13" s="240">
        <f t="shared" si="2"/>
        <v>10.715523556028746</v>
      </c>
      <c r="H13" s="240">
        <f t="shared" si="2"/>
        <v>12.550357590023538</v>
      </c>
      <c r="I13" s="240">
        <f t="shared" si="2"/>
        <v>14.340585444938153</v>
      </c>
      <c r="J13" s="240">
        <f t="shared" si="2"/>
        <v>14.555416226436078</v>
      </c>
      <c r="K13" s="240">
        <f t="shared" si="2"/>
        <v>14.853920706559801</v>
      </c>
      <c r="L13" s="240">
        <f t="shared" si="2"/>
        <v>14.920929633129996</v>
      </c>
      <c r="M13" s="242">
        <v>19</v>
      </c>
      <c r="N13" s="242">
        <v>19</v>
      </c>
      <c r="O13" s="242">
        <v>19</v>
      </c>
      <c r="P13" s="242">
        <v>19</v>
      </c>
      <c r="Q13" s="389"/>
      <c r="R13" s="468">
        <v>19</v>
      </c>
      <c r="S13" s="242">
        <v>19</v>
      </c>
      <c r="T13" s="242">
        <v>19</v>
      </c>
      <c r="U13" s="242">
        <v>19</v>
      </c>
      <c r="V13" s="242">
        <v>19</v>
      </c>
      <c r="W13" s="242">
        <v>19</v>
      </c>
      <c r="X13" s="242">
        <v>19</v>
      </c>
      <c r="Y13" s="242">
        <v>19</v>
      </c>
      <c r="Z13" s="242">
        <v>19</v>
      </c>
      <c r="AA13" s="242">
        <v>19</v>
      </c>
      <c r="AB13" s="242">
        <v>19</v>
      </c>
      <c r="AC13" s="242">
        <v>19</v>
      </c>
      <c r="AD13" s="469"/>
    </row>
    <row r="14" spans="1:31" ht="16" x14ac:dyDescent="0.2">
      <c r="A14" s="21" t="s">
        <v>10</v>
      </c>
      <c r="B14" s="21"/>
      <c r="C14" s="232" t="s">
        <v>75</v>
      </c>
      <c r="D14" s="233" t="s">
        <v>74</v>
      </c>
      <c r="E14" s="234">
        <v>182010.09</v>
      </c>
      <c r="F14" s="234">
        <v>132889.9</v>
      </c>
      <c r="G14" s="234">
        <v>201291.11</v>
      </c>
      <c r="H14" s="234">
        <v>250592.99</v>
      </c>
      <c r="I14" s="234">
        <v>238828.11</v>
      </c>
      <c r="J14" s="234">
        <v>261750.05</v>
      </c>
      <c r="K14" s="234">
        <v>381775.47</v>
      </c>
      <c r="L14" s="234">
        <v>347329.4</v>
      </c>
      <c r="M14" s="234">
        <v>474212</v>
      </c>
      <c r="N14" s="234">
        <v>497311.16656033526</v>
      </c>
      <c r="O14" s="234">
        <v>519916.21958580491</v>
      </c>
      <c r="P14" s="234">
        <v>542521.27261127462</v>
      </c>
      <c r="Q14" s="67">
        <f>SUM(E14:P14)</f>
        <v>4030427.7787574148</v>
      </c>
      <c r="R14" s="470">
        <v>542521.27261127462</v>
      </c>
      <c r="S14" s="234">
        <v>497311.16656033526</v>
      </c>
      <c r="T14" s="234">
        <v>519916.21958580508</v>
      </c>
      <c r="U14" s="234">
        <v>542521.27261127473</v>
      </c>
      <c r="V14" s="234">
        <v>565126.32563674462</v>
      </c>
      <c r="W14" s="234">
        <v>587731.3786622145</v>
      </c>
      <c r="X14" s="234">
        <v>610336.43168768403</v>
      </c>
      <c r="Y14" s="234">
        <v>632941.48471315403</v>
      </c>
      <c r="Z14" s="234">
        <v>655546.53773862391</v>
      </c>
      <c r="AA14" s="234">
        <v>678151.59076409345</v>
      </c>
      <c r="AB14" s="234">
        <v>700756.64378956356</v>
      </c>
      <c r="AC14" s="234">
        <v>723361.69681503321</v>
      </c>
      <c r="AD14" s="45">
        <v>7256222.0211758008</v>
      </c>
      <c r="AE14" s="5">
        <f>AD14/12</f>
        <v>604685.16843131674</v>
      </c>
    </row>
    <row r="15" spans="1:31" ht="16" x14ac:dyDescent="0.2">
      <c r="A15" s="21" t="s">
        <v>10</v>
      </c>
      <c r="B15" s="21"/>
      <c r="C15" s="344"/>
      <c r="D15" s="230"/>
      <c r="E15" s="230"/>
      <c r="F15" s="230"/>
      <c r="G15" s="230"/>
      <c r="H15" s="231"/>
      <c r="I15" s="231"/>
      <c r="J15" s="231"/>
      <c r="K15" s="231"/>
      <c r="L15" s="231"/>
      <c r="M15" s="231"/>
      <c r="N15" s="231"/>
      <c r="O15" s="231"/>
      <c r="P15" s="231"/>
      <c r="Q15" s="249"/>
      <c r="R15" s="460"/>
      <c r="S15" s="231"/>
      <c r="T15" s="231"/>
      <c r="U15" s="231"/>
      <c r="V15" s="14"/>
      <c r="W15" s="14"/>
      <c r="X15" s="14"/>
      <c r="Y15" s="14"/>
      <c r="Z15" s="14"/>
      <c r="AA15" s="14"/>
      <c r="AB15" s="14"/>
      <c r="AC15" s="14"/>
      <c r="AD15" s="44"/>
    </row>
    <row r="16" spans="1:31" ht="16" x14ac:dyDescent="0.2">
      <c r="A16" s="21" t="s">
        <v>102</v>
      </c>
      <c r="B16" s="21"/>
      <c r="C16" s="11" t="s">
        <v>102</v>
      </c>
      <c r="D16" s="230"/>
      <c r="E16" s="230"/>
      <c r="F16" s="230"/>
      <c r="G16" s="230"/>
      <c r="H16" s="231"/>
      <c r="I16" s="231"/>
      <c r="J16" s="231"/>
      <c r="K16" s="231"/>
      <c r="L16" s="231"/>
      <c r="M16" s="231"/>
      <c r="N16" s="231"/>
      <c r="O16" s="231"/>
      <c r="P16" s="231"/>
      <c r="Q16" s="249"/>
      <c r="R16" s="460"/>
      <c r="S16" s="231"/>
      <c r="T16" s="231"/>
      <c r="U16" s="231"/>
      <c r="V16" s="14"/>
      <c r="W16" s="14"/>
      <c r="X16" s="14"/>
      <c r="Y16" s="14"/>
      <c r="Z16" s="14"/>
      <c r="AA16" s="14"/>
      <c r="AB16" s="14"/>
      <c r="AC16" s="14"/>
      <c r="AD16" s="44"/>
    </row>
    <row r="17" spans="1:30" ht="16" x14ac:dyDescent="0.2">
      <c r="A17" s="21" t="s">
        <v>102</v>
      </c>
      <c r="B17" s="21"/>
      <c r="C17" s="232" t="s">
        <v>63</v>
      </c>
      <c r="D17" s="233" t="s">
        <v>64</v>
      </c>
      <c r="E17" s="234"/>
      <c r="F17" s="234"/>
      <c r="G17" s="234">
        <v>7</v>
      </c>
      <c r="H17" s="234"/>
      <c r="I17" s="234">
        <v>7873</v>
      </c>
      <c r="J17" s="234">
        <v>12321</v>
      </c>
      <c r="K17" s="234">
        <v>16655</v>
      </c>
      <c r="L17" s="242">
        <v>18403</v>
      </c>
      <c r="M17" s="242">
        <f>16707*30/28</f>
        <v>17900.357142857141</v>
      </c>
      <c r="N17" s="252">
        <f>M17*1.4</f>
        <v>25060.499999999996</v>
      </c>
      <c r="O17" s="253">
        <f>N17*1.05</f>
        <v>26313.524999999998</v>
      </c>
      <c r="P17" s="253">
        <f>M17*1.1</f>
        <v>19690.392857142859</v>
      </c>
      <c r="Q17" s="250">
        <f>SUM(E17:P17)</f>
        <v>144223.77499999999</v>
      </c>
      <c r="R17" s="471">
        <f>P17*1.05</f>
        <v>20674.912500000002</v>
      </c>
      <c r="S17" s="254">
        <f t="shared" ref="S17:AC17" si="3">R17*1.05</f>
        <v>21708.658125000002</v>
      </c>
      <c r="T17" s="254">
        <f t="shared" si="3"/>
        <v>22794.091031250002</v>
      </c>
      <c r="U17" s="254">
        <f t="shared" si="3"/>
        <v>23933.795582812501</v>
      </c>
      <c r="V17" s="254">
        <f t="shared" si="3"/>
        <v>25130.485361953128</v>
      </c>
      <c r="W17" s="254">
        <f t="shared" si="3"/>
        <v>26387.009630050787</v>
      </c>
      <c r="X17" s="254">
        <f t="shared" si="3"/>
        <v>27706.360111553327</v>
      </c>
      <c r="Y17" s="254">
        <f t="shared" si="3"/>
        <v>29091.678117130996</v>
      </c>
      <c r="Z17" s="254">
        <f t="shared" si="3"/>
        <v>30546.262022987547</v>
      </c>
      <c r="AA17" s="254">
        <f t="shared" si="3"/>
        <v>32073.575124136925</v>
      </c>
      <c r="AB17" s="254">
        <f t="shared" si="3"/>
        <v>33677.253880343771</v>
      </c>
      <c r="AC17" s="254">
        <f t="shared" si="3"/>
        <v>35361.11657436096</v>
      </c>
      <c r="AD17" s="472">
        <f>SUM(R17:AC17)</f>
        <v>329085.19806157995</v>
      </c>
    </row>
    <row r="18" spans="1:30" ht="16" x14ac:dyDescent="0.2">
      <c r="A18" s="21" t="s">
        <v>102</v>
      </c>
      <c r="B18" s="21"/>
      <c r="C18" s="232" t="s">
        <v>65</v>
      </c>
      <c r="D18" s="233" t="s">
        <v>66</v>
      </c>
      <c r="E18" s="255"/>
      <c r="F18" s="255"/>
      <c r="G18" s="237">
        <v>1</v>
      </c>
      <c r="H18" s="237"/>
      <c r="I18" s="237">
        <v>0.83487869935221648</v>
      </c>
      <c r="J18" s="237">
        <v>0.81706030354679005</v>
      </c>
      <c r="K18" s="237">
        <v>0.80348243770639449</v>
      </c>
      <c r="L18" s="246">
        <v>0.78335054067271637</v>
      </c>
      <c r="M18" s="246">
        <v>0.76</v>
      </c>
      <c r="N18" s="246">
        <v>0.76</v>
      </c>
      <c r="O18" s="246">
        <v>0.81</v>
      </c>
      <c r="P18" s="246">
        <v>0.81</v>
      </c>
      <c r="Q18" s="251">
        <f>AVERAGE(E18:P18)</f>
        <v>0.81986355347534634</v>
      </c>
      <c r="R18" s="473">
        <v>0.81</v>
      </c>
      <c r="S18" s="246">
        <v>0.81</v>
      </c>
      <c r="T18" s="246">
        <v>0.81</v>
      </c>
      <c r="U18" s="246">
        <v>0.81</v>
      </c>
      <c r="V18" s="246">
        <v>0.81</v>
      </c>
      <c r="W18" s="246">
        <v>0.81</v>
      </c>
      <c r="X18" s="246">
        <v>0.81</v>
      </c>
      <c r="Y18" s="246">
        <v>0.81</v>
      </c>
      <c r="Z18" s="246">
        <v>0.81</v>
      </c>
      <c r="AA18" s="246">
        <v>0.81</v>
      </c>
      <c r="AB18" s="246">
        <v>0.81</v>
      </c>
      <c r="AC18" s="246">
        <v>0.81</v>
      </c>
      <c r="AD18" s="474">
        <f>AVERAGE(R18:AC18)</f>
        <v>0.81000000000000039</v>
      </c>
    </row>
    <row r="19" spans="1:30" ht="16" x14ac:dyDescent="0.2">
      <c r="A19" s="21" t="s">
        <v>102</v>
      </c>
      <c r="B19" s="21"/>
      <c r="C19" s="232" t="s">
        <v>67</v>
      </c>
      <c r="D19" s="233" t="s">
        <v>66</v>
      </c>
      <c r="E19" s="255"/>
      <c r="F19" s="255"/>
      <c r="G19" s="237">
        <v>1</v>
      </c>
      <c r="H19" s="237"/>
      <c r="I19" s="237">
        <v>0.9957401490947817</v>
      </c>
      <c r="J19" s="237">
        <v>0.99731796960365549</v>
      </c>
      <c r="K19" s="237">
        <v>0.99880436407114037</v>
      </c>
      <c r="L19" s="256">
        <v>0.98973362930077691</v>
      </c>
      <c r="M19" s="256">
        <v>0.99570000000000003</v>
      </c>
      <c r="N19" s="256">
        <v>0.99570000000000003</v>
      </c>
      <c r="O19" s="256">
        <v>0.99570000000000003</v>
      </c>
      <c r="P19" s="256">
        <v>0.99570000000000003</v>
      </c>
      <c r="Q19" s="251">
        <f>AVERAGE(E19:P19)</f>
        <v>0.99604401245226171</v>
      </c>
      <c r="R19" s="475">
        <v>0.99570000000000003</v>
      </c>
      <c r="S19" s="256">
        <v>0.99570000000000003</v>
      </c>
      <c r="T19" s="256">
        <v>0.99570000000000003</v>
      </c>
      <c r="U19" s="256">
        <v>0.99570000000000003</v>
      </c>
      <c r="V19" s="256">
        <v>0.99570000000000003</v>
      </c>
      <c r="W19" s="256">
        <v>0.99570000000000003</v>
      </c>
      <c r="X19" s="256">
        <v>0.99570000000000003</v>
      </c>
      <c r="Y19" s="256">
        <v>0.99570000000000003</v>
      </c>
      <c r="Z19" s="256">
        <v>0.99570000000000003</v>
      </c>
      <c r="AA19" s="256">
        <v>0.99570000000000003</v>
      </c>
      <c r="AB19" s="256">
        <v>0.99570000000000003</v>
      </c>
      <c r="AC19" s="256">
        <v>0.99570000000000003</v>
      </c>
      <c r="AD19" s="474">
        <f>AVERAGE(R19:AC19)</f>
        <v>0.99569999999999992</v>
      </c>
    </row>
    <row r="20" spans="1:30" ht="16" x14ac:dyDescent="0.2">
      <c r="A20" s="21" t="s">
        <v>102</v>
      </c>
      <c r="B20" s="21"/>
      <c r="C20" s="232" t="s">
        <v>68</v>
      </c>
      <c r="D20" s="233" t="s">
        <v>66</v>
      </c>
      <c r="E20" s="255"/>
      <c r="F20" s="255"/>
      <c r="G20" s="237">
        <v>0.42857142857142855</v>
      </c>
      <c r="H20" s="237"/>
      <c r="I20" s="237">
        <v>0.47532467532467532</v>
      </c>
      <c r="J20" s="237">
        <v>0.50786852589641429</v>
      </c>
      <c r="K20" s="237">
        <v>0.50950172078407896</v>
      </c>
      <c r="L20" s="256">
        <v>0.43523969722455846</v>
      </c>
      <c r="M20" s="256">
        <v>0.42259999999999998</v>
      </c>
      <c r="N20" s="256">
        <v>0.4526</v>
      </c>
      <c r="O20" s="256">
        <v>0.4526</v>
      </c>
      <c r="P20" s="256">
        <v>0.4526</v>
      </c>
      <c r="Q20" s="251">
        <f>AVERAGE(E20:P20)</f>
        <v>0.45965622753346175</v>
      </c>
      <c r="R20" s="475">
        <v>0.4526</v>
      </c>
      <c r="S20" s="256">
        <v>0.4526</v>
      </c>
      <c r="T20" s="256">
        <v>0.4526</v>
      </c>
      <c r="U20" s="256">
        <v>0.4526</v>
      </c>
      <c r="V20" s="256">
        <v>0.4526</v>
      </c>
      <c r="W20" s="256">
        <v>0.4526</v>
      </c>
      <c r="X20" s="256">
        <v>0.4526</v>
      </c>
      <c r="Y20" s="256">
        <v>0.4526</v>
      </c>
      <c r="Z20" s="256">
        <v>0.4526</v>
      </c>
      <c r="AA20" s="256">
        <v>0.4526</v>
      </c>
      <c r="AB20" s="256">
        <v>0.4526</v>
      </c>
      <c r="AC20" s="256">
        <v>0.4526</v>
      </c>
      <c r="AD20" s="474">
        <f>AVERAGE(R20:AC20)</f>
        <v>0.45260000000000006</v>
      </c>
    </row>
    <row r="21" spans="1:30" ht="16" x14ac:dyDescent="0.2">
      <c r="A21" s="21" t="s">
        <v>102</v>
      </c>
      <c r="B21" s="21"/>
      <c r="C21" s="232" t="s">
        <v>44</v>
      </c>
      <c r="D21" s="233" t="s">
        <v>66</v>
      </c>
      <c r="E21" s="255"/>
      <c r="F21" s="255"/>
      <c r="G21" s="237">
        <v>1</v>
      </c>
      <c r="H21" s="237"/>
      <c r="I21" s="237">
        <v>0.95371263259402117</v>
      </c>
      <c r="J21" s="237">
        <v>0.93763483035889394</v>
      </c>
      <c r="K21" s="237">
        <v>0.95844346549192361</v>
      </c>
      <c r="L21" s="256">
        <v>0.94605475040257647</v>
      </c>
      <c r="M21" s="256">
        <v>0.9556</v>
      </c>
      <c r="N21" s="256">
        <v>0.9556</v>
      </c>
      <c r="O21" s="256">
        <v>0.9556</v>
      </c>
      <c r="P21" s="256">
        <v>0.9556</v>
      </c>
      <c r="Q21" s="251">
        <f>AVERAGE(E21:P21)</f>
        <v>0.95758285320526837</v>
      </c>
      <c r="R21" s="475">
        <v>0.9556</v>
      </c>
      <c r="S21" s="256">
        <v>0.9556</v>
      </c>
      <c r="T21" s="256">
        <v>0.9556</v>
      </c>
      <c r="U21" s="256">
        <v>0.9556</v>
      </c>
      <c r="V21" s="256">
        <v>0.9556</v>
      </c>
      <c r="W21" s="256">
        <v>0.9556</v>
      </c>
      <c r="X21" s="256">
        <v>0.9556</v>
      </c>
      <c r="Y21" s="256">
        <v>0.9556</v>
      </c>
      <c r="Z21" s="256">
        <v>0.9556</v>
      </c>
      <c r="AA21" s="256">
        <v>0.9556</v>
      </c>
      <c r="AB21" s="256">
        <v>0.9556</v>
      </c>
      <c r="AC21" s="256">
        <v>0.9556</v>
      </c>
      <c r="AD21" s="474">
        <f>AVERAGE(R21:AC21)</f>
        <v>0.95560000000000034</v>
      </c>
    </row>
    <row r="22" spans="1:30" ht="16" x14ac:dyDescent="0.2">
      <c r="A22" s="21" t="s">
        <v>102</v>
      </c>
      <c r="B22" s="21"/>
      <c r="C22" s="232" t="s">
        <v>71</v>
      </c>
      <c r="D22" s="233" t="s">
        <v>66</v>
      </c>
      <c r="E22" s="255"/>
      <c r="F22" s="255"/>
      <c r="G22" s="237">
        <v>1</v>
      </c>
      <c r="H22" s="237"/>
      <c r="I22" s="237">
        <v>0.99696663296258847</v>
      </c>
      <c r="J22" s="237">
        <v>0.99707174231332363</v>
      </c>
      <c r="K22" s="237">
        <v>0.996629385628926</v>
      </c>
      <c r="L22" s="256">
        <v>0.99404255319148938</v>
      </c>
      <c r="M22" s="256">
        <v>0.99280000000000002</v>
      </c>
      <c r="N22" s="256">
        <v>0.99280000000000002</v>
      </c>
      <c r="O22" s="256">
        <v>0.99280000000000002</v>
      </c>
      <c r="P22" s="256">
        <v>0.99280000000000002</v>
      </c>
      <c r="Q22" s="251">
        <f>AVERAGE(E22:P22)</f>
        <v>0.99510114601070299</v>
      </c>
      <c r="R22" s="475">
        <v>0.99280000000000002</v>
      </c>
      <c r="S22" s="256">
        <v>0.99280000000000002</v>
      </c>
      <c r="T22" s="256">
        <v>0.99280000000000002</v>
      </c>
      <c r="U22" s="256">
        <v>0.99280000000000002</v>
      </c>
      <c r="V22" s="256">
        <v>0.99280000000000002</v>
      </c>
      <c r="W22" s="256">
        <v>0.99280000000000002</v>
      </c>
      <c r="X22" s="256">
        <v>0.99280000000000002</v>
      </c>
      <c r="Y22" s="256">
        <v>0.99280000000000002</v>
      </c>
      <c r="Z22" s="256">
        <v>0.99280000000000002</v>
      </c>
      <c r="AA22" s="256">
        <v>0.99280000000000002</v>
      </c>
      <c r="AB22" s="256">
        <v>0.99280000000000002</v>
      </c>
      <c r="AC22" s="256">
        <v>0.99280000000000002</v>
      </c>
      <c r="AD22" s="474">
        <f>AVERAGE(R22:AC22)</f>
        <v>0.99280000000000024</v>
      </c>
    </row>
    <row r="23" spans="1:30" ht="16" x14ac:dyDescent="0.2">
      <c r="A23" s="21" t="s">
        <v>102</v>
      </c>
      <c r="B23" s="21"/>
      <c r="C23" s="232" t="s">
        <v>72</v>
      </c>
      <c r="D23" s="233" t="s">
        <v>64</v>
      </c>
      <c r="E23" s="234"/>
      <c r="F23" s="234"/>
      <c r="G23" s="234">
        <f>G17*G18*G19*G20*G21*G22</f>
        <v>3</v>
      </c>
      <c r="H23" s="234"/>
      <c r="I23" s="234">
        <f t="shared" ref="I23:P23" si="4">I17*I18*I19*I20*I21*I22</f>
        <v>2958</v>
      </c>
      <c r="J23" s="234">
        <f t="shared" si="4"/>
        <v>4766.9999999999991</v>
      </c>
      <c r="K23" s="234">
        <f t="shared" si="4"/>
        <v>6504.9999999999991</v>
      </c>
      <c r="L23" s="234">
        <f t="shared" si="4"/>
        <v>5840</v>
      </c>
      <c r="M23" s="234">
        <f t="shared" si="4"/>
        <v>5430.892391219174</v>
      </c>
      <c r="N23" s="234">
        <f t="shared" si="4"/>
        <v>8142.9972900428702</v>
      </c>
      <c r="O23" s="234">
        <f t="shared" si="4"/>
        <v>9112.6568357650794</v>
      </c>
      <c r="P23" s="234">
        <f t="shared" si="4"/>
        <v>6818.9949111167289</v>
      </c>
      <c r="Q23" s="257">
        <f>SUM(E23:P23)</f>
        <v>49578.54142814385</v>
      </c>
      <c r="R23" s="470">
        <f t="shared" ref="R23:AC23" si="5">R17*R18*R19*R20*R21*R22</f>
        <v>7159.9446566725646</v>
      </c>
      <c r="S23" s="234">
        <f t="shared" si="5"/>
        <v>7517.9418895061926</v>
      </c>
      <c r="T23" s="234">
        <f t="shared" si="5"/>
        <v>7893.8389839815027</v>
      </c>
      <c r="U23" s="234">
        <f t="shared" si="5"/>
        <v>8288.5309331805784</v>
      </c>
      <c r="V23" s="234">
        <f t="shared" si="5"/>
        <v>8702.9574798396061</v>
      </c>
      <c r="W23" s="234">
        <f t="shared" si="5"/>
        <v>9138.1053538315882</v>
      </c>
      <c r="X23" s="234">
        <f t="shared" si="5"/>
        <v>9595.0106215231699</v>
      </c>
      <c r="Y23" s="234">
        <f t="shared" si="5"/>
        <v>10074.761152599327</v>
      </c>
      <c r="Z23" s="234">
        <f t="shared" si="5"/>
        <v>10578.499210229294</v>
      </c>
      <c r="AA23" s="234">
        <f t="shared" si="5"/>
        <v>11107.42417074076</v>
      </c>
      <c r="AB23" s="234">
        <f t="shared" si="5"/>
        <v>11662.795379277795</v>
      </c>
      <c r="AC23" s="234">
        <f t="shared" si="5"/>
        <v>12245.935148241686</v>
      </c>
      <c r="AD23" s="467">
        <f>SUM(R23:AC23)</f>
        <v>113965.74497962407</v>
      </c>
    </row>
    <row r="24" spans="1:30" ht="16" x14ac:dyDescent="0.2">
      <c r="A24" s="21" t="s">
        <v>102</v>
      </c>
      <c r="B24" s="21"/>
      <c r="C24" s="232" t="s">
        <v>73</v>
      </c>
      <c r="D24" s="233" t="s">
        <v>74</v>
      </c>
      <c r="E24" s="234"/>
      <c r="F24" s="234"/>
      <c r="G24" s="240">
        <f>G25/G23</f>
        <v>6.7766666666666664</v>
      </c>
      <c r="H24" s="240"/>
      <c r="I24" s="240">
        <f>I25/I23</f>
        <v>9.8637592968221774</v>
      </c>
      <c r="J24" s="240">
        <f>J25/J23</f>
        <v>9.996740088105728</v>
      </c>
      <c r="K24" s="240">
        <f>K25/K23</f>
        <v>13.527617217524982</v>
      </c>
      <c r="L24" s="248">
        <f>L25/L23</f>
        <v>14.352450342465753</v>
      </c>
      <c r="M24" s="248">
        <v>15.4</v>
      </c>
      <c r="N24" s="248">
        <f>M24*0.7+0.3*3</f>
        <v>11.68</v>
      </c>
      <c r="O24" s="248">
        <f>N24*1.024</f>
        <v>11.960319999999999</v>
      </c>
      <c r="P24" s="248">
        <v>15</v>
      </c>
      <c r="Q24" s="258">
        <f>Q25/Q23</f>
        <v>12.88235591946248</v>
      </c>
      <c r="R24" s="476">
        <v>15</v>
      </c>
      <c r="S24" s="248">
        <f>R24</f>
        <v>15</v>
      </c>
      <c r="T24" s="248">
        <f>R24*1.1</f>
        <v>16.5</v>
      </c>
      <c r="U24" s="248">
        <f>S24*1.1</f>
        <v>16.5</v>
      </c>
      <c r="V24" s="248">
        <f t="shared" ref="V24:AC24" si="6">U24</f>
        <v>16.5</v>
      </c>
      <c r="W24" s="248">
        <f t="shared" si="6"/>
        <v>16.5</v>
      </c>
      <c r="X24" s="248">
        <f t="shared" si="6"/>
        <v>16.5</v>
      </c>
      <c r="Y24" s="248">
        <f t="shared" si="6"/>
        <v>16.5</v>
      </c>
      <c r="Z24" s="248">
        <f t="shared" si="6"/>
        <v>16.5</v>
      </c>
      <c r="AA24" s="248">
        <f t="shared" si="6"/>
        <v>16.5</v>
      </c>
      <c r="AB24" s="248">
        <f t="shared" si="6"/>
        <v>16.5</v>
      </c>
      <c r="AC24" s="248">
        <f t="shared" si="6"/>
        <v>16.5</v>
      </c>
      <c r="AD24" s="477">
        <f>AD25/AD23</f>
        <v>16.306811864185995</v>
      </c>
    </row>
    <row r="25" spans="1:30" ht="16" x14ac:dyDescent="0.2">
      <c r="A25" s="21" t="s">
        <v>102</v>
      </c>
      <c r="B25" s="21"/>
      <c r="C25" s="232" t="s">
        <v>75</v>
      </c>
      <c r="D25" s="233" t="s">
        <v>74</v>
      </c>
      <c r="E25" s="234">
        <v>0</v>
      </c>
      <c r="F25" s="234"/>
      <c r="G25" s="234">
        <v>20.329999999999998</v>
      </c>
      <c r="H25" s="234"/>
      <c r="I25" s="234">
        <v>29177</v>
      </c>
      <c r="J25" s="234">
        <v>47654.46</v>
      </c>
      <c r="K25" s="234">
        <v>87997.15</v>
      </c>
      <c r="L25" s="234">
        <v>83818.31</v>
      </c>
      <c r="M25" s="234">
        <f>M23*M24</f>
        <v>83635.742824775283</v>
      </c>
      <c r="N25" s="234">
        <f>N23*N24</f>
        <v>95110.208347700725</v>
      </c>
      <c r="O25" s="234">
        <f>O23*O24</f>
        <v>108990.29180593778</v>
      </c>
      <c r="P25" s="234">
        <f>P23*P24</f>
        <v>102284.92366675094</v>
      </c>
      <c r="Q25" s="259">
        <f>SUM(E25:P25)</f>
        <v>638688.41664516472</v>
      </c>
      <c r="R25" s="62">
        <f t="shared" ref="R25:AC25" si="7">R23*R24</f>
        <v>107399.16985008847</v>
      </c>
      <c r="S25" s="38">
        <f t="shared" si="7"/>
        <v>112769.12834259289</v>
      </c>
      <c r="T25" s="38">
        <f t="shared" si="7"/>
        <v>130248.34323569479</v>
      </c>
      <c r="U25" s="38">
        <f t="shared" si="7"/>
        <v>136760.76039747955</v>
      </c>
      <c r="V25" s="38">
        <f t="shared" si="7"/>
        <v>143598.79841735351</v>
      </c>
      <c r="W25" s="38">
        <f t="shared" si="7"/>
        <v>150778.73833822121</v>
      </c>
      <c r="X25" s="38">
        <f t="shared" si="7"/>
        <v>158317.67525513232</v>
      </c>
      <c r="Y25" s="38">
        <f t="shared" si="7"/>
        <v>166233.55901788891</v>
      </c>
      <c r="Z25" s="38">
        <f t="shared" si="7"/>
        <v>174545.23696878337</v>
      </c>
      <c r="AA25" s="38">
        <f t="shared" si="7"/>
        <v>183272.49881722254</v>
      </c>
      <c r="AB25" s="38">
        <f t="shared" si="7"/>
        <v>192436.12375808362</v>
      </c>
      <c r="AC25" s="38">
        <f t="shared" si="7"/>
        <v>202057.92994598782</v>
      </c>
      <c r="AD25" s="63">
        <f>SUM(R25:AC25)</f>
        <v>1858417.9623445293</v>
      </c>
    </row>
    <row r="26" spans="1:30" ht="16" x14ac:dyDescent="0.2">
      <c r="A26" s="21" t="s">
        <v>102</v>
      </c>
      <c r="B26" s="21"/>
      <c r="C26" s="232"/>
      <c r="D26" s="230"/>
      <c r="E26" s="230"/>
      <c r="F26" s="230"/>
      <c r="G26" s="230"/>
      <c r="H26" s="231"/>
      <c r="I26" s="231"/>
      <c r="J26" s="231"/>
      <c r="K26" s="231"/>
      <c r="L26" s="390"/>
      <c r="M26" s="231"/>
      <c r="N26" s="231"/>
      <c r="O26" s="231"/>
      <c r="P26" s="391"/>
      <c r="Q26" s="249"/>
      <c r="R26" s="391"/>
      <c r="S26" s="231"/>
      <c r="T26" s="231"/>
      <c r="U26" s="231"/>
      <c r="V26" s="14"/>
      <c r="W26" s="14"/>
      <c r="X26" s="14"/>
      <c r="Y26" s="14"/>
      <c r="Z26" s="14"/>
      <c r="AA26" s="14"/>
      <c r="AB26" s="14"/>
      <c r="AC26" s="14"/>
      <c r="AD26" s="44"/>
    </row>
    <row r="27" spans="1:30" ht="16" x14ac:dyDescent="0.2">
      <c r="A27" s="21" t="s">
        <v>50</v>
      </c>
      <c r="B27" s="21"/>
      <c r="C27" s="11" t="s">
        <v>50</v>
      </c>
      <c r="D27" s="230"/>
      <c r="E27" s="230"/>
      <c r="F27" s="230"/>
      <c r="G27" s="230"/>
      <c r="H27" s="231"/>
      <c r="I27" s="231"/>
      <c r="J27" s="231"/>
      <c r="K27" s="231"/>
      <c r="L27" s="231"/>
      <c r="M27" s="231"/>
      <c r="N27" s="231"/>
      <c r="O27" s="231"/>
      <c r="P27" s="231"/>
      <c r="Q27" s="249"/>
      <c r="R27" s="460"/>
      <c r="S27" s="231"/>
      <c r="T27" s="231"/>
      <c r="U27" s="231"/>
      <c r="V27" s="14"/>
      <c r="W27" s="14"/>
      <c r="X27" s="14"/>
      <c r="Y27" s="14"/>
      <c r="Z27" s="14"/>
      <c r="AA27" s="14"/>
      <c r="AB27" s="14"/>
      <c r="AC27" s="14"/>
      <c r="AD27" s="44"/>
    </row>
    <row r="28" spans="1:30" ht="16" x14ac:dyDescent="0.2">
      <c r="A28" s="21" t="s">
        <v>50</v>
      </c>
      <c r="B28" s="21"/>
      <c r="C28" s="232" t="s">
        <v>63</v>
      </c>
      <c r="D28" s="233" t="s">
        <v>64</v>
      </c>
      <c r="E28" s="233"/>
      <c r="F28" s="233"/>
      <c r="G28" s="233"/>
      <c r="H28" s="231"/>
      <c r="I28" s="231"/>
      <c r="J28" s="231"/>
      <c r="K28" s="231"/>
      <c r="L28" s="231"/>
      <c r="M28" s="242"/>
      <c r="N28" s="392"/>
      <c r="O28" s="392"/>
      <c r="P28" s="392"/>
      <c r="Q28" s="393"/>
      <c r="R28" s="478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  <c r="AC28" s="392"/>
      <c r="AD28" s="479"/>
    </row>
    <row r="29" spans="1:30" ht="16" x14ac:dyDescent="0.2">
      <c r="A29" s="21" t="s">
        <v>50</v>
      </c>
      <c r="B29" s="21"/>
      <c r="C29" s="232" t="s">
        <v>65</v>
      </c>
      <c r="D29" s="233" t="s">
        <v>66</v>
      </c>
      <c r="E29" s="233"/>
      <c r="F29" s="233"/>
      <c r="G29" s="233"/>
      <c r="H29" s="231"/>
      <c r="I29" s="231"/>
      <c r="J29" s="231"/>
      <c r="K29" s="231"/>
      <c r="L29" s="231"/>
      <c r="M29" s="246"/>
      <c r="N29" s="392"/>
      <c r="O29" s="392"/>
      <c r="P29" s="392"/>
      <c r="Q29" s="393"/>
      <c r="R29" s="478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  <c r="AC29" s="392"/>
      <c r="AD29" s="479"/>
    </row>
    <row r="30" spans="1:30" ht="16" x14ac:dyDescent="0.2">
      <c r="A30" s="21" t="s">
        <v>50</v>
      </c>
      <c r="B30" s="21"/>
      <c r="C30" s="232" t="s">
        <v>67</v>
      </c>
      <c r="D30" s="233" t="s">
        <v>66</v>
      </c>
      <c r="E30" s="233"/>
      <c r="F30" s="233"/>
      <c r="G30" s="233"/>
      <c r="H30" s="231"/>
      <c r="I30" s="231"/>
      <c r="J30" s="231"/>
      <c r="K30" s="231"/>
      <c r="L30" s="231"/>
      <c r="M30" s="246"/>
      <c r="N30" s="392"/>
      <c r="O30" s="392"/>
      <c r="P30" s="392"/>
      <c r="Q30" s="393"/>
      <c r="R30" s="478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  <c r="AD30" s="479"/>
    </row>
    <row r="31" spans="1:30" ht="16" x14ac:dyDescent="0.2">
      <c r="A31" s="21" t="s">
        <v>50</v>
      </c>
      <c r="B31" s="21"/>
      <c r="C31" s="232" t="s">
        <v>68</v>
      </c>
      <c r="D31" s="233" t="s">
        <v>66</v>
      </c>
      <c r="E31" s="233"/>
      <c r="F31" s="233"/>
      <c r="G31" s="233"/>
      <c r="H31" s="231"/>
      <c r="I31" s="231"/>
      <c r="J31" s="231"/>
      <c r="K31" s="231"/>
      <c r="L31" s="231"/>
      <c r="M31" s="246"/>
      <c r="N31" s="392"/>
      <c r="O31" s="392"/>
      <c r="P31" s="392"/>
      <c r="Q31" s="393"/>
      <c r="R31" s="478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  <c r="AD31" s="479"/>
    </row>
    <row r="32" spans="1:30" ht="16" x14ac:dyDescent="0.2">
      <c r="A32" s="21" t="s">
        <v>50</v>
      </c>
      <c r="B32" s="21"/>
      <c r="C32" s="232" t="s">
        <v>44</v>
      </c>
      <c r="D32" s="233" t="s">
        <v>66</v>
      </c>
      <c r="E32" s="233"/>
      <c r="F32" s="233"/>
      <c r="G32" s="233"/>
      <c r="H32" s="231"/>
      <c r="I32" s="231"/>
      <c r="J32" s="231"/>
      <c r="K32" s="231"/>
      <c r="L32" s="231"/>
      <c r="M32" s="246"/>
      <c r="N32" s="392"/>
      <c r="O32" s="392"/>
      <c r="P32" s="392"/>
      <c r="Q32" s="393"/>
      <c r="R32" s="478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479"/>
    </row>
    <row r="33" spans="1:30" ht="16" x14ac:dyDescent="0.2">
      <c r="A33" s="21" t="s">
        <v>50</v>
      </c>
      <c r="B33" s="21"/>
      <c r="C33" s="232" t="s">
        <v>71</v>
      </c>
      <c r="D33" s="233" t="s">
        <v>66</v>
      </c>
      <c r="E33" s="233"/>
      <c r="F33" s="233"/>
      <c r="G33" s="233"/>
      <c r="H33" s="231"/>
      <c r="I33" s="231"/>
      <c r="J33" s="231"/>
      <c r="K33" s="231"/>
      <c r="L33" s="231"/>
      <c r="M33" s="246"/>
      <c r="N33" s="392"/>
      <c r="O33" s="392"/>
      <c r="P33" s="392"/>
      <c r="Q33" s="393"/>
      <c r="R33" s="478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  <c r="AD33" s="479"/>
    </row>
    <row r="34" spans="1:30" ht="16" x14ac:dyDescent="0.2">
      <c r="A34" s="21" t="s">
        <v>50</v>
      </c>
      <c r="B34" s="21"/>
      <c r="C34" s="232" t="s">
        <v>72</v>
      </c>
      <c r="D34" s="233" t="s">
        <v>64</v>
      </c>
      <c r="E34" s="233"/>
      <c r="F34" s="233"/>
      <c r="G34" s="233"/>
      <c r="H34" s="231"/>
      <c r="I34" s="231"/>
      <c r="J34" s="231"/>
      <c r="K34" s="231"/>
      <c r="L34" s="231"/>
      <c r="M34" s="394">
        <f t="shared" ref="M34:AD34" si="8">M28*M29*M30*M31*M32*M33</f>
        <v>0</v>
      </c>
      <c r="N34" s="395">
        <f t="shared" si="8"/>
        <v>0</v>
      </c>
      <c r="O34" s="395">
        <f t="shared" si="8"/>
        <v>0</v>
      </c>
      <c r="P34" s="395">
        <f t="shared" si="8"/>
        <v>0</v>
      </c>
      <c r="Q34" s="396">
        <f t="shared" si="8"/>
        <v>0</v>
      </c>
      <c r="R34" s="480">
        <f t="shared" si="8"/>
        <v>0</v>
      </c>
      <c r="S34" s="395">
        <f t="shared" si="8"/>
        <v>0</v>
      </c>
      <c r="T34" s="395">
        <f t="shared" si="8"/>
        <v>0</v>
      </c>
      <c r="U34" s="395">
        <f t="shared" si="8"/>
        <v>0</v>
      </c>
      <c r="V34" s="395">
        <f t="shared" si="8"/>
        <v>0</v>
      </c>
      <c r="W34" s="395">
        <f t="shared" si="8"/>
        <v>0</v>
      </c>
      <c r="X34" s="395">
        <f t="shared" si="8"/>
        <v>0</v>
      </c>
      <c r="Y34" s="395">
        <f t="shared" si="8"/>
        <v>0</v>
      </c>
      <c r="Z34" s="395">
        <f t="shared" si="8"/>
        <v>0</v>
      </c>
      <c r="AA34" s="395">
        <f t="shared" si="8"/>
        <v>0</v>
      </c>
      <c r="AB34" s="395">
        <f t="shared" si="8"/>
        <v>0</v>
      </c>
      <c r="AC34" s="395">
        <f t="shared" si="8"/>
        <v>0</v>
      </c>
      <c r="AD34" s="481">
        <f t="shared" si="8"/>
        <v>0</v>
      </c>
    </row>
    <row r="35" spans="1:30" ht="16" x14ac:dyDescent="0.2">
      <c r="A35" s="21" t="s">
        <v>50</v>
      </c>
      <c r="B35" s="21"/>
      <c r="C35" s="232" t="s">
        <v>73</v>
      </c>
      <c r="D35" s="233" t="s">
        <v>74</v>
      </c>
      <c r="E35" s="233"/>
      <c r="F35" s="233"/>
      <c r="G35" s="233"/>
      <c r="H35" s="231"/>
      <c r="I35" s="231"/>
      <c r="J35" s="231"/>
      <c r="K35" s="231"/>
      <c r="L35" s="231"/>
      <c r="M35" s="242"/>
      <c r="N35" s="242"/>
      <c r="O35" s="242"/>
      <c r="P35" s="242"/>
      <c r="Q35" s="389"/>
      <c r="R35" s="468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469"/>
    </row>
    <row r="36" spans="1:30" ht="16" x14ac:dyDescent="0.2">
      <c r="A36" s="21" t="s">
        <v>50</v>
      </c>
      <c r="B36" s="21"/>
      <c r="C36" s="232" t="s">
        <v>75</v>
      </c>
      <c r="D36" s="233" t="s">
        <v>74</v>
      </c>
      <c r="E36" s="233"/>
      <c r="F36" s="233"/>
      <c r="G36" s="233"/>
      <c r="H36" s="231"/>
      <c r="I36" s="231"/>
      <c r="J36" s="231"/>
      <c r="K36" s="231"/>
      <c r="L36" s="231"/>
      <c r="M36" s="233">
        <f t="shared" ref="M36:AD36" si="9">M34*M35</f>
        <v>0</v>
      </c>
      <c r="N36" s="233">
        <f t="shared" si="9"/>
        <v>0</v>
      </c>
      <c r="O36" s="233">
        <f t="shared" si="9"/>
        <v>0</v>
      </c>
      <c r="P36" s="233">
        <f t="shared" si="9"/>
        <v>0</v>
      </c>
      <c r="Q36" s="397">
        <f t="shared" si="9"/>
        <v>0</v>
      </c>
      <c r="R36" s="482">
        <f t="shared" si="9"/>
        <v>0</v>
      </c>
      <c r="S36" s="233">
        <f t="shared" si="9"/>
        <v>0</v>
      </c>
      <c r="T36" s="233">
        <f t="shared" si="9"/>
        <v>0</v>
      </c>
      <c r="U36" s="233">
        <f t="shared" si="9"/>
        <v>0</v>
      </c>
      <c r="V36" s="233">
        <f t="shared" si="9"/>
        <v>0</v>
      </c>
      <c r="W36" s="233">
        <f t="shared" si="9"/>
        <v>0</v>
      </c>
      <c r="X36" s="233">
        <f t="shared" si="9"/>
        <v>0</v>
      </c>
      <c r="Y36" s="233">
        <f t="shared" si="9"/>
        <v>0</v>
      </c>
      <c r="Z36" s="233">
        <f t="shared" si="9"/>
        <v>0</v>
      </c>
      <c r="AA36" s="233">
        <f t="shared" si="9"/>
        <v>0</v>
      </c>
      <c r="AB36" s="233">
        <f t="shared" si="9"/>
        <v>0</v>
      </c>
      <c r="AC36" s="233">
        <f t="shared" si="9"/>
        <v>0</v>
      </c>
      <c r="AD36" s="483">
        <f t="shared" si="9"/>
        <v>0</v>
      </c>
    </row>
    <row r="37" spans="1:30" ht="16" x14ac:dyDescent="0.2">
      <c r="A37" s="21" t="s">
        <v>50</v>
      </c>
      <c r="B37" s="21"/>
      <c r="C37" s="344"/>
      <c r="D37" s="230"/>
      <c r="E37" s="230"/>
      <c r="F37" s="230"/>
      <c r="G37" s="230"/>
      <c r="H37" s="231"/>
      <c r="I37" s="231"/>
      <c r="J37" s="231"/>
      <c r="K37" s="231"/>
      <c r="L37" s="231"/>
      <c r="M37" s="231"/>
      <c r="N37" s="231"/>
      <c r="O37" s="231"/>
      <c r="P37" s="231"/>
      <c r="Q37" s="249"/>
      <c r="R37" s="460"/>
      <c r="S37" s="231"/>
      <c r="T37" s="231"/>
      <c r="U37" s="231"/>
      <c r="V37" s="14"/>
      <c r="W37" s="14"/>
      <c r="X37" s="14"/>
      <c r="Y37" s="14"/>
      <c r="Z37" s="14"/>
      <c r="AA37" s="14"/>
      <c r="AB37" s="14"/>
      <c r="AC37" s="14"/>
      <c r="AD37" s="44"/>
    </row>
    <row r="38" spans="1:30" ht="16" x14ac:dyDescent="0.2">
      <c r="A38" s="21" t="s">
        <v>57</v>
      </c>
      <c r="B38" s="21"/>
      <c r="C38" s="11" t="s">
        <v>57</v>
      </c>
      <c r="D38" s="230"/>
      <c r="E38" s="230"/>
      <c r="F38" s="230"/>
      <c r="G38" s="230"/>
      <c r="H38" s="231"/>
      <c r="I38" s="231"/>
      <c r="J38" s="231"/>
      <c r="K38" s="231"/>
      <c r="L38" s="231"/>
      <c r="M38" s="231"/>
      <c r="N38" s="231"/>
      <c r="O38" s="231"/>
      <c r="P38" s="231"/>
      <c r="Q38" s="249"/>
      <c r="R38" s="460"/>
      <c r="S38" s="231"/>
      <c r="T38" s="231"/>
      <c r="U38" s="231"/>
      <c r="V38" s="14"/>
      <c r="W38" s="14"/>
      <c r="X38" s="14"/>
      <c r="Y38" s="14"/>
      <c r="Z38" s="14"/>
      <c r="AA38" s="14"/>
      <c r="AB38" s="14"/>
      <c r="AC38" s="14"/>
      <c r="AD38" s="44"/>
    </row>
    <row r="39" spans="1:30" ht="16" x14ac:dyDescent="0.2">
      <c r="A39" s="21" t="s">
        <v>57</v>
      </c>
      <c r="B39" s="21"/>
      <c r="C39" s="232" t="s">
        <v>63</v>
      </c>
      <c r="D39" s="233" t="s">
        <v>64</v>
      </c>
      <c r="E39" s="233"/>
      <c r="F39" s="233"/>
      <c r="G39" s="233"/>
      <c r="H39" s="231"/>
      <c r="I39" s="231"/>
      <c r="J39" s="231"/>
      <c r="K39" s="231"/>
      <c r="L39" s="231"/>
      <c r="M39" s="242"/>
      <c r="N39" s="392"/>
      <c r="O39" s="392"/>
      <c r="P39" s="392"/>
      <c r="Q39" s="393"/>
      <c r="R39" s="478"/>
      <c r="S39" s="392"/>
      <c r="T39" s="392"/>
      <c r="U39" s="392"/>
      <c r="V39" s="392"/>
      <c r="W39" s="392"/>
      <c r="X39" s="392"/>
      <c r="Y39" s="392"/>
      <c r="Z39" s="29">
        <v>100000</v>
      </c>
      <c r="AA39" s="29">
        <f>Z39*1.1</f>
        <v>110000.00000000001</v>
      </c>
      <c r="AB39" s="29">
        <f>AA39*1.1</f>
        <v>121000.00000000003</v>
      </c>
      <c r="AC39" s="29">
        <f>AB39*1.1</f>
        <v>133100.00000000003</v>
      </c>
      <c r="AD39" s="46"/>
    </row>
    <row r="40" spans="1:30" ht="16" x14ac:dyDescent="0.2">
      <c r="A40" s="21" t="s">
        <v>57</v>
      </c>
      <c r="B40" s="21"/>
      <c r="C40" s="232" t="s">
        <v>65</v>
      </c>
      <c r="D40" s="233" t="s">
        <v>66</v>
      </c>
      <c r="E40" s="233"/>
      <c r="F40" s="233"/>
      <c r="G40" s="233"/>
      <c r="H40" s="231"/>
      <c r="I40" s="231"/>
      <c r="J40" s="231"/>
      <c r="K40" s="231"/>
      <c r="L40" s="231"/>
      <c r="M40" s="246"/>
      <c r="N40" s="392"/>
      <c r="O40" s="392"/>
      <c r="P40" s="392"/>
      <c r="Q40" s="393"/>
      <c r="R40" s="478"/>
      <c r="S40" s="392"/>
      <c r="T40" s="392"/>
      <c r="U40" s="392"/>
      <c r="V40" s="392"/>
      <c r="W40" s="392"/>
      <c r="X40" s="392"/>
      <c r="Y40" s="392"/>
      <c r="Z40" s="27">
        <v>0.85</v>
      </c>
      <c r="AA40" s="27">
        <v>0.85</v>
      </c>
      <c r="AB40" s="27">
        <v>0.85</v>
      </c>
      <c r="AC40" s="27">
        <v>0.85</v>
      </c>
      <c r="AD40" s="47"/>
    </row>
    <row r="41" spans="1:30" ht="16" x14ac:dyDescent="0.2">
      <c r="A41" s="21" t="s">
        <v>57</v>
      </c>
      <c r="B41" s="21"/>
      <c r="C41" s="232" t="s">
        <v>67</v>
      </c>
      <c r="D41" s="233" t="s">
        <v>66</v>
      </c>
      <c r="E41" s="233"/>
      <c r="F41" s="233"/>
      <c r="G41" s="233"/>
      <c r="H41" s="231"/>
      <c r="I41" s="231"/>
      <c r="J41" s="231"/>
      <c r="K41" s="231"/>
      <c r="L41" s="231"/>
      <c r="M41" s="246"/>
      <c r="N41" s="392"/>
      <c r="O41" s="392"/>
      <c r="P41" s="392"/>
      <c r="Q41" s="393"/>
      <c r="R41" s="478"/>
      <c r="S41" s="392"/>
      <c r="T41" s="392"/>
      <c r="U41" s="392"/>
      <c r="V41" s="392"/>
      <c r="W41" s="392"/>
      <c r="X41" s="392"/>
      <c r="Y41" s="392"/>
      <c r="Z41" s="27">
        <v>1</v>
      </c>
      <c r="AA41" s="27">
        <v>1</v>
      </c>
      <c r="AB41" s="27">
        <v>1</v>
      </c>
      <c r="AC41" s="27">
        <v>1</v>
      </c>
      <c r="AD41" s="47"/>
    </row>
    <row r="42" spans="1:30" ht="16" x14ac:dyDescent="0.2">
      <c r="A42" s="21" t="s">
        <v>57</v>
      </c>
      <c r="B42" s="21"/>
      <c r="C42" s="232" t="s">
        <v>68</v>
      </c>
      <c r="D42" s="233" t="s">
        <v>66</v>
      </c>
      <c r="E42" s="233"/>
      <c r="F42" s="233"/>
      <c r="G42" s="233"/>
      <c r="H42" s="231"/>
      <c r="I42" s="231"/>
      <c r="J42" s="231"/>
      <c r="K42" s="231"/>
      <c r="L42" s="231"/>
      <c r="M42" s="246"/>
      <c r="N42" s="392"/>
      <c r="O42" s="392"/>
      <c r="P42" s="392"/>
      <c r="Q42" s="393"/>
      <c r="R42" s="478"/>
      <c r="S42" s="392"/>
      <c r="T42" s="392"/>
      <c r="U42" s="392"/>
      <c r="V42" s="392"/>
      <c r="W42" s="392"/>
      <c r="X42" s="392"/>
      <c r="Y42" s="392"/>
      <c r="Z42" s="27">
        <v>0.3</v>
      </c>
      <c r="AA42" s="27">
        <v>0.3</v>
      </c>
      <c r="AB42" s="27">
        <v>0.3</v>
      </c>
      <c r="AC42" s="27">
        <v>0.3</v>
      </c>
      <c r="AD42" s="47"/>
    </row>
    <row r="43" spans="1:30" ht="16" x14ac:dyDescent="0.2">
      <c r="A43" s="21" t="s">
        <v>57</v>
      </c>
      <c r="B43" s="21"/>
      <c r="C43" s="232" t="s">
        <v>44</v>
      </c>
      <c r="D43" s="233" t="s">
        <v>66</v>
      </c>
      <c r="E43" s="233"/>
      <c r="F43" s="233"/>
      <c r="G43" s="233"/>
      <c r="H43" s="231"/>
      <c r="I43" s="231"/>
      <c r="J43" s="231"/>
      <c r="K43" s="231"/>
      <c r="L43" s="231"/>
      <c r="M43" s="246"/>
      <c r="N43" s="392"/>
      <c r="O43" s="392"/>
      <c r="P43" s="392"/>
      <c r="Q43" s="393"/>
      <c r="R43" s="478"/>
      <c r="S43" s="392"/>
      <c r="T43" s="392"/>
      <c r="U43" s="392"/>
      <c r="V43" s="392"/>
      <c r="W43" s="392"/>
      <c r="X43" s="392"/>
      <c r="Y43" s="392"/>
      <c r="Z43" s="27">
        <v>0.85</v>
      </c>
      <c r="AA43" s="27">
        <v>0.85</v>
      </c>
      <c r="AB43" s="27">
        <v>0.85</v>
      </c>
      <c r="AC43" s="31">
        <v>0.85</v>
      </c>
      <c r="AD43" s="47"/>
    </row>
    <row r="44" spans="1:30" ht="16" x14ac:dyDescent="0.2">
      <c r="A44" s="21" t="s">
        <v>57</v>
      </c>
      <c r="B44" s="21"/>
      <c r="C44" s="232" t="s">
        <v>71</v>
      </c>
      <c r="D44" s="233" t="s">
        <v>66</v>
      </c>
      <c r="E44" s="233"/>
      <c r="F44" s="233"/>
      <c r="G44" s="233"/>
      <c r="H44" s="231"/>
      <c r="I44" s="231"/>
      <c r="J44" s="231"/>
      <c r="K44" s="231"/>
      <c r="L44" s="231"/>
      <c r="M44" s="246"/>
      <c r="N44" s="392"/>
      <c r="O44" s="392"/>
      <c r="P44" s="392"/>
      <c r="Q44" s="393"/>
      <c r="R44" s="478"/>
      <c r="S44" s="392"/>
      <c r="T44" s="392"/>
      <c r="U44" s="392"/>
      <c r="V44" s="392"/>
      <c r="W44" s="392"/>
      <c r="X44" s="392"/>
      <c r="Y44" s="392"/>
      <c r="Z44" s="27">
        <v>1</v>
      </c>
      <c r="AA44" s="27">
        <v>1</v>
      </c>
      <c r="AB44" s="27">
        <v>1</v>
      </c>
      <c r="AC44" s="31">
        <v>1</v>
      </c>
      <c r="AD44" s="47"/>
    </row>
    <row r="45" spans="1:30" ht="16" x14ac:dyDescent="0.2">
      <c r="A45" s="21" t="s">
        <v>57</v>
      </c>
      <c r="B45" s="21"/>
      <c r="C45" s="232" t="s">
        <v>72</v>
      </c>
      <c r="D45" s="233" t="s">
        <v>64</v>
      </c>
      <c r="E45" s="233"/>
      <c r="F45" s="233"/>
      <c r="G45" s="233"/>
      <c r="H45" s="231"/>
      <c r="I45" s="231"/>
      <c r="J45" s="231"/>
      <c r="K45" s="231"/>
      <c r="L45" s="231"/>
      <c r="M45" s="394">
        <f t="shared" ref="M45:AC45" si="10">M39*M40*M41*M42*M43*M44</f>
        <v>0</v>
      </c>
      <c r="N45" s="395">
        <f t="shared" si="10"/>
        <v>0</v>
      </c>
      <c r="O45" s="395">
        <f t="shared" si="10"/>
        <v>0</v>
      </c>
      <c r="P45" s="395">
        <f t="shared" si="10"/>
        <v>0</v>
      </c>
      <c r="Q45" s="396">
        <f t="shared" si="10"/>
        <v>0</v>
      </c>
      <c r="R45" s="480">
        <f t="shared" si="10"/>
        <v>0</v>
      </c>
      <c r="S45" s="395">
        <f t="shared" si="10"/>
        <v>0</v>
      </c>
      <c r="T45" s="395">
        <f t="shared" si="10"/>
        <v>0</v>
      </c>
      <c r="U45" s="395">
        <f t="shared" si="10"/>
        <v>0</v>
      </c>
      <c r="V45" s="395">
        <f t="shared" si="10"/>
        <v>0</v>
      </c>
      <c r="W45" s="395">
        <f t="shared" si="10"/>
        <v>0</v>
      </c>
      <c r="X45" s="395">
        <f t="shared" si="10"/>
        <v>0</v>
      </c>
      <c r="Y45" s="395">
        <f t="shared" si="10"/>
        <v>0</v>
      </c>
      <c r="Z45" s="23">
        <f t="shared" si="10"/>
        <v>21675</v>
      </c>
      <c r="AA45" s="23">
        <f t="shared" si="10"/>
        <v>23842.500000000004</v>
      </c>
      <c r="AB45" s="23">
        <f t="shared" si="10"/>
        <v>26226.750000000007</v>
      </c>
      <c r="AC45" s="32">
        <f t="shared" si="10"/>
        <v>28849.424999999999</v>
      </c>
      <c r="AD45" s="46"/>
    </row>
    <row r="46" spans="1:30" ht="16" x14ac:dyDescent="0.2">
      <c r="A46" s="21" t="s">
        <v>57</v>
      </c>
      <c r="B46" s="21"/>
      <c r="C46" s="232" t="s">
        <v>73</v>
      </c>
      <c r="D46" s="233" t="s">
        <v>74</v>
      </c>
      <c r="E46" s="233"/>
      <c r="F46" s="233"/>
      <c r="G46" s="233"/>
      <c r="H46" s="231"/>
      <c r="I46" s="231"/>
      <c r="J46" s="231"/>
      <c r="K46" s="231"/>
      <c r="L46" s="231"/>
      <c r="M46" s="242"/>
      <c r="N46" s="242"/>
      <c r="O46" s="242"/>
      <c r="P46" s="242"/>
      <c r="Q46" s="389"/>
      <c r="R46" s="468"/>
      <c r="S46" s="242"/>
      <c r="T46" s="242"/>
      <c r="U46" s="242"/>
      <c r="V46" s="242"/>
      <c r="W46" s="242"/>
      <c r="X46" s="242"/>
      <c r="Y46" s="242"/>
      <c r="Z46" s="29">
        <v>15</v>
      </c>
      <c r="AA46" s="29">
        <f>Z46</f>
        <v>15</v>
      </c>
      <c r="AB46" s="29">
        <f>AA46</f>
        <v>15</v>
      </c>
      <c r="AC46" s="33">
        <f>AB46</f>
        <v>15</v>
      </c>
      <c r="AD46" s="46"/>
    </row>
    <row r="47" spans="1:30" ht="16" x14ac:dyDescent="0.2">
      <c r="A47" s="21" t="s">
        <v>57</v>
      </c>
      <c r="B47" s="21"/>
      <c r="C47" s="232" t="s">
        <v>75</v>
      </c>
      <c r="D47" s="233" t="s">
        <v>74</v>
      </c>
      <c r="E47" s="233"/>
      <c r="F47" s="233"/>
      <c r="G47" s="233"/>
      <c r="H47" s="231"/>
      <c r="I47" s="231"/>
      <c r="J47" s="231"/>
      <c r="K47" s="231"/>
      <c r="L47" s="231"/>
      <c r="M47" s="233">
        <f t="shared" ref="M47:AC47" si="11">M45*M46</f>
        <v>0</v>
      </c>
      <c r="N47" s="233">
        <f t="shared" si="11"/>
        <v>0</v>
      </c>
      <c r="O47" s="233">
        <f t="shared" si="11"/>
        <v>0</v>
      </c>
      <c r="P47" s="233">
        <f t="shared" si="11"/>
        <v>0</v>
      </c>
      <c r="Q47" s="397">
        <f t="shared" si="11"/>
        <v>0</v>
      </c>
      <c r="R47" s="482">
        <f t="shared" si="11"/>
        <v>0</v>
      </c>
      <c r="S47" s="233">
        <f t="shared" si="11"/>
        <v>0</v>
      </c>
      <c r="T47" s="233">
        <f t="shared" si="11"/>
        <v>0</v>
      </c>
      <c r="U47" s="233">
        <f t="shared" si="11"/>
        <v>0</v>
      </c>
      <c r="V47" s="233">
        <f t="shared" si="11"/>
        <v>0</v>
      </c>
      <c r="W47" s="233">
        <f t="shared" si="11"/>
        <v>0</v>
      </c>
      <c r="X47" s="233">
        <f t="shared" si="11"/>
        <v>0</v>
      </c>
      <c r="Y47" s="233">
        <f t="shared" si="11"/>
        <v>0</v>
      </c>
      <c r="Z47" s="23">
        <f t="shared" si="11"/>
        <v>325125</v>
      </c>
      <c r="AA47" s="23">
        <f t="shared" si="11"/>
        <v>357637.50000000006</v>
      </c>
      <c r="AB47" s="23">
        <f t="shared" si="11"/>
        <v>393401.25000000012</v>
      </c>
      <c r="AC47" s="32">
        <f t="shared" si="11"/>
        <v>432741.375</v>
      </c>
      <c r="AD47" s="48">
        <f>SUM(R47:AC47)</f>
        <v>1508905.125</v>
      </c>
    </row>
    <row r="48" spans="1:30" ht="16" x14ac:dyDescent="0.2">
      <c r="A48" s="21" t="s">
        <v>57</v>
      </c>
      <c r="B48" s="21"/>
      <c r="C48" s="232"/>
      <c r="D48" s="233"/>
      <c r="E48" s="233"/>
      <c r="F48" s="233"/>
      <c r="G48" s="233"/>
      <c r="H48" s="231"/>
      <c r="I48" s="231"/>
      <c r="J48" s="231"/>
      <c r="K48" s="231"/>
      <c r="L48" s="231"/>
      <c r="M48" s="231"/>
      <c r="N48" s="231"/>
      <c r="O48" s="231"/>
      <c r="P48" s="231"/>
      <c r="Q48" s="249"/>
      <c r="R48" s="460"/>
      <c r="S48" s="231"/>
      <c r="T48" s="231"/>
      <c r="U48" s="231"/>
      <c r="V48" s="14"/>
      <c r="W48" s="14"/>
      <c r="X48" s="14"/>
      <c r="Y48" s="14"/>
      <c r="Z48" s="14"/>
      <c r="AA48" s="14"/>
      <c r="AB48" s="14"/>
      <c r="AC48" s="34"/>
      <c r="AD48" s="44"/>
    </row>
    <row r="49" spans="1:31" ht="16" x14ac:dyDescent="0.2">
      <c r="A49" s="21" t="s">
        <v>57</v>
      </c>
      <c r="B49" s="21"/>
      <c r="C49" s="17" t="s">
        <v>51</v>
      </c>
      <c r="D49" s="15"/>
      <c r="E49" s="15"/>
      <c r="F49" s="15"/>
      <c r="G49" s="15"/>
      <c r="H49" s="231"/>
      <c r="I49" s="231"/>
      <c r="J49" s="231"/>
      <c r="K49" s="231"/>
      <c r="L49" s="231"/>
      <c r="M49" s="231"/>
      <c r="N49" s="231"/>
      <c r="O49" s="231"/>
      <c r="P49" s="231"/>
      <c r="Q49" s="249"/>
      <c r="R49" s="460"/>
      <c r="S49" s="231"/>
      <c r="T49" s="231"/>
      <c r="U49" s="231"/>
      <c r="V49" s="14"/>
      <c r="W49" s="14"/>
      <c r="X49" s="14"/>
      <c r="Y49" s="14"/>
      <c r="Z49" s="14"/>
      <c r="AA49" s="14"/>
      <c r="AB49" s="14"/>
      <c r="AC49" s="34"/>
      <c r="AD49" s="44"/>
    </row>
    <row r="50" spans="1:31" ht="16" x14ac:dyDescent="0.2">
      <c r="A50" s="21" t="s">
        <v>12</v>
      </c>
      <c r="B50" s="21"/>
      <c r="C50" s="11" t="s">
        <v>12</v>
      </c>
      <c r="D50" s="230"/>
      <c r="E50" s="230"/>
      <c r="F50" s="230"/>
      <c r="G50" s="230"/>
      <c r="H50" s="231"/>
      <c r="I50" s="231"/>
      <c r="J50" s="231"/>
      <c r="K50" s="231"/>
      <c r="L50" s="231"/>
      <c r="M50" s="231"/>
      <c r="N50" s="231"/>
      <c r="O50" s="231"/>
      <c r="P50" s="231"/>
      <c r="Q50" s="249"/>
      <c r="R50" s="460"/>
      <c r="S50" s="231"/>
      <c r="T50" s="231"/>
      <c r="U50" s="231"/>
      <c r="V50" s="14"/>
      <c r="W50" s="14"/>
      <c r="X50" s="14"/>
      <c r="Y50" s="14"/>
      <c r="Z50" s="14"/>
      <c r="AA50" s="14"/>
      <c r="AB50" s="14"/>
      <c r="AC50" s="34"/>
      <c r="AD50" s="44"/>
    </row>
    <row r="51" spans="1:31" ht="16" x14ac:dyDescent="0.2">
      <c r="A51" s="21" t="s">
        <v>12</v>
      </c>
      <c r="B51" s="21"/>
      <c r="C51" s="232" t="s">
        <v>63</v>
      </c>
      <c r="D51" s="233" t="s">
        <v>64</v>
      </c>
      <c r="E51" s="234">
        <v>161506</v>
      </c>
      <c r="F51" s="234">
        <v>143392</v>
      </c>
      <c r="G51" s="234">
        <v>169121</v>
      </c>
      <c r="H51" s="234">
        <v>163746</v>
      </c>
      <c r="I51" s="234">
        <v>174499</v>
      </c>
      <c r="J51" s="234">
        <v>129279</v>
      </c>
      <c r="K51" s="234">
        <v>126155</v>
      </c>
      <c r="L51" s="234">
        <v>130083</v>
      </c>
      <c r="M51" s="242">
        <v>139368</v>
      </c>
      <c r="N51" s="236">
        <v>153304.80000000002</v>
      </c>
      <c r="O51" s="236">
        <v>160273.19999999998</v>
      </c>
      <c r="P51" s="236">
        <v>167241.60000000001</v>
      </c>
      <c r="Q51" s="64">
        <v>1817968.6</v>
      </c>
      <c r="R51" s="461">
        <v>167241.60000000001</v>
      </c>
      <c r="S51" s="236">
        <v>153304.80000000002</v>
      </c>
      <c r="T51" s="236">
        <v>160273.20000000001</v>
      </c>
      <c r="U51" s="236">
        <v>167241.60000000003</v>
      </c>
      <c r="V51" s="236">
        <v>174210.00000000003</v>
      </c>
      <c r="W51" s="236">
        <v>181178.40000000002</v>
      </c>
      <c r="X51" s="236">
        <v>188146.80000000005</v>
      </c>
      <c r="Y51" s="236">
        <v>195115.20000000004</v>
      </c>
      <c r="Z51" s="236">
        <v>202083.60000000006</v>
      </c>
      <c r="AA51" s="236">
        <v>209052.00000000006</v>
      </c>
      <c r="AB51" s="236">
        <v>216020.40000000008</v>
      </c>
      <c r="AC51" s="236">
        <v>222988.80000000008</v>
      </c>
      <c r="AD51" s="462"/>
    </row>
    <row r="52" spans="1:31" ht="16" x14ac:dyDescent="0.2">
      <c r="A52" s="21" t="s">
        <v>12</v>
      </c>
      <c r="B52" s="21"/>
      <c r="C52" s="232" t="s">
        <v>65</v>
      </c>
      <c r="D52" s="233" t="s">
        <v>66</v>
      </c>
      <c r="E52" s="237">
        <v>0.76954416554183747</v>
      </c>
      <c r="F52" s="237">
        <v>0.86193790448560592</v>
      </c>
      <c r="G52" s="237">
        <v>0.85192850089580829</v>
      </c>
      <c r="H52" s="237">
        <v>0.81650238784458862</v>
      </c>
      <c r="I52" s="237">
        <v>0.74031369807276837</v>
      </c>
      <c r="J52" s="237">
        <v>0.75577626683374721</v>
      </c>
      <c r="K52" s="237">
        <v>0.75455590345210255</v>
      </c>
      <c r="L52" s="237">
        <v>0.76342796522220424</v>
      </c>
      <c r="M52" s="463">
        <v>0.76342796522220402</v>
      </c>
      <c r="N52" s="238">
        <v>0.76342796522220424</v>
      </c>
      <c r="O52" s="238">
        <v>0.76342796522220424</v>
      </c>
      <c r="P52" s="238">
        <v>0.76342796522220424</v>
      </c>
      <c r="Q52" s="65"/>
      <c r="R52" s="464">
        <v>0.76342796522220424</v>
      </c>
      <c r="S52" s="238">
        <v>0.76342796522220424</v>
      </c>
      <c r="T52" s="238">
        <v>0.76342796522220424</v>
      </c>
      <c r="U52" s="238">
        <v>0.76342796522220424</v>
      </c>
      <c r="V52" s="238">
        <v>0.76342796522220424</v>
      </c>
      <c r="W52" s="238">
        <v>0.76342796522220424</v>
      </c>
      <c r="X52" s="238">
        <v>0.76342796522220424</v>
      </c>
      <c r="Y52" s="238">
        <v>0.76342796522220424</v>
      </c>
      <c r="Z52" s="238">
        <v>0.76342796522220424</v>
      </c>
      <c r="AA52" s="238">
        <v>0.76342796522220424</v>
      </c>
      <c r="AB52" s="238">
        <v>0.76342796522220424</v>
      </c>
      <c r="AC52" s="238">
        <v>0.76342796522220424</v>
      </c>
      <c r="AD52" s="465"/>
    </row>
    <row r="53" spans="1:31" ht="16" x14ac:dyDescent="0.2">
      <c r="A53" s="21" t="s">
        <v>12</v>
      </c>
      <c r="B53" s="21"/>
      <c r="C53" s="232" t="s">
        <v>67</v>
      </c>
      <c r="D53" s="233" t="s">
        <v>66</v>
      </c>
      <c r="E53" s="237">
        <v>0.99940459906988721</v>
      </c>
      <c r="F53" s="237">
        <v>0.99826044742910314</v>
      </c>
      <c r="G53" s="237">
        <v>0.99874374475114347</v>
      </c>
      <c r="H53" s="237">
        <v>0.99722511013545356</v>
      </c>
      <c r="I53" s="237">
        <v>0.99784803071587813</v>
      </c>
      <c r="J53" s="237">
        <v>0.99872065175117186</v>
      </c>
      <c r="K53" s="237">
        <v>0.99949575064869578</v>
      </c>
      <c r="L53" s="237">
        <v>0.99530757534563841</v>
      </c>
      <c r="M53" s="463">
        <v>0.99530757534563841</v>
      </c>
      <c r="N53" s="238">
        <v>0.99530757534563841</v>
      </c>
      <c r="O53" s="238">
        <v>0.99530757534563841</v>
      </c>
      <c r="P53" s="238">
        <v>0.99530757534563841</v>
      </c>
      <c r="Q53" s="65"/>
      <c r="R53" s="464">
        <v>0.99530757534563841</v>
      </c>
      <c r="S53" s="238">
        <v>0.99530757534563841</v>
      </c>
      <c r="T53" s="238">
        <v>0.99530757534563841</v>
      </c>
      <c r="U53" s="238">
        <v>0.99530757534563841</v>
      </c>
      <c r="V53" s="238">
        <v>0.99530757534563841</v>
      </c>
      <c r="W53" s="238">
        <v>0.99530757534563841</v>
      </c>
      <c r="X53" s="238">
        <v>0.99530757534563841</v>
      </c>
      <c r="Y53" s="238">
        <v>0.99530757534563841</v>
      </c>
      <c r="Z53" s="238">
        <v>0.99530757534563841</v>
      </c>
      <c r="AA53" s="238">
        <v>0.99530757534563841</v>
      </c>
      <c r="AB53" s="238">
        <v>0.99530757534563841</v>
      </c>
      <c r="AC53" s="238">
        <v>0.99530757534563841</v>
      </c>
      <c r="AD53" s="465"/>
    </row>
    <row r="54" spans="1:31" ht="16" x14ac:dyDescent="0.2">
      <c r="A54" s="21" t="s">
        <v>12</v>
      </c>
      <c r="B54" s="21"/>
      <c r="C54" s="232" t="s">
        <v>68</v>
      </c>
      <c r="D54" s="233" t="s">
        <v>66</v>
      </c>
      <c r="E54" s="237">
        <v>0.32046823173284383</v>
      </c>
      <c r="F54" s="237">
        <v>0.29914086561841463</v>
      </c>
      <c r="G54" s="237">
        <v>0.30738439728140765</v>
      </c>
      <c r="H54" s="237">
        <v>0.31897275891035642</v>
      </c>
      <c r="I54" s="237">
        <v>0.33237397793741175</v>
      </c>
      <c r="J54" s="237">
        <v>0.40947520521412978</v>
      </c>
      <c r="K54" s="237">
        <v>0.45626057618532107</v>
      </c>
      <c r="L54" s="237">
        <v>0.44188258146757992</v>
      </c>
      <c r="M54" s="463">
        <v>0.44188258146757992</v>
      </c>
      <c r="N54" s="238">
        <v>0.44188258146758003</v>
      </c>
      <c r="O54" s="238">
        <v>0.44188258146757992</v>
      </c>
      <c r="P54" s="238">
        <v>0.44188258146757992</v>
      </c>
      <c r="Q54" s="65"/>
      <c r="R54" s="464">
        <v>0.44188258146757992</v>
      </c>
      <c r="S54" s="238">
        <v>0.44188258146757992</v>
      </c>
      <c r="T54" s="238">
        <v>0.44188258146757992</v>
      </c>
      <c r="U54" s="238">
        <v>0.44188258146757992</v>
      </c>
      <c r="V54" s="238">
        <v>0.44188258146757992</v>
      </c>
      <c r="W54" s="238">
        <v>0.44188258146757992</v>
      </c>
      <c r="X54" s="238">
        <v>0.44188258146757992</v>
      </c>
      <c r="Y54" s="238">
        <v>0.44188258146757992</v>
      </c>
      <c r="Z54" s="238">
        <v>0.44188258146757992</v>
      </c>
      <c r="AA54" s="238">
        <v>0.44188258146757992</v>
      </c>
      <c r="AB54" s="238">
        <v>0.44188258146757992</v>
      </c>
      <c r="AC54" s="238">
        <v>0.44188258146757992</v>
      </c>
      <c r="AD54" s="465"/>
    </row>
    <row r="55" spans="1:31" ht="16" x14ac:dyDescent="0.2">
      <c r="A55" s="21" t="s">
        <v>12</v>
      </c>
      <c r="B55" s="21"/>
      <c r="C55" s="232" t="s">
        <v>44</v>
      </c>
      <c r="D55" s="233" t="s">
        <v>66</v>
      </c>
      <c r="E55" s="237">
        <v>0.94920363764256643</v>
      </c>
      <c r="F55" s="237">
        <v>0.96025251977890969</v>
      </c>
      <c r="G55" s="237">
        <v>0.95344999095677341</v>
      </c>
      <c r="H55" s="237">
        <v>0.9445541760722348</v>
      </c>
      <c r="I55" s="237">
        <v>0.94578130470299915</v>
      </c>
      <c r="J55" s="237">
        <v>0.9310508796956728</v>
      </c>
      <c r="K55" s="237">
        <v>0.9399677493665054</v>
      </c>
      <c r="L55" s="237">
        <v>0.94399798520960687</v>
      </c>
      <c r="M55" s="463">
        <v>0.94399798520960687</v>
      </c>
      <c r="N55" s="238">
        <v>0.94399798520960698</v>
      </c>
      <c r="O55" s="238">
        <v>0.94399798520960687</v>
      </c>
      <c r="P55" s="238">
        <v>0.94399798520960687</v>
      </c>
      <c r="Q55" s="65"/>
      <c r="R55" s="464">
        <v>0.94399798520960687</v>
      </c>
      <c r="S55" s="238">
        <v>0.94399798520960687</v>
      </c>
      <c r="T55" s="238">
        <v>0.94399798520960687</v>
      </c>
      <c r="U55" s="238">
        <v>0.94399798520960687</v>
      </c>
      <c r="V55" s="238">
        <v>0.94399798520960687</v>
      </c>
      <c r="W55" s="238">
        <v>0.94399798520960687</v>
      </c>
      <c r="X55" s="238">
        <v>0.94399798520960687</v>
      </c>
      <c r="Y55" s="238">
        <v>0.94399798520960687</v>
      </c>
      <c r="Z55" s="238">
        <v>0.94399798520960687</v>
      </c>
      <c r="AA55" s="238">
        <v>0.94399798520960687</v>
      </c>
      <c r="AB55" s="238">
        <v>0.94399798520960687</v>
      </c>
      <c r="AC55" s="238">
        <v>0.94399798520960687</v>
      </c>
      <c r="AD55" s="465"/>
    </row>
    <row r="56" spans="1:31" ht="16" x14ac:dyDescent="0.2">
      <c r="A56" s="21" t="s">
        <v>12</v>
      </c>
      <c r="B56" s="21"/>
      <c r="C56" s="232" t="s">
        <v>71</v>
      </c>
      <c r="D56" s="233" t="s">
        <v>66</v>
      </c>
      <c r="E56" s="237">
        <v>0.99515668007622271</v>
      </c>
      <c r="F56" s="237">
        <v>0.99703732964645464</v>
      </c>
      <c r="G56" s="237">
        <v>0.99691745903777296</v>
      </c>
      <c r="H56" s="237">
        <v>0.99683843664426186</v>
      </c>
      <c r="I56" s="237">
        <v>0.99743349291742756</v>
      </c>
      <c r="J56" s="237">
        <v>0.98704370732756308</v>
      </c>
      <c r="K56" s="237">
        <v>0.99916674835800412</v>
      </c>
      <c r="L56" s="237">
        <v>0.99844776988188499</v>
      </c>
      <c r="M56" s="463">
        <v>0.99844776988188499</v>
      </c>
      <c r="N56" s="238">
        <v>0.99844776988188499</v>
      </c>
      <c r="O56" s="238">
        <v>0.99844776988188499</v>
      </c>
      <c r="P56" s="238">
        <v>0.99844776988188499</v>
      </c>
      <c r="Q56" s="65"/>
      <c r="R56" s="464">
        <v>0.99844776988188499</v>
      </c>
      <c r="S56" s="238">
        <v>0.99844776988188499</v>
      </c>
      <c r="T56" s="238">
        <v>0.99844776988188499</v>
      </c>
      <c r="U56" s="238">
        <v>0.99844776988188499</v>
      </c>
      <c r="V56" s="238">
        <v>0.99844776988188499</v>
      </c>
      <c r="W56" s="238">
        <v>0.99844776988188499</v>
      </c>
      <c r="X56" s="238">
        <v>0.99844776988188499</v>
      </c>
      <c r="Y56" s="238">
        <v>0.99844776988188499</v>
      </c>
      <c r="Z56" s="238">
        <v>0.99844776988188499</v>
      </c>
      <c r="AA56" s="238">
        <v>0.99844776988188499</v>
      </c>
      <c r="AB56" s="238">
        <v>0.99844776988188499</v>
      </c>
      <c r="AC56" s="238">
        <v>0.99844776988188499</v>
      </c>
      <c r="AD56" s="465"/>
    </row>
    <row r="57" spans="1:31" ht="16" x14ac:dyDescent="0.2">
      <c r="A57" s="21" t="s">
        <v>12</v>
      </c>
      <c r="B57" s="21"/>
      <c r="C57" s="232" t="s">
        <v>72</v>
      </c>
      <c r="D57" s="233" t="s">
        <v>64</v>
      </c>
      <c r="E57" s="234">
        <v>37601</v>
      </c>
      <c r="F57" s="234">
        <v>35336</v>
      </c>
      <c r="G57" s="234">
        <v>42043</v>
      </c>
      <c r="H57" s="234">
        <v>40043</v>
      </c>
      <c r="I57" s="234">
        <v>40418</v>
      </c>
      <c r="J57" s="234">
        <v>36720</v>
      </c>
      <c r="K57" s="234">
        <v>40770</v>
      </c>
      <c r="L57" s="234">
        <v>41167</v>
      </c>
      <c r="M57" s="234">
        <v>44105.397753741832</v>
      </c>
      <c r="N57" s="239">
        <v>48515.937529116047</v>
      </c>
      <c r="O57" s="239">
        <v>50721.20741680311</v>
      </c>
      <c r="P57" s="239">
        <v>52926.47730449021</v>
      </c>
      <c r="Q57" s="66">
        <v>473647.02000415121</v>
      </c>
      <c r="R57" s="466">
        <v>52926.47730449021</v>
      </c>
      <c r="S57" s="239">
        <v>48515.937529116025</v>
      </c>
      <c r="T57" s="239">
        <v>50721.207416803125</v>
      </c>
      <c r="U57" s="239">
        <v>52926.477304490218</v>
      </c>
      <c r="V57" s="239">
        <v>55131.747192177303</v>
      </c>
      <c r="W57" s="239">
        <v>57337.017079864403</v>
      </c>
      <c r="X57" s="239">
        <v>59542.286967551503</v>
      </c>
      <c r="Y57" s="239">
        <v>61747.556855238588</v>
      </c>
      <c r="Z57" s="239">
        <v>63952.826742925681</v>
      </c>
      <c r="AA57" s="239">
        <v>66158.096630612796</v>
      </c>
      <c r="AB57" s="239">
        <v>68363.366518299881</v>
      </c>
      <c r="AC57" s="239">
        <v>70568.636405986981</v>
      </c>
      <c r="AD57" s="467"/>
    </row>
    <row r="58" spans="1:31" ht="16" x14ac:dyDescent="0.2">
      <c r="A58" s="21" t="s">
        <v>12</v>
      </c>
      <c r="B58" s="21"/>
      <c r="C58" s="232" t="s">
        <v>73</v>
      </c>
      <c r="D58" s="233" t="s">
        <v>74</v>
      </c>
      <c r="E58" s="240">
        <v>3.7598734076221376</v>
      </c>
      <c r="F58" s="240">
        <v>3.7775922571881368</v>
      </c>
      <c r="G58" s="240">
        <v>3.778167590324192</v>
      </c>
      <c r="H58" s="240">
        <v>4.0905483605124493</v>
      </c>
      <c r="I58" s="240">
        <v>4.1530548765401551</v>
      </c>
      <c r="J58" s="240">
        <v>4.4826969498910678</v>
      </c>
      <c r="K58" s="240">
        <v>4.4640073583517292</v>
      </c>
      <c r="L58" s="240">
        <v>4.5972400223479966</v>
      </c>
      <c r="M58" s="248">
        <v>4.5704224257293458</v>
      </c>
      <c r="N58" s="248">
        <v>4.8</v>
      </c>
      <c r="O58" s="248">
        <v>4.8</v>
      </c>
      <c r="P58" s="248">
        <v>4.8</v>
      </c>
      <c r="Q58" s="68"/>
      <c r="R58" s="476">
        <v>4.8</v>
      </c>
      <c r="S58" s="248">
        <v>4.8</v>
      </c>
      <c r="T58" s="248">
        <v>4.8</v>
      </c>
      <c r="U58" s="248">
        <v>4.8</v>
      </c>
      <c r="V58" s="248">
        <v>4.8</v>
      </c>
      <c r="W58" s="248">
        <v>4.8</v>
      </c>
      <c r="X58" s="248">
        <v>4.8</v>
      </c>
      <c r="Y58" s="248">
        <v>4.8</v>
      </c>
      <c r="Z58" s="248">
        <v>4.8</v>
      </c>
      <c r="AA58" s="248">
        <v>4.8</v>
      </c>
      <c r="AB58" s="248">
        <v>4.8</v>
      </c>
      <c r="AC58" s="248">
        <v>4.8</v>
      </c>
      <c r="AD58" s="477"/>
    </row>
    <row r="59" spans="1:31" ht="16" x14ac:dyDescent="0.2">
      <c r="A59" s="21" t="s">
        <v>12</v>
      </c>
      <c r="B59" s="21"/>
      <c r="C59" s="232" t="s">
        <v>75</v>
      </c>
      <c r="D59" s="233" t="s">
        <v>74</v>
      </c>
      <c r="E59" s="234">
        <v>141375</v>
      </c>
      <c r="F59" s="234">
        <v>133485</v>
      </c>
      <c r="G59" s="234">
        <v>158845.5</v>
      </c>
      <c r="H59" s="234">
        <v>163797.82800000001</v>
      </c>
      <c r="I59" s="234">
        <v>167858.17199999999</v>
      </c>
      <c r="J59" s="234">
        <v>164604.63200000001</v>
      </c>
      <c r="K59" s="234">
        <v>181997.58</v>
      </c>
      <c r="L59" s="234">
        <v>189254.58</v>
      </c>
      <c r="M59" s="234">
        <v>250675</v>
      </c>
      <c r="N59" s="234">
        <v>232876.50013975703</v>
      </c>
      <c r="O59" s="234">
        <v>243461.79560065491</v>
      </c>
      <c r="P59" s="234">
        <v>254047.09106155299</v>
      </c>
      <c r="Q59" s="67">
        <v>2273054.678801965</v>
      </c>
      <c r="R59" s="470">
        <v>254047.09106155299</v>
      </c>
      <c r="S59" s="234">
        <v>232876.50013975691</v>
      </c>
      <c r="T59" s="234">
        <v>243461.79560065499</v>
      </c>
      <c r="U59" s="234">
        <v>254047.09106155304</v>
      </c>
      <c r="V59" s="234">
        <v>264632.38652245107</v>
      </c>
      <c r="W59" s="234">
        <v>275217.68198334915</v>
      </c>
      <c r="X59" s="234">
        <v>285802.97744424723</v>
      </c>
      <c r="Y59" s="234">
        <v>296388.27290514519</v>
      </c>
      <c r="Z59" s="234">
        <v>306973.56836604327</v>
      </c>
      <c r="AA59" s="234">
        <v>317558.86382694141</v>
      </c>
      <c r="AB59" s="234">
        <v>328144.15928783943</v>
      </c>
      <c r="AC59" s="234">
        <v>338729.45474873751</v>
      </c>
      <c r="AD59" s="45">
        <v>3397879.8429482719</v>
      </c>
      <c r="AE59" s="5">
        <f>AD59/12</f>
        <v>283156.65357902268</v>
      </c>
    </row>
    <row r="60" spans="1:31" ht="16" x14ac:dyDescent="0.2">
      <c r="A60" s="21" t="s">
        <v>12</v>
      </c>
      <c r="B60" s="21"/>
      <c r="C60" s="344"/>
      <c r="D60" s="230"/>
      <c r="E60" s="230"/>
      <c r="F60" s="230"/>
      <c r="G60" s="230"/>
      <c r="H60" s="231"/>
      <c r="I60" s="231"/>
      <c r="J60" s="231"/>
      <c r="K60" s="231"/>
      <c r="L60" s="231"/>
      <c r="M60" s="231"/>
      <c r="N60" s="231"/>
      <c r="O60" s="231"/>
      <c r="P60" s="231"/>
      <c r="Q60" s="249"/>
      <c r="R60" s="460"/>
      <c r="S60" s="231"/>
      <c r="T60" s="231"/>
      <c r="U60" s="231"/>
      <c r="V60" s="14"/>
      <c r="W60" s="14"/>
      <c r="X60" s="14"/>
      <c r="Y60" s="14"/>
      <c r="Z60" s="14"/>
      <c r="AA60" s="14"/>
      <c r="AB60" s="14"/>
      <c r="AC60" s="14"/>
      <c r="AD60" s="44"/>
    </row>
    <row r="61" spans="1:31" ht="16" x14ac:dyDescent="0.2">
      <c r="A61" s="21" t="s">
        <v>19</v>
      </c>
      <c r="B61" s="21"/>
      <c r="C61" s="11" t="s">
        <v>19</v>
      </c>
      <c r="D61" s="230"/>
      <c r="E61" s="230"/>
      <c r="F61" s="230"/>
      <c r="G61" s="230"/>
      <c r="H61" s="231"/>
      <c r="I61" s="231"/>
      <c r="J61" s="231"/>
      <c r="K61" s="231"/>
      <c r="L61" s="231"/>
      <c r="M61" s="231"/>
      <c r="N61" s="231"/>
      <c r="O61" s="231"/>
      <c r="P61" s="231"/>
      <c r="Q61" s="249"/>
      <c r="R61" s="460"/>
      <c r="S61" s="231"/>
      <c r="T61" s="231"/>
      <c r="U61" s="231"/>
      <c r="V61" s="14"/>
      <c r="W61" s="14"/>
      <c r="X61" s="14"/>
      <c r="Y61" s="14"/>
      <c r="Z61" s="14"/>
      <c r="AA61" s="14"/>
      <c r="AB61" s="14"/>
      <c r="AC61" s="14"/>
      <c r="AD61" s="44"/>
    </row>
    <row r="62" spans="1:31" ht="16" x14ac:dyDescent="0.2">
      <c r="A62" s="21" t="s">
        <v>19</v>
      </c>
      <c r="B62" s="21"/>
      <c r="C62" s="232" t="s">
        <v>63</v>
      </c>
      <c r="D62" s="233" t="s">
        <v>64</v>
      </c>
      <c r="E62" s="233"/>
      <c r="F62" s="233"/>
      <c r="G62" s="233"/>
      <c r="H62" s="231"/>
      <c r="I62" s="231"/>
      <c r="J62" s="231"/>
      <c r="K62" s="231"/>
      <c r="L62" s="231"/>
      <c r="M62" s="242"/>
      <c r="N62" s="392"/>
      <c r="O62" s="392"/>
      <c r="P62" s="242">
        <f>P17</f>
        <v>19690.392857142859</v>
      </c>
      <c r="Q62" s="250">
        <f>P62</f>
        <v>19690.392857142859</v>
      </c>
      <c r="R62" s="471">
        <f>P62*1.1</f>
        <v>21659.432142857146</v>
      </c>
      <c r="S62" s="254">
        <f t="shared" ref="S62:AC62" si="12">R62*1.1</f>
        <v>23825.375357142861</v>
      </c>
      <c r="T62" s="254">
        <f t="shared" si="12"/>
        <v>26207.912892857148</v>
      </c>
      <c r="U62" s="254">
        <f t="shared" si="12"/>
        <v>28828.704182142865</v>
      </c>
      <c r="V62" s="254">
        <f t="shared" si="12"/>
        <v>31711.574600357155</v>
      </c>
      <c r="W62" s="254">
        <f t="shared" si="12"/>
        <v>34882.732060392875</v>
      </c>
      <c r="X62" s="254">
        <f t="shared" si="12"/>
        <v>38371.005266432163</v>
      </c>
      <c r="Y62" s="254">
        <f t="shared" si="12"/>
        <v>42208.105793075381</v>
      </c>
      <c r="Z62" s="254">
        <f t="shared" si="12"/>
        <v>46428.916372382926</v>
      </c>
      <c r="AA62" s="254">
        <f t="shared" si="12"/>
        <v>51071.808009621222</v>
      </c>
      <c r="AB62" s="254">
        <f t="shared" si="12"/>
        <v>56178.988810583345</v>
      </c>
      <c r="AC62" s="254">
        <f t="shared" si="12"/>
        <v>61796.887691641685</v>
      </c>
      <c r="AD62" s="472">
        <f>SUM(R62:AC62)</f>
        <v>463171.44317948679</v>
      </c>
    </row>
    <row r="63" spans="1:31" ht="16" x14ac:dyDescent="0.2">
      <c r="A63" s="21" t="s">
        <v>19</v>
      </c>
      <c r="B63" s="21"/>
      <c r="C63" s="232" t="s">
        <v>65</v>
      </c>
      <c r="D63" s="233" t="s">
        <v>66</v>
      </c>
      <c r="E63" s="233"/>
      <c r="F63" s="233"/>
      <c r="G63" s="233"/>
      <c r="H63" s="231"/>
      <c r="I63" s="231"/>
      <c r="J63" s="231"/>
      <c r="K63" s="231"/>
      <c r="L63" s="231"/>
      <c r="M63" s="246"/>
      <c r="N63" s="392"/>
      <c r="O63" s="392"/>
      <c r="P63" s="246">
        <v>0.81</v>
      </c>
      <c r="Q63" s="246">
        <v>0.81</v>
      </c>
      <c r="R63" s="473">
        <v>0.81</v>
      </c>
      <c r="S63" s="246">
        <v>0.81</v>
      </c>
      <c r="T63" s="246">
        <v>0.81</v>
      </c>
      <c r="U63" s="246">
        <v>0.81</v>
      </c>
      <c r="V63" s="246">
        <v>0.81</v>
      </c>
      <c r="W63" s="246">
        <v>0.81</v>
      </c>
      <c r="X63" s="246">
        <v>0.81</v>
      </c>
      <c r="Y63" s="246">
        <v>0.81</v>
      </c>
      <c r="Z63" s="246">
        <v>0.81</v>
      </c>
      <c r="AA63" s="246">
        <v>0.81</v>
      </c>
      <c r="AB63" s="246">
        <v>0.81</v>
      </c>
      <c r="AC63" s="246">
        <v>0.81</v>
      </c>
      <c r="AD63" s="474">
        <f>AVERAGE(R63:AC63)</f>
        <v>0.81000000000000039</v>
      </c>
    </row>
    <row r="64" spans="1:31" ht="16" x14ac:dyDescent="0.2">
      <c r="A64" s="21" t="s">
        <v>19</v>
      </c>
      <c r="B64" s="21"/>
      <c r="C64" s="232" t="s">
        <v>67</v>
      </c>
      <c r="D64" s="233" t="s">
        <v>66</v>
      </c>
      <c r="E64" s="233"/>
      <c r="F64" s="233"/>
      <c r="G64" s="233"/>
      <c r="H64" s="231"/>
      <c r="I64" s="231"/>
      <c r="J64" s="231"/>
      <c r="K64" s="231"/>
      <c r="L64" s="231"/>
      <c r="M64" s="246"/>
      <c r="N64" s="392"/>
      <c r="O64" s="392"/>
      <c r="P64" s="256">
        <v>0.99570000000000003</v>
      </c>
      <c r="Q64" s="256">
        <v>0.99570000000000003</v>
      </c>
      <c r="R64" s="475">
        <v>0.99570000000000003</v>
      </c>
      <c r="S64" s="256">
        <v>0.99570000000000003</v>
      </c>
      <c r="T64" s="256">
        <v>0.99570000000000003</v>
      </c>
      <c r="U64" s="256">
        <v>0.99570000000000003</v>
      </c>
      <c r="V64" s="256">
        <v>0.99570000000000003</v>
      </c>
      <c r="W64" s="256">
        <v>0.99570000000000003</v>
      </c>
      <c r="X64" s="256">
        <v>0.99570000000000003</v>
      </c>
      <c r="Y64" s="256">
        <v>0.99570000000000003</v>
      </c>
      <c r="Z64" s="256">
        <v>0.99570000000000003</v>
      </c>
      <c r="AA64" s="256">
        <v>0.99570000000000003</v>
      </c>
      <c r="AB64" s="256">
        <v>0.99570000000000003</v>
      </c>
      <c r="AC64" s="256">
        <v>0.99570000000000003</v>
      </c>
      <c r="AD64" s="474">
        <f>AVERAGE(R64:AC64)</f>
        <v>0.99569999999999992</v>
      </c>
    </row>
    <row r="65" spans="1:30" ht="16" x14ac:dyDescent="0.2">
      <c r="A65" s="21" t="s">
        <v>19</v>
      </c>
      <c r="B65" s="21"/>
      <c r="C65" s="232" t="s">
        <v>68</v>
      </c>
      <c r="D65" s="233" t="s">
        <v>66</v>
      </c>
      <c r="E65" s="233"/>
      <c r="F65" s="233"/>
      <c r="G65" s="233"/>
      <c r="H65" s="231"/>
      <c r="I65" s="231"/>
      <c r="J65" s="231"/>
      <c r="K65" s="231"/>
      <c r="L65" s="231"/>
      <c r="M65" s="246"/>
      <c r="N65" s="392"/>
      <c r="O65" s="392"/>
      <c r="P65" s="256">
        <v>0.6</v>
      </c>
      <c r="Q65" s="256">
        <v>0.6</v>
      </c>
      <c r="R65" s="475">
        <v>0.6</v>
      </c>
      <c r="S65" s="256">
        <v>0.6</v>
      </c>
      <c r="T65" s="256">
        <v>0.6</v>
      </c>
      <c r="U65" s="256">
        <v>0.6</v>
      </c>
      <c r="V65" s="256">
        <v>0.6</v>
      </c>
      <c r="W65" s="256">
        <v>0.6</v>
      </c>
      <c r="X65" s="256">
        <v>0.6</v>
      </c>
      <c r="Y65" s="256">
        <v>0.6</v>
      </c>
      <c r="Z65" s="256">
        <v>0.6</v>
      </c>
      <c r="AA65" s="256">
        <v>0.6</v>
      </c>
      <c r="AB65" s="256">
        <v>0.6</v>
      </c>
      <c r="AC65" s="256">
        <v>0.6</v>
      </c>
      <c r="AD65" s="474">
        <f>AVERAGE(R65:AC65)</f>
        <v>0.59999999999999987</v>
      </c>
    </row>
    <row r="66" spans="1:30" ht="16" x14ac:dyDescent="0.2">
      <c r="A66" s="21" t="s">
        <v>19</v>
      </c>
      <c r="B66" s="21"/>
      <c r="C66" s="232" t="s">
        <v>44</v>
      </c>
      <c r="D66" s="233" t="s">
        <v>66</v>
      </c>
      <c r="E66" s="233"/>
      <c r="F66" s="233"/>
      <c r="G66" s="233"/>
      <c r="H66" s="231"/>
      <c r="I66" s="231"/>
      <c r="J66" s="231"/>
      <c r="K66" s="231"/>
      <c r="L66" s="231"/>
      <c r="M66" s="246"/>
      <c r="N66" s="392"/>
      <c r="O66" s="392"/>
      <c r="P66" s="256">
        <v>0.9556</v>
      </c>
      <c r="Q66" s="256">
        <v>0.9556</v>
      </c>
      <c r="R66" s="475">
        <v>0.9556</v>
      </c>
      <c r="S66" s="256">
        <v>0.9556</v>
      </c>
      <c r="T66" s="256">
        <v>0.9556</v>
      </c>
      <c r="U66" s="256">
        <v>0.9556</v>
      </c>
      <c r="V66" s="256">
        <v>0.9556</v>
      </c>
      <c r="W66" s="256">
        <v>0.9556</v>
      </c>
      <c r="X66" s="256">
        <v>0.9556</v>
      </c>
      <c r="Y66" s="256">
        <v>0.9556</v>
      </c>
      <c r="Z66" s="256">
        <v>0.9556</v>
      </c>
      <c r="AA66" s="256">
        <v>0.9556</v>
      </c>
      <c r="AB66" s="256">
        <v>0.9556</v>
      </c>
      <c r="AC66" s="256">
        <v>0.9556</v>
      </c>
      <c r="AD66" s="474">
        <f>AVERAGE(R66:AC66)</f>
        <v>0.95560000000000034</v>
      </c>
    </row>
    <row r="67" spans="1:30" ht="16" x14ac:dyDescent="0.2">
      <c r="A67" s="21" t="s">
        <v>19</v>
      </c>
      <c r="B67" s="21"/>
      <c r="C67" s="232" t="s">
        <v>71</v>
      </c>
      <c r="D67" s="233" t="s">
        <v>66</v>
      </c>
      <c r="E67" s="233"/>
      <c r="F67" s="233"/>
      <c r="G67" s="233"/>
      <c r="H67" s="231"/>
      <c r="I67" s="231"/>
      <c r="J67" s="231"/>
      <c r="K67" s="231"/>
      <c r="L67" s="231"/>
      <c r="M67" s="246"/>
      <c r="N67" s="392"/>
      <c r="O67" s="392"/>
      <c r="P67" s="256">
        <v>0.99280000000000002</v>
      </c>
      <c r="Q67" s="256">
        <v>0.99280000000000002</v>
      </c>
      <c r="R67" s="475">
        <v>0.99280000000000002</v>
      </c>
      <c r="S67" s="256">
        <v>0.99280000000000002</v>
      </c>
      <c r="T67" s="256">
        <v>0.99280000000000002</v>
      </c>
      <c r="U67" s="256">
        <v>0.99280000000000002</v>
      </c>
      <c r="V67" s="256">
        <v>0.99280000000000002</v>
      </c>
      <c r="W67" s="256">
        <v>0.99280000000000002</v>
      </c>
      <c r="X67" s="256">
        <v>0.99280000000000002</v>
      </c>
      <c r="Y67" s="256">
        <v>0.99280000000000002</v>
      </c>
      <c r="Z67" s="256">
        <v>0.99280000000000002</v>
      </c>
      <c r="AA67" s="256">
        <v>0.99280000000000002</v>
      </c>
      <c r="AB67" s="256">
        <v>0.99280000000000002</v>
      </c>
      <c r="AC67" s="256">
        <v>0.99280000000000002</v>
      </c>
      <c r="AD67" s="474">
        <f>AVERAGE(R67:AC67)</f>
        <v>0.99280000000000024</v>
      </c>
    </row>
    <row r="68" spans="1:30" ht="16" x14ac:dyDescent="0.2">
      <c r="A68" s="21" t="s">
        <v>19</v>
      </c>
      <c r="B68" s="21"/>
      <c r="C68" s="232" t="s">
        <v>72</v>
      </c>
      <c r="D68" s="233" t="s">
        <v>64</v>
      </c>
      <c r="E68" s="233"/>
      <c r="F68" s="233"/>
      <c r="G68" s="233"/>
      <c r="H68" s="231"/>
      <c r="I68" s="231"/>
      <c r="J68" s="231"/>
      <c r="K68" s="231"/>
      <c r="L68" s="231"/>
      <c r="M68" s="394">
        <f t="shared" ref="M68:AC68" si="13">M62*M63*M64*M65*M66*M67</f>
        <v>0</v>
      </c>
      <c r="N68" s="395">
        <f t="shared" si="13"/>
        <v>0</v>
      </c>
      <c r="O68" s="395">
        <f t="shared" si="13"/>
        <v>0</v>
      </c>
      <c r="P68" s="234">
        <f t="shared" si="13"/>
        <v>9039.7634703270814</v>
      </c>
      <c r="Q68" s="234">
        <f t="shared" si="13"/>
        <v>9039.7634703270814</v>
      </c>
      <c r="R68" s="470">
        <f t="shared" si="13"/>
        <v>9943.7398173597903</v>
      </c>
      <c r="S68" s="234">
        <f t="shared" si="13"/>
        <v>10938.113799095769</v>
      </c>
      <c r="T68" s="234">
        <f t="shared" si="13"/>
        <v>12031.925179005348</v>
      </c>
      <c r="U68" s="234">
        <f t="shared" si="13"/>
        <v>13235.117696905883</v>
      </c>
      <c r="V68" s="234">
        <f t="shared" si="13"/>
        <v>14558.629466596472</v>
      </c>
      <c r="W68" s="234">
        <f t="shared" si="13"/>
        <v>16014.492413256117</v>
      </c>
      <c r="X68" s="234">
        <f t="shared" si="13"/>
        <v>17615.941654581737</v>
      </c>
      <c r="Y68" s="234">
        <f t="shared" si="13"/>
        <v>19377.53582003991</v>
      </c>
      <c r="Z68" s="234">
        <f t="shared" si="13"/>
        <v>21315.289402043902</v>
      </c>
      <c r="AA68" s="234">
        <f t="shared" si="13"/>
        <v>23446.818342248294</v>
      </c>
      <c r="AB68" s="234">
        <f t="shared" si="13"/>
        <v>25791.500176473121</v>
      </c>
      <c r="AC68" s="234">
        <f t="shared" si="13"/>
        <v>28370.650194120441</v>
      </c>
      <c r="AD68" s="467">
        <f>SUM(R68:AC68)</f>
        <v>212639.75396172679</v>
      </c>
    </row>
    <row r="69" spans="1:30" ht="16" x14ac:dyDescent="0.2">
      <c r="A69" s="21" t="s">
        <v>19</v>
      </c>
      <c r="B69" s="21"/>
      <c r="C69" s="232" t="s">
        <v>73</v>
      </c>
      <c r="D69" s="233" t="s">
        <v>74</v>
      </c>
      <c r="E69" s="233"/>
      <c r="F69" s="233"/>
      <c r="G69" s="233"/>
      <c r="H69" s="231"/>
      <c r="I69" s="231"/>
      <c r="J69" s="231"/>
      <c r="K69" s="231"/>
      <c r="L69" s="231"/>
      <c r="M69" s="242"/>
      <c r="N69" s="242"/>
      <c r="O69" s="242"/>
      <c r="P69" s="248">
        <v>3</v>
      </c>
      <c r="Q69" s="258">
        <f>P69</f>
        <v>3</v>
      </c>
      <c r="R69" s="476">
        <f>Q69*1.024</f>
        <v>3.0720000000000001</v>
      </c>
      <c r="S69" s="248">
        <f t="shared" ref="S69:AC69" si="14">R69</f>
        <v>3.0720000000000001</v>
      </c>
      <c r="T69" s="248">
        <f t="shared" si="14"/>
        <v>3.0720000000000001</v>
      </c>
      <c r="U69" s="248">
        <f t="shared" si="14"/>
        <v>3.0720000000000001</v>
      </c>
      <c r="V69" s="248">
        <f t="shared" si="14"/>
        <v>3.0720000000000001</v>
      </c>
      <c r="W69" s="248">
        <f t="shared" si="14"/>
        <v>3.0720000000000001</v>
      </c>
      <c r="X69" s="248">
        <f t="shared" si="14"/>
        <v>3.0720000000000001</v>
      </c>
      <c r="Y69" s="248">
        <f t="shared" si="14"/>
        <v>3.0720000000000001</v>
      </c>
      <c r="Z69" s="248">
        <f t="shared" si="14"/>
        <v>3.0720000000000001</v>
      </c>
      <c r="AA69" s="248">
        <f t="shared" si="14"/>
        <v>3.0720000000000001</v>
      </c>
      <c r="AB69" s="248">
        <f t="shared" si="14"/>
        <v>3.0720000000000001</v>
      </c>
      <c r="AC69" s="248">
        <f t="shared" si="14"/>
        <v>3.0720000000000001</v>
      </c>
      <c r="AD69" s="477">
        <f>AD70/AD68</f>
        <v>3.0720000000000005</v>
      </c>
    </row>
    <row r="70" spans="1:30" ht="16" x14ac:dyDescent="0.2">
      <c r="A70" s="21" t="s">
        <v>19</v>
      </c>
      <c r="B70" s="21"/>
      <c r="C70" s="232" t="s">
        <v>75</v>
      </c>
      <c r="D70" s="233" t="s">
        <v>74</v>
      </c>
      <c r="E70" s="233"/>
      <c r="F70" s="233"/>
      <c r="G70" s="233"/>
      <c r="H70" s="231"/>
      <c r="I70" s="231"/>
      <c r="J70" s="231"/>
      <c r="K70" s="231"/>
      <c r="L70" s="231"/>
      <c r="M70" s="233">
        <f>M68*M69</f>
        <v>0</v>
      </c>
      <c r="N70" s="233">
        <f>N68*N69</f>
        <v>0</v>
      </c>
      <c r="O70" s="233">
        <f>O68*O69</f>
        <v>0</v>
      </c>
      <c r="P70" s="234">
        <f>P69*P68</f>
        <v>27119.290410981244</v>
      </c>
      <c r="Q70" s="234">
        <f>Q69*Q68</f>
        <v>27119.290410981244</v>
      </c>
      <c r="R70" s="234">
        <f>R69*R68</f>
        <v>30547.168718929275</v>
      </c>
      <c r="S70" s="234">
        <f t="shared" ref="S70:AC70" si="15">S68*S69</f>
        <v>33601.885590822203</v>
      </c>
      <c r="T70" s="234">
        <f t="shared" si="15"/>
        <v>36962.074149904431</v>
      </c>
      <c r="U70" s="234">
        <f t="shared" si="15"/>
        <v>40658.281564894874</v>
      </c>
      <c r="V70" s="234">
        <f t="shared" si="15"/>
        <v>44724.109721384368</v>
      </c>
      <c r="W70" s="234">
        <f t="shared" si="15"/>
        <v>49196.520693522791</v>
      </c>
      <c r="X70" s="234">
        <f t="shared" si="15"/>
        <v>54116.172762875096</v>
      </c>
      <c r="Y70" s="234">
        <f t="shared" si="15"/>
        <v>59527.790039162603</v>
      </c>
      <c r="Z70" s="234">
        <f t="shared" si="15"/>
        <v>65480.569043078867</v>
      </c>
      <c r="AA70" s="234">
        <f t="shared" si="15"/>
        <v>72028.625947386769</v>
      </c>
      <c r="AB70" s="234">
        <f t="shared" si="15"/>
        <v>79231.488542125429</v>
      </c>
      <c r="AC70" s="234">
        <f t="shared" si="15"/>
        <v>87154.637396337988</v>
      </c>
      <c r="AD70" s="484">
        <f>SUM(R70:AC70)</f>
        <v>653229.32417042484</v>
      </c>
    </row>
    <row r="71" spans="1:30" ht="16" x14ac:dyDescent="0.2">
      <c r="A71" s="21" t="s">
        <v>19</v>
      </c>
      <c r="B71" s="21"/>
      <c r="C71" s="232"/>
      <c r="D71" s="233"/>
      <c r="E71" s="233"/>
      <c r="F71" s="233"/>
      <c r="G71" s="233"/>
      <c r="H71" s="231"/>
      <c r="I71" s="231"/>
      <c r="J71" s="231"/>
      <c r="K71" s="231"/>
      <c r="L71" s="231"/>
    </row>
    <row r="72" spans="1:30" ht="16" x14ac:dyDescent="0.2">
      <c r="A72" s="21" t="s">
        <v>19</v>
      </c>
      <c r="B72" s="21"/>
      <c r="C72" s="17" t="s">
        <v>35</v>
      </c>
      <c r="D72" s="15"/>
      <c r="E72" s="15"/>
      <c r="F72" s="15"/>
      <c r="G72" s="15"/>
      <c r="H72" s="231"/>
      <c r="I72" s="231"/>
      <c r="J72" s="231"/>
      <c r="K72" s="231"/>
      <c r="L72" s="231"/>
      <c r="M72" s="231"/>
      <c r="N72" s="231"/>
      <c r="O72" s="231"/>
      <c r="P72" s="231"/>
      <c r="Q72" s="249"/>
      <c r="R72" s="460"/>
      <c r="S72" s="231"/>
      <c r="T72" s="231"/>
      <c r="U72" s="231"/>
      <c r="V72" s="14"/>
      <c r="W72" s="14"/>
      <c r="X72" s="14"/>
      <c r="Y72" s="14"/>
      <c r="Z72" s="14"/>
      <c r="AA72" s="14"/>
      <c r="AB72" s="14"/>
      <c r="AC72" s="14"/>
      <c r="AD72" s="44"/>
    </row>
    <row r="73" spans="1:30" ht="16" x14ac:dyDescent="0.2">
      <c r="A73" s="21" t="s">
        <v>58</v>
      </c>
      <c r="B73" s="21"/>
      <c r="C73" s="11" t="s">
        <v>58</v>
      </c>
      <c r="D73" s="230"/>
      <c r="E73" s="230"/>
      <c r="F73" s="230"/>
      <c r="G73" s="230"/>
      <c r="H73" s="231"/>
      <c r="I73" s="231"/>
      <c r="J73" s="231"/>
      <c r="K73" s="231"/>
      <c r="L73" s="231"/>
      <c r="M73" s="231"/>
      <c r="N73" s="231"/>
      <c r="O73" s="231"/>
      <c r="P73" s="231"/>
      <c r="Q73" s="249"/>
      <c r="R73" s="460"/>
      <c r="S73" s="231"/>
      <c r="T73" s="231"/>
      <c r="U73" s="231"/>
      <c r="V73" s="14"/>
      <c r="W73" s="14"/>
      <c r="X73" s="14"/>
      <c r="Y73" s="14"/>
      <c r="Z73" s="14"/>
      <c r="AA73" s="14"/>
      <c r="AB73" s="14"/>
      <c r="AC73" s="14"/>
      <c r="AD73" s="44"/>
    </row>
    <row r="74" spans="1:30" ht="16" x14ac:dyDescent="0.2">
      <c r="A74" s="21" t="s">
        <v>58</v>
      </c>
      <c r="B74" s="21"/>
      <c r="C74" s="232" t="s">
        <v>63</v>
      </c>
      <c r="D74" s="233" t="s">
        <v>64</v>
      </c>
      <c r="E74" s="233"/>
      <c r="F74" s="233"/>
      <c r="G74" s="233"/>
      <c r="H74" s="231"/>
      <c r="I74" s="231"/>
      <c r="J74" s="231"/>
      <c r="K74" s="231"/>
      <c r="L74" s="231"/>
      <c r="M74" s="231"/>
      <c r="N74" s="231"/>
      <c r="O74" s="231"/>
      <c r="P74" s="243">
        <v>2000</v>
      </c>
      <c r="Q74" s="250"/>
      <c r="R74" s="485">
        <f>P74*1.1</f>
        <v>2200</v>
      </c>
      <c r="S74" s="243">
        <f>R74*0.8</f>
        <v>1760</v>
      </c>
      <c r="T74" s="243">
        <f>R74*1.1</f>
        <v>2420</v>
      </c>
      <c r="U74" s="243">
        <f t="shared" ref="U74:AC74" si="16">T74*1.1</f>
        <v>2662</v>
      </c>
      <c r="V74" s="243">
        <f t="shared" si="16"/>
        <v>2928.2000000000003</v>
      </c>
      <c r="W74" s="243">
        <f t="shared" si="16"/>
        <v>3221.0200000000004</v>
      </c>
      <c r="X74" s="243">
        <f t="shared" si="16"/>
        <v>3543.1220000000008</v>
      </c>
      <c r="Y74" s="243">
        <f t="shared" si="16"/>
        <v>3897.4342000000011</v>
      </c>
      <c r="Z74" s="243">
        <f t="shared" si="16"/>
        <v>4287.1776200000013</v>
      </c>
      <c r="AA74" s="243">
        <f t="shared" si="16"/>
        <v>4715.8953820000015</v>
      </c>
      <c r="AB74" s="243">
        <f t="shared" si="16"/>
        <v>5187.4849202000023</v>
      </c>
      <c r="AC74" s="243">
        <f t="shared" si="16"/>
        <v>5706.2334122200027</v>
      </c>
      <c r="AD74" s="49"/>
    </row>
    <row r="75" spans="1:30" ht="16" x14ac:dyDescent="0.2">
      <c r="A75" s="21" t="s">
        <v>58</v>
      </c>
      <c r="B75" s="21"/>
      <c r="C75" s="232" t="s">
        <v>65</v>
      </c>
      <c r="D75" s="233" t="s">
        <v>66</v>
      </c>
      <c r="E75" s="233"/>
      <c r="F75" s="233"/>
      <c r="G75" s="233"/>
      <c r="H75" s="231"/>
      <c r="I75" s="231"/>
      <c r="J75" s="231"/>
      <c r="K75" s="231"/>
      <c r="L75" s="231"/>
      <c r="M75" s="231"/>
      <c r="N75" s="231"/>
      <c r="O75" s="231"/>
      <c r="P75" s="244">
        <v>1</v>
      </c>
      <c r="Q75" s="251"/>
      <c r="R75" s="486">
        <v>1</v>
      </c>
      <c r="S75" s="244">
        <v>1</v>
      </c>
      <c r="T75" s="244">
        <v>1</v>
      </c>
      <c r="U75" s="244">
        <v>1</v>
      </c>
      <c r="V75" s="244">
        <v>1</v>
      </c>
      <c r="W75" s="244">
        <v>1</v>
      </c>
      <c r="X75" s="244">
        <v>1</v>
      </c>
      <c r="Y75" s="244">
        <v>1</v>
      </c>
      <c r="Z75" s="244">
        <v>1</v>
      </c>
      <c r="AA75" s="244">
        <v>1</v>
      </c>
      <c r="AB75" s="244">
        <v>1</v>
      </c>
      <c r="AC75" s="244">
        <v>1</v>
      </c>
      <c r="AD75" s="50"/>
    </row>
    <row r="76" spans="1:30" ht="16" x14ac:dyDescent="0.2">
      <c r="A76" s="21" t="s">
        <v>58</v>
      </c>
      <c r="B76" s="21"/>
      <c r="C76" s="232" t="s">
        <v>67</v>
      </c>
      <c r="D76" s="233" t="s">
        <v>66</v>
      </c>
      <c r="E76" s="233"/>
      <c r="F76" s="233"/>
      <c r="G76" s="233"/>
      <c r="H76" s="231"/>
      <c r="I76" s="231"/>
      <c r="J76" s="231"/>
      <c r="K76" s="231"/>
      <c r="L76" s="231"/>
      <c r="M76" s="231"/>
      <c r="N76" s="231"/>
      <c r="O76" s="231"/>
      <c r="P76" s="244">
        <v>1</v>
      </c>
      <c r="Q76" s="251"/>
      <c r="R76" s="486">
        <v>1</v>
      </c>
      <c r="S76" s="244">
        <v>1</v>
      </c>
      <c r="T76" s="244">
        <v>1</v>
      </c>
      <c r="U76" s="244">
        <v>1</v>
      </c>
      <c r="V76" s="244">
        <v>1</v>
      </c>
      <c r="W76" s="244">
        <v>1</v>
      </c>
      <c r="X76" s="244">
        <v>1</v>
      </c>
      <c r="Y76" s="244">
        <v>1</v>
      </c>
      <c r="Z76" s="244">
        <v>1</v>
      </c>
      <c r="AA76" s="244">
        <v>1</v>
      </c>
      <c r="AB76" s="244">
        <v>1</v>
      </c>
      <c r="AC76" s="244">
        <v>1</v>
      </c>
      <c r="AD76" s="50"/>
    </row>
    <row r="77" spans="1:30" ht="16" x14ac:dyDescent="0.2">
      <c r="A77" s="21" t="s">
        <v>58</v>
      </c>
      <c r="B77" s="21"/>
      <c r="C77" s="232" t="s">
        <v>68</v>
      </c>
      <c r="D77" s="233" t="s">
        <v>66</v>
      </c>
      <c r="E77" s="233"/>
      <c r="F77" s="233"/>
      <c r="G77" s="233"/>
      <c r="H77" s="231"/>
      <c r="I77" s="231"/>
      <c r="J77" s="231"/>
      <c r="K77" s="231"/>
      <c r="L77" s="231"/>
      <c r="M77" s="231"/>
      <c r="N77" s="231"/>
      <c r="O77" s="231"/>
      <c r="P77" s="244">
        <v>0.4</v>
      </c>
      <c r="Q77" s="251"/>
      <c r="R77" s="486">
        <v>0.4</v>
      </c>
      <c r="S77" s="244">
        <v>0.4</v>
      </c>
      <c r="T77" s="244">
        <v>0.4</v>
      </c>
      <c r="U77" s="244">
        <v>0.4</v>
      </c>
      <c r="V77" s="244">
        <v>0.4</v>
      </c>
      <c r="W77" s="244">
        <v>0.4</v>
      </c>
      <c r="X77" s="244">
        <v>0.4</v>
      </c>
      <c r="Y77" s="244">
        <v>0.4</v>
      </c>
      <c r="Z77" s="244">
        <v>0.4</v>
      </c>
      <c r="AA77" s="244">
        <v>0.4</v>
      </c>
      <c r="AB77" s="244">
        <v>0.4</v>
      </c>
      <c r="AC77" s="244">
        <v>0.4</v>
      </c>
      <c r="AD77" s="50"/>
    </row>
    <row r="78" spans="1:30" ht="16" x14ac:dyDescent="0.2">
      <c r="A78" s="21" t="s">
        <v>58</v>
      </c>
      <c r="B78" s="21"/>
      <c r="C78" s="232" t="s">
        <v>44</v>
      </c>
      <c r="D78" s="233" t="s">
        <v>66</v>
      </c>
      <c r="E78" s="233"/>
      <c r="F78" s="233"/>
      <c r="G78" s="233"/>
      <c r="H78" s="231"/>
      <c r="I78" s="231"/>
      <c r="J78" s="231"/>
      <c r="K78" s="231"/>
      <c r="L78" s="231"/>
      <c r="M78" s="231"/>
      <c r="N78" s="231"/>
      <c r="O78" s="231"/>
      <c r="P78" s="244">
        <v>0.85</v>
      </c>
      <c r="Q78" s="251"/>
      <c r="R78" s="486">
        <v>0.85</v>
      </c>
      <c r="S78" s="244">
        <v>0.85</v>
      </c>
      <c r="T78" s="244">
        <v>0.85</v>
      </c>
      <c r="U78" s="244">
        <v>0.85</v>
      </c>
      <c r="V78" s="244">
        <v>0.85</v>
      </c>
      <c r="W78" s="244">
        <v>0.85</v>
      </c>
      <c r="X78" s="244">
        <v>0.85</v>
      </c>
      <c r="Y78" s="244">
        <v>0.85</v>
      </c>
      <c r="Z78" s="244">
        <v>0.85</v>
      </c>
      <c r="AA78" s="244">
        <v>0.85</v>
      </c>
      <c r="AB78" s="244">
        <v>0.85</v>
      </c>
      <c r="AC78" s="244">
        <v>0.85</v>
      </c>
      <c r="AD78" s="50"/>
    </row>
    <row r="79" spans="1:30" ht="16" x14ac:dyDescent="0.2">
      <c r="A79" s="21" t="s">
        <v>58</v>
      </c>
      <c r="B79" s="21"/>
      <c r="C79" s="232" t="s">
        <v>71</v>
      </c>
      <c r="D79" s="233" t="s">
        <v>66</v>
      </c>
      <c r="E79" s="233"/>
      <c r="F79" s="233"/>
      <c r="G79" s="233"/>
      <c r="H79" s="231"/>
      <c r="I79" s="231"/>
      <c r="J79" s="231"/>
      <c r="K79" s="231"/>
      <c r="L79" s="231"/>
      <c r="M79" s="231"/>
      <c r="N79" s="231"/>
      <c r="O79" s="231"/>
      <c r="P79" s="244">
        <v>1</v>
      </c>
      <c r="Q79" s="251"/>
      <c r="R79" s="486">
        <v>1</v>
      </c>
      <c r="S79" s="244">
        <v>1</v>
      </c>
      <c r="T79" s="244">
        <v>1</v>
      </c>
      <c r="U79" s="244">
        <v>1</v>
      </c>
      <c r="V79" s="244">
        <v>1</v>
      </c>
      <c r="W79" s="244">
        <v>1</v>
      </c>
      <c r="X79" s="244">
        <v>1</v>
      </c>
      <c r="Y79" s="244">
        <v>1</v>
      </c>
      <c r="Z79" s="244">
        <v>1</v>
      </c>
      <c r="AA79" s="244">
        <v>1</v>
      </c>
      <c r="AB79" s="244">
        <v>1</v>
      </c>
      <c r="AC79" s="244">
        <v>1</v>
      </c>
      <c r="AD79" s="50"/>
    </row>
    <row r="80" spans="1:30" ht="16" x14ac:dyDescent="0.2">
      <c r="A80" s="21" t="s">
        <v>58</v>
      </c>
      <c r="B80" s="21"/>
      <c r="C80" s="232" t="s">
        <v>72</v>
      </c>
      <c r="D80" s="233" t="s">
        <v>64</v>
      </c>
      <c r="E80" s="233"/>
      <c r="F80" s="233"/>
      <c r="G80" s="233"/>
      <c r="H80" s="231"/>
      <c r="I80" s="231"/>
      <c r="J80" s="231"/>
      <c r="K80" s="231"/>
      <c r="L80" s="231"/>
      <c r="M80" s="231"/>
      <c r="N80" s="231"/>
      <c r="O80" s="231"/>
      <c r="P80" s="245">
        <f>P74*P75*P76*P77*P78*P79</f>
        <v>680</v>
      </c>
      <c r="Q80" s="399"/>
      <c r="R80" s="487">
        <f t="shared" ref="R80:AC80" si="17">R74*R75*R76*R77*R78*R79</f>
        <v>748</v>
      </c>
      <c r="S80" s="245">
        <f t="shared" si="17"/>
        <v>598.4</v>
      </c>
      <c r="T80" s="245">
        <f t="shared" si="17"/>
        <v>822.8</v>
      </c>
      <c r="U80" s="245">
        <f t="shared" si="17"/>
        <v>905.07999999999993</v>
      </c>
      <c r="V80" s="245">
        <f t="shared" si="17"/>
        <v>995.58800000000019</v>
      </c>
      <c r="W80" s="245">
        <f t="shared" si="17"/>
        <v>1095.1468000000002</v>
      </c>
      <c r="X80" s="245">
        <f t="shared" si="17"/>
        <v>1204.6614800000002</v>
      </c>
      <c r="Y80" s="245">
        <f t="shared" si="17"/>
        <v>1325.1276280000004</v>
      </c>
      <c r="Z80" s="245">
        <f t="shared" si="17"/>
        <v>1457.6403908000004</v>
      </c>
      <c r="AA80" s="245">
        <f t="shared" si="17"/>
        <v>1603.4044298800004</v>
      </c>
      <c r="AB80" s="245">
        <f t="shared" si="17"/>
        <v>1763.744872868001</v>
      </c>
      <c r="AC80" s="245">
        <f t="shared" si="17"/>
        <v>1940.1193601548007</v>
      </c>
      <c r="AD80" s="49"/>
    </row>
    <row r="81" spans="1:30" ht="16" x14ac:dyDescent="0.2">
      <c r="A81" s="21" t="s">
        <v>58</v>
      </c>
      <c r="B81" s="21"/>
      <c r="C81" s="232" t="s">
        <v>73</v>
      </c>
      <c r="D81" s="233" t="s">
        <v>74</v>
      </c>
      <c r="E81" s="233"/>
      <c r="F81" s="233"/>
      <c r="G81" s="233"/>
      <c r="H81" s="231"/>
      <c r="I81" s="231"/>
      <c r="J81" s="231"/>
      <c r="K81" s="231"/>
      <c r="L81" s="231"/>
      <c r="M81" s="231"/>
      <c r="N81" s="231"/>
      <c r="O81" s="231"/>
      <c r="P81" s="243">
        <v>50</v>
      </c>
      <c r="Q81" s="250"/>
      <c r="R81" s="485">
        <f>P81</f>
        <v>50</v>
      </c>
      <c r="S81" s="243">
        <f>R81</f>
        <v>50</v>
      </c>
      <c r="T81" s="243">
        <f>S81</f>
        <v>50</v>
      </c>
      <c r="U81" s="243">
        <v>80</v>
      </c>
      <c r="V81" s="243">
        <f>U81</f>
        <v>80</v>
      </c>
      <c r="W81" s="243">
        <f>V81</f>
        <v>80</v>
      </c>
      <c r="X81" s="243">
        <f>W81</f>
        <v>80</v>
      </c>
      <c r="Y81" s="243">
        <f>X81</f>
        <v>80</v>
      </c>
      <c r="Z81" s="243">
        <v>100</v>
      </c>
      <c r="AA81" s="243">
        <f>Z81</f>
        <v>100</v>
      </c>
      <c r="AB81" s="243">
        <f>AA81</f>
        <v>100</v>
      </c>
      <c r="AC81" s="243">
        <f>AB81</f>
        <v>100</v>
      </c>
      <c r="AD81" s="49"/>
    </row>
    <row r="82" spans="1:30" ht="16" x14ac:dyDescent="0.2">
      <c r="A82" s="21" t="s">
        <v>58</v>
      </c>
      <c r="B82" s="21"/>
      <c r="C82" s="352" t="s">
        <v>75</v>
      </c>
      <c r="D82" s="353" t="s">
        <v>74</v>
      </c>
      <c r="E82" s="353"/>
      <c r="F82" s="353"/>
      <c r="G82" s="353"/>
      <c r="H82" s="361"/>
      <c r="I82" s="361"/>
      <c r="J82" s="361"/>
      <c r="K82" s="361"/>
      <c r="L82" s="361"/>
      <c r="M82" s="361"/>
      <c r="N82" s="361"/>
      <c r="O82" s="361"/>
      <c r="P82" s="400">
        <f>P80*P81</f>
        <v>34000</v>
      </c>
      <c r="Q82" s="69">
        <f>P82</f>
        <v>34000</v>
      </c>
      <c r="R82" s="488">
        <f t="shared" ref="R82:AC82" si="18">R80*R81</f>
        <v>37400</v>
      </c>
      <c r="S82" s="400">
        <f t="shared" si="18"/>
        <v>29920</v>
      </c>
      <c r="T82" s="400">
        <f t="shared" si="18"/>
        <v>41140</v>
      </c>
      <c r="U82" s="400">
        <f t="shared" si="18"/>
        <v>72406.399999999994</v>
      </c>
      <c r="V82" s="400">
        <f t="shared" si="18"/>
        <v>79647.040000000008</v>
      </c>
      <c r="W82" s="400">
        <f t="shared" si="18"/>
        <v>87611.744000000021</v>
      </c>
      <c r="X82" s="400">
        <f t="shared" si="18"/>
        <v>96372.918400000024</v>
      </c>
      <c r="Y82" s="400">
        <f t="shared" si="18"/>
        <v>106010.21024000003</v>
      </c>
      <c r="Z82" s="400">
        <f t="shared" si="18"/>
        <v>145764.03908000005</v>
      </c>
      <c r="AA82" s="400">
        <f t="shared" si="18"/>
        <v>160340.44298800005</v>
      </c>
      <c r="AB82" s="400">
        <f t="shared" si="18"/>
        <v>176374.48728680011</v>
      </c>
      <c r="AC82" s="400">
        <f t="shared" si="18"/>
        <v>194011.93601548008</v>
      </c>
      <c r="AD82" s="51">
        <f>SUM(R82:AC82)</f>
        <v>1226999.2180102803</v>
      </c>
    </row>
    <row r="83" spans="1:30" x14ac:dyDescent="0.2">
      <c r="A83" s="21"/>
      <c r="B83" s="21"/>
      <c r="R83" s="52"/>
      <c r="AD83" s="53"/>
    </row>
    <row r="84" spans="1:30" ht="16" x14ac:dyDescent="0.2">
      <c r="A84" s="21"/>
      <c r="B84" s="21"/>
      <c r="C84" s="1" t="s">
        <v>52</v>
      </c>
      <c r="D84" s="1"/>
      <c r="E84" s="1"/>
      <c r="F84" s="1"/>
      <c r="G84" s="1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489"/>
      <c r="S84" s="228"/>
      <c r="T84" s="228"/>
      <c r="U84" s="228"/>
      <c r="AD84" s="53"/>
    </row>
    <row r="85" spans="1:30" ht="17" x14ac:dyDescent="0.2">
      <c r="A85" s="21"/>
      <c r="B85" s="21"/>
      <c r="C85" s="7" t="s">
        <v>2</v>
      </c>
      <c r="D85" s="8"/>
      <c r="E85" s="8">
        <v>45658</v>
      </c>
      <c r="F85" s="8">
        <v>45689</v>
      </c>
      <c r="G85" s="8">
        <v>45717</v>
      </c>
      <c r="H85" s="8">
        <v>45748</v>
      </c>
      <c r="I85" s="8">
        <v>45778</v>
      </c>
      <c r="J85" s="8">
        <v>45809</v>
      </c>
      <c r="K85" s="8">
        <v>45839</v>
      </c>
      <c r="L85" s="8">
        <v>45870</v>
      </c>
      <c r="M85" s="9">
        <f>EDATE(L85,1)</f>
        <v>45901</v>
      </c>
      <c r="N85" s="9">
        <f>EDATE(M85,1)</f>
        <v>45931</v>
      </c>
      <c r="O85" s="9">
        <f>EDATE(N85,1)</f>
        <v>45962</v>
      </c>
      <c r="P85" s="9">
        <f>EDATE(O85,1)</f>
        <v>45992</v>
      </c>
      <c r="Q85" s="9" t="s">
        <v>3</v>
      </c>
      <c r="R85" s="490">
        <f>EDATE(P85,1)</f>
        <v>46023</v>
      </c>
      <c r="S85" s="9">
        <f t="shared" ref="S85:AC85" si="19">EDATE(R85,1)</f>
        <v>46054</v>
      </c>
      <c r="T85" s="9">
        <f t="shared" si="19"/>
        <v>46082</v>
      </c>
      <c r="U85" s="9">
        <f t="shared" si="19"/>
        <v>46113</v>
      </c>
      <c r="V85" s="9">
        <f t="shared" si="19"/>
        <v>46143</v>
      </c>
      <c r="W85" s="9">
        <f t="shared" si="19"/>
        <v>46174</v>
      </c>
      <c r="X85" s="9">
        <f t="shared" si="19"/>
        <v>46204</v>
      </c>
      <c r="Y85" s="9">
        <f t="shared" si="19"/>
        <v>46235</v>
      </c>
      <c r="Z85" s="9">
        <f t="shared" si="19"/>
        <v>46266</v>
      </c>
      <c r="AA85" s="9">
        <f t="shared" si="19"/>
        <v>46296</v>
      </c>
      <c r="AB85" s="9">
        <f t="shared" si="19"/>
        <v>46327</v>
      </c>
      <c r="AC85" s="9">
        <f t="shared" si="19"/>
        <v>46357</v>
      </c>
      <c r="AD85" s="491" t="s">
        <v>4</v>
      </c>
    </row>
    <row r="86" spans="1:30" ht="16" x14ac:dyDescent="0.2">
      <c r="A86" s="21" t="s">
        <v>36</v>
      </c>
      <c r="B86" s="21"/>
      <c r="C86" s="10" t="s">
        <v>36</v>
      </c>
      <c r="D86" s="335"/>
      <c r="E86" s="335"/>
      <c r="F86" s="335"/>
      <c r="G86" s="335"/>
      <c r="H86" s="229"/>
      <c r="I86" s="229"/>
      <c r="J86" s="229"/>
      <c r="K86" s="229"/>
      <c r="L86" s="229"/>
      <c r="M86" s="229"/>
      <c r="N86" s="229"/>
      <c r="O86" s="229"/>
      <c r="P86" s="229"/>
      <c r="Q86" s="388"/>
      <c r="R86" s="459"/>
      <c r="S86" s="229"/>
      <c r="T86" s="229"/>
      <c r="U86" s="229"/>
      <c r="V86" s="13"/>
      <c r="W86" s="13"/>
      <c r="X86" s="13"/>
      <c r="Y86" s="13"/>
      <c r="Z86" s="13"/>
      <c r="AA86" s="13"/>
      <c r="AB86" s="13"/>
      <c r="AC86" s="13"/>
      <c r="AD86" s="43"/>
    </row>
    <row r="87" spans="1:30" ht="16" x14ac:dyDescent="0.2">
      <c r="A87" s="21" t="s">
        <v>36</v>
      </c>
      <c r="B87" s="21"/>
      <c r="C87" s="232" t="s">
        <v>41</v>
      </c>
      <c r="D87" s="233" t="s">
        <v>64</v>
      </c>
      <c r="E87" s="234">
        <v>28590</v>
      </c>
      <c r="F87" s="234">
        <v>16470</v>
      </c>
      <c r="G87" s="234">
        <v>24407</v>
      </c>
      <c r="H87" s="234">
        <v>26543</v>
      </c>
      <c r="I87" s="234">
        <v>29679</v>
      </c>
      <c r="J87" s="234">
        <v>32681</v>
      </c>
      <c r="K87" s="234">
        <v>23217</v>
      </c>
      <c r="L87" s="234">
        <v>24544</v>
      </c>
      <c r="M87" s="236">
        <v>24572</v>
      </c>
      <c r="N87" s="254">
        <f>M87*1.01</f>
        <v>24817.72</v>
      </c>
      <c r="O87" s="254">
        <f>N87*1.01</f>
        <v>25065.897200000003</v>
      </c>
      <c r="P87" s="254">
        <f>O87*1.01</f>
        <v>25316.556172000004</v>
      </c>
      <c r="Q87" s="250">
        <f>SUM(E87:P87)</f>
        <v>305903.17337199999</v>
      </c>
      <c r="R87" s="471">
        <f>P87*1.025</f>
        <v>25949.470076300004</v>
      </c>
      <c r="S87" s="254">
        <f>R87*1.025</f>
        <v>26598.206828207502</v>
      </c>
      <c r="T87" s="254">
        <f t="shared" ref="T87:AC87" si="20">R87*1.025</f>
        <v>26598.206828207502</v>
      </c>
      <c r="U87" s="254">
        <f t="shared" si="20"/>
        <v>27263.161998912688</v>
      </c>
      <c r="V87" s="254">
        <f t="shared" si="20"/>
        <v>27263.161998912688</v>
      </c>
      <c r="W87" s="254">
        <f t="shared" si="20"/>
        <v>27944.741048885502</v>
      </c>
      <c r="X87" s="254">
        <f t="shared" si="20"/>
        <v>27944.741048885502</v>
      </c>
      <c r="Y87" s="254">
        <f t="shared" si="20"/>
        <v>28643.359575107635</v>
      </c>
      <c r="Z87" s="254">
        <f t="shared" si="20"/>
        <v>28643.359575107635</v>
      </c>
      <c r="AA87" s="254">
        <f t="shared" si="20"/>
        <v>29359.443564485326</v>
      </c>
      <c r="AB87" s="254">
        <f t="shared" si="20"/>
        <v>29359.443564485326</v>
      </c>
      <c r="AC87" s="254">
        <f t="shared" si="20"/>
        <v>30093.429653597457</v>
      </c>
      <c r="AD87" s="492">
        <f>SUM(R87:AC87)</f>
        <v>335660.72576109483</v>
      </c>
    </row>
    <row r="88" spans="1:30" s="4" customFormat="1" ht="16" x14ac:dyDescent="0.2">
      <c r="A88" s="21" t="s">
        <v>36</v>
      </c>
      <c r="B88" s="21"/>
      <c r="C88" s="232" t="s">
        <v>42</v>
      </c>
      <c r="D88" s="233" t="s">
        <v>66</v>
      </c>
      <c r="E88" s="237">
        <v>0.13857992305001748</v>
      </c>
      <c r="F88" s="237">
        <v>0.21335761991499697</v>
      </c>
      <c r="G88" s="237">
        <v>0.20739951653214242</v>
      </c>
      <c r="H88" s="237">
        <v>0.17616697434351805</v>
      </c>
      <c r="I88" s="237">
        <v>0.1207924795309815</v>
      </c>
      <c r="J88" s="237">
        <v>0.14139714207031609</v>
      </c>
      <c r="K88" s="237">
        <v>0.12008442089847957</v>
      </c>
      <c r="L88" s="237">
        <v>0.11306225554106911</v>
      </c>
      <c r="M88" s="244">
        <v>0.1225</v>
      </c>
      <c r="N88" s="244">
        <v>0.1225</v>
      </c>
      <c r="O88" s="244">
        <v>0.1225</v>
      </c>
      <c r="P88" s="244">
        <v>0.1225</v>
      </c>
      <c r="Q88" s="251">
        <f>Q89/Q87</f>
        <v>0.14123780005880993</v>
      </c>
      <c r="R88" s="486">
        <v>0.1225</v>
      </c>
      <c r="S88" s="244">
        <v>0.1225</v>
      </c>
      <c r="T88" s="244">
        <v>0.1225</v>
      </c>
      <c r="U88" s="244">
        <v>0.1225</v>
      </c>
      <c r="V88" s="244">
        <v>0.1225</v>
      </c>
      <c r="W88" s="244">
        <v>0.1225</v>
      </c>
      <c r="X88" s="244">
        <v>0.1225</v>
      </c>
      <c r="Y88" s="244">
        <v>0.1225</v>
      </c>
      <c r="Z88" s="244">
        <v>0.1225</v>
      </c>
      <c r="AA88" s="244">
        <v>0.1225</v>
      </c>
      <c r="AB88" s="244">
        <v>0.1225</v>
      </c>
      <c r="AC88" s="244">
        <v>0.1225</v>
      </c>
      <c r="AD88" s="474">
        <f>AD89/AD87</f>
        <v>0.12249999999999996</v>
      </c>
    </row>
    <row r="89" spans="1:30" ht="16" x14ac:dyDescent="0.2">
      <c r="A89" s="21" t="s">
        <v>36</v>
      </c>
      <c r="B89" s="21"/>
      <c r="C89" s="232" t="s">
        <v>43</v>
      </c>
      <c r="D89" s="233" t="s">
        <v>66</v>
      </c>
      <c r="E89" s="234">
        <f t="shared" ref="E89:P89" si="21">E87*E88</f>
        <v>3962</v>
      </c>
      <c r="F89" s="234">
        <f t="shared" si="21"/>
        <v>3514</v>
      </c>
      <c r="G89" s="234">
        <f t="shared" si="21"/>
        <v>5062</v>
      </c>
      <c r="H89" s="234">
        <f t="shared" si="21"/>
        <v>4676</v>
      </c>
      <c r="I89" s="234">
        <f t="shared" si="21"/>
        <v>3585</v>
      </c>
      <c r="J89" s="234">
        <f t="shared" si="21"/>
        <v>4621</v>
      </c>
      <c r="K89" s="234">
        <f t="shared" si="21"/>
        <v>2788</v>
      </c>
      <c r="L89" s="234">
        <f t="shared" si="21"/>
        <v>2775</v>
      </c>
      <c r="M89" s="239">
        <f t="shared" si="21"/>
        <v>3010.07</v>
      </c>
      <c r="N89" s="239">
        <f t="shared" si="21"/>
        <v>3040.1707000000001</v>
      </c>
      <c r="O89" s="239">
        <f t="shared" si="21"/>
        <v>3070.5724070000001</v>
      </c>
      <c r="P89" s="239">
        <f t="shared" si="21"/>
        <v>3101.2781310700007</v>
      </c>
      <c r="Q89" s="257">
        <f>SUM(E89:P89)</f>
        <v>43205.091238070003</v>
      </c>
      <c r="R89" s="466">
        <f t="shared" ref="R89:AC89" si="22">R87*R88</f>
        <v>3178.8100843467505</v>
      </c>
      <c r="S89" s="239">
        <f t="shared" si="22"/>
        <v>3258.2803364554188</v>
      </c>
      <c r="T89" s="239">
        <f t="shared" si="22"/>
        <v>3258.2803364554188</v>
      </c>
      <c r="U89" s="239">
        <f t="shared" si="22"/>
        <v>3339.7373448668041</v>
      </c>
      <c r="V89" s="239">
        <f t="shared" si="22"/>
        <v>3339.7373448668041</v>
      </c>
      <c r="W89" s="239">
        <f t="shared" si="22"/>
        <v>3423.2307784884738</v>
      </c>
      <c r="X89" s="239">
        <f t="shared" si="22"/>
        <v>3423.2307784884738</v>
      </c>
      <c r="Y89" s="239">
        <f t="shared" si="22"/>
        <v>3508.8115479506851</v>
      </c>
      <c r="Z89" s="239">
        <f t="shared" si="22"/>
        <v>3508.8115479506851</v>
      </c>
      <c r="AA89" s="239">
        <f t="shared" si="22"/>
        <v>3596.5318366494525</v>
      </c>
      <c r="AB89" s="239">
        <f t="shared" si="22"/>
        <v>3596.5318366494525</v>
      </c>
      <c r="AC89" s="239">
        <f t="shared" si="22"/>
        <v>3686.4451325656883</v>
      </c>
      <c r="AD89" s="467">
        <f>SUM(R89:AC89)</f>
        <v>41118.438905734103</v>
      </c>
    </row>
    <row r="90" spans="1:30" s="4" customFormat="1" ht="16" x14ac:dyDescent="0.2">
      <c r="A90" s="21" t="s">
        <v>36</v>
      </c>
      <c r="B90" s="21"/>
      <c r="C90" s="232" t="s">
        <v>54</v>
      </c>
      <c r="D90" s="233" t="s">
        <v>66</v>
      </c>
      <c r="E90" s="382">
        <f t="shared" ref="E90:L90" si="23">E91/E89</f>
        <v>0.70570418980312977</v>
      </c>
      <c r="F90" s="382">
        <f t="shared" si="23"/>
        <v>0.70802504268639732</v>
      </c>
      <c r="G90" s="382">
        <f t="shared" si="23"/>
        <v>0.69873567759778743</v>
      </c>
      <c r="H90" s="382">
        <f t="shared" si="23"/>
        <v>0.70081266039349877</v>
      </c>
      <c r="I90" s="382">
        <f t="shared" si="23"/>
        <v>0.67364016736401677</v>
      </c>
      <c r="J90" s="382">
        <f t="shared" si="23"/>
        <v>0.66111231335208831</v>
      </c>
      <c r="K90" s="382">
        <f t="shared" si="23"/>
        <v>0.68292682926829273</v>
      </c>
      <c r="L90" s="382">
        <f t="shared" si="23"/>
        <v>0.68</v>
      </c>
      <c r="M90" s="401">
        <v>0.68579999999999997</v>
      </c>
      <c r="N90" s="401">
        <v>0.68579999999999997</v>
      </c>
      <c r="O90" s="401">
        <v>0.68579999999999997</v>
      </c>
      <c r="P90" s="401">
        <v>0.68579999999999997</v>
      </c>
      <c r="Q90" s="402">
        <f>Q91/Q89</f>
        <v>0.68836586890163343</v>
      </c>
      <c r="R90" s="493">
        <v>0.68579999999999997</v>
      </c>
      <c r="S90" s="401">
        <v>0.68579999999999997</v>
      </c>
      <c r="T90" s="401">
        <v>0.68579999999999997</v>
      </c>
      <c r="U90" s="401">
        <v>0.68579999999999997</v>
      </c>
      <c r="V90" s="401">
        <v>0.68579999999999997</v>
      </c>
      <c r="W90" s="401">
        <v>0.68579999999999997</v>
      </c>
      <c r="X90" s="401">
        <v>0.68579999999999997</v>
      </c>
      <c r="Y90" s="401">
        <v>0.68579999999999997</v>
      </c>
      <c r="Z90" s="401">
        <v>0.68579999999999997</v>
      </c>
      <c r="AA90" s="401">
        <v>0.68579999999999997</v>
      </c>
      <c r="AB90" s="401">
        <v>0.68579999999999997</v>
      </c>
      <c r="AC90" s="401">
        <v>0.68579999999999997</v>
      </c>
      <c r="AD90" s="494">
        <f>AD91/AD89</f>
        <v>0.68580000000000019</v>
      </c>
    </row>
    <row r="91" spans="1:30" ht="16" x14ac:dyDescent="0.2">
      <c r="A91" s="21" t="s">
        <v>36</v>
      </c>
      <c r="B91" s="21"/>
      <c r="C91" s="232" t="s">
        <v>38</v>
      </c>
      <c r="D91" s="233" t="s">
        <v>66</v>
      </c>
      <c r="E91" s="234">
        <v>2796</v>
      </c>
      <c r="F91" s="234">
        <v>2488</v>
      </c>
      <c r="G91" s="234">
        <v>3537</v>
      </c>
      <c r="H91" s="239">
        <v>3277</v>
      </c>
      <c r="I91" s="239">
        <v>2415</v>
      </c>
      <c r="J91" s="239">
        <v>3055</v>
      </c>
      <c r="K91" s="239">
        <v>1904</v>
      </c>
      <c r="L91" s="239">
        <v>1887</v>
      </c>
      <c r="M91" s="236">
        <f>M89*M90</f>
        <v>2064.3060059999998</v>
      </c>
      <c r="N91" s="236">
        <f>N89*N90</f>
        <v>2084.94906606</v>
      </c>
      <c r="O91" s="236">
        <f>O89*O90</f>
        <v>2105.7985567206001</v>
      </c>
      <c r="P91" s="236">
        <f>P89*P90</f>
        <v>2126.8565422878064</v>
      </c>
      <c r="Q91" s="250">
        <f>SUM(E91:P91)</f>
        <v>29740.910171068404</v>
      </c>
      <c r="R91" s="461">
        <f t="shared" ref="R91:AC91" si="24">R89*R90</f>
        <v>2180.0279558450015</v>
      </c>
      <c r="S91" s="236">
        <f t="shared" si="24"/>
        <v>2234.528654741126</v>
      </c>
      <c r="T91" s="236">
        <f t="shared" si="24"/>
        <v>2234.528654741126</v>
      </c>
      <c r="U91" s="236">
        <f t="shared" si="24"/>
        <v>2290.3918711096539</v>
      </c>
      <c r="V91" s="236">
        <f t="shared" si="24"/>
        <v>2290.3918711096539</v>
      </c>
      <c r="W91" s="236">
        <f t="shared" si="24"/>
        <v>2347.651667887395</v>
      </c>
      <c r="X91" s="236">
        <f t="shared" si="24"/>
        <v>2347.651667887395</v>
      </c>
      <c r="Y91" s="236">
        <f t="shared" si="24"/>
        <v>2406.3429595845796</v>
      </c>
      <c r="Z91" s="236">
        <f t="shared" si="24"/>
        <v>2406.3429595845796</v>
      </c>
      <c r="AA91" s="236">
        <f t="shared" si="24"/>
        <v>2466.5015335741946</v>
      </c>
      <c r="AB91" s="236">
        <f t="shared" si="24"/>
        <v>2466.5015335741946</v>
      </c>
      <c r="AC91" s="236">
        <f t="shared" si="24"/>
        <v>2528.1640719135489</v>
      </c>
      <c r="AD91" s="462">
        <f>SUM(R91:AC91)</f>
        <v>28199.025401552455</v>
      </c>
    </row>
    <row r="92" spans="1:30" ht="16" x14ac:dyDescent="0.2">
      <c r="A92" s="21" t="s">
        <v>36</v>
      </c>
      <c r="B92" s="21"/>
      <c r="C92" s="232" t="s">
        <v>39</v>
      </c>
      <c r="D92" s="233" t="s">
        <v>66</v>
      </c>
      <c r="E92" s="234">
        <v>47438</v>
      </c>
      <c r="F92" s="234">
        <v>49926</v>
      </c>
      <c r="G92" s="234">
        <v>53463</v>
      </c>
      <c r="H92" s="239">
        <v>56740</v>
      </c>
      <c r="I92" s="239">
        <f t="shared" ref="I92:P92" si="25">H92+I91</f>
        <v>59155</v>
      </c>
      <c r="J92" s="239">
        <f t="shared" si="25"/>
        <v>62210</v>
      </c>
      <c r="K92" s="239">
        <f t="shared" si="25"/>
        <v>64114</v>
      </c>
      <c r="L92" s="239">
        <f t="shared" si="25"/>
        <v>66001</v>
      </c>
      <c r="M92" s="239">
        <f t="shared" si="25"/>
        <v>68065.306005999999</v>
      </c>
      <c r="N92" s="239">
        <f t="shared" si="25"/>
        <v>70150.255072059997</v>
      </c>
      <c r="O92" s="239">
        <f t="shared" si="25"/>
        <v>72256.053628780603</v>
      </c>
      <c r="P92" s="239">
        <f t="shared" si="25"/>
        <v>74382.910171068404</v>
      </c>
      <c r="Q92" s="257">
        <f>P92</f>
        <v>74382.910171068404</v>
      </c>
      <c r="R92" s="466">
        <f>P92+R91</f>
        <v>76562.938126913403</v>
      </c>
      <c r="S92" s="239">
        <f t="shared" ref="S92:AC92" si="26">R92+S91</f>
        <v>78797.466781654526</v>
      </c>
      <c r="T92" s="239">
        <f t="shared" si="26"/>
        <v>81031.995436395649</v>
      </c>
      <c r="U92" s="239">
        <f t="shared" si="26"/>
        <v>83322.387307505298</v>
      </c>
      <c r="V92" s="239">
        <f t="shared" si="26"/>
        <v>85612.779178614946</v>
      </c>
      <c r="W92" s="239">
        <f t="shared" si="26"/>
        <v>87960.430846502335</v>
      </c>
      <c r="X92" s="239">
        <f t="shared" si="26"/>
        <v>90308.082514389724</v>
      </c>
      <c r="Y92" s="239">
        <f t="shared" si="26"/>
        <v>92714.425473974305</v>
      </c>
      <c r="Z92" s="239">
        <f t="shared" si="26"/>
        <v>95120.768433558886</v>
      </c>
      <c r="AA92" s="239">
        <f t="shared" si="26"/>
        <v>97587.269967133077</v>
      </c>
      <c r="AB92" s="239">
        <f t="shared" si="26"/>
        <v>100053.77150070727</v>
      </c>
      <c r="AC92" s="239">
        <f t="shared" si="26"/>
        <v>102581.93557262082</v>
      </c>
      <c r="AD92" s="467">
        <f>AC92</f>
        <v>102581.93557262082</v>
      </c>
    </row>
    <row r="93" spans="1:30" s="4" customFormat="1" ht="16" x14ac:dyDescent="0.2">
      <c r="A93" s="21" t="s">
        <v>36</v>
      </c>
      <c r="B93" s="21"/>
      <c r="C93" s="232" t="s">
        <v>45</v>
      </c>
      <c r="D93" s="233" t="s">
        <v>66</v>
      </c>
      <c r="E93" s="237">
        <v>0.24039799317003246</v>
      </c>
      <c r="F93" s="237">
        <v>0.22927933341345191</v>
      </c>
      <c r="G93" s="237">
        <v>0.23492882928380376</v>
      </c>
      <c r="H93" s="237">
        <v>0.22137821642580191</v>
      </c>
      <c r="I93" s="237">
        <v>0.2110726058659454</v>
      </c>
      <c r="J93" s="237">
        <v>0.20090017682044686</v>
      </c>
      <c r="K93" s="237">
        <v>0.19398259350531866</v>
      </c>
      <c r="L93" s="237">
        <v>0.16792169815608854</v>
      </c>
      <c r="M93" s="244">
        <v>0.15</v>
      </c>
      <c r="N93" s="244">
        <f>15%*1.01</f>
        <v>0.1515</v>
      </c>
      <c r="O93" s="244">
        <f>15%*1.01</f>
        <v>0.1515</v>
      </c>
      <c r="P93" s="244">
        <f>15%*1.01</f>
        <v>0.1515</v>
      </c>
      <c r="Q93" s="251">
        <f>Q94/Q92</f>
        <v>0.1515</v>
      </c>
      <c r="R93" s="486">
        <f t="shared" ref="R93:AC93" si="27">15%*1.01</f>
        <v>0.1515</v>
      </c>
      <c r="S93" s="244">
        <f t="shared" si="27"/>
        <v>0.1515</v>
      </c>
      <c r="T93" s="244">
        <f t="shared" si="27"/>
        <v>0.1515</v>
      </c>
      <c r="U93" s="244">
        <f t="shared" si="27"/>
        <v>0.1515</v>
      </c>
      <c r="V93" s="244">
        <f t="shared" si="27"/>
        <v>0.1515</v>
      </c>
      <c r="W93" s="244">
        <f t="shared" si="27"/>
        <v>0.1515</v>
      </c>
      <c r="X93" s="244">
        <f t="shared" si="27"/>
        <v>0.1515</v>
      </c>
      <c r="Y93" s="244">
        <f t="shared" si="27"/>
        <v>0.1515</v>
      </c>
      <c r="Z93" s="244">
        <f t="shared" si="27"/>
        <v>0.1515</v>
      </c>
      <c r="AA93" s="244">
        <f t="shared" si="27"/>
        <v>0.1515</v>
      </c>
      <c r="AB93" s="244">
        <f t="shared" si="27"/>
        <v>0.1515</v>
      </c>
      <c r="AC93" s="244">
        <f t="shared" si="27"/>
        <v>0.1515</v>
      </c>
      <c r="AD93" s="474">
        <f>AD94/AD92</f>
        <v>1.582692100138519</v>
      </c>
    </row>
    <row r="94" spans="1:30" ht="16" x14ac:dyDescent="0.2">
      <c r="A94" s="21" t="s">
        <v>36</v>
      </c>
      <c r="B94" s="21"/>
      <c r="C94" s="232" t="s">
        <v>40</v>
      </c>
      <c r="D94" s="233" t="s">
        <v>66</v>
      </c>
      <c r="E94" s="234">
        <v>11404</v>
      </c>
      <c r="F94" s="234">
        <v>11447</v>
      </c>
      <c r="G94" s="234">
        <v>12560</v>
      </c>
      <c r="H94" s="239">
        <v>12561</v>
      </c>
      <c r="I94" s="239">
        <v>12486</v>
      </c>
      <c r="J94" s="239">
        <v>12498</v>
      </c>
      <c r="K94" s="239">
        <v>12437</v>
      </c>
      <c r="L94" s="239">
        <v>11083</v>
      </c>
      <c r="M94" s="239">
        <f>M92*M93</f>
        <v>10209.795900899999</v>
      </c>
      <c r="N94" s="387">
        <f>N92*N93</f>
        <v>10627.763643417089</v>
      </c>
      <c r="O94" s="387">
        <f>O92*O93</f>
        <v>10946.792124760261</v>
      </c>
      <c r="P94" s="387">
        <f>P92*P93</f>
        <v>11269.010890916863</v>
      </c>
      <c r="Q94" s="495">
        <f>P94</f>
        <v>11269.010890916863</v>
      </c>
      <c r="R94" s="496">
        <f t="shared" ref="R94:AC94" si="28">R92*R93</f>
        <v>11599.28512622738</v>
      </c>
      <c r="S94" s="387">
        <f t="shared" si="28"/>
        <v>11937.816217420661</v>
      </c>
      <c r="T94" s="387">
        <f t="shared" si="28"/>
        <v>12276.34730861394</v>
      </c>
      <c r="U94" s="387">
        <f t="shared" si="28"/>
        <v>12623.341677087052</v>
      </c>
      <c r="V94" s="387">
        <f t="shared" si="28"/>
        <v>12970.336045560163</v>
      </c>
      <c r="W94" s="387">
        <f t="shared" si="28"/>
        <v>13326.005273245104</v>
      </c>
      <c r="X94" s="387">
        <f t="shared" si="28"/>
        <v>13681.674500930043</v>
      </c>
      <c r="Y94" s="387">
        <f t="shared" si="28"/>
        <v>14046.235459307107</v>
      </c>
      <c r="Z94" s="387">
        <f t="shared" si="28"/>
        <v>14410.796417684171</v>
      </c>
      <c r="AA94" s="387">
        <f t="shared" si="28"/>
        <v>14784.47140002066</v>
      </c>
      <c r="AB94" s="387">
        <f t="shared" si="28"/>
        <v>15158.14638235715</v>
      </c>
      <c r="AC94" s="387">
        <f t="shared" si="28"/>
        <v>15541.163239252053</v>
      </c>
      <c r="AD94" s="497">
        <f>SUM(R94:AC94)</f>
        <v>162355.61904770549</v>
      </c>
    </row>
    <row r="95" spans="1:30" ht="16" x14ac:dyDescent="0.2">
      <c r="A95" s="21" t="s">
        <v>36</v>
      </c>
      <c r="B95" s="21"/>
      <c r="C95" s="232" t="s">
        <v>55</v>
      </c>
      <c r="D95" s="233" t="s">
        <v>74</v>
      </c>
      <c r="E95" s="234">
        <f>10711863102/(10^6)</f>
        <v>10711.863101999999</v>
      </c>
      <c r="F95" s="234">
        <f>11016265814/(10^6)</f>
        <v>11016.265814</v>
      </c>
      <c r="G95" s="234">
        <f>12882109778/(10^6)</f>
        <v>12882.109778</v>
      </c>
      <c r="H95" s="234">
        <f>12089502568/(10^6)</f>
        <v>12089.502568</v>
      </c>
      <c r="I95" s="234">
        <f>11964595934/(10^6)</f>
        <v>11964.595934000001</v>
      </c>
      <c r="J95" s="234">
        <f>12255200170/(10^6)</f>
        <v>12255.20017</v>
      </c>
      <c r="K95" s="234">
        <f>11824461337/(10^6)</f>
        <v>11824.461337000001</v>
      </c>
      <c r="L95" s="234">
        <f>8952922705/(10^6)</f>
        <v>8952.9227050000009</v>
      </c>
      <c r="M95" s="234">
        <f>(M96*M94)</f>
        <v>8300.5640674316983</v>
      </c>
      <c r="N95" s="234">
        <f>(N96*N94)</f>
        <v>8726.7755605190741</v>
      </c>
      <c r="O95" s="234">
        <f>(O96*O94)</f>
        <v>9078.6268115784369</v>
      </c>
      <c r="P95" s="234">
        <f>(P96*P94)</f>
        <v>9439.3147034070207</v>
      </c>
      <c r="Q95" s="398">
        <f>SUM(E95:P95)</f>
        <v>127242.20255093623</v>
      </c>
      <c r="R95" s="470">
        <f t="shared" ref="R95:AC95" si="29">(R96*R94)</f>
        <v>9813.1235063897657</v>
      </c>
      <c r="S95" s="234">
        <f t="shared" si="29"/>
        <v>10200.519799274531</v>
      </c>
      <c r="T95" s="234">
        <f t="shared" si="29"/>
        <v>10594.68270566635</v>
      </c>
      <c r="U95" s="234">
        <f t="shared" si="29"/>
        <v>11003.085800343157</v>
      </c>
      <c r="V95" s="234">
        <f t="shared" si="29"/>
        <v>11418.59748864293</v>
      </c>
      <c r="W95" s="234">
        <f t="shared" si="29"/>
        <v>11849.032493093649</v>
      </c>
      <c r="X95" s="234">
        <f t="shared" si="29"/>
        <v>12286.934337884519</v>
      </c>
      <c r="Y95" s="234">
        <f t="shared" si="29"/>
        <v>12740.474457198359</v>
      </c>
      <c r="Z95" s="234">
        <f t="shared" si="29"/>
        <v>13201.856685464691</v>
      </c>
      <c r="AA95" s="234">
        <f t="shared" si="29"/>
        <v>13679.625442313909</v>
      </c>
      <c r="AB95" s="234">
        <f t="shared" si="29"/>
        <v>14165.629388631563</v>
      </c>
      <c r="AC95" s="234">
        <f t="shared" si="29"/>
        <v>14668.802945551679</v>
      </c>
      <c r="AD95" s="497">
        <f>SUM(R95:AC95)</f>
        <v>145622.36505045509</v>
      </c>
    </row>
    <row r="96" spans="1:30" ht="16" x14ac:dyDescent="0.2">
      <c r="A96" s="21" t="s">
        <v>36</v>
      </c>
      <c r="B96" s="21"/>
      <c r="C96" s="232" t="s">
        <v>46</v>
      </c>
      <c r="D96" s="233" t="s">
        <v>74</v>
      </c>
      <c r="E96" s="394">
        <v>0.93930753262013322</v>
      </c>
      <c r="F96" s="394">
        <v>0.96237143478640697</v>
      </c>
      <c r="G96" s="394">
        <v>1.0256456829617835</v>
      </c>
      <c r="H96" s="395">
        <v>0.96246338412546772</v>
      </c>
      <c r="I96" s="395">
        <v>0.95824090453307709</v>
      </c>
      <c r="J96" s="395">
        <v>0.98057290526484242</v>
      </c>
      <c r="K96" s="395">
        <v>0.95074868030875614</v>
      </c>
      <c r="L96" s="395">
        <v>0.80164866795993861</v>
      </c>
      <c r="M96" s="498">
        <v>0.81299999999999994</v>
      </c>
      <c r="N96" s="403">
        <f>M96*1.01</f>
        <v>0.82112999999999992</v>
      </c>
      <c r="O96" s="403">
        <f>N96*1.01</f>
        <v>0.82934129999999995</v>
      </c>
      <c r="P96" s="403">
        <f>O96*1.01</f>
        <v>0.83763471299999992</v>
      </c>
      <c r="Q96" s="404">
        <f>Q95/Q94</f>
        <v>11.291337259554608</v>
      </c>
      <c r="R96" s="499">
        <f>P96*1.01</f>
        <v>0.84601106012999994</v>
      </c>
      <c r="S96" s="403">
        <f t="shared" ref="S96:AC96" si="30">R96*1.01</f>
        <v>0.85447117073129997</v>
      </c>
      <c r="T96" s="403">
        <f t="shared" si="30"/>
        <v>0.86301588243861294</v>
      </c>
      <c r="U96" s="403">
        <f t="shared" si="30"/>
        <v>0.87164604126299905</v>
      </c>
      <c r="V96" s="403">
        <f t="shared" si="30"/>
        <v>0.88036250167562902</v>
      </c>
      <c r="W96" s="403">
        <f t="shared" si="30"/>
        <v>0.88916612669238526</v>
      </c>
      <c r="X96" s="403">
        <f t="shared" si="30"/>
        <v>0.89805778795930913</v>
      </c>
      <c r="Y96" s="403">
        <f t="shared" si="30"/>
        <v>0.90703836583890218</v>
      </c>
      <c r="Z96" s="403">
        <f t="shared" si="30"/>
        <v>0.91610874949729126</v>
      </c>
      <c r="AA96" s="403">
        <f t="shared" si="30"/>
        <v>0.92526983699226417</v>
      </c>
      <c r="AB96" s="403">
        <f t="shared" si="30"/>
        <v>0.93452253536218677</v>
      </c>
      <c r="AC96" s="403">
        <f t="shared" si="30"/>
        <v>0.94386776071580869</v>
      </c>
      <c r="AD96" s="500">
        <f>AD95/AD94</f>
        <v>0.89693455578932801</v>
      </c>
    </row>
    <row r="97" spans="1:30" ht="16" x14ac:dyDescent="0.2">
      <c r="A97" s="21"/>
      <c r="B97" s="21"/>
      <c r="C97" s="232"/>
      <c r="D97" s="233"/>
      <c r="E97" s="255"/>
      <c r="F97" s="255"/>
      <c r="G97" s="255"/>
      <c r="H97" s="339"/>
      <c r="I97" s="339"/>
      <c r="J97" s="339"/>
      <c r="K97" s="339"/>
      <c r="L97" s="339"/>
      <c r="M97" s="339"/>
      <c r="N97" s="339"/>
      <c r="O97" s="339"/>
      <c r="P97" s="339"/>
      <c r="Q97" s="405"/>
      <c r="R97" s="501"/>
      <c r="S97" s="339"/>
      <c r="T97" s="339"/>
      <c r="U97" s="339"/>
      <c r="V97" s="18"/>
      <c r="W97" s="18"/>
      <c r="X97" s="18"/>
      <c r="Y97" s="18"/>
      <c r="Z97" s="18"/>
      <c r="AA97" s="18"/>
      <c r="AB97" s="18"/>
      <c r="AC97" s="18"/>
      <c r="AD97" s="54"/>
    </row>
    <row r="98" spans="1:30" ht="16" x14ac:dyDescent="0.2">
      <c r="A98" s="21" t="s">
        <v>53</v>
      </c>
      <c r="B98" s="21"/>
      <c r="C98" s="11" t="s">
        <v>53</v>
      </c>
      <c r="D98" s="233"/>
      <c r="E98" s="234"/>
      <c r="F98" s="255"/>
      <c r="G98" s="255"/>
      <c r="H98" s="339"/>
      <c r="I98" s="339"/>
      <c r="J98" s="339"/>
      <c r="K98" s="339"/>
      <c r="L98" s="339"/>
      <c r="M98" s="339"/>
      <c r="N98" s="339"/>
      <c r="O98" s="339"/>
      <c r="P98" s="339"/>
      <c r="Q98" s="405"/>
      <c r="R98" s="501"/>
      <c r="S98" s="339"/>
      <c r="T98" s="339"/>
      <c r="U98" s="339"/>
      <c r="V98" s="18"/>
      <c r="W98" s="18"/>
      <c r="X98" s="18"/>
      <c r="Y98" s="18"/>
      <c r="Z98" s="18"/>
      <c r="AA98" s="18"/>
      <c r="AB98" s="18"/>
      <c r="AC98" s="18"/>
      <c r="AD98" s="54"/>
    </row>
    <row r="99" spans="1:30" s="20" customFormat="1" ht="16" x14ac:dyDescent="0.2">
      <c r="A99" s="21" t="s">
        <v>53</v>
      </c>
      <c r="B99" s="21"/>
      <c r="C99" s="232" t="s">
        <v>41</v>
      </c>
      <c r="D99" s="233" t="s">
        <v>64</v>
      </c>
      <c r="E99" s="234">
        <v>3774</v>
      </c>
      <c r="F99" s="234">
        <v>2733</v>
      </c>
      <c r="G99" s="234">
        <v>3919</v>
      </c>
      <c r="H99" s="234">
        <v>5398</v>
      </c>
      <c r="I99" s="234">
        <v>8595</v>
      </c>
      <c r="J99" s="234">
        <v>8722</v>
      </c>
      <c r="K99" s="234">
        <v>8055</v>
      </c>
      <c r="L99" s="234">
        <v>8391</v>
      </c>
      <c r="M99" s="236">
        <v>8300</v>
      </c>
      <c r="N99" s="236">
        <v>8300</v>
      </c>
      <c r="O99" s="236">
        <v>8300</v>
      </c>
      <c r="P99" s="236">
        <v>8300</v>
      </c>
      <c r="Q99" s="406"/>
      <c r="R99" s="461">
        <v>8300</v>
      </c>
      <c r="S99" s="236">
        <f>R99*80%</f>
        <v>6640</v>
      </c>
      <c r="T99" s="236">
        <f t="shared" ref="T99:AC99" si="31">R99*1.05</f>
        <v>8715</v>
      </c>
      <c r="U99" s="236">
        <f t="shared" si="31"/>
        <v>6972</v>
      </c>
      <c r="V99" s="28">
        <f t="shared" si="31"/>
        <v>9150.75</v>
      </c>
      <c r="W99" s="28">
        <f t="shared" si="31"/>
        <v>7320.6</v>
      </c>
      <c r="X99" s="28">
        <f t="shared" si="31"/>
        <v>9608.2875000000004</v>
      </c>
      <c r="Y99" s="28">
        <f t="shared" si="31"/>
        <v>7686.630000000001</v>
      </c>
      <c r="Z99" s="28">
        <f t="shared" si="31"/>
        <v>10088.701875000001</v>
      </c>
      <c r="AA99" s="28">
        <f t="shared" si="31"/>
        <v>8070.9615000000013</v>
      </c>
      <c r="AB99" s="28">
        <f t="shared" si="31"/>
        <v>10593.136968750001</v>
      </c>
      <c r="AC99" s="28">
        <f t="shared" si="31"/>
        <v>8474.5095750000019</v>
      </c>
      <c r="AD99" s="55"/>
    </row>
    <row r="100" spans="1:30" ht="16" x14ac:dyDescent="0.2">
      <c r="A100" s="21" t="s">
        <v>53</v>
      </c>
      <c r="B100" s="21"/>
      <c r="C100" s="232" t="s">
        <v>42</v>
      </c>
      <c r="D100" s="233" t="s">
        <v>66</v>
      </c>
      <c r="E100" s="237">
        <v>0.52808691043985156</v>
      </c>
      <c r="F100" s="237">
        <v>0.54665203073545554</v>
      </c>
      <c r="G100" s="237">
        <v>0.57259504975759123</v>
      </c>
      <c r="H100" s="237">
        <v>0.45665061133753243</v>
      </c>
      <c r="I100" s="237">
        <v>0.37417102966841187</v>
      </c>
      <c r="J100" s="237">
        <v>0.35439119468011926</v>
      </c>
      <c r="K100" s="237">
        <v>0.35195530726256985</v>
      </c>
      <c r="L100" s="237">
        <v>0.3267786914551305</v>
      </c>
      <c r="M100" s="244">
        <v>0.33</v>
      </c>
      <c r="N100" s="244">
        <v>0.33</v>
      </c>
      <c r="O100" s="244">
        <v>0.33</v>
      </c>
      <c r="P100" s="244">
        <v>0.33</v>
      </c>
      <c r="Q100" s="251"/>
      <c r="R100" s="486">
        <v>0.33</v>
      </c>
      <c r="S100" s="244">
        <v>0.33</v>
      </c>
      <c r="T100" s="244">
        <v>0.33</v>
      </c>
      <c r="U100" s="244">
        <v>0.33</v>
      </c>
      <c r="V100" s="27">
        <v>0.33</v>
      </c>
      <c r="W100" s="27">
        <v>0.33</v>
      </c>
      <c r="X100" s="27">
        <v>0.33</v>
      </c>
      <c r="Y100" s="27">
        <v>0.33</v>
      </c>
      <c r="Z100" s="27">
        <v>0.33</v>
      </c>
      <c r="AA100" s="27">
        <v>0.33</v>
      </c>
      <c r="AB100" s="27">
        <v>0.33</v>
      </c>
      <c r="AC100" s="27">
        <v>0.33</v>
      </c>
      <c r="AD100" s="54"/>
    </row>
    <row r="101" spans="1:30" ht="16" x14ac:dyDescent="0.2">
      <c r="A101" s="21" t="s">
        <v>53</v>
      </c>
      <c r="B101" s="21"/>
      <c r="C101" s="232" t="s">
        <v>43</v>
      </c>
      <c r="D101" s="233" t="s">
        <v>64</v>
      </c>
      <c r="E101" s="234">
        <f t="shared" ref="E101:P101" si="32">E99*E100</f>
        <v>1992.9999999999998</v>
      </c>
      <c r="F101" s="234">
        <f t="shared" si="32"/>
        <v>1494</v>
      </c>
      <c r="G101" s="234">
        <f t="shared" si="32"/>
        <v>2244</v>
      </c>
      <c r="H101" s="234">
        <f t="shared" si="32"/>
        <v>2465</v>
      </c>
      <c r="I101" s="234">
        <f t="shared" si="32"/>
        <v>3216</v>
      </c>
      <c r="J101" s="234">
        <f t="shared" si="32"/>
        <v>3091</v>
      </c>
      <c r="K101" s="234">
        <f t="shared" si="32"/>
        <v>2835</v>
      </c>
      <c r="L101" s="234">
        <f t="shared" si="32"/>
        <v>2742</v>
      </c>
      <c r="M101" s="239">
        <f t="shared" si="32"/>
        <v>2739</v>
      </c>
      <c r="N101" s="239">
        <f t="shared" si="32"/>
        <v>2739</v>
      </c>
      <c r="O101" s="239">
        <f t="shared" si="32"/>
        <v>2739</v>
      </c>
      <c r="P101" s="239">
        <f t="shared" si="32"/>
        <v>2739</v>
      </c>
      <c r="Q101" s="257"/>
      <c r="R101" s="466">
        <f t="shared" ref="R101:AC101" si="33">R99*R100</f>
        <v>2739</v>
      </c>
      <c r="S101" s="239">
        <f t="shared" si="33"/>
        <v>2191.2000000000003</v>
      </c>
      <c r="T101" s="239">
        <f t="shared" si="33"/>
        <v>2875.9500000000003</v>
      </c>
      <c r="U101" s="239">
        <f t="shared" si="33"/>
        <v>2300.7600000000002</v>
      </c>
      <c r="V101" s="19">
        <f t="shared" si="33"/>
        <v>3019.7474999999999</v>
      </c>
      <c r="W101" s="19">
        <f t="shared" si="33"/>
        <v>2415.7980000000002</v>
      </c>
      <c r="X101" s="19">
        <f t="shared" si="33"/>
        <v>3170.7348750000001</v>
      </c>
      <c r="Y101" s="19">
        <f t="shared" si="33"/>
        <v>2536.5879000000004</v>
      </c>
      <c r="Z101" s="19">
        <f t="shared" si="33"/>
        <v>3329.2716187500005</v>
      </c>
      <c r="AA101" s="19">
        <f t="shared" si="33"/>
        <v>2663.4172950000006</v>
      </c>
      <c r="AB101" s="19">
        <f t="shared" si="33"/>
        <v>3495.7351996875004</v>
      </c>
      <c r="AC101" s="19">
        <f t="shared" si="33"/>
        <v>2796.5881597500006</v>
      </c>
      <c r="AD101" s="56"/>
    </row>
    <row r="102" spans="1:30" ht="16" x14ac:dyDescent="0.2">
      <c r="A102" s="21" t="s">
        <v>53</v>
      </c>
      <c r="B102" s="21"/>
      <c r="C102" s="232" t="s">
        <v>54</v>
      </c>
      <c r="D102" s="233"/>
      <c r="E102" s="382">
        <f t="shared" ref="E102:L102" si="34">E103/E101</f>
        <v>0.67937782237832423</v>
      </c>
      <c r="F102" s="382">
        <f t="shared" si="34"/>
        <v>0.61378848728246316</v>
      </c>
      <c r="G102" s="382">
        <f t="shared" si="34"/>
        <v>0.59893048128342241</v>
      </c>
      <c r="H102" s="382">
        <f t="shared" si="34"/>
        <v>0.62555780933062877</v>
      </c>
      <c r="I102" s="382">
        <f t="shared" si="34"/>
        <v>0.64210199004975121</v>
      </c>
      <c r="J102" s="382">
        <f t="shared" si="34"/>
        <v>0.61921708185053381</v>
      </c>
      <c r="K102" s="382">
        <f t="shared" si="34"/>
        <v>0.65855379188712526</v>
      </c>
      <c r="L102" s="382">
        <f t="shared" si="34"/>
        <v>0.6349380014587892</v>
      </c>
      <c r="M102" s="401">
        <v>0.64</v>
      </c>
      <c r="N102" s="401">
        <f>M102</f>
        <v>0.64</v>
      </c>
      <c r="O102" s="401">
        <f>N102</f>
        <v>0.64</v>
      </c>
      <c r="P102" s="401">
        <f>O102</f>
        <v>0.64</v>
      </c>
      <c r="Q102" s="402"/>
      <c r="R102" s="493">
        <v>0.7</v>
      </c>
      <c r="S102" s="401">
        <f t="shared" ref="S102:AC102" si="35">R102</f>
        <v>0.7</v>
      </c>
      <c r="T102" s="401">
        <f t="shared" si="35"/>
        <v>0.7</v>
      </c>
      <c r="U102" s="401">
        <f t="shared" si="35"/>
        <v>0.7</v>
      </c>
      <c r="V102" s="36">
        <f t="shared" si="35"/>
        <v>0.7</v>
      </c>
      <c r="W102" s="36">
        <f t="shared" si="35"/>
        <v>0.7</v>
      </c>
      <c r="X102" s="36">
        <f t="shared" si="35"/>
        <v>0.7</v>
      </c>
      <c r="Y102" s="36">
        <f t="shared" si="35"/>
        <v>0.7</v>
      </c>
      <c r="Z102" s="36">
        <f t="shared" si="35"/>
        <v>0.7</v>
      </c>
      <c r="AA102" s="36">
        <f t="shared" si="35"/>
        <v>0.7</v>
      </c>
      <c r="AB102" s="36">
        <f t="shared" si="35"/>
        <v>0.7</v>
      </c>
      <c r="AC102" s="36">
        <f t="shared" si="35"/>
        <v>0.7</v>
      </c>
      <c r="AD102" s="57"/>
    </row>
    <row r="103" spans="1:30" ht="16" x14ac:dyDescent="0.2">
      <c r="A103" s="21" t="s">
        <v>53</v>
      </c>
      <c r="B103" s="21"/>
      <c r="C103" s="232" t="s">
        <v>38</v>
      </c>
      <c r="D103" s="233" t="s">
        <v>64</v>
      </c>
      <c r="E103" s="234">
        <v>1354</v>
      </c>
      <c r="F103" s="234">
        <v>917</v>
      </c>
      <c r="G103" s="234">
        <v>1344</v>
      </c>
      <c r="H103" s="239">
        <v>1542</v>
      </c>
      <c r="I103" s="239">
        <v>2065</v>
      </c>
      <c r="J103" s="239">
        <v>1914</v>
      </c>
      <c r="K103" s="239">
        <v>1867</v>
      </c>
      <c r="L103" s="239">
        <v>1741</v>
      </c>
      <c r="M103" s="236">
        <f>M101*M102</f>
        <v>1752.96</v>
      </c>
      <c r="N103" s="236">
        <f>N101*N102</f>
        <v>1752.96</v>
      </c>
      <c r="O103" s="236">
        <f>O101*O102</f>
        <v>1752.96</v>
      </c>
      <c r="P103" s="236">
        <f>P101*P102</f>
        <v>1752.96</v>
      </c>
      <c r="Q103" s="406">
        <f>SUM(E103:P103)</f>
        <v>19755.839999999997</v>
      </c>
      <c r="R103" s="461">
        <f t="shared" ref="R103:AC103" si="36">R101*R102</f>
        <v>1917.3</v>
      </c>
      <c r="S103" s="236">
        <f t="shared" si="36"/>
        <v>1533.8400000000001</v>
      </c>
      <c r="T103" s="236">
        <f t="shared" si="36"/>
        <v>2013.165</v>
      </c>
      <c r="U103" s="236">
        <f t="shared" si="36"/>
        <v>1610.5320000000002</v>
      </c>
      <c r="V103" s="28">
        <f t="shared" si="36"/>
        <v>2113.8232499999999</v>
      </c>
      <c r="W103" s="28">
        <f t="shared" si="36"/>
        <v>1691.0586000000001</v>
      </c>
      <c r="X103" s="28">
        <f t="shared" si="36"/>
        <v>2219.5144124999997</v>
      </c>
      <c r="Y103" s="28">
        <f t="shared" si="36"/>
        <v>1775.6115300000001</v>
      </c>
      <c r="Z103" s="28">
        <f t="shared" si="36"/>
        <v>2330.4901331250003</v>
      </c>
      <c r="AA103" s="28">
        <f t="shared" si="36"/>
        <v>1864.3921065000004</v>
      </c>
      <c r="AB103" s="28">
        <f t="shared" si="36"/>
        <v>2447.01463978125</v>
      </c>
      <c r="AC103" s="28">
        <f t="shared" si="36"/>
        <v>1957.6117118250004</v>
      </c>
      <c r="AD103" s="58">
        <f>SUM(R103:AC103)</f>
        <v>23474.35338373125</v>
      </c>
    </row>
    <row r="104" spans="1:30" ht="16" x14ac:dyDescent="0.2">
      <c r="A104" s="21" t="s">
        <v>53</v>
      </c>
      <c r="B104" s="21"/>
      <c r="C104" s="232" t="s">
        <v>39</v>
      </c>
      <c r="D104" s="233" t="s">
        <v>64</v>
      </c>
      <c r="E104" s="234">
        <v>7519</v>
      </c>
      <c r="F104" s="234">
        <v>8436</v>
      </c>
      <c r="G104" s="234">
        <v>9780</v>
      </c>
      <c r="H104" s="239">
        <v>11322</v>
      </c>
      <c r="I104" s="239">
        <v>13387</v>
      </c>
      <c r="J104" s="239">
        <v>15301</v>
      </c>
      <c r="K104" s="239">
        <v>17168</v>
      </c>
      <c r="L104" s="239">
        <v>18909</v>
      </c>
      <c r="M104" s="239">
        <f>L104+M103</f>
        <v>20661.96</v>
      </c>
      <c r="N104" s="239">
        <f>M104+N103</f>
        <v>22414.92</v>
      </c>
      <c r="O104" s="239">
        <f>N104+O103</f>
        <v>24167.879999999997</v>
      </c>
      <c r="P104" s="239">
        <f>O104+P103</f>
        <v>25920.839999999997</v>
      </c>
      <c r="Q104" s="257">
        <f>P104</f>
        <v>25920.839999999997</v>
      </c>
      <c r="R104" s="466">
        <f>P104+R103</f>
        <v>27838.139999999996</v>
      </c>
      <c r="S104" s="239">
        <f t="shared" ref="S104:AC104" si="37">R104+S103</f>
        <v>29371.979999999996</v>
      </c>
      <c r="T104" s="239">
        <f t="shared" si="37"/>
        <v>31385.144999999997</v>
      </c>
      <c r="U104" s="239">
        <f t="shared" si="37"/>
        <v>32995.676999999996</v>
      </c>
      <c r="V104" s="19">
        <f t="shared" si="37"/>
        <v>35109.500249999997</v>
      </c>
      <c r="W104" s="19">
        <f t="shared" si="37"/>
        <v>36800.558849999994</v>
      </c>
      <c r="X104" s="19">
        <f t="shared" si="37"/>
        <v>39020.073262499995</v>
      </c>
      <c r="Y104" s="19">
        <f t="shared" si="37"/>
        <v>40795.684792499997</v>
      </c>
      <c r="Z104" s="19">
        <f t="shared" si="37"/>
        <v>43126.174925624997</v>
      </c>
      <c r="AA104" s="19">
        <f t="shared" si="37"/>
        <v>44990.567032125</v>
      </c>
      <c r="AB104" s="19">
        <f t="shared" si="37"/>
        <v>47437.58167190625</v>
      </c>
      <c r="AC104" s="19">
        <f t="shared" si="37"/>
        <v>49395.193383731254</v>
      </c>
      <c r="AD104" s="58">
        <f>AC104</f>
        <v>49395.193383731254</v>
      </c>
    </row>
    <row r="105" spans="1:30" ht="16" x14ac:dyDescent="0.2">
      <c r="A105" s="21" t="s">
        <v>53</v>
      </c>
      <c r="B105" s="21"/>
      <c r="C105" s="232" t="s">
        <v>45</v>
      </c>
      <c r="D105" s="233"/>
      <c r="E105" s="382">
        <v>0.54329033116105796</v>
      </c>
      <c r="F105" s="382">
        <v>0.51730678046467504</v>
      </c>
      <c r="G105" s="382">
        <v>0.52464212678936595</v>
      </c>
      <c r="H105" s="382">
        <v>0.49540717187776001</v>
      </c>
      <c r="I105" s="382">
        <v>0.50817957720176199</v>
      </c>
      <c r="J105" s="382">
        <v>0.49290896019867902</v>
      </c>
      <c r="K105" s="382">
        <v>0.48660298229263699</v>
      </c>
      <c r="L105" s="382">
        <v>0.45385795124014999</v>
      </c>
      <c r="M105" s="375">
        <v>0.43</v>
      </c>
      <c r="N105" s="244">
        <f>M105</f>
        <v>0.43</v>
      </c>
      <c r="O105" s="244">
        <f>N105</f>
        <v>0.43</v>
      </c>
      <c r="P105" s="244">
        <f>O105</f>
        <v>0.43</v>
      </c>
      <c r="Q105" s="251">
        <f>P105</f>
        <v>0.43</v>
      </c>
      <c r="R105" s="486">
        <v>0.4</v>
      </c>
      <c r="S105" s="244">
        <f t="shared" ref="S105:AC105" si="38">R105</f>
        <v>0.4</v>
      </c>
      <c r="T105" s="244">
        <f t="shared" si="38"/>
        <v>0.4</v>
      </c>
      <c r="U105" s="244">
        <f t="shared" si="38"/>
        <v>0.4</v>
      </c>
      <c r="V105" s="27">
        <f t="shared" si="38"/>
        <v>0.4</v>
      </c>
      <c r="W105" s="27">
        <f t="shared" si="38"/>
        <v>0.4</v>
      </c>
      <c r="X105" s="27">
        <f t="shared" si="38"/>
        <v>0.4</v>
      </c>
      <c r="Y105" s="27">
        <f t="shared" si="38"/>
        <v>0.4</v>
      </c>
      <c r="Z105" s="27">
        <f t="shared" si="38"/>
        <v>0.4</v>
      </c>
      <c r="AA105" s="27">
        <f t="shared" si="38"/>
        <v>0.4</v>
      </c>
      <c r="AB105" s="27">
        <f t="shared" si="38"/>
        <v>0.4</v>
      </c>
      <c r="AC105" s="27">
        <f t="shared" si="38"/>
        <v>0.4</v>
      </c>
      <c r="AD105" s="59">
        <f>AC105</f>
        <v>0.4</v>
      </c>
    </row>
    <row r="106" spans="1:30" ht="16" x14ac:dyDescent="0.2">
      <c r="A106" s="21" t="s">
        <v>53</v>
      </c>
      <c r="B106" s="21"/>
      <c r="C106" s="232" t="s">
        <v>40</v>
      </c>
      <c r="D106" s="233" t="s">
        <v>64</v>
      </c>
      <c r="E106" s="234">
        <v>4085</v>
      </c>
      <c r="F106" s="234">
        <v>4364</v>
      </c>
      <c r="G106" s="234">
        <v>5131</v>
      </c>
      <c r="H106" s="239">
        <v>5609</v>
      </c>
      <c r="I106" s="239">
        <v>6803</v>
      </c>
      <c r="J106" s="239">
        <v>7542</v>
      </c>
      <c r="K106" s="239">
        <v>8354</v>
      </c>
      <c r="L106" s="239">
        <v>8582</v>
      </c>
      <c r="M106" s="239">
        <f>M104*M105</f>
        <v>8884.6427999999996</v>
      </c>
      <c r="N106" s="239">
        <f>N104*N105</f>
        <v>9638.4155999999984</v>
      </c>
      <c r="O106" s="239">
        <f>O104*O105</f>
        <v>10392.188399999999</v>
      </c>
      <c r="P106" s="239">
        <f>P104*P105</f>
        <v>11145.961199999998</v>
      </c>
      <c r="Q106" s="257">
        <f>P106</f>
        <v>11145.961199999998</v>
      </c>
      <c r="R106" s="466">
        <f t="shared" ref="R106:AC106" si="39">R104*R105</f>
        <v>11135.255999999999</v>
      </c>
      <c r="S106" s="239">
        <f t="shared" si="39"/>
        <v>11748.791999999999</v>
      </c>
      <c r="T106" s="239">
        <f t="shared" si="39"/>
        <v>12554.057999999999</v>
      </c>
      <c r="U106" s="239">
        <f t="shared" si="39"/>
        <v>13198.270799999998</v>
      </c>
      <c r="V106" s="19">
        <f t="shared" si="39"/>
        <v>14043.8001</v>
      </c>
      <c r="W106" s="19">
        <f t="shared" si="39"/>
        <v>14720.223539999999</v>
      </c>
      <c r="X106" s="19">
        <f t="shared" si="39"/>
        <v>15608.029304999998</v>
      </c>
      <c r="Y106" s="19">
        <f t="shared" si="39"/>
        <v>16318.273916999999</v>
      </c>
      <c r="Z106" s="19">
        <f t="shared" si="39"/>
        <v>17250.46997025</v>
      </c>
      <c r="AA106" s="19">
        <f t="shared" si="39"/>
        <v>17996.22681285</v>
      </c>
      <c r="AB106" s="19">
        <f t="shared" si="39"/>
        <v>18975.032668762502</v>
      </c>
      <c r="AC106" s="19">
        <f t="shared" si="39"/>
        <v>19758.077353492503</v>
      </c>
      <c r="AD106" s="58">
        <f>AC106</f>
        <v>19758.077353492503</v>
      </c>
    </row>
    <row r="107" spans="1:30" ht="16" x14ac:dyDescent="0.2">
      <c r="A107" s="21" t="s">
        <v>53</v>
      </c>
      <c r="B107" s="21"/>
      <c r="C107" s="232" t="s">
        <v>55</v>
      </c>
      <c r="D107" s="233" t="s">
        <v>74</v>
      </c>
      <c r="E107" s="407">
        <f>5181256600/(10^6)</f>
        <v>5181.2565999999997</v>
      </c>
      <c r="F107" s="407">
        <f>5543897694/(10^6)</f>
        <v>5543.8976940000002</v>
      </c>
      <c r="G107" s="407">
        <f>5692337428/(10^6)</f>
        <v>5692.3374279999998</v>
      </c>
      <c r="H107" s="407">
        <f>5604594501/(10^6)</f>
        <v>5604.5945009999996</v>
      </c>
      <c r="I107" s="407">
        <f>7145959179/(10^6)</f>
        <v>7145.9591790000004</v>
      </c>
      <c r="J107" s="407">
        <f>7745288700/(10^6)</f>
        <v>7745.2887000000001</v>
      </c>
      <c r="K107" s="407">
        <f>8142216513/(10^6)</f>
        <v>8142.2165130000003</v>
      </c>
      <c r="L107" s="407">
        <f>7801255169/(10^6)</f>
        <v>7801.255169</v>
      </c>
      <c r="M107" s="239">
        <f>(M106*M108)</f>
        <v>7996.1785199999995</v>
      </c>
      <c r="N107" s="239">
        <f>(N106*N108)</f>
        <v>8674.5740399999995</v>
      </c>
      <c r="O107" s="239">
        <f>(O106*O108)</f>
        <v>9352.9695599999995</v>
      </c>
      <c r="P107" s="239">
        <f>(P106*P108)</f>
        <v>10031.365079999998</v>
      </c>
      <c r="Q107" s="257">
        <f>SUM(E107:P107)</f>
        <v>88911.892983999991</v>
      </c>
      <c r="R107" s="466">
        <f t="shared" ref="R107:AC107" si="40">(R106*R108)</f>
        <v>10021.7304</v>
      </c>
      <c r="S107" s="239">
        <f t="shared" si="40"/>
        <v>10573.9128</v>
      </c>
      <c r="T107" s="239">
        <f t="shared" si="40"/>
        <v>11298.652199999999</v>
      </c>
      <c r="U107" s="239">
        <f t="shared" si="40"/>
        <v>13066.288092000001</v>
      </c>
      <c r="V107" s="239">
        <f t="shared" si="40"/>
        <v>13903.362099000002</v>
      </c>
      <c r="W107" s="239">
        <f t="shared" si="40"/>
        <v>14573.021304600001</v>
      </c>
      <c r="X107" s="239">
        <f t="shared" si="40"/>
        <v>16997.143913145002</v>
      </c>
      <c r="Y107" s="239">
        <f t="shared" si="40"/>
        <v>17770.600295613003</v>
      </c>
      <c r="Z107" s="239">
        <f t="shared" si="40"/>
        <v>18785.761797602252</v>
      </c>
      <c r="AA107" s="239">
        <f t="shared" si="40"/>
        <v>21557.680099113022</v>
      </c>
      <c r="AB107" s="239">
        <f t="shared" si="40"/>
        <v>22730.19163391061</v>
      </c>
      <c r="AC107" s="239">
        <f t="shared" si="40"/>
        <v>23668.200861748679</v>
      </c>
      <c r="AD107" s="58">
        <f>SUM(R107:AC107)</f>
        <v>194946.54549673258</v>
      </c>
    </row>
    <row r="108" spans="1:30" ht="16" x14ac:dyDescent="0.2">
      <c r="A108" s="21" t="s">
        <v>53</v>
      </c>
      <c r="B108" s="21"/>
      <c r="C108" s="232" t="s">
        <v>46</v>
      </c>
      <c r="D108" s="233" t="s">
        <v>74</v>
      </c>
      <c r="E108" s="394">
        <v>1.2683614687882496</v>
      </c>
      <c r="F108" s="394">
        <v>1.2703706906507792</v>
      </c>
      <c r="G108" s="394">
        <v>1.1094011748197232</v>
      </c>
      <c r="H108" s="395">
        <v>0.99921456605455505</v>
      </c>
      <c r="I108" s="395">
        <v>1.0504129323827724</v>
      </c>
      <c r="J108" s="395">
        <v>1.0269542163882259</v>
      </c>
      <c r="K108" s="395">
        <v>0.97464885240603305</v>
      </c>
      <c r="L108" s="395">
        <v>0.90902530517361924</v>
      </c>
      <c r="M108" s="376">
        <v>0.9</v>
      </c>
      <c r="N108" s="376">
        <v>0.9</v>
      </c>
      <c r="O108" s="376">
        <v>0.9</v>
      </c>
      <c r="P108" s="376">
        <v>0.9</v>
      </c>
      <c r="Q108" s="408"/>
      <c r="R108" s="502">
        <v>0.9</v>
      </c>
      <c r="S108" s="376">
        <f>R108</f>
        <v>0.9</v>
      </c>
      <c r="T108" s="376">
        <f>S108</f>
        <v>0.9</v>
      </c>
      <c r="U108" s="376">
        <f>T108*1.1</f>
        <v>0.9900000000000001</v>
      </c>
      <c r="V108" s="37">
        <f>U108</f>
        <v>0.9900000000000001</v>
      </c>
      <c r="W108" s="37">
        <f>V108</f>
        <v>0.9900000000000001</v>
      </c>
      <c r="X108" s="37">
        <f>W108*1.1</f>
        <v>1.0890000000000002</v>
      </c>
      <c r="Y108" s="37">
        <f>X108</f>
        <v>1.0890000000000002</v>
      </c>
      <c r="Z108" s="37">
        <f>Y108</f>
        <v>1.0890000000000002</v>
      </c>
      <c r="AA108" s="37">
        <f>Z108*1.1</f>
        <v>1.1979000000000004</v>
      </c>
      <c r="AB108" s="37">
        <f>AA108</f>
        <v>1.1979000000000004</v>
      </c>
      <c r="AC108" s="37">
        <f>AB108</f>
        <v>1.1979000000000004</v>
      </c>
      <c r="AD108" s="55"/>
    </row>
    <row r="109" spans="1:30" ht="16" x14ac:dyDescent="0.2">
      <c r="A109" s="21"/>
      <c r="B109" s="21"/>
      <c r="C109" s="344"/>
      <c r="D109" s="230"/>
      <c r="E109" s="230"/>
      <c r="F109" s="230"/>
      <c r="G109" s="230"/>
      <c r="H109" s="231"/>
      <c r="I109" s="231"/>
      <c r="J109" s="231"/>
      <c r="K109" s="231"/>
      <c r="L109" s="231"/>
      <c r="M109" s="231"/>
      <c r="N109" s="231"/>
      <c r="O109" s="231"/>
      <c r="P109" s="231"/>
      <c r="Q109" s="249"/>
      <c r="R109" s="460"/>
      <c r="S109" s="231"/>
      <c r="T109" s="231"/>
      <c r="U109" s="231"/>
      <c r="V109" s="14"/>
      <c r="W109" s="14"/>
      <c r="X109" s="14"/>
      <c r="Y109" s="14"/>
      <c r="Z109" s="14"/>
      <c r="AA109" s="14"/>
      <c r="AB109" s="14"/>
      <c r="AC109" s="14"/>
      <c r="AD109" s="44"/>
    </row>
    <row r="110" spans="1:30" ht="16" x14ac:dyDescent="0.2">
      <c r="A110" s="21" t="s">
        <v>37</v>
      </c>
      <c r="B110" s="21"/>
      <c r="C110" s="11" t="s">
        <v>37</v>
      </c>
      <c r="D110" s="230"/>
      <c r="E110" s="230"/>
      <c r="F110" s="230"/>
      <c r="G110" s="230"/>
      <c r="H110" s="231"/>
      <c r="I110" s="231"/>
      <c r="J110" s="231"/>
      <c r="K110" s="231"/>
      <c r="L110" s="231"/>
      <c r="M110" s="231"/>
      <c r="N110" s="231"/>
      <c r="O110" s="231"/>
      <c r="P110" s="231"/>
      <c r="Q110" s="249"/>
      <c r="R110" s="460"/>
      <c r="S110" s="231"/>
      <c r="T110" s="231"/>
      <c r="U110" s="231"/>
      <c r="V110" s="14"/>
      <c r="W110" s="14"/>
      <c r="X110" s="14"/>
      <c r="Y110" s="14"/>
      <c r="Z110" s="14"/>
      <c r="AA110" s="14"/>
      <c r="AB110" s="14"/>
      <c r="AC110" s="14"/>
      <c r="AD110" s="44"/>
    </row>
    <row r="111" spans="1:30" ht="16" x14ac:dyDescent="0.2">
      <c r="A111" s="21" t="s">
        <v>37</v>
      </c>
      <c r="B111" s="21"/>
      <c r="C111" s="232" t="s">
        <v>41</v>
      </c>
      <c r="D111" s="233" t="s">
        <v>64</v>
      </c>
      <c r="E111" s="233"/>
      <c r="F111" s="233"/>
      <c r="G111" s="233"/>
      <c r="H111" s="231"/>
      <c r="I111" s="231"/>
      <c r="J111" s="231"/>
      <c r="K111" s="231"/>
      <c r="L111" s="231"/>
      <c r="M111" s="392"/>
      <c r="N111" s="392"/>
      <c r="O111" s="392"/>
      <c r="P111" s="392"/>
      <c r="Q111" s="393"/>
      <c r="R111" s="478"/>
      <c r="S111" s="392"/>
      <c r="T111" s="243">
        <v>20000</v>
      </c>
      <c r="U111" s="243">
        <f t="shared" ref="U111:AC111" si="41">T111*1.2</f>
        <v>24000</v>
      </c>
      <c r="V111" s="243">
        <f t="shared" si="41"/>
        <v>28800</v>
      </c>
      <c r="W111" s="243">
        <f t="shared" si="41"/>
        <v>34560</v>
      </c>
      <c r="X111" s="243">
        <f t="shared" si="41"/>
        <v>41472</v>
      </c>
      <c r="Y111" s="243">
        <f t="shared" si="41"/>
        <v>49766.400000000001</v>
      </c>
      <c r="Z111" s="243">
        <f t="shared" si="41"/>
        <v>59719.68</v>
      </c>
      <c r="AA111" s="243">
        <f t="shared" si="41"/>
        <v>71663.615999999995</v>
      </c>
      <c r="AB111" s="243">
        <f t="shared" si="41"/>
        <v>85996.339199999988</v>
      </c>
      <c r="AC111" s="243">
        <f t="shared" si="41"/>
        <v>103195.60703999999</v>
      </c>
      <c r="AD111" s="54"/>
    </row>
    <row r="112" spans="1:30" ht="16" x14ac:dyDescent="0.2">
      <c r="A112" s="21" t="s">
        <v>37</v>
      </c>
      <c r="B112" s="21"/>
      <c r="C112" s="232" t="s">
        <v>42</v>
      </c>
      <c r="D112" s="233" t="s">
        <v>66</v>
      </c>
      <c r="E112" s="233"/>
      <c r="F112" s="233"/>
      <c r="G112" s="233"/>
      <c r="H112" s="231"/>
      <c r="I112" s="231"/>
      <c r="J112" s="231"/>
      <c r="K112" s="231"/>
      <c r="L112" s="231"/>
      <c r="M112" s="392"/>
      <c r="N112" s="392"/>
      <c r="O112" s="392"/>
      <c r="P112" s="392"/>
      <c r="Q112" s="393"/>
      <c r="R112" s="478"/>
      <c r="S112" s="392"/>
      <c r="T112" s="244">
        <v>0.6</v>
      </c>
      <c r="U112" s="244">
        <v>0.6</v>
      </c>
      <c r="V112" s="244">
        <v>0.6</v>
      </c>
      <c r="W112" s="244">
        <v>0.6</v>
      </c>
      <c r="X112" s="244">
        <v>0.6</v>
      </c>
      <c r="Y112" s="244">
        <v>0.6</v>
      </c>
      <c r="Z112" s="244">
        <v>0.6</v>
      </c>
      <c r="AA112" s="244">
        <v>0.6</v>
      </c>
      <c r="AB112" s="244">
        <v>0.6</v>
      </c>
      <c r="AC112" s="244">
        <v>0.6</v>
      </c>
      <c r="AD112" s="54"/>
    </row>
    <row r="113" spans="1:30" ht="16" x14ac:dyDescent="0.2">
      <c r="A113" s="21" t="s">
        <v>37</v>
      </c>
      <c r="B113" s="21"/>
      <c r="C113" s="232" t="s">
        <v>43</v>
      </c>
      <c r="D113" s="233" t="s">
        <v>64</v>
      </c>
      <c r="E113" s="234">
        <v>0</v>
      </c>
      <c r="F113" s="234">
        <v>0</v>
      </c>
      <c r="G113" s="234">
        <v>0</v>
      </c>
      <c r="H113" s="234">
        <v>0</v>
      </c>
      <c r="I113" s="234">
        <v>0</v>
      </c>
      <c r="J113" s="234">
        <v>0</v>
      </c>
      <c r="K113" s="234">
        <v>0</v>
      </c>
      <c r="L113" s="234">
        <v>0</v>
      </c>
      <c r="M113" s="395"/>
      <c r="N113" s="395"/>
      <c r="O113" s="395"/>
      <c r="P113" s="395"/>
      <c r="Q113" s="396"/>
      <c r="R113" s="480"/>
      <c r="S113" s="395"/>
      <c r="T113" s="239">
        <f t="shared" ref="T113:AC113" si="42">T111*T112</f>
        <v>12000</v>
      </c>
      <c r="U113" s="239">
        <f t="shared" si="42"/>
        <v>14400</v>
      </c>
      <c r="V113" s="239">
        <f t="shared" si="42"/>
        <v>17280</v>
      </c>
      <c r="W113" s="239">
        <f t="shared" si="42"/>
        <v>20736</v>
      </c>
      <c r="X113" s="239">
        <f t="shared" si="42"/>
        <v>24883.200000000001</v>
      </c>
      <c r="Y113" s="239">
        <f t="shared" si="42"/>
        <v>29859.84</v>
      </c>
      <c r="Z113" s="239">
        <f t="shared" si="42"/>
        <v>35831.807999999997</v>
      </c>
      <c r="AA113" s="239">
        <f t="shared" si="42"/>
        <v>42998.169599999994</v>
      </c>
      <c r="AB113" s="239">
        <f t="shared" si="42"/>
        <v>51597.803519999994</v>
      </c>
      <c r="AC113" s="239">
        <f t="shared" si="42"/>
        <v>61917.36422399999</v>
      </c>
      <c r="AD113" s="56"/>
    </row>
    <row r="114" spans="1:30" ht="16" x14ac:dyDescent="0.2">
      <c r="A114" s="21" t="s">
        <v>37</v>
      </c>
      <c r="B114" s="21"/>
      <c r="C114" s="232" t="s">
        <v>54</v>
      </c>
      <c r="D114" s="233"/>
      <c r="E114" s="234"/>
      <c r="F114" s="234"/>
      <c r="G114" s="234"/>
      <c r="H114" s="234"/>
      <c r="I114" s="234"/>
      <c r="J114" s="234"/>
      <c r="K114" s="234"/>
      <c r="L114" s="234"/>
      <c r="M114" s="395"/>
      <c r="N114" s="395"/>
      <c r="O114" s="395"/>
      <c r="P114" s="395"/>
      <c r="Q114" s="396"/>
      <c r="R114" s="480"/>
      <c r="S114" s="395"/>
      <c r="T114" s="409">
        <v>0.9</v>
      </c>
      <c r="U114" s="409">
        <f t="shared" ref="U114:AC114" si="43">T114</f>
        <v>0.9</v>
      </c>
      <c r="V114" s="409">
        <f t="shared" si="43"/>
        <v>0.9</v>
      </c>
      <c r="W114" s="409">
        <f t="shared" si="43"/>
        <v>0.9</v>
      </c>
      <c r="X114" s="409">
        <f t="shared" si="43"/>
        <v>0.9</v>
      </c>
      <c r="Y114" s="409">
        <f t="shared" si="43"/>
        <v>0.9</v>
      </c>
      <c r="Z114" s="409">
        <f t="shared" si="43"/>
        <v>0.9</v>
      </c>
      <c r="AA114" s="409">
        <f t="shared" si="43"/>
        <v>0.9</v>
      </c>
      <c r="AB114" s="409">
        <f t="shared" si="43"/>
        <v>0.9</v>
      </c>
      <c r="AC114" s="409">
        <f t="shared" si="43"/>
        <v>0.9</v>
      </c>
      <c r="AD114" s="56"/>
    </row>
    <row r="115" spans="1:30" ht="16" x14ac:dyDescent="0.2">
      <c r="A115" s="21" t="s">
        <v>37</v>
      </c>
      <c r="B115" s="21"/>
      <c r="C115" s="232" t="s">
        <v>38</v>
      </c>
      <c r="D115" s="233" t="s">
        <v>64</v>
      </c>
      <c r="E115" s="233"/>
      <c r="F115" s="233"/>
      <c r="G115" s="233"/>
      <c r="H115" s="231"/>
      <c r="I115" s="231"/>
      <c r="J115" s="231"/>
      <c r="K115" s="231"/>
      <c r="L115" s="231"/>
      <c r="M115" s="392"/>
      <c r="N115" s="392"/>
      <c r="O115" s="392"/>
      <c r="P115" s="392"/>
      <c r="Q115" s="393"/>
      <c r="R115" s="478"/>
      <c r="S115" s="392"/>
      <c r="T115" s="243">
        <f t="shared" ref="T115:AC115" si="44">T113*T114</f>
        <v>10800</v>
      </c>
      <c r="U115" s="243">
        <f t="shared" si="44"/>
        <v>12960</v>
      </c>
      <c r="V115" s="243">
        <f t="shared" si="44"/>
        <v>15552</v>
      </c>
      <c r="W115" s="243">
        <f t="shared" si="44"/>
        <v>18662.400000000001</v>
      </c>
      <c r="X115" s="243">
        <f t="shared" si="44"/>
        <v>22394.880000000001</v>
      </c>
      <c r="Y115" s="243">
        <f t="shared" si="44"/>
        <v>26873.856</v>
      </c>
      <c r="Z115" s="243">
        <f t="shared" si="44"/>
        <v>32248.627199999999</v>
      </c>
      <c r="AA115" s="243">
        <f t="shared" si="44"/>
        <v>38698.352639999997</v>
      </c>
      <c r="AB115" s="243">
        <f t="shared" si="44"/>
        <v>46438.023167999992</v>
      </c>
      <c r="AC115" s="243">
        <f t="shared" si="44"/>
        <v>55725.627801599992</v>
      </c>
      <c r="AD115" s="60">
        <f>SUM(R115:AC115)</f>
        <v>280353.76680959994</v>
      </c>
    </row>
    <row r="116" spans="1:30" ht="16" x14ac:dyDescent="0.2">
      <c r="A116" s="21" t="s">
        <v>37</v>
      </c>
      <c r="B116" s="21"/>
      <c r="C116" s="232" t="s">
        <v>39</v>
      </c>
      <c r="D116" s="233" t="s">
        <v>64</v>
      </c>
      <c r="E116" s="233"/>
      <c r="F116" s="233"/>
      <c r="G116" s="233"/>
      <c r="H116" s="231"/>
      <c r="I116" s="231"/>
      <c r="J116" s="231"/>
      <c r="K116" s="231"/>
      <c r="L116" s="231"/>
      <c r="M116" s="239"/>
      <c r="N116" s="239"/>
      <c r="O116" s="239"/>
      <c r="P116" s="239"/>
      <c r="Q116" s="257"/>
      <c r="R116" s="466"/>
      <c r="S116" s="239"/>
      <c r="T116" s="239">
        <f t="shared" ref="T116:AC116" si="45">S116+T115</f>
        <v>10800</v>
      </c>
      <c r="U116" s="239">
        <f t="shared" si="45"/>
        <v>23760</v>
      </c>
      <c r="V116" s="239">
        <f t="shared" si="45"/>
        <v>39312</v>
      </c>
      <c r="W116" s="239">
        <f t="shared" si="45"/>
        <v>57974.400000000001</v>
      </c>
      <c r="X116" s="239">
        <f t="shared" si="45"/>
        <v>80369.279999999999</v>
      </c>
      <c r="Y116" s="239">
        <f t="shared" si="45"/>
        <v>107243.136</v>
      </c>
      <c r="Z116" s="239">
        <f t="shared" si="45"/>
        <v>139491.76319999999</v>
      </c>
      <c r="AA116" s="239">
        <f t="shared" si="45"/>
        <v>178190.11583999998</v>
      </c>
      <c r="AB116" s="239">
        <f t="shared" si="45"/>
        <v>224628.13900799997</v>
      </c>
      <c r="AC116" s="239">
        <f t="shared" si="45"/>
        <v>280353.76680959994</v>
      </c>
      <c r="AD116" s="58">
        <f>AC116</f>
        <v>280353.76680959994</v>
      </c>
    </row>
    <row r="117" spans="1:30" ht="16" x14ac:dyDescent="0.2">
      <c r="A117" s="21" t="s">
        <v>37</v>
      </c>
      <c r="B117" s="21"/>
      <c r="C117" s="232" t="s">
        <v>45</v>
      </c>
      <c r="D117" s="233"/>
      <c r="E117" s="233"/>
      <c r="F117" s="233"/>
      <c r="G117" s="233"/>
      <c r="H117" s="231"/>
      <c r="I117" s="231"/>
      <c r="J117" s="231"/>
      <c r="K117" s="231"/>
      <c r="L117" s="231"/>
      <c r="M117" s="239"/>
      <c r="N117" s="239"/>
      <c r="O117" s="239"/>
      <c r="P117" s="239"/>
      <c r="Q117" s="257"/>
      <c r="R117" s="466"/>
      <c r="S117" s="239"/>
      <c r="T117" s="409">
        <v>0.8</v>
      </c>
      <c r="U117" s="409">
        <f>T117*90%</f>
        <v>0.72000000000000008</v>
      </c>
      <c r="V117" s="409">
        <f>U117*90%</f>
        <v>0.64800000000000013</v>
      </c>
      <c r="W117" s="409">
        <f>V117*90%</f>
        <v>0.58320000000000016</v>
      </c>
      <c r="X117" s="409">
        <f t="shared" ref="X117:AC117" si="46">W117</f>
        <v>0.58320000000000016</v>
      </c>
      <c r="Y117" s="409">
        <f t="shared" si="46"/>
        <v>0.58320000000000016</v>
      </c>
      <c r="Z117" s="409">
        <f t="shared" si="46"/>
        <v>0.58320000000000016</v>
      </c>
      <c r="AA117" s="409">
        <f t="shared" si="46"/>
        <v>0.58320000000000016</v>
      </c>
      <c r="AB117" s="409">
        <f t="shared" si="46"/>
        <v>0.58320000000000016</v>
      </c>
      <c r="AC117" s="409">
        <f t="shared" si="46"/>
        <v>0.58320000000000016</v>
      </c>
      <c r="AD117" s="59">
        <f>AC117</f>
        <v>0.58320000000000016</v>
      </c>
    </row>
    <row r="118" spans="1:30" ht="16" x14ac:dyDescent="0.2">
      <c r="A118" s="21" t="s">
        <v>37</v>
      </c>
      <c r="B118" s="21"/>
      <c r="C118" s="232" t="s">
        <v>40</v>
      </c>
      <c r="D118" s="233" t="s">
        <v>64</v>
      </c>
      <c r="E118" s="233"/>
      <c r="F118" s="233"/>
      <c r="G118" s="233"/>
      <c r="H118" s="231"/>
      <c r="I118" s="231"/>
      <c r="J118" s="231"/>
      <c r="K118" s="231"/>
      <c r="L118" s="231"/>
      <c r="M118" s="387"/>
      <c r="N118" s="387"/>
      <c r="O118" s="387"/>
      <c r="P118" s="387"/>
      <c r="Q118" s="495"/>
      <c r="R118" s="496"/>
      <c r="S118" s="387"/>
      <c r="T118" s="239">
        <f t="shared" ref="T118:AC118" si="47">T116*T117</f>
        <v>8640</v>
      </c>
      <c r="U118" s="239">
        <f t="shared" si="47"/>
        <v>17107.2</v>
      </c>
      <c r="V118" s="239">
        <f t="shared" si="47"/>
        <v>25474.176000000007</v>
      </c>
      <c r="W118" s="239">
        <f t="shared" si="47"/>
        <v>33810.670080000011</v>
      </c>
      <c r="X118" s="239">
        <f t="shared" si="47"/>
        <v>46871.364096000012</v>
      </c>
      <c r="Y118" s="239">
        <f t="shared" si="47"/>
        <v>62544.196915200017</v>
      </c>
      <c r="Z118" s="239">
        <f t="shared" si="47"/>
        <v>81351.596298240009</v>
      </c>
      <c r="AA118" s="239">
        <f t="shared" si="47"/>
        <v>103920.47555788801</v>
      </c>
      <c r="AB118" s="239">
        <f t="shared" si="47"/>
        <v>131003.13066946562</v>
      </c>
      <c r="AC118" s="239">
        <f t="shared" si="47"/>
        <v>163502.31680335873</v>
      </c>
      <c r="AD118" s="58">
        <f>AC118</f>
        <v>163502.31680335873</v>
      </c>
    </row>
    <row r="119" spans="1:30" ht="16" x14ac:dyDescent="0.2">
      <c r="A119" s="21" t="s">
        <v>37</v>
      </c>
      <c r="B119" s="21"/>
      <c r="C119" s="232" t="s">
        <v>55</v>
      </c>
      <c r="D119" s="233" t="s">
        <v>74</v>
      </c>
      <c r="E119" s="234"/>
      <c r="F119" s="234"/>
      <c r="G119" s="234"/>
      <c r="H119" s="234"/>
      <c r="I119" s="234"/>
      <c r="J119" s="234"/>
      <c r="K119" s="234"/>
      <c r="L119" s="234"/>
      <c r="M119" s="392"/>
      <c r="N119" s="392"/>
      <c r="O119" s="392"/>
      <c r="P119" s="392"/>
      <c r="Q119" s="393"/>
      <c r="R119" s="478"/>
      <c r="S119" s="392"/>
      <c r="T119" s="243">
        <f t="shared" ref="T119:AC119" si="48">T118*T120</f>
        <v>25920</v>
      </c>
      <c r="U119" s="243">
        <f t="shared" si="48"/>
        <v>51321.600000000006</v>
      </c>
      <c r="V119" s="243">
        <f t="shared" si="48"/>
        <v>76422.52800000002</v>
      </c>
      <c r="W119" s="243">
        <f t="shared" si="48"/>
        <v>101432.01024000003</v>
      </c>
      <c r="X119" s="243">
        <f t="shared" si="48"/>
        <v>140614.09228800004</v>
      </c>
      <c r="Y119" s="243">
        <f t="shared" si="48"/>
        <v>187632.59074560006</v>
      </c>
      <c r="Z119" s="243">
        <f t="shared" si="48"/>
        <v>244054.78889472003</v>
      </c>
      <c r="AA119" s="243">
        <f t="shared" si="48"/>
        <v>311761.42667366401</v>
      </c>
      <c r="AB119" s="243">
        <f t="shared" si="48"/>
        <v>393009.39200839686</v>
      </c>
      <c r="AC119" s="243">
        <f t="shared" si="48"/>
        <v>490506.95041007618</v>
      </c>
      <c r="AD119" s="60">
        <f>SUM(R119:AC119)</f>
        <v>2022675.3792604574</v>
      </c>
    </row>
    <row r="120" spans="1:30" ht="17" thickBot="1" x14ac:dyDescent="0.25">
      <c r="A120" s="21" t="s">
        <v>37</v>
      </c>
      <c r="B120" s="21"/>
      <c r="C120" s="410" t="s">
        <v>46</v>
      </c>
      <c r="D120" s="411" t="s">
        <v>74</v>
      </c>
      <c r="E120" s="411"/>
      <c r="F120" s="411"/>
      <c r="G120" s="411"/>
      <c r="H120" s="412"/>
      <c r="I120" s="412"/>
      <c r="J120" s="412"/>
      <c r="K120" s="412"/>
      <c r="L120" s="412"/>
      <c r="M120" s="413"/>
      <c r="N120" s="413"/>
      <c r="O120" s="413"/>
      <c r="P120" s="413"/>
      <c r="Q120" s="414"/>
      <c r="R120" s="503"/>
      <c r="S120" s="504"/>
      <c r="T120" s="505">
        <v>3</v>
      </c>
      <c r="U120" s="505">
        <f t="shared" ref="U120:AC120" si="49">T120</f>
        <v>3</v>
      </c>
      <c r="V120" s="505">
        <f t="shared" si="49"/>
        <v>3</v>
      </c>
      <c r="W120" s="505">
        <f t="shared" si="49"/>
        <v>3</v>
      </c>
      <c r="X120" s="505">
        <f t="shared" si="49"/>
        <v>3</v>
      </c>
      <c r="Y120" s="505">
        <f t="shared" si="49"/>
        <v>3</v>
      </c>
      <c r="Z120" s="505">
        <f t="shared" si="49"/>
        <v>3</v>
      </c>
      <c r="AA120" s="505">
        <f t="shared" si="49"/>
        <v>3</v>
      </c>
      <c r="AB120" s="505">
        <f t="shared" si="49"/>
        <v>3</v>
      </c>
      <c r="AC120" s="505">
        <f t="shared" si="49"/>
        <v>3</v>
      </c>
      <c r="AD120" s="61"/>
    </row>
    <row r="121" spans="1:30" ht="16" x14ac:dyDescent="0.2">
      <c r="C121" s="260"/>
      <c r="D121" s="260"/>
      <c r="E121" s="260"/>
      <c r="F121" s="260"/>
      <c r="G121" s="260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</row>
    <row r="122" spans="1:30" ht="16" x14ac:dyDescent="0.2">
      <c r="C122" s="260"/>
      <c r="D122" s="260"/>
      <c r="E122" s="260"/>
      <c r="F122" s="260"/>
      <c r="G122" s="260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</row>
    <row r="123" spans="1:30" ht="16" x14ac:dyDescent="0.2">
      <c r="C123" s="260"/>
      <c r="D123" s="260"/>
      <c r="E123" s="260"/>
      <c r="F123" s="260"/>
      <c r="G123" s="260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</row>
    <row r="124" spans="1:30" ht="16" x14ac:dyDescent="0.2">
      <c r="C124" s="2"/>
      <c r="D124" s="2"/>
      <c r="E124" s="2"/>
      <c r="F124" s="2"/>
      <c r="G124" s="2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</row>
    <row r="125" spans="1:30" ht="16" x14ac:dyDescent="0.2">
      <c r="C125" s="260"/>
      <c r="D125" s="260"/>
      <c r="E125" s="260"/>
      <c r="F125" s="260"/>
      <c r="G125" s="260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</row>
  </sheetData>
  <autoFilter ref="A3:AD120" xr:uid="{91F5F2C3-FC09-4200-A9F5-C11B48A1A7A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Plan 2026 - fin v4</vt:lpstr>
      <vt:lpstr>Break by BD</vt:lpstr>
      <vt:lpstr>Chị Ngân Cake CL</vt:lpstr>
      <vt:lpstr>Chị Ngân (Cake Payday)</vt:lpstr>
      <vt:lpstr>Chị Ngân</vt:lpstr>
      <vt:lpstr>2H1G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Hồ Đình Đạm (Head of Lending Product)</cp:lastModifiedBy>
  <cp:revision/>
  <dcterms:created xsi:type="dcterms:W3CDTF">2025-09-18T08:03:20Z</dcterms:created>
  <dcterms:modified xsi:type="dcterms:W3CDTF">2026-05-14T10:24:08Z</dcterms:modified>
  <cp:category/>
  <cp:contentStatus/>
</cp:coreProperties>
</file>