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.ho/Desktop/Work/Analytics/"/>
    </mc:Choice>
  </mc:AlternateContent>
  <xr:revisionPtr revIDLastSave="0" documentId="13_ncr:101_{C77383C6-C539-954B-B2EE-C298C780F084}" xr6:coauthVersionLast="47" xr6:coauthVersionMax="47" xr10:uidLastSave="{00000000-0000-0000-0000-000000000000}"/>
  <bookViews>
    <workbookView xWindow="680" yWindow="740" windowWidth="28040" windowHeight="17260" xr2:uid="{4D3E1BA0-6D32-2C47-B49B-6FC9028BD4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7" i="1"/>
  <c r="C21" i="1"/>
  <c r="C20" i="1"/>
  <c r="C18" i="1"/>
  <c r="C11" i="1"/>
  <c r="C8" i="1"/>
  <c r="C15" i="1" l="1"/>
  <c r="C17" i="1"/>
  <c r="C19" i="1" s="1"/>
  <c r="C22" i="1" s="1"/>
</calcChain>
</file>

<file path=xl/sharedStrings.xml><?xml version="1.0" encoding="utf-8"?>
<sst xmlns="http://schemas.openxmlformats.org/spreadsheetml/2006/main" count="20" uniqueCount="20">
  <si>
    <t>Lãi suất/năm (dư nợ giảm dần)</t>
  </si>
  <si>
    <t>% Chi phí vốn (dư nợ giảm dần)</t>
  </si>
  <si>
    <t>% Chi phí rủi ro</t>
  </si>
  <si>
    <t>Hạn mức trung bình</t>
  </si>
  <si>
    <t>Kỳ hạn trung bình</t>
  </si>
  <si>
    <t>% Doanh thu lãi (dư nợ gốc)</t>
  </si>
  <si>
    <t>% Doanh thu phí (dư nợ gốc)</t>
  </si>
  <si>
    <t>% Chi phí rủi ro (gốc)</t>
  </si>
  <si>
    <t>% Chi phí rủi ro (lãi)</t>
  </si>
  <si>
    <t>% Chi phí vốn (dư nợ gốc)</t>
  </si>
  <si>
    <t>% Chi phí UW + Collection</t>
  </si>
  <si>
    <t>% Fixed cost</t>
  </si>
  <si>
    <t>% Lợi nhuận</t>
  </si>
  <si>
    <t>TOI</t>
  </si>
  <si>
    <t>Risk</t>
  </si>
  <si>
    <t>(TOI - RISK) before sharing</t>
  </si>
  <si>
    <t>UW + COLL + FIXED COST</t>
  </si>
  <si>
    <t>PBT</t>
  </si>
  <si>
    <t>% Chi phí acquisition (trả cho ZLP)</t>
  </si>
  <si>
    <t>Share to partner (trả cho ZLP)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</si>
</sst>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11"/>
      <color rgb="FF4EA72E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i/>
      <sz val="11"/>
      <color rgb="FFFF0000"/>
      <name val="Arial"/>
      <family val="2"/>
    </font>
    <font>
      <b/>
      <sz val="9"/>
      <color rgb="FFFF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9"/>
      <name val="Arial"/>
      <family val="2"/>
    </font>
    <font>
      <b/>
      <sz val="12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0" fontId="1" fillId="0" borderId="0" xfId="0" applyNumberFormat="1" applyFont="1"/>
    <xf numFmtId="3" fontId="1" fillId="0" borderId="0" xfId="0" applyNumberFormat="1" applyFont="1" applyAlignment="1">
      <alignment horizontal="right"/>
    </xf>
    <xf numFmtId="10" fontId="2" fillId="0" borderId="0" xfId="0" applyNumberFormat="1" applyFont="1"/>
    <xf numFmtId="10" fontId="3" fillId="0" borderId="0" xfId="0" applyNumberFormat="1" applyFont="1"/>
    <xf numFmtId="0" fontId="4" fillId="0" borderId="0" xfId="0" applyFont="1"/>
    <xf numFmtId="10" fontId="5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  <xf numFmtId="10" fontId="8" fillId="0" borderId="0" xfId="0" applyNumberFormat="1" applyFont="1"/>
    <xf numFmtId="0" fontId="9" fillId="0" borderId="0" xfId="0" applyFont="1"/>
    <xf numFmtId="10" fontId="9" fillId="0" borderId="0" xfId="0" applyNumberFormat="1" applyFont="1"/>
    <xf numFmtId="10" fontId="10" fillId="0" borderId="0" xfId="0" applyNumberFormat="1" applyFont="1"/>
    <xf numFmtId="10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BE9D-C236-5244-8A1C-574D8BD05CAB}">
  <dimension ref="B2:C22"/>
  <sheetViews>
    <sheetView tabSelected="1" workbookViewId="0">
      <selection activeCell="E20" sqref="E20"/>
    </sheetView>
  </sheetViews>
  <sheetFormatPr baseColWidth="10" defaultRowHeight="16" x14ac:dyDescent="0.2"/>
  <cols>
    <col min="2" max="2" width="29.5" bestFit="1" customWidth="1"/>
    <col min="3" max="3" width="14.1640625" customWidth="1"/>
  </cols>
  <sheetData>
    <row r="2" spans="2:3" x14ac:dyDescent="0.2">
      <c r="B2" s="1" t="s">
        <v>0</v>
      </c>
      <c r="C2" s="2">
        <v>0.52</v>
      </c>
    </row>
    <row r="3" spans="2:3" x14ac:dyDescent="0.2">
      <c r="B3" s="1" t="s">
        <v>1</v>
      </c>
      <c r="C3" s="2">
        <v>7.4999999999999997E-2</v>
      </c>
    </row>
    <row r="4" spans="2:3" x14ac:dyDescent="0.2">
      <c r="B4" s="1" t="s">
        <v>2</v>
      </c>
      <c r="C4" s="2">
        <v>0.18</v>
      </c>
    </row>
    <row r="5" spans="2:3" x14ac:dyDescent="0.2">
      <c r="B5" s="1" t="s">
        <v>3</v>
      </c>
      <c r="C5" s="3">
        <v>10000000</v>
      </c>
    </row>
    <row r="6" spans="2:3" x14ac:dyDescent="0.2">
      <c r="B6" s="1" t="s">
        <v>4</v>
      </c>
      <c r="C6" s="1">
        <v>14</v>
      </c>
    </row>
    <row r="7" spans="2:3" x14ac:dyDescent="0.2">
      <c r="B7" s="1" t="s">
        <v>5</v>
      </c>
      <c r="C7" s="4">
        <f>C2/12*C6/(1-(1+C2/12)^(-C6))-1</f>
        <v>0.3546962315653952</v>
      </c>
    </row>
    <row r="8" spans="2:3" x14ac:dyDescent="0.2">
      <c r="B8" s="1" t="s">
        <v>6</v>
      </c>
      <c r="C8" s="14">
        <f>7%*50%*86%</f>
        <v>3.0100000000000002E-2</v>
      </c>
    </row>
    <row r="9" spans="2:3" x14ac:dyDescent="0.2">
      <c r="B9" s="6" t="s">
        <v>7</v>
      </c>
      <c r="C9" s="7">
        <v>0.15</v>
      </c>
    </row>
    <row r="10" spans="2:3" x14ac:dyDescent="0.2">
      <c r="B10" s="6" t="s">
        <v>8</v>
      </c>
      <c r="C10" s="7">
        <f>C9*(C7+C8)</f>
        <v>5.7719434734809283E-2</v>
      </c>
    </row>
    <row r="11" spans="2:3" x14ac:dyDescent="0.2">
      <c r="B11" s="6" t="s">
        <v>9</v>
      </c>
      <c r="C11" s="5">
        <f>C3/12*C6/(1-(1+C3/12)^(-C6))-1</f>
        <v>4.7507709569361012E-2</v>
      </c>
    </row>
    <row r="12" spans="2:3" x14ac:dyDescent="0.2">
      <c r="B12" s="6" t="s">
        <v>18</v>
      </c>
      <c r="C12" s="5">
        <v>0.03</v>
      </c>
    </row>
    <row r="13" spans="2:3" x14ac:dyDescent="0.2">
      <c r="B13" s="6" t="s">
        <v>10</v>
      </c>
      <c r="C13" s="5">
        <v>0.01</v>
      </c>
    </row>
    <row r="14" spans="2:3" x14ac:dyDescent="0.2">
      <c r="B14" s="6" t="s">
        <v>11</v>
      </c>
      <c r="C14" s="5">
        <v>3.3000000000000002E-2</v>
      </c>
    </row>
    <row r="15" spans="2:3" x14ac:dyDescent="0.2">
      <c r="B15" s="1" t="s">
        <v>12</v>
      </c>
      <c r="C15" s="2">
        <f>C7+C8-SUM(C9:C14)</f>
        <v>5.6569087261224893E-2</v>
      </c>
    </row>
    <row r="16" spans="2:3" x14ac:dyDescent="0.2">
      <c r="B16" s="8"/>
      <c r="C16" s="9"/>
    </row>
    <row r="17" spans="2:3" x14ac:dyDescent="0.2">
      <c r="B17" s="10" t="s">
        <v>13</v>
      </c>
      <c r="C17" s="11">
        <f>C7+C8-C10-C11</f>
        <v>0.27956908726122492</v>
      </c>
    </row>
    <row r="18" spans="2:3" x14ac:dyDescent="0.2">
      <c r="B18" s="10" t="s">
        <v>14</v>
      </c>
      <c r="C18" s="11">
        <f>C9</f>
        <v>0.15</v>
      </c>
    </row>
    <row r="19" spans="2:3" x14ac:dyDescent="0.2">
      <c r="B19" s="10" t="s">
        <v>15</v>
      </c>
      <c r="C19" s="11">
        <f>C17-C18</f>
        <v>0.12956908726122493</v>
      </c>
    </row>
    <row r="20" spans="2:3" x14ac:dyDescent="0.2">
      <c r="B20" s="12" t="s">
        <v>19</v>
      </c>
      <c r="C20" s="13">
        <f>C12</f>
        <v>0.03</v>
      </c>
    </row>
    <row r="21" spans="2:3" x14ac:dyDescent="0.2">
      <c r="B21" s="10" t="s">
        <v>16</v>
      </c>
      <c r="C21" s="11">
        <f>C13+C14</f>
        <v>4.3000000000000003E-2</v>
      </c>
    </row>
    <row r="22" spans="2:3" x14ac:dyDescent="0.2">
      <c r="B22" s="10" t="s">
        <v>17</v>
      </c>
      <c r="C22" s="15">
        <f>C19-C20-C21</f>
        <v>5.6569087261224928E-2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Đình Đạm (Head of Lending Product)</dc:creator>
  <cp:lastModifiedBy>Hồ Đình Đạm (Head of Lending Product)</cp:lastModifiedBy>
  <dcterms:created xsi:type="dcterms:W3CDTF">2026-04-07T04:04:58Z</dcterms:created>
  <dcterms:modified xsi:type="dcterms:W3CDTF">2026-04-07T04:37:15Z</dcterms:modified>
</cp:coreProperties>
</file>