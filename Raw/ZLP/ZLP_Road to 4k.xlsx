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"/>
    </mc:Choice>
  </mc:AlternateContent>
  <xr:revisionPtr revIDLastSave="0" documentId="13_ncr:101_{522DD933-B8FC-F441-ACCD-2614EF0E1E26}" xr6:coauthVersionLast="47" xr6:coauthVersionMax="47" xr10:uidLastSave="{00000000-0000-0000-0000-000000000000}"/>
  <bookViews>
    <workbookView xWindow="1080" yWindow="1240" windowWidth="27640" windowHeight="16760" xr2:uid="{50F57805-03AB-0B4D-947B-C22B65AD7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C84" i="1"/>
  <c r="B84" i="1"/>
  <c r="D74" i="1"/>
  <c r="C74" i="1"/>
  <c r="B74" i="1"/>
  <c r="D64" i="1"/>
  <c r="C64" i="1"/>
  <c r="B64" i="1"/>
  <c r="G63" i="1"/>
  <c r="F59" i="1"/>
  <c r="G57" i="1"/>
  <c r="G55" i="1"/>
  <c r="F55" i="1"/>
  <c r="E55" i="1"/>
  <c r="D52" i="1"/>
  <c r="C52" i="1"/>
  <c r="B52" i="1"/>
  <c r="G46" i="1"/>
  <c r="G45" i="1"/>
  <c r="H45" i="1" s="1"/>
  <c r="H44" i="1"/>
  <c r="H42" i="1"/>
  <c r="D42" i="1"/>
  <c r="C38" i="1"/>
  <c r="B38" i="1"/>
  <c r="D35" i="1"/>
  <c r="C35" i="1"/>
  <c r="B35" i="1"/>
  <c r="E34" i="1"/>
  <c r="D33" i="1"/>
  <c r="E33" i="1" s="1"/>
  <c r="C33" i="1"/>
  <c r="B33" i="1"/>
  <c r="K14" i="1"/>
  <c r="J14" i="1"/>
  <c r="I14" i="1"/>
  <c r="H14" i="1"/>
  <c r="G14" i="1"/>
  <c r="F14" i="1"/>
  <c r="E14" i="1"/>
  <c r="D14" i="1"/>
  <c r="B14" i="1"/>
  <c r="I11" i="1"/>
  <c r="H11" i="1"/>
  <c r="G11" i="1"/>
  <c r="F11" i="1"/>
  <c r="E11" i="1"/>
  <c r="D11" i="1"/>
  <c r="C11" i="1"/>
  <c r="B11" i="1"/>
  <c r="A11" i="1"/>
  <c r="L9" i="1"/>
  <c r="K9" i="1"/>
  <c r="J9" i="1"/>
  <c r="I9" i="1"/>
  <c r="H9" i="1"/>
  <c r="G9" i="1"/>
  <c r="F9" i="1"/>
  <c r="E9" i="1"/>
  <c r="L8" i="1"/>
  <c r="K8" i="1"/>
  <c r="J8" i="1"/>
  <c r="I8" i="1"/>
  <c r="H8" i="1"/>
  <c r="G8" i="1"/>
  <c r="F8" i="1"/>
  <c r="E8" i="1"/>
  <c r="L6" i="1"/>
  <c r="K6" i="1"/>
  <c r="J6" i="1"/>
  <c r="I6" i="1"/>
  <c r="H6" i="1"/>
  <c r="G6" i="1"/>
  <c r="F6" i="1"/>
  <c r="E6" i="1"/>
  <c r="D6" i="1"/>
  <c r="D8" i="1" s="1"/>
  <c r="C6" i="1"/>
  <c r="C8" i="1" s="1"/>
  <c r="B6" i="1"/>
  <c r="B8" i="1" s="1"/>
  <c r="L4" i="1"/>
  <c r="K4" i="1"/>
  <c r="J4" i="1"/>
  <c r="I4" i="1"/>
  <c r="I7" i="1" s="1"/>
  <c r="H4" i="1"/>
  <c r="H7" i="1" s="1"/>
  <c r="G4" i="1"/>
  <c r="G7" i="1" s="1"/>
  <c r="F4" i="1"/>
  <c r="F7" i="1" s="1"/>
  <c r="E4" i="1"/>
  <c r="E7" i="1" s="1"/>
  <c r="D4" i="1"/>
  <c r="D7" i="1" s="1"/>
  <c r="C4" i="1"/>
  <c r="C7" i="1" s="1"/>
  <c r="B4" i="1"/>
  <c r="B7" i="1" s="1"/>
  <c r="H47" i="1" l="1"/>
  <c r="H43" i="1"/>
  <c r="H46" i="1" s="1"/>
  <c r="F42" i="1"/>
  <c r="F48" i="1" s="1"/>
  <c r="I42" i="1"/>
  <c r="D38" i="1"/>
  <c r="E35" i="1"/>
  <c r="I43" i="1" l="1"/>
  <c r="I44" i="1"/>
  <c r="K44" i="1" s="1"/>
  <c r="I45" i="1"/>
  <c r="K45" i="1" s="1"/>
  <c r="K42" i="1"/>
  <c r="I47" i="1"/>
  <c r="K47" i="1" s="1"/>
  <c r="K43" i="1" l="1"/>
  <c r="I46" i="1"/>
  <c r="K46" i="1" s="1"/>
  <c r="G56" i="1"/>
  <c r="H56" i="1"/>
  <c r="H70" i="1" s="1"/>
  <c r="I56" i="1"/>
  <c r="I70" i="1" s="1"/>
  <c r="J56" i="1"/>
  <c r="J70" i="1" s="1"/>
  <c r="K56" i="1"/>
  <c r="K70" i="1" s="1"/>
  <c r="L56" i="1"/>
  <c r="L70" i="1" s="1"/>
  <c r="M56" i="1"/>
  <c r="M70" i="1" s="1"/>
  <c r="F58" i="1"/>
  <c r="G58" i="1"/>
  <c r="G71" i="1" s="1"/>
  <c r="H58" i="1"/>
  <c r="H71" i="1" s="1"/>
  <c r="I58" i="1"/>
  <c r="I71" i="1" s="1"/>
  <c r="J58" i="1"/>
  <c r="J71" i="1" s="1"/>
  <c r="K58" i="1"/>
  <c r="K71" i="1" s="1"/>
  <c r="L58" i="1"/>
  <c r="L71" i="1" s="1"/>
  <c r="M58" i="1"/>
  <c r="M71" i="1" s="1"/>
  <c r="K48" i="1"/>
  <c r="E52" i="1"/>
  <c r="F52" i="1"/>
  <c r="G52" i="1"/>
  <c r="H52" i="1"/>
  <c r="I52" i="1"/>
  <c r="J52" i="1"/>
  <c r="K52" i="1"/>
  <c r="L52" i="1"/>
  <c r="M52" i="1"/>
  <c r="G62" i="1"/>
  <c r="H62" i="1"/>
  <c r="H73" i="1" s="1"/>
  <c r="I62" i="1"/>
  <c r="I73" i="1" s="1"/>
  <c r="J62" i="1"/>
  <c r="J73" i="1" s="1"/>
  <c r="K62" i="1"/>
  <c r="K73" i="1" s="1"/>
  <c r="L62" i="1"/>
  <c r="L73" i="1" s="1"/>
  <c r="M62" i="1"/>
  <c r="M73" i="1" s="1"/>
  <c r="E54" i="1" l="1"/>
  <c r="F54" i="1"/>
  <c r="F69" i="1" s="1"/>
  <c r="G54" i="1"/>
  <c r="G69" i="1" s="1"/>
  <c r="H54" i="1"/>
  <c r="H69" i="1" s="1"/>
  <c r="I54" i="1"/>
  <c r="I69" i="1" s="1"/>
  <c r="J54" i="1"/>
  <c r="J69" i="1" s="1"/>
  <c r="K54" i="1"/>
  <c r="K69" i="1" s="1"/>
  <c r="L54" i="1"/>
  <c r="M54" i="1"/>
  <c r="M69" i="1" s="1"/>
  <c r="G60" i="1"/>
  <c r="H60" i="1"/>
  <c r="H72" i="1" s="1"/>
  <c r="I60" i="1"/>
  <c r="I72" i="1" s="1"/>
  <c r="J60" i="1"/>
  <c r="J72" i="1" s="1"/>
  <c r="K60" i="1"/>
  <c r="K72" i="1" s="1"/>
  <c r="L60" i="1"/>
  <c r="L72" i="1" s="1"/>
  <c r="M60" i="1"/>
  <c r="N56" i="1"/>
  <c r="G70" i="1"/>
  <c r="N58" i="1"/>
  <c r="F71" i="1"/>
  <c r="N52" i="1"/>
  <c r="E64" i="1"/>
  <c r="E68" i="1"/>
  <c r="F64" i="1"/>
  <c r="F68" i="1"/>
  <c r="G64" i="1"/>
  <c r="G68" i="1"/>
  <c r="H64" i="1"/>
  <c r="H68" i="1"/>
  <c r="I64" i="1"/>
  <c r="I68" i="1"/>
  <c r="J64" i="1"/>
  <c r="J68" i="1"/>
  <c r="K64" i="1"/>
  <c r="K68" i="1"/>
  <c r="L68" i="1"/>
  <c r="M68" i="1"/>
  <c r="N62" i="1"/>
  <c r="G73" i="1"/>
  <c r="N54" i="1" l="1"/>
  <c r="E69" i="1"/>
  <c r="N60" i="1"/>
  <c r="G72" i="1"/>
  <c r="N70" i="1"/>
  <c r="N71" i="1"/>
  <c r="N68" i="1"/>
  <c r="E74" i="1"/>
  <c r="E78" i="1"/>
  <c r="F74" i="1"/>
  <c r="F78" i="1"/>
  <c r="G74" i="1"/>
  <c r="G78" i="1"/>
  <c r="H74" i="1"/>
  <c r="H78" i="1"/>
  <c r="I74" i="1"/>
  <c r="I78" i="1"/>
  <c r="J74" i="1"/>
  <c r="J78" i="1"/>
  <c r="K74" i="1"/>
  <c r="K78" i="1"/>
  <c r="L74" i="1"/>
  <c r="L78" i="1"/>
  <c r="M74" i="1"/>
  <c r="M78" i="1"/>
  <c r="N73" i="1"/>
  <c r="L69" i="1"/>
  <c r="L64" i="1"/>
  <c r="N64" i="1" s="1"/>
  <c r="M72" i="1"/>
  <c r="M64" i="1"/>
  <c r="N69" i="1" l="1"/>
  <c r="E79" i="1"/>
  <c r="N72" i="1"/>
  <c r="N78" i="1"/>
  <c r="F79" i="1"/>
  <c r="G79" i="1"/>
  <c r="G80" i="1" s="1"/>
  <c r="H79" i="1"/>
  <c r="I79" i="1"/>
  <c r="I80" i="1" s="1"/>
  <c r="J79" i="1"/>
  <c r="J80" i="1" s="1"/>
  <c r="J81" i="1" s="1"/>
  <c r="J82" i="1" s="1"/>
  <c r="K79" i="1"/>
  <c r="L79" i="1"/>
  <c r="M79" i="1"/>
  <c r="N74" i="1"/>
  <c r="N79" i="1" l="1"/>
  <c r="E80" i="1"/>
  <c r="F80" i="1"/>
  <c r="F81" i="1" s="1"/>
  <c r="F82" i="1" s="1"/>
  <c r="F83" i="1" s="1"/>
  <c r="F84" i="1"/>
  <c r="G81" i="1"/>
  <c r="G82" i="1" s="1"/>
  <c r="H80" i="1"/>
  <c r="H81" i="1" s="1"/>
  <c r="H82" i="1" s="1"/>
  <c r="H83" i="1" s="1"/>
  <c r="H84" i="1"/>
  <c r="I81" i="1"/>
  <c r="I82" i="1" s="1"/>
  <c r="I83" i="1" s="1"/>
  <c r="I84" i="1"/>
  <c r="J83" i="1"/>
  <c r="J84" i="1"/>
  <c r="K80" i="1"/>
  <c r="K81" i="1" s="1"/>
  <c r="K82" i="1" s="1"/>
  <c r="K83" i="1" s="1"/>
  <c r="K84" i="1"/>
  <c r="L80" i="1"/>
  <c r="L81" i="1" s="1"/>
  <c r="L82" i="1" s="1"/>
  <c r="L83" i="1" s="1"/>
  <c r="L84" i="1"/>
  <c r="M80" i="1"/>
  <c r="M81" i="1" s="1"/>
  <c r="M82" i="1" s="1"/>
  <c r="M83" i="1" s="1"/>
  <c r="M84" i="1"/>
  <c r="N80" i="1" l="1"/>
  <c r="E81" i="1"/>
  <c r="G83" i="1"/>
  <c r="G84" i="1"/>
  <c r="N81" i="1" l="1"/>
  <c r="E82" i="1"/>
  <c r="E83" i="1" l="1"/>
  <c r="N82" i="1"/>
  <c r="E84" i="1" l="1"/>
  <c r="N84" i="1" s="1"/>
  <c r="N83" i="1"/>
</calcChain>
</file>

<file path=xl/sharedStrings.xml><?xml version="1.0" encoding="utf-8"?>
<sst xmlns="http://schemas.openxmlformats.org/spreadsheetml/2006/main" count="100" uniqueCount="59">
  <si>
    <t>Month</t>
  </si>
  <si>
    <t>Volume</t>
  </si>
  <si>
    <t>% Commission</t>
  </si>
  <si>
    <t>Fixed commission</t>
  </si>
  <si>
    <t>% Risk bonus</t>
  </si>
  <si>
    <t>Risk bonus</t>
  </si>
  <si>
    <t>% total</t>
  </si>
  <si>
    <t>Chưa có</t>
  </si>
  <si>
    <t>Total</t>
  </si>
  <si>
    <t>Tháng quan sát DPD30+MPB3</t>
  </si>
  <si>
    <t>%DPD30+MOB3</t>
  </si>
  <si>
    <t>Comment</t>
  </si>
  <si>
    <t>Tháng đầu chạy</t>
  </si>
  <si>
    <t>Ổn định - max</t>
  </si>
  <si>
    <t>Tháng hạ cutoff từ 500 xuống 450</t>
  </si>
  <si>
    <t>Profit before allocation cost</t>
  </si>
  <si>
    <t>API</t>
  </si>
  <si>
    <t>I. 2025</t>
  </si>
  <si>
    <t>II. 2026 - Before optimization</t>
  </si>
  <si>
    <t>III. 2026 - after optimization (from 24/3)
- Dedup rules
- Offer for repeated/upsell/xsell
- eKYC enhancement</t>
  </si>
  <si>
    <t>Grand Total</t>
  </si>
  <si>
    <t>01. CheckProfile</t>
  </si>
  <si>
    <t>02. DataConfig</t>
  </si>
  <si>
    <t>03. RequestCreate</t>
  </si>
  <si>
    <t>04. RequestUpdate</t>
  </si>
  <si>
    <t>06. RequestLoanRegister</t>
  </si>
  <si>
    <t>07. RequestEsign</t>
  </si>
  <si>
    <t>08. GetOTP</t>
  </si>
  <si>
    <t>09. VerifyEsign</t>
  </si>
  <si>
    <t>10. RequestDisburse</t>
  </si>
  <si>
    <t>11. UpdateDisburse</t>
  </si>
  <si>
    <t>12. RequestLoanDetail</t>
  </si>
  <si>
    <t>13. RequestRepayment</t>
  </si>
  <si>
    <t>14. RepaymentConfirm</t>
  </si>
  <si>
    <t>Period</t>
  </si>
  <si>
    <t>(III) vs (I)</t>
  </si>
  <si>
    <t>E2E CR</t>
  </si>
  <si>
    <t>Ticket size (có BH)</t>
  </si>
  <si>
    <t>Ticket size (không BH)</t>
  </si>
  <si>
    <t>% BH</t>
  </si>
  <si>
    <t># contract</t>
  </si>
  <si>
    <t>4K proposal</t>
  </si>
  <si>
    <t>As is (from 24/3)</t>
  </si>
  <si>
    <t>To be (stable)</t>
  </si>
  <si>
    <t>WL pool</t>
  </si>
  <si>
    <t>#Daily Check profiles</t>
  </si>
  <si>
    <t>CR</t>
  </si>
  <si>
    <t>Ticket size</t>
  </si>
  <si>
    <t>Daily disbursement</t>
  </si>
  <si>
    <t>CL - Pool A</t>
  </si>
  <si>
    <t>CL - Pool B</t>
  </si>
  <si>
    <t>CL - Xsell từ ZLP Paylater</t>
  </si>
  <si>
    <t>PD - Pool A</t>
  </si>
  <si>
    <t>PD - Pool B</t>
  </si>
  <si>
    <t>VNeID</t>
  </si>
  <si>
    <t>Disbursed Volume</t>
  </si>
  <si>
    <t>% vs "tobe (stable)</t>
  </si>
  <si>
    <r>
      <t># Leads from ZLP</t>
    </r>
    <r>
      <rPr>
        <b/>
        <sz val="12"/>
        <color theme="1"/>
        <rFont val="Aptos Narrow"/>
        <scheme val="minor"/>
      </rPr>
      <t xml:space="preserve"> (Monthly)</t>
    </r>
  </si>
  <si>
    <r>
      <t xml:space="preserve"># Leads from ZLP </t>
    </r>
    <r>
      <rPr>
        <b/>
        <sz val="12"/>
        <color theme="1"/>
        <rFont val="Aptos Narrow"/>
        <scheme val="minor"/>
      </rPr>
      <t>(Daily)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</si>
</sst>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.0%"/>
    <numFmt numFmtId="165" formatCode="_(* #,##0_);_(* \(#,##0\);_(* &quot;-&quot;??_);_(@_)"/>
    <numFmt numFmtId="166" formatCode="_(* #,##0.0_);_(* \(#,##0.0\);_(* &quot;-&quot;_);_(@_)"/>
    <numFmt numFmtId="167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FF008C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8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3" fillId="2" borderId="1" xfId="0" applyFont="1" applyFill="1" applyBorder="1" applyAlignment="1">
      <alignment vertical="center"/>
    </xf>
    <xf numFmtId="17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/>
    </xf>
    <xf numFmtId="41" fontId="0" fillId="3" borderId="3" xfId="1" applyFont="1" applyFill="1" applyBorder="1" applyAlignment="1">
      <alignment vertical="center"/>
    </xf>
    <xf numFmtId="41" fontId="0" fillId="3" borderId="4" xfId="1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6" xfId="2" applyNumberFormat="1" applyFont="1" applyFill="1" applyBorder="1" applyAlignment="1">
      <alignment vertical="center"/>
    </xf>
    <xf numFmtId="164" fontId="0" fillId="3" borderId="7" xfId="2" applyNumberFormat="1" applyFont="1" applyFill="1" applyBorder="1" applyAlignment="1">
      <alignment vertical="center"/>
    </xf>
    <xf numFmtId="41" fontId="0" fillId="3" borderId="6" xfId="1" applyFont="1" applyFill="1" applyBorder="1" applyAlignment="1">
      <alignment vertical="center"/>
    </xf>
    <xf numFmtId="41" fontId="0" fillId="3" borderId="7" xfId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0" fontId="0" fillId="3" borderId="6" xfId="0" applyNumberFormat="1" applyFill="1" applyBorder="1" applyAlignment="1">
      <alignment vertical="center"/>
    </xf>
    <xf numFmtId="9" fontId="0" fillId="3" borderId="6" xfId="0" applyNumberFormat="1" applyFill="1" applyBorder="1" applyAlignment="1">
      <alignment vertical="center"/>
    </xf>
    <xf numFmtId="10" fontId="2" fillId="3" borderId="6" xfId="0" applyNumberFormat="1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3" borderId="1" xfId="2" applyNumberFormat="1" applyFont="1" applyFill="1" applyBorder="1" applyAlignment="1">
      <alignment vertical="center"/>
    </xf>
    <xf numFmtId="164" fontId="0" fillId="4" borderId="1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41" fontId="4" fillId="3" borderId="10" xfId="1" applyFont="1" applyFill="1" applyBorder="1" applyAlignment="1">
      <alignment vertical="center"/>
    </xf>
    <xf numFmtId="41" fontId="4" fillId="3" borderId="11" xfId="1" applyFont="1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17" fontId="0" fillId="5" borderId="12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10" fontId="0" fillId="5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vertical="center"/>
    </xf>
    <xf numFmtId="164" fontId="0" fillId="5" borderId="6" xfId="2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41" fontId="0" fillId="5" borderId="1" xfId="0" applyNumberFormat="1" applyFill="1" applyBorder="1" applyAlignment="1">
      <alignment horizontal="center" vertical="center"/>
    </xf>
    <xf numFmtId="41" fontId="0" fillId="5" borderId="13" xfId="0" applyNumberFormat="1" applyFill="1" applyBorder="1" applyAlignment="1">
      <alignment horizontal="center" vertical="center"/>
    </xf>
    <xf numFmtId="41" fontId="0" fillId="5" borderId="14" xfId="0" applyNumberFormat="1" applyFill="1" applyBorder="1" applyAlignment="1">
      <alignment horizontal="center" vertical="center"/>
    </xf>
    <xf numFmtId="41" fontId="0" fillId="5" borderId="15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5" fillId="6" borderId="16" xfId="0" applyNumberFormat="1" applyFont="1" applyFill="1" applyBorder="1" applyAlignment="1">
      <alignment horizontal="left" vertical="center"/>
    </xf>
    <xf numFmtId="41" fontId="0" fillId="6" borderId="17" xfId="1" applyFont="1" applyFill="1" applyBorder="1" applyAlignment="1">
      <alignment vertical="center"/>
    </xf>
    <xf numFmtId="0" fontId="0" fillId="6" borderId="18" xfId="0" applyFill="1" applyBorder="1" applyAlignment="1">
      <alignment vertical="center"/>
    </xf>
    <xf numFmtId="165" fontId="5" fillId="6" borderId="19" xfId="0" applyNumberFormat="1" applyFont="1" applyFill="1" applyBorder="1" applyAlignment="1">
      <alignment horizontal="left" vertical="center"/>
    </xf>
    <xf numFmtId="164" fontId="4" fillId="7" borderId="20" xfId="2" applyNumberFormat="1" applyFont="1" applyFill="1" applyBorder="1" applyAlignment="1">
      <alignment vertical="center"/>
    </xf>
    <xf numFmtId="164" fontId="4" fillId="4" borderId="20" xfId="2" applyNumberFormat="1" applyFont="1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41" fontId="4" fillId="0" borderId="24" xfId="1" applyFont="1" applyBorder="1" applyAlignment="1">
      <alignment vertical="center"/>
    </xf>
    <xf numFmtId="41" fontId="4" fillId="0" borderId="0" xfId="1" applyFont="1" applyBorder="1" applyAlignment="1">
      <alignment vertical="center"/>
    </xf>
    <xf numFmtId="41" fontId="4" fillId="0" borderId="25" xfId="1" applyFont="1" applyBorder="1" applyAlignment="1">
      <alignment vertical="center"/>
    </xf>
    <xf numFmtId="41" fontId="0" fillId="0" borderId="24" xfId="1" applyFont="1" applyBorder="1" applyAlignment="1">
      <alignment vertical="center"/>
    </xf>
    <xf numFmtId="41" fontId="0" fillId="0" borderId="0" xfId="1" applyFont="1" applyBorder="1" applyAlignment="1">
      <alignment vertical="center"/>
    </xf>
    <xf numFmtId="41" fontId="0" fillId="0" borderId="25" xfId="1" applyFont="1" applyBorder="1" applyAlignment="1">
      <alignment vertical="center"/>
    </xf>
    <xf numFmtId="0" fontId="0" fillId="0" borderId="19" xfId="0" applyBorder="1" applyAlignment="1">
      <alignment vertical="center"/>
    </xf>
    <xf numFmtId="41" fontId="0" fillId="0" borderId="26" xfId="1" applyFont="1" applyBorder="1" applyAlignment="1">
      <alignment vertical="center"/>
    </xf>
    <xf numFmtId="41" fontId="0" fillId="0" borderId="20" xfId="1" applyFont="1" applyBorder="1" applyAlignment="1">
      <alignment vertical="center"/>
    </xf>
    <xf numFmtId="41" fontId="0" fillId="0" borderId="21" xfId="1" applyFont="1" applyBorder="1" applyAlignment="1">
      <alignment vertical="center"/>
    </xf>
    <xf numFmtId="17" fontId="0" fillId="0" borderId="0" xfId="0" applyNumberFormat="1" applyAlignment="1">
      <alignment vertical="center"/>
    </xf>
    <xf numFmtId="0" fontId="3" fillId="2" borderId="17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64" fontId="6" fillId="0" borderId="0" xfId="2" applyNumberFormat="1" applyFont="1" applyBorder="1" applyAlignment="1">
      <alignment vertical="center"/>
    </xf>
    <xf numFmtId="164" fontId="6" fillId="0" borderId="25" xfId="2" applyNumberFormat="1" applyFont="1" applyBorder="1" applyAlignment="1">
      <alignment vertical="center"/>
    </xf>
    <xf numFmtId="164" fontId="0" fillId="0" borderId="25" xfId="2" applyNumberFormat="1" applyFont="1" applyBorder="1" applyAlignment="1">
      <alignment vertical="center"/>
    </xf>
    <xf numFmtId="10" fontId="0" fillId="0" borderId="0" xfId="2" applyNumberFormat="1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41" fontId="0" fillId="0" borderId="6" xfId="1" applyFon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6" fontId="0" fillId="0" borderId="6" xfId="1" applyNumberFormat="1" applyFont="1" applyBorder="1" applyAlignment="1">
      <alignment vertical="center"/>
    </xf>
    <xf numFmtId="41" fontId="1" fillId="0" borderId="6" xfId="1" applyFont="1" applyBorder="1" applyAlignment="1">
      <alignment vertical="center"/>
    </xf>
    <xf numFmtId="41" fontId="0" fillId="0" borderId="6" xfId="0" applyNumberFormat="1" applyBorder="1" applyAlignment="1">
      <alignment vertical="center"/>
    </xf>
    <xf numFmtId="167" fontId="0" fillId="0" borderId="6" xfId="0" applyNumberForma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9" fontId="0" fillId="0" borderId="6" xfId="0" applyNumberFormat="1" applyBorder="1" applyAlignment="1">
      <alignment vertical="center"/>
    </xf>
    <xf numFmtId="164" fontId="0" fillId="0" borderId="6" xfId="2" applyNumberFormat="1" applyFont="1" applyBorder="1" applyAlignment="1">
      <alignment vertical="center"/>
    </xf>
    <xf numFmtId="9" fontId="0" fillId="0" borderId="6" xfId="2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1" fontId="4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vertical="center"/>
    </xf>
    <xf numFmtId="0" fontId="0" fillId="4" borderId="27" xfId="0" applyFill="1" applyBorder="1" applyAlignment="1">
      <alignment vertical="center"/>
    </xf>
    <xf numFmtId="17" fontId="3" fillId="2" borderId="28" xfId="0" applyNumberFormat="1" applyFont="1" applyFill="1" applyBorder="1" applyAlignment="1">
      <alignment horizontal="center" vertical="center"/>
    </xf>
    <xf numFmtId="17" fontId="3" fillId="2" borderId="29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41" fontId="0" fillId="8" borderId="3" xfId="0" applyNumberFormat="1" applyFill="1" applyBorder="1" applyAlignment="1">
      <alignment vertical="center"/>
    </xf>
    <xf numFmtId="41" fontId="0" fillId="0" borderId="3" xfId="0" applyNumberFormat="1" applyBorder="1" applyAlignment="1">
      <alignment vertical="center"/>
    </xf>
    <xf numFmtId="41" fontId="0" fillId="0" borderId="4" xfId="1" applyFont="1" applyBorder="1" applyAlignment="1">
      <alignment vertical="center"/>
    </xf>
    <xf numFmtId="0" fontId="0" fillId="0" borderId="9" xfId="0" applyBorder="1" applyAlignment="1">
      <alignment vertical="center"/>
    </xf>
    <xf numFmtId="41" fontId="0" fillId="0" borderId="10" xfId="0" applyNumberFormat="1" applyBorder="1" applyAlignment="1">
      <alignment vertical="center"/>
    </xf>
    <xf numFmtId="9" fontId="0" fillId="0" borderId="10" xfId="0" applyNumberFormat="1" applyBorder="1" applyAlignment="1">
      <alignment vertical="center"/>
    </xf>
    <xf numFmtId="41" fontId="0" fillId="0" borderId="11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30" xfId="0" applyFont="1" applyBorder="1" applyAlignment="1">
      <alignment vertical="center"/>
    </xf>
    <xf numFmtId="41" fontId="4" fillId="0" borderId="31" xfId="0" applyNumberFormat="1" applyFont="1" applyBorder="1" applyAlignment="1">
      <alignment vertical="center"/>
    </xf>
    <xf numFmtId="41" fontId="4" fillId="0" borderId="32" xfId="1" applyFont="1" applyBorder="1" applyAlignment="1">
      <alignment vertical="center"/>
    </xf>
    <xf numFmtId="0" fontId="0" fillId="4" borderId="6" xfId="0" applyFill="1" applyBorder="1" applyAlignment="1">
      <alignment vertical="center"/>
    </xf>
    <xf numFmtId="17" fontId="3" fillId="2" borderId="6" xfId="0" applyNumberFormat="1" applyFont="1" applyFill="1" applyBorder="1" applyAlignment="1">
      <alignment horizontal="center" vertical="center"/>
    </xf>
    <xf numFmtId="41" fontId="0" fillId="0" borderId="0" xfId="1" applyFont="1"/>
    <xf numFmtId="41" fontId="4" fillId="0" borderId="6" xfId="1" applyFont="1" applyBorder="1" applyAlignment="1">
      <alignment vertical="center"/>
    </xf>
    <xf numFmtId="41" fontId="0" fillId="0" borderId="6" xfId="1" applyFont="1" applyBorder="1"/>
    <xf numFmtId="0" fontId="7" fillId="0" borderId="6" xfId="0" applyFont="1" applyBorder="1" applyAlignment="1">
      <alignment vertical="center"/>
    </xf>
    <xf numFmtId="41" fontId="1" fillId="0" borderId="6" xfId="1" applyFont="1" applyBorder="1"/>
    <xf numFmtId="0" fontId="7" fillId="0" borderId="0" xfId="0" applyFont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17C4-5C44-F647-9C7B-DCB3A515163F}">
  <dimension ref="A1:N85"/>
  <sheetViews>
    <sheetView tabSelected="1" workbookViewId="0">
      <selection sqref="A1:XFD1048576"/>
    </sheetView>
  </sheetViews>
  <sheetFormatPr baseColWidth="10" defaultColWidth="10.83203125" defaultRowHeight="16" x14ac:dyDescent="0.2"/>
  <cols>
    <col min="1" max="1" width="24.33203125" style="3" customWidth="1"/>
    <col min="2" max="2" width="18" style="3" customWidth="1"/>
    <col min="3" max="4" width="21.83203125" style="3" customWidth="1"/>
    <col min="5" max="6" width="18" style="3" customWidth="1"/>
    <col min="7" max="7" width="25.6640625" style="3" customWidth="1"/>
    <col min="8" max="13" width="18" style="3" customWidth="1"/>
    <col min="14" max="16" width="17.33203125" style="3" customWidth="1"/>
    <col min="17" max="19" width="10.83203125" style="3"/>
    <col min="20" max="20" width="16.1640625" style="3" bestFit="1" customWidth="1"/>
    <col min="21" max="16384" width="10.83203125" style="3"/>
  </cols>
  <sheetData>
    <row r="1" spans="1:12" ht="17" thickBot="1" x14ac:dyDescent="0.25">
      <c r="A1" s="1" t="s">
        <v>0</v>
      </c>
      <c r="B1" s="2">
        <v>45778</v>
      </c>
      <c r="C1" s="2">
        <v>45809</v>
      </c>
      <c r="D1" s="2">
        <v>45839</v>
      </c>
      <c r="E1" s="2">
        <v>45870</v>
      </c>
      <c r="F1" s="2">
        <v>45901</v>
      </c>
      <c r="G1" s="2">
        <v>45931</v>
      </c>
      <c r="H1" s="2">
        <v>45962</v>
      </c>
      <c r="I1" s="2">
        <v>45992</v>
      </c>
      <c r="J1" s="2">
        <v>46023</v>
      </c>
      <c r="K1" s="2">
        <v>46054</v>
      </c>
      <c r="L1" s="2">
        <v>46082</v>
      </c>
    </row>
    <row r="2" spans="1:12" x14ac:dyDescent="0.2">
      <c r="A2" s="4" t="s">
        <v>1</v>
      </c>
      <c r="B2" s="5">
        <v>29177000000</v>
      </c>
      <c r="C2" s="5">
        <v>46522000000</v>
      </c>
      <c r="D2" s="5">
        <v>85227000000</v>
      </c>
      <c r="E2" s="5">
        <v>81058000000</v>
      </c>
      <c r="F2" s="5">
        <v>80187000000</v>
      </c>
      <c r="G2" s="5">
        <v>121027000000</v>
      </c>
      <c r="H2" s="5">
        <v>94120000000</v>
      </c>
      <c r="I2" s="5">
        <v>112574000000</v>
      </c>
      <c r="J2" s="5">
        <v>104465000000</v>
      </c>
      <c r="K2" s="5">
        <v>75813000000</v>
      </c>
      <c r="L2" s="6">
        <v>89244000000</v>
      </c>
    </row>
    <row r="3" spans="1:12" x14ac:dyDescent="0.2">
      <c r="A3" s="7" t="s">
        <v>2</v>
      </c>
      <c r="B3" s="8">
        <v>0.02</v>
      </c>
      <c r="C3" s="8">
        <v>0.02</v>
      </c>
      <c r="D3" s="8">
        <v>0.02</v>
      </c>
      <c r="E3" s="8">
        <v>0.02</v>
      </c>
      <c r="F3" s="8">
        <v>0.02</v>
      </c>
      <c r="G3" s="8">
        <v>0.02</v>
      </c>
      <c r="H3" s="8">
        <v>0.02</v>
      </c>
      <c r="I3" s="8">
        <v>0.02</v>
      </c>
      <c r="J3" s="8">
        <v>0.02</v>
      </c>
      <c r="K3" s="8">
        <v>0.02</v>
      </c>
      <c r="L3" s="9">
        <v>0.02</v>
      </c>
    </row>
    <row r="4" spans="1:12" x14ac:dyDescent="0.2">
      <c r="A4" s="7" t="s">
        <v>3</v>
      </c>
      <c r="B4" s="10">
        <f t="shared" ref="B4:L4" si="0">B3*B2</f>
        <v>583540000</v>
      </c>
      <c r="C4" s="10">
        <f t="shared" si="0"/>
        <v>930440000</v>
      </c>
      <c r="D4" s="10">
        <f t="shared" si="0"/>
        <v>1704540000</v>
      </c>
      <c r="E4" s="10">
        <f t="shared" si="0"/>
        <v>1621160000</v>
      </c>
      <c r="F4" s="10">
        <f t="shared" si="0"/>
        <v>1603740000</v>
      </c>
      <c r="G4" s="10">
        <f t="shared" si="0"/>
        <v>2420540000</v>
      </c>
      <c r="H4" s="10">
        <f t="shared" si="0"/>
        <v>1882400000</v>
      </c>
      <c r="I4" s="10">
        <f t="shared" si="0"/>
        <v>2251480000</v>
      </c>
      <c r="J4" s="10">
        <f t="shared" si="0"/>
        <v>2089300000</v>
      </c>
      <c r="K4" s="10">
        <f t="shared" si="0"/>
        <v>1516260000</v>
      </c>
      <c r="L4" s="11">
        <f t="shared" si="0"/>
        <v>1784880000</v>
      </c>
    </row>
    <row r="5" spans="1:12" x14ac:dyDescent="0.2">
      <c r="A5" s="7" t="s">
        <v>4</v>
      </c>
      <c r="B5" s="12"/>
      <c r="C5" s="12"/>
      <c r="D5" s="12"/>
      <c r="E5" s="13">
        <v>5.0000000000000001E-3</v>
      </c>
      <c r="F5" s="14">
        <v>0.01</v>
      </c>
      <c r="G5" s="14">
        <v>0.01</v>
      </c>
      <c r="H5" s="14">
        <v>0.01</v>
      </c>
      <c r="I5" s="14">
        <v>0.01</v>
      </c>
      <c r="J5" s="15">
        <v>5.0000000000000001E-3</v>
      </c>
      <c r="K5" s="15">
        <v>5.0000000000000001E-3</v>
      </c>
      <c r="L5" s="16">
        <v>5.0000000000000001E-3</v>
      </c>
    </row>
    <row r="6" spans="1:12" x14ac:dyDescent="0.2">
      <c r="A6" s="7" t="s">
        <v>5</v>
      </c>
      <c r="B6" s="10">
        <f>B5*B2</f>
        <v>0</v>
      </c>
      <c r="C6" s="10">
        <f t="shared" ref="C6:D6" si="1">C5*C2</f>
        <v>0</v>
      </c>
      <c r="D6" s="10">
        <f t="shared" si="1"/>
        <v>0</v>
      </c>
      <c r="E6" s="10">
        <f>E5*B2</f>
        <v>145885000</v>
      </c>
      <c r="F6" s="10">
        <f t="shared" ref="F6:L6" si="2">F5*C2</f>
        <v>465220000</v>
      </c>
      <c r="G6" s="10">
        <f t="shared" si="2"/>
        <v>852270000</v>
      </c>
      <c r="H6" s="10">
        <f t="shared" si="2"/>
        <v>810580000</v>
      </c>
      <c r="I6" s="10">
        <f t="shared" si="2"/>
        <v>801870000</v>
      </c>
      <c r="J6" s="10">
        <f t="shared" si="2"/>
        <v>605135000</v>
      </c>
      <c r="K6" s="10">
        <f t="shared" si="2"/>
        <v>470600000</v>
      </c>
      <c r="L6" s="11">
        <f t="shared" si="2"/>
        <v>562870000</v>
      </c>
    </row>
    <row r="7" spans="1:12" x14ac:dyDescent="0.2">
      <c r="A7" s="17" t="s">
        <v>6</v>
      </c>
      <c r="B7" s="18">
        <f>(B4+E6)/B2</f>
        <v>2.5000000000000001E-2</v>
      </c>
      <c r="C7" s="18">
        <f t="shared" ref="C7:I7" si="3">(C4+F6)/C2</f>
        <v>0.03</v>
      </c>
      <c r="D7" s="18">
        <f t="shared" si="3"/>
        <v>0.03</v>
      </c>
      <c r="E7" s="18">
        <f t="shared" si="3"/>
        <v>0.03</v>
      </c>
      <c r="F7" s="18">
        <f t="shared" si="3"/>
        <v>0.03</v>
      </c>
      <c r="G7" s="18">
        <f t="shared" si="3"/>
        <v>2.5000000000000001E-2</v>
      </c>
      <c r="H7" s="18">
        <f t="shared" si="3"/>
        <v>2.5000000000000001E-2</v>
      </c>
      <c r="I7" s="18">
        <f t="shared" si="3"/>
        <v>2.5000000000000001E-2</v>
      </c>
      <c r="J7" s="19" t="s">
        <v>7</v>
      </c>
      <c r="K7" s="19" t="s">
        <v>7</v>
      </c>
      <c r="L7" s="19" t="s">
        <v>7</v>
      </c>
    </row>
    <row r="8" spans="1:12" ht="17" thickBot="1" x14ac:dyDescent="0.25">
      <c r="A8" s="20" t="s">
        <v>8</v>
      </c>
      <c r="B8" s="21">
        <f t="shared" ref="B8:L8" si="4">B6+B4</f>
        <v>583540000</v>
      </c>
      <c r="C8" s="21">
        <f t="shared" si="4"/>
        <v>930440000</v>
      </c>
      <c r="D8" s="21">
        <f t="shared" si="4"/>
        <v>1704540000</v>
      </c>
      <c r="E8" s="21">
        <f t="shared" si="4"/>
        <v>1767045000</v>
      </c>
      <c r="F8" s="21">
        <f t="shared" si="4"/>
        <v>2068960000</v>
      </c>
      <c r="G8" s="21">
        <f t="shared" si="4"/>
        <v>3272810000</v>
      </c>
      <c r="H8" s="21">
        <f t="shared" si="4"/>
        <v>2692980000</v>
      </c>
      <c r="I8" s="21">
        <f t="shared" si="4"/>
        <v>3053350000</v>
      </c>
      <c r="J8" s="21">
        <f t="shared" si="4"/>
        <v>2694435000</v>
      </c>
      <c r="K8" s="21">
        <f t="shared" si="4"/>
        <v>1986860000</v>
      </c>
      <c r="L8" s="22">
        <f t="shared" si="4"/>
        <v>2347750000</v>
      </c>
    </row>
    <row r="9" spans="1:12" x14ac:dyDescent="0.2">
      <c r="A9" s="23" t="s">
        <v>9</v>
      </c>
      <c r="B9" s="23"/>
      <c r="C9" s="23"/>
      <c r="D9" s="23"/>
      <c r="E9" s="24">
        <f>B1</f>
        <v>45778</v>
      </c>
      <c r="F9" s="24">
        <f t="shared" ref="F9:L9" si="5">C1</f>
        <v>45809</v>
      </c>
      <c r="G9" s="24">
        <f t="shared" si="5"/>
        <v>45839</v>
      </c>
      <c r="H9" s="24">
        <f t="shared" si="5"/>
        <v>45870</v>
      </c>
      <c r="I9" s="24">
        <f t="shared" si="5"/>
        <v>45901</v>
      </c>
      <c r="J9" s="24">
        <f t="shared" si="5"/>
        <v>45931</v>
      </c>
      <c r="K9" s="24">
        <f t="shared" si="5"/>
        <v>45962</v>
      </c>
      <c r="L9" s="24">
        <f t="shared" si="5"/>
        <v>45992</v>
      </c>
    </row>
    <row r="10" spans="1:12" x14ac:dyDescent="0.2">
      <c r="A10" s="25" t="s">
        <v>10</v>
      </c>
      <c r="B10" s="26">
        <v>4.8899999999999999E-2</v>
      </c>
      <c r="C10" s="26">
        <v>4.3099999999999999E-2</v>
      </c>
      <c r="D10" s="26">
        <v>4.19E-2</v>
      </c>
      <c r="E10" s="26">
        <v>3.6499999999999998E-2</v>
      </c>
      <c r="F10" s="26">
        <v>3.6999999999999998E-2</v>
      </c>
      <c r="G10" s="27">
        <v>5.5399999999999998E-2</v>
      </c>
      <c r="H10" s="27">
        <v>5.8200000000000002E-2</v>
      </c>
      <c r="I10" s="27">
        <v>5.7599999999999998E-2</v>
      </c>
      <c r="J10" s="27"/>
      <c r="K10" s="27"/>
      <c r="L10" s="27"/>
    </row>
    <row r="11" spans="1:12" x14ac:dyDescent="0.2">
      <c r="A11" s="25" t="str">
        <f>A5</f>
        <v>% Risk bonus</v>
      </c>
      <c r="B11" s="28">
        <f t="shared" ref="B11:I11" si="6">B5</f>
        <v>0</v>
      </c>
      <c r="C11" s="28">
        <f t="shared" si="6"/>
        <v>0</v>
      </c>
      <c r="D11" s="28">
        <f t="shared" si="6"/>
        <v>0</v>
      </c>
      <c r="E11" s="28">
        <f t="shared" si="6"/>
        <v>5.0000000000000001E-3</v>
      </c>
      <c r="F11" s="28">
        <f t="shared" si="6"/>
        <v>0.01</v>
      </c>
      <c r="G11" s="28">
        <f t="shared" si="6"/>
        <v>0.01</v>
      </c>
      <c r="H11" s="28">
        <f t="shared" si="6"/>
        <v>0.01</v>
      </c>
      <c r="I11" s="28">
        <f t="shared" si="6"/>
        <v>0.01</v>
      </c>
      <c r="J11" s="28"/>
      <c r="K11" s="28"/>
      <c r="L11" s="28"/>
    </row>
    <row r="12" spans="1:12" ht="17" thickBot="1" x14ac:dyDescent="0.25">
      <c r="A12" s="29" t="s">
        <v>11</v>
      </c>
      <c r="B12" s="29"/>
      <c r="C12" s="29"/>
      <c r="D12" s="29"/>
      <c r="E12" s="30" t="s">
        <v>12</v>
      </c>
      <c r="F12" s="31" t="s">
        <v>13</v>
      </c>
      <c r="G12" s="32"/>
      <c r="H12" s="32"/>
      <c r="I12" s="33"/>
      <c r="J12" s="34" t="s">
        <v>14</v>
      </c>
      <c r="K12" s="34"/>
      <c r="L12" s="34"/>
    </row>
    <row r="13" spans="1:12" x14ac:dyDescent="0.2">
      <c r="A13" s="35" t="s">
        <v>15</v>
      </c>
      <c r="B13" s="36">
        <v>-499849722.9812094</v>
      </c>
      <c r="C13" s="36">
        <v>1595879386.8781905</v>
      </c>
      <c r="D13" s="36">
        <v>4363187148.5440483</v>
      </c>
      <c r="E13" s="36">
        <v>6712980679.2046824</v>
      </c>
      <c r="F13" s="36">
        <v>7622657362.7662592</v>
      </c>
      <c r="G13" s="36">
        <v>11171541753.967216</v>
      </c>
      <c r="H13" s="36">
        <v>11101792565.998535</v>
      </c>
      <c r="I13" s="36">
        <v>10068159067.966227</v>
      </c>
      <c r="J13" s="36">
        <v>12344889039.785229</v>
      </c>
      <c r="K13" s="36">
        <v>9963457563.5850105</v>
      </c>
      <c r="L13" s="37"/>
    </row>
    <row r="14" spans="1:12" ht="17" thickBot="1" x14ac:dyDescent="0.25">
      <c r="A14" s="38"/>
      <c r="B14" s="39">
        <f>B13/B2</f>
        <v>-1.7131635294280061E-2</v>
      </c>
      <c r="C14" s="39"/>
      <c r="D14" s="39">
        <f t="shared" ref="D14:K14" si="7">D13/D2</f>
        <v>5.1194893033241207E-2</v>
      </c>
      <c r="E14" s="40">
        <f t="shared" si="7"/>
        <v>8.2817003617220789E-2</v>
      </c>
      <c r="F14" s="40">
        <f t="shared" si="7"/>
        <v>9.5061011919217064E-2</v>
      </c>
      <c r="G14" s="40">
        <f t="shared" si="7"/>
        <v>9.2306194105176667E-2</v>
      </c>
      <c r="H14" s="40">
        <f t="shared" si="7"/>
        <v>0.11795359717380509</v>
      </c>
      <c r="I14" s="40">
        <f t="shared" si="7"/>
        <v>8.9435918311210644E-2</v>
      </c>
      <c r="J14" s="40">
        <f t="shared" si="7"/>
        <v>0.1181724887740892</v>
      </c>
      <c r="K14" s="40">
        <f t="shared" si="7"/>
        <v>0.13142149187586574</v>
      </c>
      <c r="L14" s="41"/>
    </row>
    <row r="16" spans="1:12" ht="17" thickBot="1" x14ac:dyDescent="0.25"/>
    <row r="17" spans="1:6" ht="102" x14ac:dyDescent="0.2">
      <c r="A17" s="42" t="s">
        <v>16</v>
      </c>
      <c r="B17" s="43" t="s">
        <v>17</v>
      </c>
      <c r="C17" s="44" t="s">
        <v>18</v>
      </c>
      <c r="D17" s="45" t="s">
        <v>19</v>
      </c>
      <c r="E17" s="46" t="s">
        <v>20</v>
      </c>
    </row>
    <row r="18" spans="1:6" x14ac:dyDescent="0.2">
      <c r="A18" s="47" t="s">
        <v>21</v>
      </c>
      <c r="B18" s="48">
        <v>934700</v>
      </c>
      <c r="C18" s="48">
        <v>264694</v>
      </c>
      <c r="D18" s="49">
        <v>33439</v>
      </c>
      <c r="E18" s="50">
        <v>1232833</v>
      </c>
    </row>
    <row r="19" spans="1:6" x14ac:dyDescent="0.2">
      <c r="A19" s="47" t="s">
        <v>22</v>
      </c>
      <c r="B19" s="51">
        <v>20</v>
      </c>
      <c r="C19" s="51">
        <v>1</v>
      </c>
      <c r="D19" s="52"/>
      <c r="E19" s="53">
        <v>21</v>
      </c>
    </row>
    <row r="20" spans="1:6" x14ac:dyDescent="0.2">
      <c r="A20" s="47" t="s">
        <v>23</v>
      </c>
      <c r="B20" s="51">
        <v>162576</v>
      </c>
      <c r="C20" s="51">
        <v>50509</v>
      </c>
      <c r="D20" s="52">
        <v>9517</v>
      </c>
      <c r="E20" s="53">
        <v>222602</v>
      </c>
    </row>
    <row r="21" spans="1:6" x14ac:dyDescent="0.2">
      <c r="A21" s="47" t="s">
        <v>24</v>
      </c>
      <c r="B21" s="51">
        <v>168294</v>
      </c>
      <c r="C21" s="51">
        <v>55855</v>
      </c>
      <c r="D21" s="52">
        <v>9975</v>
      </c>
      <c r="E21" s="53">
        <v>234124</v>
      </c>
    </row>
    <row r="22" spans="1:6" x14ac:dyDescent="0.2">
      <c r="A22" s="47" t="s">
        <v>25</v>
      </c>
      <c r="B22" s="51">
        <v>129001</v>
      </c>
      <c r="C22" s="51">
        <v>43369</v>
      </c>
      <c r="D22" s="52">
        <v>8232</v>
      </c>
      <c r="E22" s="53">
        <v>180602</v>
      </c>
    </row>
    <row r="23" spans="1:6" x14ac:dyDescent="0.2">
      <c r="A23" s="47" t="s">
        <v>26</v>
      </c>
      <c r="B23" s="51">
        <v>59491</v>
      </c>
      <c r="C23" s="51">
        <v>19879</v>
      </c>
      <c r="D23" s="52">
        <v>3753</v>
      </c>
      <c r="E23" s="53">
        <v>83123</v>
      </c>
    </row>
    <row r="24" spans="1:6" x14ac:dyDescent="0.2">
      <c r="A24" s="47" t="s">
        <v>27</v>
      </c>
      <c r="B24" s="51">
        <v>59245</v>
      </c>
      <c r="C24" s="51">
        <v>19559</v>
      </c>
      <c r="D24" s="52">
        <v>3609</v>
      </c>
      <c r="E24" s="53">
        <v>82413</v>
      </c>
    </row>
    <row r="25" spans="1:6" x14ac:dyDescent="0.2">
      <c r="A25" s="47" t="s">
        <v>28</v>
      </c>
      <c r="B25" s="51">
        <v>56191</v>
      </c>
      <c r="C25" s="51">
        <v>18529</v>
      </c>
      <c r="D25" s="52">
        <v>3393</v>
      </c>
      <c r="E25" s="53">
        <v>78113</v>
      </c>
    </row>
    <row r="26" spans="1:6" x14ac:dyDescent="0.2">
      <c r="A26" s="47" t="s">
        <v>29</v>
      </c>
      <c r="B26" s="51">
        <v>206128</v>
      </c>
      <c r="C26" s="51">
        <v>68989</v>
      </c>
      <c r="D26" s="52">
        <v>12696</v>
      </c>
      <c r="E26" s="53">
        <v>287813</v>
      </c>
    </row>
    <row r="27" spans="1:6" x14ac:dyDescent="0.2">
      <c r="A27" s="47" t="s">
        <v>30</v>
      </c>
      <c r="B27" s="48">
        <v>51506</v>
      </c>
      <c r="C27" s="48">
        <v>17339</v>
      </c>
      <c r="D27" s="49">
        <v>3184</v>
      </c>
      <c r="E27" s="50">
        <v>72029</v>
      </c>
    </row>
    <row r="28" spans="1:6" x14ac:dyDescent="0.2">
      <c r="A28" s="47" t="s">
        <v>31</v>
      </c>
      <c r="B28" s="51">
        <v>4375399</v>
      </c>
      <c r="C28" s="51">
        <v>3254181</v>
      </c>
      <c r="D28" s="52">
        <v>452517</v>
      </c>
      <c r="E28" s="53">
        <v>8082097</v>
      </c>
    </row>
    <row r="29" spans="1:6" x14ac:dyDescent="0.2">
      <c r="A29" s="47" t="s">
        <v>32</v>
      </c>
      <c r="B29" s="51">
        <v>108777</v>
      </c>
      <c r="C29" s="51">
        <v>88480</v>
      </c>
      <c r="D29" s="52">
        <v>9407</v>
      </c>
      <c r="E29" s="53">
        <v>206664</v>
      </c>
    </row>
    <row r="30" spans="1:6" ht="17" thickBot="1" x14ac:dyDescent="0.25">
      <c r="A30" s="54" t="s">
        <v>33</v>
      </c>
      <c r="B30" s="55">
        <v>105299</v>
      </c>
      <c r="C30" s="55">
        <v>87860</v>
      </c>
      <c r="D30" s="56">
        <v>9405</v>
      </c>
      <c r="E30" s="57">
        <v>202564</v>
      </c>
      <c r="F30" s="58"/>
    </row>
    <row r="31" spans="1:6" ht="17" thickBot="1" x14ac:dyDescent="0.25"/>
    <row r="32" spans="1:6" ht="102" x14ac:dyDescent="0.2">
      <c r="A32" s="42" t="s">
        <v>34</v>
      </c>
      <c r="B32" s="59" t="s">
        <v>17</v>
      </c>
      <c r="C32" s="59" t="s">
        <v>18</v>
      </c>
      <c r="D32" s="45" t="s">
        <v>19</v>
      </c>
      <c r="E32" s="46" t="s">
        <v>35</v>
      </c>
    </row>
    <row r="33" spans="1:12" x14ac:dyDescent="0.2">
      <c r="A33" s="60" t="s">
        <v>36</v>
      </c>
      <c r="B33" s="61">
        <f>B27/B18</f>
        <v>5.5104311543810847E-2</v>
      </c>
      <c r="C33" s="61">
        <f>C27/C18</f>
        <v>6.5505829372785179E-2</v>
      </c>
      <c r="D33" s="61">
        <f>D27/D18</f>
        <v>9.5218158437752332E-2</v>
      </c>
      <c r="E33" s="62">
        <f>D33/B33-1</f>
        <v>0.72796203727268871</v>
      </c>
    </row>
    <row r="34" spans="1:12" x14ac:dyDescent="0.2">
      <c r="A34" s="60" t="s">
        <v>37</v>
      </c>
      <c r="B34" s="52">
        <v>13067</v>
      </c>
      <c r="C34" s="52">
        <v>14778</v>
      </c>
      <c r="D34" s="52">
        <v>13723</v>
      </c>
      <c r="E34" s="63">
        <f t="shared" ref="E34:E35" si="8">D34/B34-1</f>
        <v>5.0202800948955462E-2</v>
      </c>
    </row>
    <row r="35" spans="1:12" x14ac:dyDescent="0.2">
      <c r="A35" s="60" t="s">
        <v>38</v>
      </c>
      <c r="B35" s="52">
        <f>B34-B34*B36*7%</f>
        <v>12583.128989999999</v>
      </c>
      <c r="C35" s="52">
        <f>C34-C34*C36*7%</f>
        <v>14076.636119999999</v>
      </c>
      <c r="D35" s="52">
        <f>D34-D34*D36*7%</f>
        <v>13078.430689999999</v>
      </c>
      <c r="E35" s="63">
        <f t="shared" si="8"/>
        <v>3.9362363716816562E-2</v>
      </c>
    </row>
    <row r="36" spans="1:12" x14ac:dyDescent="0.2">
      <c r="A36" s="60" t="s">
        <v>39</v>
      </c>
      <c r="B36" s="64">
        <v>0.52900000000000003</v>
      </c>
      <c r="C36" s="64">
        <v>0.67800000000000005</v>
      </c>
      <c r="D36" s="64">
        <v>0.67100000000000004</v>
      </c>
      <c r="E36" s="65"/>
    </row>
    <row r="37" spans="1:12" ht="17" thickBot="1" x14ac:dyDescent="0.25">
      <c r="A37" s="66" t="s">
        <v>40</v>
      </c>
      <c r="B37" s="56">
        <v>51617</v>
      </c>
      <c r="C37" s="56">
        <v>17341</v>
      </c>
      <c r="D37" s="56">
        <v>3179</v>
      </c>
      <c r="E37" s="67"/>
    </row>
    <row r="38" spans="1:12" ht="17" thickBot="1" x14ac:dyDescent="0.25">
      <c r="A38" s="66" t="s">
        <v>1</v>
      </c>
      <c r="B38" s="56">
        <f>B37*B35</f>
        <v>649503369.07682991</v>
      </c>
      <c r="C38" s="56">
        <f>C37*C35</f>
        <v>244102946.95692</v>
      </c>
      <c r="D38" s="56">
        <f>D37*D35</f>
        <v>41576331.163509995</v>
      </c>
      <c r="E38" s="67"/>
    </row>
    <row r="40" spans="1:12" x14ac:dyDescent="0.2">
      <c r="A40" s="68" t="s">
        <v>41</v>
      </c>
      <c r="B40" s="69" t="s">
        <v>42</v>
      </c>
      <c r="C40" s="69"/>
      <c r="D40" s="69"/>
      <c r="E40" s="69"/>
      <c r="F40" s="69"/>
      <c r="G40" s="69" t="s">
        <v>43</v>
      </c>
      <c r="H40" s="69"/>
      <c r="I40" s="69"/>
      <c r="J40" s="69"/>
      <c r="K40" s="69"/>
    </row>
    <row r="41" spans="1:12" x14ac:dyDescent="0.2">
      <c r="A41" s="68"/>
      <c r="B41" s="70" t="s">
        <v>44</v>
      </c>
      <c r="C41" s="71" t="s">
        <v>45</v>
      </c>
      <c r="D41" s="70" t="s">
        <v>46</v>
      </c>
      <c r="E41" s="70" t="s">
        <v>47</v>
      </c>
      <c r="F41" s="70" t="s">
        <v>1</v>
      </c>
      <c r="G41" s="70" t="s">
        <v>44</v>
      </c>
      <c r="H41" s="71" t="s">
        <v>45</v>
      </c>
      <c r="I41" s="70" t="s">
        <v>46</v>
      </c>
      <c r="J41" s="70" t="s">
        <v>47</v>
      </c>
      <c r="K41" s="70" t="s">
        <v>48</v>
      </c>
    </row>
    <row r="42" spans="1:12" x14ac:dyDescent="0.2">
      <c r="A42" s="72" t="s">
        <v>49</v>
      </c>
      <c r="B42" s="73">
        <v>2500000</v>
      </c>
      <c r="C42" s="73">
        <v>3000</v>
      </c>
      <c r="D42" s="74">
        <f>D33</f>
        <v>9.5218158437752332E-2</v>
      </c>
      <c r="E42" s="75">
        <v>14</v>
      </c>
      <c r="F42" s="73">
        <f>E42*D42*C42</f>
        <v>3999.1626543855982</v>
      </c>
      <c r="G42" s="76">
        <v>4000000</v>
      </c>
      <c r="H42" s="77">
        <f>G42/B42*C42</f>
        <v>4800</v>
      </c>
      <c r="I42" s="74">
        <f>D42</f>
        <v>9.5218158437752332E-2</v>
      </c>
      <c r="J42" s="78">
        <v>16</v>
      </c>
      <c r="K42" s="73">
        <f>J42*I42*H42</f>
        <v>7312.7545680193789</v>
      </c>
      <c r="L42" s="79"/>
    </row>
    <row r="43" spans="1:12" x14ac:dyDescent="0.2">
      <c r="A43" s="72" t="s">
        <v>50</v>
      </c>
      <c r="B43" s="73"/>
      <c r="C43" s="72"/>
      <c r="D43" s="80"/>
      <c r="E43" s="75"/>
      <c r="F43" s="73"/>
      <c r="G43" s="76">
        <v>3000000</v>
      </c>
      <c r="H43" s="77">
        <f>G43/G42*H42</f>
        <v>3600</v>
      </c>
      <c r="I43" s="81">
        <f>I42*50%</f>
        <v>4.7609079218876166E-2</v>
      </c>
      <c r="J43" s="78">
        <v>15</v>
      </c>
      <c r="K43" s="73">
        <f t="shared" ref="K43:K47" si="9">J43*I43*H43</f>
        <v>2570.8902778193133</v>
      </c>
    </row>
    <row r="44" spans="1:12" x14ac:dyDescent="0.2">
      <c r="A44" s="72" t="s">
        <v>51</v>
      </c>
      <c r="B44" s="73"/>
      <c r="C44" s="72"/>
      <c r="D44" s="82"/>
      <c r="E44" s="72"/>
      <c r="F44" s="72"/>
      <c r="G44" s="76">
        <v>1000000</v>
      </c>
      <c r="H44" s="77">
        <f>G44/B42*C42*1.2</f>
        <v>1440</v>
      </c>
      <c r="I44" s="81">
        <f>I42*1.2</f>
        <v>0.1142617901253028</v>
      </c>
      <c r="J44" s="78">
        <v>20</v>
      </c>
      <c r="K44" s="73">
        <f t="shared" si="9"/>
        <v>3290.7395556087204</v>
      </c>
    </row>
    <row r="45" spans="1:12" x14ac:dyDescent="0.2">
      <c r="A45" s="72" t="s">
        <v>52</v>
      </c>
      <c r="B45" s="73"/>
      <c r="C45" s="72"/>
      <c r="D45" s="72"/>
      <c r="E45" s="72"/>
      <c r="F45" s="72"/>
      <c r="G45" s="76">
        <f>G42</f>
        <v>4000000</v>
      </c>
      <c r="H45" s="77">
        <f>G45/G42*H42*1.3</f>
        <v>6240</v>
      </c>
      <c r="I45" s="74">
        <f>I42</f>
        <v>9.5218158437752332E-2</v>
      </c>
      <c r="J45" s="78">
        <v>4</v>
      </c>
      <c r="K45" s="73">
        <f t="shared" si="9"/>
        <v>2376.6452346062983</v>
      </c>
    </row>
    <row r="46" spans="1:12" x14ac:dyDescent="0.2">
      <c r="A46" s="72" t="s">
        <v>53</v>
      </c>
      <c r="B46" s="73"/>
      <c r="C46" s="72"/>
      <c r="D46" s="72"/>
      <c r="E46" s="72"/>
      <c r="F46" s="72"/>
      <c r="G46" s="76">
        <f>G43</f>
        <v>3000000</v>
      </c>
      <c r="H46" s="77">
        <f>G46/G43*H43*1.2</f>
        <v>4320</v>
      </c>
      <c r="I46" s="74">
        <f>I43</f>
        <v>4.7609079218876166E-2</v>
      </c>
      <c r="J46" s="78">
        <v>3</v>
      </c>
      <c r="K46" s="73">
        <f t="shared" si="9"/>
        <v>617.01366667663513</v>
      </c>
    </row>
    <row r="47" spans="1:12" x14ac:dyDescent="0.2">
      <c r="A47" s="72" t="s">
        <v>54</v>
      </c>
      <c r="B47" s="73"/>
      <c r="C47" s="72"/>
      <c r="D47" s="72"/>
      <c r="E47" s="72"/>
      <c r="F47" s="72"/>
      <c r="G47" s="73">
        <v>500000</v>
      </c>
      <c r="H47" s="77">
        <f>G47/G42*H42</f>
        <v>600</v>
      </c>
      <c r="I47" s="74">
        <f>I42</f>
        <v>9.5218158437752332E-2</v>
      </c>
      <c r="J47" s="78">
        <v>16</v>
      </c>
      <c r="K47" s="73">
        <f t="shared" si="9"/>
        <v>914.09432100242236</v>
      </c>
    </row>
    <row r="48" spans="1:12" x14ac:dyDescent="0.2">
      <c r="A48" s="83" t="s">
        <v>8</v>
      </c>
      <c r="B48" s="83"/>
      <c r="C48" s="83"/>
      <c r="D48" s="83"/>
      <c r="E48" s="83"/>
      <c r="F48" s="84">
        <f>SUM(F42:F47)</f>
        <v>3999.1626543855982</v>
      </c>
      <c r="G48" s="83"/>
      <c r="H48" s="83"/>
      <c r="I48" s="83"/>
      <c r="J48" s="83"/>
      <c r="K48" s="84">
        <f>SUM(K42:K47)</f>
        <v>17082.137623732768</v>
      </c>
    </row>
    <row r="49" spans="1:14" x14ac:dyDescent="0.2">
      <c r="L49" s="79"/>
      <c r="M49" s="79"/>
    </row>
    <row r="50" spans="1:14" ht="17" thickBot="1" x14ac:dyDescent="0.25">
      <c r="A50" s="85"/>
      <c r="B50" s="85"/>
      <c r="C50" s="85"/>
      <c r="D50" s="85"/>
      <c r="E50" s="85"/>
      <c r="F50" s="85"/>
      <c r="G50" s="85"/>
      <c r="H50" s="85"/>
      <c r="I50" s="86"/>
      <c r="J50" s="86"/>
      <c r="K50" s="85"/>
      <c r="L50" s="85"/>
      <c r="M50" s="85"/>
      <c r="N50" s="85"/>
    </row>
    <row r="51" spans="1:14" ht="17" thickBot="1" x14ac:dyDescent="0.25">
      <c r="A51" s="87" t="s">
        <v>55</v>
      </c>
      <c r="B51" s="88">
        <v>46023</v>
      </c>
      <c r="C51" s="88">
        <v>46054</v>
      </c>
      <c r="D51" s="88">
        <v>46082</v>
      </c>
      <c r="E51" s="88">
        <v>46113</v>
      </c>
      <c r="F51" s="88">
        <v>46143</v>
      </c>
      <c r="G51" s="88">
        <v>46174</v>
      </c>
      <c r="H51" s="88">
        <v>46204</v>
      </c>
      <c r="I51" s="88">
        <v>46235</v>
      </c>
      <c r="J51" s="88">
        <v>46266</v>
      </c>
      <c r="K51" s="88">
        <v>46296</v>
      </c>
      <c r="L51" s="88">
        <v>46327</v>
      </c>
      <c r="M51" s="88">
        <v>46357</v>
      </c>
      <c r="N51" s="89" t="s">
        <v>8</v>
      </c>
    </row>
    <row r="52" spans="1:14" x14ac:dyDescent="0.2">
      <c r="A52" s="90" t="s">
        <v>49</v>
      </c>
      <c r="B52" s="91">
        <f>J2/10^6</f>
        <v>104465</v>
      </c>
      <c r="C52" s="91">
        <f>K2/10^6</f>
        <v>75813</v>
      </c>
      <c r="D52" s="91">
        <f>L2/10^6</f>
        <v>89244</v>
      </c>
      <c r="E52" s="92">
        <f>$K$42*DAY(EOMONTH(E51,0))*E53</f>
        <v>142598.71407637789</v>
      </c>
      <c r="F52" s="92">
        <f t="shared" ref="F52:M52" si="10">$K$42*DAY(EOMONTH(F51,0))*F53</f>
        <v>170021.54370645055</v>
      </c>
      <c r="G52" s="92">
        <f t="shared" si="10"/>
        <v>219382.63704058138</v>
      </c>
      <c r="H52" s="92">
        <f t="shared" si="10"/>
        <v>226695.39160860074</v>
      </c>
      <c r="I52" s="92">
        <f t="shared" si="10"/>
        <v>226695.39160860074</v>
      </c>
      <c r="J52" s="92">
        <f t="shared" si="10"/>
        <v>219382.63704058138</v>
      </c>
      <c r="K52" s="92">
        <f t="shared" si="10"/>
        <v>226695.39160860074</v>
      </c>
      <c r="L52" s="92">
        <f t="shared" si="10"/>
        <v>219382.63704058138</v>
      </c>
      <c r="M52" s="92">
        <f t="shared" si="10"/>
        <v>226695.39160860074</v>
      </c>
      <c r="N52" s="93">
        <f>SUM(B52:M52)</f>
        <v>2147071.7353389757</v>
      </c>
    </row>
    <row r="53" spans="1:14" ht="17" thickBot="1" x14ac:dyDescent="0.25">
      <c r="A53" s="94" t="s">
        <v>56</v>
      </c>
      <c r="B53" s="95"/>
      <c r="C53" s="95"/>
      <c r="D53" s="95"/>
      <c r="E53" s="96">
        <v>0.65</v>
      </c>
      <c r="F53" s="96">
        <v>0.75</v>
      </c>
      <c r="G53" s="96">
        <v>1</v>
      </c>
      <c r="H53" s="96">
        <v>1</v>
      </c>
      <c r="I53" s="96">
        <v>1</v>
      </c>
      <c r="J53" s="96">
        <v>1</v>
      </c>
      <c r="K53" s="96">
        <v>1</v>
      </c>
      <c r="L53" s="96">
        <v>1</v>
      </c>
      <c r="M53" s="96">
        <v>1</v>
      </c>
      <c r="N53" s="97"/>
    </row>
    <row r="54" spans="1:14" x14ac:dyDescent="0.2">
      <c r="A54" s="90" t="s">
        <v>50</v>
      </c>
      <c r="B54" s="98"/>
      <c r="C54" s="98"/>
      <c r="D54" s="98"/>
      <c r="E54" s="92">
        <f>$K$43*DAY(EOMONTH(E51,0))*E55</f>
        <v>12854.451389096565</v>
      </c>
      <c r="F54" s="92">
        <f t="shared" ref="F54:M54" si="11">$K$43*DAY(EOMONTH(F51,0))*F55</f>
        <v>13282.93310206645</v>
      </c>
      <c r="G54" s="92">
        <f t="shared" si="11"/>
        <v>19281.677083644849</v>
      </c>
      <c r="H54" s="92">
        <f t="shared" si="11"/>
        <v>55788.319028679092</v>
      </c>
      <c r="I54" s="92">
        <f t="shared" si="11"/>
        <v>79697.59861239871</v>
      </c>
      <c r="J54" s="92">
        <f t="shared" si="11"/>
        <v>77126.708334579394</v>
      </c>
      <c r="K54" s="92">
        <f t="shared" si="11"/>
        <v>79697.59861239871</v>
      </c>
      <c r="L54" s="92">
        <f t="shared" si="11"/>
        <v>77126.708334579394</v>
      </c>
      <c r="M54" s="92">
        <f t="shared" si="11"/>
        <v>79697.59861239871</v>
      </c>
      <c r="N54" s="93">
        <f t="shared" ref="N54:N64" si="12">SUM(B54:M54)</f>
        <v>494553.59310984192</v>
      </c>
    </row>
    <row r="55" spans="1:14" ht="17" thickBot="1" x14ac:dyDescent="0.25">
      <c r="A55" s="94" t="s">
        <v>56</v>
      </c>
      <c r="B55" s="95"/>
      <c r="C55" s="95"/>
      <c r="D55" s="95"/>
      <c r="E55" s="96">
        <f>1/3*50%</f>
        <v>0.16666666666666666</v>
      </c>
      <c r="F55" s="96">
        <f>1/3*50%</f>
        <v>0.16666666666666666</v>
      </c>
      <c r="G55" s="96">
        <f>1/2*50%</f>
        <v>0.25</v>
      </c>
      <c r="H55" s="96">
        <v>0.7</v>
      </c>
      <c r="I55" s="96">
        <v>1</v>
      </c>
      <c r="J55" s="96">
        <v>1</v>
      </c>
      <c r="K55" s="96">
        <v>1</v>
      </c>
      <c r="L55" s="96">
        <v>1</v>
      </c>
      <c r="M55" s="96">
        <v>1</v>
      </c>
      <c r="N55" s="97"/>
    </row>
    <row r="56" spans="1:14" x14ac:dyDescent="0.2">
      <c r="A56" s="90" t="s">
        <v>51</v>
      </c>
      <c r="B56" s="98"/>
      <c r="C56" s="98"/>
      <c r="D56" s="98"/>
      <c r="E56" s="98"/>
      <c r="F56" s="92"/>
      <c r="G56" s="92">
        <f t="shared" ref="G56:M56" si="13">$K$44*DAY(EOMONTH(G51,0))*G57</f>
        <v>24680.546667065402</v>
      </c>
      <c r="H56" s="92">
        <f t="shared" si="13"/>
        <v>71409.048356709231</v>
      </c>
      <c r="I56" s="92">
        <f t="shared" si="13"/>
        <v>102012.92622387034</v>
      </c>
      <c r="J56" s="92">
        <f t="shared" si="13"/>
        <v>103658.29600167469</v>
      </c>
      <c r="K56" s="92">
        <f t="shared" si="13"/>
        <v>112214.21884625738</v>
      </c>
      <c r="L56" s="92">
        <f t="shared" si="13"/>
        <v>108594.40533508778</v>
      </c>
      <c r="M56" s="92">
        <f t="shared" si="13"/>
        <v>117314.86515745088</v>
      </c>
      <c r="N56" s="93">
        <f t="shared" si="12"/>
        <v>639884.30658811564</v>
      </c>
    </row>
    <row r="57" spans="1:14" ht="17" thickBot="1" x14ac:dyDescent="0.25">
      <c r="A57" s="94" t="s">
        <v>56</v>
      </c>
      <c r="B57" s="95"/>
      <c r="C57" s="95"/>
      <c r="D57" s="95"/>
      <c r="E57" s="96"/>
      <c r="F57" s="96"/>
      <c r="G57" s="96">
        <f>1/2*50%</f>
        <v>0.25</v>
      </c>
      <c r="H57" s="96">
        <v>0.7</v>
      </c>
      <c r="I57" s="96">
        <v>1</v>
      </c>
      <c r="J57" s="96">
        <v>1.05</v>
      </c>
      <c r="K57" s="96">
        <v>1.1000000000000001</v>
      </c>
      <c r="L57" s="96">
        <v>1.1000000000000001</v>
      </c>
      <c r="M57" s="96">
        <v>1.1499999999999999</v>
      </c>
      <c r="N57" s="97"/>
    </row>
    <row r="58" spans="1:14" x14ac:dyDescent="0.2">
      <c r="A58" s="90" t="s">
        <v>52</v>
      </c>
      <c r="B58" s="91">
        <v>13141</v>
      </c>
      <c r="C58" s="91">
        <v>12785</v>
      </c>
      <c r="D58" s="91">
        <v>5717</v>
      </c>
      <c r="E58" s="98"/>
      <c r="F58" s="92">
        <f t="shared" ref="F58:M58" si="14">$K$45*DAY(EOMONTH(F51,0))*F59</f>
        <v>18419.000568198811</v>
      </c>
      <c r="G58" s="92">
        <f t="shared" si="14"/>
        <v>49909.549926732259</v>
      </c>
      <c r="H58" s="92">
        <f t="shared" si="14"/>
        <v>73676.002272795246</v>
      </c>
      <c r="I58" s="92">
        <f t="shared" si="14"/>
        <v>73676.002272795246</v>
      </c>
      <c r="J58" s="92">
        <f t="shared" si="14"/>
        <v>71299.357038188944</v>
      </c>
      <c r="K58" s="92">
        <f t="shared" si="14"/>
        <v>73676.002272795246</v>
      </c>
      <c r="L58" s="92">
        <f t="shared" si="14"/>
        <v>71299.357038188944</v>
      </c>
      <c r="M58" s="92">
        <f t="shared" si="14"/>
        <v>73676.002272795246</v>
      </c>
      <c r="N58" s="93">
        <f t="shared" si="12"/>
        <v>537274.27366248996</v>
      </c>
    </row>
    <row r="59" spans="1:14" ht="17" thickBot="1" x14ac:dyDescent="0.25">
      <c r="A59" s="94" t="s">
        <v>56</v>
      </c>
      <c r="B59" s="95"/>
      <c r="C59" s="95"/>
      <c r="D59" s="95"/>
      <c r="E59" s="96"/>
      <c r="F59" s="96">
        <f>1/2*50%</f>
        <v>0.25</v>
      </c>
      <c r="G59" s="96">
        <v>0.7</v>
      </c>
      <c r="H59" s="96">
        <v>1</v>
      </c>
      <c r="I59" s="96">
        <v>1</v>
      </c>
      <c r="J59" s="96">
        <v>1</v>
      </c>
      <c r="K59" s="96">
        <v>1</v>
      </c>
      <c r="L59" s="96">
        <v>1</v>
      </c>
      <c r="M59" s="96">
        <v>1</v>
      </c>
      <c r="N59" s="97"/>
    </row>
    <row r="60" spans="1:14" x14ac:dyDescent="0.2">
      <c r="A60" s="90" t="s">
        <v>53</v>
      </c>
      <c r="B60" s="98"/>
      <c r="C60" s="98"/>
      <c r="D60" s="98"/>
      <c r="E60" s="98"/>
      <c r="F60" s="98"/>
      <c r="G60" s="92">
        <f t="shared" ref="G60:M60" si="15">$K$46*DAY(EOMONTH(G51,0))*G61</f>
        <v>9255.2050001495263</v>
      </c>
      <c r="H60" s="92">
        <f t="shared" si="15"/>
        <v>13389.196566882982</v>
      </c>
      <c r="I60" s="92">
        <f t="shared" si="15"/>
        <v>19127.42366697569</v>
      </c>
      <c r="J60" s="92">
        <f t="shared" si="15"/>
        <v>18510.410000299053</v>
      </c>
      <c r="K60" s="92">
        <f t="shared" si="15"/>
        <v>19127.42366697569</v>
      </c>
      <c r="L60" s="92">
        <f t="shared" si="15"/>
        <v>18510.410000299053</v>
      </c>
      <c r="M60" s="92">
        <f t="shared" si="15"/>
        <v>19127.42366697569</v>
      </c>
      <c r="N60" s="93">
        <f t="shared" si="12"/>
        <v>117047.49256855767</v>
      </c>
    </row>
    <row r="61" spans="1:14" ht="17" thickBot="1" x14ac:dyDescent="0.25">
      <c r="A61" s="94" t="s">
        <v>56</v>
      </c>
      <c r="B61" s="95"/>
      <c r="C61" s="95"/>
      <c r="D61" s="95"/>
      <c r="E61" s="96"/>
      <c r="F61" s="96"/>
      <c r="G61" s="96">
        <v>0.5</v>
      </c>
      <c r="H61" s="96">
        <v>0.7</v>
      </c>
      <c r="I61" s="96">
        <v>1</v>
      </c>
      <c r="J61" s="96">
        <v>1</v>
      </c>
      <c r="K61" s="96">
        <v>1</v>
      </c>
      <c r="L61" s="96">
        <v>1</v>
      </c>
      <c r="M61" s="96">
        <v>1</v>
      </c>
      <c r="N61" s="97"/>
    </row>
    <row r="62" spans="1:14" x14ac:dyDescent="0.2">
      <c r="A62" s="90" t="s">
        <v>54</v>
      </c>
      <c r="B62" s="98"/>
      <c r="C62" s="98"/>
      <c r="D62" s="98"/>
      <c r="E62" s="98"/>
      <c r="F62" s="98"/>
      <c r="G62" s="92">
        <f>$K$47*DAY(EOMONTH(G51,0))*G63</f>
        <v>13711.414815036336</v>
      </c>
      <c r="H62" s="92">
        <f t="shared" ref="H62:M62" si="16">$K$47*DAY(EOMONTH(H51,0))*H63</f>
        <v>28336.923951075092</v>
      </c>
      <c r="I62" s="92">
        <f t="shared" si="16"/>
        <v>28336.923951075092</v>
      </c>
      <c r="J62" s="92">
        <f t="shared" si="16"/>
        <v>27422.829630072672</v>
      </c>
      <c r="K62" s="92">
        <f t="shared" si="16"/>
        <v>28336.923951075092</v>
      </c>
      <c r="L62" s="92">
        <f t="shared" si="16"/>
        <v>27422.829630072672</v>
      </c>
      <c r="M62" s="92">
        <f t="shared" si="16"/>
        <v>28336.923951075092</v>
      </c>
      <c r="N62" s="93">
        <f t="shared" si="12"/>
        <v>181904.76987948205</v>
      </c>
    </row>
    <row r="63" spans="1:14" ht="17" thickBot="1" x14ac:dyDescent="0.25">
      <c r="A63" s="94" t="s">
        <v>56</v>
      </c>
      <c r="B63" s="95"/>
      <c r="C63" s="95"/>
      <c r="D63" s="95"/>
      <c r="E63" s="96"/>
      <c r="F63" s="96"/>
      <c r="G63" s="96">
        <f>1/2</f>
        <v>0.5</v>
      </c>
      <c r="H63" s="96">
        <v>1</v>
      </c>
      <c r="I63" s="96">
        <v>1</v>
      </c>
      <c r="J63" s="96">
        <v>1</v>
      </c>
      <c r="K63" s="96">
        <v>1</v>
      </c>
      <c r="L63" s="96">
        <v>1</v>
      </c>
      <c r="M63" s="96">
        <v>1</v>
      </c>
      <c r="N63" s="97"/>
    </row>
    <row r="64" spans="1:14" ht="17" thickBot="1" x14ac:dyDescent="0.25">
      <c r="A64" s="99" t="s">
        <v>8</v>
      </c>
      <c r="B64" s="100">
        <f>SUM(B52:B62)</f>
        <v>117606</v>
      </c>
      <c r="C64" s="100">
        <f>SUM(C52:C62)</f>
        <v>88598</v>
      </c>
      <c r="D64" s="100">
        <f>SUM(D52:D62)</f>
        <v>94961</v>
      </c>
      <c r="E64" s="100">
        <f>SUM(E52:E62)</f>
        <v>155453.9821321411</v>
      </c>
      <c r="F64" s="100">
        <f t="shared" ref="F64:M64" si="17">SUM(F52:F62)</f>
        <v>201724.64404338249</v>
      </c>
      <c r="G64" s="100">
        <f t="shared" si="17"/>
        <v>336223.7305332098</v>
      </c>
      <c r="H64" s="100">
        <f t="shared" si="17"/>
        <v>469298.98178474244</v>
      </c>
      <c r="I64" s="100">
        <f t="shared" si="17"/>
        <v>529551.26633571589</v>
      </c>
      <c r="J64" s="100">
        <f t="shared" si="17"/>
        <v>517405.28804539621</v>
      </c>
      <c r="K64" s="100">
        <f t="shared" si="17"/>
        <v>539752.65895810281</v>
      </c>
      <c r="L64" s="100">
        <f t="shared" si="17"/>
        <v>522341.44737880927</v>
      </c>
      <c r="M64" s="100">
        <f t="shared" si="17"/>
        <v>544853.35526929644</v>
      </c>
      <c r="N64" s="101">
        <f t="shared" si="12"/>
        <v>4117770.3544807965</v>
      </c>
    </row>
    <row r="67" spans="1:14" x14ac:dyDescent="0.2">
      <c r="A67" s="102" t="s">
        <v>57</v>
      </c>
      <c r="B67" s="103">
        <v>46023</v>
      </c>
      <c r="C67" s="103">
        <v>46054</v>
      </c>
      <c r="D67" s="103">
        <v>46082</v>
      </c>
      <c r="E67" s="103">
        <v>46113</v>
      </c>
      <c r="F67" s="103">
        <v>46143</v>
      </c>
      <c r="G67" s="103">
        <v>46174</v>
      </c>
      <c r="H67" s="103">
        <v>46204</v>
      </c>
      <c r="I67" s="103">
        <v>46235</v>
      </c>
      <c r="J67" s="103">
        <v>46266</v>
      </c>
      <c r="K67" s="103">
        <v>46296</v>
      </c>
      <c r="L67" s="103">
        <v>46327</v>
      </c>
      <c r="M67" s="103">
        <v>46357</v>
      </c>
      <c r="N67" s="103" t="s">
        <v>8</v>
      </c>
    </row>
    <row r="68" spans="1:14" x14ac:dyDescent="0.2">
      <c r="A68" s="72" t="s">
        <v>49</v>
      </c>
      <c r="B68" s="77"/>
      <c r="C68" s="77"/>
      <c r="D68" s="77"/>
      <c r="E68" s="104">
        <f>E52/$J$42/$I$42</f>
        <v>93600</v>
      </c>
      <c r="F68" s="104">
        <f t="shared" ref="F68:M68" si="18">F52/$J$42/$I$42</f>
        <v>111600</v>
      </c>
      <c r="G68" s="104">
        <f t="shared" si="18"/>
        <v>144000</v>
      </c>
      <c r="H68" s="104">
        <f t="shared" si="18"/>
        <v>148800</v>
      </c>
      <c r="I68" s="104">
        <f t="shared" si="18"/>
        <v>148800</v>
      </c>
      <c r="J68" s="104">
        <f t="shared" si="18"/>
        <v>144000</v>
      </c>
      <c r="K68" s="104">
        <f t="shared" si="18"/>
        <v>148800</v>
      </c>
      <c r="L68" s="104">
        <f t="shared" si="18"/>
        <v>144000</v>
      </c>
      <c r="M68" s="104">
        <f t="shared" si="18"/>
        <v>148800</v>
      </c>
      <c r="N68" s="73">
        <f>SUM(B68:M68)</f>
        <v>1232400</v>
      </c>
    </row>
    <row r="69" spans="1:14" x14ac:dyDescent="0.2">
      <c r="A69" s="72" t="s">
        <v>50</v>
      </c>
      <c r="B69" s="72"/>
      <c r="C69" s="72"/>
      <c r="D69" s="72"/>
      <c r="E69" s="77">
        <f>E54/$J$43/$I$43</f>
        <v>18000</v>
      </c>
      <c r="F69" s="77">
        <f t="shared" ref="F69:M69" si="19">F54/$J$43/$I$43</f>
        <v>18600</v>
      </c>
      <c r="G69" s="77">
        <f t="shared" si="19"/>
        <v>27000.000000000004</v>
      </c>
      <c r="H69" s="77">
        <f t="shared" si="19"/>
        <v>78120</v>
      </c>
      <c r="I69" s="77">
        <f t="shared" si="19"/>
        <v>111600.00000000001</v>
      </c>
      <c r="J69" s="77">
        <f t="shared" si="19"/>
        <v>108000.00000000001</v>
      </c>
      <c r="K69" s="77">
        <f t="shared" si="19"/>
        <v>111600.00000000001</v>
      </c>
      <c r="L69" s="77">
        <f t="shared" si="19"/>
        <v>108000.00000000001</v>
      </c>
      <c r="M69" s="77">
        <f t="shared" si="19"/>
        <v>111600.00000000001</v>
      </c>
      <c r="N69" s="73">
        <f t="shared" ref="N69:N74" si="20">SUM(B69:M69)</f>
        <v>692520</v>
      </c>
    </row>
    <row r="70" spans="1:14" x14ac:dyDescent="0.2">
      <c r="A70" s="72" t="s">
        <v>51</v>
      </c>
      <c r="B70" s="72"/>
      <c r="C70" s="72"/>
      <c r="D70" s="72"/>
      <c r="E70" s="72"/>
      <c r="F70" s="77"/>
      <c r="G70" s="77">
        <f>G56/$J$44/$I$44</f>
        <v>10799.999999999998</v>
      </c>
      <c r="H70" s="77">
        <f t="shared" ref="H70:M70" si="21">H56/$J$44/$I$44</f>
        <v>31247.999999999996</v>
      </c>
      <c r="I70" s="77">
        <f t="shared" si="21"/>
        <v>44640</v>
      </c>
      <c r="J70" s="77">
        <f t="shared" si="21"/>
        <v>45360</v>
      </c>
      <c r="K70" s="77">
        <f t="shared" si="21"/>
        <v>49104.000000000007</v>
      </c>
      <c r="L70" s="77">
        <f t="shared" si="21"/>
        <v>47520</v>
      </c>
      <c r="M70" s="77">
        <f t="shared" si="21"/>
        <v>51335.999999999993</v>
      </c>
      <c r="N70" s="73">
        <f t="shared" si="20"/>
        <v>280008</v>
      </c>
    </row>
    <row r="71" spans="1:14" x14ac:dyDescent="0.2">
      <c r="A71" s="72" t="s">
        <v>52</v>
      </c>
      <c r="B71" s="72"/>
      <c r="C71" s="72"/>
      <c r="D71" s="72"/>
      <c r="E71" s="72"/>
      <c r="F71" s="77">
        <f>F58/$J$45/$I$45</f>
        <v>48360</v>
      </c>
      <c r="G71" s="77">
        <f>G58/$J$45/$I$45</f>
        <v>131039.99999999999</v>
      </c>
      <c r="H71" s="77">
        <f t="shared" ref="H71:M71" si="22">H58/$J$45/$I$45</f>
        <v>193440</v>
      </c>
      <c r="I71" s="77">
        <f t="shared" si="22"/>
        <v>193440</v>
      </c>
      <c r="J71" s="77">
        <f t="shared" si="22"/>
        <v>187200</v>
      </c>
      <c r="K71" s="77">
        <f t="shared" si="22"/>
        <v>193440</v>
      </c>
      <c r="L71" s="77">
        <f t="shared" si="22"/>
        <v>187200</v>
      </c>
      <c r="M71" s="77">
        <f t="shared" si="22"/>
        <v>193440</v>
      </c>
      <c r="N71" s="73">
        <f t="shared" si="20"/>
        <v>1327560</v>
      </c>
    </row>
    <row r="72" spans="1:14" x14ac:dyDescent="0.2">
      <c r="A72" s="72" t="s">
        <v>53</v>
      </c>
      <c r="B72" s="72"/>
      <c r="C72" s="72"/>
      <c r="D72" s="72"/>
      <c r="E72" s="72"/>
      <c r="F72" s="72"/>
      <c r="G72" s="77">
        <f>G60/$J$46/$I$46</f>
        <v>64799.999999999993</v>
      </c>
      <c r="H72" s="77">
        <f t="shared" ref="H72:M72" si="23">H60/$J$46/$I$46</f>
        <v>93743.999999999985</v>
      </c>
      <c r="I72" s="77">
        <f t="shared" si="23"/>
        <v>133920.00000000003</v>
      </c>
      <c r="J72" s="77">
        <f t="shared" si="23"/>
        <v>129599.99999999999</v>
      </c>
      <c r="K72" s="77">
        <f t="shared" si="23"/>
        <v>133920.00000000003</v>
      </c>
      <c r="L72" s="77">
        <f t="shared" si="23"/>
        <v>129599.99999999999</v>
      </c>
      <c r="M72" s="77">
        <f t="shared" si="23"/>
        <v>133920.00000000003</v>
      </c>
      <c r="N72" s="73">
        <f t="shared" si="20"/>
        <v>819504</v>
      </c>
    </row>
    <row r="73" spans="1:14" x14ac:dyDescent="0.2">
      <c r="A73" s="72" t="s">
        <v>54</v>
      </c>
      <c r="B73" s="72"/>
      <c r="C73" s="72"/>
      <c r="D73" s="72"/>
      <c r="E73" s="72"/>
      <c r="F73" s="72"/>
      <c r="G73" s="77">
        <f>G62/$J$47/$I$47</f>
        <v>9000</v>
      </c>
      <c r="H73" s="77">
        <f t="shared" ref="H73:M73" si="24">H62/$J$47/$I$47</f>
        <v>18600</v>
      </c>
      <c r="I73" s="77">
        <f t="shared" si="24"/>
        <v>18600</v>
      </c>
      <c r="J73" s="77">
        <f t="shared" si="24"/>
        <v>18000</v>
      </c>
      <c r="K73" s="77">
        <f t="shared" si="24"/>
        <v>18600</v>
      </c>
      <c r="L73" s="77">
        <f t="shared" si="24"/>
        <v>18000</v>
      </c>
      <c r="M73" s="77">
        <f t="shared" si="24"/>
        <v>18600</v>
      </c>
      <c r="N73" s="73">
        <f t="shared" si="20"/>
        <v>119400</v>
      </c>
    </row>
    <row r="74" spans="1:14" x14ac:dyDescent="0.2">
      <c r="A74" s="83" t="s">
        <v>8</v>
      </c>
      <c r="B74" s="84">
        <f>SUM(B68:B73)</f>
        <v>0</v>
      </c>
      <c r="C74" s="84">
        <f>SUM(C68:C73)</f>
        <v>0</v>
      </c>
      <c r="D74" s="84">
        <f>SUM(D68:D73)</f>
        <v>0</v>
      </c>
      <c r="E74" s="84">
        <f>SUM(E68:E73)</f>
        <v>111600</v>
      </c>
      <c r="F74" s="84">
        <f t="shared" ref="F74:M74" si="25">SUM(F68:F73)</f>
        <v>178560</v>
      </c>
      <c r="G74" s="84">
        <f t="shared" si="25"/>
        <v>386640</v>
      </c>
      <c r="H74" s="84">
        <f t="shared" si="25"/>
        <v>563952</v>
      </c>
      <c r="I74" s="84">
        <f t="shared" si="25"/>
        <v>651000</v>
      </c>
      <c r="J74" s="84">
        <f t="shared" si="25"/>
        <v>632160</v>
      </c>
      <c r="K74" s="84">
        <f t="shared" si="25"/>
        <v>655464</v>
      </c>
      <c r="L74" s="84">
        <f t="shared" si="25"/>
        <v>634320</v>
      </c>
      <c r="M74" s="84">
        <f t="shared" si="25"/>
        <v>657696</v>
      </c>
      <c r="N74" s="105">
        <f t="shared" si="20"/>
        <v>4471392</v>
      </c>
    </row>
    <row r="77" spans="1:14" x14ac:dyDescent="0.2">
      <c r="A77" s="102" t="s">
        <v>58</v>
      </c>
      <c r="B77" s="103">
        <v>46023</v>
      </c>
      <c r="C77" s="103">
        <v>46054</v>
      </c>
      <c r="D77" s="103">
        <v>46082</v>
      </c>
      <c r="E77" s="103">
        <v>46113</v>
      </c>
      <c r="F77" s="103">
        <v>46143</v>
      </c>
      <c r="G77" s="103">
        <v>46174</v>
      </c>
      <c r="H77" s="103">
        <v>46204</v>
      </c>
      <c r="I77" s="103">
        <v>46235</v>
      </c>
      <c r="J77" s="103">
        <v>46266</v>
      </c>
      <c r="K77" s="103">
        <v>46296</v>
      </c>
      <c r="L77" s="103">
        <v>46327</v>
      </c>
      <c r="M77" s="103">
        <v>46357</v>
      </c>
      <c r="N77" s="103" t="s">
        <v>8</v>
      </c>
    </row>
    <row r="78" spans="1:14" x14ac:dyDescent="0.2">
      <c r="A78" s="72" t="s">
        <v>49</v>
      </c>
      <c r="B78" s="77"/>
      <c r="C78" s="77"/>
      <c r="D78" s="77"/>
      <c r="E78" s="106">
        <f>E68/DAY(EOMONTH(E77,0))</f>
        <v>3120</v>
      </c>
      <c r="F78" s="106">
        <f t="shared" ref="F78:M78" si="26">F68/DAY(EOMONTH(F77,0))</f>
        <v>3600</v>
      </c>
      <c r="G78" s="106">
        <f t="shared" si="26"/>
        <v>4800</v>
      </c>
      <c r="H78" s="106">
        <f t="shared" si="26"/>
        <v>4800</v>
      </c>
      <c r="I78" s="106">
        <f t="shared" si="26"/>
        <v>4800</v>
      </c>
      <c r="J78" s="106">
        <f t="shared" si="26"/>
        <v>4800</v>
      </c>
      <c r="K78" s="106">
        <f t="shared" si="26"/>
        <v>4800</v>
      </c>
      <c r="L78" s="106">
        <f t="shared" si="26"/>
        <v>4800</v>
      </c>
      <c r="M78" s="106">
        <f t="shared" si="26"/>
        <v>4800</v>
      </c>
      <c r="N78" s="73">
        <f>SUM(B78:M78)</f>
        <v>40320</v>
      </c>
    </row>
    <row r="79" spans="1:14" s="109" customFormat="1" x14ac:dyDescent="0.2">
      <c r="A79" s="107" t="s">
        <v>50</v>
      </c>
      <c r="B79" s="107"/>
      <c r="C79" s="107"/>
      <c r="D79" s="107"/>
      <c r="E79" s="108">
        <f t="shared" ref="E79:M83" si="27">E69/DAY(EOMONTH(E78,0))</f>
        <v>580.64516129032256</v>
      </c>
      <c r="F79" s="108">
        <f t="shared" si="27"/>
        <v>620</v>
      </c>
      <c r="G79" s="108">
        <f t="shared" si="27"/>
        <v>964.28571428571445</v>
      </c>
      <c r="H79" s="108">
        <f t="shared" si="27"/>
        <v>2790</v>
      </c>
      <c r="I79" s="108">
        <f t="shared" si="27"/>
        <v>3985.7142857142862</v>
      </c>
      <c r="J79" s="108">
        <f t="shared" si="27"/>
        <v>3857.1428571428578</v>
      </c>
      <c r="K79" s="108">
        <f t="shared" si="27"/>
        <v>3985.7142857142862</v>
      </c>
      <c r="L79" s="108">
        <f t="shared" si="27"/>
        <v>3857.1428571428578</v>
      </c>
      <c r="M79" s="108">
        <f t="shared" si="27"/>
        <v>3985.7142857142862</v>
      </c>
      <c r="N79" s="76">
        <f t="shared" ref="N79:N84" si="28">SUM(B79:M79)</f>
        <v>24626.359447004612</v>
      </c>
    </row>
    <row r="80" spans="1:14" x14ac:dyDescent="0.2">
      <c r="A80" s="72" t="s">
        <v>51</v>
      </c>
      <c r="B80" s="72"/>
      <c r="C80" s="72"/>
      <c r="D80" s="72"/>
      <c r="E80" s="106">
        <f t="shared" si="27"/>
        <v>0</v>
      </c>
      <c r="F80" s="106">
        <f t="shared" si="27"/>
        <v>0</v>
      </c>
      <c r="G80" s="106">
        <f t="shared" si="27"/>
        <v>348.38709677419348</v>
      </c>
      <c r="H80" s="106">
        <f t="shared" si="27"/>
        <v>1007.9999999999999</v>
      </c>
      <c r="I80" s="106">
        <f t="shared" si="27"/>
        <v>1488</v>
      </c>
      <c r="J80" s="106">
        <f t="shared" si="27"/>
        <v>1463.2258064516129</v>
      </c>
      <c r="K80" s="106">
        <f t="shared" si="27"/>
        <v>1636.8000000000002</v>
      </c>
      <c r="L80" s="106">
        <f t="shared" si="27"/>
        <v>1532.9032258064517</v>
      </c>
      <c r="M80" s="106">
        <f t="shared" si="27"/>
        <v>1711.1999999999998</v>
      </c>
      <c r="N80" s="73">
        <f t="shared" si="28"/>
        <v>9188.5161290322576</v>
      </c>
    </row>
    <row r="81" spans="1:14" x14ac:dyDescent="0.2">
      <c r="A81" s="72" t="s">
        <v>52</v>
      </c>
      <c r="B81" s="72"/>
      <c r="C81" s="72"/>
      <c r="D81" s="72"/>
      <c r="E81" s="106">
        <f t="shared" si="27"/>
        <v>0</v>
      </c>
      <c r="F81" s="106">
        <f t="shared" si="27"/>
        <v>1560</v>
      </c>
      <c r="G81" s="106">
        <f t="shared" si="27"/>
        <v>4227.0967741935483</v>
      </c>
      <c r="H81" s="106">
        <f t="shared" si="27"/>
        <v>6240</v>
      </c>
      <c r="I81" s="106">
        <f t="shared" si="27"/>
        <v>6240</v>
      </c>
      <c r="J81" s="106">
        <f t="shared" si="27"/>
        <v>6038.7096774193551</v>
      </c>
      <c r="K81" s="106">
        <f t="shared" si="27"/>
        <v>6448</v>
      </c>
      <c r="L81" s="106">
        <f t="shared" si="27"/>
        <v>6038.7096774193551</v>
      </c>
      <c r="M81" s="106">
        <f t="shared" si="27"/>
        <v>6448</v>
      </c>
      <c r="N81" s="73">
        <f t="shared" si="28"/>
        <v>43240.516129032258</v>
      </c>
    </row>
    <row r="82" spans="1:14" x14ac:dyDescent="0.2">
      <c r="A82" s="72" t="s">
        <v>53</v>
      </c>
      <c r="B82" s="72"/>
      <c r="C82" s="72"/>
      <c r="D82" s="72"/>
      <c r="E82" s="106">
        <f t="shared" si="27"/>
        <v>0</v>
      </c>
      <c r="F82" s="106">
        <f t="shared" si="27"/>
        <v>0</v>
      </c>
      <c r="G82" s="106">
        <f t="shared" si="27"/>
        <v>2090.322580645161</v>
      </c>
      <c r="H82" s="106">
        <f t="shared" si="27"/>
        <v>3023.9999999999995</v>
      </c>
      <c r="I82" s="106">
        <f t="shared" si="27"/>
        <v>4320.0000000000009</v>
      </c>
      <c r="J82" s="106">
        <f t="shared" si="27"/>
        <v>4180.645161290322</v>
      </c>
      <c r="K82" s="106">
        <f t="shared" si="27"/>
        <v>4320.0000000000009</v>
      </c>
      <c r="L82" s="106">
        <f t="shared" si="27"/>
        <v>4180.645161290322</v>
      </c>
      <c r="M82" s="106">
        <f t="shared" si="27"/>
        <v>4320.0000000000009</v>
      </c>
      <c r="N82" s="73">
        <f t="shared" si="28"/>
        <v>26435.612903225807</v>
      </c>
    </row>
    <row r="83" spans="1:14" x14ac:dyDescent="0.2">
      <c r="A83" s="72" t="s">
        <v>54</v>
      </c>
      <c r="B83" s="72"/>
      <c r="C83" s="72"/>
      <c r="D83" s="72"/>
      <c r="E83" s="106">
        <f t="shared" si="27"/>
        <v>0</v>
      </c>
      <c r="F83" s="106">
        <f t="shared" si="27"/>
        <v>0</v>
      </c>
      <c r="G83" s="106">
        <f t="shared" si="27"/>
        <v>300</v>
      </c>
      <c r="H83" s="106">
        <f t="shared" si="27"/>
        <v>620</v>
      </c>
      <c r="I83" s="106">
        <f t="shared" si="27"/>
        <v>600</v>
      </c>
      <c r="J83" s="106">
        <f t="shared" si="27"/>
        <v>600</v>
      </c>
      <c r="K83" s="106">
        <f t="shared" si="27"/>
        <v>600</v>
      </c>
      <c r="L83" s="106">
        <f t="shared" si="27"/>
        <v>600</v>
      </c>
      <c r="M83" s="106">
        <f t="shared" si="27"/>
        <v>600</v>
      </c>
      <c r="N83" s="73">
        <f t="shared" si="28"/>
        <v>3920</v>
      </c>
    </row>
    <row r="84" spans="1:14" x14ac:dyDescent="0.2">
      <c r="A84" s="83" t="s">
        <v>8</v>
      </c>
      <c r="B84" s="84">
        <f>SUM(B78:B83)</f>
        <v>0</v>
      </c>
      <c r="C84" s="84">
        <f>SUM(C78:C83)</f>
        <v>0</v>
      </c>
      <c r="D84" s="84">
        <f>SUM(D78:D83)</f>
        <v>0</v>
      </c>
      <c r="E84" s="84">
        <f>SUM(E78:E83)</f>
        <v>3700.6451612903224</v>
      </c>
      <c r="F84" s="84">
        <f t="shared" ref="F84:M84" si="29">SUM(F78:F83)</f>
        <v>5780</v>
      </c>
      <c r="G84" s="84">
        <f t="shared" si="29"/>
        <v>12730.092165898617</v>
      </c>
      <c r="H84" s="84">
        <f t="shared" si="29"/>
        <v>18482</v>
      </c>
      <c r="I84" s="84">
        <f t="shared" si="29"/>
        <v>21433.714285714286</v>
      </c>
      <c r="J84" s="84">
        <f t="shared" si="29"/>
        <v>20939.72350230415</v>
      </c>
      <c r="K84" s="84">
        <f t="shared" si="29"/>
        <v>21790.514285714286</v>
      </c>
      <c r="L84" s="84">
        <f t="shared" si="29"/>
        <v>21009.400921658987</v>
      </c>
      <c r="M84" s="84">
        <f t="shared" si="29"/>
        <v>21864.914285714287</v>
      </c>
      <c r="N84" s="105">
        <f t="shared" si="28"/>
        <v>147731.00460829493</v>
      </c>
    </row>
    <row r="85" spans="1:14" x14ac:dyDescent="0.2">
      <c r="N85" s="79"/>
    </row>
  </sheetData>
  <mergeCells count="6">
    <mergeCell ref="F12:I12"/>
    <mergeCell ref="J12:L12"/>
    <mergeCell ref="A13:A14"/>
    <mergeCell ref="A40:A41"/>
    <mergeCell ref="B40:F40"/>
    <mergeCell ref="G40:K4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2026-04-06T11:03:04Z</dcterms:created>
  <dcterms:modified xsi:type="dcterms:W3CDTF">2026-04-06T11:08:40Z</dcterms:modified>
</cp:coreProperties>
</file>