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.ho/Desktop/Work/Analytics/"/>
    </mc:Choice>
  </mc:AlternateContent>
  <xr:revisionPtr revIDLastSave="0" documentId="13_ncr:1_{B2FE4D57-3651-E54B-9603-8F78511AD1E0}" xr6:coauthVersionLast="47" xr6:coauthVersionMax="47" xr10:uidLastSave="{00000000-0000-0000-0000-000000000000}"/>
  <bookViews>
    <workbookView xWindow="1080" yWindow="1240" windowWidth="27640" windowHeight="16740" xr2:uid="{03B455F3-C727-0240-A9D8-97D3CB0604F2}"/>
  </bookViews>
  <sheets>
    <sheet name="P&amp;L simulation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C29" i="2"/>
  <c r="C21" i="2"/>
  <c r="H17" i="2"/>
  <c r="H16" i="2"/>
  <c r="H23" i="2"/>
  <c r="H22" i="2"/>
  <c r="H20" i="2"/>
  <c r="H19" i="2"/>
  <c r="H18" i="2"/>
  <c r="C17" i="2"/>
  <c r="C19" i="2" s="1"/>
  <c r="C7" i="2"/>
  <c r="C8" i="2"/>
  <c r="C18" i="2" s="1"/>
  <c r="C20" i="2"/>
  <c r="C16" i="2"/>
  <c r="C30" i="2"/>
  <c r="H21" i="2" l="1"/>
  <c r="H24" i="2" s="1"/>
  <c r="C27" i="2"/>
  <c r="C28" i="2" l="1"/>
  <c r="C24" i="2" l="1"/>
  <c r="C31" i="2" l="1"/>
  <c r="C32" i="2" s="1"/>
</calcChain>
</file>

<file path=xl/sharedStrings.xml><?xml version="1.0" encoding="utf-8"?>
<sst xmlns="http://schemas.openxmlformats.org/spreadsheetml/2006/main" count="39" uniqueCount="31">
  <si>
    <t>INPUT</t>
  </si>
  <si>
    <t>Lãi suất/năm</t>
  </si>
  <si>
    <t>% Chi phí vốn</t>
  </si>
  <si>
    <t>% Chi phí rủi ro trên hạn mức OD</t>
  </si>
  <si>
    <t>Hạn mức OD bình quân</t>
  </si>
  <si>
    <t>Tỷ lệ ultilization bình quân</t>
  </si>
  <si>
    <t>Dư nợ bình quân</t>
  </si>
  <si>
    <t>% Chi phí rủi ro trên dư nợ bình quân</t>
  </si>
  <si>
    <t>Thời hạn hạn mức</t>
  </si>
  <si>
    <t>Avg.tenor</t>
  </si>
  <si>
    <t>P&amp;L - theo tỷ lê %/năm</t>
  </si>
  <si>
    <t>P&amp;L - theo số absolute</t>
  </si>
  <si>
    <t>% Doanh thu lãi (dư nợ gốc)</t>
  </si>
  <si>
    <t>% Doanh thu phí (dư nợ gốc)</t>
  </si>
  <si>
    <t>% Chi phí rủi ro (gốc)</t>
  </si>
  <si>
    <t>% Chi phí rủi ro (lãi &amp; phí)</t>
  </si>
  <si>
    <t>% Chi phí vốn (dư nợ gốc)</t>
  </si>
  <si>
    <t>% Chi phí acquisition</t>
  </si>
  <si>
    <t>% Chi phí UW + Disbursal</t>
  </si>
  <si>
    <t>% Allocation cost</t>
  </si>
  <si>
    <t>% Lợi nhuận</t>
  </si>
  <si>
    <t>TOI (1 +2-3-4)</t>
  </si>
  <si>
    <t>Risk (3)</t>
  </si>
  <si>
    <t>(TOI - RISK) before sharing</t>
  </si>
  <si>
    <t>Share to partner (tỷ lệ chia 30%)</t>
  </si>
  <si>
    <t>UW + COLL + Disbursal</t>
  </si>
  <si>
    <t>PBT Before allocation</t>
  </si>
  <si>
    <t>PBT after allocation</t>
  </si>
  <si>
    <t>Phí do partner thu/tháng</t>
  </si>
  <si>
    <t>% Chi phí rủi ro (dư nợ gốc)</t>
  </si>
  <si>
    <t>Phí quản lý ngân hàng  thu/tháng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</si>
</sst>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-* #,##0_-;\-* #,##0_-;_-* &quot;-&quot;_-;_-@_-"/>
    <numFmt numFmtId="166" formatCode="_-* #,##0.0_-;\-* #,##0.0_-;_-* &quot;-&quot;?_-;_-@_-"/>
    <numFmt numFmtId="167" formatCode="_(* #,##0_);_(* \(#,##0\);_(* &quot;-&quot;??_);_(@_)"/>
    <numFmt numFmtId="168" formatCode="_-* #,##0.00_-;\-* #,##0.00_-;_-* &quot;-&quot;??_-;_-@_-"/>
    <numFmt numFmtId="169" formatCode="_-* #,##0_-;\-* #,##0_-;_-* &quot;-&quot;??_-;_-@_-"/>
  </numFmts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rial"/>
      <family val="2"/>
    </font>
    <font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2"/>
      <color rgb="FFFF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6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1"/>
    <xf numFmtId="0" fontId="1" fillId="2" borderId="0" xfId="1" applyFont="1" applyFill="1"/>
    <xf numFmtId="0" fontId="3" fillId="3" borderId="1" xfId="1" applyFont="1" applyFill="1" applyBorder="1"/>
    <xf numFmtId="10" fontId="3" fillId="3" borderId="1" xfId="1" applyNumberFormat="1" applyFont="1" applyFill="1" applyBorder="1"/>
    <xf numFmtId="0" fontId="3" fillId="0" borderId="1" xfId="1" applyFont="1" applyBorder="1"/>
    <xf numFmtId="164" fontId="3" fillId="0" borderId="1" xfId="1" applyNumberFormat="1" applyFont="1" applyBorder="1"/>
    <xf numFmtId="0" fontId="4" fillId="0" borderId="1" xfId="1" applyFont="1" applyBorder="1"/>
    <xf numFmtId="164" fontId="4" fillId="0" borderId="1" xfId="1" applyNumberFormat="1" applyFont="1" applyBorder="1"/>
    <xf numFmtId="165" fontId="3" fillId="0" borderId="1" xfId="2" applyFont="1" applyBorder="1" applyAlignment="1">
      <alignment horizontal="right"/>
    </xf>
    <xf numFmtId="9" fontId="3" fillId="0" borderId="1" xfId="3" applyFont="1" applyBorder="1" applyAlignment="1">
      <alignment horizontal="right"/>
    </xf>
    <xf numFmtId="166" fontId="2" fillId="0" borderId="0" xfId="1" applyNumberFormat="1"/>
    <xf numFmtId="9" fontId="3" fillId="0" borderId="1" xfId="2" applyNumberFormat="1" applyFont="1" applyBorder="1" applyAlignment="1">
      <alignment horizontal="right"/>
    </xf>
    <xf numFmtId="43" fontId="3" fillId="0" borderId="1" xfId="1" applyNumberFormat="1" applyFont="1" applyBorder="1"/>
    <xf numFmtId="167" fontId="2" fillId="0" borderId="0" xfId="1" applyNumberFormat="1"/>
    <xf numFmtId="167" fontId="3" fillId="0" borderId="1" xfId="1" applyNumberFormat="1" applyFont="1" applyBorder="1"/>
    <xf numFmtId="168" fontId="4" fillId="0" borderId="1" xfId="1" applyNumberFormat="1" applyFont="1" applyBorder="1"/>
    <xf numFmtId="0" fontId="1" fillId="0" borderId="1" xfId="1" applyFont="1" applyBorder="1"/>
    <xf numFmtId="0" fontId="3" fillId="0" borderId="0" xfId="1" applyFont="1"/>
    <xf numFmtId="169" fontId="2" fillId="0" borderId="0" xfId="1" applyNumberFormat="1"/>
    <xf numFmtId="0" fontId="1" fillId="0" borderId="0" xfId="1" applyFont="1" applyAlignment="1">
      <alignment horizontal="center"/>
    </xf>
    <xf numFmtId="0" fontId="5" fillId="0" borderId="2" xfId="1" applyFont="1" applyBorder="1"/>
    <xf numFmtId="164" fontId="4" fillId="0" borderId="1" xfId="3" applyNumberFormat="1" applyFont="1" applyBorder="1"/>
    <xf numFmtId="0" fontId="6" fillId="0" borderId="0" xfId="1" applyFont="1"/>
    <xf numFmtId="0" fontId="7" fillId="0" borderId="1" xfId="1" applyFont="1" applyBorder="1"/>
    <xf numFmtId="0" fontId="8" fillId="0" borderId="2" xfId="1" applyFont="1" applyBorder="1"/>
    <xf numFmtId="169" fontId="4" fillId="0" borderId="1" xfId="3" applyNumberFormat="1" applyFont="1" applyBorder="1"/>
    <xf numFmtId="0" fontId="9" fillId="0" borderId="2" xfId="1" applyFont="1" applyBorder="1"/>
    <xf numFmtId="164" fontId="10" fillId="0" borderId="1" xfId="1" applyNumberFormat="1" applyFont="1" applyBorder="1"/>
    <xf numFmtId="0" fontId="11" fillId="0" borderId="2" xfId="1" applyFont="1" applyBorder="1"/>
    <xf numFmtId="169" fontId="10" fillId="0" borderId="1" xfId="1" applyNumberFormat="1" applyFont="1" applyBorder="1"/>
    <xf numFmtId="164" fontId="8" fillId="0" borderId="1" xfId="3" applyNumberFormat="1" applyFont="1" applyBorder="1"/>
    <xf numFmtId="169" fontId="8" fillId="0" borderId="1" xfId="3" applyNumberFormat="1" applyFont="1" applyBorder="1"/>
    <xf numFmtId="164" fontId="8" fillId="0" borderId="1" xfId="1" applyNumberFormat="1" applyFont="1" applyBorder="1"/>
    <xf numFmtId="169" fontId="8" fillId="0" borderId="1" xfId="1" applyNumberFormat="1" applyFont="1" applyBorder="1"/>
    <xf numFmtId="169" fontId="4" fillId="0" borderId="1" xfId="1" applyNumberFormat="1" applyFont="1" applyBorder="1"/>
    <xf numFmtId="164" fontId="7" fillId="0" borderId="1" xfId="1" applyNumberFormat="1" applyFont="1" applyBorder="1"/>
    <xf numFmtId="0" fontId="7" fillId="0" borderId="0" xfId="1" applyFont="1"/>
    <xf numFmtId="164" fontId="7" fillId="0" borderId="0" xfId="1" applyNumberFormat="1" applyFont="1"/>
    <xf numFmtId="164" fontId="6" fillId="0" borderId="1" xfId="1" applyNumberFormat="1" applyFont="1" applyBorder="1"/>
    <xf numFmtId="164" fontId="6" fillId="0" borderId="0" xfId="1" applyNumberFormat="1" applyFont="1"/>
    <xf numFmtId="0" fontId="12" fillId="0" borderId="1" xfId="1" applyFont="1" applyBorder="1"/>
    <xf numFmtId="0" fontId="13" fillId="0" borderId="1" xfId="1" applyFont="1" applyBorder="1"/>
    <xf numFmtId="164" fontId="14" fillId="0" borderId="1" xfId="1" applyNumberFormat="1" applyFont="1" applyBorder="1"/>
    <xf numFmtId="0" fontId="14" fillId="0" borderId="0" xfId="1" applyFont="1"/>
    <xf numFmtId="164" fontId="14" fillId="0" borderId="0" xfId="1" applyNumberFormat="1" applyFont="1"/>
    <xf numFmtId="10" fontId="2" fillId="0" borderId="0" xfId="5" applyNumberFormat="1" applyFont="1"/>
    <xf numFmtId="165" fontId="2" fillId="0" borderId="0" xfId="1" applyNumberFormat="1"/>
    <xf numFmtId="41" fontId="2" fillId="0" borderId="0" xfId="4" applyNumberFormat="1" applyFont="1"/>
  </cellXfs>
  <cellStyles count="6">
    <cellStyle name="Comma [0]" xfId="4" builtinId="6"/>
    <cellStyle name="Comma [0] 2" xfId="2" xr:uid="{9DFCB785-F295-BF4D-B403-6C2B069E57F9}"/>
    <cellStyle name="Normal" xfId="0" builtinId="0"/>
    <cellStyle name="Normal 2" xfId="1" xr:uid="{511E1007-2C9A-C74B-BD32-52212B3E54B5}"/>
    <cellStyle name="Percent" xfId="5" builtinId="5"/>
    <cellStyle name="Percent 2" xfId="3" xr:uid="{3045CECA-EF57-6E40-97CF-D0EA3B5BE7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E816-D1EE-0B49-9CA0-9EB1958DFFBC}">
  <dimension ref="A1:I32"/>
  <sheetViews>
    <sheetView showGridLines="0" tabSelected="1" zoomScale="117" zoomScaleNormal="70" workbookViewId="0">
      <selection activeCell="I24" sqref="I24"/>
    </sheetView>
  </sheetViews>
  <sheetFormatPr baseColWidth="10" defaultColWidth="8.83203125" defaultRowHeight="15" x14ac:dyDescent="0.2"/>
  <cols>
    <col min="1" max="1" width="9.1640625" style="1" customWidth="1"/>
    <col min="2" max="2" width="37.5" style="1" customWidth="1"/>
    <col min="3" max="3" width="23.1640625" style="1" customWidth="1"/>
    <col min="4" max="4" width="8.83203125" style="1"/>
    <col min="5" max="5" width="15.6640625" style="1" bestFit="1" customWidth="1"/>
    <col min="6" max="6" width="15.1640625" style="1" bestFit="1" customWidth="1"/>
    <col min="7" max="7" width="29.5" style="1" bestFit="1" customWidth="1"/>
    <col min="8" max="8" width="17.5" style="1" customWidth="1"/>
    <col min="9" max="16384" width="8.83203125" style="1"/>
  </cols>
  <sheetData>
    <row r="1" spans="1:8" ht="16" x14ac:dyDescent="0.2">
      <c r="B1" s="2" t="s">
        <v>0</v>
      </c>
    </row>
    <row r="2" spans="1:8" x14ac:dyDescent="0.2">
      <c r="B2" s="3" t="s">
        <v>1</v>
      </c>
      <c r="C2" s="4">
        <v>0.18</v>
      </c>
    </row>
    <row r="3" spans="1:8" x14ac:dyDescent="0.2">
      <c r="B3" s="5" t="s">
        <v>2</v>
      </c>
      <c r="C3" s="6">
        <v>7.0000000000000007E-2</v>
      </c>
    </row>
    <row r="4" spans="1:8" x14ac:dyDescent="0.2">
      <c r="B4" s="7" t="s">
        <v>3</v>
      </c>
      <c r="C4" s="8">
        <v>0.02</v>
      </c>
    </row>
    <row r="5" spans="1:8" x14ac:dyDescent="0.2">
      <c r="B5" s="5" t="s">
        <v>4</v>
      </c>
      <c r="C5" s="9">
        <v>100000000</v>
      </c>
      <c r="E5" s="47"/>
      <c r="F5" s="48"/>
    </row>
    <row r="6" spans="1:8" x14ac:dyDescent="0.2">
      <c r="B6" s="5" t="s">
        <v>5</v>
      </c>
      <c r="C6" s="10">
        <v>0.17</v>
      </c>
    </row>
    <row r="7" spans="1:8" x14ac:dyDescent="0.2">
      <c r="B7" s="5" t="s">
        <v>6</v>
      </c>
      <c r="C7" s="9">
        <f>C5*C6</f>
        <v>17000000</v>
      </c>
      <c r="F7" s="11"/>
    </row>
    <row r="8" spans="1:8" x14ac:dyDescent="0.2">
      <c r="B8" s="5" t="s">
        <v>7</v>
      </c>
      <c r="C8" s="12">
        <f>C4/C6</f>
        <v>0.11764705882352941</v>
      </c>
      <c r="F8" s="11"/>
    </row>
    <row r="9" spans="1:8" x14ac:dyDescent="0.2">
      <c r="B9" s="5" t="s">
        <v>8</v>
      </c>
      <c r="C9" s="13">
        <v>12</v>
      </c>
      <c r="F9" s="14"/>
    </row>
    <row r="10" spans="1:8" x14ac:dyDescent="0.2">
      <c r="B10" s="5" t="s">
        <v>30</v>
      </c>
      <c r="C10" s="15">
        <v>50000</v>
      </c>
      <c r="D10" s="14"/>
      <c r="F10" s="11"/>
    </row>
    <row r="11" spans="1:8" x14ac:dyDescent="0.2">
      <c r="B11" s="5" t="s">
        <v>28</v>
      </c>
      <c r="C11" s="15">
        <v>50000</v>
      </c>
      <c r="D11" s="14"/>
      <c r="F11" s="11"/>
    </row>
    <row r="12" spans="1:8" x14ac:dyDescent="0.2">
      <c r="B12" s="5" t="s">
        <v>9</v>
      </c>
      <c r="C12" s="16">
        <v>7</v>
      </c>
      <c r="D12" s="14"/>
    </row>
    <row r="13" spans="1:8" x14ac:dyDescent="0.2">
      <c r="B13" s="3"/>
      <c r="C13" s="4"/>
    </row>
    <row r="14" spans="1:8" ht="16" x14ac:dyDescent="0.2">
      <c r="A14" s="17"/>
      <c r="B14" s="18"/>
      <c r="C14" s="18"/>
      <c r="F14" s="19"/>
    </row>
    <row r="15" spans="1:8" ht="16" x14ac:dyDescent="0.2">
      <c r="A15" s="17"/>
      <c r="B15" s="2" t="s">
        <v>10</v>
      </c>
      <c r="C15" s="20"/>
      <c r="F15" s="17"/>
      <c r="G15" s="2" t="s">
        <v>11</v>
      </c>
      <c r="H15" s="20"/>
    </row>
    <row r="16" spans="1:8" ht="16" x14ac:dyDescent="0.2">
      <c r="A16" s="17">
        <v>1</v>
      </c>
      <c r="B16" s="21" t="s">
        <v>12</v>
      </c>
      <c r="C16" s="22">
        <f>C2</f>
        <v>0.18</v>
      </c>
      <c r="D16" s="23"/>
      <c r="E16" s="23"/>
      <c r="F16" s="24">
        <v>1</v>
      </c>
      <c r="G16" s="25" t="s">
        <v>12</v>
      </c>
      <c r="H16" s="26">
        <f>C7*C16</f>
        <v>3060000</v>
      </c>
    </row>
    <row r="17" spans="1:9" ht="16" x14ac:dyDescent="0.2">
      <c r="A17" s="17">
        <v>2</v>
      </c>
      <c r="B17" s="21" t="s">
        <v>13</v>
      </c>
      <c r="C17" s="22">
        <f>(C10*C9+C11*C9)/C7</f>
        <v>7.0588235294117646E-2</v>
      </c>
      <c r="D17" s="23"/>
      <c r="E17" s="23"/>
      <c r="F17" s="24">
        <v>2</v>
      </c>
      <c r="G17" s="25" t="s">
        <v>13</v>
      </c>
      <c r="H17" s="26">
        <f>C17*C7</f>
        <v>1200000</v>
      </c>
    </row>
    <row r="18" spans="1:9" ht="16" x14ac:dyDescent="0.2">
      <c r="A18" s="17">
        <v>3</v>
      </c>
      <c r="B18" s="27" t="s">
        <v>29</v>
      </c>
      <c r="C18" s="28">
        <f>C8</f>
        <v>0.11764705882352941</v>
      </c>
      <c r="D18" s="40"/>
      <c r="E18" s="23"/>
      <c r="F18" s="24">
        <v>3</v>
      </c>
      <c r="G18" s="29" t="s">
        <v>14</v>
      </c>
      <c r="H18" s="30">
        <f>C4*C5</f>
        <v>2000000</v>
      </c>
    </row>
    <row r="19" spans="1:9" ht="16" x14ac:dyDescent="0.2">
      <c r="A19" s="17">
        <v>4</v>
      </c>
      <c r="B19" s="27" t="s">
        <v>15</v>
      </c>
      <c r="C19" s="28">
        <f>C18*(C16+C17)</f>
        <v>2.9480968858131489E-2</v>
      </c>
      <c r="D19" s="23"/>
      <c r="E19" s="23"/>
      <c r="F19" s="24">
        <v>4</v>
      </c>
      <c r="G19" s="29" t="s">
        <v>15</v>
      </c>
      <c r="H19" s="30">
        <f>C18*(H16+H17)</f>
        <v>501176.4705882353</v>
      </c>
    </row>
    <row r="20" spans="1:9" ht="16" x14ac:dyDescent="0.2">
      <c r="A20" s="17">
        <v>5</v>
      </c>
      <c r="B20" s="27" t="s">
        <v>16</v>
      </c>
      <c r="C20" s="31">
        <f>C3</f>
        <v>7.0000000000000007E-2</v>
      </c>
      <c r="D20" s="23"/>
      <c r="E20" s="23"/>
      <c r="F20" s="24">
        <v>5</v>
      </c>
      <c r="G20" s="29" t="s">
        <v>16</v>
      </c>
      <c r="H20" s="32">
        <f>C7*C20</f>
        <v>1190000</v>
      </c>
    </row>
    <row r="21" spans="1:9" ht="16" x14ac:dyDescent="0.2">
      <c r="A21" s="17">
        <v>6</v>
      </c>
      <c r="B21" s="27" t="s">
        <v>17</v>
      </c>
      <c r="C21" s="31">
        <f>C29</f>
        <v>1.0038062283737031E-2</v>
      </c>
      <c r="D21" s="23"/>
      <c r="E21" s="23"/>
      <c r="F21" s="24">
        <v>6</v>
      </c>
      <c r="G21" s="29" t="s">
        <v>17</v>
      </c>
      <c r="H21" s="32">
        <f>(H16+H17-H18-H19-H20)*30%</f>
        <v>170647.05882352943</v>
      </c>
    </row>
    <row r="22" spans="1:9" ht="16" x14ac:dyDescent="0.2">
      <c r="A22" s="17">
        <v>7</v>
      </c>
      <c r="B22" s="27" t="s">
        <v>18</v>
      </c>
      <c r="C22" s="33">
        <v>0.01</v>
      </c>
      <c r="D22" s="23"/>
      <c r="E22" s="23"/>
      <c r="F22" s="24">
        <v>7</v>
      </c>
      <c r="G22" s="29" t="s">
        <v>18</v>
      </c>
      <c r="H22" s="34">
        <f>C22*C7</f>
        <v>170000</v>
      </c>
    </row>
    <row r="23" spans="1:9" ht="16" x14ac:dyDescent="0.2">
      <c r="A23" s="17">
        <v>8</v>
      </c>
      <c r="B23" s="27" t="s">
        <v>19</v>
      </c>
      <c r="C23" s="33">
        <v>0.01</v>
      </c>
      <c r="D23" s="23"/>
      <c r="E23" s="23"/>
      <c r="F23" s="24">
        <v>8</v>
      </c>
      <c r="G23" s="29" t="s">
        <v>19</v>
      </c>
      <c r="H23" s="34">
        <f>C23*C7</f>
        <v>170000</v>
      </c>
    </row>
    <row r="24" spans="1:9" ht="16" x14ac:dyDescent="0.2">
      <c r="A24" s="17">
        <v>9</v>
      </c>
      <c r="B24" s="21" t="s">
        <v>20</v>
      </c>
      <c r="C24" s="8">
        <f>C16+C17-SUM(C18:C23)</f>
        <v>3.4221453287197334E-3</v>
      </c>
      <c r="D24" s="23"/>
      <c r="E24" s="23"/>
      <c r="F24" s="24">
        <v>9</v>
      </c>
      <c r="G24" s="25" t="s">
        <v>20</v>
      </c>
      <c r="H24" s="35">
        <f>H16+H17-SUM(H18:H23)</f>
        <v>58176.470588235185</v>
      </c>
      <c r="I24" s="46"/>
    </row>
    <row r="25" spans="1:9" x14ac:dyDescent="0.2">
      <c r="C25" s="23"/>
      <c r="D25" s="23"/>
      <c r="E25" s="23"/>
      <c r="F25" s="23"/>
      <c r="G25" s="23"/>
      <c r="H25" s="23"/>
    </row>
    <row r="26" spans="1:9" ht="16" x14ac:dyDescent="0.2">
      <c r="B26" s="17" t="s">
        <v>21</v>
      </c>
      <c r="C26" s="36">
        <f>C16+C17-C19-C20</f>
        <v>0.15110726643598618</v>
      </c>
      <c r="D26" s="23"/>
      <c r="E26" s="23"/>
      <c r="F26" s="23"/>
      <c r="G26" s="37"/>
      <c r="H26" s="38"/>
    </row>
    <row r="27" spans="1:9" ht="16" x14ac:dyDescent="0.2">
      <c r="B27" s="17" t="s">
        <v>22</v>
      </c>
      <c r="C27" s="36">
        <f>C8</f>
        <v>0.11764705882352941</v>
      </c>
      <c r="D27" s="23"/>
      <c r="E27" s="23"/>
      <c r="F27" s="23"/>
      <c r="G27" s="37"/>
      <c r="H27" s="38"/>
    </row>
    <row r="28" spans="1:9" ht="16" x14ac:dyDescent="0.2">
      <c r="B28" s="17" t="s">
        <v>23</v>
      </c>
      <c r="C28" s="39">
        <f>C26-C27</f>
        <v>3.3460207612456772E-2</v>
      </c>
      <c r="D28" s="23"/>
      <c r="E28" s="23"/>
      <c r="F28" s="23"/>
      <c r="G28" s="37"/>
      <c r="H28" s="40"/>
    </row>
    <row r="29" spans="1:9" ht="16" x14ac:dyDescent="0.2">
      <c r="B29" s="41" t="s">
        <v>24</v>
      </c>
      <c r="C29" s="36">
        <f>C28*30%</f>
        <v>1.0038062283737031E-2</v>
      </c>
      <c r="D29" s="23"/>
      <c r="E29" s="23"/>
      <c r="F29" s="23"/>
      <c r="G29" s="37"/>
      <c r="H29" s="38"/>
    </row>
    <row r="30" spans="1:9" ht="16" x14ac:dyDescent="0.2">
      <c r="B30" s="17" t="s">
        <v>25</v>
      </c>
      <c r="C30" s="39">
        <f>C22</f>
        <v>0.01</v>
      </c>
      <c r="D30" s="23"/>
      <c r="E30" s="23"/>
      <c r="F30" s="23"/>
      <c r="G30" s="37"/>
      <c r="H30" s="40"/>
    </row>
    <row r="31" spans="1:9" ht="16" x14ac:dyDescent="0.2">
      <c r="B31" s="17" t="s">
        <v>26</v>
      </c>
      <c r="C31" s="36">
        <f>C28-C29-C30</f>
        <v>1.3422145328719741E-2</v>
      </c>
      <c r="D31" s="23"/>
      <c r="E31" s="23"/>
      <c r="F31" s="23"/>
      <c r="G31" s="37"/>
      <c r="H31" s="38"/>
    </row>
    <row r="32" spans="1:9" ht="16" x14ac:dyDescent="0.2">
      <c r="B32" s="42" t="s">
        <v>27</v>
      </c>
      <c r="C32" s="43">
        <f>C31-C23</f>
        <v>3.4221453287197404E-3</v>
      </c>
      <c r="D32" s="23"/>
      <c r="E32" s="23"/>
      <c r="F32" s="23"/>
      <c r="G32" s="44"/>
      <c r="H32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4AA4-6D8E-CF40-9346-014404029A49}">
  <dimension ref="A1"/>
  <sheetViews>
    <sheetView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 simulation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Đình Đạm (Head of Lending Product)</dc:creator>
  <cp:lastModifiedBy>Hồ Đình Đạm (Head of Lending Product)</cp:lastModifiedBy>
  <dcterms:created xsi:type="dcterms:W3CDTF">2026-04-03T04:46:49Z</dcterms:created>
  <dcterms:modified xsi:type="dcterms:W3CDTF">2026-04-03T06:55:38Z</dcterms:modified>
</cp:coreProperties>
</file>