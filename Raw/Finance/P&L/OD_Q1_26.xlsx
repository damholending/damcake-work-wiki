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Analytics/P&amp;L/"/>
    </mc:Choice>
  </mc:AlternateContent>
  <xr:revisionPtr revIDLastSave="0" documentId="13_ncr:101_{6BCBEEF3-0433-AE42-A4A2-043E4CBCF4E1}" xr6:coauthVersionLast="47" xr6:coauthVersionMax="47" xr10:uidLastSave="{00000000-0000-0000-0000-000000000000}"/>
  <bookViews>
    <workbookView xWindow="1080" yWindow="1240" windowWidth="27640" windowHeight="16760" xr2:uid="{DF5B6132-D9DA-C74B-A6AB-A6F6A9F33259}"/>
  </bookViews>
  <sheets>
    <sheet name="NOTE" sheetId="2" r:id="rId1"/>
    <sheet name="DATA" sheetId="3" r:id="rId2"/>
    <sheet name="Leadsheet" sheetId="4" r:id="rId3"/>
    <sheet name="SAP_Speadsheet" sheetId="5" r:id="rId4"/>
    <sheet name="Saleplan&amp;PnL" sheetId="6" r:id="rId5"/>
    <sheet name="PnL_Speadsheet" sheetId="7" r:id="rId6"/>
    <sheet name="Sheet1" sheetId="1" r:id="rId7"/>
  </sheets>
  <externalReferences>
    <externalReference r:id="rId8"/>
    <externalReference r:id="rId9"/>
  </externalReferences>
  <definedNames>
    <definedName name="_____T3" localSheetId="0" hidden="1">{"'Sheet1'!$L$16"}</definedName>
    <definedName name="_____T3" hidden="1">{"'Sheet1'!$L$16"}</definedName>
    <definedName name="____T3" localSheetId="0" hidden="1">{"'Sheet1'!$L$16"}</definedName>
    <definedName name="____T3"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hidden="1">{"'Sheet1'!$L$16"}</definedName>
    <definedName name="__NSO2" localSheetId="0" hidden="1">{"'Sheet1'!$L$16"}</definedName>
    <definedName name="__NSO2" hidden="1">{"'Sheet1'!$L$16"}</definedName>
    <definedName name="__S1" localSheetId="0">{"Book1"}</definedName>
    <definedName name="__S1">{"Book1"}</definedName>
    <definedName name="__T3" localSheetId="0" hidden="1">{"'Sheet1'!$L$16"}</definedName>
    <definedName name="__T3"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0">(PeriodInActual*(#REF!&gt;0))*PeriodInPlan</definedName>
    <definedName name="Actual">(PeriodInActual*(#REF!&gt;0))*PeriodInPlan</definedName>
    <definedName name="ActualBeyond" localSheetId="0">PeriodInActual*(#REF!&gt;0)</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hidden="1">{"'Sheet1'!$L$16"}</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hidden="1">{0,#N/A,FALSE,0;0,#N/A,FALSE,0;0,#N/A,FALSE,0;0,#N/A,FALSE,0;0,#N/A,FALSE,0;0,#N/A,FALSE,0;0,#N/A,FALSE,0}</definedName>
    <definedName name="asdjfhop" localSheetId="0"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hidden="1">{"CSheet",#N/A,FALSE,"C";"SmCap",#N/A,FALSE,"VAL1";"GulfCoast",#N/A,FALSE,"VAL1";"nav",#N/A,FALSE,"NAV";"Summary",#N/A,FALSE,"NAV"}</definedName>
    <definedName name="fshg" localSheetId="0"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hidden="1">{"'Sheet1'!$L$16"}</definedName>
    <definedName name="Hoang" localSheetId="0">{"Book1"}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{"Book1"}</definedName>
    <definedName name="huy" localSheetId="0"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hidden="1">{#N/A,"DR",FALSE,"increm pf";#N/A,"MAMSI",FALSE,"increm pf";#N/A,"MAXI",FALSE,"increm pf";#N/A,"PCAM",FALSE,"increm pf";#N/A,"PHSV",FALSE,"increm pf";#N/A,"SIE",FALSE,"increm pf"}</definedName>
    <definedName name="PercentComplete" localSheetId="0">[0]!PercentCompleteBeyond*[0]!PeriodInPlan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0">PeriodInPlan*(#REF!&gt;0)</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hidden="1">{"'Sheet1'!$L$16"}</definedName>
    <definedName name="prd" hidden="1">{"Netbacks",#N/A,FALSE,"Netbacks"}</definedName>
    <definedName name="prd." hidden="1">{"IS Years",#N/A,FALSE,"Income Statement";"IS Q96",#N/A,FALSE,"Income Statement";"IS Q97",#N/A,FALSE,"Income Statement";"Corporate",#N/A,FALSE,"Corporate Profile";"Netbacks",#N/A,FALSE,"Netbacks"}</definedName>
    <definedName name="_xlnm.Print_Area" localSheetId="4">'Saleplan&amp;PnL'!$A$1:$AO$33</definedName>
    <definedName name="_xlnm.Print_Area" localSheetId="3">SAP_Speadsheet!$A$1:$BG$211</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hidden="1">{"Total",#N/A,FALSE,"Six Fields";"PDP",#N/A,FALSE,"Six Fields";"PNP",#N/A,FALSE,"Six Fields";"PUD",#N/A,FALSE,"Six Fields";"Prob",#N/A,FALSE,"Six Fields"}</definedName>
    <definedName name="sdgfdh" localSheetId="0" hidden="1">{"'Sheet1'!$L$16"}</definedName>
    <definedName name="sdgfdh" hidden="1">{"'Sheet1'!$L$16"}</definedName>
    <definedName name="sdhrt" localSheetId="0" hidden="1">{"'Sheet1'!$L$16"}</definedName>
    <definedName name="sdhrt" hidden="1">{"'Sheet1'!$L$16"}</definedName>
    <definedName name="sencount" hidden="1">2</definedName>
    <definedName name="seyrt" localSheetId="0" hidden="1">{"'Sheet1'!$L$16"}</definedName>
    <definedName name="seyrt" hidden="1">{"'Sheet1'!$L$16"}</definedName>
    <definedName name="sgfhg" localSheetId="0"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hidden="1">{#N/A,#N/A,FALSE,"Chi tiÆt"}</definedName>
    <definedName name="shfgb" localSheetId="0" hidden="1">{"'Sheet1'!$L$16"}</definedName>
    <definedName name="shfgb" hidden="1">{"'Sheet1'!$L$16"}</definedName>
    <definedName name="shfgf" localSheetId="0"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hidden="1">{"'Sheet1'!$L$16"}</definedName>
    <definedName name="TABLE" localSheetId="0">#REF!</definedName>
    <definedName name="TABLE">#REF!</definedName>
    <definedName name="table_total_apps" localSheetId="0">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hidden="1">{"'Sheet1'!$L$16"}</definedName>
    <definedName name="thang10" localSheetId="0">{"Book1"}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hidden="1">{#N/A,#N/A,FALSE,"Chi tiÆt"}</definedName>
    <definedName name="wrn.Corporate." hidden="1">{"Corporate",#N/A,FALSE,"Corporate Profile"}</definedName>
    <definedName name="wrn.cotop." hidden="1">{"ReportTop",#N/A,FALSE,"report top"}</definedName>
    <definedName name="wrn.cotop2." hidden="1">{"ReportTop",#N/A,FALSE,"report top"}</definedName>
    <definedName name="wrn.FCB." hidden="1">{"FCB_ALL",#N/A,FALSE,"FCB"}</definedName>
    <definedName name="wrn.fcb2" hidden="1">{"FCB_ALL",#N/A,FALSE,"FCB"}</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hidden="1">{"IS Q96",#N/A,FALSE,"Income Statement"}</definedName>
    <definedName name="wrn.IS._.Q97." hidden="1">{"IS Q97",#N/A,FALSE,"Income Statement"}</definedName>
    <definedName name="wrn.IS._.Years." hidden="1">{"IS Years",#N/A,FALSE,"Income Statement"}</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hidden="1">{"Netbacks",#N/A,FALSE,"Netbacks"}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hidden="1">{"IS Years",#N/A,FALSE,"Income Statement";"IS Q96",#N/A,FALSE,"Income Statement";"IS Q97",#N/A,FALSE,"Income Statement";"Corporate",#N/A,FALSE,"Corporate Profile";"Netbacks",#N/A,FALSE,"Netbacks"}</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hidden="1">{"Total",#N/A,FALSE,"Six Fields";"PDP",#N/A,FALSE,"Six Fields";"PNP",#N/A,FALSE,"Six Fields";"PUD",#N/A,FALSE,"Six Fields";"Prob",#N/A,FALSE,"Six Fields"}</definedName>
    <definedName name="wrn.STAND_ALONE_BOTH." hidden="1">{"FCB_ALL",#N/A,FALSE,"FCB";"GREY_ALL",#N/A,FALSE,"GREY"}</definedName>
    <definedName name="wrn.Summary." hidden="1">{"Sum1",#N/A,FALSE,"Reserve Report";"Sum2",#N/A,FALSE,"Reserve Report";"Sum3",#N/A,FALSE,"Reserve Report";"Sum4",#N/A,FALSE,"Reserve Report"}</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{"CSheet",#N/A,FALSE,"C";"SmCap",#N/A,FALSE,"VAL1";"GulfCoast",#N/A,FALSE,"VAL1";"nav",#N/A,FALSE,"NAV";"Summary",#N/A,FALSE,"NAV"}</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4" i="7" l="1"/>
  <c r="AJ114" i="7"/>
  <c r="AI114" i="7"/>
  <c r="AH114" i="7"/>
  <c r="AG114" i="7"/>
  <c r="AF114" i="7"/>
  <c r="AE114" i="7"/>
  <c r="AD114" i="7"/>
  <c r="AC114" i="7"/>
  <c r="AB114" i="7"/>
  <c r="AA114"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K113" i="7"/>
  <c r="AJ113" i="7"/>
  <c r="AI113" i="7"/>
  <c r="AH113" i="7"/>
  <c r="AG113" i="7"/>
  <c r="AF113" i="7"/>
  <c r="AE113" i="7"/>
  <c r="AD113" i="7"/>
  <c r="AC113" i="7"/>
  <c r="AB113" i="7"/>
  <c r="AA113"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K112" i="7"/>
  <c r="AJ112" i="7"/>
  <c r="AI112" i="7"/>
  <c r="AH112" i="7"/>
  <c r="AG112" i="7"/>
  <c r="AF112" i="7"/>
  <c r="AE112" i="7"/>
  <c r="AD112" i="7"/>
  <c r="AC112" i="7"/>
  <c r="AB112" i="7"/>
  <c r="AA112"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K111" i="7"/>
  <c r="AJ111" i="7"/>
  <c r="AI111" i="7"/>
  <c r="AH111" i="7"/>
  <c r="AG111" i="7"/>
  <c r="AF111" i="7"/>
  <c r="AE111" i="7"/>
  <c r="AD111" i="7"/>
  <c r="AC111" i="7"/>
  <c r="AB111" i="7"/>
  <c r="AA111"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K110" i="7"/>
  <c r="AJ110" i="7"/>
  <c r="AI110" i="7"/>
  <c r="AH110" i="7"/>
  <c r="AG110" i="7"/>
  <c r="AF110" i="7"/>
  <c r="AE110" i="7"/>
  <c r="AD110" i="7"/>
  <c r="AC110" i="7"/>
  <c r="AB110" i="7"/>
  <c r="AA110"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K109" i="7"/>
  <c r="AJ109" i="7"/>
  <c r="AI109" i="7"/>
  <c r="AH109" i="7"/>
  <c r="AG109" i="7"/>
  <c r="AF109" i="7"/>
  <c r="AE109" i="7"/>
  <c r="AD109" i="7"/>
  <c r="AC109" i="7"/>
  <c r="AB109" i="7"/>
  <c r="AA109"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K108" i="7"/>
  <c r="AJ108" i="7"/>
  <c r="AI108" i="7"/>
  <c r="AH108" i="7"/>
  <c r="AG108" i="7"/>
  <c r="AF108" i="7"/>
  <c r="AE108" i="7"/>
  <c r="AD108" i="7"/>
  <c r="AC108" i="7"/>
  <c r="AB108" i="7"/>
  <c r="AA108"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K107" i="7"/>
  <c r="AJ107" i="7"/>
  <c r="AI107" i="7"/>
  <c r="AH107" i="7"/>
  <c r="AG107" i="7"/>
  <c r="AF107" i="7"/>
  <c r="AE107" i="7"/>
  <c r="AD107" i="7"/>
  <c r="AC107" i="7"/>
  <c r="AB107" i="7"/>
  <c r="AA107"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K106" i="7"/>
  <c r="AJ106" i="7"/>
  <c r="AI106" i="7"/>
  <c r="AH106" i="7"/>
  <c r="AG106" i="7"/>
  <c r="AF106" i="7"/>
  <c r="AE106" i="7"/>
  <c r="AD106" i="7"/>
  <c r="AC106" i="7"/>
  <c r="AB106" i="7"/>
  <c r="AA106"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K105" i="7"/>
  <c r="AJ105" i="7"/>
  <c r="AI105" i="7"/>
  <c r="AH105" i="7"/>
  <c r="AG105" i="7"/>
  <c r="AF105" i="7"/>
  <c r="AE105" i="7"/>
  <c r="AD105" i="7"/>
  <c r="AC105" i="7"/>
  <c r="AB105" i="7"/>
  <c r="AA105"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K103" i="7"/>
  <c r="AJ103" i="7"/>
  <c r="AI103" i="7"/>
  <c r="AH103" i="7"/>
  <c r="AG103" i="7"/>
  <c r="AF103" i="7"/>
  <c r="AE103" i="7"/>
  <c r="AD103" i="7"/>
  <c r="AC103" i="7"/>
  <c r="AB103" i="7"/>
  <c r="AA103"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K102" i="7"/>
  <c r="AJ102" i="7"/>
  <c r="AI102" i="7"/>
  <c r="AH102" i="7"/>
  <c r="AG102" i="7"/>
  <c r="AF102" i="7"/>
  <c r="AE102" i="7"/>
  <c r="AD102" i="7"/>
  <c r="AC102" i="7"/>
  <c r="AB102" i="7"/>
  <c r="AA102"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K101" i="7"/>
  <c r="AJ101" i="7"/>
  <c r="AI101" i="7"/>
  <c r="AH101" i="7"/>
  <c r="AG101" i="7"/>
  <c r="AF101" i="7"/>
  <c r="AE101" i="7"/>
  <c r="AD101" i="7"/>
  <c r="AC101" i="7"/>
  <c r="AB101" i="7"/>
  <c r="AA101"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K100" i="7"/>
  <c r="AJ100" i="7"/>
  <c r="AI100" i="7"/>
  <c r="AH100" i="7"/>
  <c r="AG100" i="7"/>
  <c r="AF100" i="7"/>
  <c r="AE100" i="7"/>
  <c r="AD100" i="7"/>
  <c r="AC100" i="7"/>
  <c r="AB100" i="7"/>
  <c r="AA100"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K99" i="7"/>
  <c r="AJ99" i="7"/>
  <c r="AI99" i="7"/>
  <c r="AH99" i="7"/>
  <c r="AG99" i="7"/>
  <c r="AF99" i="7"/>
  <c r="AE99" i="7"/>
  <c r="AD99" i="7"/>
  <c r="AC99" i="7"/>
  <c r="AB99" i="7"/>
  <c r="AA99" i="7"/>
  <c r="Z99" i="7"/>
  <c r="Y99" i="7"/>
  <c r="X99" i="7"/>
  <c r="W99" i="7"/>
  <c r="V99" i="7"/>
  <c r="U99" i="7"/>
  <c r="T99" i="7"/>
  <c r="S99" i="7"/>
  <c r="R99" i="7"/>
  <c r="Q99" i="7"/>
  <c r="P99" i="7"/>
  <c r="O99" i="7"/>
  <c r="N99" i="7"/>
  <c r="M99" i="7"/>
  <c r="L99" i="7"/>
  <c r="K99" i="7"/>
  <c r="J99" i="7"/>
  <c r="I99" i="7"/>
  <c r="H99" i="7"/>
  <c r="G99" i="7"/>
  <c r="F99" i="7"/>
  <c r="E99" i="7"/>
  <c r="D99" i="7"/>
  <c r="C99" i="7"/>
  <c r="B99" i="7"/>
  <c r="AK98" i="7"/>
  <c r="AJ98" i="7"/>
  <c r="AI98" i="7"/>
  <c r="AH98" i="7"/>
  <c r="AG98" i="7"/>
  <c r="AF98" i="7"/>
  <c r="AE98" i="7"/>
  <c r="AD98" i="7"/>
  <c r="AC98" i="7"/>
  <c r="AB98" i="7"/>
  <c r="AA98" i="7"/>
  <c r="Z98" i="7"/>
  <c r="Y98" i="7"/>
  <c r="X98" i="7"/>
  <c r="W98" i="7"/>
  <c r="V98" i="7"/>
  <c r="U98" i="7"/>
  <c r="T98" i="7"/>
  <c r="S98" i="7"/>
  <c r="R98" i="7"/>
  <c r="Q98" i="7"/>
  <c r="P98" i="7"/>
  <c r="O98" i="7"/>
  <c r="N98" i="7"/>
  <c r="M98" i="7"/>
  <c r="L98" i="7"/>
  <c r="K98" i="7"/>
  <c r="J98" i="7"/>
  <c r="I98" i="7"/>
  <c r="H98" i="7"/>
  <c r="G98" i="7"/>
  <c r="F98" i="7"/>
  <c r="E98" i="7"/>
  <c r="D98" i="7"/>
  <c r="C98" i="7"/>
  <c r="B98" i="7"/>
  <c r="AK97" i="7"/>
  <c r="AJ97" i="7"/>
  <c r="AI97" i="7"/>
  <c r="AH97" i="7"/>
  <c r="AG97" i="7"/>
  <c r="AF97" i="7"/>
  <c r="AE97" i="7"/>
  <c r="AD97" i="7"/>
  <c r="AC97" i="7"/>
  <c r="AB97" i="7"/>
  <c r="AA97" i="7"/>
  <c r="Z97" i="7"/>
  <c r="Y97" i="7"/>
  <c r="X97" i="7"/>
  <c r="W97" i="7"/>
  <c r="V97" i="7"/>
  <c r="U97" i="7"/>
  <c r="T97" i="7"/>
  <c r="S97" i="7"/>
  <c r="R97" i="7"/>
  <c r="Q97" i="7"/>
  <c r="P97" i="7"/>
  <c r="O97" i="7"/>
  <c r="N97" i="7"/>
  <c r="M97" i="7"/>
  <c r="L97" i="7"/>
  <c r="K97" i="7"/>
  <c r="J97" i="7"/>
  <c r="I97" i="7"/>
  <c r="H97" i="7"/>
  <c r="G97" i="7"/>
  <c r="F97" i="7"/>
  <c r="E97" i="7"/>
  <c r="D97" i="7"/>
  <c r="C97" i="7"/>
  <c r="B97" i="7"/>
  <c r="AK96" i="7"/>
  <c r="AJ96" i="7"/>
  <c r="AI96" i="7"/>
  <c r="AH96" i="7"/>
  <c r="AG96" i="7"/>
  <c r="AF96" i="7"/>
  <c r="AE96" i="7"/>
  <c r="AD96" i="7"/>
  <c r="AC96" i="7"/>
  <c r="AB96" i="7"/>
  <c r="AA96" i="7"/>
  <c r="Z96" i="7"/>
  <c r="Y96" i="7"/>
  <c r="X96" i="7"/>
  <c r="W96" i="7"/>
  <c r="V96" i="7"/>
  <c r="U96" i="7"/>
  <c r="T96" i="7"/>
  <c r="S96" i="7"/>
  <c r="R96" i="7"/>
  <c r="Q96" i="7"/>
  <c r="P96" i="7"/>
  <c r="O96" i="7"/>
  <c r="N96" i="7"/>
  <c r="M96" i="7"/>
  <c r="L96" i="7"/>
  <c r="K96" i="7"/>
  <c r="J96" i="7"/>
  <c r="I96" i="7"/>
  <c r="H96" i="7"/>
  <c r="G96" i="7"/>
  <c r="F96" i="7"/>
  <c r="E96" i="7"/>
  <c r="D96" i="7"/>
  <c r="C96" i="7"/>
  <c r="B96" i="7"/>
  <c r="AK95" i="7"/>
  <c r="AJ95" i="7"/>
  <c r="AI95" i="7"/>
  <c r="AH95" i="7"/>
  <c r="AG95" i="7"/>
  <c r="AF95" i="7"/>
  <c r="AE95" i="7"/>
  <c r="AD95" i="7"/>
  <c r="AC95" i="7"/>
  <c r="AB95" i="7"/>
  <c r="AA95" i="7"/>
  <c r="Z95" i="7"/>
  <c r="Y95" i="7"/>
  <c r="X95" i="7"/>
  <c r="W95" i="7"/>
  <c r="V95" i="7"/>
  <c r="U95" i="7"/>
  <c r="T95" i="7"/>
  <c r="S95" i="7"/>
  <c r="R95" i="7"/>
  <c r="Q95" i="7"/>
  <c r="P95" i="7"/>
  <c r="O95" i="7"/>
  <c r="N95" i="7"/>
  <c r="M95" i="7"/>
  <c r="L95" i="7"/>
  <c r="K95" i="7"/>
  <c r="J95" i="7"/>
  <c r="I95" i="7"/>
  <c r="H95" i="7"/>
  <c r="G95" i="7"/>
  <c r="F95" i="7"/>
  <c r="E95" i="7"/>
  <c r="D95" i="7"/>
  <c r="C95" i="7"/>
  <c r="B95" i="7"/>
  <c r="AK94" i="7"/>
  <c r="AJ94" i="7"/>
  <c r="AI94" i="7"/>
  <c r="AH94" i="7"/>
  <c r="AG94" i="7"/>
  <c r="AF94" i="7"/>
  <c r="AE94" i="7"/>
  <c r="AD94" i="7"/>
  <c r="AC94" i="7"/>
  <c r="AB94" i="7"/>
  <c r="AA94" i="7"/>
  <c r="Z94" i="7"/>
  <c r="Y94" i="7"/>
  <c r="X94" i="7"/>
  <c r="W94" i="7"/>
  <c r="V94" i="7"/>
  <c r="U94" i="7"/>
  <c r="T94" i="7"/>
  <c r="S94" i="7"/>
  <c r="R94" i="7"/>
  <c r="Q94" i="7"/>
  <c r="P94" i="7"/>
  <c r="O94" i="7"/>
  <c r="N94" i="7"/>
  <c r="M94" i="7"/>
  <c r="L94" i="7"/>
  <c r="K94" i="7"/>
  <c r="J94" i="7"/>
  <c r="I94" i="7"/>
  <c r="H94" i="7"/>
  <c r="G94" i="7"/>
  <c r="F94" i="7"/>
  <c r="E94" i="7"/>
  <c r="D94" i="7"/>
  <c r="C94" i="7"/>
  <c r="B94" i="7"/>
  <c r="AK93" i="7"/>
  <c r="AJ93" i="7"/>
  <c r="AI93" i="7"/>
  <c r="AH93" i="7"/>
  <c r="AG93" i="7"/>
  <c r="AF93" i="7"/>
  <c r="AE93" i="7"/>
  <c r="AD93" i="7"/>
  <c r="AC93" i="7"/>
  <c r="AB93" i="7"/>
  <c r="AA93" i="7"/>
  <c r="Z93" i="7"/>
  <c r="Y93" i="7"/>
  <c r="X93" i="7"/>
  <c r="W93" i="7"/>
  <c r="V93" i="7"/>
  <c r="U93" i="7"/>
  <c r="T93" i="7"/>
  <c r="S93" i="7"/>
  <c r="R93" i="7"/>
  <c r="Q93" i="7"/>
  <c r="P93" i="7"/>
  <c r="O93" i="7"/>
  <c r="N93" i="7"/>
  <c r="M93" i="7"/>
  <c r="L93" i="7"/>
  <c r="K93" i="7"/>
  <c r="J93" i="7"/>
  <c r="I93" i="7"/>
  <c r="H93" i="7"/>
  <c r="G93" i="7"/>
  <c r="F93" i="7"/>
  <c r="E93" i="7"/>
  <c r="D93" i="7"/>
  <c r="C93" i="7"/>
  <c r="B93" i="7"/>
  <c r="AK92" i="7"/>
  <c r="AJ92" i="7"/>
  <c r="AI92" i="7"/>
  <c r="AH92" i="7"/>
  <c r="AG92" i="7"/>
  <c r="AF92" i="7"/>
  <c r="AE92" i="7"/>
  <c r="AD92" i="7"/>
  <c r="AC92" i="7"/>
  <c r="AB92" i="7"/>
  <c r="AA92" i="7"/>
  <c r="Z92" i="7"/>
  <c r="Y92" i="7"/>
  <c r="X92" i="7"/>
  <c r="W92" i="7"/>
  <c r="V92" i="7"/>
  <c r="U92" i="7"/>
  <c r="T92" i="7"/>
  <c r="S92" i="7"/>
  <c r="R92" i="7"/>
  <c r="Q92" i="7"/>
  <c r="P92" i="7"/>
  <c r="O92" i="7"/>
  <c r="N92" i="7"/>
  <c r="M92" i="7"/>
  <c r="L92" i="7"/>
  <c r="K92" i="7"/>
  <c r="J92" i="7"/>
  <c r="I92" i="7"/>
  <c r="H92" i="7"/>
  <c r="G92" i="7"/>
  <c r="F92" i="7"/>
  <c r="E92" i="7"/>
  <c r="D92" i="7"/>
  <c r="C92" i="7"/>
  <c r="B92" i="7"/>
  <c r="AK91" i="7"/>
  <c r="AJ91" i="7"/>
  <c r="AI91" i="7"/>
  <c r="AH91" i="7"/>
  <c r="AG91" i="7"/>
  <c r="AF91" i="7"/>
  <c r="AE91" i="7"/>
  <c r="AD91" i="7"/>
  <c r="AC91" i="7"/>
  <c r="AB91" i="7"/>
  <c r="AA91" i="7"/>
  <c r="Z91" i="7"/>
  <c r="Y91" i="7"/>
  <c r="X91" i="7"/>
  <c r="W91" i="7"/>
  <c r="V91" i="7"/>
  <c r="U91" i="7"/>
  <c r="T91" i="7"/>
  <c r="S91" i="7"/>
  <c r="R91" i="7"/>
  <c r="Q91" i="7"/>
  <c r="P91" i="7"/>
  <c r="O91" i="7"/>
  <c r="N91" i="7"/>
  <c r="M91" i="7"/>
  <c r="L91" i="7"/>
  <c r="K91" i="7"/>
  <c r="J91" i="7"/>
  <c r="I91" i="7"/>
  <c r="H91" i="7"/>
  <c r="G91" i="7"/>
  <c r="F91" i="7"/>
  <c r="E91" i="7"/>
  <c r="D91" i="7"/>
  <c r="C91" i="7"/>
  <c r="B91" i="7"/>
  <c r="AJ90" i="7"/>
  <c r="AI90" i="7"/>
  <c r="AH90" i="7"/>
  <c r="AG90" i="7"/>
  <c r="AF90" i="7"/>
  <c r="AE90" i="7"/>
  <c r="AD90" i="7"/>
  <c r="AC90" i="7"/>
  <c r="AB90" i="7"/>
  <c r="AA90" i="7"/>
  <c r="Z90" i="7"/>
  <c r="Y90" i="7"/>
  <c r="X90" i="7"/>
  <c r="W90" i="7"/>
  <c r="V90" i="7"/>
  <c r="U90" i="7"/>
  <c r="T90" i="7"/>
  <c r="S90" i="7"/>
  <c r="R90" i="7"/>
  <c r="Q90" i="7"/>
  <c r="P90" i="7"/>
  <c r="O90" i="7"/>
  <c r="N90" i="7"/>
  <c r="M90" i="7"/>
  <c r="L90" i="7"/>
  <c r="K90" i="7"/>
  <c r="J90" i="7"/>
  <c r="I90" i="7"/>
  <c r="H90" i="7"/>
  <c r="G90" i="7"/>
  <c r="F90" i="7"/>
  <c r="E90" i="7"/>
  <c r="D90" i="7"/>
  <c r="C90" i="7"/>
  <c r="B90" i="7"/>
  <c r="AI89" i="7"/>
  <c r="AH89" i="7"/>
  <c r="AG89" i="7"/>
  <c r="AF89" i="7"/>
  <c r="AE89" i="7"/>
  <c r="AD89" i="7"/>
  <c r="AC89" i="7"/>
  <c r="AB89" i="7"/>
  <c r="AA89" i="7"/>
  <c r="Z89" i="7"/>
  <c r="Y89" i="7"/>
  <c r="X89" i="7"/>
  <c r="W89" i="7"/>
  <c r="V89" i="7"/>
  <c r="U89" i="7"/>
  <c r="T89" i="7"/>
  <c r="S89" i="7"/>
  <c r="R89" i="7"/>
  <c r="Q89" i="7"/>
  <c r="P89" i="7"/>
  <c r="O89" i="7"/>
  <c r="N89" i="7"/>
  <c r="M89" i="7"/>
  <c r="L89" i="7"/>
  <c r="K89" i="7"/>
  <c r="J89" i="7"/>
  <c r="I89" i="7"/>
  <c r="H89" i="7"/>
  <c r="G89" i="7"/>
  <c r="F89" i="7"/>
  <c r="E89" i="7"/>
  <c r="D89" i="7"/>
  <c r="C89" i="7"/>
  <c r="B89" i="7"/>
  <c r="AH88" i="7"/>
  <c r="AG88" i="7"/>
  <c r="AF88" i="7"/>
  <c r="AE88" i="7"/>
  <c r="AD88" i="7"/>
  <c r="AC88" i="7"/>
  <c r="AB88" i="7"/>
  <c r="AA88" i="7"/>
  <c r="Z88" i="7"/>
  <c r="Y88" i="7"/>
  <c r="X88" i="7"/>
  <c r="W88" i="7"/>
  <c r="V88" i="7"/>
  <c r="U88" i="7"/>
  <c r="T88" i="7"/>
  <c r="S88" i="7"/>
  <c r="R88" i="7"/>
  <c r="Q88" i="7"/>
  <c r="P88" i="7"/>
  <c r="O88" i="7"/>
  <c r="N88" i="7"/>
  <c r="M88" i="7"/>
  <c r="L88" i="7"/>
  <c r="K88" i="7"/>
  <c r="J88" i="7"/>
  <c r="I88" i="7"/>
  <c r="H88" i="7"/>
  <c r="G88" i="7"/>
  <c r="F88" i="7"/>
  <c r="E88" i="7"/>
  <c r="D88" i="7"/>
  <c r="C88" i="7"/>
  <c r="B88" i="7"/>
  <c r="AG87" i="7"/>
  <c r="AF87" i="7"/>
  <c r="AE87" i="7"/>
  <c r="AD87" i="7"/>
  <c r="AC87" i="7"/>
  <c r="AB87" i="7"/>
  <c r="AA87" i="7"/>
  <c r="Z87" i="7"/>
  <c r="Y87" i="7"/>
  <c r="X87" i="7"/>
  <c r="W87" i="7"/>
  <c r="V87" i="7"/>
  <c r="U87" i="7"/>
  <c r="T87" i="7"/>
  <c r="S87" i="7"/>
  <c r="R87" i="7"/>
  <c r="Q87" i="7"/>
  <c r="P87" i="7"/>
  <c r="O87" i="7"/>
  <c r="N87" i="7"/>
  <c r="M87" i="7"/>
  <c r="L87" i="7"/>
  <c r="K87" i="7"/>
  <c r="J87" i="7"/>
  <c r="I87" i="7"/>
  <c r="H87" i="7"/>
  <c r="G87" i="7"/>
  <c r="F87" i="7"/>
  <c r="E87" i="7"/>
  <c r="D87" i="7"/>
  <c r="C87" i="7"/>
  <c r="B87" i="7"/>
  <c r="AF86" i="7"/>
  <c r="AE86" i="7"/>
  <c r="AD86" i="7"/>
  <c r="AC86" i="7"/>
  <c r="AB86" i="7"/>
  <c r="AA86" i="7"/>
  <c r="Z86" i="7"/>
  <c r="Y86" i="7"/>
  <c r="X86" i="7"/>
  <c r="W86" i="7"/>
  <c r="V86" i="7"/>
  <c r="U86" i="7"/>
  <c r="T86" i="7"/>
  <c r="S86" i="7"/>
  <c r="R86" i="7"/>
  <c r="Q86" i="7"/>
  <c r="P86" i="7"/>
  <c r="O86" i="7"/>
  <c r="N86" i="7"/>
  <c r="M86" i="7"/>
  <c r="L86" i="7"/>
  <c r="K86" i="7"/>
  <c r="J86" i="7"/>
  <c r="I86" i="7"/>
  <c r="H86" i="7"/>
  <c r="G86" i="7"/>
  <c r="F86" i="7"/>
  <c r="E86" i="7"/>
  <c r="D86" i="7"/>
  <c r="C86" i="7"/>
  <c r="B86" i="7"/>
  <c r="AE85" i="7"/>
  <c r="AD85" i="7"/>
  <c r="AC85" i="7"/>
  <c r="AB85" i="7"/>
  <c r="AA85" i="7"/>
  <c r="Z85" i="7"/>
  <c r="Y85" i="7"/>
  <c r="X85" i="7"/>
  <c r="W85" i="7"/>
  <c r="V85" i="7"/>
  <c r="U85" i="7"/>
  <c r="T85" i="7"/>
  <c r="S85" i="7"/>
  <c r="R85" i="7"/>
  <c r="Q85" i="7"/>
  <c r="P85" i="7"/>
  <c r="O85" i="7"/>
  <c r="N85" i="7"/>
  <c r="M85" i="7"/>
  <c r="L85" i="7"/>
  <c r="K85" i="7"/>
  <c r="J85" i="7"/>
  <c r="I85" i="7"/>
  <c r="H85" i="7"/>
  <c r="G85" i="7"/>
  <c r="F85" i="7"/>
  <c r="E85" i="7"/>
  <c r="D85" i="7"/>
  <c r="C85" i="7"/>
  <c r="B85" i="7"/>
  <c r="AD84" i="7"/>
  <c r="AC84" i="7"/>
  <c r="AB84" i="7"/>
  <c r="AA84" i="7"/>
  <c r="Z84" i="7"/>
  <c r="Y84" i="7"/>
  <c r="X84" i="7"/>
  <c r="W84" i="7"/>
  <c r="V84" i="7"/>
  <c r="U84" i="7"/>
  <c r="T84" i="7"/>
  <c r="S84" i="7"/>
  <c r="R84" i="7"/>
  <c r="Q84" i="7"/>
  <c r="P84" i="7"/>
  <c r="O84" i="7"/>
  <c r="N84" i="7"/>
  <c r="M84" i="7"/>
  <c r="L84" i="7"/>
  <c r="K84" i="7"/>
  <c r="J84" i="7"/>
  <c r="I84" i="7"/>
  <c r="H84" i="7"/>
  <c r="G84" i="7"/>
  <c r="F84" i="7"/>
  <c r="E84" i="7"/>
  <c r="D84" i="7"/>
  <c r="C84" i="7"/>
  <c r="B84" i="7"/>
  <c r="AC83" i="7"/>
  <c r="AB83" i="7"/>
  <c r="AA83" i="7"/>
  <c r="Z83" i="7"/>
  <c r="Y83" i="7"/>
  <c r="X83" i="7"/>
  <c r="W83" i="7"/>
  <c r="V83" i="7"/>
  <c r="U83" i="7"/>
  <c r="T83" i="7"/>
  <c r="S83" i="7"/>
  <c r="R83" i="7"/>
  <c r="Q83" i="7"/>
  <c r="P83" i="7"/>
  <c r="O83" i="7"/>
  <c r="N83" i="7"/>
  <c r="M83" i="7"/>
  <c r="L83" i="7"/>
  <c r="K83" i="7"/>
  <c r="J83" i="7"/>
  <c r="I83" i="7"/>
  <c r="H83" i="7"/>
  <c r="G83" i="7"/>
  <c r="F83" i="7"/>
  <c r="E83" i="7"/>
  <c r="D83" i="7"/>
  <c r="C83" i="7"/>
  <c r="B83" i="7"/>
  <c r="AB82" i="7"/>
  <c r="AA82" i="7"/>
  <c r="Z82" i="7"/>
  <c r="Y82" i="7"/>
  <c r="X82" i="7"/>
  <c r="W82" i="7"/>
  <c r="V82" i="7"/>
  <c r="U82" i="7"/>
  <c r="T82" i="7"/>
  <c r="S82" i="7"/>
  <c r="R82" i="7"/>
  <c r="Q82" i="7"/>
  <c r="P82" i="7"/>
  <c r="O82" i="7"/>
  <c r="N82" i="7"/>
  <c r="M82" i="7"/>
  <c r="L82" i="7"/>
  <c r="K82" i="7"/>
  <c r="J82" i="7"/>
  <c r="I82" i="7"/>
  <c r="H82" i="7"/>
  <c r="G82" i="7"/>
  <c r="F82" i="7"/>
  <c r="E82" i="7"/>
  <c r="D82" i="7"/>
  <c r="C82" i="7"/>
  <c r="B82" i="7"/>
  <c r="AB81" i="7"/>
  <c r="AA81" i="7"/>
  <c r="Z81" i="7"/>
  <c r="Y81" i="7"/>
  <c r="X81" i="7"/>
  <c r="W81" i="7"/>
  <c r="V81" i="7"/>
  <c r="U81" i="7"/>
  <c r="T81" i="7"/>
  <c r="S81" i="7"/>
  <c r="R81" i="7"/>
  <c r="Q81" i="7"/>
  <c r="P81" i="7"/>
  <c r="O81" i="7"/>
  <c r="N81" i="7"/>
  <c r="M81" i="7"/>
  <c r="L81" i="7"/>
  <c r="K81" i="7"/>
  <c r="J81" i="7"/>
  <c r="I81" i="7"/>
  <c r="H81" i="7"/>
  <c r="G81" i="7"/>
  <c r="F81" i="7"/>
  <c r="E81" i="7"/>
  <c r="D81" i="7"/>
  <c r="C81" i="7"/>
  <c r="B81" i="7"/>
  <c r="AI80" i="7"/>
  <c r="Z80" i="7"/>
  <c r="Y80" i="7"/>
  <c r="X80" i="7"/>
  <c r="W80" i="7"/>
  <c r="V80" i="7"/>
  <c r="U80" i="7"/>
  <c r="T80" i="7"/>
  <c r="S80" i="7"/>
  <c r="R80" i="7"/>
  <c r="Q80" i="7"/>
  <c r="P80" i="7"/>
  <c r="O80" i="7"/>
  <c r="N80" i="7"/>
  <c r="M80" i="7"/>
  <c r="L80" i="7"/>
  <c r="K80" i="7"/>
  <c r="J80" i="7"/>
  <c r="I80" i="7"/>
  <c r="H80" i="7"/>
  <c r="G80" i="7"/>
  <c r="F80" i="7"/>
  <c r="E80" i="7"/>
  <c r="D80" i="7"/>
  <c r="C80" i="7"/>
  <c r="B80" i="7"/>
  <c r="AH79" i="7"/>
  <c r="AB79" i="7"/>
  <c r="Y79" i="7"/>
  <c r="X79" i="7"/>
  <c r="W79" i="7"/>
  <c r="V79" i="7"/>
  <c r="U79" i="7"/>
  <c r="T79" i="7"/>
  <c r="S79" i="7"/>
  <c r="R79" i="7"/>
  <c r="Q79" i="7"/>
  <c r="P79" i="7"/>
  <c r="O79" i="7"/>
  <c r="N79" i="7"/>
  <c r="M79" i="7"/>
  <c r="L79" i="7"/>
  <c r="K79" i="7"/>
  <c r="J79" i="7"/>
  <c r="I79" i="7"/>
  <c r="H79" i="7"/>
  <c r="G79" i="7"/>
  <c r="F79" i="7"/>
  <c r="E79" i="7"/>
  <c r="D79" i="7"/>
  <c r="C79" i="7"/>
  <c r="B79" i="7"/>
  <c r="Y78" i="7"/>
  <c r="X78" i="7"/>
  <c r="W78" i="7"/>
  <c r="V78" i="7"/>
  <c r="U78" i="7"/>
  <c r="T78" i="7"/>
  <c r="S78" i="7"/>
  <c r="R78" i="7"/>
  <c r="Q78" i="7"/>
  <c r="P78" i="7"/>
  <c r="O78" i="7"/>
  <c r="N78" i="7"/>
  <c r="M78" i="7"/>
  <c r="L78" i="7"/>
  <c r="K78" i="7"/>
  <c r="J78" i="7"/>
  <c r="I78" i="7"/>
  <c r="H78" i="7"/>
  <c r="G78" i="7"/>
  <c r="F78" i="7"/>
  <c r="E78" i="7"/>
  <c r="D78" i="7"/>
  <c r="C78" i="7"/>
  <c r="B78" i="7"/>
  <c r="W77" i="7"/>
  <c r="V77" i="7"/>
  <c r="U77" i="7"/>
  <c r="T77" i="7"/>
  <c r="S77" i="7"/>
  <c r="R77" i="7"/>
  <c r="Q77" i="7"/>
  <c r="P77" i="7"/>
  <c r="O77" i="7"/>
  <c r="N77" i="7"/>
  <c r="M77" i="7"/>
  <c r="L77" i="7"/>
  <c r="K77" i="7"/>
  <c r="J77" i="7"/>
  <c r="I77" i="7"/>
  <c r="H77" i="7"/>
  <c r="G77" i="7"/>
  <c r="F77" i="7"/>
  <c r="E77" i="7"/>
  <c r="D77" i="7"/>
  <c r="C77" i="7"/>
  <c r="B77" i="7"/>
  <c r="Y76" i="7"/>
  <c r="V76" i="7"/>
  <c r="U76" i="7"/>
  <c r="T76" i="7"/>
  <c r="S76" i="7"/>
  <c r="R76" i="7"/>
  <c r="Q76" i="7"/>
  <c r="P76" i="7"/>
  <c r="O76" i="7"/>
  <c r="N76" i="7"/>
  <c r="M76" i="7"/>
  <c r="L76" i="7"/>
  <c r="K76" i="7"/>
  <c r="J76" i="7"/>
  <c r="I76" i="7"/>
  <c r="H76" i="7"/>
  <c r="G76" i="7"/>
  <c r="F76" i="7"/>
  <c r="E76" i="7"/>
  <c r="D76" i="7"/>
  <c r="C76" i="7"/>
  <c r="B76" i="7"/>
  <c r="AD75" i="7"/>
  <c r="U75" i="7"/>
  <c r="T75" i="7"/>
  <c r="S75" i="7"/>
  <c r="R75" i="7"/>
  <c r="Q75" i="7"/>
  <c r="P75" i="7"/>
  <c r="O75" i="7"/>
  <c r="N75" i="7"/>
  <c r="M75" i="7"/>
  <c r="L75" i="7"/>
  <c r="K75" i="7"/>
  <c r="J75" i="7"/>
  <c r="I75" i="7"/>
  <c r="H75" i="7"/>
  <c r="G75" i="7"/>
  <c r="F75" i="7"/>
  <c r="E75" i="7"/>
  <c r="D75" i="7"/>
  <c r="C75" i="7"/>
  <c r="B75" i="7"/>
  <c r="T74" i="7"/>
  <c r="S74" i="7"/>
  <c r="R74" i="7"/>
  <c r="Q74" i="7"/>
  <c r="P74" i="7"/>
  <c r="O74" i="7"/>
  <c r="N74" i="7"/>
  <c r="M74" i="7"/>
  <c r="L74" i="7"/>
  <c r="K74" i="7"/>
  <c r="J74" i="7"/>
  <c r="I74" i="7"/>
  <c r="H74" i="7"/>
  <c r="G74" i="7"/>
  <c r="F74" i="7"/>
  <c r="E74" i="7"/>
  <c r="D74" i="7"/>
  <c r="C74" i="7"/>
  <c r="B74" i="7"/>
  <c r="AK73" i="7"/>
  <c r="V73" i="7"/>
  <c r="U73" i="7"/>
  <c r="S73" i="7"/>
  <c r="R73" i="7"/>
  <c r="Q73" i="7"/>
  <c r="P73" i="7"/>
  <c r="O73" i="7"/>
  <c r="N73" i="7"/>
  <c r="M73" i="7"/>
  <c r="L73" i="7"/>
  <c r="K73" i="7"/>
  <c r="J73" i="7"/>
  <c r="I73" i="7"/>
  <c r="H73" i="7"/>
  <c r="G73" i="7"/>
  <c r="F73" i="7"/>
  <c r="E73" i="7"/>
  <c r="D73" i="7"/>
  <c r="C73" i="7"/>
  <c r="B73" i="7"/>
  <c r="AC72" i="7"/>
  <c r="AA72" i="7"/>
  <c r="R72" i="7"/>
  <c r="Q72" i="7"/>
  <c r="P72" i="7"/>
  <c r="O72" i="7"/>
  <c r="N72" i="7"/>
  <c r="M72" i="7"/>
  <c r="L72" i="7"/>
  <c r="K72" i="7"/>
  <c r="J72" i="7"/>
  <c r="I72" i="7"/>
  <c r="H72" i="7"/>
  <c r="G72" i="7"/>
  <c r="F72" i="7"/>
  <c r="E72" i="7"/>
  <c r="D72" i="7"/>
  <c r="C72" i="7"/>
  <c r="B72" i="7"/>
  <c r="Z71" i="7"/>
  <c r="R71" i="7"/>
  <c r="Q71" i="7"/>
  <c r="P71" i="7"/>
  <c r="O71" i="7"/>
  <c r="N71" i="7"/>
  <c r="M71" i="7"/>
  <c r="L71" i="7"/>
  <c r="K71" i="7"/>
  <c r="J71" i="7"/>
  <c r="I71" i="7"/>
  <c r="H71" i="7"/>
  <c r="G71" i="7"/>
  <c r="F71" i="7"/>
  <c r="E71" i="7"/>
  <c r="D71" i="7"/>
  <c r="C71" i="7"/>
  <c r="B71" i="7"/>
  <c r="AI70" i="7"/>
  <c r="AG70" i="7"/>
  <c r="Y70" i="7"/>
  <c r="V70" i="7"/>
  <c r="Q70" i="7"/>
  <c r="P70" i="7"/>
  <c r="O70" i="7"/>
  <c r="N70" i="7"/>
  <c r="M70" i="7"/>
  <c r="L70" i="7"/>
  <c r="K70" i="7"/>
  <c r="J70" i="7"/>
  <c r="I70" i="7"/>
  <c r="H70" i="7"/>
  <c r="G70" i="7"/>
  <c r="F70" i="7"/>
  <c r="E70" i="7"/>
  <c r="D70" i="7"/>
  <c r="C70" i="7"/>
  <c r="B70" i="7"/>
  <c r="AH69" i="7"/>
  <c r="AE69" i="7"/>
  <c r="Z69" i="7"/>
  <c r="W69" i="7"/>
  <c r="P69" i="7"/>
  <c r="O69" i="7"/>
  <c r="N69" i="7"/>
  <c r="M69" i="7"/>
  <c r="L69" i="7"/>
  <c r="K69" i="7"/>
  <c r="J69" i="7"/>
  <c r="I69" i="7"/>
  <c r="H69" i="7"/>
  <c r="G69" i="7"/>
  <c r="F69" i="7"/>
  <c r="E69" i="7"/>
  <c r="D69" i="7"/>
  <c r="C69" i="7"/>
  <c r="B69" i="7"/>
  <c r="AG68" i="7"/>
  <c r="AD68" i="7"/>
  <c r="V68" i="7"/>
  <c r="N68" i="7"/>
  <c r="M68" i="7"/>
  <c r="L68" i="7"/>
  <c r="K68" i="7"/>
  <c r="J68" i="7"/>
  <c r="I68" i="7"/>
  <c r="H68" i="7"/>
  <c r="G68" i="7"/>
  <c r="F68" i="7"/>
  <c r="E68" i="7"/>
  <c r="D68" i="7"/>
  <c r="C68" i="7"/>
  <c r="B68" i="7"/>
  <c r="AK67" i="7"/>
  <c r="Y67" i="7"/>
  <c r="X67" i="7"/>
  <c r="U67" i="7"/>
  <c r="M67" i="7"/>
  <c r="L67" i="7"/>
  <c r="K67" i="7"/>
  <c r="J67" i="7"/>
  <c r="I67" i="7"/>
  <c r="H67" i="7"/>
  <c r="G67" i="7"/>
  <c r="F67" i="7"/>
  <c r="E67" i="7"/>
  <c r="D67" i="7"/>
  <c r="C67" i="7"/>
  <c r="B67" i="7"/>
  <c r="AJ66" i="7"/>
  <c r="AE66" i="7"/>
  <c r="AC66" i="7"/>
  <c r="W66" i="7"/>
  <c r="U66" i="7"/>
  <c r="P66" i="7"/>
  <c r="O66" i="7"/>
  <c r="M66" i="7"/>
  <c r="L66" i="7"/>
  <c r="K66" i="7"/>
  <c r="J66" i="7"/>
  <c r="I66" i="7"/>
  <c r="H66" i="7"/>
  <c r="G66" i="7"/>
  <c r="F66" i="7"/>
  <c r="E66" i="7"/>
  <c r="D66" i="7"/>
  <c r="C66" i="7"/>
  <c r="B66" i="7"/>
  <c r="AJ65" i="7"/>
  <c r="AI65" i="7"/>
  <c r="AE65" i="7"/>
  <c r="AB65" i="7"/>
  <c r="AA65" i="7"/>
  <c r="T65" i="7"/>
  <c r="S65" i="7"/>
  <c r="L65" i="7"/>
  <c r="K65" i="7"/>
  <c r="J65" i="7"/>
  <c r="I65" i="7"/>
  <c r="H65" i="7"/>
  <c r="G65" i="7"/>
  <c r="F65" i="7"/>
  <c r="E65" i="7"/>
  <c r="D65" i="7"/>
  <c r="C65" i="7"/>
  <c r="B65" i="7"/>
  <c r="AK64" i="7"/>
  <c r="AI64" i="7"/>
  <c r="AC64" i="7"/>
  <c r="AA64" i="7"/>
  <c r="V64" i="7"/>
  <c r="U64" i="7"/>
  <c r="S64" i="7"/>
  <c r="M64" i="7"/>
  <c r="K64" i="7"/>
  <c r="J64" i="7"/>
  <c r="I64" i="7"/>
  <c r="H64" i="7"/>
  <c r="G64" i="7"/>
  <c r="F64" i="7"/>
  <c r="E64" i="7"/>
  <c r="D64" i="7"/>
  <c r="C64" i="7"/>
  <c r="B64" i="7"/>
  <c r="AJ63" i="7"/>
  <c r="AH63" i="7"/>
  <c r="AG63" i="7"/>
  <c r="AB63" i="7"/>
  <c r="Z63" i="7"/>
  <c r="Y63" i="7"/>
  <c r="T63" i="7"/>
  <c r="R63" i="7"/>
  <c r="Q63" i="7"/>
  <c r="L63" i="7"/>
  <c r="J63" i="7"/>
  <c r="I63" i="7"/>
  <c r="H63" i="7"/>
  <c r="G63" i="7"/>
  <c r="F63" i="7"/>
  <c r="E63" i="7"/>
  <c r="D63" i="7"/>
  <c r="C63" i="7"/>
  <c r="B63" i="7"/>
  <c r="AI62" i="7"/>
  <c r="AF62" i="7"/>
  <c r="AA62" i="7"/>
  <c r="X62" i="7"/>
  <c r="V62" i="7"/>
  <c r="S62" i="7"/>
  <c r="P62" i="7"/>
  <c r="M62" i="7"/>
  <c r="K62" i="7"/>
  <c r="H62" i="7"/>
  <c r="G62" i="7"/>
  <c r="F62" i="7"/>
  <c r="E62" i="7"/>
  <c r="D62" i="7"/>
  <c r="C62" i="7"/>
  <c r="B62" i="7"/>
  <c r="AH61" i="7"/>
  <c r="AE61" i="7"/>
  <c r="Z61" i="7"/>
  <c r="Y61" i="7"/>
  <c r="W61" i="7"/>
  <c r="R61" i="7"/>
  <c r="O61" i="7"/>
  <c r="K61" i="7"/>
  <c r="J61" i="7"/>
  <c r="G61" i="7"/>
  <c r="F61" i="7"/>
  <c r="E61" i="7"/>
  <c r="D61" i="7"/>
  <c r="C61" i="7"/>
  <c r="B61" i="7"/>
  <c r="AE60" i="7"/>
  <c r="AD60" i="7"/>
  <c r="W60" i="7"/>
  <c r="V60" i="7"/>
  <c r="O60" i="7"/>
  <c r="N60" i="7"/>
  <c r="G60" i="7"/>
  <c r="F60" i="7"/>
  <c r="E60" i="7"/>
  <c r="D60" i="7"/>
  <c r="C60" i="7"/>
  <c r="B60" i="7"/>
  <c r="AI59" i="7"/>
  <c r="AG59" i="7"/>
  <c r="S59" i="7"/>
  <c r="E59" i="7"/>
  <c r="D59" i="7"/>
  <c r="C59" i="7"/>
  <c r="B59" i="7"/>
  <c r="AK58" i="7"/>
  <c r="AF58" i="7"/>
  <c r="AE58" i="7"/>
  <c r="AD58" i="7"/>
  <c r="AC58" i="7"/>
  <c r="W58" i="7"/>
  <c r="U58" i="7"/>
  <c r="O58" i="7"/>
  <c r="M58" i="7"/>
  <c r="G58" i="7"/>
  <c r="E58" i="7"/>
  <c r="D58" i="7"/>
  <c r="C58" i="7"/>
  <c r="B58" i="7"/>
  <c r="AJ57" i="7"/>
  <c r="AI57" i="7"/>
  <c r="AG57" i="7"/>
  <c r="AB57" i="7"/>
  <c r="AA57" i="7"/>
  <c r="T57" i="7"/>
  <c r="S57" i="7"/>
  <c r="Q57" i="7"/>
  <c r="L57" i="7"/>
  <c r="K57" i="7"/>
  <c r="G57" i="7"/>
  <c r="D57" i="7"/>
  <c r="C57" i="7"/>
  <c r="B57" i="7"/>
  <c r="AK56" i="7"/>
  <c r="AI56" i="7"/>
  <c r="AC56" i="7"/>
  <c r="AA56" i="7"/>
  <c r="X56" i="7"/>
  <c r="U56" i="7"/>
  <c r="S56" i="7"/>
  <c r="M56" i="7"/>
  <c r="K56" i="7"/>
  <c r="E56" i="7"/>
  <c r="C56" i="7"/>
  <c r="B56" i="7"/>
  <c r="AJ55" i="7"/>
  <c r="AH55" i="7"/>
  <c r="AG55" i="7"/>
  <c r="AB55" i="7"/>
  <c r="Z55" i="7"/>
  <c r="Y55" i="7"/>
  <c r="W55" i="7"/>
  <c r="T55" i="7"/>
  <c r="R55" i="7"/>
  <c r="Q55" i="7"/>
  <c r="L55" i="7"/>
  <c r="J55" i="7"/>
  <c r="I55" i="7"/>
  <c r="D55" i="7"/>
  <c r="B55" i="7"/>
  <c r="BI54" i="7"/>
  <c r="BH54" i="7"/>
  <c r="BG54" i="7"/>
  <c r="BF54" i="7"/>
  <c r="BE54" i="7"/>
  <c r="BD54" i="7"/>
  <c r="BC54" i="7"/>
  <c r="BB54" i="7"/>
  <c r="BA54" i="7"/>
  <c r="AZ54" i="7"/>
  <c r="AY54" i="7"/>
  <c r="AX54" i="7"/>
  <c r="AW54" i="7"/>
  <c r="AV54" i="7"/>
  <c r="AU54" i="7"/>
  <c r="AT54" i="7"/>
  <c r="AS54" i="7"/>
  <c r="AR54" i="7"/>
  <c r="AQ54" i="7"/>
  <c r="AP54" i="7"/>
  <c r="AO54" i="7"/>
  <c r="AN54" i="7"/>
  <c r="AM54" i="7"/>
  <c r="AL54" i="7"/>
  <c r="AK54" i="7"/>
  <c r="AK55" i="7" s="1"/>
  <c r="AJ54" i="7"/>
  <c r="AI54" i="7"/>
  <c r="AH54" i="7"/>
  <c r="AG54" i="7"/>
  <c r="AH56" i="7" s="1"/>
  <c r="AF54" i="7"/>
  <c r="AE54" i="7"/>
  <c r="AD54" i="7"/>
  <c r="AC54" i="7"/>
  <c r="AB54" i="7"/>
  <c r="AD57" i="7" s="1"/>
  <c r="AA54" i="7"/>
  <c r="Z54" i="7"/>
  <c r="AD59" i="7" s="1"/>
  <c r="Y54" i="7"/>
  <c r="AH64" i="7" s="1"/>
  <c r="X54" i="7"/>
  <c r="W54" i="7"/>
  <c r="V54" i="7"/>
  <c r="U54" i="7"/>
  <c r="AG67" i="7" s="1"/>
  <c r="T54" i="7"/>
  <c r="S54" i="7"/>
  <c r="W59" i="7" s="1"/>
  <c r="R54" i="7"/>
  <c r="AF69" i="7" s="1"/>
  <c r="Q54" i="7"/>
  <c r="AB66" i="7" s="1"/>
  <c r="P54" i="7"/>
  <c r="U60" i="7" s="1"/>
  <c r="O54" i="7"/>
  <c r="N54" i="7"/>
  <c r="M54" i="7"/>
  <c r="P58" i="7" s="1"/>
  <c r="L54" i="7"/>
  <c r="K54" i="7"/>
  <c r="J54" i="7"/>
  <c r="AB73" i="7" s="1"/>
  <c r="I54" i="7"/>
  <c r="Y71" i="7" s="1"/>
  <c r="H54" i="7"/>
  <c r="G54" i="7"/>
  <c r="F54" i="7"/>
  <c r="E54" i="7"/>
  <c r="V72" i="7" s="1"/>
  <c r="D54" i="7"/>
  <c r="C54" i="7"/>
  <c r="I61" i="7" s="1"/>
  <c r="B54" i="7"/>
  <c r="I62" i="7" s="1"/>
  <c r="B15" i="7" a="1"/>
  <c r="B15" i="7" s="1"/>
  <c r="AN5" i="7"/>
  <c r="AM5" i="7"/>
  <c r="AL5" i="7"/>
  <c r="B4" i="7"/>
  <c r="B3" i="7"/>
  <c r="D14" i="6"/>
  <c r="H10" i="6"/>
  <c r="F10" i="6"/>
  <c r="D5" i="6"/>
  <c r="E4" i="6"/>
  <c r="F209" i="5"/>
  <c r="BG206" i="5"/>
  <c r="AY206" i="5"/>
  <c r="AZ205" i="5" s="1"/>
  <c r="AX206" i="5"/>
  <c r="AY205" i="5" s="1"/>
  <c r="AV206" i="5"/>
  <c r="AW205" i="5" s="1"/>
  <c r="AQ206" i="5"/>
  <c r="AP206" i="5"/>
  <c r="AQ205" i="5" s="1"/>
  <c r="AI206" i="5"/>
  <c r="AJ205" i="5" s="1"/>
  <c r="AH206" i="5"/>
  <c r="AI205" i="5" s="1"/>
  <c r="AD206" i="5"/>
  <c r="AE205" i="5" s="1"/>
  <c r="Z206" i="5"/>
  <c r="AA205" i="5" s="1"/>
  <c r="W206" i="5"/>
  <c r="X205" i="5" s="1"/>
  <c r="O206" i="5"/>
  <c r="N206" i="5"/>
  <c r="O205" i="5" s="1"/>
  <c r="K206" i="5"/>
  <c r="L205" i="5" s="1"/>
  <c r="G206" i="5"/>
  <c r="H205" i="5" s="1"/>
  <c r="F206" i="5"/>
  <c r="G205" i="5" s="1"/>
  <c r="BF205" i="5"/>
  <c r="AR205" i="5"/>
  <c r="AF205" i="5"/>
  <c r="W205" i="5"/>
  <c r="T205" i="5"/>
  <c r="P205" i="5"/>
  <c r="N205" i="5"/>
  <c r="F205" i="5"/>
  <c r="F197" i="5"/>
  <c r="F201" i="5" s="1"/>
  <c r="F210" i="5" s="1"/>
  <c r="BF193" i="5"/>
  <c r="BF206" i="5" s="1"/>
  <c r="BG205" i="5" s="1"/>
  <c r="BD193" i="5"/>
  <c r="BD206" i="5" s="1"/>
  <c r="BE205" i="5" s="1"/>
  <c r="BC193" i="5"/>
  <c r="BC206" i="5" s="1"/>
  <c r="BD205" i="5" s="1"/>
  <c r="BA193" i="5"/>
  <c r="BA206" i="5" s="1"/>
  <c r="BB205" i="5" s="1"/>
  <c r="AU193" i="5"/>
  <c r="AU206" i="5" s="1"/>
  <c r="AV205" i="5" s="1"/>
  <c r="AT193" i="5"/>
  <c r="AT206" i="5" s="1"/>
  <c r="AU205" i="5" s="1"/>
  <c r="AN193" i="5"/>
  <c r="AN206" i="5" s="1"/>
  <c r="AO205" i="5" s="1"/>
  <c r="AM193" i="5"/>
  <c r="AM206" i="5" s="1"/>
  <c r="AN205" i="5" s="1"/>
  <c r="AL193" i="5"/>
  <c r="AL206" i="5" s="1"/>
  <c r="AM205" i="5" s="1"/>
  <c r="AK193" i="5"/>
  <c r="AK206" i="5" s="1"/>
  <c r="AL205" i="5" s="1"/>
  <c r="AH193" i="5"/>
  <c r="AE193" i="5"/>
  <c r="AE206" i="5" s="1"/>
  <c r="AD193" i="5"/>
  <c r="AC193" i="5"/>
  <c r="AC206" i="5" s="1"/>
  <c r="AD205" i="5" s="1"/>
  <c r="W193" i="5"/>
  <c r="V193" i="5"/>
  <c r="V206" i="5" s="1"/>
  <c r="U193" i="5"/>
  <c r="U206" i="5" s="1"/>
  <c r="V205" i="5" s="1"/>
  <c r="R193" i="5"/>
  <c r="R206" i="5" s="1"/>
  <c r="S205" i="5" s="1"/>
  <c r="O193" i="5"/>
  <c r="M193" i="5"/>
  <c r="M206" i="5" s="1"/>
  <c r="J193" i="5"/>
  <c r="J206" i="5" s="1"/>
  <c r="K205" i="5" s="1"/>
  <c r="G193" i="5"/>
  <c r="BG189" i="5"/>
  <c r="BG193" i="5" s="1"/>
  <c r="BF189" i="5"/>
  <c r="BE189" i="5"/>
  <c r="BE193" i="5" s="1"/>
  <c r="BE206" i="5" s="1"/>
  <c r="BD189" i="5"/>
  <c r="BC189" i="5"/>
  <c r="BB189" i="5"/>
  <c r="BB193" i="5" s="1"/>
  <c r="BB206" i="5" s="1"/>
  <c r="BC205" i="5" s="1"/>
  <c r="BA189" i="5"/>
  <c r="AZ189" i="5"/>
  <c r="AZ193" i="5" s="1"/>
  <c r="AZ206" i="5" s="1"/>
  <c r="BA205" i="5" s="1"/>
  <c r="AY189" i="5"/>
  <c r="AY193" i="5" s="1"/>
  <c r="AX189" i="5"/>
  <c r="AX193" i="5" s="1"/>
  <c r="AW189" i="5"/>
  <c r="AW193" i="5" s="1"/>
  <c r="AW206" i="5" s="1"/>
  <c r="AX205" i="5" s="1"/>
  <c r="AV189" i="5"/>
  <c r="AV193" i="5" s="1"/>
  <c r="AU189" i="5"/>
  <c r="AT189" i="5"/>
  <c r="AS189" i="5"/>
  <c r="AS193" i="5" s="1"/>
  <c r="AS206" i="5" s="1"/>
  <c r="AT205" i="5" s="1"/>
  <c r="AR189" i="5"/>
  <c r="AR193" i="5" s="1"/>
  <c r="AR206" i="5" s="1"/>
  <c r="AS205" i="5" s="1"/>
  <c r="AQ189" i="5"/>
  <c r="AQ193" i="5" s="1"/>
  <c r="AP189" i="5"/>
  <c r="AP193" i="5" s="1"/>
  <c r="AO189" i="5"/>
  <c r="AO193" i="5" s="1"/>
  <c r="AO206" i="5" s="1"/>
  <c r="AP205" i="5" s="1"/>
  <c r="AN189" i="5"/>
  <c r="AM189" i="5"/>
  <c r="AL189" i="5"/>
  <c r="AK189" i="5"/>
  <c r="AJ189" i="5"/>
  <c r="AJ193" i="5" s="1"/>
  <c r="AJ206" i="5" s="1"/>
  <c r="AK205" i="5" s="1"/>
  <c r="AI189" i="5"/>
  <c r="AI193" i="5" s="1"/>
  <c r="AH189" i="5"/>
  <c r="AG189" i="5"/>
  <c r="AG193" i="5" s="1"/>
  <c r="AG206" i="5" s="1"/>
  <c r="AH205" i="5" s="1"/>
  <c r="AF189" i="5"/>
  <c r="AF193" i="5" s="1"/>
  <c r="AF206" i="5" s="1"/>
  <c r="AG205" i="5" s="1"/>
  <c r="AE189" i="5"/>
  <c r="AD189" i="5"/>
  <c r="AC189" i="5"/>
  <c r="AB189" i="5"/>
  <c r="AB193" i="5" s="1"/>
  <c r="AB206" i="5" s="1"/>
  <c r="AC205" i="5" s="1"/>
  <c r="AA189" i="5"/>
  <c r="AA193" i="5" s="1"/>
  <c r="AA206" i="5" s="1"/>
  <c r="AB205" i="5" s="1"/>
  <c r="Z189" i="5"/>
  <c r="Z193" i="5" s="1"/>
  <c r="Y189" i="5"/>
  <c r="Y193" i="5" s="1"/>
  <c r="Y206" i="5" s="1"/>
  <c r="Z205" i="5" s="1"/>
  <c r="X189" i="5"/>
  <c r="X193" i="5" s="1"/>
  <c r="X206" i="5" s="1"/>
  <c r="Y205" i="5" s="1"/>
  <c r="W189" i="5"/>
  <c r="V189" i="5"/>
  <c r="U189" i="5"/>
  <c r="T189" i="5"/>
  <c r="T193" i="5" s="1"/>
  <c r="T206" i="5" s="1"/>
  <c r="U205" i="5" s="1"/>
  <c r="S189" i="5"/>
  <c r="S193" i="5" s="1"/>
  <c r="S206" i="5" s="1"/>
  <c r="R189" i="5"/>
  <c r="Q189" i="5"/>
  <c r="Q193" i="5" s="1"/>
  <c r="Q206" i="5" s="1"/>
  <c r="R205" i="5" s="1"/>
  <c r="P189" i="5"/>
  <c r="P193" i="5" s="1"/>
  <c r="P206" i="5" s="1"/>
  <c r="Q205" i="5" s="1"/>
  <c r="O189" i="5"/>
  <c r="N189" i="5"/>
  <c r="N193" i="5" s="1"/>
  <c r="M189" i="5"/>
  <c r="L189" i="5"/>
  <c r="L193" i="5" s="1"/>
  <c r="L206" i="5" s="1"/>
  <c r="M205" i="5" s="1"/>
  <c r="K189" i="5"/>
  <c r="K193" i="5" s="1"/>
  <c r="J189" i="5"/>
  <c r="I189" i="5"/>
  <c r="I193" i="5" s="1"/>
  <c r="I206" i="5" s="1"/>
  <c r="J205" i="5" s="1"/>
  <c r="H189" i="5"/>
  <c r="H193" i="5" s="1"/>
  <c r="H206" i="5" s="1"/>
  <c r="I205" i="5" s="1"/>
  <c r="G189" i="5"/>
  <c r="F189" i="5"/>
  <c r="F193" i="5" s="1"/>
  <c r="F202" i="5" s="1"/>
  <c r="BG182" i="5"/>
  <c r="BF182" i="5"/>
  <c r="BE182" i="5"/>
  <c r="BD182" i="5"/>
  <c r="BC182" i="5"/>
  <c r="BB182" i="5"/>
  <c r="BA182" i="5"/>
  <c r="AZ182" i="5"/>
  <c r="AY182" i="5"/>
  <c r="AX182" i="5"/>
  <c r="AW182" i="5"/>
  <c r="AV182" i="5"/>
  <c r="AU182" i="5"/>
  <c r="AT182" i="5"/>
  <c r="AS182" i="5"/>
  <c r="AR182" i="5"/>
  <c r="AQ182" i="5"/>
  <c r="AP182" i="5"/>
  <c r="AO182" i="5"/>
  <c r="AN182" i="5"/>
  <c r="AM182" i="5"/>
  <c r="AL182" i="5"/>
  <c r="AK182" i="5"/>
  <c r="AJ182" i="5"/>
  <c r="AI182" i="5"/>
  <c r="AH182" i="5"/>
  <c r="AG182" i="5"/>
  <c r="AF182" i="5"/>
  <c r="AE182" i="5"/>
  <c r="AD182" i="5"/>
  <c r="AC182" i="5"/>
  <c r="AB182" i="5"/>
  <c r="AA182" i="5"/>
  <c r="Z182" i="5"/>
  <c r="Y182" i="5"/>
  <c r="X182" i="5"/>
  <c r="W182" i="5"/>
  <c r="V182" i="5"/>
  <c r="U182" i="5"/>
  <c r="T182" i="5"/>
  <c r="S182" i="5"/>
  <c r="R182" i="5"/>
  <c r="Q182" i="5"/>
  <c r="P182" i="5"/>
  <c r="O182" i="5"/>
  <c r="N182" i="5"/>
  <c r="M182" i="5"/>
  <c r="L182" i="5"/>
  <c r="K182" i="5"/>
  <c r="J182" i="5"/>
  <c r="I182" i="5"/>
  <c r="H182" i="5"/>
  <c r="G182" i="5"/>
  <c r="F182" i="5"/>
  <c r="D182" i="5"/>
  <c r="F181" i="5"/>
  <c r="F184" i="5" s="1"/>
  <c r="F79" i="5"/>
  <c r="B27" i="7" s="1" a="1"/>
  <c r="B27" i="7" s="1"/>
  <c r="F74" i="5"/>
  <c r="B23" i="7" s="1" a="1"/>
  <c r="B23" i="7" s="1"/>
  <c r="F73" i="5"/>
  <c r="G4" i="5"/>
  <c r="F4" i="5"/>
  <c r="E111" i="4"/>
  <c r="K102" i="4"/>
  <c r="J102" i="4"/>
  <c r="K101" i="4"/>
  <c r="G114" i="5" s="1"/>
  <c r="J101" i="4"/>
  <c r="F114" i="5" s="1"/>
  <c r="K100" i="4"/>
  <c r="G113" i="5" s="1"/>
  <c r="J100" i="4"/>
  <c r="F113" i="5" s="1"/>
  <c r="H99" i="4"/>
  <c r="K99" i="4" s="1"/>
  <c r="G112" i="5" s="1"/>
  <c r="G99" i="4"/>
  <c r="J99" i="4" s="1"/>
  <c r="F112" i="5" s="1"/>
  <c r="K98" i="4"/>
  <c r="G111" i="5" s="1"/>
  <c r="J98" i="4"/>
  <c r="F111" i="5" s="1"/>
  <c r="H98" i="4"/>
  <c r="G98" i="4"/>
  <c r="K97" i="4"/>
  <c r="G110" i="5" s="1"/>
  <c r="H97" i="4"/>
  <c r="G97" i="4"/>
  <c r="J97" i="4" s="1"/>
  <c r="F110" i="5" s="1"/>
  <c r="K96" i="4"/>
  <c r="G109" i="5" s="1"/>
  <c r="J96" i="4"/>
  <c r="F109" i="5" s="1"/>
  <c r="H96" i="4"/>
  <c r="G96" i="4"/>
  <c r="J95" i="4"/>
  <c r="F108" i="5" s="1"/>
  <c r="H95" i="4"/>
  <c r="K95" i="4" s="1"/>
  <c r="G108" i="5" s="1"/>
  <c r="G95" i="4"/>
  <c r="K94" i="4"/>
  <c r="G107" i="5" s="1"/>
  <c r="J94" i="4"/>
  <c r="F107" i="5" s="1"/>
  <c r="H94" i="4"/>
  <c r="G94" i="4"/>
  <c r="K93" i="4"/>
  <c r="G106" i="5" s="1"/>
  <c r="J93" i="4"/>
  <c r="F106" i="5" s="1"/>
  <c r="H93" i="4"/>
  <c r="G93" i="4"/>
  <c r="J92" i="4"/>
  <c r="F105" i="5" s="1"/>
  <c r="G92" i="4"/>
  <c r="E92" i="4"/>
  <c r="H92" i="4" s="1"/>
  <c r="K92" i="4" s="1"/>
  <c r="G105" i="5" s="1"/>
  <c r="J91" i="4"/>
  <c r="F104" i="5" s="1"/>
  <c r="G91" i="4"/>
  <c r="E91" i="4"/>
  <c r="G90" i="4"/>
  <c r="J90" i="4" s="1"/>
  <c r="F103" i="5" s="1"/>
  <c r="J89" i="4"/>
  <c r="F102" i="5" s="1"/>
  <c r="G89" i="4"/>
  <c r="G88" i="4"/>
  <c r="J88" i="4" s="1"/>
  <c r="F101" i="5" s="1"/>
  <c r="G87" i="4"/>
  <c r="J87" i="4" s="1"/>
  <c r="F100" i="5" s="1"/>
  <c r="E77" i="4"/>
  <c r="E76" i="4"/>
  <c r="E73" i="4"/>
  <c r="E66" i="4"/>
  <c r="S51" i="4"/>
  <c r="R51" i="4"/>
  <c r="Q51" i="4"/>
  <c r="P51" i="4"/>
  <c r="O51" i="4"/>
  <c r="S48" i="4"/>
  <c r="R48" i="4"/>
  <c r="Q48" i="4"/>
  <c r="P48" i="4"/>
  <c r="P46" i="4" s="1"/>
  <c r="P20" i="4" s="1"/>
  <c r="S47" i="4"/>
  <c r="S46" i="4" s="1"/>
  <c r="S20" i="4" s="1"/>
  <c r="R47" i="4"/>
  <c r="Q47" i="4"/>
  <c r="P47" i="4"/>
  <c r="R46" i="4"/>
  <c r="R20" i="4" s="1"/>
  <c r="Q46" i="4"/>
  <c r="S45" i="4"/>
  <c r="R45" i="4"/>
  <c r="Q45" i="4"/>
  <c r="P45" i="4"/>
  <c r="N45" i="4" s="1"/>
  <c r="O45" i="4"/>
  <c r="S43" i="4"/>
  <c r="R43" i="4"/>
  <c r="Q43" i="4"/>
  <c r="P43" i="4"/>
  <c r="S38" i="4"/>
  <c r="R38" i="4"/>
  <c r="Q38" i="4"/>
  <c r="P38" i="4"/>
  <c r="S36" i="4"/>
  <c r="R36" i="4"/>
  <c r="Q36" i="4"/>
  <c r="P36" i="4"/>
  <c r="N36" i="4" s="1"/>
  <c r="O36" i="4"/>
  <c r="E31" i="4"/>
  <c r="C31" i="4"/>
  <c r="E30" i="4"/>
  <c r="C30" i="4"/>
  <c r="Q20" i="4"/>
  <c r="E18" i="4"/>
  <c r="G18" i="4" s="1"/>
  <c r="H7" i="4"/>
  <c r="H5" i="4"/>
  <c r="H4" i="4"/>
  <c r="D2" i="4"/>
  <c r="C2" i="4"/>
  <c r="B2" i="4"/>
  <c r="E1" i="4"/>
  <c r="B22" i="3"/>
  <c r="G28" i="4" s="1"/>
  <c r="C17" i="3"/>
  <c r="E79" i="4" s="1"/>
  <c r="C16" i="3"/>
  <c r="E78" i="4" s="1"/>
  <c r="C15" i="3"/>
  <c r="C14" i="3"/>
  <c r="C13" i="3"/>
  <c r="C12" i="3"/>
  <c r="C9" i="3"/>
  <c r="E60" i="4" s="1"/>
  <c r="F78" i="5" s="1"/>
  <c r="C8" i="3"/>
  <c r="C7" i="3"/>
  <c r="E34" i="4" s="1"/>
  <c r="F57" i="5" s="1"/>
  <c r="C6" i="3"/>
  <c r="F18" i="4" s="1"/>
  <c r="C5" i="3"/>
  <c r="C4" i="3"/>
  <c r="E13" i="4" s="1"/>
  <c r="B1" i="3"/>
  <c r="B21" i="3" s="1"/>
  <c r="G27" i="4" s="1"/>
  <c r="F19" i="4" l="1"/>
  <c r="E11" i="5"/>
  <c r="B17" i="7" a="1"/>
  <c r="B17" i="7" s="1"/>
  <c r="O38" i="4"/>
  <c r="N38" i="4" s="1"/>
  <c r="F5" i="5"/>
  <c r="F30" i="5" s="1"/>
  <c r="D28" i="4"/>
  <c r="C29" i="4" s="1"/>
  <c r="C28" i="4"/>
  <c r="F14" i="5" s="1"/>
  <c r="F13" i="5"/>
  <c r="E5" i="5"/>
  <c r="H5" i="5"/>
  <c r="E15" i="4"/>
  <c r="F6" i="5"/>
  <c r="G14" i="5"/>
  <c r="G5" i="5"/>
  <c r="C27" i="4"/>
  <c r="D18" i="4"/>
  <c r="C19" i="4" s="1"/>
  <c r="B26" i="7" a="1"/>
  <c r="B26" i="7" s="1"/>
  <c r="O48" i="4"/>
  <c r="N48" i="4" s="1"/>
  <c r="H88" i="4"/>
  <c r="K88" i="4" s="1"/>
  <c r="G101" i="5" s="1"/>
  <c r="H91" i="4"/>
  <c r="K91" i="4" s="1"/>
  <c r="G104" i="5" s="1"/>
  <c r="E10" i="5"/>
  <c r="G81" i="5"/>
  <c r="G59" i="5"/>
  <c r="G12" i="5"/>
  <c r="H4" i="5"/>
  <c r="N51" i="4"/>
  <c r="H89" i="4"/>
  <c r="K89" i="4" s="1"/>
  <c r="G102" i="5" s="1"/>
  <c r="H87" i="4"/>
  <c r="K87" i="4" s="1"/>
  <c r="G100" i="5" s="1"/>
  <c r="E58" i="4"/>
  <c r="F77" i="5" s="1"/>
  <c r="E19" i="4"/>
  <c r="H90" i="4"/>
  <c r="K90" i="4" s="1"/>
  <c r="G103" i="5" s="1"/>
  <c r="F143" i="5"/>
  <c r="F33" i="5"/>
  <c r="F152" i="5" s="1"/>
  <c r="C10" i="3"/>
  <c r="E61" i="4" s="1"/>
  <c r="B20" i="3"/>
  <c r="G26" i="4" s="1"/>
  <c r="C3" i="3"/>
  <c r="E11" i="4" s="1"/>
  <c r="F64" i="5" s="1"/>
  <c r="C11" i="3"/>
  <c r="E62" i="4" s="1"/>
  <c r="F167" i="5"/>
  <c r="F163" i="5"/>
  <c r="F32" i="5"/>
  <c r="G33" i="5" s="1"/>
  <c r="F28" i="5"/>
  <c r="F147" i="5" s="1"/>
  <c r="F26" i="5"/>
  <c r="F24" i="5"/>
  <c r="F123" i="5"/>
  <c r="F21" i="5"/>
  <c r="J10" i="6"/>
  <c r="AN113" i="7"/>
  <c r="AN111" i="7"/>
  <c r="AN109" i="7"/>
  <c r="AN107" i="7"/>
  <c r="AN105" i="7"/>
  <c r="AN103" i="7"/>
  <c r="AN101" i="7"/>
  <c r="AN99" i="7"/>
  <c r="AN97" i="7"/>
  <c r="AN95" i="7"/>
  <c r="AN93" i="7"/>
  <c r="AN91" i="7"/>
  <c r="AN89" i="7"/>
  <c r="AN87" i="7"/>
  <c r="AN114" i="7"/>
  <c r="AN112" i="7"/>
  <c r="AN110" i="7"/>
  <c r="AN108" i="7"/>
  <c r="AN106" i="7"/>
  <c r="AN104" i="7"/>
  <c r="AN102" i="7"/>
  <c r="AN100" i="7"/>
  <c r="AN98" i="7"/>
  <c r="AN96" i="7"/>
  <c r="AN94" i="7"/>
  <c r="AN92" i="7"/>
  <c r="AN90" i="7"/>
  <c r="AN88" i="7"/>
  <c r="AN85" i="7"/>
  <c r="AN83" i="7"/>
  <c r="AN81" i="7"/>
  <c r="AN79" i="7"/>
  <c r="AN77" i="7"/>
  <c r="AN84" i="7"/>
  <c r="AN82" i="7"/>
  <c r="AN76" i="7"/>
  <c r="AN70" i="7"/>
  <c r="AN68" i="7"/>
  <c r="AN66" i="7"/>
  <c r="AN86" i="7"/>
  <c r="AN80" i="7"/>
  <c r="AN78" i="7"/>
  <c r="AN75" i="7"/>
  <c r="AN74" i="7"/>
  <c r="AN67" i="7"/>
  <c r="AN65" i="7"/>
  <c r="AN63" i="7"/>
  <c r="AN61" i="7"/>
  <c r="AN59" i="7"/>
  <c r="AN57" i="7"/>
  <c r="AN55" i="7"/>
  <c r="AN71" i="7"/>
  <c r="AN58" i="7"/>
  <c r="AN64" i="7"/>
  <c r="AN69" i="7"/>
  <c r="AN60" i="7"/>
  <c r="AN62" i="7"/>
  <c r="AN72" i="7"/>
  <c r="AN73" i="7"/>
  <c r="AN56" i="7"/>
  <c r="AO5" i="7"/>
  <c r="G209" i="5"/>
  <c r="F211" i="5"/>
  <c r="F183" i="5"/>
  <c r="E5" i="6"/>
  <c r="F4" i="6"/>
  <c r="C4" i="7"/>
  <c r="C3" i="7" s="1"/>
  <c r="AL107" i="7"/>
  <c r="AL99" i="7"/>
  <c r="AL91" i="7"/>
  <c r="AL112" i="7"/>
  <c r="AL104" i="7"/>
  <c r="AL96" i="7"/>
  <c r="AL109" i="7"/>
  <c r="AL114" i="7"/>
  <c r="AL106" i="7"/>
  <c r="AL111" i="7"/>
  <c r="AL103" i="7"/>
  <c r="AL113" i="7"/>
  <c r="AL105" i="7"/>
  <c r="AL97" i="7"/>
  <c r="AL100" i="7"/>
  <c r="AL94" i="7"/>
  <c r="AL101" i="7"/>
  <c r="AL95" i="7"/>
  <c r="AL98" i="7"/>
  <c r="AL92" i="7"/>
  <c r="AL90" i="7"/>
  <c r="AL86" i="7"/>
  <c r="AL81" i="7"/>
  <c r="AL80" i="7"/>
  <c r="AL79" i="7"/>
  <c r="AL75" i="7"/>
  <c r="AL76" i="7"/>
  <c r="AL89" i="7"/>
  <c r="AL88" i="7"/>
  <c r="AL83" i="7"/>
  <c r="AL73" i="7"/>
  <c r="AL71" i="7"/>
  <c r="AL69" i="7"/>
  <c r="AL67" i="7"/>
  <c r="AL108" i="7"/>
  <c r="AL68" i="7"/>
  <c r="AL65" i="7"/>
  <c r="AL63" i="7"/>
  <c r="AL61" i="7"/>
  <c r="AL59" i="7"/>
  <c r="AL57" i="7"/>
  <c r="AL55" i="7"/>
  <c r="AL102" i="7"/>
  <c r="AL85" i="7"/>
  <c r="AL74" i="7"/>
  <c r="AL70" i="7"/>
  <c r="AL110" i="7"/>
  <c r="AL82" i="7"/>
  <c r="AL84" i="7"/>
  <c r="AL93" i="7"/>
  <c r="AL72" i="7"/>
  <c r="AL66" i="7"/>
  <c r="AL58" i="7"/>
  <c r="AL77" i="7"/>
  <c r="AL64" i="7"/>
  <c r="AL87" i="7"/>
  <c r="AL60" i="7"/>
  <c r="AL78" i="7"/>
  <c r="AL56" i="7"/>
  <c r="AL62" i="7"/>
  <c r="AM112" i="7"/>
  <c r="AM104" i="7"/>
  <c r="AM96" i="7"/>
  <c r="AM109" i="7"/>
  <c r="AM101" i="7"/>
  <c r="AM93" i="7"/>
  <c r="AM114" i="7"/>
  <c r="AM106" i="7"/>
  <c r="AM111" i="7"/>
  <c r="AM103" i="7"/>
  <c r="AM108" i="7"/>
  <c r="AM110" i="7"/>
  <c r="AM102" i="7"/>
  <c r="AM94" i="7"/>
  <c r="AM88" i="7"/>
  <c r="AM86" i="7"/>
  <c r="AM84" i="7"/>
  <c r="AM82" i="7"/>
  <c r="AM80" i="7"/>
  <c r="AM113" i="7"/>
  <c r="AM97" i="7"/>
  <c r="AM95" i="7"/>
  <c r="AM91" i="7"/>
  <c r="AM98" i="7"/>
  <c r="AM92" i="7"/>
  <c r="AM105" i="7"/>
  <c r="AM99" i="7"/>
  <c r="AM85" i="7"/>
  <c r="AM83" i="7"/>
  <c r="AM78" i="7"/>
  <c r="AM76" i="7"/>
  <c r="AM74" i="7"/>
  <c r="AM72" i="7"/>
  <c r="AM70" i="7"/>
  <c r="AM68" i="7"/>
  <c r="AM100" i="7"/>
  <c r="AM87" i="7"/>
  <c r="AM81" i="7"/>
  <c r="AM79" i="7"/>
  <c r="AM89" i="7"/>
  <c r="AM107" i="7"/>
  <c r="AM75" i="7"/>
  <c r="AM71" i="7"/>
  <c r="AM66" i="7"/>
  <c r="AM58" i="7"/>
  <c r="AM57" i="7"/>
  <c r="AM77" i="7"/>
  <c r="AM67" i="7"/>
  <c r="AM65" i="7"/>
  <c r="AM64" i="7"/>
  <c r="AM69" i="7"/>
  <c r="AM60" i="7"/>
  <c r="AM59" i="7"/>
  <c r="AM63" i="7"/>
  <c r="AM62" i="7"/>
  <c r="AM61" i="7"/>
  <c r="AM73" i="7"/>
  <c r="AM56" i="7"/>
  <c r="AM90" i="7"/>
  <c r="AM55" i="7"/>
  <c r="AK86" i="7"/>
  <c r="AF81" i="7"/>
  <c r="AE80" i="7"/>
  <c r="AI84" i="7"/>
  <c r="AC78" i="7"/>
  <c r="AJ85" i="7"/>
  <c r="W72" i="7"/>
  <c r="AG82" i="7"/>
  <c r="T69" i="7"/>
  <c r="V71" i="7"/>
  <c r="AB77" i="7"/>
  <c r="Y74" i="7"/>
  <c r="N63" i="7"/>
  <c r="F55" i="7"/>
  <c r="Q66" i="7"/>
  <c r="I58" i="7"/>
  <c r="AH83" i="7"/>
  <c r="AA76" i="7"/>
  <c r="AD79" i="7"/>
  <c r="R67" i="7"/>
  <c r="P65" i="7"/>
  <c r="H57" i="7"/>
  <c r="U70" i="7"/>
  <c r="O64" i="7"/>
  <c r="X73" i="7"/>
  <c r="G56" i="7"/>
  <c r="Z75" i="7"/>
  <c r="S68" i="7"/>
  <c r="L61" i="7"/>
  <c r="J59" i="7"/>
  <c r="K60" i="7"/>
  <c r="AK78" i="7"/>
  <c r="AE72" i="7"/>
  <c r="AB69" i="7"/>
  <c r="AD71" i="7"/>
  <c r="AH75" i="7"/>
  <c r="AA68" i="7"/>
  <c r="V63" i="7"/>
  <c r="N55" i="7"/>
  <c r="Z67" i="7"/>
  <c r="Y66" i="7"/>
  <c r="Q58" i="7"/>
  <c r="AJ77" i="7"/>
  <c r="AI76" i="7"/>
  <c r="AF73" i="7"/>
  <c r="X65" i="7"/>
  <c r="P57" i="7"/>
  <c r="U62" i="7"/>
  <c r="S60" i="7"/>
  <c r="R59" i="7"/>
  <c r="AG74" i="7"/>
  <c r="W64" i="7"/>
  <c r="AC70" i="7"/>
  <c r="T61" i="7"/>
  <c r="O56" i="7"/>
  <c r="AJ69" i="7"/>
  <c r="AD63" i="7"/>
  <c r="V55" i="7"/>
  <c r="AG66" i="7"/>
  <c r="Y58" i="7"/>
  <c r="AF65" i="7"/>
  <c r="X57" i="7"/>
  <c r="W56" i="7"/>
  <c r="AK70" i="7"/>
  <c r="AB61" i="7"/>
  <c r="AC62" i="7"/>
  <c r="AA60" i="7"/>
  <c r="Z59" i="7"/>
  <c r="AH67" i="7"/>
  <c r="AI68" i="7"/>
  <c r="AE64" i="7"/>
  <c r="AD55" i="7"/>
  <c r="AG58" i="7"/>
  <c r="AF57" i="7"/>
  <c r="AE56" i="7"/>
  <c r="AK62" i="7"/>
  <c r="AI60" i="7"/>
  <c r="AH59" i="7"/>
  <c r="AJ61" i="7"/>
  <c r="AG81" i="7"/>
  <c r="AJ84" i="7"/>
  <c r="AI83" i="7"/>
  <c r="AK85" i="7"/>
  <c r="AH82" i="7"/>
  <c r="AA75" i="7"/>
  <c r="AF80" i="7"/>
  <c r="Y73" i="7"/>
  <c r="S67" i="7"/>
  <c r="W71" i="7"/>
  <c r="U69" i="7"/>
  <c r="R66" i="7"/>
  <c r="J58" i="7"/>
  <c r="AD78" i="7"/>
  <c r="AB76" i="7"/>
  <c r="M61" i="7"/>
  <c r="AE79" i="7"/>
  <c r="L60" i="7"/>
  <c r="Q65" i="7"/>
  <c r="P64" i="7"/>
  <c r="H56" i="7"/>
  <c r="G55" i="7"/>
  <c r="T68" i="7"/>
  <c r="O63" i="7"/>
  <c r="AC77" i="7"/>
  <c r="Z74" i="7"/>
  <c r="X72" i="7"/>
  <c r="N62" i="7"/>
  <c r="K59" i="7"/>
  <c r="I57" i="7"/>
  <c r="AI75" i="7"/>
  <c r="AA67" i="7"/>
  <c r="AK77" i="7"/>
  <c r="AF72" i="7"/>
  <c r="Z66" i="7"/>
  <c r="R58" i="7"/>
  <c r="U61" i="7"/>
  <c r="AD70" i="7"/>
  <c r="T60" i="7"/>
  <c r="AG73" i="7"/>
  <c r="AB68" i="7"/>
  <c r="AJ76" i="7"/>
  <c r="AH74" i="7"/>
  <c r="AE71" i="7"/>
  <c r="Y65" i="7"/>
  <c r="X64" i="7"/>
  <c r="P56" i="7"/>
  <c r="O55" i="7"/>
  <c r="AC69" i="7"/>
  <c r="W63" i="7"/>
  <c r="AI67" i="7"/>
  <c r="AH66" i="7"/>
  <c r="Z58" i="7"/>
  <c r="AC61" i="7"/>
  <c r="AK69" i="7"/>
  <c r="AB60" i="7"/>
  <c r="AE63" i="7"/>
  <c r="AD62" i="7"/>
  <c r="AA59" i="7"/>
  <c r="Y57" i="7"/>
  <c r="AJ68" i="7"/>
  <c r="AG65" i="7"/>
  <c r="AF64" i="7"/>
  <c r="AH58" i="7"/>
  <c r="AK61" i="7"/>
  <c r="AJ60" i="7"/>
  <c r="AF56" i="7"/>
  <c r="AE55" i="7"/>
  <c r="AK84" i="7"/>
  <c r="AI82" i="7"/>
  <c r="AJ83" i="7"/>
  <c r="AH81" i="7"/>
  <c r="AG80" i="7"/>
  <c r="AF79" i="7"/>
  <c r="AE78" i="7"/>
  <c r="Z73" i="7"/>
  <c r="T67" i="7"/>
  <c r="AC76" i="7"/>
  <c r="AB75" i="7"/>
  <c r="AA74" i="7"/>
  <c r="Y72" i="7"/>
  <c r="W70" i="7"/>
  <c r="V69" i="7"/>
  <c r="N61" i="7"/>
  <c r="Q64" i="7"/>
  <c r="I56" i="7"/>
  <c r="AD77" i="7"/>
  <c r="P63" i="7"/>
  <c r="H55" i="7"/>
  <c r="U68" i="7"/>
  <c r="O62" i="7"/>
  <c r="L59" i="7"/>
  <c r="K58" i="7"/>
  <c r="J57" i="7"/>
  <c r="S66" i="7"/>
  <c r="M60" i="7"/>
  <c r="X71" i="7"/>
  <c r="AB67" i="7"/>
  <c r="AH73" i="7"/>
  <c r="AE70" i="7"/>
  <c r="AD69" i="7"/>
  <c r="V61" i="7"/>
  <c r="Y64" i="7"/>
  <c r="Q56" i="7"/>
  <c r="AI74" i="7"/>
  <c r="AC68" i="7"/>
  <c r="X63" i="7"/>
  <c r="P55" i="7"/>
  <c r="AK76" i="7"/>
  <c r="AJ75" i="7"/>
  <c r="AG72" i="7"/>
  <c r="AF71" i="7"/>
  <c r="Z65" i="7"/>
  <c r="W62" i="7"/>
  <c r="T59" i="7"/>
  <c r="S58" i="7"/>
  <c r="R57" i="7"/>
  <c r="AJ67" i="7"/>
  <c r="AI66" i="7"/>
  <c r="AD61" i="7"/>
  <c r="AK68" i="7"/>
  <c r="AG64" i="7"/>
  <c r="Y56" i="7"/>
  <c r="AF63" i="7"/>
  <c r="X55" i="7"/>
  <c r="AE62" i="7"/>
  <c r="AB59" i="7"/>
  <c r="AA58" i="7"/>
  <c r="Z57" i="7"/>
  <c r="AC60" i="7"/>
  <c r="AG56" i="7"/>
  <c r="AF55" i="7"/>
  <c r="AJ59" i="7"/>
  <c r="AI58" i="7"/>
  <c r="AH57" i="7"/>
  <c r="AH65" i="7"/>
  <c r="AA66" i="7"/>
  <c r="AJ88" i="7"/>
  <c r="AG85" i="7"/>
  <c r="AB80" i="7"/>
  <c r="AK89" i="7"/>
  <c r="AI87" i="7"/>
  <c r="AH86" i="7"/>
  <c r="AA79" i="7"/>
  <c r="AE83" i="7"/>
  <c r="P68" i="7"/>
  <c r="S71" i="7"/>
  <c r="AD82" i="7"/>
  <c r="AC81" i="7"/>
  <c r="Z78" i="7"/>
  <c r="Y77" i="7"/>
  <c r="X76" i="7"/>
  <c r="R70" i="7"/>
  <c r="J62" i="7"/>
  <c r="O67" i="7"/>
  <c r="M65" i="7"/>
  <c r="E57" i="7"/>
  <c r="V74" i="7"/>
  <c r="L64" i="7"/>
  <c r="D56" i="7"/>
  <c r="Q69" i="7"/>
  <c r="AF84" i="7"/>
  <c r="C55" i="7"/>
  <c r="T72" i="7"/>
  <c r="H60" i="7"/>
  <c r="F58" i="7"/>
  <c r="AJ80" i="7"/>
  <c r="AG77" i="7"/>
  <c r="AI79" i="7"/>
  <c r="X68" i="7"/>
  <c r="AH78" i="7"/>
  <c r="AA71" i="7"/>
  <c r="AE75" i="7"/>
  <c r="AD74" i="7"/>
  <c r="AC73" i="7"/>
  <c r="AB72" i="7"/>
  <c r="Z70" i="7"/>
  <c r="AF76" i="7"/>
  <c r="R62" i="7"/>
  <c r="U65" i="7"/>
  <c r="M57" i="7"/>
  <c r="AK81" i="7"/>
  <c r="T64" i="7"/>
  <c r="L56" i="7"/>
  <c r="Y69" i="7"/>
  <c r="S63" i="7"/>
  <c r="W67" i="7"/>
  <c r="P60" i="7"/>
  <c r="N58" i="7"/>
  <c r="V66" i="7"/>
  <c r="Q61" i="7"/>
  <c r="O59" i="7"/>
  <c r="K55" i="7"/>
  <c r="AF68" i="7"/>
  <c r="AI71" i="7"/>
  <c r="AH70" i="7"/>
  <c r="AG69" i="7"/>
  <c r="Z62" i="7"/>
  <c r="AC65" i="7"/>
  <c r="U57" i="7"/>
  <c r="AJ72" i="7"/>
  <c r="AB64" i="7"/>
  <c r="T56" i="7"/>
  <c r="S55" i="7"/>
  <c r="AA63" i="7"/>
  <c r="X60" i="7"/>
  <c r="V58" i="7"/>
  <c r="AE67" i="7"/>
  <c r="AH62" i="7"/>
  <c r="AK65" i="7"/>
  <c r="AC57" i="7"/>
  <c r="AJ64" i="7"/>
  <c r="AB56" i="7"/>
  <c r="AG61" i="7"/>
  <c r="AE59" i="7"/>
  <c r="AA55" i="7"/>
  <c r="AI63" i="7"/>
  <c r="AK57" i="7"/>
  <c r="AJ56" i="7"/>
  <c r="K63" i="7"/>
  <c r="R65" i="7"/>
  <c r="AD66" i="7"/>
  <c r="W75" i="7"/>
  <c r="AI55" i="7"/>
  <c r="G59" i="7"/>
  <c r="AF60" i="7"/>
  <c r="N66" i="7"/>
  <c r="AG83" i="7"/>
  <c r="AJ86" i="7"/>
  <c r="AI85" i="7"/>
  <c r="AH84" i="7"/>
  <c r="AB78" i="7"/>
  <c r="AA77" i="7"/>
  <c r="AK87" i="7"/>
  <c r="AE81" i="7"/>
  <c r="AF82" i="7"/>
  <c r="AD80" i="7"/>
  <c r="S69" i="7"/>
  <c r="AC79" i="7"/>
  <c r="R68" i="7"/>
  <c r="J60" i="7"/>
  <c r="X74" i="7"/>
  <c r="U71" i="7"/>
  <c r="M63" i="7"/>
  <c r="E55" i="7"/>
  <c r="L62" i="7"/>
  <c r="T70" i="7"/>
  <c r="O65" i="7"/>
  <c r="N64" i="7"/>
  <c r="Z76" i="7"/>
  <c r="W73" i="7"/>
  <c r="Q67" i="7"/>
  <c r="F56" i="7"/>
  <c r="Y75" i="7"/>
  <c r="H58" i="7"/>
  <c r="I59" i="7"/>
  <c r="AJ78" i="7"/>
  <c r="AI77" i="7"/>
  <c r="AK79" i="7"/>
  <c r="AA69" i="7"/>
  <c r="Z68" i="7"/>
  <c r="AB70" i="7"/>
  <c r="R60" i="7"/>
  <c r="AG75" i="7"/>
  <c r="AD72" i="7"/>
  <c r="U63" i="7"/>
  <c r="M55" i="7"/>
  <c r="T62" i="7"/>
  <c r="X66" i="7"/>
  <c r="S61" i="7"/>
  <c r="O57" i="7"/>
  <c r="AE73" i="7"/>
  <c r="Q59" i="7"/>
  <c r="AH76" i="7"/>
  <c r="AF74" i="7"/>
  <c r="AC71" i="7"/>
  <c r="W65" i="7"/>
  <c r="N56" i="7"/>
  <c r="AI69" i="7"/>
  <c r="AH68" i="7"/>
  <c r="Z60" i="7"/>
  <c r="AC63" i="7"/>
  <c r="U55" i="7"/>
  <c r="AB62" i="7"/>
  <c r="AD64" i="7"/>
  <c r="AK71" i="7"/>
  <c r="V56" i="7"/>
  <c r="AJ70" i="7"/>
  <c r="X58" i="7"/>
  <c r="AF66" i="7"/>
  <c r="AA61" i="7"/>
  <c r="W57" i="7"/>
  <c r="Y59" i="7"/>
  <c r="AH60" i="7"/>
  <c r="AK63" i="7"/>
  <c r="AC55" i="7"/>
  <c r="AJ62" i="7"/>
  <c r="AD56" i="7"/>
  <c r="AI61" i="7"/>
  <c r="AE57" i="7"/>
  <c r="AK60" i="7"/>
  <c r="AK88" i="7"/>
  <c r="AC80" i="7"/>
  <c r="AF83" i="7"/>
  <c r="AE82" i="7"/>
  <c r="AJ87" i="7"/>
  <c r="W74" i="7"/>
  <c r="T71" i="7"/>
  <c r="AD81" i="7"/>
  <c r="AG84" i="7"/>
  <c r="AK80" i="7"/>
  <c r="AE74" i="7"/>
  <c r="AI78" i="7"/>
  <c r="AH77" i="7"/>
  <c r="AB71" i="7"/>
  <c r="AJ79" i="7"/>
  <c r="AG76" i="7"/>
  <c r="AJ71" i="7"/>
  <c r="AK72" i="7"/>
  <c r="L58" i="7"/>
  <c r="T58" i="7"/>
  <c r="AB58" i="7"/>
  <c r="AJ58" i="7"/>
  <c r="H59" i="7"/>
  <c r="P59" i="7"/>
  <c r="X59" i="7"/>
  <c r="AF59" i="7"/>
  <c r="H61" i="7"/>
  <c r="P61" i="7"/>
  <c r="X61" i="7"/>
  <c r="AF61" i="7"/>
  <c r="T66" i="7"/>
  <c r="AK66" i="7"/>
  <c r="AF67" i="7"/>
  <c r="Q68" i="7"/>
  <c r="X69" i="7"/>
  <c r="S70" i="7"/>
  <c r="U72" i="7"/>
  <c r="AC74" i="7"/>
  <c r="X75" i="7"/>
  <c r="AI86" i="7"/>
  <c r="AF75" i="7"/>
  <c r="AA78" i="7"/>
  <c r="AH85" i="7"/>
  <c r="AJ82" i="7"/>
  <c r="AI81" i="7"/>
  <c r="AK83" i="7"/>
  <c r="AH80" i="7"/>
  <c r="AG79" i="7"/>
  <c r="AA73" i="7"/>
  <c r="AD76" i="7"/>
  <c r="AC75" i="7"/>
  <c r="AB74" i="7"/>
  <c r="Z72" i="7"/>
  <c r="X70" i="7"/>
  <c r="AE77" i="7"/>
  <c r="AI73" i="7"/>
  <c r="AF70" i="7"/>
  <c r="AK75" i="7"/>
  <c r="AJ74" i="7"/>
  <c r="AH72" i="7"/>
  <c r="M59" i="7"/>
  <c r="U59" i="7"/>
  <c r="AC59" i="7"/>
  <c r="AK59" i="7"/>
  <c r="I60" i="7"/>
  <c r="Q60" i="7"/>
  <c r="Y60" i="7"/>
  <c r="AG60" i="7"/>
  <c r="Q62" i="7"/>
  <c r="Y62" i="7"/>
  <c r="AG62" i="7"/>
  <c r="Y68" i="7"/>
  <c r="R69" i="7"/>
  <c r="AA70" i="7"/>
  <c r="AG71" i="7"/>
  <c r="Z77" i="7"/>
  <c r="AK90" i="7"/>
  <c r="AJ89" i="7"/>
  <c r="AI88" i="7"/>
  <c r="AC82" i="7"/>
  <c r="AF85" i="7"/>
  <c r="AE84" i="7"/>
  <c r="AG86" i="7"/>
  <c r="X77" i="7"/>
  <c r="W76" i="7"/>
  <c r="Z79" i="7"/>
  <c r="AH87" i="7"/>
  <c r="AD83" i="7"/>
  <c r="O68" i="7"/>
  <c r="AA80" i="7"/>
  <c r="V75" i="7"/>
  <c r="U74" i="7"/>
  <c r="T73" i="7"/>
  <c r="S72" i="7"/>
  <c r="N67" i="7"/>
  <c r="AK82" i="7"/>
  <c r="AJ81" i="7"/>
  <c r="AF77" i="7"/>
  <c r="AE76" i="7"/>
  <c r="W68" i="7"/>
  <c r="AG78" i="7"/>
  <c r="V67" i="7"/>
  <c r="AK74" i="7"/>
  <c r="AJ73" i="7"/>
  <c r="AI72" i="7"/>
  <c r="AE68" i="7"/>
  <c r="AD67" i="7"/>
  <c r="J56" i="7"/>
  <c r="R56" i="7"/>
  <c r="Z56" i="7"/>
  <c r="F57" i="7"/>
  <c r="N57" i="7"/>
  <c r="V57" i="7"/>
  <c r="F59" i="7"/>
  <c r="N59" i="7"/>
  <c r="V59" i="7"/>
  <c r="R64" i="7"/>
  <c r="Z64" i="7"/>
  <c r="N65" i="7"/>
  <c r="V65" i="7"/>
  <c r="AD65" i="7"/>
  <c r="P67" i="7"/>
  <c r="AC67" i="7"/>
  <c r="AH71" i="7"/>
  <c r="AD73" i="7"/>
  <c r="AF78" i="7"/>
  <c r="G152" i="5" l="1"/>
  <c r="G132" i="5"/>
  <c r="F129" i="5"/>
  <c r="F149" i="5"/>
  <c r="J26" i="7" a="1"/>
  <c r="J26" i="7" s="1"/>
  <c r="J23" i="7" a="1"/>
  <c r="J23" i="7" s="1"/>
  <c r="J21" i="7" a="1"/>
  <c r="J21" i="7" s="1"/>
  <c r="J25" i="7" a="1"/>
  <c r="J25" i="7" s="1"/>
  <c r="J15" i="7" a="1"/>
  <c r="J15" i="7" s="1"/>
  <c r="J27" i="7" a="1"/>
  <c r="J27" i="7" s="1"/>
  <c r="J17" i="7" a="1"/>
  <c r="J17" i="7" s="1"/>
  <c r="K26" i="7" a="1"/>
  <c r="K26" i="7" s="1"/>
  <c r="K23" i="7" a="1"/>
  <c r="K23" i="7" s="1"/>
  <c r="K21" i="7" a="1"/>
  <c r="K21" i="7" s="1"/>
  <c r="K27" i="7" a="1"/>
  <c r="K27" i="7" s="1"/>
  <c r="K25" i="7" a="1"/>
  <c r="K25" i="7" s="1"/>
  <c r="K15" i="7" a="1"/>
  <c r="K15" i="7" s="1"/>
  <c r="K17" i="7" a="1"/>
  <c r="K17" i="7" s="1"/>
  <c r="H17" i="7" a="1"/>
  <c r="H17" i="7" s="1"/>
  <c r="H27" i="7" a="1"/>
  <c r="H27" i="7" s="1"/>
  <c r="H26" i="7" a="1"/>
  <c r="H26" i="7" s="1"/>
  <c r="H21" i="7" a="1"/>
  <c r="H21" i="7" s="1"/>
  <c r="H25" i="7" a="1"/>
  <c r="H25" i="7" s="1"/>
  <c r="H15" i="7" a="1"/>
  <c r="H15" i="7" s="1"/>
  <c r="H23" i="7" a="1"/>
  <c r="H23" i="7" s="1"/>
  <c r="AD23" i="7" a="1"/>
  <c r="AD23" i="7" s="1"/>
  <c r="AD21" i="7" a="1"/>
  <c r="AD21" i="7" s="1"/>
  <c r="AD25" i="7" a="1"/>
  <c r="AD25" i="7" s="1"/>
  <c r="AD27" i="7" a="1"/>
  <c r="AD27" i="7" s="1"/>
  <c r="AD26" i="7" a="1"/>
  <c r="AD26" i="7" s="1"/>
  <c r="AD15" i="7" a="1"/>
  <c r="AD15" i="7" s="1"/>
  <c r="AD17" i="7" a="1"/>
  <c r="AD17" i="7" s="1"/>
  <c r="AM25" i="7" a="1"/>
  <c r="AM25" i="7" s="1"/>
  <c r="AM23" i="7" a="1"/>
  <c r="AM23" i="7" s="1"/>
  <c r="AM21" i="7" a="1"/>
  <c r="AM21" i="7" s="1"/>
  <c r="AM27" i="7" a="1"/>
  <c r="AM27" i="7" s="1"/>
  <c r="AM26" i="7" a="1"/>
  <c r="AM26" i="7" s="1"/>
  <c r="AM15" i="7" a="1"/>
  <c r="AM15" i="7" s="1"/>
  <c r="AM17" i="7" a="1"/>
  <c r="AM17" i="7" s="1"/>
  <c r="AO113" i="7"/>
  <c r="AO111" i="7"/>
  <c r="AO109" i="7"/>
  <c r="AO107" i="7"/>
  <c r="AO105" i="7"/>
  <c r="AO103" i="7"/>
  <c r="AO101" i="7"/>
  <c r="AO99" i="7"/>
  <c r="AO97" i="7"/>
  <c r="AO95" i="7"/>
  <c r="AO93" i="7"/>
  <c r="AO91" i="7"/>
  <c r="AO89" i="7"/>
  <c r="AO85" i="7"/>
  <c r="AO83" i="7"/>
  <c r="AO81" i="7"/>
  <c r="AO114" i="7"/>
  <c r="AO106" i="7"/>
  <c r="AO98" i="7"/>
  <c r="AO90" i="7"/>
  <c r="AO87" i="7"/>
  <c r="AO108" i="7"/>
  <c r="AO112" i="7"/>
  <c r="AO79" i="7"/>
  <c r="AO77" i="7"/>
  <c r="AO92" i="7"/>
  <c r="AO110" i="7"/>
  <c r="AO100" i="7"/>
  <c r="AO88" i="7"/>
  <c r="AO104" i="7"/>
  <c r="AO86" i="7"/>
  <c r="AO102" i="7"/>
  <c r="AO82" i="7"/>
  <c r="AO96" i="7"/>
  <c r="AO74" i="7"/>
  <c r="AO70" i="7"/>
  <c r="AO67" i="7"/>
  <c r="AO73" i="7"/>
  <c r="AO64" i="7"/>
  <c r="AO62" i="7"/>
  <c r="AO60" i="7"/>
  <c r="AO58" i="7"/>
  <c r="AO56" i="7"/>
  <c r="AO94" i="7"/>
  <c r="AO80" i="7"/>
  <c r="AO84" i="7"/>
  <c r="AO78" i="7"/>
  <c r="AO75" i="7"/>
  <c r="AO57" i="7"/>
  <c r="AO69" i="7"/>
  <c r="AO65" i="7"/>
  <c r="AO59" i="7"/>
  <c r="AO68" i="7"/>
  <c r="AO63" i="7"/>
  <c r="AO61" i="7"/>
  <c r="AO55" i="7"/>
  <c r="AO72" i="7"/>
  <c r="AO76" i="7"/>
  <c r="AO71" i="7"/>
  <c r="AO66" i="7"/>
  <c r="AP5" i="7"/>
  <c r="F165" i="5"/>
  <c r="B21" i="7" a="1"/>
  <c r="B21" i="7" s="1"/>
  <c r="O43" i="4"/>
  <c r="B25" i="7" a="1"/>
  <c r="B25" i="7" s="1"/>
  <c r="F76" i="5"/>
  <c r="B24" i="7" s="1" a="1"/>
  <c r="B24" i="7" s="1"/>
  <c r="O47" i="4"/>
  <c r="D19" i="4"/>
  <c r="C20" i="4" s="1"/>
  <c r="F59" i="5"/>
  <c r="E13" i="5"/>
  <c r="E16" i="5" s="1"/>
  <c r="AC25" i="7" a="1"/>
  <c r="AC25" i="7" s="1"/>
  <c r="AC27" i="7" a="1"/>
  <c r="AC27" i="7" s="1"/>
  <c r="AC24" i="7" a="1"/>
  <c r="AC24" i="7" s="1"/>
  <c r="AC23" i="7" a="1"/>
  <c r="AC23" i="7" s="1"/>
  <c r="AC26" i="7" a="1"/>
  <c r="AC26" i="7" s="1"/>
  <c r="AC17" i="7" a="1"/>
  <c r="AC17" i="7" s="1"/>
  <c r="AC21" i="7" a="1"/>
  <c r="AC21" i="7" s="1"/>
  <c r="AC15" i="7" a="1"/>
  <c r="AC15" i="7" s="1"/>
  <c r="AI23" i="7" a="1"/>
  <c r="AI23" i="7" s="1"/>
  <c r="AI21" i="7" a="1"/>
  <c r="AI21" i="7" s="1"/>
  <c r="AI25" i="7" a="1"/>
  <c r="AI25" i="7" s="1"/>
  <c r="AI27" i="7" a="1"/>
  <c r="AI27" i="7" s="1"/>
  <c r="AI26" i="7" a="1"/>
  <c r="AI26" i="7" s="1"/>
  <c r="AI15" i="7" a="1"/>
  <c r="AI15" i="7" s="1"/>
  <c r="AI17" i="7" a="1"/>
  <c r="AI17" i="7" s="1"/>
  <c r="AA24" i="7" a="1"/>
  <c r="AA24" i="7" s="1"/>
  <c r="AA27" i="7" a="1"/>
  <c r="AA27" i="7" s="1"/>
  <c r="AA23" i="7" a="1"/>
  <c r="AA23" i="7" s="1"/>
  <c r="AA21" i="7" a="1"/>
  <c r="AA21" i="7" s="1"/>
  <c r="AA17" i="7" a="1"/>
  <c r="AA17" i="7" s="1"/>
  <c r="AA25" i="7" a="1"/>
  <c r="AA25" i="7" s="1"/>
  <c r="AA15" i="7" a="1"/>
  <c r="AA15" i="7" s="1"/>
  <c r="AA26" i="7" a="1"/>
  <c r="AA26" i="7" s="1"/>
  <c r="L26" i="7" a="1"/>
  <c r="L26" i="7" s="1"/>
  <c r="L21" i="7" a="1"/>
  <c r="L21" i="7" s="1"/>
  <c r="L25" i="7" a="1"/>
  <c r="L25" i="7" s="1"/>
  <c r="L23" i="7" a="1"/>
  <c r="L23" i="7" s="1"/>
  <c r="L27" i="7" a="1"/>
  <c r="L27" i="7" s="1"/>
  <c r="L15" i="7" a="1"/>
  <c r="L15" i="7" s="1"/>
  <c r="L17" i="7" a="1"/>
  <c r="L17" i="7" s="1"/>
  <c r="D27" i="7" a="1"/>
  <c r="D27" i="7" s="1"/>
  <c r="D26" i="7" a="1"/>
  <c r="D26" i="7" s="1"/>
  <c r="D17" i="7" a="1"/>
  <c r="D17" i="7" s="1"/>
  <c r="D25" i="7" a="1"/>
  <c r="D25" i="7" s="1"/>
  <c r="D23" i="7" a="1"/>
  <c r="D23" i="7" s="1"/>
  <c r="D15" i="7" a="1"/>
  <c r="D15" i="7" s="1"/>
  <c r="D21" i="7" a="1"/>
  <c r="D21" i="7" s="1"/>
  <c r="Q27" i="7" a="1"/>
  <c r="Q27" i="7" s="1"/>
  <c r="Q21" i="7" a="1"/>
  <c r="Q21" i="7" s="1"/>
  <c r="Q17" i="7" a="1"/>
  <c r="Q17" i="7" s="1"/>
  <c r="Q26" i="7" a="1"/>
  <c r="Q26" i="7" s="1"/>
  <c r="Q23" i="7" a="1"/>
  <c r="Q23" i="7" s="1"/>
  <c r="Q25" i="7" a="1"/>
  <c r="Q25" i="7" s="1"/>
  <c r="Q15" i="7" a="1"/>
  <c r="Q15" i="7" s="1"/>
  <c r="O25" i="7" a="1"/>
  <c r="O25" i="7" s="1"/>
  <c r="O27" i="7" a="1"/>
  <c r="O27" i="7" s="1"/>
  <c r="O23" i="7" a="1"/>
  <c r="O23" i="7" s="1"/>
  <c r="O21" i="7" a="1"/>
  <c r="O21" i="7" s="1"/>
  <c r="O26" i="7" a="1"/>
  <c r="O26" i="7" s="1"/>
  <c r="O17" i="7" a="1"/>
  <c r="O17" i="7" s="1"/>
  <c r="O15" i="7" a="1"/>
  <c r="O15" i="7" s="1"/>
  <c r="W27" i="7" a="1"/>
  <c r="W27" i="7" s="1"/>
  <c r="W26" i="7" a="1"/>
  <c r="W26" i="7" s="1"/>
  <c r="W23" i="7" a="1"/>
  <c r="W23" i="7" s="1"/>
  <c r="W21" i="7" a="1"/>
  <c r="W21" i="7" s="1"/>
  <c r="W15" i="7" a="1"/>
  <c r="W15" i="7" s="1"/>
  <c r="W25" i="7" a="1"/>
  <c r="W25" i="7" s="1"/>
  <c r="W17" i="7" a="1"/>
  <c r="W17" i="7" s="1"/>
  <c r="N27" i="7" a="1"/>
  <c r="N27" i="7" s="1"/>
  <c r="N23" i="7" a="1"/>
  <c r="N23" i="7" s="1"/>
  <c r="N21" i="7" a="1"/>
  <c r="N21" i="7" s="1"/>
  <c r="N26" i="7" a="1"/>
  <c r="N26" i="7" s="1"/>
  <c r="N15" i="7" a="1"/>
  <c r="N15" i="7" s="1"/>
  <c r="N25" i="7" a="1"/>
  <c r="N25" i="7" s="1"/>
  <c r="N17" i="7" a="1"/>
  <c r="N17" i="7" s="1"/>
  <c r="F5" i="6"/>
  <c r="G4" i="6"/>
  <c r="D4" i="7"/>
  <c r="AH23" i="7" a="1"/>
  <c r="AH23" i="7" s="1"/>
  <c r="AH21" i="7" a="1"/>
  <c r="AH21" i="7" s="1"/>
  <c r="AH26" i="7" a="1"/>
  <c r="AH26" i="7" s="1"/>
  <c r="AH25" i="7" a="1"/>
  <c r="AH25" i="7" s="1"/>
  <c r="AH24" i="7" a="1"/>
  <c r="AH24" i="7" s="1"/>
  <c r="AH27" i="7" a="1"/>
  <c r="AH27" i="7" s="1"/>
  <c r="AH15" i="7" a="1"/>
  <c r="AH15" i="7" s="1"/>
  <c r="AH17" i="7" a="1"/>
  <c r="AH17" i="7" s="1"/>
  <c r="F25" i="7" a="1"/>
  <c r="F25" i="7" s="1"/>
  <c r="F23" i="7" a="1"/>
  <c r="F23" i="7" s="1"/>
  <c r="F21" i="7" a="1"/>
  <c r="F21" i="7" s="1"/>
  <c r="F27" i="7" a="1"/>
  <c r="F27" i="7" s="1"/>
  <c r="F17" i="7" a="1"/>
  <c r="F17" i="7" s="1"/>
  <c r="F15" i="7" a="1"/>
  <c r="F15" i="7" s="1"/>
  <c r="F26" i="7" a="1"/>
  <c r="F26" i="7" s="1"/>
  <c r="AN24" i="7" a="1"/>
  <c r="AN24" i="7" s="1"/>
  <c r="AN26" i="7" a="1"/>
  <c r="AN26" i="7" s="1"/>
  <c r="AN17" i="7" a="1"/>
  <c r="AN17" i="7" s="1"/>
  <c r="AN25" i="7" a="1"/>
  <c r="AN25" i="7" s="1"/>
  <c r="AN21" i="7" a="1"/>
  <c r="AN21" i="7" s="1"/>
  <c r="AN15" i="7" a="1"/>
  <c r="AN15" i="7" s="1"/>
  <c r="AN23" i="7" a="1"/>
  <c r="AN23" i="7" s="1"/>
  <c r="AN27" i="7" a="1"/>
  <c r="AN27" i="7" s="1"/>
  <c r="F160" i="5"/>
  <c r="G29" i="5"/>
  <c r="E14" i="5"/>
  <c r="I27" i="7" a="1"/>
  <c r="I27" i="7" s="1"/>
  <c r="I15" i="7" a="1"/>
  <c r="I15" i="7" s="1"/>
  <c r="I26" i="7" a="1"/>
  <c r="I26" i="7" s="1"/>
  <c r="I21" i="7" a="1"/>
  <c r="I21" i="7" s="1"/>
  <c r="I25" i="7" a="1"/>
  <c r="I25" i="7" s="1"/>
  <c r="I23" i="7" a="1"/>
  <c r="I23" i="7" s="1"/>
  <c r="I17" i="7" a="1"/>
  <c r="I17" i="7" s="1"/>
  <c r="G24" i="7" a="1"/>
  <c r="G24" i="7" s="1"/>
  <c r="G25" i="7" a="1"/>
  <c r="G25" i="7" s="1"/>
  <c r="G23" i="7" a="1"/>
  <c r="G23" i="7" s="1"/>
  <c r="G21" i="7" a="1"/>
  <c r="G21" i="7" s="1"/>
  <c r="G27" i="7" a="1"/>
  <c r="G27" i="7" s="1"/>
  <c r="G15" i="7" a="1"/>
  <c r="G15" i="7" s="1"/>
  <c r="G26" i="7" a="1"/>
  <c r="G26" i="7" s="1"/>
  <c r="G17" i="7" a="1"/>
  <c r="G17" i="7" s="1"/>
  <c r="U51" i="4"/>
  <c r="U36" i="4"/>
  <c r="E27" i="7" a="1"/>
  <c r="E27" i="7" s="1"/>
  <c r="E26" i="7" a="1"/>
  <c r="E26" i="7" s="1"/>
  <c r="E21" i="7" a="1"/>
  <c r="E21" i="7" s="1"/>
  <c r="E15" i="7" a="1"/>
  <c r="E15" i="7" s="1"/>
  <c r="E25" i="7" a="1"/>
  <c r="E25" i="7" s="1"/>
  <c r="E24" i="7" a="1"/>
  <c r="E24" i="7" s="1"/>
  <c r="E23" i="7" a="1"/>
  <c r="E23" i="7" s="1"/>
  <c r="E17" i="7" a="1"/>
  <c r="E17" i="7" s="1"/>
  <c r="AB26" i="7" a="1"/>
  <c r="AB26" i="7" s="1"/>
  <c r="AB25" i="7" a="1"/>
  <c r="AB25" i="7" s="1"/>
  <c r="AB24" i="7" a="1"/>
  <c r="AB24" i="7" s="1"/>
  <c r="AB15" i="7" a="1"/>
  <c r="AB15" i="7" s="1"/>
  <c r="AB21" i="7" a="1"/>
  <c r="AB21" i="7" s="1"/>
  <c r="AB27" i="7" a="1"/>
  <c r="AB27" i="7" s="1"/>
  <c r="AB17" i="7" a="1"/>
  <c r="AB17" i="7" s="1"/>
  <c r="AB23" i="7" a="1"/>
  <c r="AB23" i="7" s="1"/>
  <c r="X25" i="7" a="1"/>
  <c r="X25" i="7" s="1"/>
  <c r="X27" i="7" a="1"/>
  <c r="X27" i="7" s="1"/>
  <c r="X21" i="7" a="1"/>
  <c r="X21" i="7" s="1"/>
  <c r="X26" i="7" a="1"/>
  <c r="X26" i="7" s="1"/>
  <c r="X23" i="7" a="1"/>
  <c r="X23" i="7" s="1"/>
  <c r="X17" i="7" a="1"/>
  <c r="X17" i="7" s="1"/>
  <c r="X15" i="7" a="1"/>
  <c r="X15" i="7" s="1"/>
  <c r="F127" i="5"/>
  <c r="F132" i="5"/>
  <c r="U45" i="4"/>
  <c r="U38" i="4"/>
  <c r="S26" i="7" a="1"/>
  <c r="S26" i="7" s="1"/>
  <c r="S24" i="7" a="1"/>
  <c r="S24" i="7" s="1"/>
  <c r="S25" i="7" a="1"/>
  <c r="S25" i="7" s="1"/>
  <c r="S23" i="7" a="1"/>
  <c r="S23" i="7" s="1"/>
  <c r="S21" i="7" a="1"/>
  <c r="S21" i="7" s="1"/>
  <c r="S15" i="7" a="1"/>
  <c r="S15" i="7" s="1"/>
  <c r="S27" i="7" a="1"/>
  <c r="S27" i="7" s="1"/>
  <c r="S17" i="7" a="1"/>
  <c r="S17" i="7" s="1"/>
  <c r="AF27" i="7" a="1"/>
  <c r="AF27" i="7" s="1"/>
  <c r="AF26" i="7" a="1"/>
  <c r="AF26" i="7" s="1"/>
  <c r="AF24" i="7" a="1"/>
  <c r="AF24" i="7" s="1"/>
  <c r="AF23" i="7" a="1"/>
  <c r="AF23" i="7" s="1"/>
  <c r="AF15" i="7" a="1"/>
  <c r="AF15" i="7" s="1"/>
  <c r="AF25" i="7" a="1"/>
  <c r="AF25" i="7" s="1"/>
  <c r="AF17" i="7" a="1"/>
  <c r="AF17" i="7" s="1"/>
  <c r="AF21" i="7" a="1"/>
  <c r="AF21" i="7" s="1"/>
  <c r="P25" i="7" a="1"/>
  <c r="P25" i="7" s="1"/>
  <c r="P24" i="7" a="1"/>
  <c r="P24" i="7" s="1"/>
  <c r="P27" i="7" a="1"/>
  <c r="P27" i="7" s="1"/>
  <c r="P21" i="7" a="1"/>
  <c r="P21" i="7" s="1"/>
  <c r="P26" i="7" a="1"/>
  <c r="P26" i="7" s="1"/>
  <c r="P23" i="7" a="1"/>
  <c r="P23" i="7" s="1"/>
  <c r="P15" i="7" a="1"/>
  <c r="P15" i="7" s="1"/>
  <c r="P17" i="7" a="1"/>
  <c r="P17" i="7" s="1"/>
  <c r="AE24" i="7" a="1"/>
  <c r="AE24" i="7" s="1"/>
  <c r="AE23" i="7" a="1"/>
  <c r="AE23" i="7" s="1"/>
  <c r="AE21" i="7" a="1"/>
  <c r="AE21" i="7" s="1"/>
  <c r="AE27" i="7" a="1"/>
  <c r="AE27" i="7" s="1"/>
  <c r="AE17" i="7" a="1"/>
  <c r="AE17" i="7" s="1"/>
  <c r="AE26" i="7" a="1"/>
  <c r="AE26" i="7" s="1"/>
  <c r="AE25" i="7" a="1"/>
  <c r="AE25" i="7" s="1"/>
  <c r="AE15" i="7" a="1"/>
  <c r="AE15" i="7" s="1"/>
  <c r="L10" i="6"/>
  <c r="U48" i="4"/>
  <c r="E37" i="5"/>
  <c r="Z23" i="7" a="1"/>
  <c r="Z23" i="7" s="1"/>
  <c r="Z21" i="7" a="1"/>
  <c r="Z21" i="7" s="1"/>
  <c r="Z26" i="7" a="1"/>
  <c r="Z26" i="7" s="1"/>
  <c r="Z25" i="7" a="1"/>
  <c r="Z25" i="7" s="1"/>
  <c r="Z27" i="7" a="1"/>
  <c r="Z27" i="7" s="1"/>
  <c r="Z15" i="7" a="1"/>
  <c r="Z15" i="7" s="1"/>
  <c r="Z24" i="7" a="1"/>
  <c r="Z24" i="7" s="1"/>
  <c r="Z17" i="7" a="1"/>
  <c r="Z17" i="7" s="1"/>
  <c r="U25" i="7" a="1"/>
  <c r="U25" i="7" s="1"/>
  <c r="U27" i="7" a="1"/>
  <c r="U27" i="7" s="1"/>
  <c r="U23" i="7" a="1"/>
  <c r="U23" i="7" s="1"/>
  <c r="U21" i="7" a="1"/>
  <c r="U21" i="7" s="1"/>
  <c r="U26" i="7" a="1"/>
  <c r="U26" i="7" s="1"/>
  <c r="U17" i="7" a="1"/>
  <c r="U17" i="7" s="1"/>
  <c r="U15" i="7" a="1"/>
  <c r="U15" i="7" s="1"/>
  <c r="M23" i="7" a="1"/>
  <c r="M23" i="7" s="1"/>
  <c r="M17" i="7" a="1"/>
  <c r="M17" i="7" s="1"/>
  <c r="M25" i="7" a="1"/>
  <c r="M25" i="7" s="1"/>
  <c r="M27" i="7" a="1"/>
  <c r="M27" i="7" s="1"/>
  <c r="M24" i="7" a="1"/>
  <c r="M24" i="7" s="1"/>
  <c r="M26" i="7" a="1"/>
  <c r="M26" i="7" s="1"/>
  <c r="M21" i="7" a="1"/>
  <c r="M21" i="7" s="1"/>
  <c r="M15" i="7" a="1"/>
  <c r="M15" i="7" s="1"/>
  <c r="AJ27" i="7" a="1"/>
  <c r="AJ27" i="7" s="1"/>
  <c r="AJ17" i="7" a="1"/>
  <c r="AJ17" i="7" s="1"/>
  <c r="AJ21" i="7" a="1"/>
  <c r="AJ21" i="7" s="1"/>
  <c r="AJ23" i="7" a="1"/>
  <c r="AJ23" i="7" s="1"/>
  <c r="AJ26" i="7" a="1"/>
  <c r="AJ26" i="7" s="1"/>
  <c r="AJ25" i="7" a="1"/>
  <c r="AJ25" i="7" s="1"/>
  <c r="AJ15" i="7" a="1"/>
  <c r="AJ15" i="7" s="1"/>
  <c r="T26" i="7" a="1"/>
  <c r="T26" i="7" s="1"/>
  <c r="T23" i="7" a="1"/>
  <c r="T23" i="7" s="1"/>
  <c r="T25" i="7" a="1"/>
  <c r="T25" i="7" s="1"/>
  <c r="T27" i="7" a="1"/>
  <c r="T27" i="7" s="1"/>
  <c r="T15" i="7" a="1"/>
  <c r="T15" i="7" s="1"/>
  <c r="T21" i="7" a="1"/>
  <c r="T21" i="7" s="1"/>
  <c r="T17" i="7" a="1"/>
  <c r="T17" i="7" s="1"/>
  <c r="C24" i="7" a="1"/>
  <c r="C24" i="7" s="1"/>
  <c r="C23" i="7" a="1"/>
  <c r="C23" i="7" s="1"/>
  <c r="C21" i="7" a="1"/>
  <c r="C21" i="7" s="1"/>
  <c r="C27" i="7" a="1"/>
  <c r="C27" i="7" s="1"/>
  <c r="C26" i="7" a="1"/>
  <c r="C26" i="7" s="1"/>
  <c r="C25" i="7" a="1"/>
  <c r="C25" i="7" s="1"/>
  <c r="C15" i="7" a="1"/>
  <c r="C15" i="7" s="1"/>
  <c r="C17" i="7" a="1"/>
  <c r="C17" i="7" s="1"/>
  <c r="AG26" i="7" a="1"/>
  <c r="AG26" i="7" s="1"/>
  <c r="AG25" i="7" a="1"/>
  <c r="AG25" i="7" s="1"/>
  <c r="AG27" i="7" a="1"/>
  <c r="AG27" i="7" s="1"/>
  <c r="AG21" i="7" a="1"/>
  <c r="AG21" i="7" s="1"/>
  <c r="AG17" i="7" a="1"/>
  <c r="AG17" i="7" s="1"/>
  <c r="AG15" i="7" a="1"/>
  <c r="AG15" i="7" s="1"/>
  <c r="AG24" i="7" a="1"/>
  <c r="AG24" i="7" s="1"/>
  <c r="AG23" i="7" a="1"/>
  <c r="AG23" i="7" s="1"/>
  <c r="Y26" i="7" a="1"/>
  <c r="Y26" i="7" s="1"/>
  <c r="Y24" i="7" a="1"/>
  <c r="Y24" i="7" s="1"/>
  <c r="Y27" i="7" a="1"/>
  <c r="Y27" i="7" s="1"/>
  <c r="Y23" i="7" a="1"/>
  <c r="Y23" i="7" s="1"/>
  <c r="Y25" i="7" a="1"/>
  <c r="Y25" i="7" s="1"/>
  <c r="Y15" i="7" a="1"/>
  <c r="Y15" i="7" s="1"/>
  <c r="Y17" i="7" a="1"/>
  <c r="Y17" i="7" s="1"/>
  <c r="Y21" i="7" a="1"/>
  <c r="Y21" i="7" s="1"/>
  <c r="V23" i="7" a="1"/>
  <c r="V23" i="7" s="1"/>
  <c r="V21" i="7" a="1"/>
  <c r="V21" i="7" s="1"/>
  <c r="V17" i="7" a="1"/>
  <c r="V17" i="7" s="1"/>
  <c r="V27" i="7" a="1"/>
  <c r="V27" i="7" s="1"/>
  <c r="V24" i="7" a="1"/>
  <c r="V24" i="7" s="1"/>
  <c r="V26" i="7" a="1"/>
  <c r="V26" i="7" s="1"/>
  <c r="V25" i="7" a="1"/>
  <c r="V25" i="7" s="1"/>
  <c r="V15" i="7" a="1"/>
  <c r="V15" i="7" s="1"/>
  <c r="AL25" i="7" a="1"/>
  <c r="AL25" i="7" s="1"/>
  <c r="AL23" i="7" a="1"/>
  <c r="AL23" i="7" s="1"/>
  <c r="AL21" i="7" a="1"/>
  <c r="AL21" i="7" s="1"/>
  <c r="AL27" i="7" a="1"/>
  <c r="AL27" i="7" s="1"/>
  <c r="AL26" i="7" a="1"/>
  <c r="AL26" i="7" s="1"/>
  <c r="AL17" i="7" a="1"/>
  <c r="AL17" i="7" s="1"/>
  <c r="AL24" i="7" a="1"/>
  <c r="AL24" i="7" s="1"/>
  <c r="AL15" i="7" a="1"/>
  <c r="AL15" i="7" s="1"/>
  <c r="F185" i="5"/>
  <c r="F131" i="5"/>
  <c r="H59" i="5"/>
  <c r="H13" i="5"/>
  <c r="H190" i="5" s="1"/>
  <c r="H30" i="5"/>
  <c r="H129" i="5" s="1"/>
  <c r="H28" i="5"/>
  <c r="H147" i="5" s="1"/>
  <c r="H10" i="5"/>
  <c r="H14" i="5"/>
  <c r="H81" i="5"/>
  <c r="H127" i="5"/>
  <c r="H12" i="5"/>
  <c r="H11" i="5"/>
  <c r="I4" i="5"/>
  <c r="G27" i="5"/>
  <c r="R23" i="7" a="1"/>
  <c r="R23" i="7" s="1"/>
  <c r="R21" i="7" a="1"/>
  <c r="R21" i="7" s="1"/>
  <c r="R27" i="7" a="1"/>
  <c r="R27" i="7" s="1"/>
  <c r="R24" i="7" a="1"/>
  <c r="R24" i="7" s="1"/>
  <c r="R17" i="7" a="1"/>
  <c r="R17" i="7" s="1"/>
  <c r="R26" i="7" a="1"/>
  <c r="R26" i="7" s="1"/>
  <c r="R25" i="7" a="1"/>
  <c r="R25" i="7" s="1"/>
  <c r="R15" i="7" a="1"/>
  <c r="R15" i="7" s="1"/>
  <c r="AK27" i="7" a="1"/>
  <c r="AK27" i="7" s="1"/>
  <c r="AK26" i="7" a="1"/>
  <c r="AK26" i="7" s="1"/>
  <c r="AK21" i="7" a="1"/>
  <c r="AK21" i="7" s="1"/>
  <c r="AK15" i="7" a="1"/>
  <c r="AK15" i="7" s="1"/>
  <c r="AK24" i="7" a="1"/>
  <c r="AK24" i="7" s="1"/>
  <c r="AK23" i="7" a="1"/>
  <c r="AK23" i="7" s="1"/>
  <c r="AK25" i="7" a="1"/>
  <c r="AK25" i="7" s="1"/>
  <c r="AK17" i="7" a="1"/>
  <c r="AK17" i="7" s="1"/>
  <c r="F125" i="5"/>
  <c r="F140" i="5"/>
  <c r="F151" i="5"/>
  <c r="G13" i="5"/>
  <c r="G190" i="5" s="1"/>
  <c r="E12" i="5"/>
  <c r="F10" i="5"/>
  <c r="F150" i="5"/>
  <c r="F121" i="5"/>
  <c r="F120" i="5"/>
  <c r="F145" i="5"/>
  <c r="F22" i="5"/>
  <c r="F29" i="5"/>
  <c r="F23" i="5"/>
  <c r="F31" i="5"/>
  <c r="G25" i="5"/>
  <c r="F12" i="5"/>
  <c r="G31" i="5"/>
  <c r="G11" i="5"/>
  <c r="F25" i="5"/>
  <c r="F27" i="5"/>
  <c r="G22" i="5"/>
  <c r="AJ24" i="7" l="1" a="1"/>
  <c r="AJ24" i="7" s="1"/>
  <c r="U24" i="7" a="1"/>
  <c r="U24" i="7" s="1"/>
  <c r="F11" i="5"/>
  <c r="G10" i="5"/>
  <c r="F166" i="5"/>
  <c r="G167" i="5" s="1"/>
  <c r="F146" i="5"/>
  <c r="F126" i="5"/>
  <c r="F70" i="5"/>
  <c r="I130" i="5"/>
  <c r="I126" i="5"/>
  <c r="I59" i="5"/>
  <c r="I12" i="5"/>
  <c r="I31" i="5"/>
  <c r="I150" i="5" s="1"/>
  <c r="I27" i="5"/>
  <c r="I166" i="5" s="1"/>
  <c r="I24" i="5"/>
  <c r="I163" i="5" s="1"/>
  <c r="I11" i="5"/>
  <c r="I81" i="5"/>
  <c r="I14" i="5"/>
  <c r="J4" i="5"/>
  <c r="I13" i="5"/>
  <c r="I190" i="5" s="1"/>
  <c r="I10" i="5"/>
  <c r="I5" i="5"/>
  <c r="H23" i="5"/>
  <c r="L24" i="7" a="1"/>
  <c r="L24" i="7" s="1"/>
  <c r="O46" i="4"/>
  <c r="N47" i="4"/>
  <c r="H24" i="7" a="1"/>
  <c r="H24" i="7" s="1"/>
  <c r="D3" i="7"/>
  <c r="AO27" i="7" a="1"/>
  <c r="AO27" i="7" s="1"/>
  <c r="AO26" i="7" a="1"/>
  <c r="AO26" i="7" s="1"/>
  <c r="AO15" i="7" a="1"/>
  <c r="AO15" i="7" s="1"/>
  <c r="AO25" i="7" a="1"/>
  <c r="AO25" i="7" s="1"/>
  <c r="AO21" i="7" a="1"/>
  <c r="AO21" i="7" s="1"/>
  <c r="AO24" i="7" a="1"/>
  <c r="AO24" i="7" s="1"/>
  <c r="AO23" i="7" a="1"/>
  <c r="AO23" i="7" s="1"/>
  <c r="AO17" i="7" a="1"/>
  <c r="AO17" i="7" s="1"/>
  <c r="G164" i="5"/>
  <c r="G124" i="5"/>
  <c r="G144" i="5"/>
  <c r="H26" i="5"/>
  <c r="D185" i="5"/>
  <c r="G181" i="5"/>
  <c r="G5" i="6"/>
  <c r="H4" i="6"/>
  <c r="E4" i="7"/>
  <c r="AI24" i="7" a="1"/>
  <c r="AI24" i="7" s="1"/>
  <c r="K24" i="7" a="1"/>
  <c r="K24" i="7" s="1"/>
  <c r="G26" i="5"/>
  <c r="F144" i="5"/>
  <c r="F164" i="5"/>
  <c r="G28" i="5"/>
  <c r="G32" i="5"/>
  <c r="F130" i="5"/>
  <c r="H149" i="5"/>
  <c r="I24" i="7" a="1"/>
  <c r="I24" i="7" s="1"/>
  <c r="W24" i="7" a="1"/>
  <c r="W24" i="7" s="1"/>
  <c r="Q24" i="7" a="1"/>
  <c r="Q24" i="7" s="1"/>
  <c r="F122" i="5"/>
  <c r="F162" i="5"/>
  <c r="G24" i="5"/>
  <c r="F142" i="5"/>
  <c r="F69" i="5"/>
  <c r="E19" i="5"/>
  <c r="N10" i="6"/>
  <c r="G148" i="5"/>
  <c r="G128" i="5"/>
  <c r="O24" i="7" a="1"/>
  <c r="O24" i="7" s="1"/>
  <c r="N43" i="4"/>
  <c r="AP114" i="7"/>
  <c r="AP109" i="7"/>
  <c r="AP106" i="7"/>
  <c r="AP101" i="7"/>
  <c r="AP98" i="7"/>
  <c r="AP93" i="7"/>
  <c r="AP90" i="7"/>
  <c r="AP87" i="7"/>
  <c r="AP111" i="7"/>
  <c r="AP108" i="7"/>
  <c r="AP113" i="7"/>
  <c r="AP110" i="7"/>
  <c r="AP105" i="7"/>
  <c r="AP112" i="7"/>
  <c r="AP107" i="7"/>
  <c r="AP104" i="7"/>
  <c r="AP99" i="7"/>
  <c r="AP96" i="7"/>
  <c r="AP91" i="7"/>
  <c r="AP103" i="7"/>
  <c r="AP95" i="7"/>
  <c r="AP92" i="7"/>
  <c r="AP89" i="7"/>
  <c r="AP102" i="7"/>
  <c r="AP94" i="7"/>
  <c r="AP86" i="7"/>
  <c r="AP79" i="7"/>
  <c r="AP76" i="7"/>
  <c r="AP70" i="7"/>
  <c r="AP68" i="7"/>
  <c r="AP66" i="7"/>
  <c r="AP85" i="7"/>
  <c r="AP73" i="7"/>
  <c r="AP64" i="7"/>
  <c r="AP62" i="7"/>
  <c r="AP60" i="7"/>
  <c r="AP58" i="7"/>
  <c r="AP56" i="7"/>
  <c r="AP83" i="7"/>
  <c r="AP80" i="7"/>
  <c r="AP97" i="7"/>
  <c r="AP88" i="7"/>
  <c r="AP82" i="7"/>
  <c r="AP81" i="7"/>
  <c r="AP77" i="7"/>
  <c r="AP84" i="7"/>
  <c r="AP78" i="7"/>
  <c r="AP100" i="7"/>
  <c r="AP74" i="7"/>
  <c r="AP69" i="7"/>
  <c r="AP65" i="7"/>
  <c r="AP67" i="7"/>
  <c r="AP59" i="7"/>
  <c r="AP63" i="7"/>
  <c r="AP61" i="7"/>
  <c r="AP55" i="7"/>
  <c r="AP71" i="7"/>
  <c r="AP75" i="7"/>
  <c r="AP72" i="7"/>
  <c r="AP57" i="7"/>
  <c r="AQ5" i="7"/>
  <c r="AD24" i="7" a="1"/>
  <c r="AD24" i="7" s="1"/>
  <c r="J24" i="7" a="1"/>
  <c r="J24" i="7" s="1"/>
  <c r="G130" i="5"/>
  <c r="G150" i="5"/>
  <c r="F128" i="5"/>
  <c r="G30" i="5"/>
  <c r="F148" i="5"/>
  <c r="G126" i="5"/>
  <c r="G146" i="5"/>
  <c r="G166" i="5"/>
  <c r="H32" i="5"/>
  <c r="T24" i="7" a="1"/>
  <c r="T24" i="7" s="1"/>
  <c r="X24" i="7" a="1"/>
  <c r="X24" i="7" s="1"/>
  <c r="F56" i="5"/>
  <c r="F16" i="5"/>
  <c r="F84" i="5"/>
  <c r="AM24" i="7" a="1"/>
  <c r="AM24" i="7" s="1"/>
  <c r="G161" i="5"/>
  <c r="G121" i="5"/>
  <c r="G141" i="5"/>
  <c r="F124" i="5"/>
  <c r="F161" i="5"/>
  <c r="F141" i="5"/>
  <c r="G23" i="5"/>
  <c r="F24" i="7" a="1"/>
  <c r="F24" i="7" s="1"/>
  <c r="N24" i="7" a="1"/>
  <c r="N24" i="7" s="1"/>
  <c r="D24" i="7" a="1"/>
  <c r="D24" i="7" s="1"/>
  <c r="P10" i="6" l="1"/>
  <c r="N46" i="4"/>
  <c r="O20" i="4"/>
  <c r="G149" i="5"/>
  <c r="G129" i="5"/>
  <c r="H31" i="5"/>
  <c r="G69" i="5"/>
  <c r="G122" i="5"/>
  <c r="G162" i="5"/>
  <c r="G142" i="5"/>
  <c r="H24" i="5"/>
  <c r="G131" i="5"/>
  <c r="G151" i="5"/>
  <c r="H33" i="5"/>
  <c r="J81" i="5"/>
  <c r="J59" i="5"/>
  <c r="J14" i="5"/>
  <c r="J11" i="5"/>
  <c r="J13" i="5"/>
  <c r="J190" i="5" s="1"/>
  <c r="J10" i="5"/>
  <c r="J12" i="5"/>
  <c r="K4" i="5"/>
  <c r="J5" i="5"/>
  <c r="J25" i="5" s="1"/>
  <c r="AP26" i="7" a="1"/>
  <c r="AP26" i="7" s="1"/>
  <c r="AP23" i="7" a="1"/>
  <c r="AP23" i="7" s="1"/>
  <c r="AP21" i="7" a="1"/>
  <c r="AP21" i="7" s="1"/>
  <c r="AP25" i="7" a="1"/>
  <c r="AP25" i="7" s="1"/>
  <c r="AP15" i="7" a="1"/>
  <c r="AP15" i="7" s="1"/>
  <c r="AP24" i="7" a="1"/>
  <c r="AP24" i="7" s="1"/>
  <c r="AP27" i="7" a="1"/>
  <c r="AP27" i="7" s="1"/>
  <c r="AP17" i="7" a="1"/>
  <c r="AP17" i="7" s="1"/>
  <c r="U43" i="4"/>
  <c r="G184" i="5"/>
  <c r="G183" i="5"/>
  <c r="D181" i="5"/>
  <c r="G185" i="5"/>
  <c r="H181" i="5" s="1"/>
  <c r="I146" i="5"/>
  <c r="H142" i="5"/>
  <c r="H122" i="5"/>
  <c r="H162" i="5"/>
  <c r="H131" i="5"/>
  <c r="H151" i="5"/>
  <c r="G165" i="5"/>
  <c r="G145" i="5"/>
  <c r="G70" i="5"/>
  <c r="G125" i="5"/>
  <c r="H27" i="5"/>
  <c r="H69" i="5" s="1"/>
  <c r="E3" i="7"/>
  <c r="H70" i="5"/>
  <c r="H125" i="5"/>
  <c r="H145" i="5"/>
  <c r="H165" i="5"/>
  <c r="H167" i="5"/>
  <c r="F83" i="5"/>
  <c r="F4" i="7"/>
  <c r="H5" i="6"/>
  <c r="I4" i="6"/>
  <c r="I123" i="5"/>
  <c r="AQ114" i="7"/>
  <c r="AQ111" i="7"/>
  <c r="AQ108" i="7"/>
  <c r="AQ103" i="7"/>
  <c r="AQ100" i="7"/>
  <c r="AQ95" i="7"/>
  <c r="AQ92" i="7"/>
  <c r="AQ113" i="7"/>
  <c r="AQ110" i="7"/>
  <c r="AQ105" i="7"/>
  <c r="AQ85" i="7"/>
  <c r="AQ83" i="7"/>
  <c r="AQ81" i="7"/>
  <c r="AQ91" i="7"/>
  <c r="AQ89" i="7"/>
  <c r="AQ101" i="7"/>
  <c r="AQ98" i="7"/>
  <c r="AQ102" i="7"/>
  <c r="AQ107" i="7"/>
  <c r="AQ104" i="7"/>
  <c r="AQ97" i="7"/>
  <c r="AQ79" i="7"/>
  <c r="AQ77" i="7"/>
  <c r="AQ75" i="7"/>
  <c r="AQ73" i="7"/>
  <c r="AQ72" i="7"/>
  <c r="AQ71" i="7"/>
  <c r="AQ69" i="7"/>
  <c r="AQ67" i="7"/>
  <c r="AQ112" i="7"/>
  <c r="AQ94" i="7"/>
  <c r="AQ93" i="7"/>
  <c r="AQ84" i="7"/>
  <c r="AQ109" i="7"/>
  <c r="AQ99" i="7"/>
  <c r="AQ80" i="7"/>
  <c r="AQ88" i="7"/>
  <c r="AQ82" i="7"/>
  <c r="AQ76" i="7"/>
  <c r="AQ106" i="7"/>
  <c r="AQ86" i="7"/>
  <c r="AQ90" i="7"/>
  <c r="AQ87" i="7"/>
  <c r="AQ74" i="7"/>
  <c r="AQ68" i="7"/>
  <c r="AQ70" i="7"/>
  <c r="AQ64" i="7"/>
  <c r="AQ59" i="7"/>
  <c r="AQ63" i="7"/>
  <c r="AQ61" i="7"/>
  <c r="AQ60" i="7"/>
  <c r="AQ62" i="7"/>
  <c r="AQ55" i="7"/>
  <c r="AQ96" i="7"/>
  <c r="AQ56" i="7"/>
  <c r="AQ66" i="7"/>
  <c r="AQ57" i="7"/>
  <c r="AQ65" i="7"/>
  <c r="AQ58" i="7"/>
  <c r="AQ78" i="7"/>
  <c r="AR5" i="7"/>
  <c r="G56" i="5"/>
  <c r="G54" i="5" s="1"/>
  <c r="G68" i="5" s="1"/>
  <c r="F94" i="5"/>
  <c r="F92" i="5"/>
  <c r="F88" i="5"/>
  <c r="F87" i="5" s="1"/>
  <c r="F95" i="5"/>
  <c r="F93" i="5"/>
  <c r="G16" i="5"/>
  <c r="F37" i="5"/>
  <c r="G84" i="5"/>
  <c r="G83" i="5" s="1"/>
  <c r="G147" i="5"/>
  <c r="G127" i="5"/>
  <c r="H29" i="5"/>
  <c r="I29" i="5"/>
  <c r="F54" i="5"/>
  <c r="F44" i="5"/>
  <c r="F190" i="5"/>
  <c r="E38" i="5" a="1"/>
  <c r="E38" i="5" s="1"/>
  <c r="F20" i="5"/>
  <c r="G163" i="5"/>
  <c r="G143" i="5"/>
  <c r="G123" i="5"/>
  <c r="H25" i="5"/>
  <c r="U47" i="4"/>
  <c r="I143" i="5"/>
  <c r="J124" i="5" l="1"/>
  <c r="J144" i="5"/>
  <c r="J164" i="5"/>
  <c r="F3" i="7"/>
  <c r="F68" i="5"/>
  <c r="F51" i="5"/>
  <c r="F19" i="5"/>
  <c r="F43" i="5"/>
  <c r="H124" i="5"/>
  <c r="H144" i="5"/>
  <c r="H164" i="5"/>
  <c r="I26" i="5"/>
  <c r="H56" i="5"/>
  <c r="G88" i="5"/>
  <c r="G87" i="5" s="1"/>
  <c r="G92" i="5"/>
  <c r="G93" i="5"/>
  <c r="G95" i="5"/>
  <c r="G37" i="5"/>
  <c r="G94" i="5"/>
  <c r="H16" i="5"/>
  <c r="H84" i="5"/>
  <c r="AR114" i="7"/>
  <c r="AR112" i="7"/>
  <c r="AR110" i="7"/>
  <c r="AR108" i="7"/>
  <c r="AR106" i="7"/>
  <c r="AR104" i="7"/>
  <c r="AR102" i="7"/>
  <c r="AR100" i="7"/>
  <c r="AR98" i="7"/>
  <c r="AR96" i="7"/>
  <c r="AR94" i="7"/>
  <c r="AR92" i="7"/>
  <c r="AR90" i="7"/>
  <c r="AR88" i="7"/>
  <c r="AR113" i="7"/>
  <c r="AR111" i="7"/>
  <c r="AR109" i="7"/>
  <c r="AR107" i="7"/>
  <c r="AR105" i="7"/>
  <c r="AR103" i="7"/>
  <c r="AR101" i="7"/>
  <c r="AR99" i="7"/>
  <c r="AR97" i="7"/>
  <c r="AR95" i="7"/>
  <c r="AR93" i="7"/>
  <c r="AR91" i="7"/>
  <c r="AR89" i="7"/>
  <c r="AR87" i="7"/>
  <c r="AR86" i="7"/>
  <c r="AR84" i="7"/>
  <c r="AR82" i="7"/>
  <c r="AR80" i="7"/>
  <c r="AR78" i="7"/>
  <c r="AR72" i="7"/>
  <c r="AR71" i="7"/>
  <c r="AR69" i="7"/>
  <c r="AR67" i="7"/>
  <c r="AR73" i="7"/>
  <c r="AR85" i="7"/>
  <c r="AR83" i="7"/>
  <c r="AR81" i="7"/>
  <c r="AR77" i="7"/>
  <c r="AR76" i="7"/>
  <c r="AR66" i="7"/>
  <c r="AR79" i="7"/>
  <c r="AR70" i="7"/>
  <c r="AR64" i="7"/>
  <c r="AR62" i="7"/>
  <c r="AR60" i="7"/>
  <c r="AR58" i="7"/>
  <c r="AR56" i="7"/>
  <c r="AR63" i="7"/>
  <c r="AR61" i="7"/>
  <c r="AR55" i="7"/>
  <c r="AR68" i="7"/>
  <c r="AR75" i="7"/>
  <c r="AR65" i="7"/>
  <c r="AR74" i="7"/>
  <c r="AR59" i="7"/>
  <c r="AR57" i="7"/>
  <c r="AS5" i="7"/>
  <c r="AQ24" i="7" a="1"/>
  <c r="AQ24" i="7" s="1"/>
  <c r="AQ26" i="7" a="1"/>
  <c r="AQ26" i="7" s="1"/>
  <c r="AQ23" i="7" a="1"/>
  <c r="AQ23" i="7" s="1"/>
  <c r="AQ21" i="7" a="1"/>
  <c r="AQ21" i="7" s="1"/>
  <c r="AQ25" i="7" a="1"/>
  <c r="AQ25" i="7" s="1"/>
  <c r="AQ27" i="7" a="1"/>
  <c r="AQ27" i="7" s="1"/>
  <c r="AQ17" i="7" a="1"/>
  <c r="AQ17" i="7" s="1"/>
  <c r="AQ15" i="7" a="1"/>
  <c r="AQ15" i="7" s="1"/>
  <c r="K14" i="5"/>
  <c r="K10" i="5"/>
  <c r="K59" i="5"/>
  <c r="K11" i="5"/>
  <c r="K31" i="5"/>
  <c r="K150" i="5" s="1"/>
  <c r="L4" i="5"/>
  <c r="K29" i="5"/>
  <c r="K148" i="5" s="1"/>
  <c r="K26" i="5"/>
  <c r="K165" i="5" s="1"/>
  <c r="K81" i="5"/>
  <c r="K13" i="5"/>
  <c r="K190" i="5" s="1"/>
  <c r="K12" i="5"/>
  <c r="K5" i="5"/>
  <c r="H132" i="5"/>
  <c r="H152" i="5"/>
  <c r="I148" i="5"/>
  <c r="I128" i="5"/>
  <c r="H183" i="5"/>
  <c r="H184" i="5"/>
  <c r="H185" i="5"/>
  <c r="I181" i="5" s="1"/>
  <c r="H150" i="5"/>
  <c r="H130" i="5"/>
  <c r="I32" i="5"/>
  <c r="I33" i="5"/>
  <c r="F119" i="5"/>
  <c r="F159" i="5"/>
  <c r="F139" i="5"/>
  <c r="G21" i="5"/>
  <c r="F91" i="5"/>
  <c r="G4" i="7"/>
  <c r="G3" i="7" s="1"/>
  <c r="I5" i="6"/>
  <c r="J4" i="6"/>
  <c r="H146" i="5"/>
  <c r="H166" i="5"/>
  <c r="H126" i="5"/>
  <c r="I28" i="5"/>
  <c r="J32" i="5"/>
  <c r="J28" i="5"/>
  <c r="H143" i="5"/>
  <c r="H123" i="5"/>
  <c r="H163" i="5"/>
  <c r="I25" i="5"/>
  <c r="U46" i="4"/>
  <c r="N20" i="4"/>
  <c r="E40" i="5"/>
  <c r="E39" i="5"/>
  <c r="H128" i="5"/>
  <c r="H148" i="5"/>
  <c r="I30" i="5"/>
  <c r="I167" i="5"/>
  <c r="J167" i="5" s="1"/>
  <c r="J30" i="5"/>
  <c r="U20" i="4" l="1"/>
  <c r="G44" i="5"/>
  <c r="F138" i="5"/>
  <c r="F153" i="5" s="1"/>
  <c r="F154" i="5" s="1"/>
  <c r="F38" i="5" a="1"/>
  <c r="F38" i="5" s="1"/>
  <c r="F118" i="5"/>
  <c r="F133" i="5" s="1"/>
  <c r="F134" i="5" s="1"/>
  <c r="F171" i="5" s="1" a="1"/>
  <c r="F171" i="5" s="1"/>
  <c r="F158" i="5"/>
  <c r="F168" i="5" s="1"/>
  <c r="F169" i="5" s="1"/>
  <c r="G20" i="5"/>
  <c r="J131" i="5"/>
  <c r="J151" i="5"/>
  <c r="J129" i="5"/>
  <c r="J149" i="5"/>
  <c r="G140" i="5"/>
  <c r="G160" i="5"/>
  <c r="G120" i="5"/>
  <c r="H22" i="5"/>
  <c r="K145" i="5"/>
  <c r="G91" i="5"/>
  <c r="G43" i="5"/>
  <c r="I70" i="5"/>
  <c r="I145" i="5"/>
  <c r="I125" i="5"/>
  <c r="I165" i="5"/>
  <c r="J27" i="5"/>
  <c r="H83" i="5"/>
  <c r="H54" i="5"/>
  <c r="I132" i="5"/>
  <c r="I152" i="5"/>
  <c r="K125" i="5"/>
  <c r="I56" i="5"/>
  <c r="H94" i="5"/>
  <c r="H92" i="5"/>
  <c r="H93" i="5"/>
  <c r="H95" i="5"/>
  <c r="H37" i="5"/>
  <c r="H88" i="5"/>
  <c r="H87" i="5" s="1"/>
  <c r="I16" i="5"/>
  <c r="I84" i="5"/>
  <c r="I83" i="5" s="1"/>
  <c r="K128" i="5"/>
  <c r="AR24" i="7" a="1"/>
  <c r="AR24" i="7" s="1"/>
  <c r="AR21" i="7" a="1"/>
  <c r="AR21" i="7" s="1"/>
  <c r="AR23" i="7" a="1"/>
  <c r="AR23" i="7" s="1"/>
  <c r="AR27" i="7" a="1"/>
  <c r="AR27" i="7" s="1"/>
  <c r="AR26" i="7" a="1"/>
  <c r="AR26" i="7" s="1"/>
  <c r="AR25" i="7" a="1"/>
  <c r="AR25" i="7" s="1"/>
  <c r="AR17" i="7" a="1"/>
  <c r="AR17" i="7" s="1"/>
  <c r="AR15" i="7" a="1"/>
  <c r="AR15" i="7" s="1"/>
  <c r="F66" i="5"/>
  <c r="I147" i="5"/>
  <c r="I127" i="5"/>
  <c r="J29" i="5"/>
  <c r="I131" i="5"/>
  <c r="I151" i="5"/>
  <c r="J33" i="5"/>
  <c r="K130" i="5"/>
  <c r="AS114" i="7"/>
  <c r="AS112" i="7"/>
  <c r="AS110" i="7"/>
  <c r="AS108" i="7"/>
  <c r="AS106" i="7"/>
  <c r="AS104" i="7"/>
  <c r="AS102" i="7"/>
  <c r="AS100" i="7"/>
  <c r="AS98" i="7"/>
  <c r="AS96" i="7"/>
  <c r="AS94" i="7"/>
  <c r="AS92" i="7"/>
  <c r="AS90" i="7"/>
  <c r="AS88" i="7"/>
  <c r="AS111" i="7"/>
  <c r="AS103" i="7"/>
  <c r="AS95" i="7"/>
  <c r="AS86" i="7"/>
  <c r="AS84" i="7"/>
  <c r="AS82" i="7"/>
  <c r="AS80" i="7"/>
  <c r="AS89" i="7"/>
  <c r="AS113" i="7"/>
  <c r="AS105" i="7"/>
  <c r="AS107" i="7"/>
  <c r="AS109" i="7"/>
  <c r="AS101" i="7"/>
  <c r="AS93" i="7"/>
  <c r="AS87" i="7"/>
  <c r="AS78" i="7"/>
  <c r="AS73" i="7"/>
  <c r="AS85" i="7"/>
  <c r="AS77" i="7"/>
  <c r="AS74" i="7"/>
  <c r="AS81" i="7"/>
  <c r="AS76" i="7"/>
  <c r="AS66" i="7"/>
  <c r="AS97" i="7"/>
  <c r="AS91" i="7"/>
  <c r="AS79" i="7"/>
  <c r="AS72" i="7"/>
  <c r="AS69" i="7"/>
  <c r="AS65" i="7"/>
  <c r="AS63" i="7"/>
  <c r="AS61" i="7"/>
  <c r="AS59" i="7"/>
  <c r="AS57" i="7"/>
  <c r="AS55" i="7"/>
  <c r="AS75" i="7"/>
  <c r="AS99" i="7"/>
  <c r="AS67" i="7"/>
  <c r="AS60" i="7"/>
  <c r="AS83" i="7"/>
  <c r="AS68" i="7"/>
  <c r="AS62" i="7"/>
  <c r="AS56" i="7"/>
  <c r="AS58" i="7"/>
  <c r="AS71" i="7"/>
  <c r="AS64" i="7"/>
  <c r="AS70" i="7"/>
  <c r="AT5" i="7"/>
  <c r="G19" i="5"/>
  <c r="H43" i="5"/>
  <c r="F52" i="5"/>
  <c r="I164" i="5"/>
  <c r="I144" i="5"/>
  <c r="I124" i="5"/>
  <c r="J26" i="5"/>
  <c r="I184" i="5"/>
  <c r="I183" i="5"/>
  <c r="I185" i="5"/>
  <c r="J181" i="5" s="1"/>
  <c r="I129" i="5"/>
  <c r="I149" i="5"/>
  <c r="J31" i="5"/>
  <c r="J127" i="5"/>
  <c r="J147" i="5"/>
  <c r="H4" i="7"/>
  <c r="K4" i="6"/>
  <c r="J5" i="6"/>
  <c r="K33" i="5"/>
  <c r="L131" i="5"/>
  <c r="L59" i="5"/>
  <c r="L81" i="5"/>
  <c r="L27" i="5"/>
  <c r="L126" i="5" s="1"/>
  <c r="L12" i="5"/>
  <c r="M4" i="5"/>
  <c r="L32" i="5"/>
  <c r="L151" i="5" s="1"/>
  <c r="L14" i="5"/>
  <c r="L11" i="5"/>
  <c r="L13" i="5"/>
  <c r="L190" i="5" s="1"/>
  <c r="L10" i="5"/>
  <c r="L5" i="5"/>
  <c r="L146" i="5" l="1"/>
  <c r="F67" i="5"/>
  <c r="J148" i="5"/>
  <c r="J128" i="5"/>
  <c r="K30" i="5"/>
  <c r="I4" i="7"/>
  <c r="I3" i="7" s="1"/>
  <c r="L4" i="6"/>
  <c r="K5" i="6"/>
  <c r="L30" i="5"/>
  <c r="L166" i="5"/>
  <c r="H3" i="7"/>
  <c r="J125" i="5"/>
  <c r="J165" i="5"/>
  <c r="J70" i="5"/>
  <c r="J145" i="5"/>
  <c r="K27" i="5"/>
  <c r="H161" i="5"/>
  <c r="H141" i="5"/>
  <c r="H121" i="5"/>
  <c r="I23" i="5"/>
  <c r="G139" i="5"/>
  <c r="G159" i="5"/>
  <c r="G119" i="5"/>
  <c r="H21" i="5"/>
  <c r="K132" i="5"/>
  <c r="K152" i="5"/>
  <c r="J150" i="5"/>
  <c r="J130" i="5"/>
  <c r="K32" i="5"/>
  <c r="AT108" i="7"/>
  <c r="AT100" i="7"/>
  <c r="AT92" i="7"/>
  <c r="AT89" i="7"/>
  <c r="AT113" i="7"/>
  <c r="AT105" i="7"/>
  <c r="AT97" i="7"/>
  <c r="AT110" i="7"/>
  <c r="AT107" i="7"/>
  <c r="AT112" i="7"/>
  <c r="AT104" i="7"/>
  <c r="AT106" i="7"/>
  <c r="AT98" i="7"/>
  <c r="AT90" i="7"/>
  <c r="AT101" i="7"/>
  <c r="AT114" i="7"/>
  <c r="AT102" i="7"/>
  <c r="AT87" i="7"/>
  <c r="AT86" i="7"/>
  <c r="AT81" i="7"/>
  <c r="AT80" i="7"/>
  <c r="AT99" i="7"/>
  <c r="AT96" i="7"/>
  <c r="AT93" i="7"/>
  <c r="AT109" i="7"/>
  <c r="AT91" i="7"/>
  <c r="AT111" i="7"/>
  <c r="AT85" i="7"/>
  <c r="AT77" i="7"/>
  <c r="AT74" i="7"/>
  <c r="AT94" i="7"/>
  <c r="AT84" i="7"/>
  <c r="AT75" i="7"/>
  <c r="AT83" i="7"/>
  <c r="AT78" i="7"/>
  <c r="AT72" i="7"/>
  <c r="AT71" i="7"/>
  <c r="AT69" i="7"/>
  <c r="AT67" i="7"/>
  <c r="AT88" i="7"/>
  <c r="AT82" i="7"/>
  <c r="AT79" i="7"/>
  <c r="AT65" i="7"/>
  <c r="AT63" i="7"/>
  <c r="AT61" i="7"/>
  <c r="AT59" i="7"/>
  <c r="AT57" i="7"/>
  <c r="AT55" i="7"/>
  <c r="AT103" i="7"/>
  <c r="AT95" i="7"/>
  <c r="AT68" i="7"/>
  <c r="AT62" i="7"/>
  <c r="AT56" i="7"/>
  <c r="AT73" i="7"/>
  <c r="AT76" i="7"/>
  <c r="AT70" i="7"/>
  <c r="AT64" i="7"/>
  <c r="AT58" i="7"/>
  <c r="AT66" i="7"/>
  <c r="AT60" i="7"/>
  <c r="AU5" i="7"/>
  <c r="H91" i="5"/>
  <c r="F50" i="5"/>
  <c r="I54" i="5"/>
  <c r="J56" i="5"/>
  <c r="I94" i="5"/>
  <c r="I92" i="5"/>
  <c r="I95" i="5"/>
  <c r="I88" i="5"/>
  <c r="I87" i="5" s="1"/>
  <c r="J16" i="5"/>
  <c r="I93" i="5"/>
  <c r="I37" i="5"/>
  <c r="J84" i="5"/>
  <c r="J83" i="5" s="1"/>
  <c r="F40" i="5"/>
  <c r="G197" i="5" s="1"/>
  <c r="G201" i="5" s="1"/>
  <c r="F39" i="5"/>
  <c r="H44" i="5"/>
  <c r="G138" i="5"/>
  <c r="G153" i="5" s="1"/>
  <c r="G154" i="5" s="1"/>
  <c r="G38" i="5" a="1"/>
  <c r="G38" i="5" s="1"/>
  <c r="G118" i="5"/>
  <c r="G133" i="5" s="1"/>
  <c r="G134" i="5" s="1"/>
  <c r="G171" i="5" s="1" a="1"/>
  <c r="G171" i="5" s="1"/>
  <c r="G158" i="5"/>
  <c r="G168" i="5" s="1"/>
  <c r="G169" i="5" s="1"/>
  <c r="H20" i="5"/>
  <c r="AS24" i="7" a="1"/>
  <c r="AS24" i="7" s="1"/>
  <c r="AS23" i="7" a="1"/>
  <c r="AS23" i="7" s="1"/>
  <c r="AS17" i="7" a="1"/>
  <c r="AS17" i="7" s="1"/>
  <c r="AS27" i="7" a="1"/>
  <c r="AS27" i="7" s="1"/>
  <c r="AS26" i="7" a="1"/>
  <c r="AS26" i="7" s="1"/>
  <c r="AS15" i="7" a="1"/>
  <c r="AS15" i="7" s="1"/>
  <c r="AS25" i="7" a="1"/>
  <c r="AS25" i="7" s="1"/>
  <c r="AS21" i="7" a="1"/>
  <c r="AS21" i="7" s="1"/>
  <c r="J132" i="5"/>
  <c r="J152" i="5"/>
  <c r="H68" i="5"/>
  <c r="J146" i="5"/>
  <c r="J166" i="5"/>
  <c r="K167" i="5" s="1"/>
  <c r="J126" i="5"/>
  <c r="K28" i="5"/>
  <c r="K70" i="5"/>
  <c r="M150" i="5"/>
  <c r="M81" i="5"/>
  <c r="M28" i="5"/>
  <c r="M127" i="5" s="1"/>
  <c r="M31" i="5"/>
  <c r="M130" i="5" s="1"/>
  <c r="N4" i="5"/>
  <c r="M12" i="5"/>
  <c r="M14" i="5"/>
  <c r="M11" i="5"/>
  <c r="M59" i="5"/>
  <c r="M13" i="5"/>
  <c r="M190" i="5" s="1"/>
  <c r="M10" i="5"/>
  <c r="M5" i="5"/>
  <c r="J184" i="5"/>
  <c r="J183" i="5"/>
  <c r="J185" i="5"/>
  <c r="K181" i="5" s="1"/>
  <c r="H19" i="5"/>
  <c r="I43" i="5"/>
  <c r="G51" i="5"/>
  <c r="G52" i="5"/>
  <c r="G67" i="5" s="1"/>
  <c r="G202" i="5" l="1"/>
  <c r="G210" i="5"/>
  <c r="K183" i="5"/>
  <c r="K184" i="5"/>
  <c r="K185" i="5"/>
  <c r="L181" i="5" s="1"/>
  <c r="H51" i="5"/>
  <c r="H52" i="5"/>
  <c r="H67" i="5" s="1"/>
  <c r="G66" i="5"/>
  <c r="G50" i="5"/>
  <c r="G48" i="5" s="1"/>
  <c r="I44" i="5"/>
  <c r="H138" i="5"/>
  <c r="H38" i="5" a="1"/>
  <c r="H38" i="5" s="1"/>
  <c r="H118" i="5"/>
  <c r="H158" i="5"/>
  <c r="I20" i="5"/>
  <c r="G40" i="5"/>
  <c r="H197" i="5"/>
  <c r="H201" i="5" s="1"/>
  <c r="G39" i="5"/>
  <c r="I68" i="5"/>
  <c r="L129" i="5"/>
  <c r="L149" i="5"/>
  <c r="F48" i="5"/>
  <c r="AU113" i="7"/>
  <c r="AU105" i="7"/>
  <c r="AU97" i="7"/>
  <c r="AU110" i="7"/>
  <c r="AU102" i="7"/>
  <c r="AU94" i="7"/>
  <c r="AU88" i="7"/>
  <c r="AU107" i="7"/>
  <c r="AU112" i="7"/>
  <c r="AU104" i="7"/>
  <c r="AU109" i="7"/>
  <c r="AU114" i="7"/>
  <c r="AU111" i="7"/>
  <c r="AU103" i="7"/>
  <c r="AU95" i="7"/>
  <c r="AU86" i="7"/>
  <c r="AU84" i="7"/>
  <c r="AU82" i="7"/>
  <c r="AU80" i="7"/>
  <c r="AU98" i="7"/>
  <c r="AU87" i="7"/>
  <c r="AU81" i="7"/>
  <c r="AU85" i="7"/>
  <c r="AU83" i="7"/>
  <c r="AU99" i="7"/>
  <c r="AU96" i="7"/>
  <c r="AU93" i="7"/>
  <c r="AU108" i="7"/>
  <c r="AU106" i="7"/>
  <c r="AU78" i="7"/>
  <c r="AU76" i="7"/>
  <c r="AU74" i="7"/>
  <c r="AU72" i="7"/>
  <c r="AU75" i="7"/>
  <c r="AU70" i="7"/>
  <c r="AU68" i="7"/>
  <c r="AU66" i="7"/>
  <c r="AU92" i="7"/>
  <c r="AU91" i="7"/>
  <c r="AU90" i="7"/>
  <c r="AU79" i="7"/>
  <c r="AU101" i="7"/>
  <c r="AU73" i="7"/>
  <c r="AU77" i="7"/>
  <c r="AU69" i="7"/>
  <c r="AU71" i="7"/>
  <c r="AU89" i="7"/>
  <c r="AU100" i="7"/>
  <c r="AU67" i="7"/>
  <c r="AU55" i="7"/>
  <c r="AU56" i="7"/>
  <c r="AU58" i="7"/>
  <c r="AU57" i="7"/>
  <c r="AU60" i="7"/>
  <c r="AU59" i="7"/>
  <c r="AU65" i="7"/>
  <c r="AU64" i="7"/>
  <c r="AU61" i="7"/>
  <c r="AU62" i="7"/>
  <c r="AU63" i="7"/>
  <c r="AV5" i="7"/>
  <c r="N81" i="5"/>
  <c r="N32" i="5"/>
  <c r="N151" i="5" s="1"/>
  <c r="N11" i="5"/>
  <c r="N59" i="5"/>
  <c r="N12" i="5"/>
  <c r="N19" i="5"/>
  <c r="N29" i="5"/>
  <c r="N148" i="5" s="1"/>
  <c r="N13" i="5"/>
  <c r="N190" i="5" s="1"/>
  <c r="O4" i="5"/>
  <c r="N10" i="5"/>
  <c r="N14" i="5"/>
  <c r="N5" i="5"/>
  <c r="I91" i="5"/>
  <c r="M4" i="6"/>
  <c r="J4" i="7"/>
  <c r="L5" i="6"/>
  <c r="K149" i="5"/>
  <c r="K129" i="5"/>
  <c r="L31" i="5"/>
  <c r="K146" i="5"/>
  <c r="K126" i="5"/>
  <c r="K166" i="5"/>
  <c r="L167" i="5" s="1"/>
  <c r="M167" i="5" s="1"/>
  <c r="L28" i="5"/>
  <c r="M147" i="5"/>
  <c r="H159" i="5"/>
  <c r="H139" i="5"/>
  <c r="H119" i="5"/>
  <c r="I21" i="5"/>
  <c r="J54" i="5"/>
  <c r="AT27" i="7" a="1"/>
  <c r="AT27" i="7" s="1"/>
  <c r="AT23" i="7" a="1"/>
  <c r="AT23" i="7" s="1"/>
  <c r="AT21" i="7" a="1"/>
  <c r="AT21" i="7" s="1"/>
  <c r="AT26" i="7" a="1"/>
  <c r="AT26" i="7" s="1"/>
  <c r="AT15" i="7" a="1"/>
  <c r="AT15" i="7" s="1"/>
  <c r="AT25" i="7" a="1"/>
  <c r="AT25" i="7" s="1"/>
  <c r="AT17" i="7" a="1"/>
  <c r="AT17" i="7" s="1"/>
  <c r="AT24" i="7" a="1"/>
  <c r="AT24" i="7" s="1"/>
  <c r="K131" i="5"/>
  <c r="K151" i="5"/>
  <c r="L33" i="5"/>
  <c r="H140" i="5"/>
  <c r="H120" i="5"/>
  <c r="H160" i="5"/>
  <c r="I22" i="5"/>
  <c r="K147" i="5"/>
  <c r="K127" i="5"/>
  <c r="L29" i="5"/>
  <c r="J88" i="5"/>
  <c r="J87" i="5" s="1"/>
  <c r="J92" i="5"/>
  <c r="J37" i="5"/>
  <c r="K16" i="5"/>
  <c r="J94" i="5"/>
  <c r="J95" i="5"/>
  <c r="J93" i="5"/>
  <c r="K84" i="5"/>
  <c r="K83" i="5" s="1"/>
  <c r="I122" i="5"/>
  <c r="I69" i="5"/>
  <c r="I162" i="5"/>
  <c r="I142" i="5"/>
  <c r="J24" i="5"/>
  <c r="J3" i="7" l="1"/>
  <c r="AV113" i="7"/>
  <c r="AV111" i="7"/>
  <c r="AV109" i="7"/>
  <c r="AV107" i="7"/>
  <c r="AV105" i="7"/>
  <c r="AV103" i="7"/>
  <c r="AV101" i="7"/>
  <c r="AV99" i="7"/>
  <c r="AV97" i="7"/>
  <c r="AV95" i="7"/>
  <c r="AV93" i="7"/>
  <c r="AV91" i="7"/>
  <c r="AV89" i="7"/>
  <c r="AV87" i="7"/>
  <c r="AV114" i="7"/>
  <c r="AV112" i="7"/>
  <c r="AV110" i="7"/>
  <c r="AV108" i="7"/>
  <c r="AV106" i="7"/>
  <c r="AV104" i="7"/>
  <c r="AV102" i="7"/>
  <c r="AV100" i="7"/>
  <c r="AV98" i="7"/>
  <c r="AV96" i="7"/>
  <c r="AV94" i="7"/>
  <c r="AV92" i="7"/>
  <c r="AV90" i="7"/>
  <c r="AV88" i="7"/>
  <c r="AV85" i="7"/>
  <c r="AV83" i="7"/>
  <c r="AV81" i="7"/>
  <c r="AV86" i="7"/>
  <c r="AV80" i="7"/>
  <c r="AV84" i="7"/>
  <c r="AV82" i="7"/>
  <c r="AV79" i="7"/>
  <c r="AV77" i="7"/>
  <c r="AV70" i="7"/>
  <c r="AV68" i="7"/>
  <c r="AV66" i="7"/>
  <c r="AV78" i="7"/>
  <c r="AV76" i="7"/>
  <c r="AV72" i="7"/>
  <c r="AV71" i="7"/>
  <c r="AV75" i="7"/>
  <c r="AV73" i="7"/>
  <c r="AV65" i="7"/>
  <c r="AV63" i="7"/>
  <c r="AV61" i="7"/>
  <c r="AV59" i="7"/>
  <c r="AV57" i="7"/>
  <c r="AV55" i="7"/>
  <c r="AV56" i="7"/>
  <c r="AV58" i="7"/>
  <c r="AV64" i="7"/>
  <c r="AV74" i="7"/>
  <c r="AV62" i="7"/>
  <c r="AV69" i="7"/>
  <c r="AV67" i="7"/>
  <c r="AV60" i="7"/>
  <c r="AW5" i="7"/>
  <c r="L184" i="5"/>
  <c r="L183" i="5"/>
  <c r="L185" i="5"/>
  <c r="M181" i="5" s="1"/>
  <c r="L152" i="5"/>
  <c r="L132" i="5"/>
  <c r="M33" i="5"/>
  <c r="L147" i="5"/>
  <c r="L127" i="5"/>
  <c r="M29" i="5"/>
  <c r="K4" i="7"/>
  <c r="K3" i="7" s="1"/>
  <c r="N4" i="6"/>
  <c r="M5" i="6"/>
  <c r="O94" i="5"/>
  <c r="O92" i="5"/>
  <c r="O88" i="5"/>
  <c r="O87" i="5" s="1"/>
  <c r="O81" i="5"/>
  <c r="O95" i="5"/>
  <c r="O93" i="5"/>
  <c r="O19" i="5"/>
  <c r="O158" i="5" s="1"/>
  <c r="O13" i="5"/>
  <c r="O190" i="5" s="1"/>
  <c r="O10" i="5"/>
  <c r="O59" i="5"/>
  <c r="P4" i="5"/>
  <c r="O14" i="5"/>
  <c r="O11" i="5"/>
  <c r="O12" i="5"/>
  <c r="O5" i="5"/>
  <c r="O20" i="5" s="1"/>
  <c r="N138" i="5"/>
  <c r="I159" i="5"/>
  <c r="I139" i="5"/>
  <c r="I119" i="5"/>
  <c r="J21" i="5"/>
  <c r="H168" i="5"/>
  <c r="H169" i="5" s="1"/>
  <c r="J143" i="5"/>
  <c r="J163" i="5"/>
  <c r="J123" i="5"/>
  <c r="K25" i="5"/>
  <c r="I140" i="5"/>
  <c r="I120" i="5"/>
  <c r="I160" i="5"/>
  <c r="J22" i="5"/>
  <c r="N131" i="5"/>
  <c r="AU25" i="7" a="1"/>
  <c r="AU25" i="7" s="1"/>
  <c r="AU24" i="7" a="1"/>
  <c r="AU24" i="7" s="1"/>
  <c r="AU27" i="7" a="1"/>
  <c r="AU27" i="7" s="1"/>
  <c r="AU23" i="7" a="1"/>
  <c r="AU23" i="7" s="1"/>
  <c r="AU21" i="7" a="1"/>
  <c r="AU21" i="7" s="1"/>
  <c r="AU26" i="7" a="1"/>
  <c r="AU26" i="7" s="1"/>
  <c r="AU17" i="7" a="1"/>
  <c r="AU17" i="7" s="1"/>
  <c r="AU15" i="7" a="1"/>
  <c r="AU15" i="7" s="1"/>
  <c r="H202" i="5"/>
  <c r="H210" i="5"/>
  <c r="H133" i="5"/>
  <c r="H134" i="5" s="1"/>
  <c r="H171" i="5" s="1" a="1"/>
  <c r="H171" i="5" s="1"/>
  <c r="J91" i="5"/>
  <c r="F72" i="5"/>
  <c r="F71" i="5"/>
  <c r="F65" i="5" s="1"/>
  <c r="H40" i="5"/>
  <c r="H39" i="5"/>
  <c r="I197" i="5" s="1"/>
  <c r="I201" i="5" s="1"/>
  <c r="G177" i="5"/>
  <c r="G176" i="5"/>
  <c r="G71" i="5"/>
  <c r="G72" i="5"/>
  <c r="J68" i="5"/>
  <c r="J43" i="5"/>
  <c r="N158" i="5"/>
  <c r="H153" i="5"/>
  <c r="H154" i="5" s="1"/>
  <c r="G65" i="5"/>
  <c r="G63" i="5" s="1"/>
  <c r="G62" i="5" s="1"/>
  <c r="G175" i="5" s="1"/>
  <c r="L148" i="5"/>
  <c r="L128" i="5"/>
  <c r="M30" i="5"/>
  <c r="I19" i="5"/>
  <c r="L130" i="5"/>
  <c r="L150" i="5"/>
  <c r="M32" i="5"/>
  <c r="N118" i="5"/>
  <c r="I51" i="5"/>
  <c r="I52" i="5"/>
  <c r="H209" i="5"/>
  <c r="G211" i="5"/>
  <c r="L56" i="5"/>
  <c r="L54" i="5" s="1"/>
  <c r="L68" i="5" s="1"/>
  <c r="K88" i="5"/>
  <c r="K87" i="5" s="1"/>
  <c r="K94" i="5"/>
  <c r="K92" i="5"/>
  <c r="K93" i="5"/>
  <c r="K37" i="5"/>
  <c r="K95" i="5"/>
  <c r="L16" i="5"/>
  <c r="L84" i="5"/>
  <c r="L83" i="5" s="1"/>
  <c r="K56" i="5"/>
  <c r="I121" i="5"/>
  <c r="I161" i="5"/>
  <c r="I141" i="5"/>
  <c r="J23" i="5"/>
  <c r="N128" i="5"/>
  <c r="H66" i="5"/>
  <c r="H50" i="5"/>
  <c r="I210" i="5" l="1"/>
  <c r="I202" i="5"/>
  <c r="O139" i="5"/>
  <c r="O119" i="5"/>
  <c r="O159" i="5"/>
  <c r="K54" i="5"/>
  <c r="I66" i="5"/>
  <c r="I50" i="5"/>
  <c r="M131" i="5"/>
  <c r="M151" i="5"/>
  <c r="N33" i="5"/>
  <c r="M132" i="5"/>
  <c r="M152" i="5"/>
  <c r="AW113" i="7"/>
  <c r="AW111" i="7"/>
  <c r="AW109" i="7"/>
  <c r="AW107" i="7"/>
  <c r="AW105" i="7"/>
  <c r="AW103" i="7"/>
  <c r="AW101" i="7"/>
  <c r="AW99" i="7"/>
  <c r="AW97" i="7"/>
  <c r="AW95" i="7"/>
  <c r="AW93" i="7"/>
  <c r="AW91" i="7"/>
  <c r="AW89" i="7"/>
  <c r="AW110" i="7"/>
  <c r="AW102" i="7"/>
  <c r="AW94" i="7"/>
  <c r="AW88" i="7"/>
  <c r="AW85" i="7"/>
  <c r="AW83" i="7"/>
  <c r="AW81" i="7"/>
  <c r="AW79" i="7"/>
  <c r="AW112" i="7"/>
  <c r="AW106" i="7"/>
  <c r="AW108" i="7"/>
  <c r="AW100" i="7"/>
  <c r="AW92" i="7"/>
  <c r="AW114" i="7"/>
  <c r="AW84" i="7"/>
  <c r="AW82" i="7"/>
  <c r="AW77" i="7"/>
  <c r="AW96" i="7"/>
  <c r="AW78" i="7"/>
  <c r="AW76" i="7"/>
  <c r="AW90" i="7"/>
  <c r="AW80" i="7"/>
  <c r="AW86" i="7"/>
  <c r="AW75" i="7"/>
  <c r="AW74" i="7"/>
  <c r="AW64" i="7"/>
  <c r="AW62" i="7"/>
  <c r="AW60" i="7"/>
  <c r="AW58" i="7"/>
  <c r="AW56" i="7"/>
  <c r="AW104" i="7"/>
  <c r="AW98" i="7"/>
  <c r="AW87" i="7"/>
  <c r="AW69" i="7"/>
  <c r="AW66" i="7"/>
  <c r="AW73" i="7"/>
  <c r="AW57" i="7"/>
  <c r="AW72" i="7"/>
  <c r="AW71" i="7"/>
  <c r="AW65" i="7"/>
  <c r="AW67" i="7"/>
  <c r="AW63" i="7"/>
  <c r="AW61" i="7"/>
  <c r="AW68" i="7"/>
  <c r="AW59" i="7"/>
  <c r="AW70" i="7"/>
  <c r="AW55" i="7"/>
  <c r="AX5" i="7"/>
  <c r="F63" i="5"/>
  <c r="F62" i="5" s="1"/>
  <c r="N5" i="6"/>
  <c r="O4" i="6"/>
  <c r="L4" i="7"/>
  <c r="L3" i="7" s="1"/>
  <c r="AV25" i="7" a="1"/>
  <c r="AV25" i="7" s="1"/>
  <c r="AV26" i="7" a="1"/>
  <c r="AV26" i="7" s="1"/>
  <c r="AV21" i="7" a="1"/>
  <c r="AV21" i="7" s="1"/>
  <c r="AV24" i="7" a="1"/>
  <c r="AV24" i="7" s="1"/>
  <c r="AV23" i="7" a="1"/>
  <c r="AV23" i="7" s="1"/>
  <c r="AV15" i="7" a="1"/>
  <c r="AV15" i="7" s="1"/>
  <c r="AV27" i="7" a="1"/>
  <c r="AV27" i="7" s="1"/>
  <c r="AV17" i="7" a="1"/>
  <c r="AV17" i="7" s="1"/>
  <c r="J141" i="5"/>
  <c r="J161" i="5"/>
  <c r="J121" i="5"/>
  <c r="K23" i="5"/>
  <c r="K164" i="5"/>
  <c r="K124" i="5"/>
  <c r="K144" i="5"/>
  <c r="L26" i="5"/>
  <c r="H211" i="5"/>
  <c r="I209" i="5"/>
  <c r="P44" i="5"/>
  <c r="M148" i="5"/>
  <c r="M128" i="5"/>
  <c r="N30" i="5"/>
  <c r="J120" i="5"/>
  <c r="J160" i="5"/>
  <c r="J140" i="5"/>
  <c r="K22" i="5"/>
  <c r="O118" i="5"/>
  <c r="H48" i="5"/>
  <c r="J69" i="5"/>
  <c r="J142" i="5"/>
  <c r="J122" i="5"/>
  <c r="J162" i="5"/>
  <c r="K24" i="5"/>
  <c r="L88" i="5"/>
  <c r="L87" i="5" s="1"/>
  <c r="M16" i="5"/>
  <c r="L92" i="5"/>
  <c r="L94" i="5"/>
  <c r="M84" i="5"/>
  <c r="M83" i="5" s="1"/>
  <c r="L93" i="5"/>
  <c r="L37" i="5"/>
  <c r="L95" i="5"/>
  <c r="K43" i="5"/>
  <c r="O30" i="5"/>
  <c r="M184" i="5"/>
  <c r="M183" i="5"/>
  <c r="M185" i="5"/>
  <c r="N181" i="5" s="1"/>
  <c r="K91" i="5"/>
  <c r="O91" i="5"/>
  <c r="J44" i="5"/>
  <c r="I138" i="5"/>
  <c r="I153" i="5" s="1"/>
  <c r="I154" i="5" s="1"/>
  <c r="I118" i="5"/>
  <c r="I133" i="5" s="1"/>
  <c r="I134" i="5" s="1"/>
  <c r="I171" i="5" s="1" a="1"/>
  <c r="I171" i="5" s="1"/>
  <c r="I158" i="5"/>
  <c r="I168" i="5" s="1"/>
  <c r="I169" i="5" s="1"/>
  <c r="I38" i="5" a="1"/>
  <c r="I38" i="5" s="1"/>
  <c r="J20" i="5"/>
  <c r="L43" i="5"/>
  <c r="I67" i="5"/>
  <c r="M129" i="5"/>
  <c r="M149" i="5"/>
  <c r="N31" i="5"/>
  <c r="P138" i="5"/>
  <c r="P118" i="5"/>
  <c r="P59" i="5"/>
  <c r="P81" i="5"/>
  <c r="P95" i="5"/>
  <c r="P13" i="5"/>
  <c r="P190" i="5" s="1"/>
  <c r="P88" i="5"/>
  <c r="P87" i="5" s="1"/>
  <c r="P94" i="5"/>
  <c r="P93" i="5"/>
  <c r="P19" i="5"/>
  <c r="P10" i="5"/>
  <c r="P92" i="5"/>
  <c r="P12" i="5"/>
  <c r="P11" i="5"/>
  <c r="Q4" i="5"/>
  <c r="P14" i="5"/>
  <c r="P5" i="5"/>
  <c r="P20" i="5" s="1"/>
  <c r="O138" i="5"/>
  <c r="P159" i="5" l="1"/>
  <c r="P139" i="5"/>
  <c r="P119" i="5"/>
  <c r="K68" i="5"/>
  <c r="J209" i="5"/>
  <c r="I211" i="5"/>
  <c r="O149" i="5"/>
  <c r="O129" i="5"/>
  <c r="P51" i="5"/>
  <c r="P31" i="5"/>
  <c r="P91" i="5"/>
  <c r="Q44" i="5"/>
  <c r="N130" i="5"/>
  <c r="N150" i="5"/>
  <c r="O32" i="5"/>
  <c r="L91" i="5"/>
  <c r="AX112" i="7"/>
  <c r="AX107" i="7"/>
  <c r="AX104" i="7"/>
  <c r="AX99" i="7"/>
  <c r="AX96" i="7"/>
  <c r="AX91" i="7"/>
  <c r="AX109" i="7"/>
  <c r="AX106" i="7"/>
  <c r="AX114" i="7"/>
  <c r="AX89" i="7"/>
  <c r="AX102" i="7"/>
  <c r="AX85" i="7"/>
  <c r="AX83" i="7"/>
  <c r="AX79" i="7"/>
  <c r="AX93" i="7"/>
  <c r="AX90" i="7"/>
  <c r="AX100" i="7"/>
  <c r="AX94" i="7"/>
  <c r="AX111" i="7"/>
  <c r="AX103" i="7"/>
  <c r="AX101" i="7"/>
  <c r="AX98" i="7"/>
  <c r="AX95" i="7"/>
  <c r="AX92" i="7"/>
  <c r="AX87" i="7"/>
  <c r="AX86" i="7"/>
  <c r="AX80" i="7"/>
  <c r="AX84" i="7"/>
  <c r="AX105" i="7"/>
  <c r="AX97" i="7"/>
  <c r="AX88" i="7"/>
  <c r="AX82" i="7"/>
  <c r="AX81" i="7"/>
  <c r="AX110" i="7"/>
  <c r="AX77" i="7"/>
  <c r="AX70" i="7"/>
  <c r="AX68" i="7"/>
  <c r="AX66" i="7"/>
  <c r="AX75" i="7"/>
  <c r="AX64" i="7"/>
  <c r="AX62" i="7"/>
  <c r="AX60" i="7"/>
  <c r="AX58" i="7"/>
  <c r="AX56" i="7"/>
  <c r="AX113" i="7"/>
  <c r="AX76" i="7"/>
  <c r="AX72" i="7"/>
  <c r="AX71" i="7"/>
  <c r="AX108" i="7"/>
  <c r="AX73" i="7"/>
  <c r="AX57" i="7"/>
  <c r="AX65" i="7"/>
  <c r="AX78" i="7"/>
  <c r="AX59" i="7"/>
  <c r="AX69" i="7"/>
  <c r="AX55" i="7"/>
  <c r="AX61" i="7"/>
  <c r="AX67" i="7"/>
  <c r="AX63" i="7"/>
  <c r="AX74" i="7"/>
  <c r="AY5" i="7"/>
  <c r="F177" i="5"/>
  <c r="F175" i="5"/>
  <c r="F176" i="5"/>
  <c r="AW24" i="7" a="1"/>
  <c r="AW24" i="7" s="1"/>
  <c r="AW26" i="7" a="1"/>
  <c r="AW26" i="7" s="1"/>
  <c r="AW21" i="7" a="1"/>
  <c r="AW21" i="7" s="1"/>
  <c r="AW17" i="7" a="1"/>
  <c r="AW17" i="7" s="1"/>
  <c r="AW25" i="7" a="1"/>
  <c r="AW25" i="7" s="1"/>
  <c r="AW27" i="7" a="1"/>
  <c r="AW27" i="7" s="1"/>
  <c r="AW15" i="7" a="1"/>
  <c r="AW15" i="7" s="1"/>
  <c r="Q138" i="5"/>
  <c r="Q59" i="5"/>
  <c r="Q94" i="5"/>
  <c r="Q92" i="5"/>
  <c r="Q88" i="5"/>
  <c r="Q87" i="5" s="1"/>
  <c r="Q158" i="5"/>
  <c r="Q95" i="5"/>
  <c r="Q21" i="5"/>
  <c r="Q140" i="5" s="1"/>
  <c r="Q19" i="5"/>
  <c r="Q12" i="5"/>
  <c r="Q13" i="5"/>
  <c r="Q190" i="5" s="1"/>
  <c r="Q10" i="5"/>
  <c r="Q14" i="5"/>
  <c r="Q81" i="5"/>
  <c r="R4" i="5"/>
  <c r="Q22" i="5"/>
  <c r="Q141" i="5" s="1"/>
  <c r="Q93" i="5"/>
  <c r="Q11" i="5"/>
  <c r="Q5" i="5"/>
  <c r="Q118" i="5" s="1"/>
  <c r="N56" i="5"/>
  <c r="N54" i="5" s="1"/>
  <c r="N68" i="5" s="1"/>
  <c r="M95" i="5"/>
  <c r="M88" i="5"/>
  <c r="M87" i="5" s="1"/>
  <c r="M92" i="5"/>
  <c r="M93" i="5"/>
  <c r="M94" i="5"/>
  <c r="N16" i="5"/>
  <c r="M37" i="5"/>
  <c r="N84" i="5"/>
  <c r="N83" i="5" s="1"/>
  <c r="P21" i="5"/>
  <c r="M56" i="5"/>
  <c r="K123" i="5"/>
  <c r="K143" i="5"/>
  <c r="K163" i="5"/>
  <c r="L25" i="5"/>
  <c r="O5" i="6"/>
  <c r="P4" i="6"/>
  <c r="M4" i="7"/>
  <c r="J51" i="5"/>
  <c r="J52" i="5"/>
  <c r="J159" i="5"/>
  <c r="J119" i="5"/>
  <c r="J139" i="5"/>
  <c r="K21" i="5"/>
  <c r="J19" i="5"/>
  <c r="N184" i="5"/>
  <c r="N183" i="5"/>
  <c r="N185" i="5"/>
  <c r="O181" i="5" s="1"/>
  <c r="M43" i="5"/>
  <c r="N129" i="5"/>
  <c r="N149" i="5"/>
  <c r="O31" i="5"/>
  <c r="K162" i="5"/>
  <c r="K142" i="5"/>
  <c r="K69" i="5"/>
  <c r="K122" i="5"/>
  <c r="L24" i="5"/>
  <c r="N152" i="5"/>
  <c r="N132" i="5"/>
  <c r="O33" i="5"/>
  <c r="I48" i="5"/>
  <c r="P158" i="5"/>
  <c r="I40" i="5"/>
  <c r="I39" i="5"/>
  <c r="J197" i="5" s="1"/>
  <c r="J201" i="5" s="1"/>
  <c r="H72" i="5"/>
  <c r="H71" i="5"/>
  <c r="K161" i="5"/>
  <c r="K121" i="5"/>
  <c r="K141" i="5"/>
  <c r="L23" i="5"/>
  <c r="L145" i="5"/>
  <c r="L70" i="5"/>
  <c r="L165" i="5"/>
  <c r="L125" i="5"/>
  <c r="M27" i="5"/>
  <c r="J210" i="5" l="1"/>
  <c r="J202" i="5"/>
  <c r="L122" i="5"/>
  <c r="L142" i="5"/>
  <c r="L69" i="5"/>
  <c r="L162" i="5"/>
  <c r="M24" i="5"/>
  <c r="H65" i="5"/>
  <c r="O130" i="5"/>
  <c r="O150" i="5"/>
  <c r="P32" i="5"/>
  <c r="M54" i="5"/>
  <c r="O39" i="4"/>
  <c r="J66" i="5"/>
  <c r="J50" i="5"/>
  <c r="M3" i="7"/>
  <c r="Q160" i="5"/>
  <c r="Q91" i="5"/>
  <c r="AY114" i="7"/>
  <c r="AY112" i="7"/>
  <c r="AY107" i="7"/>
  <c r="AY104" i="7"/>
  <c r="AY99" i="7"/>
  <c r="AY96" i="7"/>
  <c r="AY91" i="7"/>
  <c r="AY87" i="7"/>
  <c r="AY109" i="7"/>
  <c r="AY106" i="7"/>
  <c r="AY111" i="7"/>
  <c r="AY108" i="7"/>
  <c r="AY103" i="7"/>
  <c r="AY113" i="7"/>
  <c r="AY110" i="7"/>
  <c r="AY105" i="7"/>
  <c r="AY102" i="7"/>
  <c r="AY97" i="7"/>
  <c r="AY94" i="7"/>
  <c r="AY88" i="7"/>
  <c r="AY85" i="7"/>
  <c r="AY83" i="7"/>
  <c r="AY81" i="7"/>
  <c r="AY93" i="7"/>
  <c r="AY90" i="7"/>
  <c r="AY100" i="7"/>
  <c r="AY89" i="7"/>
  <c r="AY84" i="7"/>
  <c r="AY82" i="7"/>
  <c r="AY77" i="7"/>
  <c r="AY75" i="7"/>
  <c r="AY73" i="7"/>
  <c r="AY92" i="7"/>
  <c r="AY80" i="7"/>
  <c r="AY79" i="7"/>
  <c r="AY71" i="7"/>
  <c r="AY69" i="7"/>
  <c r="AY67" i="7"/>
  <c r="AY95" i="7"/>
  <c r="AY78" i="7"/>
  <c r="AY76" i="7"/>
  <c r="AY68" i="7"/>
  <c r="AY86" i="7"/>
  <c r="AY74" i="7"/>
  <c r="AY98" i="7"/>
  <c r="AY57" i="7"/>
  <c r="AY65" i="7"/>
  <c r="AY58" i="7"/>
  <c r="AY72" i="7"/>
  <c r="AY64" i="7"/>
  <c r="AY59" i="7"/>
  <c r="AY70" i="7"/>
  <c r="AY66" i="7"/>
  <c r="AY63" i="7"/>
  <c r="AY61" i="7"/>
  <c r="AY60" i="7"/>
  <c r="AY101" i="7"/>
  <c r="AY56" i="7"/>
  <c r="AY62" i="7"/>
  <c r="AY55" i="7"/>
  <c r="AZ5" i="7"/>
  <c r="Q51" i="5"/>
  <c r="K44" i="5"/>
  <c r="J158" i="5"/>
  <c r="J168" i="5" s="1"/>
  <c r="J169" i="5" s="1"/>
  <c r="J38" i="5" a="1"/>
  <c r="J38" i="5" s="1"/>
  <c r="J138" i="5"/>
  <c r="J153" i="5" s="1"/>
  <c r="J154" i="5" s="1"/>
  <c r="J118" i="5"/>
  <c r="J133" i="5" s="1"/>
  <c r="J134" i="5" s="1"/>
  <c r="J171" i="5" s="1" a="1"/>
  <c r="J171" i="5" s="1"/>
  <c r="K20" i="5"/>
  <c r="Q120" i="5"/>
  <c r="P66" i="5"/>
  <c r="P5" i="6"/>
  <c r="N4" i="7"/>
  <c r="N3" i="7" s="1"/>
  <c r="Q4" i="6"/>
  <c r="R95" i="5"/>
  <c r="R93" i="5"/>
  <c r="R118" i="5"/>
  <c r="R88" i="5"/>
  <c r="R87" i="5" s="1"/>
  <c r="R92" i="5"/>
  <c r="R81" i="5"/>
  <c r="R14" i="5"/>
  <c r="R11" i="5"/>
  <c r="R94" i="5"/>
  <c r="R19" i="5"/>
  <c r="R13" i="5"/>
  <c r="R190" i="5" s="1"/>
  <c r="R10" i="5"/>
  <c r="R12" i="5"/>
  <c r="R59" i="5"/>
  <c r="S4" i="5"/>
  <c r="R5" i="5"/>
  <c r="R23" i="5" s="1"/>
  <c r="L124" i="5"/>
  <c r="L164" i="5"/>
  <c r="L144" i="5"/>
  <c r="M26" i="5"/>
  <c r="P120" i="5"/>
  <c r="P160" i="5"/>
  <c r="P140" i="5"/>
  <c r="O131" i="5"/>
  <c r="O151" i="5"/>
  <c r="P33" i="5"/>
  <c r="P150" i="5"/>
  <c r="P130" i="5"/>
  <c r="K160" i="5"/>
  <c r="K140" i="5"/>
  <c r="K120" i="5"/>
  <c r="L22" i="5"/>
  <c r="I175" i="5"/>
  <c r="I72" i="5"/>
  <c r="I71" i="5"/>
  <c r="I65" i="5" s="1"/>
  <c r="I63" i="5" s="1"/>
  <c r="I62" i="5" s="1"/>
  <c r="I176" i="5" s="1"/>
  <c r="O184" i="5"/>
  <c r="O183" i="5"/>
  <c r="O185" i="5"/>
  <c r="P181" i="5" s="1"/>
  <c r="Q20" i="5"/>
  <c r="Q121" i="5"/>
  <c r="J67" i="5"/>
  <c r="O132" i="5"/>
  <c r="O152" i="5"/>
  <c r="L123" i="5"/>
  <c r="L143" i="5"/>
  <c r="L163" i="5"/>
  <c r="M25" i="5"/>
  <c r="O56" i="5"/>
  <c r="O54" i="5" s="1"/>
  <c r="O68" i="5" s="1"/>
  <c r="N94" i="5"/>
  <c r="O56" i="4" s="1"/>
  <c r="N92" i="5"/>
  <c r="N93" i="5"/>
  <c r="N88" i="5"/>
  <c r="N87" i="5" s="1"/>
  <c r="O52" i="4" s="1"/>
  <c r="N95" i="5"/>
  <c r="O57" i="4" s="1"/>
  <c r="O16" i="5"/>
  <c r="M146" i="5"/>
  <c r="M166" i="5"/>
  <c r="N167" i="5" s="1"/>
  <c r="M126" i="5"/>
  <c r="N28" i="5"/>
  <c r="M91" i="5"/>
  <c r="O54" i="4"/>
  <c r="O55" i="4"/>
  <c r="Q32" i="5"/>
  <c r="Q161" i="5"/>
  <c r="AX21" i="7" a="1"/>
  <c r="AX21" i="7" s="1"/>
  <c r="AX27" i="7" a="1"/>
  <c r="AX27" i="7" s="1"/>
  <c r="AX25" i="7" a="1"/>
  <c r="AX25" i="7" s="1"/>
  <c r="AX17" i="7" a="1"/>
  <c r="AX17" i="7" s="1"/>
  <c r="AX24" i="7" a="1"/>
  <c r="AX24" i="7" s="1"/>
  <c r="AX23" i="7" a="1"/>
  <c r="AX23" i="7" s="1"/>
  <c r="AX26" i="7" a="1"/>
  <c r="AX26" i="7" s="1"/>
  <c r="AX15" i="7" a="1"/>
  <c r="AX15" i="7" s="1"/>
  <c r="R162" i="5" l="1"/>
  <c r="R142" i="5"/>
  <c r="R122" i="5"/>
  <c r="L141" i="5"/>
  <c r="L161" i="5"/>
  <c r="L121" i="5"/>
  <c r="M23" i="5"/>
  <c r="Q66" i="5"/>
  <c r="O16" i="4"/>
  <c r="M165" i="5"/>
  <c r="M125" i="5"/>
  <c r="M145" i="5"/>
  <c r="M70" i="5"/>
  <c r="N27" i="5"/>
  <c r="K139" i="5"/>
  <c r="K159" i="5"/>
  <c r="K119" i="5"/>
  <c r="L21" i="5"/>
  <c r="K19" i="5"/>
  <c r="O53" i="4"/>
  <c r="R22" i="5"/>
  <c r="AZ114" i="7"/>
  <c r="AZ112" i="7"/>
  <c r="AZ110" i="7"/>
  <c r="AZ108" i="7"/>
  <c r="AZ106" i="7"/>
  <c r="AZ104" i="7"/>
  <c r="AZ102" i="7"/>
  <c r="AZ100" i="7"/>
  <c r="AZ98" i="7"/>
  <c r="AZ96" i="7"/>
  <c r="AZ94" i="7"/>
  <c r="AZ92" i="7"/>
  <c r="AZ90" i="7"/>
  <c r="AZ88" i="7"/>
  <c r="AZ113" i="7"/>
  <c r="AZ111" i="7"/>
  <c r="AZ109" i="7"/>
  <c r="AZ107" i="7"/>
  <c r="AZ105" i="7"/>
  <c r="AZ103" i="7"/>
  <c r="AZ101" i="7"/>
  <c r="AZ99" i="7"/>
  <c r="AZ97" i="7"/>
  <c r="AZ95" i="7"/>
  <c r="AZ93" i="7"/>
  <c r="AZ91" i="7"/>
  <c r="AZ89" i="7"/>
  <c r="AZ87" i="7"/>
  <c r="AZ86" i="7"/>
  <c r="AZ84" i="7"/>
  <c r="AZ82" i="7"/>
  <c r="AZ80" i="7"/>
  <c r="AZ78" i="7"/>
  <c r="AZ81" i="7"/>
  <c r="AZ79" i="7"/>
  <c r="AZ71" i="7"/>
  <c r="AZ69" i="7"/>
  <c r="AZ67" i="7"/>
  <c r="AZ83" i="7"/>
  <c r="AZ72" i="7"/>
  <c r="AZ68" i="7"/>
  <c r="AZ74" i="7"/>
  <c r="AZ70" i="7"/>
  <c r="AZ64" i="7"/>
  <c r="AZ62" i="7"/>
  <c r="AZ60" i="7"/>
  <c r="AZ58" i="7"/>
  <c r="AZ56" i="7"/>
  <c r="AZ57" i="7"/>
  <c r="AZ77" i="7"/>
  <c r="AZ73" i="7"/>
  <c r="AZ65" i="7"/>
  <c r="AZ59" i="7"/>
  <c r="AZ66" i="7"/>
  <c r="AZ63" i="7"/>
  <c r="AZ61" i="7"/>
  <c r="AZ85" i="7"/>
  <c r="AZ55" i="7"/>
  <c r="AZ75" i="7"/>
  <c r="AZ76" i="7"/>
  <c r="BA5" i="7"/>
  <c r="Q159" i="5"/>
  <c r="Q119" i="5"/>
  <c r="Q139" i="5"/>
  <c r="P56" i="5"/>
  <c r="P54" i="5" s="1"/>
  <c r="P68" i="5" s="1"/>
  <c r="P16" i="5"/>
  <c r="R21" i="5"/>
  <c r="R33" i="5"/>
  <c r="AY26" i="7" a="1"/>
  <c r="AY26" i="7" s="1"/>
  <c r="AY23" i="7" a="1"/>
  <c r="AY23" i="7" s="1"/>
  <c r="AY25" i="7" a="1"/>
  <c r="AY25" i="7" s="1"/>
  <c r="AY21" i="7" a="1"/>
  <c r="AY21" i="7" s="1"/>
  <c r="AY24" i="7" a="1"/>
  <c r="AY24" i="7" s="1"/>
  <c r="AY15" i="7" a="1"/>
  <c r="AY15" i="7" s="1"/>
  <c r="AY27" i="7" a="1"/>
  <c r="AY27" i="7" s="1"/>
  <c r="AY17" i="7" a="1"/>
  <c r="AY17" i="7" s="1"/>
  <c r="J48" i="5"/>
  <c r="M68" i="5"/>
  <c r="M163" i="5"/>
  <c r="M123" i="5"/>
  <c r="M143" i="5"/>
  <c r="N25" i="5"/>
  <c r="J40" i="5"/>
  <c r="J39" i="5"/>
  <c r="K197" i="5" s="1"/>
  <c r="K201" i="5" s="1"/>
  <c r="H63" i="5"/>
  <c r="H62" i="5" s="1"/>
  <c r="P151" i="5"/>
  <c r="P131" i="5"/>
  <c r="Q33" i="5"/>
  <c r="K209" i="5"/>
  <c r="J211" i="5"/>
  <c r="M164" i="5"/>
  <c r="M144" i="5"/>
  <c r="M124" i="5"/>
  <c r="N26" i="5"/>
  <c r="O4" i="7"/>
  <c r="O3" i="7" s="1"/>
  <c r="Q5" i="6"/>
  <c r="R4" i="6"/>
  <c r="N127" i="5"/>
  <c r="N147" i="5"/>
  <c r="O29" i="5"/>
  <c r="I177" i="5"/>
  <c r="S95" i="5"/>
  <c r="S93" i="5"/>
  <c r="S118" i="5"/>
  <c r="S92" i="5"/>
  <c r="S158" i="5"/>
  <c r="S14" i="5"/>
  <c r="S10" i="5"/>
  <c r="T4" i="5"/>
  <c r="S11" i="5"/>
  <c r="S94" i="5"/>
  <c r="S88" i="5"/>
  <c r="S87" i="5" s="1"/>
  <c r="S59" i="5"/>
  <c r="S19" i="5"/>
  <c r="S13" i="5"/>
  <c r="S190" i="5" s="1"/>
  <c r="S12" i="5"/>
  <c r="S81" i="5"/>
  <c r="S5" i="5"/>
  <c r="S24" i="5" s="1"/>
  <c r="R20" i="5"/>
  <c r="R158" i="5"/>
  <c r="R138" i="5"/>
  <c r="K52" i="5"/>
  <c r="K51" i="5"/>
  <c r="R44" i="5"/>
  <c r="Q151" i="5"/>
  <c r="Q131" i="5"/>
  <c r="R91" i="5"/>
  <c r="N91" i="5"/>
  <c r="P183" i="5"/>
  <c r="P184" i="5"/>
  <c r="P185" i="5"/>
  <c r="Q181" i="5" s="1"/>
  <c r="P132" i="5"/>
  <c r="P152" i="5"/>
  <c r="S163" i="5" l="1"/>
  <c r="S123" i="5"/>
  <c r="S143" i="5"/>
  <c r="K210" i="5"/>
  <c r="K202" i="5"/>
  <c r="S21" i="5"/>
  <c r="S23" i="5"/>
  <c r="H177" i="5"/>
  <c r="H175" i="5"/>
  <c r="H176" i="5"/>
  <c r="R140" i="5"/>
  <c r="R120" i="5"/>
  <c r="R160" i="5"/>
  <c r="BA114" i="7"/>
  <c r="BA112" i="7"/>
  <c r="BA110" i="7"/>
  <c r="BA108" i="7"/>
  <c r="BA106" i="7"/>
  <c r="BA104" i="7"/>
  <c r="BA102" i="7"/>
  <c r="BA100" i="7"/>
  <c r="BA98" i="7"/>
  <c r="BA96" i="7"/>
  <c r="BA94" i="7"/>
  <c r="BA92" i="7"/>
  <c r="BA90" i="7"/>
  <c r="BA88" i="7"/>
  <c r="BA87" i="7"/>
  <c r="BA86" i="7"/>
  <c r="BA84" i="7"/>
  <c r="BA82" i="7"/>
  <c r="BA80" i="7"/>
  <c r="BA109" i="7"/>
  <c r="BA101" i="7"/>
  <c r="BA93" i="7"/>
  <c r="BA111" i="7"/>
  <c r="BA103" i="7"/>
  <c r="BA78" i="7"/>
  <c r="BA99" i="7"/>
  <c r="BA97" i="7"/>
  <c r="BA113" i="7"/>
  <c r="BA85" i="7"/>
  <c r="BA83" i="7"/>
  <c r="BA105" i="7"/>
  <c r="BA79" i="7"/>
  <c r="BA72" i="7"/>
  <c r="BA95" i="7"/>
  <c r="BA91" i="7"/>
  <c r="BA81" i="7"/>
  <c r="BA73" i="7"/>
  <c r="BA74" i="7"/>
  <c r="BA70" i="7"/>
  <c r="BA67" i="7"/>
  <c r="BA65" i="7"/>
  <c r="BA63" i="7"/>
  <c r="BA61" i="7"/>
  <c r="BA59" i="7"/>
  <c r="BA57" i="7"/>
  <c r="BA55" i="7"/>
  <c r="BA89" i="7"/>
  <c r="BA107" i="7"/>
  <c r="BA77" i="7"/>
  <c r="BA75" i="7"/>
  <c r="BA58" i="7"/>
  <c r="BA66" i="7"/>
  <c r="BA64" i="7"/>
  <c r="BA71" i="7"/>
  <c r="BA60" i="7"/>
  <c r="BA76" i="7"/>
  <c r="BA62" i="7"/>
  <c r="BA68" i="7"/>
  <c r="BA56" i="7"/>
  <c r="BA69" i="7"/>
  <c r="BB5" i="7"/>
  <c r="S91" i="5"/>
  <c r="O148" i="5"/>
  <c r="O128" i="5"/>
  <c r="P30" i="5"/>
  <c r="Q183" i="5"/>
  <c r="Q184" i="5"/>
  <c r="Q185" i="5"/>
  <c r="R181" i="5" s="1"/>
  <c r="P4" i="7"/>
  <c r="P3" i="7" s="1"/>
  <c r="R5" i="6"/>
  <c r="S4" i="6"/>
  <c r="T139" i="5"/>
  <c r="T121" i="5"/>
  <c r="T119" i="5"/>
  <c r="T88" i="5"/>
  <c r="T87" i="5" s="1"/>
  <c r="T95" i="5"/>
  <c r="T38" i="5" a="1"/>
  <c r="T38" i="5" s="1"/>
  <c r="T22" i="5"/>
  <c r="T141" i="5" s="1"/>
  <c r="T20" i="5"/>
  <c r="T159" i="5" s="1"/>
  <c r="T14" i="5"/>
  <c r="T11" i="5"/>
  <c r="T94" i="5"/>
  <c r="U4" i="5"/>
  <c r="T92" i="5"/>
  <c r="T59" i="5"/>
  <c r="T81" i="5"/>
  <c r="T158" i="5"/>
  <c r="T118" i="5"/>
  <c r="T93" i="5"/>
  <c r="T10" i="5"/>
  <c r="T12" i="5"/>
  <c r="T19" i="5"/>
  <c r="U44" i="5" s="1"/>
  <c r="T13" i="5"/>
  <c r="T190" i="5" s="1"/>
  <c r="T21" i="5"/>
  <c r="T140" i="5" s="1"/>
  <c r="T24" i="5"/>
  <c r="T163" i="5" s="1"/>
  <c r="T5" i="5"/>
  <c r="S138" i="5"/>
  <c r="Q56" i="5"/>
  <c r="Q16" i="5"/>
  <c r="R51" i="5"/>
  <c r="R119" i="5"/>
  <c r="R139" i="5"/>
  <c r="R159" i="5"/>
  <c r="N70" i="5"/>
  <c r="N145" i="5"/>
  <c r="N165" i="5"/>
  <c r="N125" i="5"/>
  <c r="O27" i="5"/>
  <c r="Q152" i="5"/>
  <c r="Q132" i="5"/>
  <c r="N144" i="5"/>
  <c r="N124" i="5"/>
  <c r="N164" i="5"/>
  <c r="O26" i="5"/>
  <c r="AZ24" i="7" a="1"/>
  <c r="AZ24" i="7" s="1"/>
  <c r="AZ26" i="7" a="1"/>
  <c r="AZ26" i="7" s="1"/>
  <c r="AZ23" i="7" a="1"/>
  <c r="AZ23" i="7" s="1"/>
  <c r="AZ27" i="7" a="1"/>
  <c r="AZ27" i="7" s="1"/>
  <c r="AZ25" i="7" a="1"/>
  <c r="AZ25" i="7" s="1"/>
  <c r="AZ17" i="7" a="1"/>
  <c r="AZ17" i="7" s="1"/>
  <c r="AZ21" i="7" a="1"/>
  <c r="AZ21" i="7" s="1"/>
  <c r="AZ15" i="7" a="1"/>
  <c r="AZ15" i="7" s="1"/>
  <c r="O22" i="4"/>
  <c r="K50" i="5"/>
  <c r="K66" i="5"/>
  <c r="S20" i="5"/>
  <c r="L44" i="5"/>
  <c r="K158" i="5"/>
  <c r="K168" i="5" s="1"/>
  <c r="K169" i="5" s="1"/>
  <c r="K138" i="5"/>
  <c r="K153" i="5" s="1"/>
  <c r="K154" i="5" s="1"/>
  <c r="K118" i="5"/>
  <c r="K133" i="5" s="1"/>
  <c r="K134" i="5" s="1"/>
  <c r="K171" i="5" s="1" a="1"/>
  <c r="K171" i="5" s="1"/>
  <c r="K38" i="5" a="1"/>
  <c r="K38" i="5" s="1"/>
  <c r="L20" i="5"/>
  <c r="R141" i="5"/>
  <c r="R161" i="5"/>
  <c r="R121" i="5"/>
  <c r="L160" i="5"/>
  <c r="L120" i="5"/>
  <c r="L140" i="5"/>
  <c r="M22" i="5"/>
  <c r="K67" i="5"/>
  <c r="S22" i="5"/>
  <c r="J72" i="5"/>
  <c r="J71" i="5"/>
  <c r="M122" i="5"/>
  <c r="M142" i="5"/>
  <c r="M162" i="5"/>
  <c r="M69" i="5"/>
  <c r="N24" i="5"/>
  <c r="R152" i="5"/>
  <c r="R132" i="5"/>
  <c r="N166" i="5"/>
  <c r="O167" i="5" s="1"/>
  <c r="N146" i="5"/>
  <c r="N126" i="5"/>
  <c r="O28" i="5"/>
  <c r="S44" i="5"/>
  <c r="N163" i="5" l="1"/>
  <c r="N123" i="5"/>
  <c r="N143" i="5"/>
  <c r="O25" i="5"/>
  <c r="M161" i="5"/>
  <c r="M141" i="5"/>
  <c r="M121" i="5"/>
  <c r="N23" i="5"/>
  <c r="J65" i="5"/>
  <c r="L51" i="5"/>
  <c r="L52" i="5"/>
  <c r="R56" i="5"/>
  <c r="R16" i="5"/>
  <c r="T91" i="5"/>
  <c r="K48" i="5"/>
  <c r="O70" i="5"/>
  <c r="O125" i="5"/>
  <c r="O165" i="5"/>
  <c r="O145" i="5"/>
  <c r="P27" i="5"/>
  <c r="Q54" i="5"/>
  <c r="O37" i="4"/>
  <c r="T120" i="5"/>
  <c r="T143" i="5"/>
  <c r="T160" i="5"/>
  <c r="S51" i="5"/>
  <c r="O127" i="5"/>
  <c r="O147" i="5"/>
  <c r="P29" i="5"/>
  <c r="S119" i="5"/>
  <c r="S139" i="5"/>
  <c r="S159" i="5"/>
  <c r="Q4" i="7"/>
  <c r="Q3" i="7" s="1"/>
  <c r="T4" i="6"/>
  <c r="S5" i="6"/>
  <c r="S122" i="5"/>
  <c r="S142" i="5"/>
  <c r="S162" i="5"/>
  <c r="O166" i="5"/>
  <c r="O146" i="5"/>
  <c r="O126" i="5"/>
  <c r="P28" i="5"/>
  <c r="P129" i="5"/>
  <c r="P149" i="5"/>
  <c r="Q31" i="5"/>
  <c r="L159" i="5"/>
  <c r="L119" i="5"/>
  <c r="L139" i="5"/>
  <c r="M21" i="5"/>
  <c r="L19" i="5"/>
  <c r="K40" i="5"/>
  <c r="K39" i="5"/>
  <c r="L197" i="5"/>
  <c r="L201" i="5" s="1"/>
  <c r="U185" i="5"/>
  <c r="V181" i="5" s="1"/>
  <c r="U166" i="5"/>
  <c r="U164" i="5"/>
  <c r="U169" i="5"/>
  <c r="U160" i="5"/>
  <c r="U150" i="5"/>
  <c r="U147" i="5"/>
  <c r="U145" i="5"/>
  <c r="U143" i="5"/>
  <c r="U141" i="5"/>
  <c r="U139" i="5"/>
  <c r="U134" i="5"/>
  <c r="U171" i="5" s="1" a="1"/>
  <c r="U171" i="5" s="1"/>
  <c r="U168" i="5"/>
  <c r="U148" i="5"/>
  <c r="U133" i="5"/>
  <c r="U131" i="5"/>
  <c r="U129" i="5"/>
  <c r="U127" i="5"/>
  <c r="U125" i="5"/>
  <c r="U123" i="5"/>
  <c r="U121" i="5"/>
  <c r="U119" i="5"/>
  <c r="U167" i="5"/>
  <c r="U146" i="5"/>
  <c r="U159" i="5"/>
  <c r="U152" i="5"/>
  <c r="U95" i="5"/>
  <c r="U93" i="5"/>
  <c r="U163" i="5"/>
  <c r="U151" i="5"/>
  <c r="U122" i="5"/>
  <c r="U138" i="5"/>
  <c r="U132" i="5"/>
  <c r="U161" i="5"/>
  <c r="U153" i="5"/>
  <c r="U22" i="5"/>
  <c r="U20" i="5"/>
  <c r="U149" i="5"/>
  <c r="U142" i="5"/>
  <c r="U59" i="5"/>
  <c r="U32" i="5"/>
  <c r="U30" i="5"/>
  <c r="U28" i="5"/>
  <c r="U140" i="5"/>
  <c r="U162" i="5"/>
  <c r="U158" i="5"/>
  <c r="U70" i="5"/>
  <c r="U69" i="5"/>
  <c r="U94" i="5"/>
  <c r="U33" i="5"/>
  <c r="V4" i="5"/>
  <c r="U130" i="5"/>
  <c r="U120" i="5"/>
  <c r="U72" i="5"/>
  <c r="U27" i="5"/>
  <c r="U16" i="5"/>
  <c r="U25" i="5"/>
  <c r="U12" i="5"/>
  <c r="U165" i="5"/>
  <c r="U154" i="5"/>
  <c r="U92" i="5"/>
  <c r="U91" i="5" s="1"/>
  <c r="U71" i="5"/>
  <c r="U124" i="5"/>
  <c r="U88" i="5"/>
  <c r="U87" i="5" s="1"/>
  <c r="U81" i="5"/>
  <c r="U144" i="5"/>
  <c r="U43" i="5"/>
  <c r="U128" i="5"/>
  <c r="U118" i="5"/>
  <c r="U29" i="5"/>
  <c r="U24" i="5"/>
  <c r="U38" i="5" s="1" a="1"/>
  <c r="U38" i="5" s="1"/>
  <c r="U26" i="5"/>
  <c r="U19" i="5"/>
  <c r="U13" i="5"/>
  <c r="U190" i="5" s="1"/>
  <c r="U23" i="5"/>
  <c r="U10" i="5"/>
  <c r="U21" i="5"/>
  <c r="U126" i="5"/>
  <c r="U14" i="5"/>
  <c r="U11" i="5"/>
  <c r="U31" i="5"/>
  <c r="U5" i="5"/>
  <c r="T123" i="5"/>
  <c r="S120" i="5"/>
  <c r="S160" i="5"/>
  <c r="S140" i="5"/>
  <c r="P167" i="5"/>
  <c r="S121" i="5"/>
  <c r="S141" i="5"/>
  <c r="S161" i="5"/>
  <c r="R66" i="5"/>
  <c r="U52" i="5"/>
  <c r="U67" i="5" s="1"/>
  <c r="U51" i="5"/>
  <c r="T44" i="5"/>
  <c r="T23" i="5"/>
  <c r="T161" i="5"/>
  <c r="R184" i="5"/>
  <c r="R183" i="5"/>
  <c r="R185" i="5"/>
  <c r="S181" i="5" s="1"/>
  <c r="BA25" i="7" a="1"/>
  <c r="BA25" i="7" s="1"/>
  <c r="BA23" i="7" a="1"/>
  <c r="BA23" i="7" s="1"/>
  <c r="BA27" i="7" a="1"/>
  <c r="BA27" i="7" s="1"/>
  <c r="BA26" i="7" a="1"/>
  <c r="BA26" i="7" s="1"/>
  <c r="BA21" i="7" a="1"/>
  <c r="BA21" i="7" s="1"/>
  <c r="BA17" i="7" a="1"/>
  <c r="BA17" i="7" s="1"/>
  <c r="BA15" i="7" a="1"/>
  <c r="BA15" i="7" s="1"/>
  <c r="BA24" i="7" a="1"/>
  <c r="BA24" i="7" s="1"/>
  <c r="K211" i="5"/>
  <c r="L209" i="5"/>
  <c r="T25" i="5"/>
  <c r="T138" i="5"/>
  <c r="BB109" i="7"/>
  <c r="BB101" i="7"/>
  <c r="BB93" i="7"/>
  <c r="BB106" i="7"/>
  <c r="BB98" i="7"/>
  <c r="BB90" i="7"/>
  <c r="BB111" i="7"/>
  <c r="BB114" i="7"/>
  <c r="BB108" i="7"/>
  <c r="BB113" i="7"/>
  <c r="BB105" i="7"/>
  <c r="BB107" i="7"/>
  <c r="BB99" i="7"/>
  <c r="BB91" i="7"/>
  <c r="BB96" i="7"/>
  <c r="BB100" i="7"/>
  <c r="BB88" i="7"/>
  <c r="BB97" i="7"/>
  <c r="BB94" i="7"/>
  <c r="BB95" i="7"/>
  <c r="BB112" i="7"/>
  <c r="BB92" i="7"/>
  <c r="BB83" i="7"/>
  <c r="BB81" i="7"/>
  <c r="BB80" i="7"/>
  <c r="BB73" i="7"/>
  <c r="BB82" i="7"/>
  <c r="BB74" i="7"/>
  <c r="BB89" i="7"/>
  <c r="BB104" i="7"/>
  <c r="BB103" i="7"/>
  <c r="BB85" i="7"/>
  <c r="BB71" i="7"/>
  <c r="BB69" i="7"/>
  <c r="BB67" i="7"/>
  <c r="BB102" i="7"/>
  <c r="BB65" i="7"/>
  <c r="BB63" i="7"/>
  <c r="BB61" i="7"/>
  <c r="BB59" i="7"/>
  <c r="BB57" i="7"/>
  <c r="BB55" i="7"/>
  <c r="BB86" i="7"/>
  <c r="BB110" i="7"/>
  <c r="BB78" i="7"/>
  <c r="BB84" i="7"/>
  <c r="BB87" i="7"/>
  <c r="BB77" i="7"/>
  <c r="BB68" i="7"/>
  <c r="BB58" i="7"/>
  <c r="BB79" i="7"/>
  <c r="BB66" i="7"/>
  <c r="BB64" i="7"/>
  <c r="BB72" i="7"/>
  <c r="BB60" i="7"/>
  <c r="BB76" i="7"/>
  <c r="BB70" i="7"/>
  <c r="BB62" i="7"/>
  <c r="BB75" i="7"/>
  <c r="BB56" i="7"/>
  <c r="BC5" i="7"/>
  <c r="M140" i="5" l="1"/>
  <c r="M120" i="5"/>
  <c r="M160" i="5"/>
  <c r="N22" i="5"/>
  <c r="S183" i="5"/>
  <c r="S184" i="5"/>
  <c r="S185" i="5"/>
  <c r="T181" i="5" s="1"/>
  <c r="P128" i="5"/>
  <c r="P148" i="5"/>
  <c r="Q30" i="5"/>
  <c r="R4" i="7"/>
  <c r="R3" i="7" s="1"/>
  <c r="U4" i="6"/>
  <c r="T5" i="6"/>
  <c r="U50" i="5"/>
  <c r="U66" i="5"/>
  <c r="M44" i="5"/>
  <c r="L138" i="5"/>
  <c r="L153" i="5" s="1"/>
  <c r="L154" i="5" s="1"/>
  <c r="L158" i="5"/>
  <c r="L168" i="5" s="1"/>
  <c r="L169" i="5" s="1"/>
  <c r="L118" i="5"/>
  <c r="L133" i="5" s="1"/>
  <c r="L134" i="5" s="1"/>
  <c r="L171" i="5" s="1" a="1"/>
  <c r="L171" i="5" s="1"/>
  <c r="L38" i="5" a="1"/>
  <c r="L38" i="5" s="1"/>
  <c r="M20" i="5"/>
  <c r="S66" i="5"/>
  <c r="N162" i="5"/>
  <c r="N122" i="5"/>
  <c r="N142" i="5"/>
  <c r="N69" i="5"/>
  <c r="O24" i="5"/>
  <c r="S56" i="5"/>
  <c r="S16" i="5"/>
  <c r="R54" i="5"/>
  <c r="Q68" i="5"/>
  <c r="O35" i="4"/>
  <c r="V184" i="5"/>
  <c r="V183" i="5"/>
  <c r="P147" i="5"/>
  <c r="P127" i="5"/>
  <c r="Q29" i="5"/>
  <c r="Q150" i="5"/>
  <c r="Q130" i="5"/>
  <c r="R32" i="5"/>
  <c r="P146" i="5"/>
  <c r="P166" i="5"/>
  <c r="P126" i="5"/>
  <c r="Q28" i="5"/>
  <c r="L67" i="5"/>
  <c r="T124" i="5"/>
  <c r="T144" i="5"/>
  <c r="T164" i="5"/>
  <c r="BC106" i="7"/>
  <c r="BC98" i="7"/>
  <c r="BC90" i="7"/>
  <c r="BC111" i="7"/>
  <c r="BC103" i="7"/>
  <c r="BC95" i="7"/>
  <c r="BC114" i="7"/>
  <c r="BC108" i="7"/>
  <c r="BC113" i="7"/>
  <c r="BC105" i="7"/>
  <c r="BC110" i="7"/>
  <c r="BC102" i="7"/>
  <c r="BC112" i="7"/>
  <c r="BC104" i="7"/>
  <c r="BC96" i="7"/>
  <c r="BC87" i="7"/>
  <c r="BC86" i="7"/>
  <c r="BC84" i="7"/>
  <c r="BC82" i="7"/>
  <c r="BC80" i="7"/>
  <c r="BC100" i="7"/>
  <c r="BC99" i="7"/>
  <c r="BC88" i="7"/>
  <c r="BC97" i="7"/>
  <c r="BC94" i="7"/>
  <c r="BC92" i="7"/>
  <c r="BC78" i="7"/>
  <c r="BC76" i="7"/>
  <c r="BC74" i="7"/>
  <c r="BC72" i="7"/>
  <c r="BC91" i="7"/>
  <c r="BC93" i="7"/>
  <c r="BC89" i="7"/>
  <c r="BC75" i="7"/>
  <c r="BC70" i="7"/>
  <c r="BC68" i="7"/>
  <c r="BC66" i="7"/>
  <c r="BC107" i="7"/>
  <c r="BC79" i="7"/>
  <c r="BC67" i="7"/>
  <c r="BC109" i="7"/>
  <c r="BC73" i="7"/>
  <c r="BC101" i="7"/>
  <c r="BC85" i="7"/>
  <c r="BC83" i="7"/>
  <c r="BC77" i="7"/>
  <c r="BC65" i="7"/>
  <c r="BC64" i="7"/>
  <c r="BC60" i="7"/>
  <c r="BC59" i="7"/>
  <c r="BC81" i="7"/>
  <c r="BC71" i="7"/>
  <c r="BC63" i="7"/>
  <c r="BC62" i="7"/>
  <c r="BC61" i="7"/>
  <c r="BC55" i="7"/>
  <c r="BC69" i="7"/>
  <c r="BC56" i="7"/>
  <c r="BC57" i="7"/>
  <c r="BC58" i="7"/>
  <c r="BD5" i="7"/>
  <c r="BB21" i="7" a="1"/>
  <c r="BB21" i="7" s="1"/>
  <c r="BB27" i="7" a="1"/>
  <c r="BB27" i="7" s="1"/>
  <c r="BB17" i="7" a="1"/>
  <c r="BB17" i="7" s="1"/>
  <c r="BB26" i="7" a="1"/>
  <c r="BB26" i="7" s="1"/>
  <c r="BB25" i="7" a="1"/>
  <c r="BB25" i="7" s="1"/>
  <c r="BB15" i="7" a="1"/>
  <c r="BB15" i="7" s="1"/>
  <c r="BB24" i="7" a="1"/>
  <c r="BB24" i="7" s="1"/>
  <c r="BB23" i="7" a="1"/>
  <c r="BB23" i="7" s="1"/>
  <c r="U37" i="5"/>
  <c r="V168" i="5"/>
  <c r="V166" i="5"/>
  <c r="V164" i="5"/>
  <c r="V162" i="5"/>
  <c r="V160" i="5"/>
  <c r="V158" i="5"/>
  <c r="V153" i="5"/>
  <c r="V151" i="5"/>
  <c r="V149" i="5"/>
  <c r="V167" i="5"/>
  <c r="V169" i="5"/>
  <c r="V146" i="5"/>
  <c r="V139" i="5"/>
  <c r="V163" i="5"/>
  <c r="V161" i="5"/>
  <c r="V154" i="5"/>
  <c r="V150" i="5"/>
  <c r="V144" i="5"/>
  <c r="V134" i="5"/>
  <c r="V171" i="5" s="1" a="1"/>
  <c r="V171" i="5" s="1"/>
  <c r="V94" i="5"/>
  <c r="V92" i="5"/>
  <c r="V88" i="5"/>
  <c r="V87" i="5" s="1"/>
  <c r="V81" i="5"/>
  <c r="V165" i="5"/>
  <c r="V143" i="5"/>
  <c r="V185" i="5"/>
  <c r="W181" i="5" s="1"/>
  <c r="V148" i="5"/>
  <c r="V138" i="5"/>
  <c r="V132" i="5"/>
  <c r="V119" i="5"/>
  <c r="V159" i="5"/>
  <c r="V147" i="5"/>
  <c r="V129" i="5"/>
  <c r="V126" i="5"/>
  <c r="V142" i="5"/>
  <c r="V59" i="5"/>
  <c r="V32" i="5"/>
  <c r="V30" i="5"/>
  <c r="V28" i="5"/>
  <c r="V26" i="5"/>
  <c r="V24" i="5"/>
  <c r="V16" i="5"/>
  <c r="V11" i="5"/>
  <c r="V130" i="5"/>
  <c r="V43" i="5"/>
  <c r="V141" i="5"/>
  <c r="V140" i="5"/>
  <c r="V152" i="5"/>
  <c r="V131" i="5"/>
  <c r="V127" i="5"/>
  <c r="V123" i="5"/>
  <c r="V95" i="5"/>
  <c r="V72" i="5"/>
  <c r="V71" i="5"/>
  <c r="V121" i="5"/>
  <c r="V120" i="5"/>
  <c r="V27" i="5"/>
  <c r="V21" i="5"/>
  <c r="V25" i="5"/>
  <c r="V12" i="5"/>
  <c r="V31" i="5"/>
  <c r="V125" i="5"/>
  <c r="V124" i="5"/>
  <c r="V70" i="5"/>
  <c r="V69" i="5"/>
  <c r="V128" i="5"/>
  <c r="V118" i="5"/>
  <c r="V133" i="5"/>
  <c r="V93" i="5"/>
  <c r="V145" i="5"/>
  <c r="V122" i="5"/>
  <c r="V14" i="5"/>
  <c r="V10" i="5"/>
  <c r="V22" i="5"/>
  <c r="V23" i="5"/>
  <c r="V29" i="5"/>
  <c r="V33" i="5"/>
  <c r="V20" i="5"/>
  <c r="W4" i="5"/>
  <c r="V19" i="5"/>
  <c r="W44" i="5" s="1"/>
  <c r="V13" i="5"/>
  <c r="V190" i="5" s="1"/>
  <c r="V5" i="5"/>
  <c r="K71" i="5"/>
  <c r="K65" i="5" s="1"/>
  <c r="K72" i="5"/>
  <c r="L50" i="5"/>
  <c r="L66" i="5"/>
  <c r="O144" i="5"/>
  <c r="O124" i="5"/>
  <c r="O164" i="5"/>
  <c r="P26" i="5"/>
  <c r="L210" i="5"/>
  <c r="L202" i="5"/>
  <c r="T142" i="5"/>
  <c r="T162" i="5"/>
  <c r="T122" i="5"/>
  <c r="T51" i="5"/>
  <c r="Q167" i="5"/>
  <c r="V44" i="5"/>
  <c r="J63" i="5"/>
  <c r="J62" i="5" s="1"/>
  <c r="V52" i="5" l="1"/>
  <c r="V67" i="5" s="1"/>
  <c r="V51" i="5"/>
  <c r="L48" i="5"/>
  <c r="W184" i="5"/>
  <c r="W183" i="5"/>
  <c r="BC27" i="7" a="1"/>
  <c r="BC27" i="7" s="1"/>
  <c r="BC23" i="7" a="1"/>
  <c r="BC23" i="7" s="1"/>
  <c r="BC26" i="7" a="1"/>
  <c r="BC26" i="7" s="1"/>
  <c r="BC21" i="7" a="1"/>
  <c r="BC21" i="7" s="1"/>
  <c r="BC15" i="7" a="1"/>
  <c r="BC15" i="7" s="1"/>
  <c r="BC25" i="7" a="1"/>
  <c r="BC25" i="7" s="1"/>
  <c r="BC24" i="7" a="1"/>
  <c r="BC24" i="7" s="1"/>
  <c r="BC17" i="7" a="1"/>
  <c r="BC17" i="7" s="1"/>
  <c r="S54" i="5"/>
  <c r="O143" i="5"/>
  <c r="O163" i="5"/>
  <c r="O123" i="5"/>
  <c r="P25" i="5"/>
  <c r="M139" i="5"/>
  <c r="M159" i="5"/>
  <c r="M119" i="5"/>
  <c r="N21" i="5"/>
  <c r="M19" i="5"/>
  <c r="L40" i="5"/>
  <c r="M197" i="5"/>
  <c r="M201" i="5" s="1"/>
  <c r="L39" i="5"/>
  <c r="T184" i="5"/>
  <c r="T183" i="5"/>
  <c r="T185" i="5"/>
  <c r="U181" i="5" s="1"/>
  <c r="W164" i="5"/>
  <c r="W169" i="5"/>
  <c r="W185" i="5"/>
  <c r="X181" i="5" s="1"/>
  <c r="W168" i="5"/>
  <c r="W167" i="5"/>
  <c r="W158" i="5"/>
  <c r="W163" i="5"/>
  <c r="W161" i="5"/>
  <c r="W154" i="5"/>
  <c r="W150" i="5"/>
  <c r="W144" i="5"/>
  <c r="W134" i="5"/>
  <c r="W171" i="5" s="1" a="1"/>
  <c r="W171" i="5" s="1"/>
  <c r="W94" i="5"/>
  <c r="W92" i="5"/>
  <c r="W88" i="5"/>
  <c r="W87" i="5" s="1"/>
  <c r="W81" i="5"/>
  <c r="W166" i="5"/>
  <c r="W142" i="5"/>
  <c r="W72" i="5"/>
  <c r="W70" i="5"/>
  <c r="W153" i="5"/>
  <c r="W149" i="5"/>
  <c r="W148" i="5"/>
  <c r="W141" i="5"/>
  <c r="W133" i="5"/>
  <c r="W131" i="5"/>
  <c r="W129" i="5"/>
  <c r="W127" i="5"/>
  <c r="W125" i="5"/>
  <c r="W123" i="5"/>
  <c r="W121" i="5"/>
  <c r="W119" i="5"/>
  <c r="W159" i="5"/>
  <c r="W147" i="5"/>
  <c r="W126" i="5"/>
  <c r="W93" i="5"/>
  <c r="W146" i="5"/>
  <c r="W120" i="5"/>
  <c r="W151" i="5"/>
  <c r="W143" i="5"/>
  <c r="W130" i="5"/>
  <c r="W43" i="5"/>
  <c r="W140" i="5"/>
  <c r="W132" i="5"/>
  <c r="W128" i="5"/>
  <c r="W124" i="5"/>
  <c r="W160" i="5"/>
  <c r="W152" i="5"/>
  <c r="W139" i="5"/>
  <c r="W138" i="5"/>
  <c r="W165" i="5"/>
  <c r="W145" i="5"/>
  <c r="W22" i="5"/>
  <c r="W25" i="5"/>
  <c r="W16" i="5"/>
  <c r="W12" i="5"/>
  <c r="W69" i="5"/>
  <c r="W59" i="5"/>
  <c r="W23" i="5"/>
  <c r="W13" i="5"/>
  <c r="W190" i="5" s="1"/>
  <c r="W71" i="5"/>
  <c r="W31" i="5"/>
  <c r="W21" i="5"/>
  <c r="W28" i="5"/>
  <c r="W19" i="5"/>
  <c r="W162" i="5"/>
  <c r="W118" i="5"/>
  <c r="W122" i="5"/>
  <c r="W33" i="5"/>
  <c r="W20" i="5"/>
  <c r="W38" i="5" s="1" a="1"/>
  <c r="W38" i="5" s="1"/>
  <c r="W11" i="5"/>
  <c r="X4" i="5"/>
  <c r="W32" i="5"/>
  <c r="W30" i="5"/>
  <c r="W27" i="5"/>
  <c r="W95" i="5"/>
  <c r="W29" i="5"/>
  <c r="W24" i="5"/>
  <c r="W14" i="5"/>
  <c r="W26" i="5"/>
  <c r="W10" i="5"/>
  <c r="W5" i="5"/>
  <c r="V38" i="5" a="1"/>
  <c r="V38" i="5" s="1"/>
  <c r="J176" i="5"/>
  <c r="J177" i="5"/>
  <c r="J175" i="5"/>
  <c r="T66" i="5"/>
  <c r="L211" i="5"/>
  <c r="M209" i="5"/>
  <c r="U39" i="5"/>
  <c r="BD113" i="7"/>
  <c r="BD111" i="7"/>
  <c r="BD109" i="7"/>
  <c r="BD107" i="7"/>
  <c r="BD105" i="7"/>
  <c r="BD103" i="7"/>
  <c r="BD101" i="7"/>
  <c r="BD99" i="7"/>
  <c r="BD97" i="7"/>
  <c r="BD95" i="7"/>
  <c r="BD93" i="7"/>
  <c r="BD91" i="7"/>
  <c r="BD89" i="7"/>
  <c r="BD87" i="7"/>
  <c r="BD114" i="7"/>
  <c r="BD112" i="7"/>
  <c r="BD110" i="7"/>
  <c r="BD108" i="7"/>
  <c r="BD106" i="7"/>
  <c r="BD104" i="7"/>
  <c r="BD102" i="7"/>
  <c r="BD100" i="7"/>
  <c r="BD98" i="7"/>
  <c r="BD96" i="7"/>
  <c r="BD94" i="7"/>
  <c r="BD92" i="7"/>
  <c r="BD90" i="7"/>
  <c r="BD88" i="7"/>
  <c r="BD85" i="7"/>
  <c r="BD83" i="7"/>
  <c r="BD81" i="7"/>
  <c r="BD77" i="7"/>
  <c r="BD82" i="7"/>
  <c r="BD75" i="7"/>
  <c r="BD74" i="7"/>
  <c r="BD70" i="7"/>
  <c r="BD68" i="7"/>
  <c r="BD66" i="7"/>
  <c r="BD84" i="7"/>
  <c r="BD73" i="7"/>
  <c r="BD72" i="7"/>
  <c r="BD86" i="7"/>
  <c r="BD78" i="7"/>
  <c r="BD76" i="7"/>
  <c r="BD79" i="7"/>
  <c r="BD65" i="7"/>
  <c r="BD63" i="7"/>
  <c r="BD61" i="7"/>
  <c r="BD59" i="7"/>
  <c r="BD57" i="7"/>
  <c r="BD55" i="7"/>
  <c r="BD60" i="7"/>
  <c r="BD71" i="7"/>
  <c r="BD62" i="7"/>
  <c r="BD69" i="7"/>
  <c r="BD56" i="7"/>
  <c r="BD67" i="7"/>
  <c r="BD80" i="7"/>
  <c r="BD58" i="7"/>
  <c r="BD64" i="7"/>
  <c r="BE5" i="7"/>
  <c r="Q128" i="5"/>
  <c r="Q148" i="5"/>
  <c r="R30" i="5"/>
  <c r="P70" i="5"/>
  <c r="P165" i="5"/>
  <c r="P145" i="5"/>
  <c r="P125" i="5"/>
  <c r="Q27" i="5"/>
  <c r="V4" i="6"/>
  <c r="S4" i="7"/>
  <c r="S3" i="7" s="1"/>
  <c r="U5" i="6"/>
  <c r="U84" i="5"/>
  <c r="U83" i="5" s="1"/>
  <c r="R68" i="5"/>
  <c r="M52" i="5"/>
  <c r="M51" i="5"/>
  <c r="K63" i="5"/>
  <c r="K62" i="5" s="1"/>
  <c r="W52" i="5"/>
  <c r="W67" i="5" s="1"/>
  <c r="W51" i="5"/>
  <c r="V91" i="5"/>
  <c r="Q127" i="5"/>
  <c r="Q147" i="5"/>
  <c r="R29" i="5"/>
  <c r="N121" i="5"/>
  <c r="N141" i="5"/>
  <c r="N161" i="5"/>
  <c r="O23" i="5"/>
  <c r="V37" i="5"/>
  <c r="R151" i="5"/>
  <c r="R131" i="5"/>
  <c r="S33" i="5"/>
  <c r="O15" i="4"/>
  <c r="T16" i="5"/>
  <c r="U56" i="5" s="1"/>
  <c r="U54" i="5" s="1"/>
  <c r="U68" i="5" s="1"/>
  <c r="U65" i="5"/>
  <c r="U63" i="5" s="1"/>
  <c r="U62" i="5" s="1"/>
  <c r="Q129" i="5"/>
  <c r="Q149" i="5"/>
  <c r="R31" i="5"/>
  <c r="V56" i="5"/>
  <c r="V54" i="5" s="1"/>
  <c r="V68" i="5" s="1"/>
  <c r="U40" i="5"/>
  <c r="V197" i="5" s="1"/>
  <c r="V201" i="5" s="1"/>
  <c r="V202" i="5" l="1"/>
  <c r="V210" i="5"/>
  <c r="X169" i="5"/>
  <c r="X167" i="5"/>
  <c r="X166" i="5"/>
  <c r="X168" i="5"/>
  <c r="X153" i="5"/>
  <c r="X185" i="5"/>
  <c r="Y181" i="5" s="1"/>
  <c r="X142" i="5"/>
  <c r="X72" i="5"/>
  <c r="X70" i="5"/>
  <c r="X151" i="5"/>
  <c r="X140" i="5"/>
  <c r="X132" i="5"/>
  <c r="X130" i="5"/>
  <c r="X128" i="5"/>
  <c r="X126" i="5"/>
  <c r="X124" i="5"/>
  <c r="X122" i="5"/>
  <c r="X120" i="5"/>
  <c r="X118" i="5"/>
  <c r="X59" i="5"/>
  <c r="X160" i="5"/>
  <c r="X146" i="5"/>
  <c r="X139" i="5"/>
  <c r="X134" i="5"/>
  <c r="X171" i="5" s="1" a="1"/>
  <c r="X171" i="5" s="1"/>
  <c r="X129" i="5"/>
  <c r="X88" i="5"/>
  <c r="X87" i="5" s="1"/>
  <c r="X71" i="5"/>
  <c r="X162" i="5"/>
  <c r="X154" i="5"/>
  <c r="X149" i="5"/>
  <c r="X145" i="5"/>
  <c r="X123" i="5"/>
  <c r="X163" i="5"/>
  <c r="X159" i="5"/>
  <c r="X148" i="5"/>
  <c r="X147" i="5"/>
  <c r="X161" i="5"/>
  <c r="X13" i="5"/>
  <c r="X190" i="5" s="1"/>
  <c r="X164" i="5"/>
  <c r="X141" i="5"/>
  <c r="X94" i="5"/>
  <c r="X152" i="5"/>
  <c r="X138" i="5"/>
  <c r="X133" i="5"/>
  <c r="X144" i="5"/>
  <c r="X125" i="5"/>
  <c r="X121" i="5"/>
  <c r="X32" i="5"/>
  <c r="X30" i="5"/>
  <c r="X28" i="5"/>
  <c r="X26" i="5"/>
  <c r="X24" i="5"/>
  <c r="X131" i="5"/>
  <c r="X31" i="5"/>
  <c r="X21" i="5"/>
  <c r="X10" i="5"/>
  <c r="X165" i="5"/>
  <c r="X92" i="5"/>
  <c r="X69" i="5"/>
  <c r="X23" i="5"/>
  <c r="X19" i="5"/>
  <c r="X143" i="5"/>
  <c r="X81" i="5"/>
  <c r="X119" i="5"/>
  <c r="X43" i="5"/>
  <c r="X150" i="5"/>
  <c r="X93" i="5"/>
  <c r="X158" i="5"/>
  <c r="X127" i="5"/>
  <c r="X95" i="5"/>
  <c r="X27" i="5"/>
  <c r="X38" i="5" s="1" a="1"/>
  <c r="X38" i="5" s="1"/>
  <c r="X22" i="5"/>
  <c r="X16" i="5"/>
  <c r="X12" i="5"/>
  <c r="X14" i="5"/>
  <c r="X29" i="5"/>
  <c r="X33" i="5"/>
  <c r="X20" i="5"/>
  <c r="X11" i="5"/>
  <c r="Y4" i="5"/>
  <c r="X25" i="5"/>
  <c r="X5" i="5"/>
  <c r="T4" i="7"/>
  <c r="T3" i="7" s="1"/>
  <c r="V5" i="6"/>
  <c r="W4" i="6"/>
  <c r="BD25" i="7" a="1"/>
  <c r="BD25" i="7" s="1"/>
  <c r="BD24" i="7" a="1"/>
  <c r="BD24" i="7" s="1"/>
  <c r="BD27" i="7" a="1"/>
  <c r="BD27" i="7" s="1"/>
  <c r="BD23" i="7" a="1"/>
  <c r="BD23" i="7" s="1"/>
  <c r="BD26" i="7" a="1"/>
  <c r="BD26" i="7" s="1"/>
  <c r="BD21" i="7" a="1"/>
  <c r="BD21" i="7" s="1"/>
  <c r="BD17" i="7" a="1"/>
  <c r="BD17" i="7" s="1"/>
  <c r="BD15" i="7" a="1"/>
  <c r="BD15" i="7" s="1"/>
  <c r="X56" i="5"/>
  <c r="X54" i="5" s="1"/>
  <c r="X68" i="5" s="1"/>
  <c r="U48" i="5"/>
  <c r="L71" i="5"/>
  <c r="L72" i="5"/>
  <c r="K175" i="5"/>
  <c r="K176" i="5"/>
  <c r="K177" i="5"/>
  <c r="N44" i="5"/>
  <c r="M38" i="5" a="1"/>
  <c r="M38" i="5" s="1"/>
  <c r="M158" i="5"/>
  <c r="M168" i="5" s="1"/>
  <c r="M169" i="5" s="1"/>
  <c r="M138" i="5"/>
  <c r="M153" i="5" s="1"/>
  <c r="M154" i="5" s="1"/>
  <c r="M118" i="5"/>
  <c r="M133" i="5" s="1"/>
  <c r="M134" i="5" s="1"/>
  <c r="M171" i="5" s="1" a="1"/>
  <c r="M171" i="5" s="1"/>
  <c r="N20" i="5"/>
  <c r="V50" i="5"/>
  <c r="V48" i="5" s="1"/>
  <c r="V66" i="5"/>
  <c r="V65" i="5" s="1"/>
  <c r="V63" i="5" s="1"/>
  <c r="Q166" i="5"/>
  <c r="R167" i="5" s="1"/>
  <c r="Q126" i="5"/>
  <c r="Q146" i="5"/>
  <c r="R28" i="5"/>
  <c r="R149" i="5"/>
  <c r="R129" i="5"/>
  <c r="S31" i="5"/>
  <c r="N160" i="5"/>
  <c r="N140" i="5"/>
  <c r="N120" i="5"/>
  <c r="O22" i="5"/>
  <c r="O122" i="5"/>
  <c r="O69" i="5"/>
  <c r="O162" i="5"/>
  <c r="O142" i="5"/>
  <c r="P24" i="5"/>
  <c r="M50" i="5"/>
  <c r="M66" i="5"/>
  <c r="V40" i="5"/>
  <c r="S68" i="5"/>
  <c r="S132" i="5"/>
  <c r="S152" i="5"/>
  <c r="T56" i="5"/>
  <c r="W91" i="5"/>
  <c r="V39" i="5"/>
  <c r="W197" i="5" s="1"/>
  <c r="W201" i="5" s="1"/>
  <c r="V84" i="5"/>
  <c r="V83" i="5" s="1"/>
  <c r="W37" i="5"/>
  <c r="U184" i="5"/>
  <c r="U183" i="5"/>
  <c r="M202" i="5"/>
  <c r="M210" i="5"/>
  <c r="P124" i="5"/>
  <c r="P144" i="5"/>
  <c r="P164" i="5"/>
  <c r="Q26" i="5"/>
  <c r="R130" i="5"/>
  <c r="R150" i="5"/>
  <c r="S32" i="5"/>
  <c r="R148" i="5"/>
  <c r="R128" i="5"/>
  <c r="S30" i="5"/>
  <c r="M67" i="5"/>
  <c r="W66" i="5"/>
  <c r="W65" i="5" s="1"/>
  <c r="W63" i="5" s="1"/>
  <c r="W50" i="5"/>
  <c r="W48" i="5" s="1"/>
  <c r="BE113" i="7"/>
  <c r="BE111" i="7"/>
  <c r="BE109" i="7"/>
  <c r="BE107" i="7"/>
  <c r="BE105" i="7"/>
  <c r="BE103" i="7"/>
  <c r="BE101" i="7"/>
  <c r="BE99" i="7"/>
  <c r="BE97" i="7"/>
  <c r="BE95" i="7"/>
  <c r="BE93" i="7"/>
  <c r="BE91" i="7"/>
  <c r="BE89" i="7"/>
  <c r="BE85" i="7"/>
  <c r="BE83" i="7"/>
  <c r="BE81" i="7"/>
  <c r="BE79" i="7"/>
  <c r="BE114" i="7"/>
  <c r="BE108" i="7"/>
  <c r="BE100" i="7"/>
  <c r="BE92" i="7"/>
  <c r="BE110" i="7"/>
  <c r="BE94" i="7"/>
  <c r="BE77" i="7"/>
  <c r="BE104" i="7"/>
  <c r="BE102" i="7"/>
  <c r="BE90" i="7"/>
  <c r="BE112" i="7"/>
  <c r="BE88" i="7"/>
  <c r="BE76" i="7"/>
  <c r="BE106" i="7"/>
  <c r="BE96" i="7"/>
  <c r="BE87" i="7"/>
  <c r="BE86" i="7"/>
  <c r="BE80" i="7"/>
  <c r="BE78" i="7"/>
  <c r="BE73" i="7"/>
  <c r="BE69" i="7"/>
  <c r="BE66" i="7"/>
  <c r="BE64" i="7"/>
  <c r="BE62" i="7"/>
  <c r="BE60" i="7"/>
  <c r="BE58" i="7"/>
  <c r="BE56" i="7"/>
  <c r="BE98" i="7"/>
  <c r="BE84" i="7"/>
  <c r="BE70" i="7"/>
  <c r="BE67" i="7"/>
  <c r="BE71" i="7"/>
  <c r="BE59" i="7"/>
  <c r="BE72" i="7"/>
  <c r="BE63" i="7"/>
  <c r="BE61" i="7"/>
  <c r="BE55" i="7"/>
  <c r="BE75" i="7"/>
  <c r="BE74" i="7"/>
  <c r="BE82" i="7"/>
  <c r="BE57" i="7"/>
  <c r="BE68" i="7"/>
  <c r="BE65" i="7"/>
  <c r="BF5" i="7"/>
  <c r="X44" i="5"/>
  <c r="X183" i="5"/>
  <c r="X184" i="5"/>
  <c r="W56" i="5"/>
  <c r="W54" i="5" s="1"/>
  <c r="W68" i="5" s="1"/>
  <c r="W210" i="5" l="1"/>
  <c r="W202" i="5"/>
  <c r="S130" i="5"/>
  <c r="S150" i="5"/>
  <c r="T32" i="5"/>
  <c r="V62" i="5"/>
  <c r="N119" i="5"/>
  <c r="N133" i="5" s="1"/>
  <c r="N134" i="5" s="1"/>
  <c r="N171" i="5" s="1" a="1"/>
  <c r="N171" i="5" s="1"/>
  <c r="N159" i="5"/>
  <c r="N168" i="5" s="1"/>
  <c r="N169" i="5" s="1"/>
  <c r="N139" i="5"/>
  <c r="N153" i="5" s="1"/>
  <c r="N154" i="5" s="1"/>
  <c r="N38" i="5" a="1"/>
  <c r="N38" i="5" s="1"/>
  <c r="N40" i="5" s="1"/>
  <c r="N37" i="5"/>
  <c r="O44" i="5"/>
  <c r="O21" i="5"/>
  <c r="O141" i="5"/>
  <c r="O161" i="5"/>
  <c r="O121" i="5"/>
  <c r="P23" i="5"/>
  <c r="V177" i="5"/>
  <c r="V175" i="5"/>
  <c r="V176" i="5"/>
  <c r="U176" i="5"/>
  <c r="U177" i="5"/>
  <c r="U175" i="5"/>
  <c r="W5" i="6"/>
  <c r="X4" i="6"/>
  <c r="U4" i="7"/>
  <c r="U3" i="7" s="1"/>
  <c r="W39" i="5"/>
  <c r="X197" i="5" s="1"/>
  <c r="X201" i="5" s="1"/>
  <c r="W177" i="5"/>
  <c r="W62" i="5"/>
  <c r="W175" i="5" s="1"/>
  <c r="S131" i="5"/>
  <c r="S151" i="5"/>
  <c r="T33" i="5"/>
  <c r="M211" i="5"/>
  <c r="N209" i="5"/>
  <c r="Y44" i="5"/>
  <c r="Y183" i="5"/>
  <c r="Y184" i="5"/>
  <c r="W40" i="5"/>
  <c r="R127" i="5"/>
  <c r="R147" i="5"/>
  <c r="S29" i="5"/>
  <c r="W84" i="5"/>
  <c r="W83" i="5" s="1"/>
  <c r="X37" i="5"/>
  <c r="M40" i="5"/>
  <c r="M39" i="5"/>
  <c r="N197" i="5" s="1"/>
  <c r="N201" i="5" s="1"/>
  <c r="M48" i="5"/>
  <c r="N51" i="5"/>
  <c r="L65" i="5"/>
  <c r="Y56" i="5"/>
  <c r="Y54" i="5" s="1"/>
  <c r="Y68" i="5" s="1"/>
  <c r="X91" i="5"/>
  <c r="X51" i="5"/>
  <c r="X52" i="5"/>
  <c r="X67" i="5" s="1"/>
  <c r="BE24" i="7" a="1"/>
  <c r="BE24" i="7" s="1"/>
  <c r="BE26" i="7" a="1"/>
  <c r="BE26" i="7" s="1"/>
  <c r="BE25" i="7" a="1"/>
  <c r="BE25" i="7" s="1"/>
  <c r="BE23" i="7" a="1"/>
  <c r="BE23" i="7" s="1"/>
  <c r="BE15" i="7" a="1"/>
  <c r="BE15" i="7" s="1"/>
  <c r="BE27" i="7" a="1"/>
  <c r="BE27" i="7" s="1"/>
  <c r="BE21" i="7" a="1"/>
  <c r="BE21" i="7" s="1"/>
  <c r="BE17" i="7" a="1"/>
  <c r="BE17" i="7" s="1"/>
  <c r="BF114" i="7"/>
  <c r="BF111" i="7"/>
  <c r="BF108" i="7"/>
  <c r="BF103" i="7"/>
  <c r="BF100" i="7"/>
  <c r="BF95" i="7"/>
  <c r="BF92" i="7"/>
  <c r="BF89" i="7"/>
  <c r="BF113" i="7"/>
  <c r="BF110" i="7"/>
  <c r="BF105" i="7"/>
  <c r="BF112" i="7"/>
  <c r="BF107" i="7"/>
  <c r="BF104" i="7"/>
  <c r="BF109" i="7"/>
  <c r="BF106" i="7"/>
  <c r="BF101" i="7"/>
  <c r="BF98" i="7"/>
  <c r="BF93" i="7"/>
  <c r="BF90" i="7"/>
  <c r="BF97" i="7"/>
  <c r="BF86" i="7"/>
  <c r="BF80" i="7"/>
  <c r="BF79" i="7"/>
  <c r="BF96" i="7"/>
  <c r="BF88" i="7"/>
  <c r="BF94" i="7"/>
  <c r="BF76" i="7"/>
  <c r="BF87" i="7"/>
  <c r="BF77" i="7"/>
  <c r="BF78" i="7"/>
  <c r="BF83" i="7"/>
  <c r="BF82" i="7"/>
  <c r="BF81" i="7"/>
  <c r="BF75" i="7"/>
  <c r="BF74" i="7"/>
  <c r="BF70" i="7"/>
  <c r="BF68" i="7"/>
  <c r="BF66" i="7"/>
  <c r="BF91" i="7"/>
  <c r="BF73" i="7"/>
  <c r="BF69" i="7"/>
  <c r="BF64" i="7"/>
  <c r="BF62" i="7"/>
  <c r="BF60" i="7"/>
  <c r="BF58" i="7"/>
  <c r="BF56" i="7"/>
  <c r="BF84" i="7"/>
  <c r="BF71" i="7"/>
  <c r="BF99" i="7"/>
  <c r="BF85" i="7"/>
  <c r="BF72" i="7"/>
  <c r="BF63" i="7"/>
  <c r="BF61" i="7"/>
  <c r="BF102" i="7"/>
  <c r="BF55" i="7"/>
  <c r="BF67" i="7"/>
  <c r="BF65" i="7"/>
  <c r="BF59" i="7"/>
  <c r="BF57" i="7"/>
  <c r="BG5" i="7"/>
  <c r="P123" i="5"/>
  <c r="P163" i="5"/>
  <c r="P143" i="5"/>
  <c r="Q25" i="5"/>
  <c r="T54" i="5"/>
  <c r="S129" i="5"/>
  <c r="S149" i="5"/>
  <c r="T31" i="5"/>
  <c r="Q145" i="5"/>
  <c r="Q165" i="5"/>
  <c r="Q125" i="5"/>
  <c r="Q70" i="5"/>
  <c r="R27" i="5"/>
  <c r="Y167" i="5"/>
  <c r="Y165" i="5"/>
  <c r="Y164" i="5"/>
  <c r="Y185" i="5"/>
  <c r="Z181" i="5" s="1"/>
  <c r="Y161" i="5"/>
  <c r="Y151" i="5"/>
  <c r="Y148" i="5"/>
  <c r="Y146" i="5"/>
  <c r="Y144" i="5"/>
  <c r="Y142" i="5"/>
  <c r="Y140" i="5"/>
  <c r="Y138" i="5"/>
  <c r="Y166" i="5"/>
  <c r="Y168" i="5"/>
  <c r="Y132" i="5"/>
  <c r="Y130" i="5"/>
  <c r="Y128" i="5"/>
  <c r="Y126" i="5"/>
  <c r="Y124" i="5"/>
  <c r="Y122" i="5"/>
  <c r="Y120" i="5"/>
  <c r="Y118" i="5"/>
  <c r="Y59" i="5"/>
  <c r="Y162" i="5"/>
  <c r="Y158" i="5"/>
  <c r="Y147" i="5"/>
  <c r="Y43" i="5"/>
  <c r="Y163" i="5"/>
  <c r="Y154" i="5"/>
  <c r="Y150" i="5"/>
  <c r="Y134" i="5"/>
  <c r="Y171" i="5" s="1" a="1"/>
  <c r="Y171" i="5" s="1"/>
  <c r="Y94" i="5"/>
  <c r="Y92" i="5"/>
  <c r="Y88" i="5"/>
  <c r="Y87" i="5" s="1"/>
  <c r="Y149" i="5"/>
  <c r="Y145" i="5"/>
  <c r="Y123" i="5"/>
  <c r="Y152" i="5"/>
  <c r="Y133" i="5"/>
  <c r="Y141" i="5"/>
  <c r="Y21" i="5"/>
  <c r="Y19" i="5"/>
  <c r="Y12" i="5"/>
  <c r="Y160" i="5"/>
  <c r="Y93" i="5"/>
  <c r="Y81" i="5"/>
  <c r="Y33" i="5"/>
  <c r="Y31" i="5"/>
  <c r="Y29" i="5"/>
  <c r="Y27" i="5"/>
  <c r="Y153" i="5"/>
  <c r="Y139" i="5"/>
  <c r="Y159" i="5"/>
  <c r="Y169" i="5"/>
  <c r="Y143" i="5"/>
  <c r="Y119" i="5"/>
  <c r="Y72" i="5"/>
  <c r="Y71" i="5"/>
  <c r="Y69" i="5"/>
  <c r="Y23" i="5"/>
  <c r="Y125" i="5"/>
  <c r="Y70" i="5"/>
  <c r="Y28" i="5"/>
  <c r="Y13" i="5"/>
  <c r="Y190" i="5" s="1"/>
  <c r="Y10" i="5"/>
  <c r="Y26" i="5"/>
  <c r="Y129" i="5"/>
  <c r="Y127" i="5"/>
  <c r="Y95" i="5"/>
  <c r="Y30" i="5"/>
  <c r="Y25" i="5"/>
  <c r="Y16" i="5"/>
  <c r="Y121" i="5"/>
  <c r="Y24" i="5"/>
  <c r="Y11" i="5"/>
  <c r="Y22" i="5"/>
  <c r="Y131" i="5"/>
  <c r="Y32" i="5"/>
  <c r="Y14" i="5"/>
  <c r="Y20" i="5"/>
  <c r="Z4" i="5"/>
  <c r="Y5" i="5"/>
  <c r="W209" i="5"/>
  <c r="V211" i="5"/>
  <c r="X210" i="5" l="1"/>
  <c r="X202" i="5"/>
  <c r="N210" i="5"/>
  <c r="N202" i="5"/>
  <c r="O140" i="5"/>
  <c r="O153" i="5" s="1"/>
  <c r="O154" i="5" s="1"/>
  <c r="O160" i="5"/>
  <c r="O168" i="5" s="1"/>
  <c r="O169" i="5" s="1"/>
  <c r="O120" i="5"/>
  <c r="O133" i="5" s="1"/>
  <c r="O134" i="5" s="1"/>
  <c r="O171" i="5" s="1" a="1"/>
  <c r="O171" i="5" s="1"/>
  <c r="P22" i="5"/>
  <c r="O37" i="5"/>
  <c r="O38" i="5" a="1"/>
  <c r="O38" i="5" s="1"/>
  <c r="R166" i="5"/>
  <c r="S167" i="5" s="1"/>
  <c r="R146" i="5"/>
  <c r="R126" i="5"/>
  <c r="S28" i="5"/>
  <c r="Z169" i="5"/>
  <c r="Z167" i="5"/>
  <c r="Z165" i="5"/>
  <c r="Z163" i="5"/>
  <c r="Z161" i="5"/>
  <c r="Z159" i="5"/>
  <c r="Z154" i="5"/>
  <c r="Z152" i="5"/>
  <c r="Z150" i="5"/>
  <c r="Z166" i="5"/>
  <c r="Z149" i="5"/>
  <c r="Z162" i="5"/>
  <c r="Z158" i="5"/>
  <c r="Z151" i="5"/>
  <c r="Z147" i="5"/>
  <c r="Z140" i="5"/>
  <c r="Z43" i="5"/>
  <c r="Z164" i="5"/>
  <c r="Z145" i="5"/>
  <c r="Z138" i="5"/>
  <c r="Z95" i="5"/>
  <c r="Z93" i="5"/>
  <c r="Z185" i="5"/>
  <c r="AA181" i="5" s="1"/>
  <c r="Z144" i="5"/>
  <c r="Z146" i="5"/>
  <c r="Z133" i="5"/>
  <c r="Z120" i="5"/>
  <c r="Z81" i="5"/>
  <c r="Z69" i="5"/>
  <c r="Z143" i="5"/>
  <c r="Z130" i="5"/>
  <c r="Z127" i="5"/>
  <c r="Z160" i="5"/>
  <c r="Z132" i="5"/>
  <c r="Z128" i="5"/>
  <c r="Z124" i="5"/>
  <c r="Z94" i="5"/>
  <c r="Z33" i="5"/>
  <c r="Z31" i="5"/>
  <c r="Z29" i="5"/>
  <c r="Z27" i="5"/>
  <c r="Z25" i="5"/>
  <c r="Z23" i="5"/>
  <c r="Z153" i="5"/>
  <c r="Z139" i="5"/>
  <c r="Z126" i="5"/>
  <c r="Z122" i="5"/>
  <c r="Z118" i="5"/>
  <c r="Z134" i="5"/>
  <c r="Z171" i="5" s="1" a="1"/>
  <c r="Z171" i="5" s="1"/>
  <c r="Z168" i="5"/>
  <c r="Z148" i="5"/>
  <c r="Z59" i="5"/>
  <c r="Z142" i="5"/>
  <c r="Z125" i="5"/>
  <c r="Z92" i="5"/>
  <c r="Z91" i="5" s="1"/>
  <c r="Z70" i="5"/>
  <c r="Z28" i="5"/>
  <c r="Z19" i="5"/>
  <c r="Z13" i="5"/>
  <c r="Z190" i="5" s="1"/>
  <c r="Z10" i="5"/>
  <c r="Z32" i="5"/>
  <c r="Z26" i="5"/>
  <c r="Z129" i="5"/>
  <c r="Z119" i="5"/>
  <c r="Z88" i="5"/>
  <c r="Z87" i="5" s="1"/>
  <c r="Z14" i="5"/>
  <c r="Z123" i="5"/>
  <c r="Z141" i="5"/>
  <c r="Z131" i="5"/>
  <c r="Z121" i="5"/>
  <c r="Z12" i="5"/>
  <c r="Z22" i="5"/>
  <c r="Z21" i="5"/>
  <c r="AA4" i="5"/>
  <c r="Z30" i="5"/>
  <c r="Z16" i="5"/>
  <c r="Z71" i="5"/>
  <c r="Z24" i="5"/>
  <c r="Z20" i="5"/>
  <c r="Z11" i="5"/>
  <c r="Z72" i="5"/>
  <c r="Z5" i="5"/>
  <c r="X66" i="5"/>
  <c r="X65" i="5" s="1"/>
  <c r="X63" i="5" s="1"/>
  <c r="X50" i="5"/>
  <c r="X48" i="5" s="1"/>
  <c r="T152" i="5"/>
  <c r="T132" i="5"/>
  <c r="Z56" i="5"/>
  <c r="Y91" i="5"/>
  <c r="T150" i="5"/>
  <c r="T130" i="5"/>
  <c r="BF21" i="7" a="1"/>
  <c r="BF21" i="7" s="1"/>
  <c r="BF24" i="7" a="1"/>
  <c r="BF24" i="7" s="1"/>
  <c r="BF25" i="7" a="1"/>
  <c r="BF25" i="7" s="1"/>
  <c r="BF23" i="7" a="1"/>
  <c r="BF23" i="7" s="1"/>
  <c r="BF27" i="7" a="1"/>
  <c r="BF27" i="7" s="1"/>
  <c r="BF26" i="7" a="1"/>
  <c r="BF26" i="7" s="1"/>
  <c r="BF17" i="7" a="1"/>
  <c r="BF17" i="7" s="1"/>
  <c r="BF15" i="7" a="1"/>
  <c r="BF15" i="7" s="1"/>
  <c r="M72" i="5"/>
  <c r="M71" i="5"/>
  <c r="O51" i="5"/>
  <c r="T151" i="5"/>
  <c r="T131" i="5"/>
  <c r="P69" i="5"/>
  <c r="P122" i="5"/>
  <c r="P142" i="5"/>
  <c r="P162" i="5"/>
  <c r="Q24" i="5"/>
  <c r="O197" i="5"/>
  <c r="O201" i="5" s="1"/>
  <c r="N39" i="5"/>
  <c r="N43" i="5"/>
  <c r="W211" i="5"/>
  <c r="X209" i="5"/>
  <c r="Y38" i="5" a="1"/>
  <c r="Y38" i="5" s="1"/>
  <c r="Y40" i="5" s="1"/>
  <c r="Y197" i="5"/>
  <c r="Y201" i="5" s="1"/>
  <c r="X39" i="5"/>
  <c r="X5" i="6"/>
  <c r="V4" i="7"/>
  <c r="V3" i="7" s="1"/>
  <c r="Y4" i="6"/>
  <c r="BG114" i="7"/>
  <c r="BG89" i="7"/>
  <c r="BG113" i="7"/>
  <c r="BG110" i="7"/>
  <c r="BG105" i="7"/>
  <c r="BG102" i="7"/>
  <c r="BG97" i="7"/>
  <c r="BG94" i="7"/>
  <c r="BG88" i="7"/>
  <c r="BG112" i="7"/>
  <c r="BG107" i="7"/>
  <c r="BG104" i="7"/>
  <c r="BG85" i="7"/>
  <c r="BG83" i="7"/>
  <c r="BG81" i="7"/>
  <c r="BG86" i="7"/>
  <c r="BG80" i="7"/>
  <c r="BG79" i="7"/>
  <c r="BG91" i="7"/>
  <c r="BG84" i="7"/>
  <c r="BG82" i="7"/>
  <c r="BG95" i="7"/>
  <c r="BG92" i="7"/>
  <c r="BG101" i="7"/>
  <c r="BG98" i="7"/>
  <c r="BG99" i="7"/>
  <c r="BG93" i="7"/>
  <c r="BG90" i="7"/>
  <c r="BG77" i="7"/>
  <c r="BG75" i="7"/>
  <c r="BG73" i="7"/>
  <c r="BG71" i="7"/>
  <c r="BG87" i="7"/>
  <c r="BG106" i="7"/>
  <c r="BG96" i="7"/>
  <c r="BG78" i="7"/>
  <c r="BG69" i="7"/>
  <c r="BG67" i="7"/>
  <c r="BG109" i="7"/>
  <c r="BG66" i="7"/>
  <c r="BG103" i="7"/>
  <c r="BG76" i="7"/>
  <c r="BG72" i="7"/>
  <c r="BG100" i="7"/>
  <c r="BG111" i="7"/>
  <c r="BG108" i="7"/>
  <c r="BG74" i="7"/>
  <c r="BG62" i="7"/>
  <c r="BG55" i="7"/>
  <c r="BG70" i="7"/>
  <c r="BG56" i="7"/>
  <c r="BG68" i="7"/>
  <c r="BG57" i="7"/>
  <c r="BG64" i="7"/>
  <c r="BG59" i="7"/>
  <c r="BG61" i="7"/>
  <c r="BG63" i="7"/>
  <c r="BG60" i="7"/>
  <c r="BG65" i="7"/>
  <c r="BG58" i="7"/>
  <c r="BH5" i="7"/>
  <c r="Y51" i="5"/>
  <c r="Y52" i="5"/>
  <c r="Y67" i="5" s="1"/>
  <c r="W176" i="5"/>
  <c r="X84" i="5"/>
  <c r="X83" i="5" s="1"/>
  <c r="T68" i="5"/>
  <c r="L63" i="5"/>
  <c r="L62" i="5" s="1"/>
  <c r="X40" i="5"/>
  <c r="Y37" i="5"/>
  <c r="Z44" i="5"/>
  <c r="Z184" i="5"/>
  <c r="Z183" i="5"/>
  <c r="Q144" i="5"/>
  <c r="Q124" i="5"/>
  <c r="Q164" i="5"/>
  <c r="R26" i="5"/>
  <c r="N66" i="5"/>
  <c r="S148" i="5"/>
  <c r="S128" i="5"/>
  <c r="T30" i="5"/>
  <c r="BH114" i="7" l="1"/>
  <c r="BH112" i="7"/>
  <c r="BH110" i="7"/>
  <c r="BH108" i="7"/>
  <c r="BH106" i="7"/>
  <c r="BH104" i="7"/>
  <c r="BH102" i="7"/>
  <c r="BH100" i="7"/>
  <c r="BH98" i="7"/>
  <c r="BH96" i="7"/>
  <c r="BH94" i="7"/>
  <c r="BH92" i="7"/>
  <c r="BH90" i="7"/>
  <c r="BH88" i="7"/>
  <c r="BH113" i="7"/>
  <c r="BH111" i="7"/>
  <c r="BH109" i="7"/>
  <c r="BH107" i="7"/>
  <c r="BH105" i="7"/>
  <c r="BH103" i="7"/>
  <c r="BH101" i="7"/>
  <c r="BH99" i="7"/>
  <c r="BH97" i="7"/>
  <c r="BH95" i="7"/>
  <c r="BH93" i="7"/>
  <c r="BH91" i="7"/>
  <c r="BH89" i="7"/>
  <c r="BH87" i="7"/>
  <c r="BH86" i="7"/>
  <c r="BH84" i="7"/>
  <c r="BH82" i="7"/>
  <c r="BH80" i="7"/>
  <c r="BH81" i="7"/>
  <c r="BH78" i="7"/>
  <c r="BH77" i="7"/>
  <c r="BH69" i="7"/>
  <c r="BH67" i="7"/>
  <c r="BH71" i="7"/>
  <c r="BH76" i="7"/>
  <c r="BH72" i="7"/>
  <c r="BH85" i="7"/>
  <c r="BH83" i="7"/>
  <c r="BH79" i="7"/>
  <c r="BH64" i="7"/>
  <c r="BH62" i="7"/>
  <c r="BH60" i="7"/>
  <c r="BH58" i="7"/>
  <c r="BH56" i="7"/>
  <c r="BH73" i="7"/>
  <c r="BH66" i="7"/>
  <c r="BH70" i="7"/>
  <c r="BH75" i="7"/>
  <c r="BH74" i="7"/>
  <c r="BH68" i="7"/>
  <c r="BH57" i="7"/>
  <c r="BH65" i="7"/>
  <c r="BH63" i="7"/>
  <c r="BH61" i="7"/>
  <c r="BH59" i="7"/>
  <c r="BH55" i="7"/>
  <c r="BI5" i="7"/>
  <c r="Y5" i="6"/>
  <c r="Z4" i="6"/>
  <c r="W4" i="7"/>
  <c r="W3" i="7" s="1"/>
  <c r="Q163" i="5"/>
  <c r="Q143" i="5"/>
  <c r="Q123" i="5"/>
  <c r="R25" i="5"/>
  <c r="Z51" i="5"/>
  <c r="Z52" i="5"/>
  <c r="Z67" i="5" s="1"/>
  <c r="T149" i="5"/>
  <c r="T129" i="5"/>
  <c r="Y39" i="5"/>
  <c r="Z197" i="5" s="1"/>
  <c r="Z201" i="5" s="1"/>
  <c r="Y84" i="5"/>
  <c r="Y83" i="5" s="1"/>
  <c r="X62" i="5"/>
  <c r="X177" i="5" s="1"/>
  <c r="AA44" i="5"/>
  <c r="S147" i="5"/>
  <c r="S127" i="5"/>
  <c r="T29" i="5"/>
  <c r="X211" i="5"/>
  <c r="Y209" i="5"/>
  <c r="R145" i="5"/>
  <c r="R70" i="5"/>
  <c r="R165" i="5"/>
  <c r="R125" i="5"/>
  <c r="S27" i="5"/>
  <c r="L175" i="5"/>
  <c r="L176" i="5"/>
  <c r="L177" i="5"/>
  <c r="BG23" i="7" a="1"/>
  <c r="BG23" i="7" s="1"/>
  <c r="BG27" i="7" a="1"/>
  <c r="BG27" i="7" s="1"/>
  <c r="BG21" i="7" a="1"/>
  <c r="BG21" i="7" s="1"/>
  <c r="BG24" i="7" a="1"/>
  <c r="BG24" i="7" s="1"/>
  <c r="BG17" i="7" a="1"/>
  <c r="BG17" i="7" s="1"/>
  <c r="BG26" i="7" a="1"/>
  <c r="BG26" i="7" s="1"/>
  <c r="BG25" i="7" a="1"/>
  <c r="BG25" i="7" s="1"/>
  <c r="BG15" i="7" a="1"/>
  <c r="BG15" i="7" s="1"/>
  <c r="N52" i="5"/>
  <c r="O66" i="5"/>
  <c r="O33" i="4"/>
  <c r="Z54" i="5"/>
  <c r="O40" i="5"/>
  <c r="O209" i="5"/>
  <c r="N211" i="5"/>
  <c r="AA183" i="5"/>
  <c r="AA184" i="5"/>
  <c r="O39" i="5"/>
  <c r="P197" i="5" s="1"/>
  <c r="P201" i="5" s="1"/>
  <c r="O84" i="5"/>
  <c r="O83" i="5" s="1"/>
  <c r="Y210" i="5"/>
  <c r="Y202" i="5"/>
  <c r="O43" i="5"/>
  <c r="P161" i="5"/>
  <c r="P168" i="5" s="1"/>
  <c r="P169" i="5" s="1"/>
  <c r="P121" i="5"/>
  <c r="P133" i="5" s="1"/>
  <c r="P134" i="5" s="1"/>
  <c r="P171" i="5" s="1" a="1"/>
  <c r="P171" i="5" s="1"/>
  <c r="P141" i="5"/>
  <c r="P153" i="5" s="1"/>
  <c r="P154" i="5" s="1"/>
  <c r="Q23" i="5"/>
  <c r="P37" i="5"/>
  <c r="P38" i="5" a="1"/>
  <c r="P38" i="5" s="1"/>
  <c r="P40" i="5" s="1"/>
  <c r="Y50" i="5"/>
  <c r="Y48" i="5" s="1"/>
  <c r="Y66" i="5"/>
  <c r="Y65" i="5" s="1"/>
  <c r="Y63" i="5" s="1"/>
  <c r="Y62" i="5" s="1"/>
  <c r="M65" i="5"/>
  <c r="O202" i="5"/>
  <c r="O210" i="5"/>
  <c r="Z37" i="5"/>
  <c r="AA165" i="5"/>
  <c r="AA163" i="5"/>
  <c r="AA169" i="5"/>
  <c r="AA159" i="5"/>
  <c r="AA167" i="5"/>
  <c r="AA166" i="5"/>
  <c r="AA164" i="5"/>
  <c r="AA145" i="5"/>
  <c r="AA138" i="5"/>
  <c r="AA95" i="5"/>
  <c r="AA93" i="5"/>
  <c r="AA152" i="5"/>
  <c r="AA143" i="5"/>
  <c r="AA71" i="5"/>
  <c r="AA69" i="5"/>
  <c r="AA168" i="5"/>
  <c r="AA161" i="5"/>
  <c r="AA142" i="5"/>
  <c r="AA132" i="5"/>
  <c r="AA130" i="5"/>
  <c r="AA128" i="5"/>
  <c r="AA126" i="5"/>
  <c r="AA124" i="5"/>
  <c r="AA122" i="5"/>
  <c r="AA120" i="5"/>
  <c r="AA118" i="5"/>
  <c r="AA162" i="5"/>
  <c r="AA154" i="5"/>
  <c r="AA127" i="5"/>
  <c r="AA94" i="5"/>
  <c r="AA160" i="5"/>
  <c r="AA144" i="5"/>
  <c r="AA121" i="5"/>
  <c r="AA185" i="5"/>
  <c r="AB181" i="5" s="1"/>
  <c r="AA149" i="5"/>
  <c r="AA153" i="5"/>
  <c r="AA147" i="5"/>
  <c r="AA140" i="5"/>
  <c r="AA139" i="5"/>
  <c r="AA81" i="5"/>
  <c r="AA14" i="5"/>
  <c r="AA10" i="5"/>
  <c r="AA92" i="5"/>
  <c r="AA134" i="5"/>
  <c r="AA171" i="5" s="1" a="1"/>
  <c r="AA171" i="5" s="1"/>
  <c r="AA148" i="5"/>
  <c r="AA133" i="5"/>
  <c r="AA158" i="5"/>
  <c r="AA150" i="5"/>
  <c r="AA141" i="5"/>
  <c r="AA43" i="5"/>
  <c r="AA26" i="5"/>
  <c r="AA29" i="5"/>
  <c r="AA24" i="5"/>
  <c r="AA20" i="5"/>
  <c r="AA11" i="5"/>
  <c r="AA129" i="5"/>
  <c r="AA119" i="5"/>
  <c r="AA88" i="5"/>
  <c r="AA87" i="5" s="1"/>
  <c r="AA59" i="5"/>
  <c r="AA32" i="5"/>
  <c r="AB4" i="5"/>
  <c r="AA123" i="5"/>
  <c r="AA33" i="5"/>
  <c r="AA131" i="5"/>
  <c r="AA72" i="5"/>
  <c r="AA21" i="5"/>
  <c r="AA70" i="5"/>
  <c r="AA30" i="5"/>
  <c r="AA16" i="5"/>
  <c r="AA56" i="5" s="1"/>
  <c r="AA23" i="5"/>
  <c r="AA27" i="5"/>
  <c r="AA12" i="5"/>
  <c r="AA151" i="5"/>
  <c r="AA25" i="5"/>
  <c r="AA31" i="5"/>
  <c r="AA28" i="5"/>
  <c r="AA19" i="5"/>
  <c r="AA13" i="5"/>
  <c r="AA190" i="5" s="1"/>
  <c r="AA146" i="5"/>
  <c r="AA125" i="5"/>
  <c r="AA22" i="5"/>
  <c r="AA5" i="5"/>
  <c r="Z38" i="5" a="1"/>
  <c r="Z38" i="5" s="1"/>
  <c r="P202" i="5" l="1"/>
  <c r="P210" i="5"/>
  <c r="AA54" i="5"/>
  <c r="Z202" i="5"/>
  <c r="Z210" i="5"/>
  <c r="AB184" i="5"/>
  <c r="AB183" i="5"/>
  <c r="Y211" i="5"/>
  <c r="Z209" i="5"/>
  <c r="S166" i="5"/>
  <c r="T167" i="5" s="1"/>
  <c r="S146" i="5"/>
  <c r="S126" i="5"/>
  <c r="T28" i="5"/>
  <c r="X176" i="5"/>
  <c r="Z5" i="6"/>
  <c r="AA4" i="6"/>
  <c r="X4" i="7"/>
  <c r="X3" i="7" s="1"/>
  <c r="N67" i="5"/>
  <c r="N50" i="5"/>
  <c r="AA51" i="5"/>
  <c r="AA52" i="5"/>
  <c r="AA67" i="5" s="1"/>
  <c r="R124" i="5"/>
  <c r="R164" i="5"/>
  <c r="R144" i="5"/>
  <c r="S26" i="5"/>
  <c r="BI114" i="7"/>
  <c r="BI112" i="7"/>
  <c r="BI110" i="7"/>
  <c r="BI108" i="7"/>
  <c r="BI106" i="7"/>
  <c r="BI104" i="7"/>
  <c r="BI102" i="7"/>
  <c r="BI100" i="7"/>
  <c r="BI98" i="7"/>
  <c r="BI96" i="7"/>
  <c r="BI94" i="7"/>
  <c r="BI92" i="7"/>
  <c r="BI90" i="7"/>
  <c r="BI88" i="7"/>
  <c r="BI113" i="7"/>
  <c r="BI105" i="7"/>
  <c r="BI97" i="7"/>
  <c r="BI86" i="7"/>
  <c r="BI84" i="7"/>
  <c r="BI82" i="7"/>
  <c r="BI80" i="7"/>
  <c r="BI107" i="7"/>
  <c r="BI109" i="7"/>
  <c r="BI111" i="7"/>
  <c r="BI103" i="7"/>
  <c r="BI95" i="7"/>
  <c r="BI91" i="7"/>
  <c r="BI81" i="7"/>
  <c r="BI78" i="7"/>
  <c r="BI87" i="7"/>
  <c r="BI85" i="7"/>
  <c r="BI83" i="7"/>
  <c r="BI101" i="7"/>
  <c r="BI79" i="7"/>
  <c r="BI93" i="7"/>
  <c r="BI89" i="7"/>
  <c r="BI71" i="7"/>
  <c r="BI72" i="7"/>
  <c r="BI76" i="7"/>
  <c r="BI65" i="7"/>
  <c r="BI63" i="7"/>
  <c r="BI61" i="7"/>
  <c r="BI59" i="7"/>
  <c r="BI57" i="7"/>
  <c r="BI55" i="7"/>
  <c r="BI75" i="7"/>
  <c r="BI99" i="7"/>
  <c r="BI73" i="7"/>
  <c r="BI66" i="7"/>
  <c r="BI70" i="7"/>
  <c r="BI56" i="7"/>
  <c r="BI74" i="7"/>
  <c r="BI69" i="7"/>
  <c r="BI68" i="7"/>
  <c r="BI67" i="7"/>
  <c r="BI58" i="7"/>
  <c r="BI60" i="7"/>
  <c r="BI77" i="7"/>
  <c r="BI62" i="7"/>
  <c r="BI64" i="7"/>
  <c r="P39" i="5"/>
  <c r="Q197" i="5" s="1"/>
  <c r="Q201" i="5" s="1"/>
  <c r="P84" i="5"/>
  <c r="P83" i="5" s="1"/>
  <c r="AB56" i="5"/>
  <c r="AB54" i="5" s="1"/>
  <c r="AB68" i="5" s="1"/>
  <c r="Z39" i="5"/>
  <c r="AA197" i="5" s="1"/>
  <c r="AA201" i="5" s="1"/>
  <c r="Z84" i="5"/>
  <c r="Z83" i="5" s="1"/>
  <c r="AB44" i="5"/>
  <c r="Z66" i="5"/>
  <c r="Z65" i="5" s="1"/>
  <c r="Z63" i="5" s="1"/>
  <c r="Z50" i="5"/>
  <c r="Z48" i="5" s="1"/>
  <c r="Z40" i="5"/>
  <c r="M63" i="5"/>
  <c r="M62" i="5" s="1"/>
  <c r="Z68" i="5"/>
  <c r="O52" i="5"/>
  <c r="Q142" i="5"/>
  <c r="Q153" i="5" s="1"/>
  <c r="Q154" i="5" s="1"/>
  <c r="Q162" i="5"/>
  <c r="Q168" i="5" s="1"/>
  <c r="Q169" i="5" s="1"/>
  <c r="Q122" i="5"/>
  <c r="Q133" i="5" s="1"/>
  <c r="Q134" i="5" s="1"/>
  <c r="Q171" i="5" s="1" a="1"/>
  <c r="Q171" i="5" s="1"/>
  <c r="Q69" i="5"/>
  <c r="R24" i="5"/>
  <c r="R69" i="5" s="1"/>
  <c r="Q38" i="5" a="1"/>
  <c r="Q38" i="5" s="1"/>
  <c r="Q37" i="5"/>
  <c r="Q43" i="5" s="1"/>
  <c r="P43" i="5"/>
  <c r="P52" i="5" s="1"/>
  <c r="BH26" i="7" a="1"/>
  <c r="BH26" i="7" s="1"/>
  <c r="BH25" i="7" a="1"/>
  <c r="BH25" i="7" s="1"/>
  <c r="BH23" i="7" a="1"/>
  <c r="BH23" i="7" s="1"/>
  <c r="BH15" i="7" a="1"/>
  <c r="BH15" i="7" s="1"/>
  <c r="BH27" i="7" a="1"/>
  <c r="BH27" i="7" s="1"/>
  <c r="BH21" i="7" a="1"/>
  <c r="BH21" i="7" s="1"/>
  <c r="BH17" i="7" a="1"/>
  <c r="BH17" i="7" s="1"/>
  <c r="BH24" i="7" a="1"/>
  <c r="BH24" i="7" s="1"/>
  <c r="AB163" i="5"/>
  <c r="AB185" i="5"/>
  <c r="AC181" i="5" s="1"/>
  <c r="AB168" i="5"/>
  <c r="AB167" i="5"/>
  <c r="AB165" i="5"/>
  <c r="AB164" i="5"/>
  <c r="AB154" i="5"/>
  <c r="AB152" i="5"/>
  <c r="AB143" i="5"/>
  <c r="AB71" i="5"/>
  <c r="AB69" i="5"/>
  <c r="AB159" i="5"/>
  <c r="AB141" i="5"/>
  <c r="AB133" i="5"/>
  <c r="AB131" i="5"/>
  <c r="AB129" i="5"/>
  <c r="AB127" i="5"/>
  <c r="AB125" i="5"/>
  <c r="AB123" i="5"/>
  <c r="AB121" i="5"/>
  <c r="AB119" i="5"/>
  <c r="AB169" i="5"/>
  <c r="AB162" i="5"/>
  <c r="AB158" i="5"/>
  <c r="AB151" i="5"/>
  <c r="AB147" i="5"/>
  <c r="AB140" i="5"/>
  <c r="AB160" i="5"/>
  <c r="AB144" i="5"/>
  <c r="AB130" i="5"/>
  <c r="AB72" i="5"/>
  <c r="AB124" i="5"/>
  <c r="AB149" i="5"/>
  <c r="AB126" i="5"/>
  <c r="AB122" i="5"/>
  <c r="AB118" i="5"/>
  <c r="AB93" i="5"/>
  <c r="AB92" i="5"/>
  <c r="AB138" i="5"/>
  <c r="AB134" i="5"/>
  <c r="AB171" i="5" s="1" a="1"/>
  <c r="AB171" i="5" s="1"/>
  <c r="AB120" i="5"/>
  <c r="AB70" i="5"/>
  <c r="AB148" i="5"/>
  <c r="AB166" i="5"/>
  <c r="AB146" i="5"/>
  <c r="AB142" i="5"/>
  <c r="AB33" i="5"/>
  <c r="AB31" i="5"/>
  <c r="AB29" i="5"/>
  <c r="AB27" i="5"/>
  <c r="AB25" i="5"/>
  <c r="AB23" i="5"/>
  <c r="AB161" i="5"/>
  <c r="AB88" i="5"/>
  <c r="AB87" i="5" s="1"/>
  <c r="AB59" i="5"/>
  <c r="AB32" i="5"/>
  <c r="AB81" i="5"/>
  <c r="AB24" i="5"/>
  <c r="AB20" i="5"/>
  <c r="AB14" i="5"/>
  <c r="AB11" i="5"/>
  <c r="AC4" i="5"/>
  <c r="AB43" i="5"/>
  <c r="AB22" i="5"/>
  <c r="AB139" i="5"/>
  <c r="AB150" i="5"/>
  <c r="AB128" i="5"/>
  <c r="AB95" i="5"/>
  <c r="AB145" i="5"/>
  <c r="AB132" i="5"/>
  <c r="AB153" i="5"/>
  <c r="AB28" i="5"/>
  <c r="AB19" i="5"/>
  <c r="AB13" i="5"/>
  <c r="AB190" i="5" s="1"/>
  <c r="AB12" i="5"/>
  <c r="AB21" i="5"/>
  <c r="AB94" i="5"/>
  <c r="AB26" i="5"/>
  <c r="AB10" i="5"/>
  <c r="AB30" i="5"/>
  <c r="AB16" i="5"/>
  <c r="AB5" i="5"/>
  <c r="AA38" i="5" a="1"/>
  <c r="AA38" i="5" s="1"/>
  <c r="AA40" i="5" s="1"/>
  <c r="O211" i="5"/>
  <c r="P209" i="5"/>
  <c r="T128" i="5"/>
  <c r="T148" i="5"/>
  <c r="X175" i="5"/>
  <c r="AA37" i="5"/>
  <c r="AA91" i="5"/>
  <c r="Y177" i="5"/>
  <c r="Y175" i="5"/>
  <c r="Y176" i="5"/>
  <c r="Q210" i="5" l="1"/>
  <c r="Q202" i="5"/>
  <c r="O30" i="4"/>
  <c r="O12" i="4" s="1"/>
  <c r="Q52" i="5"/>
  <c r="AA202" i="5"/>
  <c r="AA210" i="5"/>
  <c r="AB37" i="5"/>
  <c r="AB38" i="5" a="1"/>
  <c r="AB38" i="5" s="1"/>
  <c r="AB40" i="5" s="1"/>
  <c r="S145" i="5"/>
  <c r="S70" i="5"/>
  <c r="S165" i="5"/>
  <c r="S125" i="5"/>
  <c r="T27" i="5"/>
  <c r="AA209" i="5"/>
  <c r="Z211" i="5"/>
  <c r="AA39" i="5"/>
  <c r="AB197" i="5" s="1"/>
  <c r="AB201" i="5" s="1"/>
  <c r="AC56" i="5"/>
  <c r="AC44" i="5"/>
  <c r="O40" i="4"/>
  <c r="N48" i="5"/>
  <c r="AA68" i="5"/>
  <c r="Z177" i="5"/>
  <c r="P211" i="5"/>
  <c r="Q209" i="5"/>
  <c r="P67" i="5"/>
  <c r="P50" i="5"/>
  <c r="P48" i="5" s="1"/>
  <c r="Z62" i="5"/>
  <c r="Z176" i="5" s="1"/>
  <c r="AC185" i="5"/>
  <c r="AD181" i="5" s="1"/>
  <c r="AC168" i="5"/>
  <c r="AC166" i="5"/>
  <c r="AC165" i="5"/>
  <c r="AC162" i="5"/>
  <c r="AC152" i="5"/>
  <c r="AC147" i="5"/>
  <c r="AC145" i="5"/>
  <c r="AC143" i="5"/>
  <c r="AC141" i="5"/>
  <c r="AC139" i="5"/>
  <c r="AC134" i="5"/>
  <c r="AC171" i="5" s="1" a="1"/>
  <c r="AC171" i="5" s="1"/>
  <c r="AC159" i="5"/>
  <c r="AC133" i="5"/>
  <c r="AC131" i="5"/>
  <c r="AC129" i="5"/>
  <c r="AC127" i="5"/>
  <c r="AC125" i="5"/>
  <c r="AC123" i="5"/>
  <c r="AC121" i="5"/>
  <c r="AC119" i="5"/>
  <c r="AC160" i="5"/>
  <c r="AC153" i="5"/>
  <c r="AC149" i="5"/>
  <c r="AC148" i="5"/>
  <c r="AC138" i="5"/>
  <c r="AC95" i="5"/>
  <c r="P57" i="4" s="1"/>
  <c r="AC93" i="5"/>
  <c r="P55" i="4" s="1"/>
  <c r="AC124" i="5"/>
  <c r="AC150" i="5"/>
  <c r="AC142" i="5"/>
  <c r="AC118" i="5"/>
  <c r="AC154" i="5"/>
  <c r="AC164" i="5"/>
  <c r="AC120" i="5"/>
  <c r="AC70" i="5"/>
  <c r="AC22" i="5"/>
  <c r="AC20" i="5"/>
  <c r="AD4" i="5"/>
  <c r="AC88" i="5"/>
  <c r="AC87" i="5" s="1"/>
  <c r="P52" i="4" s="1"/>
  <c r="AC69" i="5"/>
  <c r="AC32" i="5"/>
  <c r="AC30" i="5"/>
  <c r="AC28" i="5"/>
  <c r="AC158" i="5"/>
  <c r="AC146" i="5"/>
  <c r="AC151" i="5"/>
  <c r="AC161" i="5"/>
  <c r="AC132" i="5"/>
  <c r="AC128" i="5"/>
  <c r="AC94" i="5"/>
  <c r="P56" i="4" s="1"/>
  <c r="AC81" i="5"/>
  <c r="AC130" i="5"/>
  <c r="AC24" i="5"/>
  <c r="AC14" i="5"/>
  <c r="AC11" i="5"/>
  <c r="AC16" i="5"/>
  <c r="AC169" i="5"/>
  <c r="AC43" i="5"/>
  <c r="AC29" i="5"/>
  <c r="AC144" i="5"/>
  <c r="AC33" i="5"/>
  <c r="AC140" i="5"/>
  <c r="AC122" i="5"/>
  <c r="AC167" i="5"/>
  <c r="AC126" i="5"/>
  <c r="AC71" i="5"/>
  <c r="AC31" i="5"/>
  <c r="AC26" i="5"/>
  <c r="AC23" i="5"/>
  <c r="AC10" i="5"/>
  <c r="AC27" i="5"/>
  <c r="AC21" i="5"/>
  <c r="AC25" i="5"/>
  <c r="AC92" i="5"/>
  <c r="AC72" i="5"/>
  <c r="AC19" i="5"/>
  <c r="AC38" i="5" s="1" a="1"/>
  <c r="AC38" i="5" s="1"/>
  <c r="AC13" i="5"/>
  <c r="AC190" i="5" s="1"/>
  <c r="AC59" i="5"/>
  <c r="AC163" i="5"/>
  <c r="AC12" i="5"/>
  <c r="AC5" i="5"/>
  <c r="Q39" i="5"/>
  <c r="R197" i="5" s="1"/>
  <c r="R201" i="5" s="1"/>
  <c r="Q84" i="5"/>
  <c r="AB51" i="5"/>
  <c r="AB52" i="5"/>
  <c r="AB67" i="5" s="1"/>
  <c r="BI25" i="7" a="1"/>
  <c r="BI25" i="7" s="1"/>
  <c r="BI24" i="7" a="1"/>
  <c r="BI24" i="7" s="1"/>
  <c r="BI27" i="7" a="1"/>
  <c r="BI27" i="7" s="1"/>
  <c r="BI21" i="7" a="1"/>
  <c r="BI21" i="7" s="1"/>
  <c r="BI26" i="7" a="1"/>
  <c r="BI26" i="7" s="1"/>
  <c r="BI17" i="7" a="1"/>
  <c r="BI17" i="7" s="1"/>
  <c r="BI15" i="7" a="1"/>
  <c r="BI15" i="7" s="1"/>
  <c r="BI23" i="7" a="1"/>
  <c r="BI23" i="7" s="1"/>
  <c r="Y4" i="7"/>
  <c r="Y3" i="7" s="1"/>
  <c r="AB4" i="6"/>
  <c r="AA5" i="6"/>
  <c r="O67" i="5"/>
  <c r="O50" i="5"/>
  <c r="M176" i="5"/>
  <c r="M177" i="5"/>
  <c r="M175" i="5"/>
  <c r="AC184" i="5"/>
  <c r="AC183" i="5"/>
  <c r="Q40" i="5"/>
  <c r="AA66" i="5"/>
  <c r="AA50" i="5"/>
  <c r="AA48" i="5" s="1"/>
  <c r="AB91" i="5"/>
  <c r="R163" i="5"/>
  <c r="R168" i="5" s="1"/>
  <c r="R169" i="5" s="1"/>
  <c r="R143" i="5"/>
  <c r="R153" i="5" s="1"/>
  <c r="R154" i="5" s="1"/>
  <c r="R123" i="5"/>
  <c r="R133" i="5" s="1"/>
  <c r="R134" i="5" s="1"/>
  <c r="R171" i="5" s="1" a="1"/>
  <c r="R171" i="5" s="1"/>
  <c r="S25" i="5"/>
  <c r="R37" i="5"/>
  <c r="R38" i="5" a="1"/>
  <c r="R38" i="5" s="1"/>
  <c r="S69" i="5"/>
  <c r="T127" i="5"/>
  <c r="T147" i="5"/>
  <c r="AA84" i="5"/>
  <c r="AA83" i="5" s="1"/>
  <c r="R202" i="5" l="1"/>
  <c r="R210" i="5"/>
  <c r="AB210" i="5"/>
  <c r="AB202" i="5"/>
  <c r="AC54" i="5"/>
  <c r="T166" i="5"/>
  <c r="T146" i="5"/>
  <c r="T126" i="5"/>
  <c r="R39" i="5"/>
  <c r="R84" i="5"/>
  <c r="S164" i="5"/>
  <c r="S168" i="5" s="1"/>
  <c r="S169" i="5" s="1"/>
  <c r="S124" i="5"/>
  <c r="S133" i="5" s="1"/>
  <c r="S134" i="5" s="1"/>
  <c r="S171" i="5" s="1" a="1"/>
  <c r="S171" i="5" s="1"/>
  <c r="S144" i="5"/>
  <c r="S153" i="5" s="1"/>
  <c r="S154" i="5" s="1"/>
  <c r="T26" i="5"/>
  <c r="S38" i="5" a="1"/>
  <c r="S38" i="5" s="1"/>
  <c r="S37" i="5"/>
  <c r="S43" i="5" s="1"/>
  <c r="S52" i="5" s="1"/>
  <c r="T69" i="5"/>
  <c r="AA175" i="5"/>
  <c r="O48" i="5"/>
  <c r="O17" i="4"/>
  <c r="Q67" i="5"/>
  <c r="Q50" i="5"/>
  <c r="O34" i="4"/>
  <c r="R43" i="5"/>
  <c r="AD44" i="5"/>
  <c r="AD51" i="5" s="1"/>
  <c r="AA65" i="5"/>
  <c r="AA63" i="5" s="1"/>
  <c r="AA62" i="5" s="1"/>
  <c r="AA177" i="5" s="1"/>
  <c r="AC91" i="5"/>
  <c r="P54" i="4"/>
  <c r="P71" i="5"/>
  <c r="P72" i="5"/>
  <c r="AB39" i="5"/>
  <c r="AC197" i="5" s="1"/>
  <c r="AC201" i="5" s="1"/>
  <c r="AB84" i="5"/>
  <c r="AB83" i="5" s="1"/>
  <c r="AB50" i="5"/>
  <c r="AB48" i="5" s="1"/>
  <c r="AB66" i="5"/>
  <c r="AB65" i="5" s="1"/>
  <c r="AB63" i="5" s="1"/>
  <c r="AB62" i="5" s="1"/>
  <c r="AC37" i="5"/>
  <c r="P65" i="5"/>
  <c r="P63" i="5" s="1"/>
  <c r="P62" i="5" s="1"/>
  <c r="P175" i="5" s="1"/>
  <c r="Z175" i="5"/>
  <c r="N71" i="5"/>
  <c r="N72" i="5"/>
  <c r="Q211" i="5"/>
  <c r="R209" i="5"/>
  <c r="P37" i="4"/>
  <c r="AA211" i="5"/>
  <c r="AB209" i="5"/>
  <c r="P39" i="4"/>
  <c r="AD184" i="5"/>
  <c r="AD183" i="5"/>
  <c r="R40" i="5"/>
  <c r="S197" i="5" s="1"/>
  <c r="S201" i="5" s="1"/>
  <c r="Z4" i="7"/>
  <c r="Z3" i="7" s="1"/>
  <c r="AC4" i="6"/>
  <c r="AB5" i="6"/>
  <c r="Q83" i="5"/>
  <c r="O50" i="4"/>
  <c r="AD168" i="5"/>
  <c r="AD166" i="5"/>
  <c r="AD164" i="5"/>
  <c r="AD162" i="5"/>
  <c r="AD160" i="5"/>
  <c r="AD158" i="5"/>
  <c r="AD153" i="5"/>
  <c r="AD151" i="5"/>
  <c r="AD149" i="5"/>
  <c r="AD185" i="5"/>
  <c r="AE181" i="5" s="1"/>
  <c r="AD150" i="5"/>
  <c r="AD148" i="5"/>
  <c r="AD141" i="5"/>
  <c r="AD146" i="5"/>
  <c r="AD139" i="5"/>
  <c r="AD94" i="5"/>
  <c r="AD92" i="5"/>
  <c r="AD88" i="5"/>
  <c r="AD87" i="5" s="1"/>
  <c r="AD81" i="5"/>
  <c r="AD167" i="5"/>
  <c r="AD145" i="5"/>
  <c r="AD152" i="5"/>
  <c r="AD143" i="5"/>
  <c r="AD142" i="5"/>
  <c r="AD121" i="5"/>
  <c r="AD118" i="5"/>
  <c r="AD70" i="5"/>
  <c r="AD165" i="5"/>
  <c r="AD131" i="5"/>
  <c r="AD128" i="5"/>
  <c r="AD95" i="5"/>
  <c r="AD138" i="5"/>
  <c r="AD134" i="5"/>
  <c r="AD171" i="5" s="1" a="1"/>
  <c r="AD171" i="5" s="1"/>
  <c r="AD69" i="5"/>
  <c r="AD32" i="5"/>
  <c r="AD30" i="5"/>
  <c r="AD28" i="5"/>
  <c r="AD26" i="5"/>
  <c r="AD24" i="5"/>
  <c r="AD16" i="5"/>
  <c r="AD11" i="5"/>
  <c r="AD72" i="5"/>
  <c r="AD71" i="5"/>
  <c r="AD159" i="5"/>
  <c r="AD133" i="5"/>
  <c r="AD169" i="5"/>
  <c r="AD163" i="5"/>
  <c r="AD144" i="5"/>
  <c r="AD154" i="5"/>
  <c r="AD140" i="5"/>
  <c r="AD130" i="5"/>
  <c r="AD126" i="5"/>
  <c r="AD122" i="5"/>
  <c r="AD129" i="5"/>
  <c r="AD119" i="5"/>
  <c r="AD43" i="5"/>
  <c r="AD29" i="5"/>
  <c r="AD20" i="5"/>
  <c r="AE4" i="5"/>
  <c r="AD124" i="5"/>
  <c r="AD22" i="5"/>
  <c r="AD33" i="5"/>
  <c r="AD147" i="5"/>
  <c r="AD123" i="5"/>
  <c r="AD93" i="5"/>
  <c r="AD132" i="5"/>
  <c r="AD127" i="5"/>
  <c r="AD125" i="5"/>
  <c r="AD59" i="5"/>
  <c r="AD161" i="5"/>
  <c r="AD19" i="5"/>
  <c r="AE44" i="5" s="1"/>
  <c r="AE51" i="5" s="1"/>
  <c r="AD13" i="5"/>
  <c r="AD190" i="5" s="1"/>
  <c r="AD23" i="5"/>
  <c r="AD14" i="5"/>
  <c r="AD120" i="5"/>
  <c r="AD25" i="5"/>
  <c r="AD31" i="5"/>
  <c r="AD10" i="5"/>
  <c r="AD27" i="5"/>
  <c r="AD21" i="5"/>
  <c r="AD5" i="5"/>
  <c r="AC52" i="5"/>
  <c r="AC67" i="5" s="1"/>
  <c r="AC51" i="5"/>
  <c r="S210" i="5" l="1"/>
  <c r="S202" i="5"/>
  <c r="S67" i="5"/>
  <c r="S50" i="5"/>
  <c r="S48" i="5" s="1"/>
  <c r="AC210" i="5"/>
  <c r="AC202" i="5"/>
  <c r="AE66" i="5"/>
  <c r="AD52" i="5"/>
  <c r="AD91" i="5"/>
  <c r="AA4" i="7"/>
  <c r="AA3" i="7" s="1"/>
  <c r="AD4" i="6"/>
  <c r="AC5" i="6"/>
  <c r="P176" i="5"/>
  <c r="AA176" i="5"/>
  <c r="R83" i="5"/>
  <c r="AD38" i="5" a="1"/>
  <c r="AD38" i="5" s="1"/>
  <c r="AD56" i="5"/>
  <c r="P177" i="5"/>
  <c r="S209" i="5"/>
  <c r="R211" i="5"/>
  <c r="O49" i="4"/>
  <c r="P53" i="4"/>
  <c r="AD66" i="5"/>
  <c r="AC50" i="5"/>
  <c r="AC48" i="5" s="1"/>
  <c r="AC66" i="5"/>
  <c r="AC65" i="5" s="1"/>
  <c r="AC63" i="5" s="1"/>
  <c r="AC62" i="5" s="1"/>
  <c r="P33" i="4"/>
  <c r="R52" i="5"/>
  <c r="T197" i="5"/>
  <c r="T201" i="5" s="1"/>
  <c r="S39" i="5"/>
  <c r="S84" i="5"/>
  <c r="S83" i="5" s="1"/>
  <c r="AE166" i="5"/>
  <c r="AE164" i="5"/>
  <c r="AE163" i="5"/>
  <c r="AE160" i="5"/>
  <c r="AE185" i="5"/>
  <c r="AF181" i="5" s="1"/>
  <c r="AE153" i="5"/>
  <c r="AE149" i="5"/>
  <c r="AE146" i="5"/>
  <c r="AE139" i="5"/>
  <c r="AE94" i="5"/>
  <c r="AE92" i="5"/>
  <c r="AE88" i="5"/>
  <c r="AE87" i="5" s="1"/>
  <c r="AE81" i="5"/>
  <c r="AE144" i="5"/>
  <c r="AE134" i="5"/>
  <c r="AE171" i="5" s="1" a="1"/>
  <c r="AE171" i="5" s="1"/>
  <c r="AE72" i="5"/>
  <c r="AE70" i="5"/>
  <c r="AE159" i="5"/>
  <c r="AE152" i="5"/>
  <c r="AE143" i="5"/>
  <c r="AE133" i="5"/>
  <c r="AE131" i="5"/>
  <c r="AE129" i="5"/>
  <c r="AE127" i="5"/>
  <c r="AE125" i="5"/>
  <c r="AE123" i="5"/>
  <c r="AE121" i="5"/>
  <c r="AE119" i="5"/>
  <c r="AE165" i="5"/>
  <c r="AE150" i="5"/>
  <c r="AE128" i="5"/>
  <c r="AE95" i="5"/>
  <c r="AE168" i="5"/>
  <c r="AE158" i="5"/>
  <c r="AE141" i="5"/>
  <c r="AE140" i="5"/>
  <c r="AE122" i="5"/>
  <c r="AE162" i="5"/>
  <c r="AE71" i="5"/>
  <c r="AE148" i="5"/>
  <c r="AE59" i="5"/>
  <c r="AE169" i="5"/>
  <c r="AE151" i="5"/>
  <c r="AE167" i="5"/>
  <c r="AE161" i="5"/>
  <c r="AE145" i="5"/>
  <c r="AE132" i="5"/>
  <c r="AE147" i="5"/>
  <c r="AE124" i="5"/>
  <c r="AE120" i="5"/>
  <c r="AE93" i="5"/>
  <c r="AE22" i="5"/>
  <c r="AE138" i="5"/>
  <c r="AE25" i="5"/>
  <c r="AE154" i="5"/>
  <c r="AE33" i="5"/>
  <c r="AE16" i="5"/>
  <c r="AE56" i="5" s="1"/>
  <c r="AE54" i="5" s="1"/>
  <c r="AE68" i="5" s="1"/>
  <c r="AE30" i="5"/>
  <c r="AE27" i="5"/>
  <c r="AE21" i="5"/>
  <c r="AE118" i="5"/>
  <c r="AE126" i="5"/>
  <c r="AE14" i="5"/>
  <c r="AE23" i="5"/>
  <c r="AE13" i="5"/>
  <c r="AE190" i="5" s="1"/>
  <c r="AE31" i="5"/>
  <c r="AE10" i="5"/>
  <c r="AE29" i="5"/>
  <c r="AE24" i="5"/>
  <c r="AE20" i="5"/>
  <c r="AE11" i="5"/>
  <c r="AF4" i="5"/>
  <c r="AE142" i="5"/>
  <c r="AE32" i="5"/>
  <c r="AE19" i="5"/>
  <c r="AE38" i="5" s="1" a="1"/>
  <c r="AE38" i="5" s="1"/>
  <c r="AE130" i="5"/>
  <c r="AE28" i="5"/>
  <c r="AE26" i="5"/>
  <c r="AE69" i="5"/>
  <c r="AE43" i="5"/>
  <c r="AE52" i="5" s="1"/>
  <c r="AE67" i="5" s="1"/>
  <c r="AE5" i="5"/>
  <c r="AB177" i="5"/>
  <c r="AB176" i="5"/>
  <c r="AB175" i="5"/>
  <c r="P40" i="4"/>
  <c r="S40" i="5"/>
  <c r="AD37" i="5"/>
  <c r="O72" i="5"/>
  <c r="O71" i="5"/>
  <c r="O65" i="5" s="1"/>
  <c r="O63" i="5" s="1"/>
  <c r="O62" i="5" s="1"/>
  <c r="O176" i="5" s="1"/>
  <c r="T165" i="5"/>
  <c r="T125" i="5"/>
  <c r="T133" i="5" s="1"/>
  <c r="T134" i="5" s="1"/>
  <c r="T171" i="5" s="1" a="1"/>
  <c r="T171" i="5" s="1"/>
  <c r="T70" i="5"/>
  <c r="T145" i="5"/>
  <c r="T37" i="5"/>
  <c r="T43" i="5" s="1"/>
  <c r="AC209" i="5"/>
  <c r="AB211" i="5"/>
  <c r="AE183" i="5"/>
  <c r="AE184" i="5"/>
  <c r="P16" i="4"/>
  <c r="N65" i="5"/>
  <c r="AD197" i="5"/>
  <c r="AD201" i="5" s="1"/>
  <c r="AC39" i="5"/>
  <c r="AC84" i="5"/>
  <c r="AC83" i="5" s="1"/>
  <c r="Q48" i="5"/>
  <c r="O32" i="4"/>
  <c r="AC68" i="5"/>
  <c r="P35" i="4"/>
  <c r="AC40" i="5"/>
  <c r="T52" i="5" l="1"/>
  <c r="P30" i="4"/>
  <c r="P12" i="4" s="1"/>
  <c r="AE40" i="5"/>
  <c r="AD209" i="5"/>
  <c r="AC211" i="5"/>
  <c r="P17" i="4"/>
  <c r="AE37" i="5"/>
  <c r="AE84" i="5" s="1"/>
  <c r="AE83" i="5" s="1"/>
  <c r="AE91" i="5"/>
  <c r="P22" i="4"/>
  <c r="AD210" i="5"/>
  <c r="AD202" i="5"/>
  <c r="N63" i="5"/>
  <c r="N62" i="5" s="1"/>
  <c r="AF164" i="5"/>
  <c r="AF169" i="5"/>
  <c r="AF185" i="5"/>
  <c r="AG181" i="5" s="1"/>
  <c r="AF168" i="5"/>
  <c r="AF158" i="5"/>
  <c r="AF160" i="5"/>
  <c r="AF144" i="5"/>
  <c r="AF134" i="5"/>
  <c r="AF171" i="5" s="1" a="1"/>
  <c r="AF171" i="5" s="1"/>
  <c r="AF72" i="5"/>
  <c r="AF70" i="5"/>
  <c r="AF165" i="5"/>
  <c r="AF161" i="5"/>
  <c r="AF154" i="5"/>
  <c r="AF150" i="5"/>
  <c r="AF142" i="5"/>
  <c r="AF132" i="5"/>
  <c r="AF130" i="5"/>
  <c r="AF128" i="5"/>
  <c r="AF126" i="5"/>
  <c r="AF124" i="5"/>
  <c r="AF122" i="5"/>
  <c r="AF120" i="5"/>
  <c r="AF118" i="5"/>
  <c r="AF59" i="5"/>
  <c r="AF166" i="5"/>
  <c r="AF148" i="5"/>
  <c r="AF141" i="5"/>
  <c r="AF140" i="5"/>
  <c r="AF131" i="5"/>
  <c r="AF92" i="5"/>
  <c r="AF125" i="5"/>
  <c r="AF152" i="5"/>
  <c r="AF88" i="5"/>
  <c r="AF87" i="5" s="1"/>
  <c r="AF13" i="5"/>
  <c r="AF190" i="5" s="1"/>
  <c r="AF159" i="5"/>
  <c r="AF133" i="5"/>
  <c r="AF129" i="5"/>
  <c r="AF95" i="5"/>
  <c r="AF43" i="5"/>
  <c r="AF52" i="5" s="1"/>
  <c r="AF67" i="5" s="1"/>
  <c r="AF151" i="5"/>
  <c r="AF146" i="5"/>
  <c r="AF167" i="5"/>
  <c r="AF163" i="5"/>
  <c r="AF145" i="5"/>
  <c r="AF162" i="5"/>
  <c r="AF153" i="5"/>
  <c r="AF139" i="5"/>
  <c r="AF138" i="5"/>
  <c r="AF69" i="5"/>
  <c r="AF32" i="5"/>
  <c r="AF30" i="5"/>
  <c r="AF28" i="5"/>
  <c r="AF26" i="5"/>
  <c r="AF24" i="5"/>
  <c r="AF149" i="5"/>
  <c r="AF81" i="5"/>
  <c r="AF33" i="5"/>
  <c r="AF22" i="5"/>
  <c r="AF16" i="5"/>
  <c r="AF19" i="5"/>
  <c r="AF147" i="5"/>
  <c r="AF143" i="5"/>
  <c r="AF123" i="5"/>
  <c r="AF27" i="5"/>
  <c r="AF25" i="5"/>
  <c r="AF21" i="5"/>
  <c r="AF93" i="5"/>
  <c r="AF127" i="5"/>
  <c r="AF121" i="5"/>
  <c r="AF94" i="5"/>
  <c r="AF29" i="5"/>
  <c r="AF20" i="5"/>
  <c r="AF11" i="5"/>
  <c r="AG4" i="5"/>
  <c r="AF71" i="5"/>
  <c r="AF14" i="5"/>
  <c r="AF10" i="5"/>
  <c r="AF31" i="5"/>
  <c r="AF119" i="5"/>
  <c r="AF23" i="5"/>
  <c r="AF5" i="5"/>
  <c r="AF56" i="5"/>
  <c r="AF54" i="5" s="1"/>
  <c r="AF68" i="5" s="1"/>
  <c r="O21" i="4"/>
  <c r="AD67" i="5"/>
  <c r="S72" i="5"/>
  <c r="S65" i="5" s="1"/>
  <c r="S63" i="5" s="1"/>
  <c r="S62" i="5" s="1"/>
  <c r="S71" i="5"/>
  <c r="O177" i="5"/>
  <c r="T210" i="5"/>
  <c r="T202" i="5"/>
  <c r="AE50" i="5"/>
  <c r="AE48" i="5" s="1"/>
  <c r="U197" i="5"/>
  <c r="U201" i="5" s="1"/>
  <c r="T39" i="5"/>
  <c r="T84" i="5"/>
  <c r="T83" i="5" s="1"/>
  <c r="T168" i="5"/>
  <c r="T169" i="5" s="1"/>
  <c r="T153" i="5"/>
  <c r="T154" i="5" s="1"/>
  <c r="T40" i="5"/>
  <c r="O14" i="4"/>
  <c r="O13" i="4" s="1"/>
  <c r="Q71" i="5"/>
  <c r="Q72" i="5"/>
  <c r="O31" i="4"/>
  <c r="O175" i="5"/>
  <c r="AC175" i="5"/>
  <c r="AC177" i="5"/>
  <c r="AC176" i="5"/>
  <c r="AE4" i="6"/>
  <c r="AD5" i="6"/>
  <c r="AB4" i="7"/>
  <c r="AB3" i="7" s="1"/>
  <c r="AE65" i="5"/>
  <c r="AE63" i="5" s="1"/>
  <c r="P15" i="4"/>
  <c r="AD54" i="5"/>
  <c r="AD40" i="5"/>
  <c r="S211" i="5"/>
  <c r="T209" i="5"/>
  <c r="AD39" i="5"/>
  <c r="AE197" i="5" s="1"/>
  <c r="AE201" i="5" s="1"/>
  <c r="AD84" i="5"/>
  <c r="AF44" i="5"/>
  <c r="AF51" i="5" s="1"/>
  <c r="AF184" i="5"/>
  <c r="AF183" i="5"/>
  <c r="R67" i="5"/>
  <c r="P34" i="4"/>
  <c r="R50" i="5"/>
  <c r="AD50" i="5"/>
  <c r="AE202" i="5" l="1"/>
  <c r="AE210" i="5"/>
  <c r="AD65" i="5"/>
  <c r="S177" i="5"/>
  <c r="S175" i="5"/>
  <c r="S176" i="5"/>
  <c r="AG44" i="5"/>
  <c r="AG51" i="5" s="1"/>
  <c r="Q65" i="5"/>
  <c r="AG169" i="5"/>
  <c r="AG167" i="5"/>
  <c r="AG166" i="5"/>
  <c r="AG153" i="5"/>
  <c r="AG148" i="5"/>
  <c r="AG146" i="5"/>
  <c r="AG144" i="5"/>
  <c r="AG142" i="5"/>
  <c r="AG140" i="5"/>
  <c r="AG138" i="5"/>
  <c r="AG165" i="5"/>
  <c r="AG161" i="5"/>
  <c r="AG154" i="5"/>
  <c r="AG150" i="5"/>
  <c r="AG132" i="5"/>
  <c r="AG130" i="5"/>
  <c r="AG128" i="5"/>
  <c r="AG126" i="5"/>
  <c r="AG124" i="5"/>
  <c r="AG122" i="5"/>
  <c r="AG120" i="5"/>
  <c r="AG118" i="5"/>
  <c r="AG59" i="5"/>
  <c r="AG43" i="5"/>
  <c r="AG52" i="5" s="1"/>
  <c r="AG185" i="5"/>
  <c r="AH181" i="5" s="1"/>
  <c r="AG164" i="5"/>
  <c r="AG149" i="5"/>
  <c r="AG139" i="5"/>
  <c r="AG94" i="5"/>
  <c r="AG92" i="5"/>
  <c r="AG88" i="5"/>
  <c r="AG87" i="5" s="1"/>
  <c r="AG168" i="5"/>
  <c r="AG158" i="5"/>
  <c r="AG141" i="5"/>
  <c r="AG125" i="5"/>
  <c r="AG119" i="5"/>
  <c r="AG160" i="5"/>
  <c r="AG159" i="5"/>
  <c r="AG133" i="5"/>
  <c r="AG129" i="5"/>
  <c r="AG95" i="5"/>
  <c r="AG72" i="5"/>
  <c r="AG21" i="5"/>
  <c r="AG19" i="5"/>
  <c r="AG38" i="5" s="1" a="1"/>
  <c r="AG38" i="5" s="1"/>
  <c r="AG152" i="5"/>
  <c r="AG151" i="5"/>
  <c r="AG131" i="5"/>
  <c r="AG127" i="5"/>
  <c r="AG123" i="5"/>
  <c r="AG33" i="5"/>
  <c r="AG31" i="5"/>
  <c r="AG29" i="5"/>
  <c r="AG27" i="5"/>
  <c r="AG163" i="5"/>
  <c r="AG145" i="5"/>
  <c r="AG162" i="5"/>
  <c r="AG147" i="5"/>
  <c r="AG143" i="5"/>
  <c r="AG71" i="5"/>
  <c r="AG25" i="5"/>
  <c r="AG93" i="5"/>
  <c r="AG30" i="5"/>
  <c r="AG23" i="5"/>
  <c r="AG13" i="5"/>
  <c r="AG190" i="5" s="1"/>
  <c r="AG10" i="5"/>
  <c r="AG121" i="5"/>
  <c r="AG134" i="5"/>
  <c r="AG171" i="5" s="1" a="1"/>
  <c r="AG171" i="5" s="1"/>
  <c r="AG70" i="5"/>
  <c r="AG69" i="5"/>
  <c r="AG32" i="5"/>
  <c r="AG24" i="5"/>
  <c r="AG14" i="5"/>
  <c r="AG28" i="5"/>
  <c r="AG26" i="5"/>
  <c r="AG20" i="5"/>
  <c r="AG11" i="5"/>
  <c r="AH4" i="5"/>
  <c r="AG81" i="5"/>
  <c r="AG22" i="5"/>
  <c r="AG16" i="5"/>
  <c r="AG5" i="5"/>
  <c r="AG56" i="5"/>
  <c r="AE175" i="5"/>
  <c r="AE177" i="5"/>
  <c r="AF37" i="5"/>
  <c r="AG183" i="5"/>
  <c r="AG184" i="5"/>
  <c r="P50" i="4"/>
  <c r="AE62" i="5"/>
  <c r="AE176" i="5" s="1"/>
  <c r="T67" i="5"/>
  <c r="T50" i="5"/>
  <c r="T48" i="5" s="1"/>
  <c r="U209" i="5"/>
  <c r="T211" i="5"/>
  <c r="AD48" i="5"/>
  <c r="R48" i="5"/>
  <c r="AF66" i="5"/>
  <c r="AF65" i="5" s="1"/>
  <c r="AF63" i="5" s="1"/>
  <c r="AF50" i="5"/>
  <c r="AF48" i="5" s="1"/>
  <c r="AD68" i="5"/>
  <c r="AE5" i="6"/>
  <c r="AC4" i="7"/>
  <c r="AC3" i="7" s="1"/>
  <c r="AF4" i="6"/>
  <c r="N177" i="5"/>
  <c r="N175" i="5"/>
  <c r="N176" i="5"/>
  <c r="AD83" i="5"/>
  <c r="AF38" i="5" a="1"/>
  <c r="AF38" i="5" s="1"/>
  <c r="AF40" i="5" s="1"/>
  <c r="AF91" i="5"/>
  <c r="AF197" i="5"/>
  <c r="AF201" i="5" s="1"/>
  <c r="AE39" i="5"/>
  <c r="U210" i="5"/>
  <c r="U202" i="5"/>
  <c r="AE209" i="5"/>
  <c r="AD211" i="5"/>
  <c r="AG67" i="5" l="1"/>
  <c r="AG50" i="5"/>
  <c r="AG66" i="5"/>
  <c r="AF210" i="5"/>
  <c r="AF202" i="5"/>
  <c r="P32" i="4"/>
  <c r="Q63" i="5"/>
  <c r="Q62" i="5" s="1"/>
  <c r="O44" i="4"/>
  <c r="P31" i="4"/>
  <c r="R71" i="5"/>
  <c r="R65" i="5" s="1"/>
  <c r="R72" i="5"/>
  <c r="AG197" i="5"/>
  <c r="AG201" i="5" s="1"/>
  <c r="AF39" i="5"/>
  <c r="AF84" i="5"/>
  <c r="AH169" i="5"/>
  <c r="AH167" i="5"/>
  <c r="AH165" i="5"/>
  <c r="AH163" i="5"/>
  <c r="AH161" i="5"/>
  <c r="AH159" i="5"/>
  <c r="AH154" i="5"/>
  <c r="AH152" i="5"/>
  <c r="AH150" i="5"/>
  <c r="AH164" i="5"/>
  <c r="AH151" i="5"/>
  <c r="AH142" i="5"/>
  <c r="AH43" i="5"/>
  <c r="AH185" i="5"/>
  <c r="AI181" i="5" s="1"/>
  <c r="AH147" i="5"/>
  <c r="AH140" i="5"/>
  <c r="AH95" i="5"/>
  <c r="AH93" i="5"/>
  <c r="AH160" i="5"/>
  <c r="AH153" i="5"/>
  <c r="AH146" i="5"/>
  <c r="AH134" i="5"/>
  <c r="AH171" i="5" s="1" a="1"/>
  <c r="AH171" i="5" s="1"/>
  <c r="AH122" i="5"/>
  <c r="AH119" i="5"/>
  <c r="AH71" i="5"/>
  <c r="AH166" i="5"/>
  <c r="AH139" i="5"/>
  <c r="AH138" i="5"/>
  <c r="AH132" i="5"/>
  <c r="AH129" i="5"/>
  <c r="AH168" i="5"/>
  <c r="AH158" i="5"/>
  <c r="AH148" i="5"/>
  <c r="AH131" i="5"/>
  <c r="AH127" i="5"/>
  <c r="AH123" i="5"/>
  <c r="AH59" i="5"/>
  <c r="AH33" i="5"/>
  <c r="AH31" i="5"/>
  <c r="AH29" i="5"/>
  <c r="AH27" i="5"/>
  <c r="AH25" i="5"/>
  <c r="AH23" i="5"/>
  <c r="AH145" i="5"/>
  <c r="AH125" i="5"/>
  <c r="AH121" i="5"/>
  <c r="AH162" i="5"/>
  <c r="AH144" i="5"/>
  <c r="AH143" i="5"/>
  <c r="AH149" i="5"/>
  <c r="AH118" i="5"/>
  <c r="AH92" i="5"/>
  <c r="AH70" i="5"/>
  <c r="AH124" i="5"/>
  <c r="AH30" i="5"/>
  <c r="AH21" i="5"/>
  <c r="AH19" i="5"/>
  <c r="AH13" i="5"/>
  <c r="AH190" i="5" s="1"/>
  <c r="AH10" i="5"/>
  <c r="AH128" i="5"/>
  <c r="AH133" i="5"/>
  <c r="AH126" i="5"/>
  <c r="AH72" i="5"/>
  <c r="AH141" i="5"/>
  <c r="AH94" i="5"/>
  <c r="AH130" i="5"/>
  <c r="AH120" i="5"/>
  <c r="AH81" i="5"/>
  <c r="AH22" i="5"/>
  <c r="AH16" i="5"/>
  <c r="AH20" i="5"/>
  <c r="AH38" i="5" s="1" a="1"/>
  <c r="AH38" i="5" s="1"/>
  <c r="AH11" i="5"/>
  <c r="AI4" i="5"/>
  <c r="AH32" i="5"/>
  <c r="AH24" i="5"/>
  <c r="AH28" i="5"/>
  <c r="AH26" i="5"/>
  <c r="AH69" i="5"/>
  <c r="AH88" i="5"/>
  <c r="AH87" i="5" s="1"/>
  <c r="AH14" i="5"/>
  <c r="AH5" i="5"/>
  <c r="AG91" i="5"/>
  <c r="T71" i="5"/>
  <c r="T65" i="5" s="1"/>
  <c r="T72" i="5"/>
  <c r="P49" i="4"/>
  <c r="AH44" i="5"/>
  <c r="AH51" i="5" s="1"/>
  <c r="AD63" i="5"/>
  <c r="AD62" i="5" s="1"/>
  <c r="AD175" i="5" s="1"/>
  <c r="AG4" i="6"/>
  <c r="AD4" i="7"/>
  <c r="AD3" i="7" s="1"/>
  <c r="AF5" i="6"/>
  <c r="AG54" i="5"/>
  <c r="U211" i="5"/>
  <c r="V209" i="5"/>
  <c r="AG37" i="5"/>
  <c r="AG40" i="5" s="1"/>
  <c r="AE211" i="5"/>
  <c r="AF209" i="5"/>
  <c r="AH184" i="5"/>
  <c r="AH183" i="5"/>
  <c r="T63" i="5" l="1"/>
  <c r="T62" i="5" s="1"/>
  <c r="AD177" i="5"/>
  <c r="AH37" i="5"/>
  <c r="AI167" i="5"/>
  <c r="AI165" i="5"/>
  <c r="AI161" i="5"/>
  <c r="AI149" i="5"/>
  <c r="AI169" i="5"/>
  <c r="AI168" i="5"/>
  <c r="AI185" i="5"/>
  <c r="AJ181" i="5" s="1"/>
  <c r="AI147" i="5"/>
  <c r="AI140" i="5"/>
  <c r="AI95" i="5"/>
  <c r="AI93" i="5"/>
  <c r="AI163" i="5"/>
  <c r="AI162" i="5"/>
  <c r="AI158" i="5"/>
  <c r="AI151" i="5"/>
  <c r="AI145" i="5"/>
  <c r="AI138" i="5"/>
  <c r="AI71" i="5"/>
  <c r="AI69" i="5"/>
  <c r="AI144" i="5"/>
  <c r="AI132" i="5"/>
  <c r="AI130" i="5"/>
  <c r="AI128" i="5"/>
  <c r="AI126" i="5"/>
  <c r="AI124" i="5"/>
  <c r="AI122" i="5"/>
  <c r="AI120" i="5"/>
  <c r="AI118" i="5"/>
  <c r="AI166" i="5"/>
  <c r="AI139" i="5"/>
  <c r="AI129" i="5"/>
  <c r="AI153" i="5"/>
  <c r="AI148" i="5"/>
  <c r="AI123" i="5"/>
  <c r="AI150" i="5"/>
  <c r="AI152" i="5"/>
  <c r="AI125" i="5"/>
  <c r="AI121" i="5"/>
  <c r="AI43" i="5"/>
  <c r="AI14" i="5"/>
  <c r="AI10" i="5"/>
  <c r="AI146" i="5"/>
  <c r="AI119" i="5"/>
  <c r="AI143" i="5"/>
  <c r="AI154" i="5"/>
  <c r="AI142" i="5"/>
  <c r="AI141" i="5"/>
  <c r="AI134" i="5"/>
  <c r="AI171" i="5" s="1" a="1"/>
  <c r="AI171" i="5" s="1"/>
  <c r="AI133" i="5"/>
  <c r="AI88" i="5"/>
  <c r="AI87" i="5" s="1"/>
  <c r="AI72" i="5"/>
  <c r="AI159" i="5"/>
  <c r="AI27" i="5"/>
  <c r="AI19" i="5"/>
  <c r="AJ44" i="5" s="1"/>
  <c r="AJ51" i="5" s="1"/>
  <c r="AI13" i="5"/>
  <c r="AI190" i="5" s="1"/>
  <c r="AI31" i="5"/>
  <c r="AI28" i="5"/>
  <c r="AI23" i="5"/>
  <c r="AI26" i="5"/>
  <c r="AI127" i="5"/>
  <c r="AI164" i="5"/>
  <c r="AI160" i="5"/>
  <c r="AI131" i="5"/>
  <c r="AI94" i="5"/>
  <c r="AI92" i="5"/>
  <c r="AI32" i="5"/>
  <c r="AI24" i="5"/>
  <c r="AI25" i="5"/>
  <c r="AI33" i="5"/>
  <c r="AI81" i="5"/>
  <c r="AI29" i="5"/>
  <c r="AI59" i="5"/>
  <c r="AI22" i="5"/>
  <c r="AI16" i="5"/>
  <c r="AI30" i="5"/>
  <c r="AI21" i="5"/>
  <c r="AI70" i="5"/>
  <c r="AI20" i="5"/>
  <c r="AI11" i="5"/>
  <c r="AJ4" i="5"/>
  <c r="AI5" i="5"/>
  <c r="AI44" i="5"/>
  <c r="AI51" i="5" s="1"/>
  <c r="P21" i="4"/>
  <c r="AG68" i="5"/>
  <c r="AG5" i="6"/>
  <c r="AE4" i="7"/>
  <c r="AE3" i="7" s="1"/>
  <c r="AH4" i="6"/>
  <c r="AI56" i="5"/>
  <c r="AI54" i="5" s="1"/>
  <c r="AI68" i="5" s="1"/>
  <c r="AF83" i="5"/>
  <c r="AF62" i="5" s="1"/>
  <c r="AG209" i="5"/>
  <c r="AF211" i="5"/>
  <c r="AH91" i="5"/>
  <c r="AI183" i="5"/>
  <c r="AI184" i="5"/>
  <c r="O42" i="4"/>
  <c r="AG65" i="5"/>
  <c r="AH197" i="5"/>
  <c r="AH201" i="5" s="1"/>
  <c r="AG39" i="5"/>
  <c r="AG84" i="5"/>
  <c r="AG83" i="5" s="1"/>
  <c r="AH56" i="5"/>
  <c r="AD176" i="5"/>
  <c r="AH66" i="5"/>
  <c r="AH52" i="5"/>
  <c r="AH50" i="5" s="1"/>
  <c r="Q177" i="5"/>
  <c r="Q175" i="5"/>
  <c r="Q176" i="5"/>
  <c r="AG48" i="5"/>
  <c r="AG210" i="5"/>
  <c r="AG202" i="5"/>
  <c r="R63" i="5"/>
  <c r="R62" i="5" s="1"/>
  <c r="P44" i="4"/>
  <c r="P42" i="4" s="1"/>
  <c r="P14" i="4"/>
  <c r="P13" i="4" s="1"/>
  <c r="R176" i="5" l="1"/>
  <c r="R175" i="5"/>
  <c r="R177" i="5"/>
  <c r="AH210" i="5"/>
  <c r="AH202" i="5"/>
  <c r="AG175" i="5"/>
  <c r="P23" i="4"/>
  <c r="P24" i="4" s="1"/>
  <c r="AH54" i="5"/>
  <c r="AH48" i="5" s="1"/>
  <c r="AF175" i="5"/>
  <c r="AF177" i="5"/>
  <c r="AF176" i="5"/>
  <c r="AI52" i="5"/>
  <c r="AI67" i="5" s="1"/>
  <c r="AH39" i="5"/>
  <c r="AI197" i="5" s="1"/>
  <c r="AI201" i="5" s="1"/>
  <c r="AH84" i="5"/>
  <c r="AH83" i="5" s="1"/>
  <c r="AJ66" i="5"/>
  <c r="AJ184" i="5"/>
  <c r="AJ183" i="5"/>
  <c r="O58" i="4"/>
  <c r="P41" i="4"/>
  <c r="P19" i="4"/>
  <c r="P18" i="4" s="1"/>
  <c r="AH67" i="5"/>
  <c r="AG63" i="5"/>
  <c r="AG62" i="5" s="1"/>
  <c r="AG176" i="5" s="1"/>
  <c r="AI50" i="5"/>
  <c r="AI48" i="5" s="1"/>
  <c r="AI66" i="5"/>
  <c r="AI38" i="5" a="1"/>
  <c r="AI38" i="5" s="1"/>
  <c r="T175" i="5"/>
  <c r="T177" i="5"/>
  <c r="T176" i="5"/>
  <c r="AG211" i="5"/>
  <c r="AH209" i="5"/>
  <c r="O41" i="4"/>
  <c r="O19" i="4"/>
  <c r="O18" i="4" s="1"/>
  <c r="O23" i="4" s="1"/>
  <c r="O24" i="4" s="1"/>
  <c r="AH5" i="6"/>
  <c r="AF4" i="7"/>
  <c r="AF3" i="7" s="1"/>
  <c r="AI4" i="6"/>
  <c r="AI37" i="5"/>
  <c r="AI91" i="5"/>
  <c r="AH40" i="5"/>
  <c r="AJ165" i="5"/>
  <c r="AJ163" i="5"/>
  <c r="AJ169" i="5"/>
  <c r="AJ168" i="5"/>
  <c r="AJ159" i="5"/>
  <c r="AJ185" i="5"/>
  <c r="AK181" i="5" s="1"/>
  <c r="AJ162" i="5"/>
  <c r="AJ158" i="5"/>
  <c r="AJ151" i="5"/>
  <c r="AJ145" i="5"/>
  <c r="AJ138" i="5"/>
  <c r="AJ71" i="5"/>
  <c r="AJ69" i="5"/>
  <c r="AJ143" i="5"/>
  <c r="AJ133" i="5"/>
  <c r="AJ131" i="5"/>
  <c r="AJ129" i="5"/>
  <c r="AJ127" i="5"/>
  <c r="AJ125" i="5"/>
  <c r="AJ123" i="5"/>
  <c r="AJ121" i="5"/>
  <c r="AJ119" i="5"/>
  <c r="AJ154" i="5"/>
  <c r="AJ150" i="5"/>
  <c r="AJ142" i="5"/>
  <c r="AJ153" i="5"/>
  <c r="AJ148" i="5"/>
  <c r="AJ132" i="5"/>
  <c r="AJ93" i="5"/>
  <c r="AJ88" i="5"/>
  <c r="AJ87" i="5" s="1"/>
  <c r="AJ81" i="5"/>
  <c r="AJ84" i="5" s="1"/>
  <c r="AJ83" i="5" s="1"/>
  <c r="AJ164" i="5"/>
  <c r="AJ161" i="5"/>
  <c r="AJ147" i="5"/>
  <c r="AJ134" i="5"/>
  <c r="AJ171" i="5" s="1" a="1"/>
  <c r="AJ171" i="5" s="1"/>
  <c r="AJ126" i="5"/>
  <c r="AJ166" i="5"/>
  <c r="AJ146" i="5"/>
  <c r="AJ167" i="5"/>
  <c r="AJ144" i="5"/>
  <c r="AJ141" i="5"/>
  <c r="AJ160" i="5"/>
  <c r="AJ59" i="5"/>
  <c r="AJ33" i="5"/>
  <c r="AJ31" i="5"/>
  <c r="AJ29" i="5"/>
  <c r="AJ27" i="5"/>
  <c r="AJ25" i="5"/>
  <c r="AJ23" i="5"/>
  <c r="AJ10" i="5"/>
  <c r="AJ11" i="5"/>
  <c r="AK4" i="5"/>
  <c r="AJ139" i="5"/>
  <c r="AJ128" i="5"/>
  <c r="AJ118" i="5"/>
  <c r="AJ28" i="5"/>
  <c r="AJ26" i="5"/>
  <c r="AJ20" i="5"/>
  <c r="AJ14" i="5"/>
  <c r="AJ152" i="5"/>
  <c r="AJ140" i="5"/>
  <c r="AJ122" i="5"/>
  <c r="AJ95" i="5"/>
  <c r="AJ94" i="5"/>
  <c r="AJ72" i="5"/>
  <c r="AJ70" i="5"/>
  <c r="AJ130" i="5"/>
  <c r="AJ120" i="5"/>
  <c r="AJ92" i="5"/>
  <c r="AJ43" i="5"/>
  <c r="AJ52" i="5" s="1"/>
  <c r="AJ67" i="5" s="1"/>
  <c r="AJ30" i="5"/>
  <c r="AJ21" i="5"/>
  <c r="AJ13" i="5"/>
  <c r="AJ190" i="5" s="1"/>
  <c r="AJ124" i="5"/>
  <c r="AJ19" i="5"/>
  <c r="AJ38" i="5" s="1" a="1"/>
  <c r="AJ38" i="5" s="1"/>
  <c r="AJ40" i="5" s="1"/>
  <c r="AJ16" i="5"/>
  <c r="AJ22" i="5"/>
  <c r="AJ149" i="5"/>
  <c r="AJ32" i="5"/>
  <c r="AJ24" i="5"/>
  <c r="AJ5" i="5"/>
  <c r="AJ37" i="5" s="1"/>
  <c r="AI202" i="5" l="1"/>
  <c r="AI210" i="5"/>
  <c r="P58" i="4"/>
  <c r="AG4" i="7"/>
  <c r="AG3" i="7" s="1"/>
  <c r="AJ4" i="6"/>
  <c r="AI5" i="6"/>
  <c r="AJ50" i="5"/>
  <c r="AK197" i="5"/>
  <c r="AK201" i="5" s="1"/>
  <c r="AJ39" i="5"/>
  <c r="AG177" i="5"/>
  <c r="AJ91" i="5"/>
  <c r="AK183" i="5"/>
  <c r="AK184" i="5"/>
  <c r="AI40" i="5"/>
  <c r="AK56" i="5"/>
  <c r="AK54" i="5" s="1"/>
  <c r="AK68" i="5" s="1"/>
  <c r="AJ56" i="5"/>
  <c r="AK44" i="5"/>
  <c r="AK51" i="5" s="1"/>
  <c r="AK185" i="5"/>
  <c r="AL181" i="5" s="1"/>
  <c r="AK163" i="5"/>
  <c r="AK168" i="5"/>
  <c r="AK167" i="5"/>
  <c r="AK169" i="5"/>
  <c r="AK154" i="5"/>
  <c r="AK147" i="5"/>
  <c r="AK145" i="5"/>
  <c r="AK143" i="5"/>
  <c r="AK141" i="5"/>
  <c r="AK139" i="5"/>
  <c r="AK134" i="5"/>
  <c r="AK171" i="5" s="1" a="1"/>
  <c r="AK171" i="5" s="1"/>
  <c r="AK166" i="5"/>
  <c r="AK133" i="5"/>
  <c r="AK131" i="5"/>
  <c r="AK129" i="5"/>
  <c r="AK127" i="5"/>
  <c r="AK125" i="5"/>
  <c r="AK123" i="5"/>
  <c r="AK121" i="5"/>
  <c r="AK119" i="5"/>
  <c r="AK152" i="5"/>
  <c r="AK161" i="5"/>
  <c r="AK140" i="5"/>
  <c r="AK95" i="5"/>
  <c r="AK93" i="5"/>
  <c r="AK164" i="5"/>
  <c r="AK138" i="5"/>
  <c r="AK126" i="5"/>
  <c r="AK159" i="5"/>
  <c r="AK151" i="5"/>
  <c r="AK146" i="5"/>
  <c r="AK120" i="5"/>
  <c r="AK94" i="5"/>
  <c r="AK165" i="5"/>
  <c r="AK153" i="5"/>
  <c r="AK148" i="5"/>
  <c r="AK22" i="5"/>
  <c r="AK20" i="5"/>
  <c r="AL4" i="5"/>
  <c r="AK162" i="5"/>
  <c r="AK144" i="5"/>
  <c r="AK81" i="5"/>
  <c r="AK32" i="5"/>
  <c r="AK30" i="5"/>
  <c r="AK28" i="5"/>
  <c r="AK158" i="5"/>
  <c r="AK142" i="5"/>
  <c r="AK150" i="5"/>
  <c r="AK149" i="5"/>
  <c r="AK43" i="5"/>
  <c r="AK52" i="5" s="1"/>
  <c r="AK67" i="5" s="1"/>
  <c r="AK128" i="5"/>
  <c r="AK118" i="5"/>
  <c r="AK26" i="5"/>
  <c r="AK23" i="5"/>
  <c r="AK31" i="5"/>
  <c r="AK14" i="5"/>
  <c r="AK11" i="5"/>
  <c r="AK24" i="5"/>
  <c r="AK122" i="5"/>
  <c r="AK72" i="5"/>
  <c r="AK160" i="5"/>
  <c r="AK132" i="5"/>
  <c r="AK70" i="5"/>
  <c r="AK130" i="5"/>
  <c r="AK92" i="5"/>
  <c r="AK91" i="5" s="1"/>
  <c r="AK71" i="5"/>
  <c r="AK69" i="5"/>
  <c r="AK59" i="5"/>
  <c r="AK124" i="5"/>
  <c r="AK88" i="5"/>
  <c r="AK87" i="5" s="1"/>
  <c r="AK33" i="5"/>
  <c r="AK25" i="5"/>
  <c r="AK19" i="5"/>
  <c r="AL44" i="5" s="1"/>
  <c r="AL51" i="5" s="1"/>
  <c r="AK13" i="5"/>
  <c r="AK190" i="5" s="1"/>
  <c r="AK29" i="5"/>
  <c r="AK10" i="5"/>
  <c r="AK16" i="5"/>
  <c r="AK21" i="5"/>
  <c r="AK27" i="5"/>
  <c r="AK5" i="5"/>
  <c r="AJ197" i="5"/>
  <c r="AJ201" i="5" s="1"/>
  <c r="AI39" i="5"/>
  <c r="AI84" i="5"/>
  <c r="AI83" i="5" s="1"/>
  <c r="AI65" i="5"/>
  <c r="AI63" i="5" s="1"/>
  <c r="AH68" i="5"/>
  <c r="AH65" i="5" s="1"/>
  <c r="AI209" i="5"/>
  <c r="AH211" i="5"/>
  <c r="AH63" i="5" l="1"/>
  <c r="AH62" i="5" s="1"/>
  <c r="AL168" i="5"/>
  <c r="AL166" i="5"/>
  <c r="AL164" i="5"/>
  <c r="AL162" i="5"/>
  <c r="AL160" i="5"/>
  <c r="AL158" i="5"/>
  <c r="AL153" i="5"/>
  <c r="AL151" i="5"/>
  <c r="AL149" i="5"/>
  <c r="AL185" i="5"/>
  <c r="AM181" i="5" s="1"/>
  <c r="AL165" i="5"/>
  <c r="AL152" i="5"/>
  <c r="AL167" i="5"/>
  <c r="AL163" i="5"/>
  <c r="AL143" i="5"/>
  <c r="AL159" i="5"/>
  <c r="AL148" i="5"/>
  <c r="AL141" i="5"/>
  <c r="AL94" i="5"/>
  <c r="AL92" i="5"/>
  <c r="AL91" i="5" s="1"/>
  <c r="AL88" i="5"/>
  <c r="AL87" i="5" s="1"/>
  <c r="AL81" i="5"/>
  <c r="AL169" i="5"/>
  <c r="AL147" i="5"/>
  <c r="AL138" i="5"/>
  <c r="AL161" i="5"/>
  <c r="AL146" i="5"/>
  <c r="AL134" i="5"/>
  <c r="AL171" i="5" s="1" a="1"/>
  <c r="AL171" i="5" s="1"/>
  <c r="AL123" i="5"/>
  <c r="AL120" i="5"/>
  <c r="AL72" i="5"/>
  <c r="AL69" i="5"/>
  <c r="AL133" i="5"/>
  <c r="AL130" i="5"/>
  <c r="AL145" i="5"/>
  <c r="AL144" i="5"/>
  <c r="AL119" i="5"/>
  <c r="AL32" i="5"/>
  <c r="AL30" i="5"/>
  <c r="AL28" i="5"/>
  <c r="AL26" i="5"/>
  <c r="AL24" i="5"/>
  <c r="AL16" i="5"/>
  <c r="AL11" i="5"/>
  <c r="AL142" i="5"/>
  <c r="AL132" i="5"/>
  <c r="AL154" i="5"/>
  <c r="AL150" i="5"/>
  <c r="AL140" i="5"/>
  <c r="AL139" i="5"/>
  <c r="AL131" i="5"/>
  <c r="AL127" i="5"/>
  <c r="AL95" i="5"/>
  <c r="AL93" i="5"/>
  <c r="AL31" i="5"/>
  <c r="AL14" i="5"/>
  <c r="AL122" i="5"/>
  <c r="AL20" i="5"/>
  <c r="AL38" i="5" s="1" a="1"/>
  <c r="AL38" i="5" s="1"/>
  <c r="AM4" i="5"/>
  <c r="AL70" i="5"/>
  <c r="AL126" i="5"/>
  <c r="AL121" i="5"/>
  <c r="AL71" i="5"/>
  <c r="AL59" i="5"/>
  <c r="AL125" i="5"/>
  <c r="AL124" i="5"/>
  <c r="AL27" i="5"/>
  <c r="AL10" i="5"/>
  <c r="AL128" i="5"/>
  <c r="AL21" i="5"/>
  <c r="AL25" i="5"/>
  <c r="AL19" i="5"/>
  <c r="AL13" i="5"/>
  <c r="AL190" i="5" s="1"/>
  <c r="AL33" i="5"/>
  <c r="AL22" i="5"/>
  <c r="AL43" i="5"/>
  <c r="AL52" i="5" s="1"/>
  <c r="AL67" i="5" s="1"/>
  <c r="AL129" i="5"/>
  <c r="AL118" i="5"/>
  <c r="AL23" i="5"/>
  <c r="AL29" i="5"/>
  <c r="AL5" i="5"/>
  <c r="AL184" i="5"/>
  <c r="AL183" i="5"/>
  <c r="AJ202" i="5"/>
  <c r="AJ210" i="5"/>
  <c r="AK50" i="5"/>
  <c r="AK66" i="5"/>
  <c r="AK65" i="5" s="1"/>
  <c r="AK63" i="5" s="1"/>
  <c r="AI62" i="5"/>
  <c r="AJ54" i="5"/>
  <c r="AK38" i="5" a="1"/>
  <c r="AK38" i="5" s="1"/>
  <c r="AK202" i="5"/>
  <c r="AK210" i="5"/>
  <c r="AJ5" i="6"/>
  <c r="AH4" i="7"/>
  <c r="AH3" i="7" s="1"/>
  <c r="AK4" i="6"/>
  <c r="AL66" i="5"/>
  <c r="AK37" i="5"/>
  <c r="AJ48" i="5"/>
  <c r="AI211" i="5"/>
  <c r="AJ209" i="5"/>
  <c r="AI4" i="7" l="1"/>
  <c r="AI3" i="7" s="1"/>
  <c r="AK5" i="6"/>
  <c r="AL4" i="6"/>
  <c r="AJ68" i="5"/>
  <c r="AJ65" i="5" s="1"/>
  <c r="AI176" i="5"/>
  <c r="AI177" i="5"/>
  <c r="AI175" i="5"/>
  <c r="AM185" i="5"/>
  <c r="AN181" i="5" s="1"/>
  <c r="AM168" i="5"/>
  <c r="AM166" i="5"/>
  <c r="AM163" i="5"/>
  <c r="AM167" i="5"/>
  <c r="AM162" i="5"/>
  <c r="AM150" i="5"/>
  <c r="AM159" i="5"/>
  <c r="AM152" i="5"/>
  <c r="AM148" i="5"/>
  <c r="AM141" i="5"/>
  <c r="AM94" i="5"/>
  <c r="AM92" i="5"/>
  <c r="AM88" i="5"/>
  <c r="AM87" i="5" s="1"/>
  <c r="AM81" i="5"/>
  <c r="AM169" i="5"/>
  <c r="AM146" i="5"/>
  <c r="AM139" i="5"/>
  <c r="AM72" i="5"/>
  <c r="AM70" i="5"/>
  <c r="AM165" i="5"/>
  <c r="AM158" i="5"/>
  <c r="AM151" i="5"/>
  <c r="AM145" i="5"/>
  <c r="AM133" i="5"/>
  <c r="AM131" i="5"/>
  <c r="AM129" i="5"/>
  <c r="AM127" i="5"/>
  <c r="AM125" i="5"/>
  <c r="AM123" i="5"/>
  <c r="AM121" i="5"/>
  <c r="AM119" i="5"/>
  <c r="AM147" i="5"/>
  <c r="AM130" i="5"/>
  <c r="AM149" i="5"/>
  <c r="AM144" i="5"/>
  <c r="AM124" i="5"/>
  <c r="AM164" i="5"/>
  <c r="AM161" i="5"/>
  <c r="AM143" i="5"/>
  <c r="AM142" i="5"/>
  <c r="AM132" i="5"/>
  <c r="AM128" i="5"/>
  <c r="AM154" i="5"/>
  <c r="AM140" i="5"/>
  <c r="AM160" i="5"/>
  <c r="AM22" i="5"/>
  <c r="AM122" i="5"/>
  <c r="AM28" i="5"/>
  <c r="AM20" i="5"/>
  <c r="AM38" i="5" s="1" a="1"/>
  <c r="AM38" i="5" s="1"/>
  <c r="AM11" i="5"/>
  <c r="AN4" i="5"/>
  <c r="AM24" i="5"/>
  <c r="AM59" i="5"/>
  <c r="AM32" i="5"/>
  <c r="AM29" i="5"/>
  <c r="AM16" i="5"/>
  <c r="AM126" i="5"/>
  <c r="AM95" i="5"/>
  <c r="AM71" i="5"/>
  <c r="AM69" i="5"/>
  <c r="AM120" i="5"/>
  <c r="AM43" i="5"/>
  <c r="AM52" i="5" s="1"/>
  <c r="AM67" i="5" s="1"/>
  <c r="AM33" i="5"/>
  <c r="AM153" i="5"/>
  <c r="AM134" i="5"/>
  <c r="AM171" i="5" s="1" a="1"/>
  <c r="AM171" i="5" s="1"/>
  <c r="AM118" i="5"/>
  <c r="AM23" i="5"/>
  <c r="AM25" i="5"/>
  <c r="AM19" i="5"/>
  <c r="AM13" i="5"/>
  <c r="AM190" i="5" s="1"/>
  <c r="AM10" i="5"/>
  <c r="AM26" i="5"/>
  <c r="AM31" i="5"/>
  <c r="AM21" i="5"/>
  <c r="AM138" i="5"/>
  <c r="AM30" i="5"/>
  <c r="AM27" i="5"/>
  <c r="AM93" i="5"/>
  <c r="AM14" i="5"/>
  <c r="AM5" i="5"/>
  <c r="AM56" i="5"/>
  <c r="AM54" i="5" s="1"/>
  <c r="AM68" i="5" s="1"/>
  <c r="AL37" i="5"/>
  <c r="AK39" i="5"/>
  <c r="AL197" i="5" s="1"/>
  <c r="AL201" i="5" s="1"/>
  <c r="AK84" i="5"/>
  <c r="AK83" i="5" s="1"/>
  <c r="AK62" i="5" s="1"/>
  <c r="AK40" i="5"/>
  <c r="AK48" i="5"/>
  <c r="AM44" i="5"/>
  <c r="AM51" i="5" s="1"/>
  <c r="AM184" i="5"/>
  <c r="AM183" i="5"/>
  <c r="AL56" i="5"/>
  <c r="AL209" i="5"/>
  <c r="AK211" i="5"/>
  <c r="AL50" i="5"/>
  <c r="AK209" i="5"/>
  <c r="AJ211" i="5"/>
  <c r="AH176" i="5"/>
  <c r="AH177" i="5"/>
  <c r="AH175" i="5"/>
  <c r="AL210" i="5" l="1"/>
  <c r="AL202" i="5"/>
  <c r="AK177" i="5"/>
  <c r="AK175" i="5"/>
  <c r="AK176" i="5"/>
  <c r="AN166" i="5"/>
  <c r="AN164" i="5"/>
  <c r="AN185" i="5"/>
  <c r="AO181" i="5" s="1"/>
  <c r="AN160" i="5"/>
  <c r="AN169" i="5"/>
  <c r="AN146" i="5"/>
  <c r="AN139" i="5"/>
  <c r="AN72" i="5"/>
  <c r="AN70" i="5"/>
  <c r="AN153" i="5"/>
  <c r="AN149" i="5"/>
  <c r="AN144" i="5"/>
  <c r="AN134" i="5"/>
  <c r="AN171" i="5" s="1" a="1"/>
  <c r="AN171" i="5" s="1"/>
  <c r="AN132" i="5"/>
  <c r="AN130" i="5"/>
  <c r="AN128" i="5"/>
  <c r="AN126" i="5"/>
  <c r="AN124" i="5"/>
  <c r="AN122" i="5"/>
  <c r="AN120" i="5"/>
  <c r="AN118" i="5"/>
  <c r="AN59" i="5"/>
  <c r="AN168" i="5"/>
  <c r="AN167" i="5"/>
  <c r="AN162" i="5"/>
  <c r="AN143" i="5"/>
  <c r="AN159" i="5"/>
  <c r="AN151" i="5"/>
  <c r="AN133" i="5"/>
  <c r="AN94" i="5"/>
  <c r="AN154" i="5"/>
  <c r="AN145" i="5"/>
  <c r="AN127" i="5"/>
  <c r="AN147" i="5"/>
  <c r="AN142" i="5"/>
  <c r="AN81" i="5"/>
  <c r="AN13" i="5"/>
  <c r="AN190" i="5" s="1"/>
  <c r="AN163" i="5"/>
  <c r="AN158" i="5"/>
  <c r="AN93" i="5"/>
  <c r="AN69" i="5"/>
  <c r="AN150" i="5"/>
  <c r="AN141" i="5"/>
  <c r="AN140" i="5"/>
  <c r="AN161" i="5"/>
  <c r="AN165" i="5"/>
  <c r="AN138" i="5"/>
  <c r="AN152" i="5"/>
  <c r="AN129" i="5"/>
  <c r="AN125" i="5"/>
  <c r="AN121" i="5"/>
  <c r="AN32" i="5"/>
  <c r="AN30" i="5"/>
  <c r="AN28" i="5"/>
  <c r="AN26" i="5"/>
  <c r="AN24" i="5"/>
  <c r="AN123" i="5"/>
  <c r="AN22" i="5"/>
  <c r="AN21" i="5"/>
  <c r="AN95" i="5"/>
  <c r="AN71" i="5"/>
  <c r="AN29" i="5"/>
  <c r="AN16" i="5"/>
  <c r="AN131" i="5"/>
  <c r="AN92" i="5"/>
  <c r="AN91" i="5" s="1"/>
  <c r="AN43" i="5"/>
  <c r="AN52" i="5" s="1"/>
  <c r="AN67" i="5" s="1"/>
  <c r="AN33" i="5"/>
  <c r="AN148" i="5"/>
  <c r="AN88" i="5"/>
  <c r="AN87" i="5" s="1"/>
  <c r="AN119" i="5"/>
  <c r="AN31" i="5"/>
  <c r="AN14" i="5"/>
  <c r="AN10" i="5"/>
  <c r="AN27" i="5"/>
  <c r="AN23" i="5"/>
  <c r="AN20" i="5"/>
  <c r="AN11" i="5"/>
  <c r="AO4" i="5"/>
  <c r="AN25" i="5"/>
  <c r="AN19" i="5"/>
  <c r="AN5" i="5"/>
  <c r="AL54" i="5"/>
  <c r="AL48" i="5" s="1"/>
  <c r="AL39" i="5"/>
  <c r="AM197" i="5" s="1"/>
  <c r="AM201" i="5" s="1"/>
  <c r="AL84" i="5"/>
  <c r="AL83" i="5" s="1"/>
  <c r="AM91" i="5"/>
  <c r="AJ63" i="5"/>
  <c r="AJ62" i="5" s="1"/>
  <c r="AM37" i="5"/>
  <c r="AJ4" i="7"/>
  <c r="AJ3" i="7" s="1"/>
  <c r="AM4" i="6"/>
  <c r="AL5" i="6"/>
  <c r="AN184" i="5"/>
  <c r="AN183" i="5"/>
  <c r="AM66" i="5"/>
  <c r="AM65" i="5" s="1"/>
  <c r="AM63" i="5" s="1"/>
  <c r="AM50" i="5"/>
  <c r="AM48" i="5" s="1"/>
  <c r="AN44" i="5"/>
  <c r="AN51" i="5" s="1"/>
  <c r="AL40" i="5"/>
  <c r="AM210" i="5" l="1"/>
  <c r="AM202" i="5"/>
  <c r="AN66" i="5"/>
  <c r="AN65" i="5" s="1"/>
  <c r="AN63" i="5" s="1"/>
  <c r="AN50" i="5"/>
  <c r="AN48" i="5" s="1"/>
  <c r="AO44" i="5"/>
  <c r="AO51" i="5" s="1"/>
  <c r="AM5" i="6"/>
  <c r="AN4" i="6"/>
  <c r="AK4" i="7"/>
  <c r="AK3" i="7" s="1"/>
  <c r="AN197" i="5"/>
  <c r="AN201" i="5" s="1"/>
  <c r="AM39" i="5"/>
  <c r="AM84" i="5"/>
  <c r="AM83" i="5" s="1"/>
  <c r="AM62" i="5" s="1"/>
  <c r="AM40" i="5"/>
  <c r="AL68" i="5"/>
  <c r="AL65" i="5" s="1"/>
  <c r="AN38" i="5" a="1"/>
  <c r="AN38" i="5" s="1"/>
  <c r="AO164" i="5"/>
  <c r="AO169" i="5"/>
  <c r="AO185" i="5"/>
  <c r="AP181" i="5" s="1"/>
  <c r="AO168" i="5"/>
  <c r="AO166" i="5"/>
  <c r="AO165" i="5"/>
  <c r="AO158" i="5"/>
  <c r="AO148" i="5"/>
  <c r="AO146" i="5"/>
  <c r="AO144" i="5"/>
  <c r="AO142" i="5"/>
  <c r="AO140" i="5"/>
  <c r="AO138" i="5"/>
  <c r="AO133" i="5"/>
  <c r="AO153" i="5"/>
  <c r="AO149" i="5"/>
  <c r="AO134" i="5"/>
  <c r="AO171" i="5" s="1" a="1"/>
  <c r="AO171" i="5" s="1"/>
  <c r="Q40" i="4" s="1"/>
  <c r="AO132" i="5"/>
  <c r="AO130" i="5"/>
  <c r="AO128" i="5"/>
  <c r="AO126" i="5"/>
  <c r="AO124" i="5"/>
  <c r="AO122" i="5"/>
  <c r="AO120" i="5"/>
  <c r="AO118" i="5"/>
  <c r="AO59" i="5"/>
  <c r="Q39" i="4" s="1"/>
  <c r="AO167" i="5"/>
  <c r="AO160" i="5"/>
  <c r="AO43" i="5"/>
  <c r="AO163" i="5"/>
  <c r="AO159" i="5"/>
  <c r="AO152" i="5"/>
  <c r="AO141" i="5"/>
  <c r="AO94" i="5"/>
  <c r="Q56" i="4" s="1"/>
  <c r="AO92" i="5"/>
  <c r="AO88" i="5"/>
  <c r="AO87" i="5" s="1"/>
  <c r="Q52" i="4" s="1"/>
  <c r="AO154" i="5"/>
  <c r="AO145" i="5"/>
  <c r="AO127" i="5"/>
  <c r="AO121" i="5"/>
  <c r="AO95" i="5"/>
  <c r="Q57" i="4" s="1"/>
  <c r="AO151" i="5"/>
  <c r="AO162" i="5"/>
  <c r="AO143" i="5"/>
  <c r="AO93" i="5"/>
  <c r="Q55" i="4" s="1"/>
  <c r="AO69" i="5"/>
  <c r="AO21" i="5"/>
  <c r="AO19" i="5"/>
  <c r="AO38" i="5" s="1" a="1"/>
  <c r="AO38" i="5" s="1"/>
  <c r="AO40" i="5" s="1"/>
  <c r="AO150" i="5"/>
  <c r="AO71" i="5"/>
  <c r="AO70" i="5"/>
  <c r="AO33" i="5"/>
  <c r="AO31" i="5"/>
  <c r="AO29" i="5"/>
  <c r="AO27" i="5"/>
  <c r="AO161" i="5"/>
  <c r="AO147" i="5"/>
  <c r="AO139" i="5"/>
  <c r="AO123" i="5"/>
  <c r="AO119" i="5"/>
  <c r="AO24" i="5"/>
  <c r="AO16" i="5"/>
  <c r="AO72" i="5"/>
  <c r="AO32" i="5"/>
  <c r="AO22" i="5"/>
  <c r="AO25" i="5"/>
  <c r="AO131" i="5"/>
  <c r="AO125" i="5"/>
  <c r="AO81" i="5"/>
  <c r="AO129" i="5"/>
  <c r="AO26" i="5"/>
  <c r="AO20" i="5"/>
  <c r="AO11" i="5"/>
  <c r="AP4" i="5"/>
  <c r="AO28" i="5"/>
  <c r="AO30" i="5"/>
  <c r="AO23" i="5"/>
  <c r="AO14" i="5"/>
  <c r="AO13" i="5"/>
  <c r="AO190" i="5" s="1"/>
  <c r="AO10" i="5"/>
  <c r="AO5" i="5"/>
  <c r="AO37" i="5" s="1"/>
  <c r="AN56" i="5"/>
  <c r="AN54" i="5" s="1"/>
  <c r="AN68" i="5" s="1"/>
  <c r="AJ177" i="5"/>
  <c r="AJ175" i="5"/>
  <c r="AJ176" i="5"/>
  <c r="AN37" i="5"/>
  <c r="AO184" i="5"/>
  <c r="AO183" i="5"/>
  <c r="AM209" i="5"/>
  <c r="AL211" i="5"/>
  <c r="AM175" i="5" l="1"/>
  <c r="AM177" i="5"/>
  <c r="AM176" i="5"/>
  <c r="AP169" i="5"/>
  <c r="AP167" i="5"/>
  <c r="AP165" i="5"/>
  <c r="AP163" i="5"/>
  <c r="AP161" i="5"/>
  <c r="AP159" i="5"/>
  <c r="AP154" i="5"/>
  <c r="AP152" i="5"/>
  <c r="AP150" i="5"/>
  <c r="AP166" i="5"/>
  <c r="AP153" i="5"/>
  <c r="AP160" i="5"/>
  <c r="AP144" i="5"/>
  <c r="AP43" i="5"/>
  <c r="AP168" i="5"/>
  <c r="AP164" i="5"/>
  <c r="AP142" i="5"/>
  <c r="AP95" i="5"/>
  <c r="AP93" i="5"/>
  <c r="AP148" i="5"/>
  <c r="AP139" i="5"/>
  <c r="AP149" i="5"/>
  <c r="AP124" i="5"/>
  <c r="AP121" i="5"/>
  <c r="AP70" i="5"/>
  <c r="AP162" i="5"/>
  <c r="AP143" i="5"/>
  <c r="AP131" i="5"/>
  <c r="AP118" i="5"/>
  <c r="AP146" i="5"/>
  <c r="AP158" i="5"/>
  <c r="AP151" i="5"/>
  <c r="AP132" i="5"/>
  <c r="AP128" i="5"/>
  <c r="AP71" i="5"/>
  <c r="AP33" i="5"/>
  <c r="AP31" i="5"/>
  <c r="AP29" i="5"/>
  <c r="AP27" i="5"/>
  <c r="AP25" i="5"/>
  <c r="AP23" i="5"/>
  <c r="AP141" i="5"/>
  <c r="AP140" i="5"/>
  <c r="AP130" i="5"/>
  <c r="AP126" i="5"/>
  <c r="AP122" i="5"/>
  <c r="AP94" i="5"/>
  <c r="AP92" i="5"/>
  <c r="AP147" i="5"/>
  <c r="AP138" i="5"/>
  <c r="AP134" i="5"/>
  <c r="AP171" i="5" s="1" a="1"/>
  <c r="AP171" i="5" s="1"/>
  <c r="AP81" i="5"/>
  <c r="AP72" i="5"/>
  <c r="AP32" i="5"/>
  <c r="AP22" i="5"/>
  <c r="AP10" i="5"/>
  <c r="AP127" i="5"/>
  <c r="AP59" i="5"/>
  <c r="AP21" i="5"/>
  <c r="AP19" i="5"/>
  <c r="AP13" i="5"/>
  <c r="AP190" i="5" s="1"/>
  <c r="AP69" i="5"/>
  <c r="AP133" i="5"/>
  <c r="AP125" i="5"/>
  <c r="AP120" i="5"/>
  <c r="AP185" i="5"/>
  <c r="AQ181" i="5" s="1"/>
  <c r="AP145" i="5"/>
  <c r="AP88" i="5"/>
  <c r="AP87" i="5" s="1"/>
  <c r="AP129" i="5"/>
  <c r="AP119" i="5"/>
  <c r="AP28" i="5"/>
  <c r="AP14" i="5"/>
  <c r="AP26" i="5"/>
  <c r="AP16" i="5"/>
  <c r="AP123" i="5"/>
  <c r="AP30" i="5"/>
  <c r="AP20" i="5"/>
  <c r="AP11" i="5"/>
  <c r="AQ4" i="5"/>
  <c r="AP24" i="5"/>
  <c r="AP5" i="5"/>
  <c r="AO91" i="5"/>
  <c r="Q54" i="4"/>
  <c r="AN39" i="5"/>
  <c r="AO197" i="5" s="1"/>
  <c r="AO201" i="5" s="1"/>
  <c r="AN84" i="5"/>
  <c r="AN83" i="5" s="1"/>
  <c r="AN62" i="5" s="1"/>
  <c r="AO39" i="5"/>
  <c r="AP197" i="5" s="1"/>
  <c r="AP201" i="5" s="1"/>
  <c r="AP184" i="5"/>
  <c r="AP183" i="5"/>
  <c r="AP44" i="5"/>
  <c r="AP51" i="5" s="1"/>
  <c r="Q16" i="4"/>
  <c r="Q17" i="4"/>
  <c r="AN210" i="5"/>
  <c r="AN202" i="5"/>
  <c r="AP56" i="5"/>
  <c r="AN40" i="5"/>
  <c r="AL4" i="7"/>
  <c r="AL3" i="7" s="1"/>
  <c r="AN5" i="6"/>
  <c r="AO4" i="6"/>
  <c r="AO84" i="5"/>
  <c r="AO52" i="5"/>
  <c r="Q30" i="4"/>
  <c r="Q12" i="4" s="1"/>
  <c r="AL63" i="5"/>
  <c r="AL62" i="5" s="1"/>
  <c r="AO56" i="5"/>
  <c r="AO66" i="5"/>
  <c r="Q33" i="4"/>
  <c r="AM211" i="5"/>
  <c r="AN209" i="5"/>
  <c r="AN176" i="5" l="1"/>
  <c r="AN177" i="5"/>
  <c r="AN175" i="5"/>
  <c r="AO210" i="5"/>
  <c r="AO202" i="5"/>
  <c r="AP210" i="5"/>
  <c r="AP202" i="5"/>
  <c r="Q53" i="4"/>
  <c r="AQ44" i="5"/>
  <c r="AQ51" i="5" s="1"/>
  <c r="AO54" i="5"/>
  <c r="Q37" i="4"/>
  <c r="AQ56" i="5"/>
  <c r="AQ54" i="5" s="1"/>
  <c r="AQ68" i="5" s="1"/>
  <c r="AL177" i="5"/>
  <c r="AL175" i="5"/>
  <c r="AL176" i="5"/>
  <c r="AP37" i="5"/>
  <c r="AQ183" i="5"/>
  <c r="AQ184" i="5"/>
  <c r="AQ169" i="5"/>
  <c r="AQ167" i="5"/>
  <c r="AQ164" i="5"/>
  <c r="AQ151" i="5"/>
  <c r="AQ168" i="5"/>
  <c r="AQ142" i="5"/>
  <c r="AQ95" i="5"/>
  <c r="AQ93" i="5"/>
  <c r="AQ161" i="5"/>
  <c r="AQ154" i="5"/>
  <c r="AQ150" i="5"/>
  <c r="AQ147" i="5"/>
  <c r="AQ140" i="5"/>
  <c r="AQ71" i="5"/>
  <c r="AQ69" i="5"/>
  <c r="AQ166" i="5"/>
  <c r="AQ185" i="5"/>
  <c r="AR181" i="5" s="1"/>
  <c r="AQ149" i="5"/>
  <c r="AQ146" i="5"/>
  <c r="AQ134" i="5"/>
  <c r="AQ171" i="5" s="1" a="1"/>
  <c r="AQ171" i="5" s="1"/>
  <c r="AQ132" i="5"/>
  <c r="AQ130" i="5"/>
  <c r="AQ128" i="5"/>
  <c r="AQ126" i="5"/>
  <c r="AQ124" i="5"/>
  <c r="AQ122" i="5"/>
  <c r="AQ120" i="5"/>
  <c r="AQ118" i="5"/>
  <c r="AQ162" i="5"/>
  <c r="AQ144" i="5"/>
  <c r="AQ143" i="5"/>
  <c r="AQ131" i="5"/>
  <c r="AQ163" i="5"/>
  <c r="AQ125" i="5"/>
  <c r="AQ159" i="5"/>
  <c r="AQ141" i="5"/>
  <c r="AQ94" i="5"/>
  <c r="AQ92" i="5"/>
  <c r="AQ70" i="5"/>
  <c r="AQ14" i="5"/>
  <c r="AQ10" i="5"/>
  <c r="AQ72" i="5"/>
  <c r="AQ59" i="5"/>
  <c r="AQ139" i="5"/>
  <c r="AQ138" i="5"/>
  <c r="AQ165" i="5"/>
  <c r="AQ160" i="5"/>
  <c r="AQ153" i="5"/>
  <c r="AQ133" i="5"/>
  <c r="AQ148" i="5"/>
  <c r="AQ145" i="5"/>
  <c r="AQ127" i="5"/>
  <c r="AQ29" i="5"/>
  <c r="AQ21" i="5"/>
  <c r="AQ33" i="5"/>
  <c r="AQ30" i="5"/>
  <c r="AQ152" i="5"/>
  <c r="AQ25" i="5"/>
  <c r="AQ19" i="5"/>
  <c r="AR44" i="5" s="1"/>
  <c r="AR51" i="5" s="1"/>
  <c r="AQ13" i="5"/>
  <c r="AQ190" i="5" s="1"/>
  <c r="AQ43" i="5"/>
  <c r="AQ52" i="5" s="1"/>
  <c r="AQ67" i="5" s="1"/>
  <c r="AQ121" i="5"/>
  <c r="AQ88" i="5"/>
  <c r="AQ87" i="5" s="1"/>
  <c r="AQ81" i="5"/>
  <c r="AQ158" i="5"/>
  <c r="AQ129" i="5"/>
  <c r="AQ119" i="5"/>
  <c r="AQ123" i="5"/>
  <c r="AQ24" i="5"/>
  <c r="AQ16" i="5"/>
  <c r="AQ26" i="5"/>
  <c r="AQ20" i="5"/>
  <c r="AR4" i="5"/>
  <c r="AQ31" i="5"/>
  <c r="AQ28" i="5"/>
  <c r="AQ22" i="5"/>
  <c r="AQ27" i="5"/>
  <c r="AQ38" i="5" s="1" a="1"/>
  <c r="AQ38" i="5" s="1"/>
  <c r="AQ23" i="5"/>
  <c r="AQ11" i="5"/>
  <c r="AQ32" i="5"/>
  <c r="AQ5" i="5"/>
  <c r="AP91" i="5"/>
  <c r="AP54" i="5"/>
  <c r="AP66" i="5"/>
  <c r="AO67" i="5"/>
  <c r="Q34" i="4"/>
  <c r="AO50" i="5"/>
  <c r="AO83" i="5"/>
  <c r="Q50" i="4"/>
  <c r="AN211" i="5"/>
  <c r="AO209" i="5"/>
  <c r="AP4" i="6"/>
  <c r="AO5" i="6"/>
  <c r="AM4" i="7"/>
  <c r="AM3" i="7" s="1"/>
  <c r="AP38" i="5" a="1"/>
  <c r="AP38" i="5" s="1"/>
  <c r="AP40" i="5" s="1"/>
  <c r="AP52" i="5"/>
  <c r="Q49" i="4" l="1"/>
  <c r="Q22" i="4"/>
  <c r="AP211" i="5"/>
  <c r="AQ209" i="5"/>
  <c r="AP68" i="5"/>
  <c r="AP65" i="5" s="1"/>
  <c r="AR66" i="5"/>
  <c r="AO68" i="5"/>
  <c r="AO65" i="5" s="1"/>
  <c r="Q35" i="4"/>
  <c r="AO211" i="5"/>
  <c r="AP209" i="5"/>
  <c r="AQ37" i="5"/>
  <c r="AR167" i="5"/>
  <c r="AR165" i="5"/>
  <c r="AR164" i="5"/>
  <c r="AR163" i="5"/>
  <c r="AR161" i="5"/>
  <c r="AR149" i="5"/>
  <c r="AR185" i="5"/>
  <c r="AS181" i="5" s="1"/>
  <c r="AR154" i="5"/>
  <c r="AR150" i="5"/>
  <c r="AR147" i="5"/>
  <c r="AR140" i="5"/>
  <c r="AR71" i="5"/>
  <c r="AR69" i="5"/>
  <c r="AR166" i="5"/>
  <c r="AR145" i="5"/>
  <c r="AR138" i="5"/>
  <c r="AR131" i="5"/>
  <c r="AR129" i="5"/>
  <c r="AR127" i="5"/>
  <c r="AR125" i="5"/>
  <c r="AR123" i="5"/>
  <c r="AR121" i="5"/>
  <c r="AR119" i="5"/>
  <c r="AR160" i="5"/>
  <c r="AR153" i="5"/>
  <c r="AR144" i="5"/>
  <c r="AR118" i="5"/>
  <c r="AR95" i="5"/>
  <c r="AR92" i="5"/>
  <c r="AR152" i="5"/>
  <c r="AR142" i="5"/>
  <c r="AR141" i="5"/>
  <c r="AR128" i="5"/>
  <c r="AR162" i="5"/>
  <c r="AR130" i="5"/>
  <c r="AR126" i="5"/>
  <c r="AR122" i="5"/>
  <c r="AR72" i="5"/>
  <c r="AR59" i="5"/>
  <c r="AR139" i="5"/>
  <c r="AR124" i="5"/>
  <c r="AR120" i="5"/>
  <c r="AR88" i="5"/>
  <c r="AR87" i="5" s="1"/>
  <c r="AR43" i="5"/>
  <c r="AR52" i="5" s="1"/>
  <c r="AR67" i="5" s="1"/>
  <c r="AR169" i="5"/>
  <c r="AR168" i="5"/>
  <c r="AR134" i="5"/>
  <c r="AR171" i="5" s="1" a="1"/>
  <c r="AR171" i="5" s="1"/>
  <c r="AR133" i="5"/>
  <c r="AR159" i="5"/>
  <c r="AR158" i="5"/>
  <c r="AR33" i="5"/>
  <c r="AR31" i="5"/>
  <c r="AR29" i="5"/>
  <c r="AR27" i="5"/>
  <c r="AR25" i="5"/>
  <c r="AR23" i="5"/>
  <c r="AR143" i="5"/>
  <c r="AR19" i="5"/>
  <c r="AR13" i="5"/>
  <c r="AR190" i="5" s="1"/>
  <c r="AR70" i="5"/>
  <c r="AR30" i="5"/>
  <c r="AR10" i="5"/>
  <c r="AR132" i="5"/>
  <c r="AR94" i="5"/>
  <c r="AR81" i="5"/>
  <c r="AR148" i="5"/>
  <c r="AR151" i="5"/>
  <c r="AR146" i="5"/>
  <c r="AR93" i="5"/>
  <c r="AR32" i="5"/>
  <c r="AR22" i="5"/>
  <c r="AR28" i="5"/>
  <c r="AR21" i="5"/>
  <c r="AR11" i="5"/>
  <c r="AR16" i="5"/>
  <c r="AR56" i="5" s="1"/>
  <c r="AR14" i="5"/>
  <c r="AS4" i="5"/>
  <c r="AR20" i="5"/>
  <c r="AR38" i="5" s="1" a="1"/>
  <c r="AR38" i="5" s="1"/>
  <c r="AR24" i="5"/>
  <c r="AR26" i="5"/>
  <c r="AR5" i="5"/>
  <c r="AP39" i="5"/>
  <c r="AQ197" i="5" s="1"/>
  <c r="AQ201" i="5" s="1"/>
  <c r="AP84" i="5"/>
  <c r="AQ66" i="5"/>
  <c r="AQ65" i="5" s="1"/>
  <c r="AQ63" i="5" s="1"/>
  <c r="AQ50" i="5"/>
  <c r="AQ48" i="5" s="1"/>
  <c r="AO48" i="5"/>
  <c r="Q32" i="4"/>
  <c r="AQ91" i="5"/>
  <c r="AP5" i="6"/>
  <c r="AQ4" i="6"/>
  <c r="AN4" i="7"/>
  <c r="AN3" i="7" s="1"/>
  <c r="AP67" i="5"/>
  <c r="AP50" i="5"/>
  <c r="AR184" i="5"/>
  <c r="AR183" i="5"/>
  <c r="AQ202" i="5" l="1"/>
  <c r="AQ210" i="5"/>
  <c r="AP63" i="5"/>
  <c r="AP62" i="5" s="1"/>
  <c r="AR54" i="5"/>
  <c r="Q15" i="4"/>
  <c r="AQ39" i="5"/>
  <c r="AR197" i="5" s="1"/>
  <c r="AR201" i="5" s="1"/>
  <c r="AQ84" i="5"/>
  <c r="AQ83" i="5" s="1"/>
  <c r="AQ62" i="5" s="1"/>
  <c r="AS185" i="5"/>
  <c r="AT181" i="5" s="1"/>
  <c r="AS165" i="5"/>
  <c r="AS163" i="5"/>
  <c r="AS169" i="5"/>
  <c r="AS159" i="5"/>
  <c r="AS147" i="5"/>
  <c r="AS145" i="5"/>
  <c r="AS143" i="5"/>
  <c r="AS141" i="5"/>
  <c r="AS139" i="5"/>
  <c r="AS134" i="5"/>
  <c r="AS171" i="5" s="1" a="1"/>
  <c r="AS171" i="5" s="1"/>
  <c r="AS167" i="5"/>
  <c r="AS166" i="5"/>
  <c r="AS164" i="5"/>
  <c r="AS161" i="5"/>
  <c r="AS138" i="5"/>
  <c r="AS131" i="5"/>
  <c r="AS129" i="5"/>
  <c r="AS127" i="5"/>
  <c r="AS125" i="5"/>
  <c r="AS123" i="5"/>
  <c r="AS121" i="5"/>
  <c r="AS119" i="5"/>
  <c r="AS162" i="5"/>
  <c r="AS158" i="5"/>
  <c r="AS151" i="5"/>
  <c r="AS133" i="5"/>
  <c r="AS168" i="5"/>
  <c r="AS142" i="5"/>
  <c r="AS95" i="5"/>
  <c r="AS93" i="5"/>
  <c r="AS152" i="5"/>
  <c r="AS128" i="5"/>
  <c r="AS160" i="5"/>
  <c r="AS122" i="5"/>
  <c r="AS154" i="5"/>
  <c r="AS149" i="5"/>
  <c r="AS150" i="5"/>
  <c r="AS140" i="5"/>
  <c r="AS124" i="5"/>
  <c r="AS120" i="5"/>
  <c r="AS88" i="5"/>
  <c r="AS87" i="5" s="1"/>
  <c r="AS43" i="5"/>
  <c r="AS22" i="5"/>
  <c r="AS20" i="5"/>
  <c r="AT4" i="5"/>
  <c r="AS118" i="5"/>
  <c r="AS32" i="5"/>
  <c r="AS30" i="5"/>
  <c r="AS28" i="5"/>
  <c r="AS153" i="5"/>
  <c r="AS148" i="5"/>
  <c r="AS146" i="5"/>
  <c r="AS132" i="5"/>
  <c r="AS94" i="5"/>
  <c r="AS70" i="5"/>
  <c r="AS69" i="5"/>
  <c r="AS71" i="5"/>
  <c r="AS59" i="5"/>
  <c r="AS25" i="5"/>
  <c r="AS10" i="5"/>
  <c r="AS27" i="5"/>
  <c r="AS26" i="5"/>
  <c r="AS23" i="5"/>
  <c r="AS126" i="5"/>
  <c r="AS81" i="5"/>
  <c r="AS33" i="5"/>
  <c r="AS14" i="5"/>
  <c r="AS11" i="5"/>
  <c r="AS144" i="5"/>
  <c r="AS92" i="5"/>
  <c r="AS130" i="5"/>
  <c r="AS21" i="5"/>
  <c r="AS31" i="5"/>
  <c r="AS16" i="5"/>
  <c r="AS72" i="5"/>
  <c r="AS24" i="5"/>
  <c r="AS29" i="5"/>
  <c r="AS19" i="5"/>
  <c r="AT44" i="5" s="1"/>
  <c r="AT51" i="5" s="1"/>
  <c r="AS13" i="5"/>
  <c r="AS190" i="5" s="1"/>
  <c r="AS5" i="5"/>
  <c r="Q21" i="4"/>
  <c r="AO4" i="7"/>
  <c r="AO3" i="7" s="1"/>
  <c r="AR4" i="6"/>
  <c r="AQ5" i="6"/>
  <c r="AS183" i="5"/>
  <c r="AS184" i="5"/>
  <c r="AP83" i="5"/>
  <c r="AS56" i="5"/>
  <c r="AS54" i="5" s="1"/>
  <c r="AS68" i="5" s="1"/>
  <c r="AR91" i="5"/>
  <c r="Q14" i="4"/>
  <c r="Q13" i="4" s="1"/>
  <c r="AO63" i="5"/>
  <c r="AO62" i="5" s="1"/>
  <c r="Q44" i="4"/>
  <c r="AP48" i="5"/>
  <c r="AO177" i="5"/>
  <c r="Q58" i="4" s="1"/>
  <c r="AO175" i="5"/>
  <c r="AO176" i="5"/>
  <c r="Q31" i="4"/>
  <c r="AR37" i="5"/>
  <c r="AS44" i="5"/>
  <c r="AS51" i="5" s="1"/>
  <c r="AR50" i="5"/>
  <c r="AR48" i="5" s="1"/>
  <c r="AQ40" i="5"/>
  <c r="AQ175" i="5" l="1"/>
  <c r="AQ177" i="5"/>
  <c r="AQ176" i="5"/>
  <c r="AR202" i="5"/>
  <c r="AR210" i="5"/>
  <c r="AR39" i="5"/>
  <c r="AS197" i="5" s="1"/>
  <c r="AS201" i="5" s="1"/>
  <c r="AR84" i="5"/>
  <c r="AR83" i="5" s="1"/>
  <c r="Q42" i="4"/>
  <c r="AT168" i="5"/>
  <c r="AT166" i="5"/>
  <c r="AT164" i="5"/>
  <c r="AT162" i="5"/>
  <c r="AT160" i="5"/>
  <c r="AT158" i="5"/>
  <c r="AT153" i="5"/>
  <c r="AT151" i="5"/>
  <c r="AT149" i="5"/>
  <c r="AT163" i="5"/>
  <c r="AT167" i="5"/>
  <c r="AT154" i="5"/>
  <c r="AT145" i="5"/>
  <c r="AT133" i="5"/>
  <c r="AT143" i="5"/>
  <c r="AT94" i="5"/>
  <c r="AT92" i="5"/>
  <c r="AT91" i="5" s="1"/>
  <c r="AT88" i="5"/>
  <c r="AT87" i="5" s="1"/>
  <c r="AT81" i="5"/>
  <c r="AT169" i="5"/>
  <c r="AT150" i="5"/>
  <c r="AT140" i="5"/>
  <c r="AT142" i="5"/>
  <c r="AT141" i="5"/>
  <c r="AT125" i="5"/>
  <c r="AT122" i="5"/>
  <c r="AT71" i="5"/>
  <c r="AT132" i="5"/>
  <c r="AT119" i="5"/>
  <c r="AT152" i="5"/>
  <c r="AT139" i="5"/>
  <c r="AT118" i="5"/>
  <c r="AT32" i="5"/>
  <c r="AT30" i="5"/>
  <c r="AT28" i="5"/>
  <c r="AT26" i="5"/>
  <c r="AT24" i="5"/>
  <c r="AT16" i="5"/>
  <c r="AT11" i="5"/>
  <c r="AT161" i="5"/>
  <c r="AT147" i="5"/>
  <c r="AT138" i="5"/>
  <c r="AT165" i="5"/>
  <c r="AT134" i="5"/>
  <c r="AT171" i="5" s="1" a="1"/>
  <c r="AT171" i="5" s="1"/>
  <c r="AT148" i="5"/>
  <c r="AT185" i="5"/>
  <c r="AU181" i="5" s="1"/>
  <c r="AT144" i="5"/>
  <c r="AT130" i="5"/>
  <c r="AT126" i="5"/>
  <c r="AT93" i="5"/>
  <c r="AT72" i="5"/>
  <c r="AT59" i="5"/>
  <c r="AT95" i="5"/>
  <c r="AT70" i="5"/>
  <c r="AT33" i="5"/>
  <c r="AT20" i="5"/>
  <c r="AT131" i="5"/>
  <c r="AT121" i="5"/>
  <c r="AT69" i="5"/>
  <c r="AT43" i="5"/>
  <c r="AT52" i="5" s="1"/>
  <c r="AT67" i="5" s="1"/>
  <c r="AT27" i="5"/>
  <c r="AT23" i="5"/>
  <c r="AT38" i="5" s="1" a="1"/>
  <c r="AT38" i="5" s="1"/>
  <c r="AT14" i="5"/>
  <c r="AU4" i="5"/>
  <c r="AT120" i="5"/>
  <c r="AT129" i="5"/>
  <c r="AT124" i="5"/>
  <c r="AT146" i="5"/>
  <c r="AT123" i="5"/>
  <c r="AT128" i="5"/>
  <c r="AT29" i="5"/>
  <c r="AT19" i="5"/>
  <c r="AU44" i="5" s="1"/>
  <c r="AT13" i="5"/>
  <c r="AT190" i="5" s="1"/>
  <c r="AT159" i="5"/>
  <c r="AT22" i="5"/>
  <c r="AT21" i="5"/>
  <c r="AT127" i="5"/>
  <c r="AT25" i="5"/>
  <c r="AT10" i="5"/>
  <c r="AT31" i="5"/>
  <c r="AT5" i="5"/>
  <c r="AR68" i="5"/>
  <c r="AR65" i="5" s="1"/>
  <c r="AS52" i="5"/>
  <c r="AQ211" i="5"/>
  <c r="AR209" i="5"/>
  <c r="AS37" i="5"/>
  <c r="AS84" i="5" s="1"/>
  <c r="AS4" i="6"/>
  <c r="AR5" i="6"/>
  <c r="AP4" i="7"/>
  <c r="AP3" i="7" s="1"/>
  <c r="AT183" i="5"/>
  <c r="AT184" i="5"/>
  <c r="AR40" i="5"/>
  <c r="AT56" i="5"/>
  <c r="AT54" i="5" s="1"/>
  <c r="AT68" i="5" s="1"/>
  <c r="AT50" i="5"/>
  <c r="AT66" i="5"/>
  <c r="AS66" i="5"/>
  <c r="AP176" i="5"/>
  <c r="AP177" i="5"/>
  <c r="AP175" i="5"/>
  <c r="AS91" i="5"/>
  <c r="AS38" i="5" a="1"/>
  <c r="AS38" i="5" s="1"/>
  <c r="AS40" i="5" s="1"/>
  <c r="AS202" i="5" l="1"/>
  <c r="AS210" i="5"/>
  <c r="AS83" i="5"/>
  <c r="AT65" i="5"/>
  <c r="AT63" i="5" s="1"/>
  <c r="AR211" i="5"/>
  <c r="AS209" i="5"/>
  <c r="AS67" i="5"/>
  <c r="AT37" i="5"/>
  <c r="AT48" i="5"/>
  <c r="AU51" i="5"/>
  <c r="AU185" i="5"/>
  <c r="AV181" i="5" s="1"/>
  <c r="AU168" i="5"/>
  <c r="AU165" i="5"/>
  <c r="AU152" i="5"/>
  <c r="AU162" i="5"/>
  <c r="AU158" i="5"/>
  <c r="AU151" i="5"/>
  <c r="AU143" i="5"/>
  <c r="AU94" i="5"/>
  <c r="AU92" i="5"/>
  <c r="AU88" i="5"/>
  <c r="AU87" i="5" s="1"/>
  <c r="AU81" i="5"/>
  <c r="AU148" i="5"/>
  <c r="AU141" i="5"/>
  <c r="AU72" i="5"/>
  <c r="AU70" i="5"/>
  <c r="AU161" i="5"/>
  <c r="AU154" i="5"/>
  <c r="AU147" i="5"/>
  <c r="AU138" i="5"/>
  <c r="AU131" i="5"/>
  <c r="AU129" i="5"/>
  <c r="AU127" i="5"/>
  <c r="AU125" i="5"/>
  <c r="AU123" i="5"/>
  <c r="AU121" i="5"/>
  <c r="AU119" i="5"/>
  <c r="AU163" i="5"/>
  <c r="AU160" i="5"/>
  <c r="AU132" i="5"/>
  <c r="AU169" i="5"/>
  <c r="AU150" i="5"/>
  <c r="AU140" i="5"/>
  <c r="AU139" i="5"/>
  <c r="AU126" i="5"/>
  <c r="AU167" i="5"/>
  <c r="AU134" i="5"/>
  <c r="AU171" i="5" s="1" a="1"/>
  <c r="AU171" i="5" s="1"/>
  <c r="AU166" i="5"/>
  <c r="AU153" i="5"/>
  <c r="AU133" i="5"/>
  <c r="AU149" i="5"/>
  <c r="AU159" i="5"/>
  <c r="AU146" i="5"/>
  <c r="AU164" i="5"/>
  <c r="AU128" i="5"/>
  <c r="AU124" i="5"/>
  <c r="AU120" i="5"/>
  <c r="AU71" i="5"/>
  <c r="AU43" i="5"/>
  <c r="AU22" i="5"/>
  <c r="AU69" i="5"/>
  <c r="AU30" i="5"/>
  <c r="AU27" i="5"/>
  <c r="AU23" i="5"/>
  <c r="AU14" i="5"/>
  <c r="AU144" i="5"/>
  <c r="AU26" i="5"/>
  <c r="AU20" i="5"/>
  <c r="AU11" i="5"/>
  <c r="AV4" i="5"/>
  <c r="AU31" i="5"/>
  <c r="AU130" i="5"/>
  <c r="AU145" i="5"/>
  <c r="AU118" i="5"/>
  <c r="AU93" i="5"/>
  <c r="AU142" i="5"/>
  <c r="AU25" i="5"/>
  <c r="AU10" i="5"/>
  <c r="AU21" i="5"/>
  <c r="AU59" i="5"/>
  <c r="AU38" i="5" a="1"/>
  <c r="AU38" i="5" s="1"/>
  <c r="AU95" i="5"/>
  <c r="AU33" i="5"/>
  <c r="AU24" i="5"/>
  <c r="AU122" i="5"/>
  <c r="AU32" i="5"/>
  <c r="AU29" i="5"/>
  <c r="AU19" i="5"/>
  <c r="AV44" i="5" s="1"/>
  <c r="AV51" i="5" s="1"/>
  <c r="AU13" i="5"/>
  <c r="AU190" i="5" s="1"/>
  <c r="AU28" i="5"/>
  <c r="AU16" i="5"/>
  <c r="AU5" i="5"/>
  <c r="Q41" i="4"/>
  <c r="Q19" i="4"/>
  <c r="Q18" i="4" s="1"/>
  <c r="Q23" i="4" s="1"/>
  <c r="Q24" i="4" s="1"/>
  <c r="AS5" i="6"/>
  <c r="AQ4" i="7"/>
  <c r="AQ3" i="7" s="1"/>
  <c r="AT4" i="6"/>
  <c r="AR63" i="5"/>
  <c r="AR62" i="5" s="1"/>
  <c r="AU184" i="5"/>
  <c r="AU183" i="5"/>
  <c r="AS65" i="5"/>
  <c r="AS63" i="5" s="1"/>
  <c r="AS62" i="5" s="1"/>
  <c r="AS50" i="5"/>
  <c r="AS39" i="5"/>
  <c r="AT197" i="5" s="1"/>
  <c r="AT201" i="5" s="1"/>
  <c r="AT202" i="5" l="1"/>
  <c r="AT210" i="5"/>
  <c r="AV56" i="5"/>
  <c r="AV54" i="5" s="1"/>
  <c r="AV68" i="5" s="1"/>
  <c r="AU52" i="5"/>
  <c r="AU91" i="5"/>
  <c r="AV184" i="5"/>
  <c r="AV183" i="5"/>
  <c r="AU66" i="5"/>
  <c r="AV66" i="5"/>
  <c r="AV65" i="5" s="1"/>
  <c r="AV63" i="5" s="1"/>
  <c r="AS48" i="5"/>
  <c r="AU56" i="5"/>
  <c r="AV185" i="5"/>
  <c r="AW181" i="5" s="1"/>
  <c r="AV168" i="5"/>
  <c r="AV166" i="5"/>
  <c r="AV163" i="5"/>
  <c r="AV162" i="5"/>
  <c r="AV150" i="5"/>
  <c r="AV169" i="5"/>
  <c r="AV148" i="5"/>
  <c r="AV141" i="5"/>
  <c r="AV72" i="5"/>
  <c r="AV70" i="5"/>
  <c r="AV159" i="5"/>
  <c r="AV152" i="5"/>
  <c r="AV146" i="5"/>
  <c r="AV139" i="5"/>
  <c r="AV132" i="5"/>
  <c r="AV130" i="5"/>
  <c r="AV128" i="5"/>
  <c r="AV126" i="5"/>
  <c r="AV124" i="5"/>
  <c r="AV122" i="5"/>
  <c r="AV120" i="5"/>
  <c r="AV118" i="5"/>
  <c r="AV59" i="5"/>
  <c r="AV167" i="5"/>
  <c r="AV164" i="5"/>
  <c r="AV145" i="5"/>
  <c r="AV133" i="5"/>
  <c r="AV140" i="5"/>
  <c r="AV119" i="5"/>
  <c r="AV93" i="5"/>
  <c r="AV81" i="5"/>
  <c r="AV69" i="5"/>
  <c r="AV158" i="5"/>
  <c r="AV129" i="5"/>
  <c r="AV160" i="5"/>
  <c r="AV161" i="5"/>
  <c r="AV147" i="5"/>
  <c r="AV138" i="5"/>
  <c r="AV134" i="5"/>
  <c r="AV171" i="5" s="1" a="1"/>
  <c r="AV171" i="5" s="1"/>
  <c r="AV13" i="5"/>
  <c r="AV190" i="5" s="1"/>
  <c r="AV165" i="5"/>
  <c r="AV154" i="5"/>
  <c r="AV153" i="5"/>
  <c r="AV95" i="5"/>
  <c r="AV149" i="5"/>
  <c r="AV144" i="5"/>
  <c r="AV151" i="5"/>
  <c r="AV143" i="5"/>
  <c r="AV142" i="5"/>
  <c r="AV92" i="5"/>
  <c r="AV32" i="5"/>
  <c r="AV30" i="5"/>
  <c r="AV28" i="5"/>
  <c r="AV26" i="5"/>
  <c r="AV24" i="5"/>
  <c r="AV131" i="5"/>
  <c r="AV121" i="5"/>
  <c r="AV43" i="5"/>
  <c r="AV52" i="5" s="1"/>
  <c r="AV67" i="5" s="1"/>
  <c r="AV20" i="5"/>
  <c r="AV11" i="5"/>
  <c r="AW4" i="5"/>
  <c r="AV94" i="5"/>
  <c r="AV31" i="5"/>
  <c r="AV16" i="5"/>
  <c r="AV125" i="5"/>
  <c r="AV88" i="5"/>
  <c r="AV87" i="5" s="1"/>
  <c r="AV123" i="5"/>
  <c r="AV127" i="5"/>
  <c r="AV33" i="5"/>
  <c r="AV71" i="5"/>
  <c r="AV22" i="5"/>
  <c r="AV27" i="5"/>
  <c r="AV14" i="5"/>
  <c r="AV29" i="5"/>
  <c r="AV23" i="5"/>
  <c r="AV19" i="5"/>
  <c r="AW44" i="5" s="1"/>
  <c r="AW51" i="5" s="1"/>
  <c r="AV25" i="5"/>
  <c r="AV10" i="5"/>
  <c r="AV21" i="5"/>
  <c r="AV5" i="5"/>
  <c r="AT39" i="5"/>
  <c r="AU197" i="5" s="1"/>
  <c r="AU201" i="5" s="1"/>
  <c r="AT84" i="5"/>
  <c r="AT209" i="5"/>
  <c r="AS211" i="5"/>
  <c r="AR177" i="5"/>
  <c r="AR175" i="5"/>
  <c r="AR176" i="5"/>
  <c r="AR4" i="7"/>
  <c r="AR3" i="7" s="1"/>
  <c r="AT5" i="6"/>
  <c r="AU4" i="6"/>
  <c r="AU37" i="5"/>
  <c r="AT40" i="5"/>
  <c r="AU210" i="5" l="1"/>
  <c r="AU202" i="5"/>
  <c r="AU39" i="5"/>
  <c r="AV197" i="5" s="1"/>
  <c r="AV201" i="5" s="1"/>
  <c r="AU84" i="5"/>
  <c r="AU83" i="5" s="1"/>
  <c r="AW184" i="5"/>
  <c r="AW183" i="5"/>
  <c r="AU54" i="5"/>
  <c r="AV50" i="5"/>
  <c r="AV48" i="5" s="1"/>
  <c r="AU5" i="6"/>
  <c r="AS4" i="7"/>
  <c r="AS3" i="7" s="1"/>
  <c r="AV4" i="6"/>
  <c r="AV91" i="5"/>
  <c r="AU40" i="5"/>
  <c r="AW66" i="5"/>
  <c r="AW166" i="5"/>
  <c r="AW164" i="5"/>
  <c r="AW169" i="5"/>
  <c r="AW160" i="5"/>
  <c r="AW148" i="5"/>
  <c r="AW146" i="5"/>
  <c r="AW144" i="5"/>
  <c r="AW142" i="5"/>
  <c r="AW140" i="5"/>
  <c r="AW138" i="5"/>
  <c r="AW133" i="5"/>
  <c r="AW159" i="5"/>
  <c r="AW152" i="5"/>
  <c r="AW139" i="5"/>
  <c r="AW132" i="5"/>
  <c r="AW130" i="5"/>
  <c r="AW128" i="5"/>
  <c r="AW126" i="5"/>
  <c r="AW124" i="5"/>
  <c r="AW122" i="5"/>
  <c r="AW120" i="5"/>
  <c r="AW118" i="5"/>
  <c r="AW59" i="5"/>
  <c r="AW165" i="5"/>
  <c r="AW134" i="5"/>
  <c r="AW171" i="5" s="1" a="1"/>
  <c r="AW171" i="5" s="1"/>
  <c r="AW43" i="5"/>
  <c r="AW185" i="5"/>
  <c r="AX181" i="5" s="1"/>
  <c r="AW158" i="5"/>
  <c r="AW151" i="5"/>
  <c r="AW143" i="5"/>
  <c r="AW94" i="5"/>
  <c r="AW92" i="5"/>
  <c r="AW88" i="5"/>
  <c r="AW87" i="5" s="1"/>
  <c r="AW150" i="5"/>
  <c r="AW129" i="5"/>
  <c r="AW167" i="5"/>
  <c r="AW153" i="5"/>
  <c r="AW123" i="5"/>
  <c r="AW163" i="5"/>
  <c r="AW154" i="5"/>
  <c r="AW95" i="5"/>
  <c r="AW21" i="5"/>
  <c r="AW19" i="5"/>
  <c r="AW149" i="5"/>
  <c r="AW131" i="5"/>
  <c r="AW127" i="5"/>
  <c r="AW33" i="5"/>
  <c r="AW31" i="5"/>
  <c r="AW29" i="5"/>
  <c r="AW27" i="5"/>
  <c r="AW168" i="5"/>
  <c r="AW145" i="5"/>
  <c r="AW147" i="5"/>
  <c r="AW81" i="5"/>
  <c r="AW26" i="5"/>
  <c r="AW24" i="5"/>
  <c r="AW125" i="5"/>
  <c r="AW16" i="5"/>
  <c r="AW56" i="5" s="1"/>
  <c r="AW54" i="5" s="1"/>
  <c r="AW68" i="5" s="1"/>
  <c r="AW28" i="5"/>
  <c r="AW162" i="5"/>
  <c r="AW119" i="5"/>
  <c r="AW141" i="5"/>
  <c r="AW93" i="5"/>
  <c r="AW161" i="5"/>
  <c r="AW72" i="5"/>
  <c r="AW71" i="5"/>
  <c r="AW23" i="5"/>
  <c r="AW14" i="5"/>
  <c r="AW30" i="5"/>
  <c r="AW20" i="5"/>
  <c r="AW11" i="5"/>
  <c r="AX4" i="5"/>
  <c r="AW32" i="5"/>
  <c r="AW10" i="5"/>
  <c r="AW69" i="5"/>
  <c r="AW25" i="5"/>
  <c r="AW13" i="5"/>
  <c r="AW190" i="5" s="1"/>
  <c r="AW70" i="5"/>
  <c r="AW121" i="5"/>
  <c r="AW5" i="5"/>
  <c r="AT83" i="5"/>
  <c r="AT62" i="5" s="1"/>
  <c r="AV37" i="5"/>
  <c r="AU209" i="5"/>
  <c r="AT211" i="5"/>
  <c r="AV38" i="5" a="1"/>
  <c r="AV38" i="5" s="1"/>
  <c r="AV40" i="5" s="1"/>
  <c r="AU67" i="5"/>
  <c r="AS175" i="5"/>
  <c r="AS176" i="5"/>
  <c r="AS177" i="5"/>
  <c r="AU50" i="5"/>
  <c r="AV210" i="5" l="1"/>
  <c r="AV202" i="5"/>
  <c r="AW4" i="6"/>
  <c r="AT4" i="7"/>
  <c r="AT3" i="7" s="1"/>
  <c r="AV5" i="6"/>
  <c r="AW37" i="5"/>
  <c r="AU48" i="5"/>
  <c r="AV39" i="5"/>
  <c r="AW197" i="5" s="1"/>
  <c r="AW201" i="5" s="1"/>
  <c r="AV84" i="5"/>
  <c r="AV83" i="5" s="1"/>
  <c r="AV62" i="5" s="1"/>
  <c r="AV175" i="5" s="1"/>
  <c r="AX44" i="5"/>
  <c r="AX51" i="5" s="1"/>
  <c r="AW38" i="5" a="1"/>
  <c r="AW38" i="5" s="1"/>
  <c r="AW40" i="5" s="1"/>
  <c r="AT175" i="5"/>
  <c r="AT176" i="5"/>
  <c r="AT177" i="5"/>
  <c r="AX184" i="5"/>
  <c r="AX183" i="5"/>
  <c r="AX169" i="5"/>
  <c r="AX167" i="5"/>
  <c r="AX165" i="5"/>
  <c r="AX163" i="5"/>
  <c r="AX161" i="5"/>
  <c r="AX159" i="5"/>
  <c r="AX154" i="5"/>
  <c r="AX152" i="5"/>
  <c r="AX150" i="5"/>
  <c r="AX148" i="5"/>
  <c r="AX164" i="5"/>
  <c r="AX185" i="5"/>
  <c r="AY181" i="5" s="1"/>
  <c r="AX168" i="5"/>
  <c r="AX158" i="5"/>
  <c r="AX146" i="5"/>
  <c r="AX134" i="5"/>
  <c r="AX171" i="5" s="1" a="1"/>
  <c r="AX171" i="5" s="1"/>
  <c r="AX43" i="5"/>
  <c r="AX52" i="5" s="1"/>
  <c r="AX67" i="5" s="1"/>
  <c r="AX153" i="5"/>
  <c r="AX149" i="5"/>
  <c r="AX144" i="5"/>
  <c r="AX95" i="5"/>
  <c r="AX93" i="5"/>
  <c r="AX166" i="5"/>
  <c r="AX162" i="5"/>
  <c r="AX141" i="5"/>
  <c r="AX139" i="5"/>
  <c r="AX126" i="5"/>
  <c r="AX123" i="5"/>
  <c r="AX88" i="5"/>
  <c r="AX87" i="5" s="1"/>
  <c r="AX72" i="5"/>
  <c r="AX147" i="5"/>
  <c r="AX138" i="5"/>
  <c r="AX120" i="5"/>
  <c r="AX131" i="5"/>
  <c r="AX127" i="5"/>
  <c r="AX33" i="5"/>
  <c r="AX31" i="5"/>
  <c r="AX29" i="5"/>
  <c r="AX27" i="5"/>
  <c r="AX25" i="5"/>
  <c r="AX23" i="5"/>
  <c r="AX133" i="5"/>
  <c r="AX129" i="5"/>
  <c r="AX125" i="5"/>
  <c r="AX121" i="5"/>
  <c r="AX81" i="5"/>
  <c r="AX160" i="5"/>
  <c r="AX145" i="5"/>
  <c r="AX122" i="5"/>
  <c r="AX118" i="5"/>
  <c r="AX94" i="5"/>
  <c r="AX16" i="5"/>
  <c r="AX132" i="5"/>
  <c r="AX130" i="5"/>
  <c r="AX92" i="5"/>
  <c r="AX28" i="5"/>
  <c r="AX24" i="5"/>
  <c r="AX21" i="5"/>
  <c r="AX140" i="5"/>
  <c r="AX119" i="5"/>
  <c r="AX124" i="5"/>
  <c r="AX151" i="5"/>
  <c r="AX142" i="5"/>
  <c r="AX128" i="5"/>
  <c r="AX70" i="5"/>
  <c r="AX69" i="5"/>
  <c r="AX59" i="5"/>
  <c r="AX30" i="5"/>
  <c r="AX20" i="5"/>
  <c r="AX11" i="5"/>
  <c r="AY4" i="5"/>
  <c r="AX10" i="5"/>
  <c r="AX143" i="5"/>
  <c r="AX14" i="5"/>
  <c r="AX32" i="5"/>
  <c r="AX19" i="5"/>
  <c r="AX13" i="5"/>
  <c r="AX190" i="5" s="1"/>
  <c r="AX26" i="5"/>
  <c r="AX38" i="5" s="1" a="1"/>
  <c r="AX38" i="5" s="1"/>
  <c r="AX71" i="5"/>
  <c r="AX22" i="5"/>
  <c r="AX5" i="5"/>
  <c r="AW91" i="5"/>
  <c r="AX56" i="5"/>
  <c r="AX54" i="5" s="1"/>
  <c r="AX68" i="5" s="1"/>
  <c r="AW52" i="5"/>
  <c r="AU68" i="5"/>
  <c r="AU65" i="5" s="1"/>
  <c r="AV209" i="5"/>
  <c r="AU211" i="5"/>
  <c r="AU63" i="5" l="1"/>
  <c r="AU62" i="5" s="1"/>
  <c r="AW210" i="5"/>
  <c r="AW202" i="5"/>
  <c r="AX40" i="5"/>
  <c r="AY44" i="5"/>
  <c r="AY51" i="5" s="1"/>
  <c r="AU4" i="7"/>
  <c r="AU3" i="7" s="1"/>
  <c r="AX4" i="6"/>
  <c r="AW5" i="6"/>
  <c r="AY169" i="5"/>
  <c r="AY166" i="5"/>
  <c r="AY153" i="5"/>
  <c r="AY168" i="5"/>
  <c r="AY167" i="5"/>
  <c r="AY165" i="5"/>
  <c r="AY149" i="5"/>
  <c r="AY144" i="5"/>
  <c r="AY95" i="5"/>
  <c r="AY93" i="5"/>
  <c r="AY160" i="5"/>
  <c r="AY142" i="5"/>
  <c r="AY71" i="5"/>
  <c r="AY69" i="5"/>
  <c r="AY139" i="5"/>
  <c r="AY132" i="5"/>
  <c r="AY130" i="5"/>
  <c r="AY128" i="5"/>
  <c r="AY126" i="5"/>
  <c r="AY124" i="5"/>
  <c r="AY122" i="5"/>
  <c r="AY120" i="5"/>
  <c r="AY118" i="5"/>
  <c r="AY158" i="5"/>
  <c r="AY147" i="5"/>
  <c r="AY138" i="5"/>
  <c r="AY161" i="5"/>
  <c r="AY148" i="5"/>
  <c r="AY134" i="5"/>
  <c r="AY171" i="5" s="1" a="1"/>
  <c r="AY171" i="5" s="1"/>
  <c r="AY127" i="5"/>
  <c r="AY94" i="5"/>
  <c r="AY150" i="5"/>
  <c r="AY163" i="5"/>
  <c r="AY133" i="5"/>
  <c r="AY129" i="5"/>
  <c r="AY125" i="5"/>
  <c r="AY121" i="5"/>
  <c r="AY81" i="5"/>
  <c r="AY14" i="5"/>
  <c r="AY10" i="5"/>
  <c r="AY123" i="5"/>
  <c r="AY119" i="5"/>
  <c r="AY145" i="5"/>
  <c r="AY185" i="5"/>
  <c r="AZ181" i="5" s="1"/>
  <c r="AY159" i="5"/>
  <c r="AY146" i="5"/>
  <c r="AY152" i="5"/>
  <c r="AY151" i="5"/>
  <c r="AY143" i="5"/>
  <c r="AY162" i="5"/>
  <c r="AY141" i="5"/>
  <c r="AY140" i="5"/>
  <c r="AY88" i="5"/>
  <c r="AY87" i="5" s="1"/>
  <c r="AY154" i="5"/>
  <c r="AY92" i="5"/>
  <c r="AY31" i="5"/>
  <c r="AY28" i="5"/>
  <c r="AY24" i="5"/>
  <c r="AY32" i="5"/>
  <c r="AY19" i="5"/>
  <c r="AZ44" i="5" s="1"/>
  <c r="AZ51" i="5" s="1"/>
  <c r="AY13" i="5"/>
  <c r="AY190" i="5" s="1"/>
  <c r="AY21" i="5"/>
  <c r="AY22" i="5"/>
  <c r="AY164" i="5"/>
  <c r="AY27" i="5"/>
  <c r="AY26" i="5"/>
  <c r="AY131" i="5"/>
  <c r="AY72" i="5"/>
  <c r="AY33" i="5"/>
  <c r="AY30" i="5"/>
  <c r="AY23" i="5"/>
  <c r="AY20" i="5"/>
  <c r="AY11" i="5"/>
  <c r="AZ4" i="5"/>
  <c r="AY59" i="5"/>
  <c r="AY29" i="5"/>
  <c r="AY25" i="5"/>
  <c r="AY43" i="5"/>
  <c r="AY52" i="5" s="1"/>
  <c r="AY67" i="5" s="1"/>
  <c r="AY70" i="5"/>
  <c r="AY16" i="5"/>
  <c r="AY56" i="5" s="1"/>
  <c r="AY54" i="5" s="1"/>
  <c r="AY68" i="5" s="1"/>
  <c r="AY5" i="5"/>
  <c r="AX91" i="5"/>
  <c r="AV176" i="5"/>
  <c r="AU177" i="5"/>
  <c r="AU175" i="5"/>
  <c r="AU176" i="5"/>
  <c r="AW39" i="5"/>
  <c r="AX197" i="5" s="1"/>
  <c r="AX201" i="5" s="1"/>
  <c r="AW84" i="5"/>
  <c r="AW83" i="5" s="1"/>
  <c r="AY183" i="5"/>
  <c r="AY184" i="5"/>
  <c r="AW67" i="5"/>
  <c r="AW65" i="5" s="1"/>
  <c r="AW63" i="5" s="1"/>
  <c r="AW50" i="5"/>
  <c r="AX50" i="5"/>
  <c r="AX48" i="5" s="1"/>
  <c r="AX66" i="5"/>
  <c r="AX65" i="5" s="1"/>
  <c r="AX63" i="5" s="1"/>
  <c r="AX37" i="5"/>
  <c r="AV177" i="5"/>
  <c r="AV211" i="5"/>
  <c r="AW209" i="5"/>
  <c r="AX210" i="5" l="1"/>
  <c r="AX202" i="5"/>
  <c r="AZ66" i="5"/>
  <c r="AY37" i="5"/>
  <c r="AW62" i="5"/>
  <c r="AX39" i="5"/>
  <c r="AY197" i="5" s="1"/>
  <c r="AY201" i="5" s="1"/>
  <c r="AZ169" i="5"/>
  <c r="AZ167" i="5"/>
  <c r="AZ164" i="5"/>
  <c r="AZ168" i="5"/>
  <c r="AZ151" i="5"/>
  <c r="AZ185" i="5"/>
  <c r="BA181" i="5" s="1"/>
  <c r="AZ160" i="5"/>
  <c r="AZ153" i="5"/>
  <c r="AZ142" i="5"/>
  <c r="AZ71" i="5"/>
  <c r="AZ69" i="5"/>
  <c r="AZ163" i="5"/>
  <c r="AZ147" i="5"/>
  <c r="AZ140" i="5"/>
  <c r="AZ131" i="5"/>
  <c r="AZ129" i="5"/>
  <c r="AZ127" i="5"/>
  <c r="AZ125" i="5"/>
  <c r="AZ123" i="5"/>
  <c r="AZ121" i="5"/>
  <c r="AZ119" i="5"/>
  <c r="AZ159" i="5"/>
  <c r="AZ152" i="5"/>
  <c r="AZ148" i="5"/>
  <c r="AZ146" i="5"/>
  <c r="AZ134" i="5"/>
  <c r="AZ171" i="5" s="1" a="1"/>
  <c r="AZ171" i="5" s="1"/>
  <c r="AZ161" i="5"/>
  <c r="AZ120" i="5"/>
  <c r="AZ94" i="5"/>
  <c r="AZ70" i="5"/>
  <c r="AZ145" i="5"/>
  <c r="AZ133" i="5"/>
  <c r="AZ130" i="5"/>
  <c r="AZ158" i="5"/>
  <c r="AZ165" i="5"/>
  <c r="AZ149" i="5"/>
  <c r="AZ166" i="5"/>
  <c r="AZ144" i="5"/>
  <c r="AZ143" i="5"/>
  <c r="AZ132" i="5"/>
  <c r="AZ154" i="5"/>
  <c r="AZ33" i="5"/>
  <c r="AZ31" i="5"/>
  <c r="AZ29" i="5"/>
  <c r="AZ27" i="5"/>
  <c r="AZ25" i="5"/>
  <c r="AZ23" i="5"/>
  <c r="AZ139" i="5"/>
  <c r="AZ126" i="5"/>
  <c r="AZ21" i="5"/>
  <c r="AZ162" i="5"/>
  <c r="AZ88" i="5"/>
  <c r="AZ87" i="5" s="1"/>
  <c r="AZ32" i="5"/>
  <c r="AZ22" i="5"/>
  <c r="AZ19" i="5"/>
  <c r="AZ13" i="5"/>
  <c r="AZ190" i="5" s="1"/>
  <c r="AZ10" i="5"/>
  <c r="AZ150" i="5"/>
  <c r="AZ124" i="5"/>
  <c r="AZ141" i="5"/>
  <c r="AZ93" i="5"/>
  <c r="AZ128" i="5"/>
  <c r="AZ118" i="5"/>
  <c r="AZ72" i="5"/>
  <c r="AZ59" i="5"/>
  <c r="AZ138" i="5"/>
  <c r="AZ122" i="5"/>
  <c r="AZ95" i="5"/>
  <c r="AZ43" i="5"/>
  <c r="AZ52" i="5" s="1"/>
  <c r="AZ67" i="5" s="1"/>
  <c r="AZ16" i="5"/>
  <c r="AZ92" i="5"/>
  <c r="AZ91" i="5" s="1"/>
  <c r="AZ81" i="5"/>
  <c r="AZ30" i="5"/>
  <c r="AZ20" i="5"/>
  <c r="AZ38" i="5" s="1" a="1"/>
  <c r="AZ38" i="5" s="1"/>
  <c r="AZ14" i="5"/>
  <c r="AZ11" i="5"/>
  <c r="BA4" i="5"/>
  <c r="AZ24" i="5"/>
  <c r="AZ26" i="5"/>
  <c r="AZ28" i="5"/>
  <c r="AZ5" i="5"/>
  <c r="AZ56" i="5"/>
  <c r="AZ54" i="5" s="1"/>
  <c r="AZ68" i="5" s="1"/>
  <c r="AW211" i="5"/>
  <c r="AX209" i="5"/>
  <c r="AY66" i="5"/>
  <c r="AY65" i="5" s="1"/>
  <c r="AY63" i="5" s="1"/>
  <c r="AY50" i="5"/>
  <c r="AY48" i="5" s="1"/>
  <c r="AW48" i="5"/>
  <c r="AZ184" i="5"/>
  <c r="AZ183" i="5"/>
  <c r="AY38" i="5" a="1"/>
  <c r="AY38" i="5" s="1"/>
  <c r="AY91" i="5"/>
  <c r="AY4" i="6"/>
  <c r="AV4" i="7"/>
  <c r="AV3" i="7" s="1"/>
  <c r="AX5" i="6"/>
  <c r="AX84" i="5"/>
  <c r="AX83" i="5" s="1"/>
  <c r="AX62" i="5" s="1"/>
  <c r="AY210" i="5" l="1"/>
  <c r="AY202" i="5"/>
  <c r="AX177" i="5"/>
  <c r="AX176" i="5"/>
  <c r="AX175" i="5"/>
  <c r="AZ37" i="5"/>
  <c r="AZ65" i="5"/>
  <c r="AZ63" i="5" s="1"/>
  <c r="AY39" i="5"/>
  <c r="AZ197" i="5" s="1"/>
  <c r="AZ201" i="5" s="1"/>
  <c r="AY84" i="5"/>
  <c r="AY83" i="5" s="1"/>
  <c r="BA44" i="5"/>
  <c r="BA51" i="5" s="1"/>
  <c r="AZ50" i="5"/>
  <c r="AZ48" i="5" s="1"/>
  <c r="AW176" i="5"/>
  <c r="AW177" i="5"/>
  <c r="AW175" i="5"/>
  <c r="BA185" i="5"/>
  <c r="BB181" i="5" s="1"/>
  <c r="BA167" i="5"/>
  <c r="BA165" i="5"/>
  <c r="BA161" i="5"/>
  <c r="BA149" i="5"/>
  <c r="BA147" i="5"/>
  <c r="BA145" i="5"/>
  <c r="BA143" i="5"/>
  <c r="BA141" i="5"/>
  <c r="BA139" i="5"/>
  <c r="BA134" i="5"/>
  <c r="BA171" i="5" s="1" a="1"/>
  <c r="BA171" i="5" s="1"/>
  <c r="R40" i="4" s="1"/>
  <c r="BA166" i="5"/>
  <c r="BA163" i="5"/>
  <c r="BA140" i="5"/>
  <c r="BA131" i="5"/>
  <c r="BA129" i="5"/>
  <c r="BA127" i="5"/>
  <c r="BA125" i="5"/>
  <c r="BA123" i="5"/>
  <c r="BA121" i="5"/>
  <c r="BA119" i="5"/>
  <c r="BA154" i="5"/>
  <c r="BA150" i="5"/>
  <c r="BA138" i="5"/>
  <c r="BA144" i="5"/>
  <c r="BA95" i="5"/>
  <c r="R57" i="4" s="1"/>
  <c r="BA93" i="5"/>
  <c r="R55" i="4" s="1"/>
  <c r="BA169" i="5"/>
  <c r="BA153" i="5"/>
  <c r="BA148" i="5"/>
  <c r="BA133" i="5"/>
  <c r="BA130" i="5"/>
  <c r="BA151" i="5"/>
  <c r="BA146" i="5"/>
  <c r="BA124" i="5"/>
  <c r="BA20" i="5"/>
  <c r="BB4" i="5"/>
  <c r="BA168" i="5"/>
  <c r="BA160" i="5"/>
  <c r="BA70" i="5"/>
  <c r="BA69" i="5"/>
  <c r="BA59" i="5"/>
  <c r="R39" i="4" s="1"/>
  <c r="BA32" i="5"/>
  <c r="BA30" i="5"/>
  <c r="BA28" i="5"/>
  <c r="BA159" i="5"/>
  <c r="BA152" i="5"/>
  <c r="BA132" i="5"/>
  <c r="BA164" i="5"/>
  <c r="BA162" i="5"/>
  <c r="BA142" i="5"/>
  <c r="BA81" i="5"/>
  <c r="BA88" i="5"/>
  <c r="BA87" i="5" s="1"/>
  <c r="R52" i="4" s="1"/>
  <c r="BA22" i="5"/>
  <c r="BA19" i="5"/>
  <c r="BB44" i="5" s="1"/>
  <c r="BB51" i="5" s="1"/>
  <c r="BA13" i="5"/>
  <c r="BA190" i="5" s="1"/>
  <c r="BA29" i="5"/>
  <c r="BA25" i="5"/>
  <c r="BA120" i="5"/>
  <c r="BA10" i="5"/>
  <c r="BA158" i="5"/>
  <c r="BA128" i="5"/>
  <c r="BA118" i="5"/>
  <c r="BA72" i="5"/>
  <c r="BA71" i="5"/>
  <c r="BA33" i="5"/>
  <c r="BA122" i="5"/>
  <c r="BA92" i="5"/>
  <c r="BA24" i="5"/>
  <c r="BA23" i="5"/>
  <c r="BA27" i="5"/>
  <c r="BA94" i="5"/>
  <c r="R56" i="4" s="1"/>
  <c r="BA43" i="5"/>
  <c r="BA126" i="5"/>
  <c r="BA26" i="5"/>
  <c r="BA16" i="5"/>
  <c r="BA56" i="5" s="1"/>
  <c r="BA31" i="5"/>
  <c r="BA21" i="5"/>
  <c r="BA14" i="5"/>
  <c r="BA11" i="5"/>
  <c r="BA5" i="5"/>
  <c r="AW4" i="7"/>
  <c r="AW3" i="7" s="1"/>
  <c r="AZ4" i="6"/>
  <c r="AY5" i="6"/>
  <c r="AY40" i="5"/>
  <c r="AY62" i="5"/>
  <c r="AY175" i="5" s="1"/>
  <c r="BA183" i="5"/>
  <c r="BA184" i="5"/>
  <c r="AY209" i="5"/>
  <c r="AX211" i="5"/>
  <c r="AZ210" i="5" l="1"/>
  <c r="AZ202" i="5"/>
  <c r="BA54" i="5"/>
  <c r="R37" i="4"/>
  <c r="BA37" i="5"/>
  <c r="AY177" i="5"/>
  <c r="BB183" i="5"/>
  <c r="BB184" i="5"/>
  <c r="AY176" i="5"/>
  <c r="AZ5" i="6"/>
  <c r="BA4" i="6"/>
  <c r="AX4" i="7"/>
  <c r="AX3" i="7" s="1"/>
  <c r="AZ39" i="5"/>
  <c r="R16" i="4"/>
  <c r="BA52" i="5"/>
  <c r="R30" i="4"/>
  <c r="R12" i="4" s="1"/>
  <c r="BB66" i="5"/>
  <c r="AY211" i="5"/>
  <c r="AZ209" i="5"/>
  <c r="R17" i="4"/>
  <c r="BA50" i="5"/>
  <c r="BA66" i="5"/>
  <c r="R33" i="4"/>
  <c r="BB168" i="5"/>
  <c r="BB166" i="5"/>
  <c r="BB164" i="5"/>
  <c r="BB162" i="5"/>
  <c r="BB160" i="5"/>
  <c r="BB158" i="5"/>
  <c r="BB153" i="5"/>
  <c r="BB151" i="5"/>
  <c r="BB149" i="5"/>
  <c r="BB165" i="5"/>
  <c r="BB163" i="5"/>
  <c r="BB169" i="5"/>
  <c r="BB185" i="5"/>
  <c r="BC181" i="5" s="1"/>
  <c r="BB167" i="5"/>
  <c r="BB159" i="5"/>
  <c r="BB154" i="5"/>
  <c r="BB150" i="5"/>
  <c r="BB147" i="5"/>
  <c r="BB138" i="5"/>
  <c r="BB161" i="5"/>
  <c r="BB145" i="5"/>
  <c r="BB133" i="5"/>
  <c r="BB94" i="5"/>
  <c r="BB92" i="5"/>
  <c r="BB88" i="5"/>
  <c r="BB87" i="5" s="1"/>
  <c r="BB81" i="5"/>
  <c r="BB142" i="5"/>
  <c r="BB146" i="5"/>
  <c r="BB134" i="5"/>
  <c r="BB171" i="5" s="1" a="1"/>
  <c r="BB171" i="5" s="1"/>
  <c r="BB127" i="5"/>
  <c r="BB124" i="5"/>
  <c r="BB121" i="5"/>
  <c r="BB118" i="5"/>
  <c r="BB148" i="5"/>
  <c r="BB123" i="5"/>
  <c r="BB119" i="5"/>
  <c r="BB70" i="5"/>
  <c r="BB69" i="5"/>
  <c r="BB59" i="5"/>
  <c r="BB32" i="5"/>
  <c r="BB30" i="5"/>
  <c r="BB28" i="5"/>
  <c r="BB26" i="5"/>
  <c r="BB24" i="5"/>
  <c r="BB22" i="5"/>
  <c r="BB16" i="5"/>
  <c r="BB11" i="5"/>
  <c r="BB72" i="5"/>
  <c r="BB71" i="5"/>
  <c r="BB43" i="5"/>
  <c r="BB152" i="5"/>
  <c r="BB144" i="5"/>
  <c r="BB143" i="5"/>
  <c r="BB132" i="5"/>
  <c r="BB141" i="5"/>
  <c r="BB139" i="5"/>
  <c r="BB131" i="5"/>
  <c r="BB95" i="5"/>
  <c r="BB130" i="5"/>
  <c r="BB125" i="5"/>
  <c r="BB120" i="5"/>
  <c r="BB10" i="5"/>
  <c r="BB14" i="5"/>
  <c r="BB140" i="5"/>
  <c r="BB29" i="5"/>
  <c r="BB25" i="5"/>
  <c r="BB129" i="5"/>
  <c r="BB128" i="5"/>
  <c r="BB93" i="5"/>
  <c r="BB33" i="5"/>
  <c r="BB122" i="5"/>
  <c r="BB126" i="5"/>
  <c r="BB31" i="5"/>
  <c r="BB21" i="5"/>
  <c r="BB27" i="5"/>
  <c r="BB19" i="5"/>
  <c r="BB13" i="5"/>
  <c r="BB190" i="5" s="1"/>
  <c r="BB23" i="5"/>
  <c r="BB20" i="5"/>
  <c r="BB38" i="5" s="1" a="1"/>
  <c r="BB38" i="5" s="1"/>
  <c r="BC4" i="5"/>
  <c r="BB5" i="5"/>
  <c r="AZ84" i="5"/>
  <c r="AZ83" i="5" s="1"/>
  <c r="AZ62" i="5" s="1"/>
  <c r="BA91" i="5"/>
  <c r="R54" i="4"/>
  <c r="BA38" i="5" a="1"/>
  <c r="BA38" i="5" s="1"/>
  <c r="BA40" i="5" s="1"/>
  <c r="AZ40" i="5"/>
  <c r="BA197" i="5" s="1"/>
  <c r="BA201" i="5" s="1"/>
  <c r="AZ177" i="5" l="1"/>
  <c r="AZ176" i="5"/>
  <c r="AZ175" i="5"/>
  <c r="BA202" i="5"/>
  <c r="BA210" i="5"/>
  <c r="BB84" i="5"/>
  <c r="R53" i="4"/>
  <c r="BC56" i="5"/>
  <c r="BC54" i="5" s="1"/>
  <c r="BC68" i="5" s="1"/>
  <c r="BA5" i="6"/>
  <c r="AY4" i="7"/>
  <c r="AY3" i="7" s="1"/>
  <c r="BB4" i="6"/>
  <c r="BB56" i="5"/>
  <c r="BA48" i="5"/>
  <c r="R32" i="4"/>
  <c r="BA39" i="5"/>
  <c r="BB197" i="5" s="1"/>
  <c r="BB201" i="5" s="1"/>
  <c r="BA84" i="5"/>
  <c r="BC184" i="5"/>
  <c r="BC183" i="5"/>
  <c r="BA67" i="5"/>
  <c r="R34" i="4"/>
  <c r="BA68" i="5"/>
  <c r="BA65" i="5" s="1"/>
  <c r="R35" i="4"/>
  <c r="BB91" i="5"/>
  <c r="BC44" i="5"/>
  <c r="BC51" i="5" s="1"/>
  <c r="BB37" i="5"/>
  <c r="BB52" i="5"/>
  <c r="BC163" i="5"/>
  <c r="BC167" i="5"/>
  <c r="BC166" i="5"/>
  <c r="BC154" i="5"/>
  <c r="BC161" i="5"/>
  <c r="BC145" i="5"/>
  <c r="BC133" i="5"/>
  <c r="BC94" i="5"/>
  <c r="BC92" i="5"/>
  <c r="BC88" i="5"/>
  <c r="BC87" i="5" s="1"/>
  <c r="BC81" i="5"/>
  <c r="BC143" i="5"/>
  <c r="BC72" i="5"/>
  <c r="BC70" i="5"/>
  <c r="BC185" i="5"/>
  <c r="BD181" i="5" s="1"/>
  <c r="BC165" i="5"/>
  <c r="BC160" i="5"/>
  <c r="BC153" i="5"/>
  <c r="BC149" i="5"/>
  <c r="BC140" i="5"/>
  <c r="BC131" i="5"/>
  <c r="BC129" i="5"/>
  <c r="BC127" i="5"/>
  <c r="BC125" i="5"/>
  <c r="BC123" i="5"/>
  <c r="BC121" i="5"/>
  <c r="BC119" i="5"/>
  <c r="BC151" i="5"/>
  <c r="BC118" i="5"/>
  <c r="BC159" i="5"/>
  <c r="BC144" i="5"/>
  <c r="BC128" i="5"/>
  <c r="BC95" i="5"/>
  <c r="BC169" i="5"/>
  <c r="BC147" i="5"/>
  <c r="BC146" i="5"/>
  <c r="BC168" i="5"/>
  <c r="BC71" i="5"/>
  <c r="BC43" i="5"/>
  <c r="BC52" i="5" s="1"/>
  <c r="BC67" i="5" s="1"/>
  <c r="BC152" i="5"/>
  <c r="BC132" i="5"/>
  <c r="BC93" i="5"/>
  <c r="BC148" i="5"/>
  <c r="BC164" i="5"/>
  <c r="BC162" i="5"/>
  <c r="BC142" i="5"/>
  <c r="BC141" i="5"/>
  <c r="BC158" i="5"/>
  <c r="BC150" i="5"/>
  <c r="BC138" i="5"/>
  <c r="BC32" i="5"/>
  <c r="BC29" i="5"/>
  <c r="BC25" i="5"/>
  <c r="BC11" i="5"/>
  <c r="BC124" i="5"/>
  <c r="BC14" i="5"/>
  <c r="BC33" i="5"/>
  <c r="BC23" i="5"/>
  <c r="BC20" i="5"/>
  <c r="BD4" i="5"/>
  <c r="BC122" i="5"/>
  <c r="BC59" i="5"/>
  <c r="BC134" i="5"/>
  <c r="BC171" i="5" s="1" a="1"/>
  <c r="BC171" i="5" s="1"/>
  <c r="BC126" i="5"/>
  <c r="BC28" i="5"/>
  <c r="BC19" i="5"/>
  <c r="BC13" i="5"/>
  <c r="BC190" i="5" s="1"/>
  <c r="BC16" i="5"/>
  <c r="BC120" i="5"/>
  <c r="BC24" i="5"/>
  <c r="BC10" i="5"/>
  <c r="BC130" i="5"/>
  <c r="BC69" i="5"/>
  <c r="BC26" i="5"/>
  <c r="BC139" i="5"/>
  <c r="BC31" i="5"/>
  <c r="BC21" i="5"/>
  <c r="BC22" i="5"/>
  <c r="BC30" i="5"/>
  <c r="BC27" i="5"/>
  <c r="BC5" i="5"/>
  <c r="AZ211" i="5"/>
  <c r="BA209" i="5"/>
  <c r="BB202" i="5" l="1"/>
  <c r="BB210" i="5"/>
  <c r="BA63" i="5"/>
  <c r="R44" i="4"/>
  <c r="BB67" i="5"/>
  <c r="BB50" i="5"/>
  <c r="BC37" i="5"/>
  <c r="BC91" i="5"/>
  <c r="BA83" i="5"/>
  <c r="R50" i="4"/>
  <c r="R22" i="4"/>
  <c r="BB83" i="5"/>
  <c r="BA211" i="5"/>
  <c r="BB209" i="5"/>
  <c r="BD185" i="5"/>
  <c r="BE181" i="5" s="1"/>
  <c r="BD168" i="5"/>
  <c r="BD165" i="5"/>
  <c r="BD152" i="5"/>
  <c r="BD143" i="5"/>
  <c r="BD72" i="5"/>
  <c r="BD70" i="5"/>
  <c r="BD162" i="5"/>
  <c r="BD158" i="5"/>
  <c r="BD151" i="5"/>
  <c r="BD141" i="5"/>
  <c r="BD132" i="5"/>
  <c r="BD130" i="5"/>
  <c r="BD128" i="5"/>
  <c r="BD126" i="5"/>
  <c r="BD124" i="5"/>
  <c r="BD122" i="5"/>
  <c r="BD120" i="5"/>
  <c r="BD118" i="5"/>
  <c r="BD59" i="5"/>
  <c r="BD169" i="5"/>
  <c r="BD150" i="5"/>
  <c r="BD147" i="5"/>
  <c r="BD138" i="5"/>
  <c r="BD167" i="5"/>
  <c r="BD159" i="5"/>
  <c r="BD145" i="5"/>
  <c r="BD144" i="5"/>
  <c r="BD121" i="5"/>
  <c r="BD95" i="5"/>
  <c r="BD71" i="5"/>
  <c r="BD131" i="5"/>
  <c r="BD161" i="5"/>
  <c r="BD153" i="5"/>
  <c r="BD166" i="5"/>
  <c r="BD160" i="5"/>
  <c r="BD93" i="5"/>
  <c r="BD13" i="5"/>
  <c r="BD190" i="5" s="1"/>
  <c r="BD148" i="5"/>
  <c r="BD92" i="5"/>
  <c r="BD164" i="5"/>
  <c r="BD146" i="5"/>
  <c r="BD142" i="5"/>
  <c r="BD140" i="5"/>
  <c r="BD139" i="5"/>
  <c r="BD134" i="5"/>
  <c r="BD171" i="5" s="1" a="1"/>
  <c r="BD171" i="5" s="1"/>
  <c r="BD129" i="5"/>
  <c r="BD125" i="5"/>
  <c r="BD69" i="5"/>
  <c r="BD32" i="5"/>
  <c r="BD30" i="5"/>
  <c r="BD28" i="5"/>
  <c r="BD26" i="5"/>
  <c r="BD24" i="5"/>
  <c r="BD22" i="5"/>
  <c r="BD14" i="5"/>
  <c r="BD119" i="5"/>
  <c r="BD33" i="5"/>
  <c r="BD23" i="5"/>
  <c r="BD20" i="5"/>
  <c r="BD11" i="5"/>
  <c r="BE4" i="5"/>
  <c r="BD27" i="5"/>
  <c r="BD133" i="5"/>
  <c r="BD123" i="5"/>
  <c r="BD43" i="5"/>
  <c r="BD52" i="5" s="1"/>
  <c r="BD67" i="5" s="1"/>
  <c r="BD127" i="5"/>
  <c r="BD163" i="5"/>
  <c r="BD149" i="5"/>
  <c r="BD94" i="5"/>
  <c r="BD81" i="5"/>
  <c r="BD10" i="5"/>
  <c r="BD29" i="5"/>
  <c r="BD38" i="5" s="1" a="1"/>
  <c r="BD38" i="5" s="1"/>
  <c r="BD40" i="5" s="1"/>
  <c r="BD21" i="5"/>
  <c r="BD19" i="5"/>
  <c r="BE44" i="5" s="1"/>
  <c r="BD25" i="5"/>
  <c r="BD154" i="5"/>
  <c r="BD16" i="5"/>
  <c r="BD31" i="5"/>
  <c r="BD88" i="5"/>
  <c r="BD87" i="5" s="1"/>
  <c r="BD5" i="5"/>
  <c r="BD37" i="5" s="1"/>
  <c r="BD84" i="5" s="1"/>
  <c r="BD83" i="5" s="1"/>
  <c r="R14" i="4"/>
  <c r="BB39" i="5"/>
  <c r="R31" i="4"/>
  <c r="BD44" i="5"/>
  <c r="BD51" i="5" s="1"/>
  <c r="BC38" i="5" a="1"/>
  <c r="BC38" i="5" s="1"/>
  <c r="BC40" i="5" s="1"/>
  <c r="BC66" i="5"/>
  <c r="BC65" i="5" s="1"/>
  <c r="BC63" i="5" s="1"/>
  <c r="BC50" i="5"/>
  <c r="BC48" i="5" s="1"/>
  <c r="BB54" i="5"/>
  <c r="BD184" i="5"/>
  <c r="BD183" i="5"/>
  <c r="R15" i="4"/>
  <c r="BB5" i="6"/>
  <c r="BC4" i="6"/>
  <c r="AZ4" i="7"/>
  <c r="AZ3" i="7" s="1"/>
  <c r="BB40" i="5"/>
  <c r="BC197" i="5" s="1"/>
  <c r="BC201" i="5" s="1"/>
  <c r="BC202" i="5" l="1"/>
  <c r="BC210" i="5"/>
  <c r="BB65" i="5"/>
  <c r="R49" i="4"/>
  <c r="BE197" i="5"/>
  <c r="BE201" i="5" s="1"/>
  <c r="BD39" i="5"/>
  <c r="BC5" i="6"/>
  <c r="BA4" i="7"/>
  <c r="BA3" i="7" s="1"/>
  <c r="BD4" i="6"/>
  <c r="BE184" i="5"/>
  <c r="BE183" i="5"/>
  <c r="BE56" i="5"/>
  <c r="BE54" i="5" s="1"/>
  <c r="BE68" i="5" s="1"/>
  <c r="BD91" i="5"/>
  <c r="R42" i="4"/>
  <c r="BD56" i="5"/>
  <c r="BE185" i="5"/>
  <c r="BF181" i="5" s="1"/>
  <c r="BE168" i="5"/>
  <c r="BE166" i="5"/>
  <c r="BE163" i="5"/>
  <c r="BE165" i="5"/>
  <c r="BE164" i="5"/>
  <c r="BE162" i="5"/>
  <c r="BE150" i="5"/>
  <c r="BE146" i="5"/>
  <c r="BE144" i="5"/>
  <c r="BE142" i="5"/>
  <c r="BE140" i="5"/>
  <c r="BE138" i="5"/>
  <c r="BE133" i="5"/>
  <c r="BE158" i="5"/>
  <c r="BE151" i="5"/>
  <c r="BE141" i="5"/>
  <c r="BE132" i="5"/>
  <c r="BE130" i="5"/>
  <c r="BE128" i="5"/>
  <c r="BE126" i="5"/>
  <c r="BE124" i="5"/>
  <c r="BE122" i="5"/>
  <c r="BE120" i="5"/>
  <c r="BE118" i="5"/>
  <c r="BE59" i="5"/>
  <c r="BE169" i="5"/>
  <c r="BE148" i="5"/>
  <c r="BE139" i="5"/>
  <c r="BE43" i="5"/>
  <c r="BE52" i="5" s="1"/>
  <c r="BE67" i="5" s="1"/>
  <c r="BE161" i="5"/>
  <c r="BE154" i="5"/>
  <c r="BE145" i="5"/>
  <c r="BE94" i="5"/>
  <c r="BE92" i="5"/>
  <c r="BE88" i="5"/>
  <c r="BE87" i="5" s="1"/>
  <c r="BE131" i="5"/>
  <c r="BE149" i="5"/>
  <c r="BE143" i="5"/>
  <c r="BE125" i="5"/>
  <c r="BE167" i="5"/>
  <c r="BE159" i="5"/>
  <c r="BE153" i="5"/>
  <c r="BE152" i="5"/>
  <c r="BE72" i="5"/>
  <c r="BE21" i="5"/>
  <c r="BE19" i="5"/>
  <c r="BF44" i="5" s="1"/>
  <c r="BF51" i="5" s="1"/>
  <c r="BE33" i="5"/>
  <c r="BE31" i="5"/>
  <c r="BE29" i="5"/>
  <c r="BE27" i="5"/>
  <c r="BE147" i="5"/>
  <c r="BE127" i="5"/>
  <c r="BE123" i="5"/>
  <c r="BE119" i="5"/>
  <c r="BE23" i="5"/>
  <c r="BE20" i="5"/>
  <c r="BE11" i="5"/>
  <c r="BF4" i="5"/>
  <c r="BE16" i="5"/>
  <c r="BE129" i="5"/>
  <c r="BE93" i="5"/>
  <c r="BE30" i="5"/>
  <c r="BE26" i="5"/>
  <c r="BE160" i="5"/>
  <c r="BE134" i="5"/>
  <c r="BE171" i="5" s="1" a="1"/>
  <c r="BE171" i="5" s="1"/>
  <c r="BE71" i="5"/>
  <c r="BE70" i="5"/>
  <c r="BE69" i="5"/>
  <c r="BE95" i="5"/>
  <c r="BE81" i="5"/>
  <c r="BE121" i="5"/>
  <c r="BE25" i="5"/>
  <c r="BE22" i="5"/>
  <c r="BE24" i="5"/>
  <c r="BE13" i="5"/>
  <c r="BE190" i="5" s="1"/>
  <c r="BE10" i="5"/>
  <c r="BE32" i="5"/>
  <c r="BE28" i="5"/>
  <c r="BE14" i="5"/>
  <c r="BE5" i="5"/>
  <c r="BA62" i="5"/>
  <c r="BC39" i="5"/>
  <c r="BD197" i="5" s="1"/>
  <c r="BD201" i="5" s="1"/>
  <c r="BC84" i="5"/>
  <c r="BC209" i="5"/>
  <c r="BB211" i="5"/>
  <c r="BB68" i="5"/>
  <c r="BB48" i="5"/>
  <c r="BE51" i="5"/>
  <c r="BD66" i="5"/>
  <c r="BD50" i="5"/>
  <c r="R13" i="4"/>
  <c r="BD210" i="5" l="1"/>
  <c r="BD202" i="5"/>
  <c r="BE50" i="5"/>
  <c r="BE66" i="5"/>
  <c r="BE65" i="5" s="1"/>
  <c r="BE63" i="5" s="1"/>
  <c r="BF184" i="5"/>
  <c r="BF183" i="5"/>
  <c r="BB175" i="5"/>
  <c r="BB176" i="5"/>
  <c r="BB63" i="5"/>
  <c r="BB62" i="5" s="1"/>
  <c r="BB177" i="5" s="1"/>
  <c r="R21" i="4"/>
  <c r="BF169" i="5"/>
  <c r="BF167" i="5"/>
  <c r="BF165" i="5"/>
  <c r="BF163" i="5"/>
  <c r="BF161" i="5"/>
  <c r="BF159" i="5"/>
  <c r="BF154" i="5"/>
  <c r="BF152" i="5"/>
  <c r="BF150" i="5"/>
  <c r="BF148" i="5"/>
  <c r="BF166" i="5"/>
  <c r="BF164" i="5"/>
  <c r="BF160" i="5"/>
  <c r="BF162" i="5"/>
  <c r="BF139" i="5"/>
  <c r="BF43" i="5"/>
  <c r="BF52" i="5" s="1"/>
  <c r="BF185" i="5"/>
  <c r="BG181" i="5" s="1"/>
  <c r="BF146" i="5"/>
  <c r="BF134" i="5"/>
  <c r="BF171" i="5" s="1" a="1"/>
  <c r="BF171" i="5" s="1"/>
  <c r="BF95" i="5"/>
  <c r="BF93" i="5"/>
  <c r="BF168" i="5"/>
  <c r="BF143" i="5"/>
  <c r="BF133" i="5"/>
  <c r="BF149" i="5"/>
  <c r="BF128" i="5"/>
  <c r="BF125" i="5"/>
  <c r="BF92" i="5"/>
  <c r="BF81" i="5"/>
  <c r="BF69" i="5"/>
  <c r="BF142" i="5"/>
  <c r="BF122" i="5"/>
  <c r="BF119" i="5"/>
  <c r="BF151" i="5"/>
  <c r="BF132" i="5"/>
  <c r="BF33" i="5"/>
  <c r="BF31" i="5"/>
  <c r="BF29" i="5"/>
  <c r="BF27" i="5"/>
  <c r="BF25" i="5"/>
  <c r="BF23" i="5"/>
  <c r="BF145" i="5"/>
  <c r="BF144" i="5"/>
  <c r="BF130" i="5"/>
  <c r="BF126" i="5"/>
  <c r="BF94" i="5"/>
  <c r="BF141" i="5"/>
  <c r="BF158" i="5"/>
  <c r="BF140" i="5"/>
  <c r="BF121" i="5"/>
  <c r="BF71" i="5"/>
  <c r="BF70" i="5"/>
  <c r="BF59" i="5"/>
  <c r="BF129" i="5"/>
  <c r="BF124" i="5"/>
  <c r="BF30" i="5"/>
  <c r="BF26" i="5"/>
  <c r="BF16" i="5"/>
  <c r="BF56" i="5" s="1"/>
  <c r="BF123" i="5"/>
  <c r="BF118" i="5"/>
  <c r="BF72" i="5"/>
  <c r="BF153" i="5"/>
  <c r="BF127" i="5"/>
  <c r="BF138" i="5"/>
  <c r="BF131" i="5"/>
  <c r="BF120" i="5"/>
  <c r="BF88" i="5"/>
  <c r="BF87" i="5" s="1"/>
  <c r="BF32" i="5"/>
  <c r="BF14" i="5"/>
  <c r="BF19" i="5"/>
  <c r="BF13" i="5"/>
  <c r="BF190" i="5" s="1"/>
  <c r="BF10" i="5"/>
  <c r="BF28" i="5"/>
  <c r="BF38" i="5" a="1"/>
  <c r="BF38" i="5" s="1"/>
  <c r="BF40" i="5" s="1"/>
  <c r="BF21" i="5"/>
  <c r="BF22" i="5"/>
  <c r="BF147" i="5"/>
  <c r="BF20" i="5"/>
  <c r="BF11" i="5"/>
  <c r="BG4" i="5"/>
  <c r="BF24" i="5"/>
  <c r="BF5" i="5"/>
  <c r="BF37" i="5" s="1"/>
  <c r="BD54" i="5"/>
  <c r="BB4" i="7"/>
  <c r="BB3" i="7" s="1"/>
  <c r="BE4" i="6"/>
  <c r="BD5" i="6"/>
  <c r="BF66" i="5"/>
  <c r="BF50" i="5"/>
  <c r="BD48" i="5"/>
  <c r="BD209" i="5"/>
  <c r="BC211" i="5"/>
  <c r="BE210" i="5"/>
  <c r="BE202" i="5"/>
  <c r="BC83" i="5"/>
  <c r="BC62" i="5" s="1"/>
  <c r="BA175" i="5"/>
  <c r="BA177" i="5"/>
  <c r="R58" i="4" s="1"/>
  <c r="BA176" i="5"/>
  <c r="BE91" i="5"/>
  <c r="BE37" i="5"/>
  <c r="BE38" i="5" a="1"/>
  <c r="BE38" i="5" s="1"/>
  <c r="BE40" i="5" s="1"/>
  <c r="R19" i="4"/>
  <c r="R18" i="4" s="1"/>
  <c r="R23" i="4" s="1"/>
  <c r="R24" i="4" s="1"/>
  <c r="R41" i="4"/>
  <c r="BF54" i="5" l="1"/>
  <c r="BF68" i="5" s="1"/>
  <c r="BF39" i="5"/>
  <c r="BG197" i="5"/>
  <c r="BG201" i="5" s="1"/>
  <c r="BF48" i="5"/>
  <c r="BD68" i="5"/>
  <c r="BD65" i="5" s="1"/>
  <c r="BF91" i="5"/>
  <c r="S54" i="4"/>
  <c r="BC176" i="5"/>
  <c r="BC175" i="5"/>
  <c r="BC177" i="5"/>
  <c r="BF84" i="5"/>
  <c r="BF83" i="5" s="1"/>
  <c r="BF67" i="5"/>
  <c r="BG44" i="5"/>
  <c r="BG51" i="5" s="1"/>
  <c r="BE209" i="5"/>
  <c r="BD211" i="5"/>
  <c r="BG164" i="5"/>
  <c r="BG185" i="5"/>
  <c r="BG168" i="5"/>
  <c r="BG158" i="5"/>
  <c r="BG148" i="5"/>
  <c r="BG169" i="5"/>
  <c r="BG146" i="5"/>
  <c r="BG134" i="5"/>
  <c r="BG171" i="5" s="1" a="1"/>
  <c r="BG171" i="5" s="1"/>
  <c r="S40" i="4" s="1"/>
  <c r="BG95" i="5"/>
  <c r="S57" i="4" s="1"/>
  <c r="N57" i="4" s="1"/>
  <c r="BG93" i="5"/>
  <c r="S55" i="4" s="1"/>
  <c r="N55" i="4" s="1"/>
  <c r="BG159" i="5"/>
  <c r="BG152" i="5"/>
  <c r="BG144" i="5"/>
  <c r="BG71" i="5"/>
  <c r="BG69" i="5"/>
  <c r="BG167" i="5"/>
  <c r="BG163" i="5"/>
  <c r="BG151" i="5"/>
  <c r="BG141" i="5"/>
  <c r="BG132" i="5"/>
  <c r="BG130" i="5"/>
  <c r="BG128" i="5"/>
  <c r="BG126" i="5"/>
  <c r="BG124" i="5"/>
  <c r="BG122" i="5"/>
  <c r="BG120" i="5"/>
  <c r="BG118" i="5"/>
  <c r="BG143" i="5"/>
  <c r="BG142" i="5"/>
  <c r="BG119" i="5"/>
  <c r="BG165" i="5"/>
  <c r="BG162" i="5"/>
  <c r="BG154" i="5"/>
  <c r="BG129" i="5"/>
  <c r="BG149" i="5"/>
  <c r="BG145" i="5"/>
  <c r="BG94" i="5"/>
  <c r="S56" i="4" s="1"/>
  <c r="N56" i="4" s="1"/>
  <c r="BG92" i="5"/>
  <c r="BG14" i="5"/>
  <c r="BG10" i="5"/>
  <c r="BG88" i="5"/>
  <c r="BG87" i="5" s="1"/>
  <c r="S52" i="4" s="1"/>
  <c r="N52" i="4" s="1"/>
  <c r="BG140" i="5"/>
  <c r="BG139" i="5"/>
  <c r="BG147" i="5"/>
  <c r="BG138" i="5"/>
  <c r="BG161" i="5"/>
  <c r="BG160" i="5"/>
  <c r="BG153" i="5"/>
  <c r="BG133" i="5"/>
  <c r="BG72" i="5"/>
  <c r="BG43" i="5"/>
  <c r="BG33" i="5"/>
  <c r="BG30" i="5"/>
  <c r="BG26" i="5"/>
  <c r="BG16" i="5"/>
  <c r="BG59" i="5"/>
  <c r="S39" i="4" s="1"/>
  <c r="BG21" i="5"/>
  <c r="BG150" i="5"/>
  <c r="BG123" i="5"/>
  <c r="BG27" i="5"/>
  <c r="BG24" i="5"/>
  <c r="BG127" i="5"/>
  <c r="BG70" i="5"/>
  <c r="BG81" i="5"/>
  <c r="BG131" i="5"/>
  <c r="BG121" i="5"/>
  <c r="BG166" i="5"/>
  <c r="BG29" i="5"/>
  <c r="BG20" i="5"/>
  <c r="BG11" i="5"/>
  <c r="BH4" i="5"/>
  <c r="BG22" i="5"/>
  <c r="BG32" i="5"/>
  <c r="BG25" i="5"/>
  <c r="BG31" i="5"/>
  <c r="BG28" i="5"/>
  <c r="BG125" i="5"/>
  <c r="BG23" i="5"/>
  <c r="BG19" i="5"/>
  <c r="BH44" i="5" s="1"/>
  <c r="BH51" i="5" s="1"/>
  <c r="BG13" i="5"/>
  <c r="BG190" i="5" s="1"/>
  <c r="BG5" i="5"/>
  <c r="BE48" i="5"/>
  <c r="BE211" i="5"/>
  <c r="BF209" i="5"/>
  <c r="BF65" i="5"/>
  <c r="BF63" i="5" s="1"/>
  <c r="BF62" i="5" s="1"/>
  <c r="BG183" i="5"/>
  <c r="D183" i="5" s="1"/>
  <c r="BG184" i="5"/>
  <c r="D184" i="5" s="1"/>
  <c r="BE39" i="5"/>
  <c r="BF197" i="5" s="1"/>
  <c r="BF201" i="5" s="1"/>
  <c r="BF4" i="6"/>
  <c r="BC4" i="7"/>
  <c r="BC3" i="7" s="1"/>
  <c r="BE5" i="6"/>
  <c r="BE84" i="5"/>
  <c r="BF210" i="5" l="1"/>
  <c r="BF202" i="5"/>
  <c r="U52" i="4"/>
  <c r="S17" i="4"/>
  <c r="N40" i="4"/>
  <c r="BG37" i="5"/>
  <c r="U55" i="4"/>
  <c r="BF176" i="5"/>
  <c r="BF177" i="5"/>
  <c r="BF175" i="5"/>
  <c r="BH66" i="5"/>
  <c r="U57" i="4"/>
  <c r="BG66" i="5"/>
  <c r="S33" i="4"/>
  <c r="N33" i="4" s="1"/>
  <c r="S53" i="4"/>
  <c r="N54" i="4"/>
  <c r="BG202" i="5"/>
  <c r="BG210" i="5"/>
  <c r="BG211" i="5" s="1"/>
  <c r="S16" i="4"/>
  <c r="N39" i="4"/>
  <c r="BG52" i="5"/>
  <c r="N30" i="4"/>
  <c r="S30" i="4"/>
  <c r="S12" i="4" s="1"/>
  <c r="BH169" i="5"/>
  <c r="BH166" i="5"/>
  <c r="BH163" i="5"/>
  <c r="BH153" i="5"/>
  <c r="BH159" i="5"/>
  <c r="BH152" i="5"/>
  <c r="BH148" i="5"/>
  <c r="BH144" i="5"/>
  <c r="BH71" i="5"/>
  <c r="BH69" i="5"/>
  <c r="BH168" i="5"/>
  <c r="BH167" i="5"/>
  <c r="BH164" i="5"/>
  <c r="BH149" i="5"/>
  <c r="BH142" i="5"/>
  <c r="BH131" i="5"/>
  <c r="BH129" i="5"/>
  <c r="BH127" i="5"/>
  <c r="BH125" i="5"/>
  <c r="BH123" i="5"/>
  <c r="BH121" i="5"/>
  <c r="BH119" i="5"/>
  <c r="BH162" i="5"/>
  <c r="BH158" i="5"/>
  <c r="BH139" i="5"/>
  <c r="BH165" i="5"/>
  <c r="BH154" i="5"/>
  <c r="BH122" i="5"/>
  <c r="BH72" i="5"/>
  <c r="BH160" i="5"/>
  <c r="BH141" i="5"/>
  <c r="BH140" i="5"/>
  <c r="BH132" i="5"/>
  <c r="BH130" i="5"/>
  <c r="BH126" i="5"/>
  <c r="BH88" i="5"/>
  <c r="BH87" i="5" s="1"/>
  <c r="BH146" i="5"/>
  <c r="BH143" i="5"/>
  <c r="BH128" i="5"/>
  <c r="BH124" i="5"/>
  <c r="BH120" i="5"/>
  <c r="BH151" i="5"/>
  <c r="BH147" i="5"/>
  <c r="BH138" i="5"/>
  <c r="BH150" i="5"/>
  <c r="BH134" i="5"/>
  <c r="BH171" i="5" s="1" a="1"/>
  <c r="BH171" i="5" s="1"/>
  <c r="BH93" i="5"/>
  <c r="BH33" i="5"/>
  <c r="BH31" i="5"/>
  <c r="BH29" i="5"/>
  <c r="BH27" i="5"/>
  <c r="BH25" i="5"/>
  <c r="BH23" i="5"/>
  <c r="BH28" i="5"/>
  <c r="BH133" i="5"/>
  <c r="BH118" i="5"/>
  <c r="BH59" i="5"/>
  <c r="BH24" i="5"/>
  <c r="BH21" i="5"/>
  <c r="BH19" i="5"/>
  <c r="BI44" i="5" s="1"/>
  <c r="BH13" i="5"/>
  <c r="BH145" i="5"/>
  <c r="BH70" i="5"/>
  <c r="BH81" i="5"/>
  <c r="BH43" i="5"/>
  <c r="BH52" i="5" s="1"/>
  <c r="BH67" i="5" s="1"/>
  <c r="BH95" i="5"/>
  <c r="BH32" i="5"/>
  <c r="BH161" i="5"/>
  <c r="BH94" i="5"/>
  <c r="BH92" i="5"/>
  <c r="BH26" i="5"/>
  <c r="BH38" i="5" s="1" a="1"/>
  <c r="BH38" i="5" s="1"/>
  <c r="BH16" i="5"/>
  <c r="BH56" i="5" s="1"/>
  <c r="BH54" i="5" s="1"/>
  <c r="BH68" i="5" s="1"/>
  <c r="BH22" i="5"/>
  <c r="BH20" i="5"/>
  <c r="BH14" i="5"/>
  <c r="BH11" i="5"/>
  <c r="BI4" i="5"/>
  <c r="BH30" i="5"/>
  <c r="BH10" i="5"/>
  <c r="BH5" i="5"/>
  <c r="BG56" i="5"/>
  <c r="BG91" i="5"/>
  <c r="BE177" i="5"/>
  <c r="BE83" i="5"/>
  <c r="BE62" i="5" s="1"/>
  <c r="BE176" i="5" s="1"/>
  <c r="BG38" i="5" a="1"/>
  <c r="BG38" i="5" s="1"/>
  <c r="BG40" i="5" s="1"/>
  <c r="BD4" i="7"/>
  <c r="BD3" i="7" s="1"/>
  <c r="BF5" i="6"/>
  <c r="BG4" i="6"/>
  <c r="U56" i="4"/>
  <c r="T56" i="4"/>
  <c r="BD63" i="5"/>
  <c r="BD62" i="5" s="1"/>
  <c r="BH84" i="5" l="1"/>
  <c r="BH83" i="5" s="1"/>
  <c r="BH91" i="5"/>
  <c r="BG39" i="5"/>
  <c r="BG84" i="5"/>
  <c r="BD176" i="5"/>
  <c r="BD175" i="5"/>
  <c r="BD177" i="5"/>
  <c r="BH37" i="5"/>
  <c r="BH39" i="5" s="1"/>
  <c r="BH50" i="5"/>
  <c r="BH48" i="5" s="1"/>
  <c r="D103" i="4"/>
  <c r="U40" i="4"/>
  <c r="N17" i="4"/>
  <c r="T40" i="4"/>
  <c r="D104" i="4" s="1"/>
  <c r="U54" i="4"/>
  <c r="T54" i="4"/>
  <c r="S22" i="4"/>
  <c r="N53" i="4"/>
  <c r="BE175" i="5"/>
  <c r="N12" i="4"/>
  <c r="U30" i="4"/>
  <c r="T36" i="4"/>
  <c r="T51" i="4"/>
  <c r="T48" i="4"/>
  <c r="T45" i="4"/>
  <c r="T38" i="4"/>
  <c r="T43" i="4"/>
  <c r="T47" i="4"/>
  <c r="T46" i="4"/>
  <c r="T33" i="4"/>
  <c r="U33" i="4"/>
  <c r="BG67" i="5"/>
  <c r="S34" i="4"/>
  <c r="N34" i="4" s="1"/>
  <c r="BG50" i="5"/>
  <c r="T52" i="4"/>
  <c r="BI51" i="5"/>
  <c r="U39" i="4"/>
  <c r="N16" i="4"/>
  <c r="T39" i="4"/>
  <c r="T55" i="4"/>
  <c r="BH65" i="5"/>
  <c r="BH63" i="5" s="1"/>
  <c r="BH62" i="5" s="1"/>
  <c r="BE4" i="7"/>
  <c r="BE3" i="7" s="1"/>
  <c r="BH4" i="6"/>
  <c r="BG5" i="6"/>
  <c r="BI169" i="5"/>
  <c r="BI167" i="5"/>
  <c r="BI164" i="5"/>
  <c r="BI151" i="5"/>
  <c r="BI147" i="5"/>
  <c r="BI145" i="5"/>
  <c r="BI143" i="5"/>
  <c r="BI141" i="5"/>
  <c r="BI139" i="5"/>
  <c r="BI134" i="5"/>
  <c r="BI171" i="5" s="1" a="1"/>
  <c r="BI171" i="5" s="1"/>
  <c r="BI168" i="5"/>
  <c r="BI149" i="5"/>
  <c r="BI142" i="5"/>
  <c r="BI131" i="5"/>
  <c r="BI129" i="5"/>
  <c r="BI127" i="5"/>
  <c r="BI125" i="5"/>
  <c r="BI123" i="5"/>
  <c r="BI121" i="5"/>
  <c r="BI119" i="5"/>
  <c r="BI160" i="5"/>
  <c r="BI153" i="5"/>
  <c r="BI140" i="5"/>
  <c r="BI166" i="5"/>
  <c r="BI146" i="5"/>
  <c r="BI95" i="5"/>
  <c r="BI93" i="5"/>
  <c r="BI162" i="5"/>
  <c r="BI132" i="5"/>
  <c r="BI88" i="5"/>
  <c r="BI87" i="5" s="1"/>
  <c r="BI152" i="5"/>
  <c r="BI126" i="5"/>
  <c r="BI165" i="5"/>
  <c r="BI154" i="5"/>
  <c r="BI148" i="5"/>
  <c r="BI144" i="5"/>
  <c r="BI128" i="5"/>
  <c r="BI124" i="5"/>
  <c r="BI120" i="5"/>
  <c r="BI20" i="5"/>
  <c r="BI38" i="5" s="1" a="1"/>
  <c r="BI38" i="5" s="1"/>
  <c r="BJ4" i="5"/>
  <c r="BI159" i="5"/>
  <c r="BI122" i="5"/>
  <c r="BI118" i="5"/>
  <c r="BI81" i="5"/>
  <c r="BI32" i="5"/>
  <c r="BI30" i="5"/>
  <c r="BI28" i="5"/>
  <c r="BI158" i="5"/>
  <c r="BI138" i="5"/>
  <c r="BI150" i="5"/>
  <c r="BI161" i="5"/>
  <c r="BI133" i="5"/>
  <c r="BI163" i="5"/>
  <c r="BI94" i="5"/>
  <c r="BI92" i="5"/>
  <c r="BI59" i="5"/>
  <c r="BI27" i="5"/>
  <c r="BI24" i="5"/>
  <c r="BI21" i="5"/>
  <c r="BI43" i="5"/>
  <c r="BI52" i="5" s="1"/>
  <c r="BI67" i="5" s="1"/>
  <c r="BI31" i="5"/>
  <c r="BI22" i="5"/>
  <c r="BI72" i="5"/>
  <c r="BI70" i="5"/>
  <c r="BI19" i="5"/>
  <c r="BI13" i="5"/>
  <c r="BI10" i="5"/>
  <c r="BI71" i="5"/>
  <c r="BI69" i="5"/>
  <c r="BI130" i="5"/>
  <c r="BI26" i="5"/>
  <c r="BI23" i="5"/>
  <c r="BI16" i="5"/>
  <c r="BI33" i="5"/>
  <c r="BI25" i="5"/>
  <c r="BI11" i="5"/>
  <c r="BI29" i="5"/>
  <c r="BI14" i="5"/>
  <c r="BI5" i="5"/>
  <c r="BG54" i="5"/>
  <c r="S37" i="4"/>
  <c r="N37" i="4" s="1"/>
  <c r="T57" i="4"/>
  <c r="BF211" i="5"/>
  <c r="BG209" i="5"/>
  <c r="U16" i="4" l="1"/>
  <c r="T16" i="4"/>
  <c r="BI37" i="5"/>
  <c r="BI39" i="5" s="1"/>
  <c r="BI91" i="5"/>
  <c r="BJ168" i="5"/>
  <c r="BJ166" i="5"/>
  <c r="BJ164" i="5"/>
  <c r="BJ162" i="5"/>
  <c r="BJ160" i="5"/>
  <c r="BJ158" i="5"/>
  <c r="BJ153" i="5"/>
  <c r="BJ151" i="5"/>
  <c r="BJ149" i="5"/>
  <c r="BJ167" i="5"/>
  <c r="BJ165" i="5"/>
  <c r="BJ161" i="5"/>
  <c r="BJ140" i="5"/>
  <c r="BJ147" i="5"/>
  <c r="BJ138" i="5"/>
  <c r="BJ94" i="5"/>
  <c r="BJ92" i="5"/>
  <c r="BJ88" i="5"/>
  <c r="BJ87" i="5" s="1"/>
  <c r="BJ81" i="5"/>
  <c r="BJ159" i="5"/>
  <c r="BJ152" i="5"/>
  <c r="BJ148" i="5"/>
  <c r="BJ144" i="5"/>
  <c r="BJ134" i="5"/>
  <c r="BJ171" i="5" s="1" a="1"/>
  <c r="BJ171" i="5" s="1"/>
  <c r="BJ141" i="5"/>
  <c r="BJ129" i="5"/>
  <c r="BJ126" i="5"/>
  <c r="BJ93" i="5"/>
  <c r="BJ70" i="5"/>
  <c r="BJ150" i="5"/>
  <c r="BJ123" i="5"/>
  <c r="BJ120" i="5"/>
  <c r="BJ146" i="5"/>
  <c r="BJ143" i="5"/>
  <c r="BJ122" i="5"/>
  <c r="BJ118" i="5"/>
  <c r="BJ32" i="5"/>
  <c r="BJ30" i="5"/>
  <c r="BJ28" i="5"/>
  <c r="BJ26" i="5"/>
  <c r="BJ24" i="5"/>
  <c r="BJ22" i="5"/>
  <c r="BJ16" i="5"/>
  <c r="BJ11" i="5"/>
  <c r="BJ169" i="5"/>
  <c r="BJ142" i="5"/>
  <c r="BJ139" i="5"/>
  <c r="BJ133" i="5"/>
  <c r="BJ154" i="5"/>
  <c r="BJ145" i="5"/>
  <c r="BJ130" i="5"/>
  <c r="BJ132" i="5"/>
  <c r="BJ119" i="5"/>
  <c r="BJ72" i="5"/>
  <c r="BJ19" i="5"/>
  <c r="BK44" i="5" s="1"/>
  <c r="BK51" i="5" s="1"/>
  <c r="BJ13" i="5"/>
  <c r="BJ128" i="5"/>
  <c r="BJ71" i="5"/>
  <c r="BJ43" i="5"/>
  <c r="BJ52" i="5" s="1"/>
  <c r="BJ67" i="5" s="1"/>
  <c r="BJ31" i="5"/>
  <c r="BJ10" i="5"/>
  <c r="BJ127" i="5"/>
  <c r="BJ69" i="5"/>
  <c r="BJ95" i="5"/>
  <c r="BJ131" i="5"/>
  <c r="BJ121" i="5"/>
  <c r="BJ163" i="5"/>
  <c r="BJ125" i="5"/>
  <c r="BJ33" i="5"/>
  <c r="BJ124" i="5"/>
  <c r="BJ29" i="5"/>
  <c r="BJ21" i="5"/>
  <c r="BJ20" i="5"/>
  <c r="BJ59" i="5"/>
  <c r="BJ14" i="5"/>
  <c r="BK4" i="5"/>
  <c r="BJ23" i="5"/>
  <c r="BJ27" i="5"/>
  <c r="BJ25" i="5"/>
  <c r="BJ5" i="5"/>
  <c r="BG83" i="5"/>
  <c r="S50" i="4"/>
  <c r="BH5" i="6"/>
  <c r="BI4" i="6"/>
  <c r="BF4" i="7"/>
  <c r="BF3" i="7" s="1"/>
  <c r="U12" i="4"/>
  <c r="T20" i="4"/>
  <c r="BG48" i="5"/>
  <c r="S32" i="4"/>
  <c r="T53" i="4"/>
  <c r="N22" i="4"/>
  <c r="U53" i="4"/>
  <c r="BH176" i="5"/>
  <c r="BH175" i="5"/>
  <c r="BH177" i="5"/>
  <c r="U17" i="4"/>
  <c r="T17" i="4"/>
  <c r="BI50" i="5"/>
  <c r="BI48" i="5" s="1"/>
  <c r="BI66" i="5"/>
  <c r="BI65" i="5" s="1"/>
  <c r="BI63" i="5" s="1"/>
  <c r="U37" i="4"/>
  <c r="T37" i="4"/>
  <c r="BJ56" i="5"/>
  <c r="BJ54" i="5" s="1"/>
  <c r="BJ68" i="5" s="1"/>
  <c r="BJ44" i="5"/>
  <c r="BJ51" i="5" s="1"/>
  <c r="BI56" i="5"/>
  <c r="BI54" i="5" s="1"/>
  <c r="BI68" i="5" s="1"/>
  <c r="T34" i="4"/>
  <c r="U34" i="4"/>
  <c r="BG68" i="5"/>
  <c r="BG65" i="5" s="1"/>
  <c r="S35" i="4"/>
  <c r="BH40" i="5"/>
  <c r="BK66" i="5" l="1"/>
  <c r="BK50" i="5"/>
  <c r="BJ50" i="5"/>
  <c r="BJ48" i="5" s="1"/>
  <c r="BJ66" i="5"/>
  <c r="BJ65" i="5" s="1"/>
  <c r="BJ63" i="5" s="1"/>
  <c r="BJ37" i="5"/>
  <c r="BJ39" i="5" s="1"/>
  <c r="BJ91" i="5"/>
  <c r="S15" i="4"/>
  <c r="N35" i="4"/>
  <c r="BI5" i="6"/>
  <c r="BG4" i="7"/>
  <c r="BG3" i="7" s="1"/>
  <c r="BJ4" i="6"/>
  <c r="BG63" i="5"/>
  <c r="BG62" i="5" s="1"/>
  <c r="BG177" i="5" s="1"/>
  <c r="S58" i="4" s="1"/>
  <c r="N58" i="4" s="1"/>
  <c r="S44" i="4"/>
  <c r="T22" i="4"/>
  <c r="U22" i="4"/>
  <c r="S49" i="4"/>
  <c r="N50" i="4"/>
  <c r="BJ38" i="5" a="1"/>
  <c r="BJ38" i="5" s="1"/>
  <c r="BK165" i="5"/>
  <c r="BK163" i="5"/>
  <c r="BK169" i="5"/>
  <c r="BK159" i="5"/>
  <c r="BK149" i="5"/>
  <c r="BK167" i="5"/>
  <c r="BK164" i="5"/>
  <c r="BK160" i="5"/>
  <c r="BK153" i="5"/>
  <c r="BK147" i="5"/>
  <c r="BK138" i="5"/>
  <c r="BK94" i="5"/>
  <c r="BK92" i="5"/>
  <c r="BK88" i="5"/>
  <c r="BK87" i="5" s="1"/>
  <c r="BK81" i="5"/>
  <c r="BK166" i="5"/>
  <c r="BK154" i="5"/>
  <c r="BK150" i="5"/>
  <c r="BK145" i="5"/>
  <c r="BK133" i="5"/>
  <c r="BK72" i="5"/>
  <c r="BK70" i="5"/>
  <c r="BK142" i="5"/>
  <c r="BK131" i="5"/>
  <c r="BK129" i="5"/>
  <c r="BK127" i="5"/>
  <c r="BK125" i="5"/>
  <c r="BK123" i="5"/>
  <c r="BK121" i="5"/>
  <c r="BK119" i="5"/>
  <c r="BK152" i="5"/>
  <c r="BK140" i="5"/>
  <c r="BK120" i="5"/>
  <c r="BK139" i="5"/>
  <c r="BK130" i="5"/>
  <c r="BK162" i="5"/>
  <c r="BK158" i="5"/>
  <c r="BK141" i="5"/>
  <c r="BK59" i="5"/>
  <c r="BK151" i="5"/>
  <c r="BK161" i="5"/>
  <c r="BK134" i="5"/>
  <c r="BK171" i="5" s="1" a="1"/>
  <c r="BK171" i="5" s="1"/>
  <c r="BK132" i="5"/>
  <c r="BK128" i="5"/>
  <c r="BK124" i="5"/>
  <c r="BK144" i="5"/>
  <c r="BK118" i="5"/>
  <c r="BK93" i="5"/>
  <c r="BK71" i="5"/>
  <c r="BK43" i="5"/>
  <c r="BK52" i="5" s="1"/>
  <c r="BK67" i="5" s="1"/>
  <c r="BK31" i="5"/>
  <c r="BK10" i="5"/>
  <c r="BK69" i="5"/>
  <c r="BK28" i="5"/>
  <c r="BK22" i="5"/>
  <c r="BK25" i="5"/>
  <c r="BK14" i="5"/>
  <c r="BK168" i="5"/>
  <c r="BK148" i="5"/>
  <c r="BK122" i="5"/>
  <c r="BK95" i="5"/>
  <c r="BK32" i="5"/>
  <c r="BK146" i="5"/>
  <c r="BK126" i="5"/>
  <c r="BK143" i="5"/>
  <c r="BK30" i="5"/>
  <c r="BK27" i="5"/>
  <c r="BK21" i="5"/>
  <c r="BK23" i="5"/>
  <c r="BK26" i="5"/>
  <c r="BK16" i="5"/>
  <c r="BK11" i="5"/>
  <c r="BL4" i="5"/>
  <c r="BK20" i="5"/>
  <c r="BK24" i="5"/>
  <c r="BK19" i="5"/>
  <c r="BK38" i="5" s="1" a="1"/>
  <c r="BK38" i="5" s="1"/>
  <c r="BK40" i="5" s="1"/>
  <c r="BK13" i="5"/>
  <c r="BK33" i="5"/>
  <c r="BK29" i="5"/>
  <c r="BK5" i="5"/>
  <c r="BK37" i="5" s="1"/>
  <c r="BI40" i="5"/>
  <c r="S14" i="4"/>
  <c r="S13" i="4" s="1"/>
  <c r="N32" i="4"/>
  <c r="BG176" i="5"/>
  <c r="BG175" i="5"/>
  <c r="S31" i="4"/>
  <c r="N31" i="4" s="1"/>
  <c r="BI84" i="5"/>
  <c r="BI83" i="5" s="1"/>
  <c r="BI62" i="5" s="1"/>
  <c r="U58" i="4" l="1"/>
  <c r="T58" i="4"/>
  <c r="BI175" i="5"/>
  <c r="BI177" i="5"/>
  <c r="BI176" i="5"/>
  <c r="N14" i="4"/>
  <c r="T32" i="4"/>
  <c r="U32" i="4"/>
  <c r="S42" i="4"/>
  <c r="N44" i="4"/>
  <c r="BH4" i="7"/>
  <c r="BH3" i="7" s="1"/>
  <c r="BK4" i="6"/>
  <c r="BJ5" i="6"/>
  <c r="BK39" i="5"/>
  <c r="BL56" i="5"/>
  <c r="BL54" i="5" s="1"/>
  <c r="BL68" i="5" s="1"/>
  <c r="BJ62" i="5"/>
  <c r="BJ176" i="5" s="1"/>
  <c r="BJ40" i="5"/>
  <c r="BK56" i="5"/>
  <c r="BK54" i="5" s="1"/>
  <c r="BK68" i="5" s="1"/>
  <c r="BK65" i="5" s="1"/>
  <c r="BK63" i="5" s="1"/>
  <c r="BK62" i="5" s="1"/>
  <c r="BL44" i="5"/>
  <c r="BL51" i="5" s="1"/>
  <c r="U50" i="4"/>
  <c r="T50" i="4"/>
  <c r="BL163" i="5"/>
  <c r="BL167" i="5"/>
  <c r="BL154" i="5"/>
  <c r="BL169" i="5"/>
  <c r="BL168" i="5"/>
  <c r="BL166" i="5"/>
  <c r="BL150" i="5"/>
  <c r="BL145" i="5"/>
  <c r="BL133" i="5"/>
  <c r="BL72" i="5"/>
  <c r="BL70" i="5"/>
  <c r="BL161" i="5"/>
  <c r="BL143" i="5"/>
  <c r="BL132" i="5"/>
  <c r="BL130" i="5"/>
  <c r="BL128" i="5"/>
  <c r="BL126" i="5"/>
  <c r="BL124" i="5"/>
  <c r="BL122" i="5"/>
  <c r="BL120" i="5"/>
  <c r="BL118" i="5"/>
  <c r="BL59" i="5"/>
  <c r="BL165" i="5"/>
  <c r="BL140" i="5"/>
  <c r="BL160" i="5"/>
  <c r="BL139" i="5"/>
  <c r="BL123" i="5"/>
  <c r="BL164" i="5"/>
  <c r="BL158" i="5"/>
  <c r="BL138" i="5"/>
  <c r="BL94" i="5"/>
  <c r="BL152" i="5"/>
  <c r="BL159" i="5"/>
  <c r="BL142" i="5"/>
  <c r="BL141" i="5"/>
  <c r="BL81" i="5"/>
  <c r="BL13" i="5"/>
  <c r="BL151" i="5"/>
  <c r="BL95" i="5"/>
  <c r="BL69" i="5"/>
  <c r="BL43" i="5"/>
  <c r="BL52" i="5" s="1"/>
  <c r="BL67" i="5" s="1"/>
  <c r="BL162" i="5"/>
  <c r="BL147" i="5"/>
  <c r="BL134" i="5"/>
  <c r="BL171" i="5" s="1" a="1"/>
  <c r="BL171" i="5" s="1"/>
  <c r="BL149" i="5"/>
  <c r="BL148" i="5"/>
  <c r="BL146" i="5"/>
  <c r="BL144" i="5"/>
  <c r="BL32" i="5"/>
  <c r="BL30" i="5"/>
  <c r="BL28" i="5"/>
  <c r="BL26" i="5"/>
  <c r="BL24" i="5"/>
  <c r="BL22" i="5"/>
  <c r="BL20" i="5"/>
  <c r="BM4" i="5"/>
  <c r="BL127" i="5"/>
  <c r="BL25" i="5"/>
  <c r="BL14" i="5"/>
  <c r="BL29" i="5"/>
  <c r="BL11" i="5"/>
  <c r="BL153" i="5"/>
  <c r="BL131" i="5"/>
  <c r="BL121" i="5"/>
  <c r="BL92" i="5"/>
  <c r="BL91" i="5" s="1"/>
  <c r="BL33" i="5"/>
  <c r="BL125" i="5"/>
  <c r="BL88" i="5"/>
  <c r="BL87" i="5" s="1"/>
  <c r="BL19" i="5"/>
  <c r="BL16" i="5"/>
  <c r="BL21" i="5"/>
  <c r="BL31" i="5"/>
  <c r="BL119" i="5"/>
  <c r="BL23" i="5"/>
  <c r="BL129" i="5"/>
  <c r="BL93" i="5"/>
  <c r="BL27" i="5"/>
  <c r="BL71" i="5"/>
  <c r="BL10" i="5"/>
  <c r="BL5" i="5"/>
  <c r="BK84" i="5"/>
  <c r="BK83" i="5" s="1"/>
  <c r="T31" i="4"/>
  <c r="U31" i="4"/>
  <c r="BK91" i="5"/>
  <c r="S21" i="4"/>
  <c r="N49" i="4"/>
  <c r="T35" i="4"/>
  <c r="N15" i="4"/>
  <c r="U35" i="4"/>
  <c r="BJ84" i="5"/>
  <c r="BJ83" i="5" s="1"/>
  <c r="BL66" i="5" l="1"/>
  <c r="BL65" i="5" s="1"/>
  <c r="BL63" i="5" s="1"/>
  <c r="BL50" i="5"/>
  <c r="BL48" i="5" s="1"/>
  <c r="BJ175" i="5"/>
  <c r="BJ177" i="5"/>
  <c r="BK5" i="6"/>
  <c r="BI4" i="7"/>
  <c r="BL4" i="6"/>
  <c r="BL5" i="6" s="1"/>
  <c r="U44" i="4"/>
  <c r="T44" i="4"/>
  <c r="T14" i="4"/>
  <c r="N13" i="4"/>
  <c r="U14" i="4"/>
  <c r="U15" i="4"/>
  <c r="T15" i="4"/>
  <c r="BL37" i="5"/>
  <c r="U49" i="4"/>
  <c r="N21" i="4"/>
  <c r="T49" i="4"/>
  <c r="BK48" i="5"/>
  <c r="S19" i="4"/>
  <c r="S18" i="4" s="1"/>
  <c r="S23" i="4" s="1"/>
  <c r="S24" i="4" s="1"/>
  <c r="S41" i="4"/>
  <c r="N41" i="4" s="1"/>
  <c r="N42" i="4"/>
  <c r="BM168" i="5"/>
  <c r="BM165" i="5"/>
  <c r="BM169" i="5"/>
  <c r="BM152" i="5"/>
  <c r="BM146" i="5"/>
  <c r="BM144" i="5"/>
  <c r="BM142" i="5"/>
  <c r="BM140" i="5"/>
  <c r="BM138" i="5"/>
  <c r="BM133" i="5"/>
  <c r="BM161" i="5"/>
  <c r="BM154" i="5"/>
  <c r="BM143" i="5"/>
  <c r="BM132" i="5"/>
  <c r="BM130" i="5"/>
  <c r="BM128" i="5"/>
  <c r="BM126" i="5"/>
  <c r="BM124" i="5"/>
  <c r="BM122" i="5"/>
  <c r="BM120" i="5"/>
  <c r="BM118" i="5"/>
  <c r="BM59" i="5"/>
  <c r="BM141" i="5"/>
  <c r="BM43" i="5"/>
  <c r="BM164" i="5"/>
  <c r="BM160" i="5"/>
  <c r="BM153" i="5"/>
  <c r="BM149" i="5"/>
  <c r="BM147" i="5"/>
  <c r="BM94" i="5"/>
  <c r="BM92" i="5"/>
  <c r="BM91" i="5" s="1"/>
  <c r="BM88" i="5"/>
  <c r="BM87" i="5" s="1"/>
  <c r="BM158" i="5"/>
  <c r="BM150" i="5"/>
  <c r="BM148" i="5"/>
  <c r="BM134" i="5"/>
  <c r="BM171" i="5" s="1" a="1"/>
  <c r="BM171" i="5" s="1"/>
  <c r="BM127" i="5"/>
  <c r="BM167" i="5"/>
  <c r="BM151" i="5"/>
  <c r="BM95" i="5"/>
  <c r="BM69" i="5"/>
  <c r="BM21" i="5"/>
  <c r="BM19" i="5"/>
  <c r="BM162" i="5"/>
  <c r="BM139" i="5"/>
  <c r="BM131" i="5"/>
  <c r="BM71" i="5"/>
  <c r="BM33" i="5"/>
  <c r="BM31" i="5"/>
  <c r="BM29" i="5"/>
  <c r="BM27" i="5"/>
  <c r="BM163" i="5"/>
  <c r="BM166" i="5"/>
  <c r="BM123" i="5"/>
  <c r="BM70" i="5"/>
  <c r="BM28" i="5"/>
  <c r="BM25" i="5"/>
  <c r="BM22" i="5"/>
  <c r="BM14" i="5"/>
  <c r="BM23" i="5"/>
  <c r="BM145" i="5"/>
  <c r="BM20" i="5"/>
  <c r="BM11" i="5"/>
  <c r="BM32" i="5"/>
  <c r="BM121" i="5"/>
  <c r="BM81" i="5"/>
  <c r="BM125" i="5"/>
  <c r="BM159" i="5"/>
  <c r="BM129" i="5"/>
  <c r="BM119" i="5"/>
  <c r="BM93" i="5"/>
  <c r="BM24" i="5"/>
  <c r="BM13" i="5"/>
  <c r="BM10" i="5"/>
  <c r="BM72" i="5"/>
  <c r="BM26" i="5"/>
  <c r="BM30" i="5"/>
  <c r="BM16" i="5"/>
  <c r="BM56" i="5" s="1"/>
  <c r="BM5" i="5"/>
  <c r="BM37" i="5" s="1"/>
  <c r="BM84" i="5" s="1"/>
  <c r="BM83" i="5" s="1"/>
  <c r="BM44" i="5"/>
  <c r="BM51" i="5" s="1"/>
  <c r="BL38" i="5" a="1"/>
  <c r="BL38" i="5" s="1"/>
  <c r="BM54" i="5" l="1"/>
  <c r="AO16" i="7" a="1"/>
  <c r="AO16" i="7" s="1"/>
  <c r="Y16" i="7" a="1"/>
  <c r="Y16" i="7" s="1"/>
  <c r="AM16" i="7" a="1"/>
  <c r="AM16" i="7" s="1"/>
  <c r="AL16" i="7" a="1"/>
  <c r="AL16" i="7" s="1"/>
  <c r="D16" i="7" a="1"/>
  <c r="D16" i="7" s="1"/>
  <c r="AK16" i="7" a="1"/>
  <c r="AK16" i="7" s="1"/>
  <c r="Z16" i="7" a="1"/>
  <c r="Z16" i="7" s="1"/>
  <c r="AE16" i="7" a="1"/>
  <c r="AE16" i="7" s="1"/>
  <c r="AB16" i="7" a="1"/>
  <c r="AB16" i="7" s="1"/>
  <c r="I16" i="7" a="1"/>
  <c r="I16" i="7" s="1"/>
  <c r="AG16" i="7" a="1"/>
  <c r="AG16" i="7" s="1"/>
  <c r="AF16" i="7" a="1"/>
  <c r="AF16" i="7" s="1"/>
  <c r="C16" i="7" a="1"/>
  <c r="C16" i="7" s="1"/>
  <c r="L16" i="7" a="1"/>
  <c r="L16" i="7" s="1"/>
  <c r="G16" i="7" a="1"/>
  <c r="G16" i="7" s="1"/>
  <c r="E16" i="7" a="1"/>
  <c r="E16" i="7" s="1"/>
  <c r="K16" i="7" a="1"/>
  <c r="K16" i="7" s="1"/>
  <c r="AC16" i="7" a="1"/>
  <c r="AC16" i="7" s="1"/>
  <c r="AH16" i="7" a="1"/>
  <c r="AH16" i="7" s="1"/>
  <c r="T16" i="7" a="1"/>
  <c r="T16" i="7" s="1"/>
  <c r="F16" i="7" a="1"/>
  <c r="F16" i="7" s="1"/>
  <c r="V16" i="7" a="1"/>
  <c r="V16" i="7" s="1"/>
  <c r="AN16" i="7" a="1"/>
  <c r="AN16" i="7" s="1"/>
  <c r="S16" i="7" a="1"/>
  <c r="S16" i="7" s="1"/>
  <c r="AP16" i="7" a="1"/>
  <c r="AP16" i="7" s="1"/>
  <c r="W16" i="7" a="1"/>
  <c r="W16" i="7" s="1"/>
  <c r="AA16" i="7" a="1"/>
  <c r="AA16" i="7" s="1"/>
  <c r="H16" i="7" a="1"/>
  <c r="H16" i="7" s="1"/>
  <c r="J16" i="7" a="1"/>
  <c r="J16" i="7" s="1"/>
  <c r="U16" i="7" a="1"/>
  <c r="U16" i="7" s="1"/>
  <c r="X16" i="7" a="1"/>
  <c r="X16" i="7" s="1"/>
  <c r="AI16" i="7" a="1"/>
  <c r="AI16" i="7" s="1"/>
  <c r="R16" i="7" a="1"/>
  <c r="R16" i="7" s="1"/>
  <c r="B16" i="7" a="1"/>
  <c r="B16" i="7" s="1"/>
  <c r="AQ16" i="7" a="1"/>
  <c r="AQ16" i="7" s="1"/>
  <c r="P16" i="7" a="1"/>
  <c r="P16" i="7" s="1"/>
  <c r="M16" i="7" a="1"/>
  <c r="M16" i="7" s="1"/>
  <c r="Q16" i="7" a="1"/>
  <c r="Q16" i="7" s="1"/>
  <c r="N16" i="7" a="1"/>
  <c r="N16" i="7" s="1"/>
  <c r="AD16" i="7" a="1"/>
  <c r="AD16" i="7" s="1"/>
  <c r="AJ16" i="7" a="1"/>
  <c r="AJ16" i="7" s="1"/>
  <c r="O16" i="7" a="1"/>
  <c r="O16" i="7" s="1"/>
  <c r="AR16" i="7" a="1"/>
  <c r="AR16" i="7" s="1"/>
  <c r="AS16" i="7" a="1"/>
  <c r="AS16" i="7" s="1"/>
  <c r="AT16" i="7" a="1"/>
  <c r="AT16" i="7" s="1"/>
  <c r="AW16" i="7" a="1"/>
  <c r="AW16" i="7" s="1"/>
  <c r="AU16" i="7" a="1"/>
  <c r="AU16" i="7" s="1"/>
  <c r="AV16" i="7" a="1"/>
  <c r="AV16" i="7" s="1"/>
  <c r="AY16" i="7" a="1"/>
  <c r="AY16" i="7" s="1"/>
  <c r="AX16" i="7" a="1"/>
  <c r="AX16" i="7" s="1"/>
  <c r="AZ16" i="7" a="1"/>
  <c r="AZ16" i="7" s="1"/>
  <c r="BE16" i="7" a="1"/>
  <c r="BE16" i="7" s="1"/>
  <c r="BA16" i="7" a="1"/>
  <c r="BA16" i="7" s="1"/>
  <c r="BB16" i="7" a="1"/>
  <c r="BB16" i="7" s="1"/>
  <c r="BC16" i="7" a="1"/>
  <c r="BC16" i="7" s="1"/>
  <c r="BD16" i="7" a="1"/>
  <c r="BD16" i="7" s="1"/>
  <c r="BF16" i="7" a="1"/>
  <c r="BF16" i="7" s="1"/>
  <c r="BG16" i="7" a="1"/>
  <c r="BG16" i="7" s="1"/>
  <c r="BH16" i="7" a="1"/>
  <c r="BH16" i="7" s="1"/>
  <c r="BI16" i="7" a="1"/>
  <c r="BI16" i="7" s="1"/>
  <c r="AP29" i="7" a="1"/>
  <c r="AP29" i="7" s="1"/>
  <c r="T29" i="7" a="1"/>
  <c r="T29" i="7" s="1"/>
  <c r="AL29" i="7" a="1"/>
  <c r="AL29" i="7" s="1"/>
  <c r="J29" i="7" a="1"/>
  <c r="J29" i="7" s="1"/>
  <c r="AA29" i="7" a="1"/>
  <c r="AA29" i="7" s="1"/>
  <c r="AJ29" i="7" a="1"/>
  <c r="AJ29" i="7" s="1"/>
  <c r="I29" i="7" a="1"/>
  <c r="I29" i="7" s="1"/>
  <c r="AN29" i="7" a="1"/>
  <c r="AN29" i="7" s="1"/>
  <c r="B29" i="7" a="1"/>
  <c r="B29" i="7" s="1"/>
  <c r="AO29" i="7" a="1"/>
  <c r="AO29" i="7" s="1"/>
  <c r="L29" i="7" a="1"/>
  <c r="L29" i="7" s="1"/>
  <c r="U29" i="7" a="1"/>
  <c r="U29" i="7" s="1"/>
  <c r="AC29" i="7" a="1"/>
  <c r="AC29" i="7" s="1"/>
  <c r="AK29" i="7" a="1"/>
  <c r="AK29" i="7" s="1"/>
  <c r="AB29" i="7" a="1"/>
  <c r="AB29" i="7" s="1"/>
  <c r="AM29" i="7" a="1"/>
  <c r="AM29" i="7" s="1"/>
  <c r="S29" i="7" a="1"/>
  <c r="S29" i="7" s="1"/>
  <c r="N29" i="7" a="1"/>
  <c r="N29" i="7" s="1"/>
  <c r="D29" i="7" a="1"/>
  <c r="D29" i="7" s="1"/>
  <c r="AD29" i="7" a="1"/>
  <c r="AD29" i="7" s="1"/>
  <c r="M29" i="7" a="1"/>
  <c r="M29" i="7" s="1"/>
  <c r="Z29" i="7" a="1"/>
  <c r="Z29" i="7" s="1"/>
  <c r="AI29" i="7" a="1"/>
  <c r="AI29" i="7" s="1"/>
  <c r="E29" i="7" a="1"/>
  <c r="E29" i="7" s="1"/>
  <c r="Q29" i="7" a="1"/>
  <c r="Q29" i="7" s="1"/>
  <c r="AG29" i="7" a="1"/>
  <c r="AG29" i="7" s="1"/>
  <c r="AE29" i="7" a="1"/>
  <c r="AE29" i="7" s="1"/>
  <c r="O29" i="7" a="1"/>
  <c r="O29" i="7" s="1"/>
  <c r="AS29" i="7" a="1"/>
  <c r="AS29" i="7" s="1"/>
  <c r="AR29" i="7" a="1"/>
  <c r="AR29" i="7" s="1"/>
  <c r="V29" i="7" a="1"/>
  <c r="V29" i="7" s="1"/>
  <c r="AH29" i="7" a="1"/>
  <c r="AH29" i="7" s="1"/>
  <c r="AF29" i="7" a="1"/>
  <c r="AF29" i="7" s="1"/>
  <c r="AQ29" i="7" a="1"/>
  <c r="AQ29" i="7" s="1"/>
  <c r="X29" i="7" a="1"/>
  <c r="X29" i="7" s="1"/>
  <c r="AU29" i="7" a="1"/>
  <c r="AU29" i="7" s="1"/>
  <c r="K29" i="7" a="1"/>
  <c r="K29" i="7" s="1"/>
  <c r="F29" i="7" a="1"/>
  <c r="F29" i="7" s="1"/>
  <c r="R29" i="7" a="1"/>
  <c r="R29" i="7" s="1"/>
  <c r="AT29" i="7" a="1"/>
  <c r="AT29" i="7" s="1"/>
  <c r="P29" i="7" a="1"/>
  <c r="P29" i="7" s="1"/>
  <c r="C29" i="7" a="1"/>
  <c r="C29" i="7" s="1"/>
  <c r="W29" i="7" a="1"/>
  <c r="W29" i="7" s="1"/>
  <c r="H29" i="7" a="1"/>
  <c r="H29" i="7" s="1"/>
  <c r="G29" i="7" a="1"/>
  <c r="G29" i="7" s="1"/>
  <c r="Y29" i="7" a="1"/>
  <c r="Y29" i="7" s="1"/>
  <c r="AW29" i="7" a="1"/>
  <c r="AW29" i="7" s="1"/>
  <c r="AV29" i="7" a="1"/>
  <c r="AV29" i="7" s="1"/>
  <c r="AX29" i="7" a="1"/>
  <c r="AX29" i="7" s="1"/>
  <c r="AY29" i="7" a="1"/>
  <c r="AY29" i="7" s="1"/>
  <c r="BA29" i="7" a="1"/>
  <c r="BA29" i="7" s="1"/>
  <c r="AZ29" i="7" a="1"/>
  <c r="AZ29" i="7" s="1"/>
  <c r="BB29" i="7" a="1"/>
  <c r="BB29" i="7" s="1"/>
  <c r="BC29" i="7" a="1"/>
  <c r="BC29" i="7" s="1"/>
  <c r="BE29" i="7" a="1"/>
  <c r="BE29" i="7" s="1"/>
  <c r="BD29" i="7" a="1"/>
  <c r="BD29" i="7" s="1"/>
  <c r="BG29" i="7" a="1"/>
  <c r="BG29" i="7" s="1"/>
  <c r="BF29" i="7" a="1"/>
  <c r="BF29" i="7" s="1"/>
  <c r="BH29" i="7" a="1"/>
  <c r="BH29" i="7" s="1"/>
  <c r="BI29" i="7" a="1"/>
  <c r="BI29" i="7" s="1"/>
  <c r="BM52" i="5"/>
  <c r="AQ8" i="7" a="1"/>
  <c r="AQ8" i="7" s="1"/>
  <c r="AN8" i="7" a="1"/>
  <c r="AN8" i="7" s="1"/>
  <c r="D8" i="7" a="1"/>
  <c r="D8" i="7" s="1"/>
  <c r="AO8" i="7" a="1"/>
  <c r="AO8" i="7" s="1"/>
  <c r="Q8" i="7" a="1"/>
  <c r="Q8" i="7" s="1"/>
  <c r="AP8" i="7" a="1"/>
  <c r="AP8" i="7" s="1"/>
  <c r="AM8" i="7" a="1"/>
  <c r="AM8" i="7" s="1"/>
  <c r="AG8" i="7" a="1"/>
  <c r="AG8" i="7" s="1"/>
  <c r="Y8" i="7" a="1"/>
  <c r="Y8" i="7" s="1"/>
  <c r="T8" i="7" a="1"/>
  <c r="T8" i="7" s="1"/>
  <c r="W8" i="7" a="1"/>
  <c r="W8" i="7" s="1"/>
  <c r="AA8" i="7" a="1"/>
  <c r="AA8" i="7" s="1"/>
  <c r="Z8" i="7" a="1"/>
  <c r="Z8" i="7" s="1"/>
  <c r="AR8" i="7" a="1"/>
  <c r="AR8" i="7" s="1"/>
  <c r="AF8" i="7" a="1"/>
  <c r="AF8" i="7" s="1"/>
  <c r="B8" i="7" a="1"/>
  <c r="B8" i="7" s="1"/>
  <c r="C8" i="7" a="1"/>
  <c r="C8" i="7" s="1"/>
  <c r="G8" i="7" a="1"/>
  <c r="G8" i="7" s="1"/>
  <c r="AH8" i="7" a="1"/>
  <c r="AH8" i="7" s="1"/>
  <c r="U8" i="7" a="1"/>
  <c r="U8" i="7" s="1"/>
  <c r="AE8" i="7" a="1"/>
  <c r="AE8" i="7" s="1"/>
  <c r="AU8" i="7" a="1"/>
  <c r="AU8" i="7" s="1"/>
  <c r="AL8" i="7" a="1"/>
  <c r="AL8" i="7" s="1"/>
  <c r="V8" i="7" a="1"/>
  <c r="V8" i="7" s="1"/>
  <c r="O8" i="7" a="1"/>
  <c r="O8" i="7" s="1"/>
  <c r="X8" i="7" a="1"/>
  <c r="X8" i="7" s="1"/>
  <c r="AC8" i="7" a="1"/>
  <c r="AC8" i="7" s="1"/>
  <c r="P8" i="7" a="1"/>
  <c r="P8" i="7" s="1"/>
  <c r="AD8" i="7" a="1"/>
  <c r="AD8" i="7" s="1"/>
  <c r="K8" i="7" a="1"/>
  <c r="K8" i="7" s="1"/>
  <c r="E8" i="7" a="1"/>
  <c r="E8" i="7" s="1"/>
  <c r="F8" i="7" a="1"/>
  <c r="F8" i="7" s="1"/>
  <c r="L8" i="7" a="1"/>
  <c r="L8" i="7" s="1"/>
  <c r="S8" i="7" a="1"/>
  <c r="S8" i="7" s="1"/>
  <c r="AK8" i="7" a="1"/>
  <c r="AK8" i="7" s="1"/>
  <c r="AS8" i="7" a="1"/>
  <c r="AS8" i="7" s="1"/>
  <c r="R8" i="7" a="1"/>
  <c r="R8" i="7" s="1"/>
  <c r="AJ8" i="7" a="1"/>
  <c r="AJ8" i="7" s="1"/>
  <c r="I8" i="7" a="1"/>
  <c r="I8" i="7" s="1"/>
  <c r="AI8" i="7" a="1"/>
  <c r="AI8" i="7" s="1"/>
  <c r="AB8" i="7" a="1"/>
  <c r="AB8" i="7" s="1"/>
  <c r="J8" i="7" a="1"/>
  <c r="J8" i="7" s="1"/>
  <c r="H8" i="7" a="1"/>
  <c r="H8" i="7" s="1"/>
  <c r="N8" i="7" a="1"/>
  <c r="N8" i="7" s="1"/>
  <c r="M8" i="7" a="1"/>
  <c r="M8" i="7" s="1"/>
  <c r="AV8" i="7" a="1"/>
  <c r="AV8" i="7" s="1"/>
  <c r="AT8" i="7" a="1"/>
  <c r="AT8" i="7" s="1"/>
  <c r="AW8" i="7" a="1"/>
  <c r="AW8" i="7" s="1"/>
  <c r="BB8" i="7" a="1"/>
  <c r="BB8" i="7" s="1"/>
  <c r="AX8" i="7" a="1"/>
  <c r="AX8" i="7" s="1"/>
  <c r="BD8" i="7" a="1"/>
  <c r="BD8" i="7" s="1"/>
  <c r="AZ8" i="7" a="1"/>
  <c r="AZ8" i="7" s="1"/>
  <c r="BC8" i="7" a="1"/>
  <c r="BC8" i="7" s="1"/>
  <c r="BA8" i="7" a="1"/>
  <c r="BA8" i="7" s="1"/>
  <c r="AY8" i="7" a="1"/>
  <c r="AY8" i="7" s="1"/>
  <c r="BE8" i="7" a="1"/>
  <c r="BE8" i="7" s="1"/>
  <c r="BF8" i="7" a="1"/>
  <c r="BF8" i="7" s="1"/>
  <c r="BG8" i="7" a="1"/>
  <c r="BG8" i="7" s="1"/>
  <c r="BH8" i="7" a="1"/>
  <c r="BH8" i="7" s="1"/>
  <c r="BI8" i="7" a="1"/>
  <c r="BI8" i="7" s="1"/>
  <c r="BL39" i="5"/>
  <c r="BL84" i="5"/>
  <c r="BL83" i="5" s="1"/>
  <c r="AP28" i="7" s="1" a="1"/>
  <c r="AP28" i="7" s="1"/>
  <c r="AG37" i="7" a="1"/>
  <c r="AG37" i="7" s="1"/>
  <c r="AL37" i="7" a="1"/>
  <c r="AL37" i="7" s="1"/>
  <c r="W37" i="7" a="1"/>
  <c r="W37" i="7" s="1"/>
  <c r="AP37" i="7" a="1"/>
  <c r="AP37" i="7" s="1"/>
  <c r="AM37" i="7" a="1"/>
  <c r="AM37" i="7" s="1"/>
  <c r="AO37" i="7" a="1"/>
  <c r="AO37" i="7" s="1"/>
  <c r="Y37" i="7" a="1"/>
  <c r="Y37" i="7" s="1"/>
  <c r="AN37" i="7" a="1"/>
  <c r="AN37" i="7" s="1"/>
  <c r="C37" i="7" a="1"/>
  <c r="C37" i="7" s="1"/>
  <c r="AQ37" i="7" a="1"/>
  <c r="AQ37" i="7" s="1"/>
  <c r="AF37" i="7" a="1"/>
  <c r="AF37" i="7" s="1"/>
  <c r="N37" i="7" a="1"/>
  <c r="N37" i="7" s="1"/>
  <c r="AC37" i="7" a="1"/>
  <c r="AC37" i="7" s="1"/>
  <c r="M37" i="7" a="1"/>
  <c r="M37" i="7" s="1"/>
  <c r="AD37" i="7" a="1"/>
  <c r="AD37" i="7" s="1"/>
  <c r="Z37" i="7" a="1"/>
  <c r="Z37" i="7" s="1"/>
  <c r="AH37" i="7" a="1"/>
  <c r="AH37" i="7" s="1"/>
  <c r="O37" i="7" a="1"/>
  <c r="O37" i="7" s="1"/>
  <c r="AI37" i="7" a="1"/>
  <c r="AI37" i="7" s="1"/>
  <c r="AK37" i="7" a="1"/>
  <c r="AK37" i="7" s="1"/>
  <c r="U37" i="7" a="1"/>
  <c r="U37" i="7" s="1"/>
  <c r="J37" i="7" a="1"/>
  <c r="J37" i="7" s="1"/>
  <c r="V37" i="7" a="1"/>
  <c r="V37" i="7" s="1"/>
  <c r="R37" i="7" a="1"/>
  <c r="R37" i="7" s="1"/>
  <c r="B37" i="7" a="1"/>
  <c r="B37" i="7" s="1"/>
  <c r="P37" i="7" a="1"/>
  <c r="P37" i="7" s="1"/>
  <c r="D37" i="7" a="1"/>
  <c r="D37" i="7" s="1"/>
  <c r="T37" i="7" a="1"/>
  <c r="T37" i="7" s="1"/>
  <c r="K37" i="7" a="1"/>
  <c r="K37" i="7" s="1"/>
  <c r="AB37" i="7" a="1"/>
  <c r="AB37" i="7" s="1"/>
  <c r="G37" i="7" a="1"/>
  <c r="G37" i="7" s="1"/>
  <c r="Q37" i="7" a="1"/>
  <c r="Q37" i="7" s="1"/>
  <c r="L37" i="7" a="1"/>
  <c r="L37" i="7" s="1"/>
  <c r="S37" i="7" a="1"/>
  <c r="S37" i="7" s="1"/>
  <c r="X37" i="7" a="1"/>
  <c r="X37" i="7" s="1"/>
  <c r="AA37" i="7" a="1"/>
  <c r="AA37" i="7" s="1"/>
  <c r="H37" i="7" a="1"/>
  <c r="H37" i="7" s="1"/>
  <c r="AE37" i="7" a="1"/>
  <c r="AE37" i="7" s="1"/>
  <c r="AJ37" i="7" a="1"/>
  <c r="AJ37" i="7" s="1"/>
  <c r="F37" i="7" a="1"/>
  <c r="F37" i="7" s="1"/>
  <c r="E37" i="7" a="1"/>
  <c r="E37" i="7" s="1"/>
  <c r="I37" i="7" a="1"/>
  <c r="I37" i="7" s="1"/>
  <c r="AS37" i="7" a="1"/>
  <c r="AS37" i="7" s="1"/>
  <c r="AR37" i="7" a="1"/>
  <c r="AR37" i="7" s="1"/>
  <c r="AV37" i="7" a="1"/>
  <c r="AV37" i="7" s="1"/>
  <c r="AU37" i="7" a="1"/>
  <c r="AU37" i="7" s="1"/>
  <c r="AT37" i="7" a="1"/>
  <c r="AT37" i="7" s="1"/>
  <c r="AW37" i="7" a="1"/>
  <c r="AW37" i="7" s="1"/>
  <c r="AY37" i="7" a="1"/>
  <c r="AY37" i="7" s="1"/>
  <c r="AX37" i="7" a="1"/>
  <c r="AX37" i="7" s="1"/>
  <c r="AZ37" i="7" a="1"/>
  <c r="AZ37" i="7" s="1"/>
  <c r="BB37" i="7" a="1"/>
  <c r="BB37" i="7" s="1"/>
  <c r="BA37" i="7" a="1"/>
  <c r="BA37" i="7" s="1"/>
  <c r="BC37" i="7" a="1"/>
  <c r="BC37" i="7" s="1"/>
  <c r="BD37" i="7" a="1"/>
  <c r="BD37" i="7" s="1"/>
  <c r="BF37" i="7" a="1"/>
  <c r="BF37" i="7" s="1"/>
  <c r="BE37" i="7" a="1"/>
  <c r="BE37" i="7" s="1"/>
  <c r="BH37" i="7" a="1"/>
  <c r="BH37" i="7" s="1"/>
  <c r="BG37" i="7" a="1"/>
  <c r="BG37" i="7" s="1"/>
  <c r="BI37" i="7" a="1"/>
  <c r="BI37" i="7" s="1"/>
  <c r="U41" i="4"/>
  <c r="T41" i="4"/>
  <c r="AF41" i="7" a="1"/>
  <c r="AF41" i="7" s="1"/>
  <c r="L41" i="7" a="1"/>
  <c r="L41" i="7" s="1"/>
  <c r="J41" i="7" a="1"/>
  <c r="J41" i="7" s="1"/>
  <c r="H41" i="7" a="1"/>
  <c r="H41" i="7" s="1"/>
  <c r="AJ41" i="7" a="1"/>
  <c r="AJ41" i="7" s="1"/>
  <c r="AK41" i="7" a="1"/>
  <c r="AK41" i="7" s="1"/>
  <c r="B41" i="7" a="1"/>
  <c r="B41" i="7" s="1"/>
  <c r="E41" i="7" a="1"/>
  <c r="E41" i="7" s="1"/>
  <c r="S41" i="7" a="1"/>
  <c r="S41" i="7" s="1"/>
  <c r="AG41" i="7" a="1"/>
  <c r="AG41" i="7" s="1"/>
  <c r="D41" i="7" a="1"/>
  <c r="D41" i="7" s="1"/>
  <c r="AN41" i="7" a="1"/>
  <c r="AN41" i="7" s="1"/>
  <c r="Z41" i="7" a="1"/>
  <c r="Z41" i="7" s="1"/>
  <c r="V41" i="7" a="1"/>
  <c r="V41" i="7" s="1"/>
  <c r="AB41" i="7" a="1"/>
  <c r="AB41" i="7" s="1"/>
  <c r="U41" i="7" a="1"/>
  <c r="U41" i="7" s="1"/>
  <c r="N41" i="7" a="1"/>
  <c r="N41" i="7" s="1"/>
  <c r="AC41" i="7" a="1"/>
  <c r="AC41" i="7" s="1"/>
  <c r="G41" i="7" a="1"/>
  <c r="G41" i="7" s="1"/>
  <c r="R41" i="7" a="1"/>
  <c r="R41" i="7" s="1"/>
  <c r="AI41" i="7" a="1"/>
  <c r="AI41" i="7" s="1"/>
  <c r="Y41" i="7" a="1"/>
  <c r="Y41" i="7" s="1"/>
  <c r="AE41" i="7" a="1"/>
  <c r="AE41" i="7" s="1"/>
  <c r="K41" i="7" a="1"/>
  <c r="K41" i="7" s="1"/>
  <c r="Q41" i="7" a="1"/>
  <c r="Q41" i="7" s="1"/>
  <c r="M41" i="7" a="1"/>
  <c r="M41" i="7" s="1"/>
  <c r="O41" i="7" a="1"/>
  <c r="O41" i="7" s="1"/>
  <c r="F41" i="7" a="1"/>
  <c r="F41" i="7" s="1"/>
  <c r="AH41" i="7" a="1"/>
  <c r="AH41" i="7" s="1"/>
  <c r="C41" i="7" a="1"/>
  <c r="C41" i="7" s="1"/>
  <c r="X41" i="7" a="1"/>
  <c r="X41" i="7" s="1"/>
  <c r="I41" i="7" a="1"/>
  <c r="I41" i="7" s="1"/>
  <c r="AA41" i="7" a="1"/>
  <c r="AA41" i="7" s="1"/>
  <c r="AO41" i="7" a="1"/>
  <c r="AO41" i="7" s="1"/>
  <c r="W41" i="7" a="1"/>
  <c r="W41" i="7" s="1"/>
  <c r="AL41" i="7" a="1"/>
  <c r="AL41" i="7" s="1"/>
  <c r="AD41" i="7" a="1"/>
  <c r="AD41" i="7" s="1"/>
  <c r="AM41" i="7" a="1"/>
  <c r="AM41" i="7" s="1"/>
  <c r="T41" i="7" a="1"/>
  <c r="T41" i="7" s="1"/>
  <c r="P41" i="7" a="1"/>
  <c r="P41" i="7" s="1"/>
  <c r="AS41" i="7" a="1"/>
  <c r="AS41" i="7" s="1"/>
  <c r="AQ41" i="7" a="1"/>
  <c r="AQ41" i="7" s="1"/>
  <c r="AT41" i="7" a="1"/>
  <c r="AT41" i="7" s="1"/>
  <c r="AP41" i="7" a="1"/>
  <c r="AP41" i="7" s="1"/>
  <c r="AR41" i="7" a="1"/>
  <c r="AR41" i="7" s="1"/>
  <c r="AV41" i="7" a="1"/>
  <c r="AV41" i="7" s="1"/>
  <c r="AU41" i="7" a="1"/>
  <c r="AU41" i="7" s="1"/>
  <c r="AW41" i="7" a="1"/>
  <c r="AW41" i="7" s="1"/>
  <c r="AX41" i="7" a="1"/>
  <c r="AX41" i="7" s="1"/>
  <c r="AY41" i="7" a="1"/>
  <c r="AY41" i="7" s="1"/>
  <c r="AZ41" i="7" a="1"/>
  <c r="AZ41" i="7" s="1"/>
  <c r="BD41" i="7" a="1"/>
  <c r="BD41" i="7" s="1"/>
  <c r="BA41" i="7" a="1"/>
  <c r="BA41" i="7" s="1"/>
  <c r="BB41" i="7" a="1"/>
  <c r="BB41" i="7" s="1"/>
  <c r="BH41" i="7" a="1"/>
  <c r="BH41" i="7" s="1"/>
  <c r="BF41" i="7" a="1"/>
  <c r="BF41" i="7" s="1"/>
  <c r="BC41" i="7" a="1"/>
  <c r="BC41" i="7" s="1"/>
  <c r="BG41" i="7" a="1"/>
  <c r="BG41" i="7" s="1"/>
  <c r="BI41" i="7" a="1"/>
  <c r="BI41" i="7" s="1"/>
  <c r="BE41" i="7" a="1"/>
  <c r="BE41" i="7" s="1"/>
  <c r="K49" i="7" a="1"/>
  <c r="K49" i="7" s="1"/>
  <c r="J49" i="7" a="1"/>
  <c r="J49" i="7" s="1"/>
  <c r="B49" i="7" a="1"/>
  <c r="B49" i="7" s="1"/>
  <c r="U49" i="7" a="1"/>
  <c r="U49" i="7" s="1"/>
  <c r="AJ49" i="7" a="1"/>
  <c r="AJ49" i="7" s="1"/>
  <c r="F49" i="7" a="1"/>
  <c r="F49" i="7" s="1"/>
  <c r="Z49" i="7" a="1"/>
  <c r="Z49" i="7" s="1"/>
  <c r="AI49" i="7" a="1"/>
  <c r="AI49" i="7" s="1"/>
  <c r="O49" i="7" a="1"/>
  <c r="O49" i="7" s="1"/>
  <c r="AQ49" i="7" a="1"/>
  <c r="AQ49" i="7" s="1"/>
  <c r="S49" i="7" a="1"/>
  <c r="S49" i="7" s="1"/>
  <c r="T49" i="7" a="1"/>
  <c r="T49" i="7" s="1"/>
  <c r="AG49" i="7" a="1"/>
  <c r="AG49" i="7" s="1"/>
  <c r="AN49" i="7" a="1"/>
  <c r="AN49" i="7" s="1"/>
  <c r="M49" i="7" a="1"/>
  <c r="M49" i="7" s="1"/>
  <c r="C49" i="7" a="1"/>
  <c r="C49" i="7" s="1"/>
  <c r="AK49" i="7" a="1"/>
  <c r="AK49" i="7" s="1"/>
  <c r="D49" i="7" a="1"/>
  <c r="D49" i="7" s="1"/>
  <c r="AL49" i="7" a="1"/>
  <c r="AL49" i="7" s="1"/>
  <c r="G49" i="7" a="1"/>
  <c r="G49" i="7" s="1"/>
  <c r="AF49" i="7" a="1"/>
  <c r="AF49" i="7" s="1"/>
  <c r="V49" i="7" a="1"/>
  <c r="V49" i="7" s="1"/>
  <c r="P49" i="7" a="1"/>
  <c r="P49" i="7" s="1"/>
  <c r="N49" i="7" a="1"/>
  <c r="N49" i="7" s="1"/>
  <c r="AB49" i="7" a="1"/>
  <c r="AB49" i="7" s="1"/>
  <c r="AM49" i="7" a="1"/>
  <c r="AM49" i="7" s="1"/>
  <c r="AC49" i="7" a="1"/>
  <c r="AC49" i="7" s="1"/>
  <c r="L49" i="7" a="1"/>
  <c r="L49" i="7" s="1"/>
  <c r="X49" i="7" a="1"/>
  <c r="X49" i="7" s="1"/>
  <c r="AH49" i="7" a="1"/>
  <c r="AH49" i="7" s="1"/>
  <c r="I49" i="7" a="1"/>
  <c r="I49" i="7" s="1"/>
  <c r="Y49" i="7" a="1"/>
  <c r="Y49" i="7" s="1"/>
  <c r="AO49" i="7" a="1"/>
  <c r="AO49" i="7" s="1"/>
  <c r="AD49" i="7" a="1"/>
  <c r="AD49" i="7" s="1"/>
  <c r="R49" i="7" a="1"/>
  <c r="R49" i="7" s="1"/>
  <c r="AA49" i="7" a="1"/>
  <c r="AA49" i="7" s="1"/>
  <c r="Q49" i="7" a="1"/>
  <c r="Q49" i="7" s="1"/>
  <c r="E49" i="7" a="1"/>
  <c r="E49" i="7" s="1"/>
  <c r="H49" i="7" a="1"/>
  <c r="H49" i="7" s="1"/>
  <c r="W49" i="7" a="1"/>
  <c r="W49" i="7" s="1"/>
  <c r="AE49" i="7" a="1"/>
  <c r="AE49" i="7" s="1"/>
  <c r="AP49" i="7" a="1"/>
  <c r="AP49" i="7" s="1"/>
  <c r="AR49" i="7" a="1"/>
  <c r="AR49" i="7" s="1"/>
  <c r="AT49" i="7" a="1"/>
  <c r="AT49" i="7" s="1"/>
  <c r="AW49" i="7" a="1"/>
  <c r="AW49" i="7" s="1"/>
  <c r="AS49" i="7" a="1"/>
  <c r="AS49" i="7" s="1"/>
  <c r="AV49" i="7" a="1"/>
  <c r="AV49" i="7" s="1"/>
  <c r="AU49" i="7" a="1"/>
  <c r="AU49" i="7" s="1"/>
  <c r="AX49" i="7" a="1"/>
  <c r="AX49" i="7" s="1"/>
  <c r="BB49" i="7" a="1"/>
  <c r="BB49" i="7" s="1"/>
  <c r="BA49" i="7" a="1"/>
  <c r="BA49" i="7" s="1"/>
  <c r="AZ49" i="7" a="1"/>
  <c r="AZ49" i="7" s="1"/>
  <c r="AY49" i="7" a="1"/>
  <c r="AY49" i="7" s="1"/>
  <c r="BC49" i="7" a="1"/>
  <c r="BC49" i="7" s="1"/>
  <c r="BD49" i="7" a="1"/>
  <c r="BD49" i="7" s="1"/>
  <c r="BE49" i="7" a="1"/>
  <c r="BE49" i="7" s="1"/>
  <c r="BI49" i="7" a="1"/>
  <c r="BI49" i="7" s="1"/>
  <c r="BF49" i="7" a="1"/>
  <c r="BF49" i="7" s="1"/>
  <c r="BG49" i="7" a="1"/>
  <c r="BG49" i="7" s="1"/>
  <c r="BH49" i="7" a="1"/>
  <c r="BH49" i="7" s="1"/>
  <c r="AA45" i="7" a="1"/>
  <c r="AA45" i="7" s="1"/>
  <c r="AM45" i="7" a="1"/>
  <c r="AM45" i="7" s="1"/>
  <c r="AB45" i="7" a="1"/>
  <c r="AB45" i="7" s="1"/>
  <c r="T45" i="7" a="1"/>
  <c r="T45" i="7" s="1"/>
  <c r="Z45" i="7" a="1"/>
  <c r="Z45" i="7" s="1"/>
  <c r="Q45" i="7" a="1"/>
  <c r="Q45" i="7" s="1"/>
  <c r="AC45" i="7" a="1"/>
  <c r="AC45" i="7" s="1"/>
  <c r="W45" i="7" a="1"/>
  <c r="W45" i="7" s="1"/>
  <c r="AI45" i="7" a="1"/>
  <c r="AI45" i="7" s="1"/>
  <c r="V45" i="7" a="1"/>
  <c r="V45" i="7" s="1"/>
  <c r="AQ45" i="7" a="1"/>
  <c r="AQ45" i="7" s="1"/>
  <c r="AD45" i="7" a="1"/>
  <c r="AD45" i="7" s="1"/>
  <c r="I45" i="7" a="1"/>
  <c r="I45" i="7" s="1"/>
  <c r="AJ45" i="7" a="1"/>
  <c r="AJ45" i="7" s="1"/>
  <c r="J45" i="7" a="1"/>
  <c r="J45" i="7" s="1"/>
  <c r="P45" i="7" a="1"/>
  <c r="P45" i="7" s="1"/>
  <c r="B45" i="7" a="1"/>
  <c r="B45" i="7" s="1"/>
  <c r="AF45" i="7" a="1"/>
  <c r="AF45" i="7" s="1"/>
  <c r="H45" i="7" a="1"/>
  <c r="H45" i="7" s="1"/>
  <c r="D45" i="7" a="1"/>
  <c r="D45" i="7" s="1"/>
  <c r="S45" i="7" a="1"/>
  <c r="S45" i="7" s="1"/>
  <c r="N45" i="7" a="1"/>
  <c r="N45" i="7" s="1"/>
  <c r="G45" i="7" a="1"/>
  <c r="G45" i="7" s="1"/>
  <c r="O45" i="7" a="1"/>
  <c r="O45" i="7" s="1"/>
  <c r="AK45" i="7" a="1"/>
  <c r="AK45" i="7" s="1"/>
  <c r="F45" i="7" a="1"/>
  <c r="F45" i="7" s="1"/>
  <c r="AP45" i="7" a="1"/>
  <c r="AP45" i="7" s="1"/>
  <c r="X45" i="7" a="1"/>
  <c r="X45" i="7" s="1"/>
  <c r="C45" i="7" a="1"/>
  <c r="C45" i="7" s="1"/>
  <c r="M45" i="7" a="1"/>
  <c r="M45" i="7" s="1"/>
  <c r="AE45" i="7" a="1"/>
  <c r="AE45" i="7" s="1"/>
  <c r="AL45" i="7" a="1"/>
  <c r="AL45" i="7" s="1"/>
  <c r="K45" i="7" a="1"/>
  <c r="K45" i="7" s="1"/>
  <c r="AS45" i="7" a="1"/>
  <c r="AS45" i="7" s="1"/>
  <c r="U45" i="7" a="1"/>
  <c r="U45" i="7" s="1"/>
  <c r="E45" i="7" a="1"/>
  <c r="E45" i="7" s="1"/>
  <c r="R45" i="7" a="1"/>
  <c r="R45" i="7" s="1"/>
  <c r="AO45" i="7" a="1"/>
  <c r="AO45" i="7" s="1"/>
  <c r="L45" i="7" a="1"/>
  <c r="L45" i="7" s="1"/>
  <c r="AN45" i="7" a="1"/>
  <c r="AN45" i="7" s="1"/>
  <c r="Y45" i="7" a="1"/>
  <c r="Y45" i="7" s="1"/>
  <c r="AG45" i="7" a="1"/>
  <c r="AG45" i="7" s="1"/>
  <c r="AH45" i="7" a="1"/>
  <c r="AH45" i="7" s="1"/>
  <c r="AR45" i="7" a="1"/>
  <c r="AR45" i="7" s="1"/>
  <c r="AT45" i="7" a="1"/>
  <c r="AT45" i="7" s="1"/>
  <c r="AW45" i="7" a="1"/>
  <c r="AW45" i="7" s="1"/>
  <c r="AU45" i="7" a="1"/>
  <c r="AU45" i="7" s="1"/>
  <c r="AV45" i="7" a="1"/>
  <c r="AV45" i="7" s="1"/>
  <c r="AY45" i="7" a="1"/>
  <c r="AY45" i="7" s="1"/>
  <c r="AX45" i="7" a="1"/>
  <c r="AX45" i="7" s="1"/>
  <c r="BB45" i="7" a="1"/>
  <c r="BB45" i="7" s="1"/>
  <c r="BA45" i="7" a="1"/>
  <c r="BA45" i="7" s="1"/>
  <c r="AZ45" i="7" a="1"/>
  <c r="AZ45" i="7" s="1"/>
  <c r="BC45" i="7" a="1"/>
  <c r="BC45" i="7" s="1"/>
  <c r="BD45" i="7" a="1"/>
  <c r="BD45" i="7" s="1"/>
  <c r="BE45" i="7" a="1"/>
  <c r="BE45" i="7" s="1"/>
  <c r="BH45" i="7" a="1"/>
  <c r="BH45" i="7" s="1"/>
  <c r="BF45" i="7" a="1"/>
  <c r="BF45" i="7" s="1"/>
  <c r="BG45" i="7" a="1"/>
  <c r="BG45" i="7" s="1"/>
  <c r="BI45" i="7" a="1"/>
  <c r="BI45" i="7" s="1"/>
  <c r="O50" i="7" a="1"/>
  <c r="O50" i="7" s="1"/>
  <c r="J50" i="7" a="1"/>
  <c r="J50" i="7" s="1"/>
  <c r="Z50" i="7" a="1"/>
  <c r="Z50" i="7" s="1"/>
  <c r="T50" i="7" a="1"/>
  <c r="T50" i="7" s="1"/>
  <c r="AB50" i="7" a="1"/>
  <c r="AB50" i="7" s="1"/>
  <c r="AO50" i="7" a="1"/>
  <c r="AO50" i="7" s="1"/>
  <c r="AJ50" i="7" a="1"/>
  <c r="AJ50" i="7" s="1"/>
  <c r="P50" i="7" a="1"/>
  <c r="P50" i="7" s="1"/>
  <c r="AI50" i="7" a="1"/>
  <c r="AI50" i="7" s="1"/>
  <c r="AG50" i="7" a="1"/>
  <c r="AG50" i="7" s="1"/>
  <c r="AF50" i="7" a="1"/>
  <c r="AF50" i="7" s="1"/>
  <c r="V50" i="7" a="1"/>
  <c r="V50" i="7" s="1"/>
  <c r="I50" i="7" a="1"/>
  <c r="I50" i="7" s="1"/>
  <c r="AE50" i="7" a="1"/>
  <c r="AE50" i="7" s="1"/>
  <c r="Q50" i="7" a="1"/>
  <c r="Q50" i="7" s="1"/>
  <c r="AQ50" i="7" a="1"/>
  <c r="AQ50" i="7" s="1"/>
  <c r="K50" i="7" a="1"/>
  <c r="K50" i="7" s="1"/>
  <c r="W50" i="7" a="1"/>
  <c r="W50" i="7" s="1"/>
  <c r="AH50" i="7" a="1"/>
  <c r="AH50" i="7" s="1"/>
  <c r="AN50" i="7" a="1"/>
  <c r="AN50" i="7" s="1"/>
  <c r="M50" i="7" a="1"/>
  <c r="M50" i="7" s="1"/>
  <c r="H50" i="7" a="1"/>
  <c r="H50" i="7" s="1"/>
  <c r="L50" i="7" a="1"/>
  <c r="L50" i="7" s="1"/>
  <c r="AL50" i="7" a="1"/>
  <c r="AL50" i="7" s="1"/>
  <c r="X50" i="7" a="1"/>
  <c r="X50" i="7" s="1"/>
  <c r="S50" i="7" a="1"/>
  <c r="S50" i="7" s="1"/>
  <c r="F50" i="7" a="1"/>
  <c r="F50" i="7" s="1"/>
  <c r="AA50" i="7" a="1"/>
  <c r="AA50" i="7" s="1"/>
  <c r="AC50" i="7" a="1"/>
  <c r="AC50" i="7" s="1"/>
  <c r="U50" i="7" a="1"/>
  <c r="U50" i="7" s="1"/>
  <c r="D50" i="7" a="1"/>
  <c r="D50" i="7" s="1"/>
  <c r="R50" i="7" a="1"/>
  <c r="R50" i="7" s="1"/>
  <c r="N50" i="7" a="1"/>
  <c r="N50" i="7" s="1"/>
  <c r="C50" i="7" a="1"/>
  <c r="C50" i="7" s="1"/>
  <c r="E50" i="7" a="1"/>
  <c r="E50" i="7" s="1"/>
  <c r="AK50" i="7" a="1"/>
  <c r="AK50" i="7" s="1"/>
  <c r="AM50" i="7" a="1"/>
  <c r="AM50" i="7" s="1"/>
  <c r="B50" i="7" a="1"/>
  <c r="B50" i="7" s="1"/>
  <c r="Y50" i="7" a="1"/>
  <c r="Y50" i="7" s="1"/>
  <c r="G50" i="7" a="1"/>
  <c r="G50" i="7" s="1"/>
  <c r="AD50" i="7" a="1"/>
  <c r="AD50" i="7" s="1"/>
  <c r="AP50" i="7" a="1"/>
  <c r="AP50" i="7" s="1"/>
  <c r="AR50" i="7" a="1"/>
  <c r="AR50" i="7" s="1"/>
  <c r="AU50" i="7" a="1"/>
  <c r="AU50" i="7" s="1"/>
  <c r="AW50" i="7" a="1"/>
  <c r="AW50" i="7" s="1"/>
  <c r="AT50" i="7" a="1"/>
  <c r="AT50" i="7" s="1"/>
  <c r="AS50" i="7" a="1"/>
  <c r="AS50" i="7" s="1"/>
  <c r="AV50" i="7" a="1"/>
  <c r="AV50" i="7" s="1"/>
  <c r="AY50" i="7" a="1"/>
  <c r="AY50" i="7" s="1"/>
  <c r="BC50" i="7" a="1"/>
  <c r="BC50" i="7" s="1"/>
  <c r="AX50" i="7" a="1"/>
  <c r="AX50" i="7" s="1"/>
  <c r="BG50" i="7" a="1"/>
  <c r="BG50" i="7" s="1"/>
  <c r="BA50" i="7" a="1"/>
  <c r="BA50" i="7" s="1"/>
  <c r="BB50" i="7" a="1"/>
  <c r="BB50" i="7" s="1"/>
  <c r="AZ50" i="7" a="1"/>
  <c r="AZ50" i="7" s="1"/>
  <c r="BD50" i="7" a="1"/>
  <c r="BD50" i="7" s="1"/>
  <c r="BF50" i="7" a="1"/>
  <c r="BF50" i="7" s="1"/>
  <c r="BE50" i="7" a="1"/>
  <c r="BE50" i="7" s="1"/>
  <c r="BH50" i="7" a="1"/>
  <c r="BH50" i="7" s="1"/>
  <c r="BI50" i="7" a="1"/>
  <c r="BI50" i="7" s="1"/>
  <c r="O47" i="7" a="1"/>
  <c r="O47" i="7" s="1"/>
  <c r="E47" i="7" a="1"/>
  <c r="E47" i="7" s="1"/>
  <c r="AG47" i="7" a="1"/>
  <c r="AG47" i="7" s="1"/>
  <c r="M47" i="7" a="1"/>
  <c r="M47" i="7" s="1"/>
  <c r="AB47" i="7" a="1"/>
  <c r="AB47" i="7" s="1"/>
  <c r="AO47" i="7" a="1"/>
  <c r="AO47" i="7" s="1"/>
  <c r="AA47" i="7" a="1"/>
  <c r="AA47" i="7" s="1"/>
  <c r="H47" i="7" a="1"/>
  <c r="H47" i="7" s="1"/>
  <c r="AI47" i="7" a="1"/>
  <c r="AI47" i="7" s="1"/>
  <c r="AN47" i="7" a="1"/>
  <c r="AN47" i="7" s="1"/>
  <c r="K47" i="7" a="1"/>
  <c r="K47" i="7" s="1"/>
  <c r="R47" i="7" a="1"/>
  <c r="R47" i="7" s="1"/>
  <c r="L47" i="7" a="1"/>
  <c r="L47" i="7" s="1"/>
  <c r="N47" i="7" a="1"/>
  <c r="N47" i="7" s="1"/>
  <c r="AM47" i="7" a="1"/>
  <c r="AM47" i="7" s="1"/>
  <c r="AC47" i="7" a="1"/>
  <c r="AC47" i="7" s="1"/>
  <c r="AF47" i="7" a="1"/>
  <c r="AF47" i="7" s="1"/>
  <c r="I47" i="7" a="1"/>
  <c r="I47" i="7" s="1"/>
  <c r="AJ47" i="7" a="1"/>
  <c r="AJ47" i="7" s="1"/>
  <c r="AE47" i="7" a="1"/>
  <c r="AE47" i="7" s="1"/>
  <c r="AK47" i="7" a="1"/>
  <c r="AK47" i="7" s="1"/>
  <c r="U47" i="7" a="1"/>
  <c r="U47" i="7" s="1"/>
  <c r="J47" i="7" a="1"/>
  <c r="J47" i="7" s="1"/>
  <c r="X47" i="7" a="1"/>
  <c r="X47" i="7" s="1"/>
  <c r="B47" i="7" a="1"/>
  <c r="B47" i="7" s="1"/>
  <c r="D47" i="7" a="1"/>
  <c r="D47" i="7" s="1"/>
  <c r="G47" i="7" a="1"/>
  <c r="G47" i="7" s="1"/>
  <c r="C47" i="7" a="1"/>
  <c r="C47" i="7" s="1"/>
  <c r="F47" i="7" a="1"/>
  <c r="F47" i="7" s="1"/>
  <c r="P47" i="7" a="1"/>
  <c r="P47" i="7" s="1"/>
  <c r="T47" i="7" a="1"/>
  <c r="T47" i="7" s="1"/>
  <c r="Z47" i="7" a="1"/>
  <c r="Z47" i="7" s="1"/>
  <c r="V47" i="7" a="1"/>
  <c r="V47" i="7" s="1"/>
  <c r="AL47" i="7" a="1"/>
  <c r="AL47" i="7" s="1"/>
  <c r="W47" i="7" a="1"/>
  <c r="W47" i="7" s="1"/>
  <c r="Q47" i="7" a="1"/>
  <c r="Q47" i="7" s="1"/>
  <c r="S47" i="7" a="1"/>
  <c r="S47" i="7" s="1"/>
  <c r="AD47" i="7" a="1"/>
  <c r="AD47" i="7" s="1"/>
  <c r="Y47" i="7" a="1"/>
  <c r="Y47" i="7" s="1"/>
  <c r="AH47" i="7" a="1"/>
  <c r="AH47" i="7" s="1"/>
  <c r="AP47" i="7" a="1"/>
  <c r="AP47" i="7" s="1"/>
  <c r="AR47" i="7" a="1"/>
  <c r="AR47" i="7" s="1"/>
  <c r="AQ47" i="7" a="1"/>
  <c r="AQ47" i="7" s="1"/>
  <c r="AS47" i="7" a="1"/>
  <c r="AS47" i="7" s="1"/>
  <c r="AU47" i="7" a="1"/>
  <c r="AU47" i="7" s="1"/>
  <c r="AV47" i="7" a="1"/>
  <c r="AV47" i="7" s="1"/>
  <c r="AT47" i="7" a="1"/>
  <c r="AT47" i="7" s="1"/>
  <c r="AX47" i="7" a="1"/>
  <c r="AX47" i="7" s="1"/>
  <c r="AZ47" i="7" a="1"/>
  <c r="AZ47" i="7" s="1"/>
  <c r="AY47" i="7" a="1"/>
  <c r="AY47" i="7" s="1"/>
  <c r="AW47" i="7" a="1"/>
  <c r="AW47" i="7" s="1"/>
  <c r="BC47" i="7" a="1"/>
  <c r="BC47" i="7" s="1"/>
  <c r="BD47" i="7" a="1"/>
  <c r="BD47" i="7" s="1"/>
  <c r="BB47" i="7" a="1"/>
  <c r="BB47" i="7" s="1"/>
  <c r="BA47" i="7" a="1"/>
  <c r="BA47" i="7" s="1"/>
  <c r="BG47" i="7" a="1"/>
  <c r="BG47" i="7" s="1"/>
  <c r="BF47" i="7" a="1"/>
  <c r="BF47" i="7" s="1"/>
  <c r="BE47" i="7" a="1"/>
  <c r="BE47" i="7" s="1"/>
  <c r="BI47" i="7" a="1"/>
  <c r="BI47" i="7" s="1"/>
  <c r="BH47" i="7" a="1"/>
  <c r="BH47" i="7" s="1"/>
  <c r="AR31" i="7" a="1"/>
  <c r="AR31" i="7" s="1"/>
  <c r="T31" i="7" a="1"/>
  <c r="T31" i="7" s="1"/>
  <c r="AP31" i="7" a="1"/>
  <c r="AP31" i="7" s="1"/>
  <c r="Z31" i="7" a="1"/>
  <c r="Z31" i="7" s="1"/>
  <c r="J31" i="7" a="1"/>
  <c r="J31" i="7" s="1"/>
  <c r="AM31" i="7" a="1"/>
  <c r="AM31" i="7" s="1"/>
  <c r="AK31" i="7" a="1"/>
  <c r="AK31" i="7" s="1"/>
  <c r="AO31" i="7" a="1"/>
  <c r="AO31" i="7" s="1"/>
  <c r="AH31" i="7" a="1"/>
  <c r="AH31" i="7" s="1"/>
  <c r="AI31" i="7" a="1"/>
  <c r="AI31" i="7" s="1"/>
  <c r="S31" i="7" a="1"/>
  <c r="S31" i="7" s="1"/>
  <c r="AL31" i="7" a="1"/>
  <c r="AL31" i="7" s="1"/>
  <c r="B31" i="7" a="1"/>
  <c r="B31" i="7" s="1"/>
  <c r="Y31" i="7" a="1"/>
  <c r="Y31" i="7" s="1"/>
  <c r="AA31" i="7" a="1"/>
  <c r="AA31" i="7" s="1"/>
  <c r="F31" i="7" a="1"/>
  <c r="F31" i="7" s="1"/>
  <c r="U31" i="7" a="1"/>
  <c r="U31" i="7" s="1"/>
  <c r="I31" i="7" a="1"/>
  <c r="I31" i="7" s="1"/>
  <c r="Q31" i="7" a="1"/>
  <c r="Q31" i="7" s="1"/>
  <c r="AF31" i="7" a="1"/>
  <c r="AF31" i="7" s="1"/>
  <c r="AQ31" i="7" a="1"/>
  <c r="AQ31" i="7" s="1"/>
  <c r="AN31" i="7" a="1"/>
  <c r="AN31" i="7" s="1"/>
  <c r="D31" i="7" a="1"/>
  <c r="D31" i="7" s="1"/>
  <c r="K31" i="7" a="1"/>
  <c r="K31" i="7" s="1"/>
  <c r="AB31" i="7" a="1"/>
  <c r="AB31" i="7" s="1"/>
  <c r="AS31" i="7" a="1"/>
  <c r="AS31" i="7" s="1"/>
  <c r="H31" i="7" a="1"/>
  <c r="H31" i="7" s="1"/>
  <c r="C31" i="7" a="1"/>
  <c r="C31" i="7" s="1"/>
  <c r="AC31" i="7" a="1"/>
  <c r="AC31" i="7" s="1"/>
  <c r="G31" i="7" a="1"/>
  <c r="G31" i="7" s="1"/>
  <c r="AU31" i="7" a="1"/>
  <c r="AU31" i="7" s="1"/>
  <c r="AE31" i="7" a="1"/>
  <c r="AE31" i="7" s="1"/>
  <c r="L31" i="7" a="1"/>
  <c r="L31" i="7" s="1"/>
  <c r="AG31" i="7" a="1"/>
  <c r="AG31" i="7" s="1"/>
  <c r="AD31" i="7" a="1"/>
  <c r="AD31" i="7" s="1"/>
  <c r="AT31" i="7" a="1"/>
  <c r="AT31" i="7" s="1"/>
  <c r="R31" i="7" a="1"/>
  <c r="R31" i="7" s="1"/>
  <c r="P31" i="7" a="1"/>
  <c r="P31" i="7" s="1"/>
  <c r="V31" i="7" a="1"/>
  <c r="V31" i="7" s="1"/>
  <c r="X31" i="7" a="1"/>
  <c r="X31" i="7" s="1"/>
  <c r="AJ31" i="7" a="1"/>
  <c r="AJ31" i="7" s="1"/>
  <c r="O31" i="7" a="1"/>
  <c r="O31" i="7" s="1"/>
  <c r="E31" i="7" a="1"/>
  <c r="E31" i="7" s="1"/>
  <c r="M31" i="7" a="1"/>
  <c r="M31" i="7" s="1"/>
  <c r="W31" i="7" a="1"/>
  <c r="W31" i="7" s="1"/>
  <c r="N31" i="7" a="1"/>
  <c r="N31" i="7" s="1"/>
  <c r="AV31" i="7" a="1"/>
  <c r="AV31" i="7" s="1"/>
  <c r="AW31" i="7" a="1"/>
  <c r="AW31" i="7" s="1"/>
  <c r="AZ31" i="7" a="1"/>
  <c r="AZ31" i="7" s="1"/>
  <c r="AY31" i="7" a="1"/>
  <c r="AY31" i="7" s="1"/>
  <c r="BB31" i="7" a="1"/>
  <c r="BB31" i="7" s="1"/>
  <c r="AX31" i="7" a="1"/>
  <c r="AX31" i="7" s="1"/>
  <c r="BA31" i="7" a="1"/>
  <c r="BA31" i="7" s="1"/>
  <c r="BC31" i="7" a="1"/>
  <c r="BC31" i="7" s="1"/>
  <c r="BD31" i="7" a="1"/>
  <c r="BD31" i="7" s="1"/>
  <c r="BE31" i="7" a="1"/>
  <c r="BE31" i="7" s="1"/>
  <c r="BG31" i="7" a="1"/>
  <c r="BG31" i="7" s="1"/>
  <c r="BF31" i="7" a="1"/>
  <c r="BF31" i="7" s="1"/>
  <c r="BI31" i="7" a="1"/>
  <c r="BI31" i="7" s="1"/>
  <c r="BH31" i="7" a="1"/>
  <c r="BH31" i="7" s="1"/>
  <c r="T13" i="4"/>
  <c r="U13" i="4"/>
  <c r="BM39" i="5"/>
  <c r="AE7" i="7" a="1"/>
  <c r="AE7" i="7" s="1"/>
  <c r="B7" i="7" a="1"/>
  <c r="B7" i="7" s="1"/>
  <c r="AM7" i="7" a="1"/>
  <c r="AM7" i="7" s="1"/>
  <c r="AN7" i="7" a="1"/>
  <c r="AN7" i="7" s="1"/>
  <c r="C7" i="7" a="1"/>
  <c r="C7" i="7" s="1"/>
  <c r="N7" i="7" a="1"/>
  <c r="N7" i="7" s="1"/>
  <c r="K7" i="7" a="1"/>
  <c r="K7" i="7" s="1"/>
  <c r="M7" i="7" a="1"/>
  <c r="M7" i="7" s="1"/>
  <c r="M51" i="7" s="1"/>
  <c r="AL7" i="7" a="1"/>
  <c r="AL7" i="7" s="1"/>
  <c r="L7" i="7" a="1"/>
  <c r="L7" i="7" s="1"/>
  <c r="D7" i="7" a="1"/>
  <c r="D7" i="7" s="1"/>
  <c r="AF7" i="7" a="1"/>
  <c r="AF7" i="7" s="1"/>
  <c r="G7" i="7" a="1"/>
  <c r="G7" i="7" s="1"/>
  <c r="AC7" i="7" a="1"/>
  <c r="AC7" i="7" s="1"/>
  <c r="AO7" i="7" a="1"/>
  <c r="AO7" i="7" s="1"/>
  <c r="AP7" i="7" a="1"/>
  <c r="AP7" i="7" s="1"/>
  <c r="P7" i="7" a="1"/>
  <c r="P7" i="7" s="1"/>
  <c r="AA7" i="7" a="1"/>
  <c r="AA7" i="7" s="1"/>
  <c r="W7" i="7" a="1"/>
  <c r="W7" i="7" s="1"/>
  <c r="Y7" i="7" a="1"/>
  <c r="Y7" i="7" s="1"/>
  <c r="T7" i="7" a="1"/>
  <c r="T7" i="7" s="1"/>
  <c r="AH7" i="7" a="1"/>
  <c r="AH7" i="7" s="1"/>
  <c r="I7" i="7" a="1"/>
  <c r="I7" i="7" s="1"/>
  <c r="F7" i="7" a="1"/>
  <c r="F7" i="7" s="1"/>
  <c r="AB7" i="7" a="1"/>
  <c r="AB7" i="7" s="1"/>
  <c r="AQ7" i="7" a="1"/>
  <c r="AQ7" i="7" s="1"/>
  <c r="R7" i="7" a="1"/>
  <c r="R7" i="7" s="1"/>
  <c r="AK7" i="7" a="1"/>
  <c r="AK7" i="7" s="1"/>
  <c r="AR7" i="7" a="1"/>
  <c r="AR7" i="7" s="1"/>
  <c r="AG7" i="7" a="1"/>
  <c r="AG7" i="7" s="1"/>
  <c r="AI7" i="7" a="1"/>
  <c r="AI7" i="7" s="1"/>
  <c r="V7" i="7" a="1"/>
  <c r="V7" i="7" s="1"/>
  <c r="O7" i="7" a="1"/>
  <c r="O7" i="7" s="1"/>
  <c r="S7" i="7" a="1"/>
  <c r="S7" i="7" s="1"/>
  <c r="J7" i="7" a="1"/>
  <c r="J7" i="7" s="1"/>
  <c r="Q7" i="7" a="1"/>
  <c r="Q7" i="7" s="1"/>
  <c r="AT7" i="7" a="1"/>
  <c r="AT7" i="7" s="1"/>
  <c r="H7" i="7" a="1"/>
  <c r="H7" i="7" s="1"/>
  <c r="U7" i="7" a="1"/>
  <c r="U7" i="7" s="1"/>
  <c r="AJ7" i="7" a="1"/>
  <c r="AJ7" i="7" s="1"/>
  <c r="AS7" i="7" a="1"/>
  <c r="AS7" i="7" s="1"/>
  <c r="Z7" i="7" a="1"/>
  <c r="Z7" i="7" s="1"/>
  <c r="E7" i="7" a="1"/>
  <c r="E7" i="7" s="1"/>
  <c r="AD7" i="7" a="1"/>
  <c r="AD7" i="7" s="1"/>
  <c r="X7" i="7" a="1"/>
  <c r="X7" i="7" s="1"/>
  <c r="AU7" i="7" a="1"/>
  <c r="AU7" i="7" s="1"/>
  <c r="AV7" i="7" a="1"/>
  <c r="AV7" i="7" s="1"/>
  <c r="AX7" i="7" a="1"/>
  <c r="AX7" i="7" s="1"/>
  <c r="BC7" i="7" a="1"/>
  <c r="BC7" i="7" s="1"/>
  <c r="BA7" i="7" a="1"/>
  <c r="BA7" i="7" s="1"/>
  <c r="BB7" i="7" a="1"/>
  <c r="BB7" i="7" s="1"/>
  <c r="BD7" i="7" a="1"/>
  <c r="BD7" i="7" s="1"/>
  <c r="AZ7" i="7" a="1"/>
  <c r="AZ7" i="7" s="1"/>
  <c r="AY7" i="7" a="1"/>
  <c r="AY7" i="7" s="1"/>
  <c r="AW7" i="7" a="1"/>
  <c r="AW7" i="7" s="1"/>
  <c r="BG7" i="7" a="1"/>
  <c r="BG7" i="7" s="1"/>
  <c r="BG51" i="7" s="1"/>
  <c r="BF7" i="7" a="1"/>
  <c r="BF7" i="7" s="1"/>
  <c r="BE7" i="7" a="1"/>
  <c r="BE7" i="7" s="1"/>
  <c r="BH7" i="7" a="1"/>
  <c r="BH7" i="7" s="1"/>
  <c r="BI7" i="7" a="1"/>
  <c r="BI7" i="7" s="1"/>
  <c r="F13" i="6"/>
  <c r="H13" i="6"/>
  <c r="H14" i="6" s="1"/>
  <c r="J13" i="6"/>
  <c r="J14" i="6" s="1"/>
  <c r="L13" i="6"/>
  <c r="L14" i="6" s="1"/>
  <c r="P13" i="6"/>
  <c r="P14" i="6" s="1"/>
  <c r="N13" i="6"/>
  <c r="N14" i="6" s="1"/>
  <c r="BI3" i="7"/>
  <c r="H16" i="6"/>
  <c r="J16" i="6"/>
  <c r="L16" i="6"/>
  <c r="N16" i="6"/>
  <c r="P16" i="6"/>
  <c r="BM38" i="5" a="1"/>
  <c r="BM38" i="5" s="1"/>
  <c r="BM40" i="5" s="1"/>
  <c r="AM43" i="7" a="1"/>
  <c r="AM43" i="7" s="1"/>
  <c r="AN43" i="7" a="1"/>
  <c r="AN43" i="7" s="1"/>
  <c r="Z43" i="7" a="1"/>
  <c r="Z43" i="7" s="1"/>
  <c r="P43" i="7" a="1"/>
  <c r="P43" i="7" s="1"/>
  <c r="W43" i="7" a="1"/>
  <c r="W43" i="7" s="1"/>
  <c r="O43" i="7" a="1"/>
  <c r="O43" i="7" s="1"/>
  <c r="N43" i="7" a="1"/>
  <c r="N43" i="7" s="1"/>
  <c r="M43" i="7" a="1"/>
  <c r="M43" i="7" s="1"/>
  <c r="L43" i="7" a="1"/>
  <c r="L43" i="7" s="1"/>
  <c r="E43" i="7" a="1"/>
  <c r="E43" i="7" s="1"/>
  <c r="AJ43" i="7" a="1"/>
  <c r="AJ43" i="7" s="1"/>
  <c r="D43" i="7" a="1"/>
  <c r="D43" i="7" s="1"/>
  <c r="AI43" i="7" a="1"/>
  <c r="AI43" i="7" s="1"/>
  <c r="G43" i="7" a="1"/>
  <c r="G43" i="7" s="1"/>
  <c r="C43" i="7" a="1"/>
  <c r="C43" i="7" s="1"/>
  <c r="T43" i="7" a="1"/>
  <c r="T43" i="7" s="1"/>
  <c r="K43" i="7" a="1"/>
  <c r="K43" i="7" s="1"/>
  <c r="AG43" i="7" a="1"/>
  <c r="AG43" i="7" s="1"/>
  <c r="V43" i="7" a="1"/>
  <c r="V43" i="7" s="1"/>
  <c r="Y43" i="7" a="1"/>
  <c r="Y43" i="7" s="1"/>
  <c r="AH43" i="7" a="1"/>
  <c r="AH43" i="7" s="1"/>
  <c r="J43" i="7" a="1"/>
  <c r="J43" i="7" s="1"/>
  <c r="I43" i="7" a="1"/>
  <c r="I43" i="7" s="1"/>
  <c r="B43" i="7" a="1"/>
  <c r="B43" i="7" s="1"/>
  <c r="F43" i="7" a="1"/>
  <c r="F43" i="7" s="1"/>
  <c r="AD43" i="7" a="1"/>
  <c r="AD43" i="7" s="1"/>
  <c r="AK43" i="7" a="1"/>
  <c r="AK43" i="7" s="1"/>
  <c r="AE43" i="7" a="1"/>
  <c r="AE43" i="7" s="1"/>
  <c r="AC43" i="7" a="1"/>
  <c r="AC43" i="7" s="1"/>
  <c r="U43" i="7" a="1"/>
  <c r="U43" i="7" s="1"/>
  <c r="S43" i="7" a="1"/>
  <c r="S43" i="7" s="1"/>
  <c r="AA43" i="7" a="1"/>
  <c r="AA43" i="7" s="1"/>
  <c r="AF43" i="7" a="1"/>
  <c r="AF43" i="7" s="1"/>
  <c r="X43" i="7" a="1"/>
  <c r="X43" i="7" s="1"/>
  <c r="Q43" i="7" a="1"/>
  <c r="Q43" i="7" s="1"/>
  <c r="AP43" i="7" a="1"/>
  <c r="AP43" i="7" s="1"/>
  <c r="H43" i="7" a="1"/>
  <c r="H43" i="7" s="1"/>
  <c r="R43" i="7" a="1"/>
  <c r="R43" i="7" s="1"/>
  <c r="AL43" i="7" a="1"/>
  <c r="AL43" i="7" s="1"/>
  <c r="AB43" i="7" a="1"/>
  <c r="AB43" i="7" s="1"/>
  <c r="AO43" i="7" a="1"/>
  <c r="AO43" i="7" s="1"/>
  <c r="AQ43" i="7" a="1"/>
  <c r="AQ43" i="7" s="1"/>
  <c r="AR43" i="7" a="1"/>
  <c r="AR43" i="7" s="1"/>
  <c r="AW43" i="7" a="1"/>
  <c r="AW43" i="7" s="1"/>
  <c r="AU43" i="7" a="1"/>
  <c r="AU43" i="7" s="1"/>
  <c r="AS43" i="7" a="1"/>
  <c r="AS43" i="7" s="1"/>
  <c r="AV43" i="7" a="1"/>
  <c r="AV43" i="7" s="1"/>
  <c r="AT43" i="7" a="1"/>
  <c r="AT43" i="7" s="1"/>
  <c r="AX43" i="7" a="1"/>
  <c r="AX43" i="7" s="1"/>
  <c r="AY43" i="7" a="1"/>
  <c r="AY43" i="7" s="1"/>
  <c r="BD43" i="7" a="1"/>
  <c r="BD43" i="7" s="1"/>
  <c r="AZ43" i="7" a="1"/>
  <c r="AZ43" i="7" s="1"/>
  <c r="BA43" i="7" a="1"/>
  <c r="BA43" i="7" s="1"/>
  <c r="BB43" i="7" a="1"/>
  <c r="BB43" i="7" s="1"/>
  <c r="BC43" i="7" a="1"/>
  <c r="BC43" i="7" s="1"/>
  <c r="BF43" i="7" a="1"/>
  <c r="BF43" i="7" s="1"/>
  <c r="BE43" i="7" a="1"/>
  <c r="BE43" i="7" s="1"/>
  <c r="BH43" i="7" a="1"/>
  <c r="BH43" i="7" s="1"/>
  <c r="BG43" i="7" a="1"/>
  <c r="BG43" i="7" s="1"/>
  <c r="BI43" i="7" a="1"/>
  <c r="BI43" i="7" s="1"/>
  <c r="AN40" i="7" a="1"/>
  <c r="AN40" i="7" s="1"/>
  <c r="AL40" i="7" a="1"/>
  <c r="AL40" i="7" s="1"/>
  <c r="AF40" i="7" a="1"/>
  <c r="AF40" i="7" s="1"/>
  <c r="N40" i="7" a="1"/>
  <c r="N40" i="7" s="1"/>
  <c r="H40" i="7" a="1"/>
  <c r="H40" i="7" s="1"/>
  <c r="AK40" i="7" a="1"/>
  <c r="AK40" i="7" s="1"/>
  <c r="AH40" i="7" a="1"/>
  <c r="AH40" i="7" s="1"/>
  <c r="K40" i="7" a="1"/>
  <c r="K40" i="7" s="1"/>
  <c r="L40" i="7" a="1"/>
  <c r="L40" i="7" s="1"/>
  <c r="C40" i="7" a="1"/>
  <c r="C40" i="7" s="1"/>
  <c r="W40" i="7" a="1"/>
  <c r="W40" i="7" s="1"/>
  <c r="Z40" i="7" a="1"/>
  <c r="Z40" i="7" s="1"/>
  <c r="AD40" i="7" a="1"/>
  <c r="AD40" i="7" s="1"/>
  <c r="P40" i="7" a="1"/>
  <c r="P40" i="7" s="1"/>
  <c r="D40" i="7" a="1"/>
  <c r="D40" i="7" s="1"/>
  <c r="J40" i="7" a="1"/>
  <c r="J40" i="7" s="1"/>
  <c r="AC40" i="7" a="1"/>
  <c r="AC40" i="7" s="1"/>
  <c r="AJ40" i="7" a="1"/>
  <c r="AJ40" i="7" s="1"/>
  <c r="O40" i="7" a="1"/>
  <c r="O40" i="7" s="1"/>
  <c r="G40" i="7" a="1"/>
  <c r="G40" i="7" s="1"/>
  <c r="M40" i="7" a="1"/>
  <c r="M40" i="7" s="1"/>
  <c r="V40" i="7" a="1"/>
  <c r="V40" i="7" s="1"/>
  <c r="B40" i="7" a="1"/>
  <c r="B40" i="7" s="1"/>
  <c r="AB40" i="7" a="1"/>
  <c r="AB40" i="7" s="1"/>
  <c r="F40" i="7" a="1"/>
  <c r="F40" i="7" s="1"/>
  <c r="AA40" i="7" a="1"/>
  <c r="AA40" i="7" s="1"/>
  <c r="AM40" i="7" a="1"/>
  <c r="AM40" i="7" s="1"/>
  <c r="E40" i="7" a="1"/>
  <c r="E40" i="7" s="1"/>
  <c r="R40" i="7" a="1"/>
  <c r="R40" i="7" s="1"/>
  <c r="AO40" i="7" a="1"/>
  <c r="AO40" i="7" s="1"/>
  <c r="AG40" i="7" a="1"/>
  <c r="AG40" i="7" s="1"/>
  <c r="AE40" i="7" a="1"/>
  <c r="AE40" i="7" s="1"/>
  <c r="U40" i="7" a="1"/>
  <c r="U40" i="7" s="1"/>
  <c r="I40" i="7" a="1"/>
  <c r="I40" i="7" s="1"/>
  <c r="Y40" i="7" a="1"/>
  <c r="Y40" i="7" s="1"/>
  <c r="T40" i="7" a="1"/>
  <c r="T40" i="7" s="1"/>
  <c r="AP40" i="7" a="1"/>
  <c r="AP40" i="7" s="1"/>
  <c r="AR40" i="7" a="1"/>
  <c r="AR40" i="7" s="1"/>
  <c r="AV40" i="7" a="1"/>
  <c r="AV40" i="7" s="1"/>
  <c r="AQ40" i="7" a="1"/>
  <c r="AQ40" i="7" s="1"/>
  <c r="X40" i="7" a="1"/>
  <c r="X40" i="7" s="1"/>
  <c r="AI40" i="7" a="1"/>
  <c r="AI40" i="7" s="1"/>
  <c r="S40" i="7" a="1"/>
  <c r="S40" i="7" s="1"/>
  <c r="Q40" i="7" a="1"/>
  <c r="Q40" i="7" s="1"/>
  <c r="AT40" i="7" a="1"/>
  <c r="AT40" i="7" s="1"/>
  <c r="AS40" i="7" a="1"/>
  <c r="AS40" i="7" s="1"/>
  <c r="AU40" i="7" a="1"/>
  <c r="AU40" i="7" s="1"/>
  <c r="AW40" i="7" a="1"/>
  <c r="AW40" i="7" s="1"/>
  <c r="AX40" i="7" a="1"/>
  <c r="AX40" i="7" s="1"/>
  <c r="AY40" i="7" a="1"/>
  <c r="AY40" i="7" s="1"/>
  <c r="AZ40" i="7" a="1"/>
  <c r="AZ40" i="7" s="1"/>
  <c r="BC40" i="7" a="1"/>
  <c r="BC40" i="7" s="1"/>
  <c r="BD40" i="7" a="1"/>
  <c r="BD40" i="7" s="1"/>
  <c r="BA40" i="7" a="1"/>
  <c r="BA40" i="7" s="1"/>
  <c r="BB40" i="7" a="1"/>
  <c r="BB40" i="7" s="1"/>
  <c r="BG40" i="7" a="1"/>
  <c r="BG40" i="7" s="1"/>
  <c r="BF40" i="7" a="1"/>
  <c r="BF40" i="7" s="1"/>
  <c r="BE40" i="7" a="1"/>
  <c r="BE40" i="7" s="1"/>
  <c r="BH40" i="7" a="1"/>
  <c r="BH40" i="7" s="1"/>
  <c r="BI40" i="7" a="1"/>
  <c r="BI40" i="7" s="1"/>
  <c r="AL18" i="7" a="1"/>
  <c r="AL18" i="7" s="1"/>
  <c r="Q18" i="7" a="1"/>
  <c r="Q18" i="7" s="1"/>
  <c r="AM18" i="7" a="1"/>
  <c r="AM18" i="7" s="1"/>
  <c r="AN18" i="7" a="1"/>
  <c r="AN18" i="7" s="1"/>
  <c r="AJ18" i="7" a="1"/>
  <c r="AJ18" i="7" s="1"/>
  <c r="AC18" i="7" a="1"/>
  <c r="AC18" i="7" s="1"/>
  <c r="AP18" i="7" a="1"/>
  <c r="AP18" i="7" s="1"/>
  <c r="AF18" i="7" a="1"/>
  <c r="AF18" i="7" s="1"/>
  <c r="J18" i="7" a="1"/>
  <c r="J18" i="7" s="1"/>
  <c r="P18" i="7" a="1"/>
  <c r="P18" i="7" s="1"/>
  <c r="H18" i="7" a="1"/>
  <c r="H18" i="7" s="1"/>
  <c r="I18" i="7" a="1"/>
  <c r="I18" i="7" s="1"/>
  <c r="C18" i="7" a="1"/>
  <c r="C18" i="7" s="1"/>
  <c r="AK18" i="7" a="1"/>
  <c r="AK18" i="7" s="1"/>
  <c r="AO18" i="7" a="1"/>
  <c r="AO18" i="7" s="1"/>
  <c r="R18" i="7" a="1"/>
  <c r="R18" i="7" s="1"/>
  <c r="W18" i="7" a="1"/>
  <c r="W18" i="7" s="1"/>
  <c r="AG18" i="7" a="1"/>
  <c r="AG18" i="7" s="1"/>
  <c r="AH18" i="7" a="1"/>
  <c r="AH18" i="7" s="1"/>
  <c r="K18" i="7" a="1"/>
  <c r="K18" i="7" s="1"/>
  <c r="T18" i="7" a="1"/>
  <c r="T18" i="7" s="1"/>
  <c r="L18" i="7" a="1"/>
  <c r="L18" i="7" s="1"/>
  <c r="X18" i="7" a="1"/>
  <c r="X18" i="7" s="1"/>
  <c r="S18" i="7" a="1"/>
  <c r="S18" i="7" s="1"/>
  <c r="G18" i="7" a="1"/>
  <c r="G18" i="7" s="1"/>
  <c r="N18" i="7" a="1"/>
  <c r="N18" i="7" s="1"/>
  <c r="M18" i="7" a="1"/>
  <c r="M18" i="7" s="1"/>
  <c r="B18" i="7" a="1"/>
  <c r="B18" i="7" s="1"/>
  <c r="O18" i="7" a="1"/>
  <c r="O18" i="7" s="1"/>
  <c r="AI18" i="7" a="1"/>
  <c r="AI18" i="7" s="1"/>
  <c r="AD18" i="7" a="1"/>
  <c r="AD18" i="7" s="1"/>
  <c r="E18" i="7" a="1"/>
  <c r="E18" i="7" s="1"/>
  <c r="D18" i="7" a="1"/>
  <c r="D18" i="7" s="1"/>
  <c r="AB18" i="7" a="1"/>
  <c r="AB18" i="7" s="1"/>
  <c r="Z18" i="7" a="1"/>
  <c r="Z18" i="7" s="1"/>
  <c r="AA18" i="7" a="1"/>
  <c r="AA18" i="7" s="1"/>
  <c r="V18" i="7" a="1"/>
  <c r="V18" i="7" s="1"/>
  <c r="F18" i="7" a="1"/>
  <c r="F18" i="7" s="1"/>
  <c r="AS18" i="7" a="1"/>
  <c r="AS18" i="7" s="1"/>
  <c r="Y18" i="7" a="1"/>
  <c r="Y18" i="7" s="1"/>
  <c r="U18" i="7" a="1"/>
  <c r="U18" i="7" s="1"/>
  <c r="AE18" i="7" a="1"/>
  <c r="AE18" i="7" s="1"/>
  <c r="AQ18" i="7" a="1"/>
  <c r="AQ18" i="7" s="1"/>
  <c r="AR18" i="7" a="1"/>
  <c r="AR18" i="7" s="1"/>
  <c r="AT18" i="7" a="1"/>
  <c r="AT18" i="7" s="1"/>
  <c r="AV18" i="7" a="1"/>
  <c r="AV18" i="7" s="1"/>
  <c r="AU18" i="7" a="1"/>
  <c r="AU18" i="7" s="1"/>
  <c r="AY18" i="7" a="1"/>
  <c r="AY18" i="7" s="1"/>
  <c r="AW18" i="7" a="1"/>
  <c r="AW18" i="7" s="1"/>
  <c r="AX18" i="7" a="1"/>
  <c r="AX18" i="7" s="1"/>
  <c r="BA18" i="7" a="1"/>
  <c r="BA18" i="7" s="1"/>
  <c r="AZ18" i="7" a="1"/>
  <c r="AZ18" i="7" s="1"/>
  <c r="BB18" i="7" a="1"/>
  <c r="BB18" i="7" s="1"/>
  <c r="BC18" i="7" a="1"/>
  <c r="BC18" i="7" s="1"/>
  <c r="BD18" i="7" a="1"/>
  <c r="BD18" i="7" s="1"/>
  <c r="BE18" i="7" a="1"/>
  <c r="BE18" i="7" s="1"/>
  <c r="BG18" i="7" a="1"/>
  <c r="BG18" i="7" s="1"/>
  <c r="BI18" i="7" a="1"/>
  <c r="BI18" i="7" s="1"/>
  <c r="BF18" i="7" a="1"/>
  <c r="BF18" i="7" s="1"/>
  <c r="BH18" i="7" a="1"/>
  <c r="BH18" i="7" s="1"/>
  <c r="AN44" i="7" a="1"/>
  <c r="AN44" i="7" s="1"/>
  <c r="AL44" i="7" a="1"/>
  <c r="AL44" i="7" s="1"/>
  <c r="AM44" i="7" a="1"/>
  <c r="AM44" i="7" s="1"/>
  <c r="Q44" i="7" a="1"/>
  <c r="Q44" i="7" s="1"/>
  <c r="AD44" i="7" a="1"/>
  <c r="AD44" i="7" s="1"/>
  <c r="D44" i="7" a="1"/>
  <c r="D44" i="7" s="1"/>
  <c r="AK44" i="7" a="1"/>
  <c r="AK44" i="7" s="1"/>
  <c r="F44" i="7" a="1"/>
  <c r="F44" i="7" s="1"/>
  <c r="V44" i="7" a="1"/>
  <c r="V44" i="7" s="1"/>
  <c r="N44" i="7" a="1"/>
  <c r="N44" i="7" s="1"/>
  <c r="G44" i="7" a="1"/>
  <c r="G44" i="7" s="1"/>
  <c r="AO44" i="7" a="1"/>
  <c r="AO44" i="7" s="1"/>
  <c r="W44" i="7" a="1"/>
  <c r="W44" i="7" s="1"/>
  <c r="AB44" i="7" a="1"/>
  <c r="AB44" i="7" s="1"/>
  <c r="AP44" i="7" a="1"/>
  <c r="AP44" i="7" s="1"/>
  <c r="E44" i="7" a="1"/>
  <c r="E44" i="7" s="1"/>
  <c r="X44" i="7" a="1"/>
  <c r="X44" i="7" s="1"/>
  <c r="Z44" i="7" a="1"/>
  <c r="Z44" i="7" s="1"/>
  <c r="AC44" i="7" a="1"/>
  <c r="AC44" i="7" s="1"/>
  <c r="B44" i="7" a="1"/>
  <c r="B44" i="7" s="1"/>
  <c r="AH44" i="7" a="1"/>
  <c r="AH44" i="7" s="1"/>
  <c r="M44" i="7" a="1"/>
  <c r="M44" i="7" s="1"/>
  <c r="AA44" i="7" a="1"/>
  <c r="AA44" i="7" s="1"/>
  <c r="AF44" i="7" a="1"/>
  <c r="AF44" i="7" s="1"/>
  <c r="K44" i="7" a="1"/>
  <c r="K44" i="7" s="1"/>
  <c r="C44" i="7" a="1"/>
  <c r="C44" i="7" s="1"/>
  <c r="AE44" i="7" a="1"/>
  <c r="AE44" i="7" s="1"/>
  <c r="T44" i="7" a="1"/>
  <c r="T44" i="7" s="1"/>
  <c r="AG44" i="7" a="1"/>
  <c r="AG44" i="7" s="1"/>
  <c r="Y44" i="7" a="1"/>
  <c r="Y44" i="7" s="1"/>
  <c r="R44" i="7" a="1"/>
  <c r="R44" i="7" s="1"/>
  <c r="U44" i="7" a="1"/>
  <c r="U44" i="7" s="1"/>
  <c r="I44" i="7" a="1"/>
  <c r="I44" i="7" s="1"/>
  <c r="AJ44" i="7" a="1"/>
  <c r="AJ44" i="7" s="1"/>
  <c r="L44" i="7" a="1"/>
  <c r="L44" i="7" s="1"/>
  <c r="J44" i="7" a="1"/>
  <c r="J44" i="7" s="1"/>
  <c r="O44" i="7" a="1"/>
  <c r="O44" i="7" s="1"/>
  <c r="S44" i="7" a="1"/>
  <c r="S44" i="7" s="1"/>
  <c r="H44" i="7" a="1"/>
  <c r="H44" i="7" s="1"/>
  <c r="AI44" i="7" a="1"/>
  <c r="AI44" i="7" s="1"/>
  <c r="P44" i="7" a="1"/>
  <c r="P44" i="7" s="1"/>
  <c r="AR44" i="7" a="1"/>
  <c r="AR44" i="7" s="1"/>
  <c r="AQ44" i="7" a="1"/>
  <c r="AQ44" i="7" s="1"/>
  <c r="AZ44" i="7" a="1"/>
  <c r="AZ44" i="7" s="1"/>
  <c r="AT44" i="7" a="1"/>
  <c r="AT44" i="7" s="1"/>
  <c r="AW44" i="7" a="1"/>
  <c r="AW44" i="7" s="1"/>
  <c r="AU44" i="7" a="1"/>
  <c r="AU44" i="7" s="1"/>
  <c r="AS44" i="7" a="1"/>
  <c r="AS44" i="7" s="1"/>
  <c r="AV44" i="7" a="1"/>
  <c r="AV44" i="7" s="1"/>
  <c r="AX44" i="7" a="1"/>
  <c r="AX44" i="7" s="1"/>
  <c r="BC44" i="7" a="1"/>
  <c r="BC44" i="7" s="1"/>
  <c r="AY44" i="7" a="1"/>
  <c r="AY44" i="7" s="1"/>
  <c r="BA44" i="7" a="1"/>
  <c r="BA44" i="7" s="1"/>
  <c r="BB44" i="7" a="1"/>
  <c r="BB44" i="7" s="1"/>
  <c r="BD44" i="7" a="1"/>
  <c r="BD44" i="7" s="1"/>
  <c r="BF44" i="7" a="1"/>
  <c r="BF44" i="7" s="1"/>
  <c r="BE44" i="7" a="1"/>
  <c r="BE44" i="7" s="1"/>
  <c r="BI44" i="7" a="1"/>
  <c r="BI44" i="7" s="1"/>
  <c r="BH44" i="7" a="1"/>
  <c r="BH44" i="7" s="1"/>
  <c r="BG44" i="7" a="1"/>
  <c r="BG44" i="7" s="1"/>
  <c r="AO36" i="7" a="1"/>
  <c r="AO36" i="7" s="1"/>
  <c r="AL36" i="7" a="1"/>
  <c r="AL36" i="7" s="1"/>
  <c r="AM36" i="7" a="1"/>
  <c r="AM36" i="7" s="1"/>
  <c r="Y36" i="7" a="1"/>
  <c r="Y36" i="7" s="1"/>
  <c r="AQ36" i="7" a="1"/>
  <c r="AQ36" i="7" s="1"/>
  <c r="I36" i="7" a="1"/>
  <c r="I36" i="7" s="1"/>
  <c r="F36" i="7" a="1"/>
  <c r="F36" i="7" s="1"/>
  <c r="AP36" i="7" a="1"/>
  <c r="AP36" i="7" s="1"/>
  <c r="W36" i="7" a="1"/>
  <c r="W36" i="7" s="1"/>
  <c r="N36" i="7" a="1"/>
  <c r="N36" i="7" s="1"/>
  <c r="S36" i="7" a="1"/>
  <c r="S36" i="7" s="1"/>
  <c r="U36" i="7" a="1"/>
  <c r="U36" i="7" s="1"/>
  <c r="L36" i="7" a="1"/>
  <c r="L36" i="7" s="1"/>
  <c r="AA36" i="7" a="1"/>
  <c r="AA36" i="7" s="1"/>
  <c r="X36" i="7" a="1"/>
  <c r="X36" i="7" s="1"/>
  <c r="AN36" i="7" a="1"/>
  <c r="AN36" i="7" s="1"/>
  <c r="C36" i="7" a="1"/>
  <c r="C36" i="7" s="1"/>
  <c r="Z36" i="7" a="1"/>
  <c r="Z36" i="7" s="1"/>
  <c r="K36" i="7" a="1"/>
  <c r="K36" i="7" s="1"/>
  <c r="H36" i="7" a="1"/>
  <c r="H36" i="7" s="1"/>
  <c r="AE36" i="7" a="1"/>
  <c r="AE36" i="7" s="1"/>
  <c r="E36" i="7" a="1"/>
  <c r="E36" i="7" s="1"/>
  <c r="AS36" i="7" a="1"/>
  <c r="AS36" i="7" s="1"/>
  <c r="M36" i="7" a="1"/>
  <c r="M36" i="7" s="1"/>
  <c r="R36" i="7" a="1"/>
  <c r="R36" i="7" s="1"/>
  <c r="AK36" i="7" a="1"/>
  <c r="AK36" i="7" s="1"/>
  <c r="AC36" i="7" a="1"/>
  <c r="AC36" i="7" s="1"/>
  <c r="V36" i="7" a="1"/>
  <c r="V36" i="7" s="1"/>
  <c r="AF36" i="7" a="1"/>
  <c r="AF36" i="7" s="1"/>
  <c r="O36" i="7" a="1"/>
  <c r="O36" i="7" s="1"/>
  <c r="AB36" i="7" a="1"/>
  <c r="AB36" i="7" s="1"/>
  <c r="AG36" i="7" a="1"/>
  <c r="AG36" i="7" s="1"/>
  <c r="B36" i="7" a="1"/>
  <c r="B36" i="7" s="1"/>
  <c r="T36" i="7" a="1"/>
  <c r="T36" i="7" s="1"/>
  <c r="AJ36" i="7" a="1"/>
  <c r="AJ36" i="7" s="1"/>
  <c r="Q36" i="7" a="1"/>
  <c r="Q36" i="7" s="1"/>
  <c r="D36" i="7" a="1"/>
  <c r="D36" i="7" s="1"/>
  <c r="P36" i="7" a="1"/>
  <c r="P36" i="7" s="1"/>
  <c r="AD36" i="7" a="1"/>
  <c r="AD36" i="7" s="1"/>
  <c r="AU36" i="7" a="1"/>
  <c r="AU36" i="7" s="1"/>
  <c r="AI36" i="7" a="1"/>
  <c r="AI36" i="7" s="1"/>
  <c r="G36" i="7" a="1"/>
  <c r="G36" i="7" s="1"/>
  <c r="J36" i="7" a="1"/>
  <c r="J36" i="7" s="1"/>
  <c r="AR36" i="7" a="1"/>
  <c r="AR36" i="7" s="1"/>
  <c r="AH36" i="7" a="1"/>
  <c r="AH36" i="7" s="1"/>
  <c r="AW36" i="7" a="1"/>
  <c r="AW36" i="7" s="1"/>
  <c r="AT36" i="7" a="1"/>
  <c r="AT36" i="7" s="1"/>
  <c r="AV36" i="7" a="1"/>
  <c r="AV36" i="7" s="1"/>
  <c r="AX36" i="7" a="1"/>
  <c r="AX36" i="7" s="1"/>
  <c r="AY36" i="7" a="1"/>
  <c r="AY36" i="7" s="1"/>
  <c r="BE36" i="7" a="1"/>
  <c r="BE36" i="7" s="1"/>
  <c r="AZ36" i="7" a="1"/>
  <c r="AZ36" i="7" s="1"/>
  <c r="BA36" i="7" a="1"/>
  <c r="BA36" i="7" s="1"/>
  <c r="BC36" i="7" a="1"/>
  <c r="BC36" i="7" s="1"/>
  <c r="BB36" i="7" a="1"/>
  <c r="BB36" i="7" s="1"/>
  <c r="BD36" i="7" a="1"/>
  <c r="BD36" i="7" s="1"/>
  <c r="BG36" i="7" a="1"/>
  <c r="BG36" i="7" s="1"/>
  <c r="BF36" i="7" a="1"/>
  <c r="BF36" i="7" s="1"/>
  <c r="BI36" i="7" a="1"/>
  <c r="BI36" i="7" s="1"/>
  <c r="BH36" i="7" a="1"/>
  <c r="BH36" i="7" s="1"/>
  <c r="BK177" i="5"/>
  <c r="BK175" i="5"/>
  <c r="BK176" i="5"/>
  <c r="BL40" i="5"/>
  <c r="AJ39" i="7" a="1"/>
  <c r="AJ39" i="7" s="1"/>
  <c r="W39" i="7" a="1"/>
  <c r="W39" i="7" s="1"/>
  <c r="K39" i="7" a="1"/>
  <c r="K39" i="7" s="1"/>
  <c r="AF39" i="7" a="1"/>
  <c r="AF39" i="7" s="1"/>
  <c r="AL39" i="7" a="1"/>
  <c r="AL39" i="7" s="1"/>
  <c r="N39" i="7" a="1"/>
  <c r="N39" i="7" s="1"/>
  <c r="G39" i="7" a="1"/>
  <c r="G39" i="7" s="1"/>
  <c r="U39" i="7" a="1"/>
  <c r="U39" i="7" s="1"/>
  <c r="T39" i="7" a="1"/>
  <c r="T39" i="7" s="1"/>
  <c r="L39" i="7" a="1"/>
  <c r="L39" i="7" s="1"/>
  <c r="X39" i="7" a="1"/>
  <c r="X39" i="7" s="1"/>
  <c r="AK39" i="7" a="1"/>
  <c r="AK39" i="7" s="1"/>
  <c r="AI39" i="7" a="1"/>
  <c r="AI39" i="7" s="1"/>
  <c r="Y39" i="7" a="1"/>
  <c r="Y39" i="7" s="1"/>
  <c r="AB39" i="7" a="1"/>
  <c r="AB39" i="7" s="1"/>
  <c r="Q39" i="7" a="1"/>
  <c r="Q39" i="7" s="1"/>
  <c r="D39" i="7" a="1"/>
  <c r="D39" i="7" s="1"/>
  <c r="AD39" i="7" a="1"/>
  <c r="AD39" i="7" s="1"/>
  <c r="AG39" i="7" a="1"/>
  <c r="AG39" i="7" s="1"/>
  <c r="F39" i="7" a="1"/>
  <c r="F39" i="7" s="1"/>
  <c r="H39" i="7" a="1"/>
  <c r="H39" i="7" s="1"/>
  <c r="Z39" i="7" a="1"/>
  <c r="Z39" i="7" s="1"/>
  <c r="AE39" i="7" a="1"/>
  <c r="AE39" i="7" s="1"/>
  <c r="AN39" i="7" a="1"/>
  <c r="AN39" i="7" s="1"/>
  <c r="S39" i="7" a="1"/>
  <c r="S39" i="7" s="1"/>
  <c r="M39" i="7" a="1"/>
  <c r="M39" i="7" s="1"/>
  <c r="P39" i="7" a="1"/>
  <c r="P39" i="7" s="1"/>
  <c r="E39" i="7" a="1"/>
  <c r="E39" i="7" s="1"/>
  <c r="V39" i="7" a="1"/>
  <c r="V39" i="7" s="1"/>
  <c r="AA39" i="7" a="1"/>
  <c r="AA39" i="7" s="1"/>
  <c r="C39" i="7" a="1"/>
  <c r="C39" i="7" s="1"/>
  <c r="J39" i="7" a="1"/>
  <c r="J39" i="7" s="1"/>
  <c r="I39" i="7" a="1"/>
  <c r="I39" i="7" s="1"/>
  <c r="O39" i="7" a="1"/>
  <c r="O39" i="7" s="1"/>
  <c r="AM39" i="7" a="1"/>
  <c r="AM39" i="7" s="1"/>
  <c r="AH39" i="7" a="1"/>
  <c r="AH39" i="7" s="1"/>
  <c r="AC39" i="7" a="1"/>
  <c r="AC39" i="7" s="1"/>
  <c r="B39" i="7" a="1"/>
  <c r="B39" i="7" s="1"/>
  <c r="AP39" i="7" a="1"/>
  <c r="AP39" i="7" s="1"/>
  <c r="AO39" i="7" a="1"/>
  <c r="AO39" i="7" s="1"/>
  <c r="R39" i="7" a="1"/>
  <c r="R39" i="7" s="1"/>
  <c r="AQ39" i="7" a="1"/>
  <c r="AQ39" i="7" s="1"/>
  <c r="AV39" i="7" a="1"/>
  <c r="AV39" i="7" s="1"/>
  <c r="AT39" i="7" a="1"/>
  <c r="AT39" i="7" s="1"/>
  <c r="AS39" i="7" a="1"/>
  <c r="AS39" i="7" s="1"/>
  <c r="AR39" i="7" a="1"/>
  <c r="AR39" i="7" s="1"/>
  <c r="AU39" i="7" a="1"/>
  <c r="AU39" i="7" s="1"/>
  <c r="AW39" i="7" a="1"/>
  <c r="AW39" i="7" s="1"/>
  <c r="AZ39" i="7" a="1"/>
  <c r="AZ39" i="7" s="1"/>
  <c r="AY39" i="7" a="1"/>
  <c r="AY39" i="7" s="1"/>
  <c r="AX39" i="7" a="1"/>
  <c r="AX39" i="7" s="1"/>
  <c r="BD39" i="7" a="1"/>
  <c r="BD39" i="7" s="1"/>
  <c r="BA39" i="7" a="1"/>
  <c r="BA39" i="7" s="1"/>
  <c r="BF39" i="7" a="1"/>
  <c r="BF39" i="7" s="1"/>
  <c r="BH39" i="7" a="1"/>
  <c r="BH39" i="7" s="1"/>
  <c r="BB39" i="7" a="1"/>
  <c r="BB39" i="7" s="1"/>
  <c r="BC39" i="7" a="1"/>
  <c r="BC39" i="7" s="1"/>
  <c r="BE39" i="7" a="1"/>
  <c r="BE39" i="7" s="1"/>
  <c r="BG39" i="7" a="1"/>
  <c r="BG39" i="7" s="1"/>
  <c r="BI39" i="7" a="1"/>
  <c r="BI39" i="7" s="1"/>
  <c r="AN46" i="7" a="1"/>
  <c r="AN46" i="7" s="1"/>
  <c r="AP46" i="7" a="1"/>
  <c r="AP46" i="7" s="1"/>
  <c r="AM46" i="7" a="1"/>
  <c r="AM46" i="7" s="1"/>
  <c r="AJ46" i="7" a="1"/>
  <c r="AJ46" i="7" s="1"/>
  <c r="AG46" i="7" a="1"/>
  <c r="AG46" i="7" s="1"/>
  <c r="AA46" i="7" a="1"/>
  <c r="AA46" i="7" s="1"/>
  <c r="AO46" i="7" a="1"/>
  <c r="AO46" i="7" s="1"/>
  <c r="AH46" i="7" a="1"/>
  <c r="AH46" i="7" s="1"/>
  <c r="Y46" i="7" a="1"/>
  <c r="Y46" i="7" s="1"/>
  <c r="AB46" i="7" a="1"/>
  <c r="AB46" i="7" s="1"/>
  <c r="I46" i="7" a="1"/>
  <c r="I46" i="7" s="1"/>
  <c r="M46" i="7" a="1"/>
  <c r="M46" i="7" s="1"/>
  <c r="S46" i="7" a="1"/>
  <c r="S46" i="7" s="1"/>
  <c r="Z46" i="7" a="1"/>
  <c r="Z46" i="7" s="1"/>
  <c r="AI46" i="7" a="1"/>
  <c r="AI46" i="7" s="1"/>
  <c r="X46" i="7" a="1"/>
  <c r="X46" i="7" s="1"/>
  <c r="AF46" i="7" a="1"/>
  <c r="AF46" i="7" s="1"/>
  <c r="AK46" i="7" a="1"/>
  <c r="AK46" i="7" s="1"/>
  <c r="W46" i="7" a="1"/>
  <c r="W46" i="7" s="1"/>
  <c r="AC46" i="7" a="1"/>
  <c r="AC46" i="7" s="1"/>
  <c r="K46" i="7" a="1"/>
  <c r="K46" i="7" s="1"/>
  <c r="V46" i="7" a="1"/>
  <c r="V46" i="7" s="1"/>
  <c r="B46" i="7" a="1"/>
  <c r="B46" i="7" s="1"/>
  <c r="Q46" i="7" a="1"/>
  <c r="Q46" i="7" s="1"/>
  <c r="H46" i="7" a="1"/>
  <c r="H46" i="7" s="1"/>
  <c r="T46" i="7" a="1"/>
  <c r="T46" i="7" s="1"/>
  <c r="E46" i="7" a="1"/>
  <c r="E46" i="7" s="1"/>
  <c r="AE46" i="7" a="1"/>
  <c r="AE46" i="7" s="1"/>
  <c r="AL46" i="7" a="1"/>
  <c r="AL46" i="7" s="1"/>
  <c r="O46" i="7" a="1"/>
  <c r="O46" i="7" s="1"/>
  <c r="N46" i="7" a="1"/>
  <c r="N46" i="7" s="1"/>
  <c r="P46" i="7" a="1"/>
  <c r="P46" i="7" s="1"/>
  <c r="U46" i="7" a="1"/>
  <c r="U46" i="7" s="1"/>
  <c r="AT46" i="7" a="1"/>
  <c r="AT46" i="7" s="1"/>
  <c r="AD46" i="7" a="1"/>
  <c r="AD46" i="7" s="1"/>
  <c r="R46" i="7" a="1"/>
  <c r="R46" i="7" s="1"/>
  <c r="J46" i="7" a="1"/>
  <c r="J46" i="7" s="1"/>
  <c r="C46" i="7" a="1"/>
  <c r="C46" i="7" s="1"/>
  <c r="D46" i="7" a="1"/>
  <c r="D46" i="7" s="1"/>
  <c r="L46" i="7" a="1"/>
  <c r="L46" i="7" s="1"/>
  <c r="G46" i="7" a="1"/>
  <c r="G46" i="7" s="1"/>
  <c r="F46" i="7" a="1"/>
  <c r="F46" i="7" s="1"/>
  <c r="AR46" i="7" a="1"/>
  <c r="AR46" i="7" s="1"/>
  <c r="AQ46" i="7" a="1"/>
  <c r="AQ46" i="7" s="1"/>
  <c r="AV46" i="7" a="1"/>
  <c r="AV46" i="7" s="1"/>
  <c r="AS46" i="7" a="1"/>
  <c r="AS46" i="7" s="1"/>
  <c r="AX46" i="7" a="1"/>
  <c r="AX46" i="7" s="1"/>
  <c r="AY46" i="7" a="1"/>
  <c r="AY46" i="7" s="1"/>
  <c r="AW46" i="7" a="1"/>
  <c r="AW46" i="7" s="1"/>
  <c r="AU46" i="7" a="1"/>
  <c r="AU46" i="7" s="1"/>
  <c r="AZ46" i="7" a="1"/>
  <c r="AZ46" i="7" s="1"/>
  <c r="BC46" i="7" a="1"/>
  <c r="BC46" i="7" s="1"/>
  <c r="BB46" i="7" a="1"/>
  <c r="BB46" i="7" s="1"/>
  <c r="BA46" i="7" a="1"/>
  <c r="BA46" i="7" s="1"/>
  <c r="BE46" i="7" a="1"/>
  <c r="BE46" i="7" s="1"/>
  <c r="BD46" i="7" a="1"/>
  <c r="BD46" i="7" s="1"/>
  <c r="BG46" i="7" a="1"/>
  <c r="BG46" i="7" s="1"/>
  <c r="BH46" i="7" a="1"/>
  <c r="BH46" i="7" s="1"/>
  <c r="BF46" i="7" a="1"/>
  <c r="BF46" i="7" s="1"/>
  <c r="BI46" i="7" a="1"/>
  <c r="BI46" i="7" s="1"/>
  <c r="L38" i="7" a="1"/>
  <c r="L38" i="7" s="1"/>
  <c r="AF38" i="7" a="1"/>
  <c r="AF38" i="7" s="1"/>
  <c r="J38" i="7" a="1"/>
  <c r="J38" i="7" s="1"/>
  <c r="O38" i="7" a="1"/>
  <c r="O38" i="7" s="1"/>
  <c r="K38" i="7" a="1"/>
  <c r="K38" i="7" s="1"/>
  <c r="R38" i="7" a="1"/>
  <c r="R38" i="7" s="1"/>
  <c r="AN38" i="7" a="1"/>
  <c r="AN38" i="7" s="1"/>
  <c r="AC38" i="7" a="1"/>
  <c r="AC38" i="7" s="1"/>
  <c r="AK38" i="7" a="1"/>
  <c r="AK38" i="7" s="1"/>
  <c r="M38" i="7" a="1"/>
  <c r="M38" i="7" s="1"/>
  <c r="AA38" i="7" a="1"/>
  <c r="AA38" i="7" s="1"/>
  <c r="AM38" i="7" a="1"/>
  <c r="AM38" i="7" s="1"/>
  <c r="T38" i="7" a="1"/>
  <c r="T38" i="7" s="1"/>
  <c r="F38" i="7" a="1"/>
  <c r="F38" i="7" s="1"/>
  <c r="AL38" i="7" a="1"/>
  <c r="AL38" i="7" s="1"/>
  <c r="B38" i="7" a="1"/>
  <c r="B38" i="7" s="1"/>
  <c r="H38" i="7" a="1"/>
  <c r="H38" i="7" s="1"/>
  <c r="S38" i="7" a="1"/>
  <c r="S38" i="7" s="1"/>
  <c r="E38" i="7" a="1"/>
  <c r="E38" i="7" s="1"/>
  <c r="G38" i="7" a="1"/>
  <c r="G38" i="7" s="1"/>
  <c r="AB38" i="7" a="1"/>
  <c r="AB38" i="7" s="1"/>
  <c r="AG38" i="7" a="1"/>
  <c r="AG38" i="7" s="1"/>
  <c r="N38" i="7" a="1"/>
  <c r="N38" i="7" s="1"/>
  <c r="C38" i="7" a="1"/>
  <c r="C38" i="7" s="1"/>
  <c r="X38" i="7" a="1"/>
  <c r="X38" i="7" s="1"/>
  <c r="V38" i="7" a="1"/>
  <c r="V38" i="7" s="1"/>
  <c r="U38" i="7" a="1"/>
  <c r="U38" i="7" s="1"/>
  <c r="AI38" i="7" a="1"/>
  <c r="AI38" i="7" s="1"/>
  <c r="AO38" i="7" a="1"/>
  <c r="AO38" i="7" s="1"/>
  <c r="AP38" i="7" a="1"/>
  <c r="AP38" i="7" s="1"/>
  <c r="AD38" i="7" a="1"/>
  <c r="AD38" i="7" s="1"/>
  <c r="Z38" i="7" a="1"/>
  <c r="Z38" i="7" s="1"/>
  <c r="AJ38" i="7" a="1"/>
  <c r="AJ38" i="7" s="1"/>
  <c r="D38" i="7" a="1"/>
  <c r="D38" i="7" s="1"/>
  <c r="I38" i="7" a="1"/>
  <c r="I38" i="7" s="1"/>
  <c r="Q38" i="7" a="1"/>
  <c r="Q38" i="7" s="1"/>
  <c r="W38" i="7" a="1"/>
  <c r="W38" i="7" s="1"/>
  <c r="AE38" i="7" a="1"/>
  <c r="AE38" i="7" s="1"/>
  <c r="P38" i="7" a="1"/>
  <c r="P38" i="7" s="1"/>
  <c r="Y38" i="7" a="1"/>
  <c r="Y38" i="7" s="1"/>
  <c r="AH38" i="7" a="1"/>
  <c r="AH38" i="7" s="1"/>
  <c r="AQ38" i="7" a="1"/>
  <c r="AQ38" i="7" s="1"/>
  <c r="AR38" i="7" a="1"/>
  <c r="AR38" i="7" s="1"/>
  <c r="AS38" i="7" a="1"/>
  <c r="AS38" i="7" s="1"/>
  <c r="AT38" i="7" a="1"/>
  <c r="AT38" i="7" s="1"/>
  <c r="AW38" i="7" a="1"/>
  <c r="AW38" i="7" s="1"/>
  <c r="AY38" i="7" a="1"/>
  <c r="AY38" i="7" s="1"/>
  <c r="AV38" i="7" a="1"/>
  <c r="AV38" i="7" s="1"/>
  <c r="AU38" i="7" a="1"/>
  <c r="AU38" i="7" s="1"/>
  <c r="AX38" i="7" a="1"/>
  <c r="AX38" i="7" s="1"/>
  <c r="BB38" i="7" a="1"/>
  <c r="BB38" i="7" s="1"/>
  <c r="AZ38" i="7" a="1"/>
  <c r="AZ38" i="7" s="1"/>
  <c r="BA38" i="7" a="1"/>
  <c r="BA38" i="7" s="1"/>
  <c r="BD38" i="7" a="1"/>
  <c r="BD38" i="7" s="1"/>
  <c r="BE38" i="7" a="1"/>
  <c r="BE38" i="7" s="1"/>
  <c r="BC38" i="7" a="1"/>
  <c r="BC38" i="7" s="1"/>
  <c r="BG38" i="7" a="1"/>
  <c r="BG38" i="7" s="1"/>
  <c r="BI38" i="7" a="1"/>
  <c r="BI38" i="7" s="1"/>
  <c r="BF38" i="7" a="1"/>
  <c r="BF38" i="7" s="1"/>
  <c r="BH38" i="7" a="1"/>
  <c r="BH38" i="7" s="1"/>
  <c r="AQ30" i="7" a="1"/>
  <c r="AQ30" i="7" s="1"/>
  <c r="AM30" i="7" a="1"/>
  <c r="AM30" i="7" s="1"/>
  <c r="AL30" i="7" a="1"/>
  <c r="AL30" i="7" s="1"/>
  <c r="AN30" i="7" a="1"/>
  <c r="AN30" i="7" s="1"/>
  <c r="AP30" i="7" a="1"/>
  <c r="AP30" i="7" s="1"/>
  <c r="G30" i="7" a="1"/>
  <c r="G30" i="7" s="1"/>
  <c r="N30" i="7" a="1"/>
  <c r="N30" i="7" s="1"/>
  <c r="B30" i="7" a="1"/>
  <c r="B30" i="7" s="1"/>
  <c r="F30" i="6" s="1"/>
  <c r="W30" i="7" a="1"/>
  <c r="W30" i="7" s="1"/>
  <c r="AF30" i="7" a="1"/>
  <c r="AF30" i="7" s="1"/>
  <c r="D30" i="7" a="1"/>
  <c r="D30" i="7" s="1"/>
  <c r="AO30" i="7" a="1"/>
  <c r="AO30" i="7" s="1"/>
  <c r="AS30" i="7" a="1"/>
  <c r="AS30" i="7" s="1"/>
  <c r="K30" i="7" a="1"/>
  <c r="K30" i="7" s="1"/>
  <c r="O30" i="7" a="1"/>
  <c r="O30" i="7" s="1"/>
  <c r="J30" i="7" a="1"/>
  <c r="J30" i="7" s="1"/>
  <c r="AB30" i="7" a="1"/>
  <c r="AB30" i="7" s="1"/>
  <c r="I30" i="7" a="1"/>
  <c r="I30" i="7" s="1"/>
  <c r="AH30" i="7" a="1"/>
  <c r="AH30" i="7" s="1"/>
  <c r="AE30" i="7" a="1"/>
  <c r="AE30" i="7" s="1"/>
  <c r="C30" i="7" a="1"/>
  <c r="C30" i="7" s="1"/>
  <c r="T30" i="7" a="1"/>
  <c r="T30" i="7" s="1"/>
  <c r="AA30" i="7" a="1"/>
  <c r="AA30" i="7" s="1"/>
  <c r="X30" i="7" a="1"/>
  <c r="X30" i="7" s="1"/>
  <c r="AK30" i="7" a="1"/>
  <c r="AK30" i="7" s="1"/>
  <c r="Y30" i="7" a="1"/>
  <c r="Y30" i="7" s="1"/>
  <c r="Z30" i="7" a="1"/>
  <c r="Z30" i="7" s="1"/>
  <c r="AI30" i="7" a="1"/>
  <c r="AI30" i="7" s="1"/>
  <c r="AR30" i="7" a="1"/>
  <c r="AR30" i="7" s="1"/>
  <c r="P30" i="7" a="1"/>
  <c r="P30" i="7" s="1"/>
  <c r="F30" i="7" a="1"/>
  <c r="F30" i="7" s="1"/>
  <c r="H30" i="7" a="1"/>
  <c r="H30" i="7" s="1"/>
  <c r="E30" i="7" a="1"/>
  <c r="E30" i="7" s="1"/>
  <c r="R30" i="7" a="1"/>
  <c r="R30" i="7" s="1"/>
  <c r="AD30" i="7" a="1"/>
  <c r="AD30" i="7" s="1"/>
  <c r="M30" i="7" a="1"/>
  <c r="M30" i="7" s="1"/>
  <c r="Q30" i="7" a="1"/>
  <c r="Q30" i="7" s="1"/>
  <c r="V30" i="7" a="1"/>
  <c r="V30" i="7" s="1"/>
  <c r="AG30" i="7" a="1"/>
  <c r="AG30" i="7" s="1"/>
  <c r="U30" i="7" a="1"/>
  <c r="U30" i="7" s="1"/>
  <c r="AJ30" i="7" a="1"/>
  <c r="AJ30" i="7" s="1"/>
  <c r="AU30" i="7" a="1"/>
  <c r="AU30" i="7" s="1"/>
  <c r="L30" i="7" a="1"/>
  <c r="L30" i="7" s="1"/>
  <c r="S30" i="7" a="1"/>
  <c r="S30" i="7" s="1"/>
  <c r="AC30" i="7" a="1"/>
  <c r="AC30" i="7" s="1"/>
  <c r="AT30" i="7" a="1"/>
  <c r="AT30" i="7" s="1"/>
  <c r="AV30" i="7" a="1"/>
  <c r="AV30" i="7" s="1"/>
  <c r="AW30" i="7" a="1"/>
  <c r="AW30" i="7" s="1"/>
  <c r="AX30" i="7" a="1"/>
  <c r="AX30" i="7" s="1"/>
  <c r="AZ30" i="7" a="1"/>
  <c r="AZ30" i="7" s="1"/>
  <c r="BC30" i="7" a="1"/>
  <c r="BC30" i="7" s="1"/>
  <c r="BB30" i="7" a="1"/>
  <c r="BB30" i="7" s="1"/>
  <c r="AY30" i="7" a="1"/>
  <c r="AY30" i="7" s="1"/>
  <c r="BA30" i="7" a="1"/>
  <c r="BA30" i="7" s="1"/>
  <c r="BE30" i="7" a="1"/>
  <c r="BE30" i="7" s="1"/>
  <c r="BD30" i="7" a="1"/>
  <c r="BD30" i="7" s="1"/>
  <c r="BH30" i="7" a="1"/>
  <c r="BH30" i="7" s="1"/>
  <c r="BI30" i="7" a="1"/>
  <c r="BI30" i="7" s="1"/>
  <c r="BF30" i="7" a="1"/>
  <c r="BF30" i="7" s="1"/>
  <c r="BG30" i="7" a="1"/>
  <c r="BG30" i="7" s="1"/>
  <c r="T42" i="4"/>
  <c r="U42" i="4"/>
  <c r="N19" i="4"/>
  <c r="BM50" i="5"/>
  <c r="BM66" i="5"/>
  <c r="AN12" i="7" a="1"/>
  <c r="AN12" i="7" s="1"/>
  <c r="AO12" i="7" a="1"/>
  <c r="AO12" i="7" s="1"/>
  <c r="AP12" i="7" a="1"/>
  <c r="AP12" i="7" s="1"/>
  <c r="AL12" i="7" a="1"/>
  <c r="AL12" i="7" s="1"/>
  <c r="AM12" i="7" a="1"/>
  <c r="AM12" i="7" s="1"/>
  <c r="AD12" i="7" a="1"/>
  <c r="AD12" i="7" s="1"/>
  <c r="E12" i="7" a="1"/>
  <c r="E12" i="7" s="1"/>
  <c r="X12" i="7" a="1"/>
  <c r="X12" i="7" s="1"/>
  <c r="AI12" i="7" a="1"/>
  <c r="AI12" i="7" s="1"/>
  <c r="AK12" i="7" a="1"/>
  <c r="AK12" i="7" s="1"/>
  <c r="AC12" i="7" a="1"/>
  <c r="AC12" i="7" s="1"/>
  <c r="D12" i="7" a="1"/>
  <c r="D12" i="7" s="1"/>
  <c r="AS12" i="7" a="1"/>
  <c r="AS12" i="7" s="1"/>
  <c r="P12" i="7" a="1"/>
  <c r="P12" i="7" s="1"/>
  <c r="O12" i="7" a="1"/>
  <c r="O12" i="7" s="1"/>
  <c r="AG12" i="7" a="1"/>
  <c r="AG12" i="7" s="1"/>
  <c r="I12" i="7" a="1"/>
  <c r="I12" i="7" s="1"/>
  <c r="M12" i="7" a="1"/>
  <c r="M12" i="7" s="1"/>
  <c r="AR12" i="7" a="1"/>
  <c r="AR12" i="7" s="1"/>
  <c r="AQ12" i="7" a="1"/>
  <c r="AQ12" i="7" s="1"/>
  <c r="Y12" i="7" a="1"/>
  <c r="Y12" i="7" s="1"/>
  <c r="N12" i="7" a="1"/>
  <c r="N12" i="7" s="1"/>
  <c r="V12" i="7" a="1"/>
  <c r="V12" i="7" s="1"/>
  <c r="G12" i="7" a="1"/>
  <c r="G12" i="7" s="1"/>
  <c r="Z12" i="7" a="1"/>
  <c r="Z12" i="7" s="1"/>
  <c r="W12" i="7" a="1"/>
  <c r="W12" i="7" s="1"/>
  <c r="AH12" i="7" a="1"/>
  <c r="AH12" i="7" s="1"/>
  <c r="C12" i="7" a="1"/>
  <c r="C12" i="7" s="1"/>
  <c r="AJ12" i="7" a="1"/>
  <c r="AJ12" i="7" s="1"/>
  <c r="J12" i="7" a="1"/>
  <c r="J12" i="7" s="1"/>
  <c r="AF12" i="7" a="1"/>
  <c r="AF12" i="7" s="1"/>
  <c r="U12" i="7" a="1"/>
  <c r="U12" i="7" s="1"/>
  <c r="AA12" i="7" a="1"/>
  <c r="AA12" i="7" s="1"/>
  <c r="AE12" i="7" a="1"/>
  <c r="AE12" i="7" s="1"/>
  <c r="H12" i="7" a="1"/>
  <c r="H12" i="7" s="1"/>
  <c r="L12" i="7" a="1"/>
  <c r="L12" i="7" s="1"/>
  <c r="B12" i="7" a="1"/>
  <c r="B12" i="7" s="1"/>
  <c r="K12" i="7" a="1"/>
  <c r="K12" i="7" s="1"/>
  <c r="F12" i="7" a="1"/>
  <c r="F12" i="7" s="1"/>
  <c r="R12" i="7" a="1"/>
  <c r="R12" i="7" s="1"/>
  <c r="Q12" i="7" a="1"/>
  <c r="Q12" i="7" s="1"/>
  <c r="S12" i="7" a="1"/>
  <c r="S12" i="7" s="1"/>
  <c r="AB12" i="7" a="1"/>
  <c r="AB12" i="7" s="1"/>
  <c r="T12" i="7" a="1"/>
  <c r="T12" i="7" s="1"/>
  <c r="AW12" i="7" a="1"/>
  <c r="AW12" i="7" s="1"/>
  <c r="AT12" i="7" a="1"/>
  <c r="AT12" i="7" s="1"/>
  <c r="AY12" i="7" a="1"/>
  <c r="AY12" i="7" s="1"/>
  <c r="AU12" i="7" a="1"/>
  <c r="AU12" i="7" s="1"/>
  <c r="AV12" i="7" a="1"/>
  <c r="AV12" i="7" s="1"/>
  <c r="AX12" i="7" a="1"/>
  <c r="AX12" i="7" s="1"/>
  <c r="AZ12" i="7" a="1"/>
  <c r="AZ12" i="7" s="1"/>
  <c r="BB12" i="7" a="1"/>
  <c r="BB12" i="7" s="1"/>
  <c r="BE12" i="7" a="1"/>
  <c r="BE12" i="7" s="1"/>
  <c r="BC12" i="7" a="1"/>
  <c r="BC12" i="7" s="1"/>
  <c r="BA12" i="7" a="1"/>
  <c r="BA12" i="7" s="1"/>
  <c r="BF12" i="7" a="1"/>
  <c r="BF12" i="7" s="1"/>
  <c r="BD12" i="7" a="1"/>
  <c r="BD12" i="7" s="1"/>
  <c r="BG12" i="7" a="1"/>
  <c r="BG12" i="7" s="1"/>
  <c r="BH12" i="7" a="1"/>
  <c r="BH12" i="7" s="1"/>
  <c r="BI12" i="7" a="1"/>
  <c r="BI12" i="7" s="1"/>
  <c r="AN42" i="7" a="1"/>
  <c r="AN42" i="7" s="1"/>
  <c r="AL42" i="7" a="1"/>
  <c r="AL42" i="7" s="1"/>
  <c r="AM42" i="7" a="1"/>
  <c r="AM42" i="7" s="1"/>
  <c r="AD42" i="7" a="1"/>
  <c r="AD42" i="7" s="1"/>
  <c r="Y42" i="7" a="1"/>
  <c r="Y42" i="7" s="1"/>
  <c r="R42" i="7" a="1"/>
  <c r="R42" i="7" s="1"/>
  <c r="Z42" i="7" a="1"/>
  <c r="Z42" i="7" s="1"/>
  <c r="AO42" i="7" a="1"/>
  <c r="AO42" i="7" s="1"/>
  <c r="N42" i="7" a="1"/>
  <c r="N42" i="7" s="1"/>
  <c r="X42" i="7" a="1"/>
  <c r="X42" i="7" s="1"/>
  <c r="G42" i="7" a="1"/>
  <c r="G42" i="7" s="1"/>
  <c r="AF42" i="7" a="1"/>
  <c r="AF42" i="7" s="1"/>
  <c r="AI42" i="7" a="1"/>
  <c r="AI42" i="7" s="1"/>
  <c r="Q42" i="7" a="1"/>
  <c r="Q42" i="7" s="1"/>
  <c r="W42" i="7" a="1"/>
  <c r="W42" i="7" s="1"/>
  <c r="C42" i="7" a="1"/>
  <c r="C42" i="7" s="1"/>
  <c r="AC42" i="7" a="1"/>
  <c r="AC42" i="7" s="1"/>
  <c r="B42" i="7" a="1"/>
  <c r="B42" i="7" s="1"/>
  <c r="V42" i="7" a="1"/>
  <c r="V42" i="7" s="1"/>
  <c r="H42" i="7" a="1"/>
  <c r="H42" i="7" s="1"/>
  <c r="AG42" i="7" a="1"/>
  <c r="AG42" i="7" s="1"/>
  <c r="AH42" i="7" a="1"/>
  <c r="AH42" i="7" s="1"/>
  <c r="L42" i="7" a="1"/>
  <c r="L42" i="7" s="1"/>
  <c r="AB42" i="7" a="1"/>
  <c r="AB42" i="7" s="1"/>
  <c r="AA42" i="7" a="1"/>
  <c r="AA42" i="7" s="1"/>
  <c r="S42" i="7" a="1"/>
  <c r="S42" i="7" s="1"/>
  <c r="AK42" i="7" a="1"/>
  <c r="AK42" i="7" s="1"/>
  <c r="K42" i="7" a="1"/>
  <c r="K42" i="7" s="1"/>
  <c r="M42" i="7" a="1"/>
  <c r="M42" i="7" s="1"/>
  <c r="P42" i="7" a="1"/>
  <c r="P42" i="7" s="1"/>
  <c r="T42" i="7" a="1"/>
  <c r="T42" i="7" s="1"/>
  <c r="U42" i="7" a="1"/>
  <c r="U42" i="7" s="1"/>
  <c r="I42" i="7" a="1"/>
  <c r="I42" i="7" s="1"/>
  <c r="O42" i="7" a="1"/>
  <c r="O42" i="7" s="1"/>
  <c r="AJ42" i="7" a="1"/>
  <c r="AJ42" i="7" s="1"/>
  <c r="J42" i="7" a="1"/>
  <c r="J42" i="7" s="1"/>
  <c r="AP42" i="7" a="1"/>
  <c r="AP42" i="7" s="1"/>
  <c r="AE42" i="7" a="1"/>
  <c r="AE42" i="7" s="1"/>
  <c r="E42" i="7" a="1"/>
  <c r="E42" i="7" s="1"/>
  <c r="F42" i="7" a="1"/>
  <c r="F42" i="7" s="1"/>
  <c r="D42" i="7" a="1"/>
  <c r="D42" i="7" s="1"/>
  <c r="AW42" i="7" a="1"/>
  <c r="AW42" i="7" s="1"/>
  <c r="AQ42" i="7" a="1"/>
  <c r="AQ42" i="7" s="1"/>
  <c r="AT42" i="7" a="1"/>
  <c r="AT42" i="7" s="1"/>
  <c r="AS42" i="7" a="1"/>
  <c r="AS42" i="7" s="1"/>
  <c r="AR42" i="7" a="1"/>
  <c r="AR42" i="7" s="1"/>
  <c r="AU42" i="7" a="1"/>
  <c r="AU42" i="7" s="1"/>
  <c r="AV42" i="7" a="1"/>
  <c r="AV42" i="7" s="1"/>
  <c r="AX42" i="7" a="1"/>
  <c r="AX42" i="7" s="1"/>
  <c r="AY42" i="7" a="1"/>
  <c r="AY42" i="7" s="1"/>
  <c r="AZ42" i="7" a="1"/>
  <c r="AZ42" i="7" s="1"/>
  <c r="BC42" i="7" a="1"/>
  <c r="BC42" i="7" s="1"/>
  <c r="BA42" i="7" a="1"/>
  <c r="BA42" i="7" s="1"/>
  <c r="BB42" i="7" a="1"/>
  <c r="BB42" i="7" s="1"/>
  <c r="BD42" i="7" a="1"/>
  <c r="BD42" i="7" s="1"/>
  <c r="BG42" i="7" a="1"/>
  <c r="BG42" i="7" s="1"/>
  <c r="BE42" i="7" a="1"/>
  <c r="BE42" i="7" s="1"/>
  <c r="BF42" i="7" a="1"/>
  <c r="BF42" i="7" s="1"/>
  <c r="BI42" i="7" a="1"/>
  <c r="BI42" i="7" s="1"/>
  <c r="BH42" i="7" a="1"/>
  <c r="BH42" i="7" s="1"/>
  <c r="AN48" i="7" a="1"/>
  <c r="AN48" i="7" s="1"/>
  <c r="AM48" i="7" a="1"/>
  <c r="AM48" i="7" s="1"/>
  <c r="AL48" i="7" a="1"/>
  <c r="AL48" i="7" s="1"/>
  <c r="G48" i="7" a="1"/>
  <c r="G48" i="7" s="1"/>
  <c r="H48" i="7" a="1"/>
  <c r="H48" i="7" s="1"/>
  <c r="B48" i="7" a="1"/>
  <c r="B48" i="7" s="1"/>
  <c r="AA48" i="7" a="1"/>
  <c r="AA48" i="7" s="1"/>
  <c r="R48" i="7" a="1"/>
  <c r="R48" i="7" s="1"/>
  <c r="F48" i="7" a="1"/>
  <c r="F48" i="7" s="1"/>
  <c r="AC48" i="7" a="1"/>
  <c r="AC48" i="7" s="1"/>
  <c r="L48" i="7" a="1"/>
  <c r="L48" i="7" s="1"/>
  <c r="M48" i="7" a="1"/>
  <c r="M48" i="7" s="1"/>
  <c r="AB48" i="7" a="1"/>
  <c r="AB48" i="7" s="1"/>
  <c r="Y48" i="7" a="1"/>
  <c r="Y48" i="7" s="1"/>
  <c r="AD48" i="7" a="1"/>
  <c r="AD48" i="7" s="1"/>
  <c r="E48" i="7" a="1"/>
  <c r="E48" i="7" s="1"/>
  <c r="T48" i="7" a="1"/>
  <c r="T48" i="7" s="1"/>
  <c r="I48" i="7" a="1"/>
  <c r="I48" i="7" s="1"/>
  <c r="S48" i="7" a="1"/>
  <c r="S48" i="7" s="1"/>
  <c r="AK48" i="7" a="1"/>
  <c r="AK48" i="7" s="1"/>
  <c r="P48" i="7" a="1"/>
  <c r="P48" i="7" s="1"/>
  <c r="O48" i="7" a="1"/>
  <c r="O48" i="7" s="1"/>
  <c r="Q48" i="7" a="1"/>
  <c r="Q48" i="7" s="1"/>
  <c r="X48" i="7" a="1"/>
  <c r="X48" i="7" s="1"/>
  <c r="D48" i="7" a="1"/>
  <c r="D48" i="7" s="1"/>
  <c r="AI48" i="7" a="1"/>
  <c r="AI48" i="7" s="1"/>
  <c r="AG48" i="7" a="1"/>
  <c r="AG48" i="7" s="1"/>
  <c r="W48" i="7" a="1"/>
  <c r="W48" i="7" s="1"/>
  <c r="K48" i="7" a="1"/>
  <c r="K48" i="7" s="1"/>
  <c r="AO48" i="7" a="1"/>
  <c r="AO48" i="7" s="1"/>
  <c r="AJ48" i="7" a="1"/>
  <c r="AJ48" i="7" s="1"/>
  <c r="AF48" i="7" a="1"/>
  <c r="AF48" i="7" s="1"/>
  <c r="C48" i="7" a="1"/>
  <c r="C48" i="7" s="1"/>
  <c r="U48" i="7" a="1"/>
  <c r="U48" i="7" s="1"/>
  <c r="AH48" i="7" a="1"/>
  <c r="AH48" i="7" s="1"/>
  <c r="AE48" i="7" a="1"/>
  <c r="AE48" i="7" s="1"/>
  <c r="V48" i="7" a="1"/>
  <c r="V48" i="7" s="1"/>
  <c r="N48" i="7" a="1"/>
  <c r="N48" i="7" s="1"/>
  <c r="Z48" i="7" a="1"/>
  <c r="Z48" i="7" s="1"/>
  <c r="J48" i="7" a="1"/>
  <c r="J48" i="7" s="1"/>
  <c r="AP48" i="7" a="1"/>
  <c r="AP48" i="7" s="1"/>
  <c r="AR48" i="7" a="1"/>
  <c r="AR48" i="7" s="1"/>
  <c r="AQ48" i="7" a="1"/>
  <c r="AQ48" i="7" s="1"/>
  <c r="AS48" i="7" a="1"/>
  <c r="AS48" i="7" s="1"/>
  <c r="AT48" i="7" a="1"/>
  <c r="AT48" i="7" s="1"/>
  <c r="BA48" i="7" a="1"/>
  <c r="BA48" i="7" s="1"/>
  <c r="AU48" i="7" a="1"/>
  <c r="AU48" i="7" s="1"/>
  <c r="AW48" i="7" a="1"/>
  <c r="AW48" i="7" s="1"/>
  <c r="AV48" i="7" a="1"/>
  <c r="AV48" i="7" s="1"/>
  <c r="AZ48" i="7" a="1"/>
  <c r="AZ48" i="7" s="1"/>
  <c r="BC48" i="7" a="1"/>
  <c r="BC48" i="7" s="1"/>
  <c r="AX48" i="7" a="1"/>
  <c r="AX48" i="7" s="1"/>
  <c r="AY48" i="7" a="1"/>
  <c r="AY48" i="7" s="1"/>
  <c r="BD48" i="7" a="1"/>
  <c r="BD48" i="7" s="1"/>
  <c r="BB48" i="7" a="1"/>
  <c r="BB48" i="7" s="1"/>
  <c r="BG48" i="7" a="1"/>
  <c r="BG48" i="7" s="1"/>
  <c r="BI48" i="7" a="1"/>
  <c r="BI48" i="7" s="1"/>
  <c r="BH48" i="7" a="1"/>
  <c r="BH48" i="7" s="1"/>
  <c r="BE48" i="7" a="1"/>
  <c r="BE48" i="7" s="1"/>
  <c r="BF48" i="7" a="1"/>
  <c r="BF48" i="7" s="1"/>
  <c r="T21" i="4"/>
  <c r="U21" i="4"/>
  <c r="BL62" i="5"/>
  <c r="BL176" i="5" s="1"/>
  <c r="BM48" i="5" l="1"/>
  <c r="Q11" i="7" a="1"/>
  <c r="Q11" i="7" s="1"/>
  <c r="AQ11" i="7" a="1"/>
  <c r="AQ11" i="7" s="1"/>
  <c r="AP11" i="7" a="1"/>
  <c r="AP11" i="7" s="1"/>
  <c r="E11" i="7" a="1"/>
  <c r="E11" i="7" s="1"/>
  <c r="AR11" i="7" a="1"/>
  <c r="AR11" i="7" s="1"/>
  <c r="AS11" i="7" a="1"/>
  <c r="AS11" i="7" s="1"/>
  <c r="AO11" i="7" a="1"/>
  <c r="AO11" i="7" s="1"/>
  <c r="AL11" i="7" a="1"/>
  <c r="AL11" i="7" s="1"/>
  <c r="T11" i="7" a="1"/>
  <c r="T11" i="7" s="1"/>
  <c r="AE11" i="7" a="1"/>
  <c r="AE11" i="7" s="1"/>
  <c r="F11" i="7" a="1"/>
  <c r="F11" i="7" s="1"/>
  <c r="W11" i="7" a="1"/>
  <c r="W11" i="7" s="1"/>
  <c r="AN11" i="7" a="1"/>
  <c r="AN11" i="7" s="1"/>
  <c r="C11" i="7" a="1"/>
  <c r="C11" i="7" s="1"/>
  <c r="K11" i="7" a="1"/>
  <c r="K11" i="7" s="1"/>
  <c r="N11" i="7" a="1"/>
  <c r="N11" i="7" s="1"/>
  <c r="V11" i="7" a="1"/>
  <c r="V11" i="7" s="1"/>
  <c r="AD11" i="7" a="1"/>
  <c r="AD11" i="7" s="1"/>
  <c r="AK11" i="7" a="1"/>
  <c r="AK11" i="7" s="1"/>
  <c r="O11" i="7" a="1"/>
  <c r="O11" i="7" s="1"/>
  <c r="X11" i="7" a="1"/>
  <c r="X11" i="7" s="1"/>
  <c r="AC11" i="7" a="1"/>
  <c r="AC11" i="7" s="1"/>
  <c r="I11" i="7" a="1"/>
  <c r="I11" i="7" s="1"/>
  <c r="AG11" i="7" a="1"/>
  <c r="AG11" i="7" s="1"/>
  <c r="AJ11" i="7" a="1"/>
  <c r="AJ11" i="7" s="1"/>
  <c r="AM11" i="7" a="1"/>
  <c r="AM11" i="7" s="1"/>
  <c r="L11" i="7" a="1"/>
  <c r="L11" i="7" s="1"/>
  <c r="B11" i="7" a="1"/>
  <c r="B11" i="7" s="1"/>
  <c r="S11" i="7" a="1"/>
  <c r="S11" i="7" s="1"/>
  <c r="AF11" i="7" a="1"/>
  <c r="AF11" i="7" s="1"/>
  <c r="AU11" i="7" a="1"/>
  <c r="AU11" i="7" s="1"/>
  <c r="Y11" i="7" a="1"/>
  <c r="Y11" i="7" s="1"/>
  <c r="H11" i="7" a="1"/>
  <c r="H11" i="7" s="1"/>
  <c r="G11" i="7" a="1"/>
  <c r="G11" i="7" s="1"/>
  <c r="P11" i="7" a="1"/>
  <c r="P11" i="7" s="1"/>
  <c r="U11" i="7" a="1"/>
  <c r="U11" i="7" s="1"/>
  <c r="D11" i="7" a="1"/>
  <c r="D11" i="7" s="1"/>
  <c r="AB11" i="7" a="1"/>
  <c r="AB11" i="7" s="1"/>
  <c r="R11" i="7" a="1"/>
  <c r="R11" i="7" s="1"/>
  <c r="J11" i="7" a="1"/>
  <c r="J11" i="7" s="1"/>
  <c r="M11" i="7" a="1"/>
  <c r="M11" i="7" s="1"/>
  <c r="AT11" i="7" a="1"/>
  <c r="AT11" i="7" s="1"/>
  <c r="AA11" i="7" a="1"/>
  <c r="AA11" i="7" s="1"/>
  <c r="AI11" i="7" a="1"/>
  <c r="AI11" i="7" s="1"/>
  <c r="Z11" i="7" a="1"/>
  <c r="Z11" i="7" s="1"/>
  <c r="AH11" i="7" a="1"/>
  <c r="AH11" i="7" s="1"/>
  <c r="AW11" i="7" a="1"/>
  <c r="AW11" i="7" s="1"/>
  <c r="AV11" i="7" a="1"/>
  <c r="AV11" i="7" s="1"/>
  <c r="AY11" i="7" a="1"/>
  <c r="AY11" i="7" s="1"/>
  <c r="AZ11" i="7" a="1"/>
  <c r="AZ11" i="7" s="1"/>
  <c r="AX11" i="7" a="1"/>
  <c r="AX11" i="7" s="1"/>
  <c r="BA11" i="7" a="1"/>
  <c r="BA11" i="7" s="1"/>
  <c r="BD11" i="7" a="1"/>
  <c r="BD11" i="7" s="1"/>
  <c r="BC11" i="7" a="1"/>
  <c r="BC11" i="7" s="1"/>
  <c r="BB11" i="7" a="1"/>
  <c r="BB11" i="7" s="1"/>
  <c r="BH11" i="7" a="1"/>
  <c r="BH11" i="7" s="1"/>
  <c r="BF11" i="7" a="1"/>
  <c r="BF11" i="7" s="1"/>
  <c r="BE11" i="7" a="1"/>
  <c r="BE11" i="7" s="1"/>
  <c r="BG11" i="7" a="1"/>
  <c r="BG11" i="7" s="1"/>
  <c r="BI11" i="7" a="1"/>
  <c r="BI11" i="7" s="1"/>
  <c r="BF51" i="7"/>
  <c r="N18" i="4"/>
  <c r="U19" i="4"/>
  <c r="T19" i="4"/>
  <c r="AI51" i="7"/>
  <c r="AG51" i="7"/>
  <c r="BE51" i="7"/>
  <c r="BA51" i="7"/>
  <c r="Z51" i="7"/>
  <c r="S51" i="7"/>
  <c r="AQ51" i="7"/>
  <c r="AA51" i="7"/>
  <c r="L51" i="7"/>
  <c r="B51" i="7"/>
  <c r="BD28" i="7" a="1"/>
  <c r="BD28" i="7" s="1"/>
  <c r="AV28" i="7" a="1"/>
  <c r="AV28" i="7" s="1"/>
  <c r="D28" i="7" a="1"/>
  <c r="D28" i="7" s="1"/>
  <c r="AK28" i="7" a="1"/>
  <c r="AK28" i="7" s="1"/>
  <c r="T28" i="7" a="1"/>
  <c r="T28" i="7" s="1"/>
  <c r="E28" i="7" a="1"/>
  <c r="E28" i="7" s="1"/>
  <c r="AQ28" i="7" a="1"/>
  <c r="AQ28" i="7" s="1"/>
  <c r="O51" i="7"/>
  <c r="AB51" i="7"/>
  <c r="P51" i="7"/>
  <c r="AL51" i="7"/>
  <c r="AE51" i="7"/>
  <c r="AY28" i="7" a="1"/>
  <c r="AY28" i="7" s="1"/>
  <c r="AW28" i="7" a="1"/>
  <c r="AW28" i="7" s="1"/>
  <c r="P28" i="7" a="1"/>
  <c r="P28" i="7" s="1"/>
  <c r="AC28" i="7" a="1"/>
  <c r="AC28" i="7" s="1"/>
  <c r="C28" i="7" a="1"/>
  <c r="C28" i="7" s="1"/>
  <c r="K28" i="7" a="1"/>
  <c r="K28" i="7" s="1"/>
  <c r="AF28" i="7" a="1"/>
  <c r="AF28" i="7" s="1"/>
  <c r="AX51" i="7"/>
  <c r="AJ51" i="7"/>
  <c r="V51" i="7"/>
  <c r="F51" i="7"/>
  <c r="AP51" i="7"/>
  <c r="D17" i="6"/>
  <c r="F17" i="6"/>
  <c r="BM67" i="5"/>
  <c r="AL13" i="7" a="1"/>
  <c r="AL13" i="7" s="1"/>
  <c r="AP13" i="7" a="1"/>
  <c r="AP13" i="7" s="1"/>
  <c r="AQ13" i="7" a="1"/>
  <c r="AQ13" i="7" s="1"/>
  <c r="AM13" i="7" a="1"/>
  <c r="AM13" i="7" s="1"/>
  <c r="AO13" i="7" a="1"/>
  <c r="AO13" i="7" s="1"/>
  <c r="AR13" i="7" a="1"/>
  <c r="AR13" i="7" s="1"/>
  <c r="AN13" i="7" a="1"/>
  <c r="AN13" i="7" s="1"/>
  <c r="M13" i="7" a="1"/>
  <c r="M13" i="7" s="1"/>
  <c r="T13" i="7" a="1"/>
  <c r="T13" i="7" s="1"/>
  <c r="N13" i="7" a="1"/>
  <c r="N13" i="7" s="1"/>
  <c r="AI13" i="7" a="1"/>
  <c r="AI13" i="7" s="1"/>
  <c r="AJ13" i="7" a="1"/>
  <c r="AJ13" i="7" s="1"/>
  <c r="I13" i="7" a="1"/>
  <c r="I13" i="7" s="1"/>
  <c r="K13" i="7" a="1"/>
  <c r="K13" i="7" s="1"/>
  <c r="P13" i="7" a="1"/>
  <c r="P13" i="7" s="1"/>
  <c r="AG13" i="7" a="1"/>
  <c r="AG13" i="7" s="1"/>
  <c r="H13" i="7" a="1"/>
  <c r="H13" i="7" s="1"/>
  <c r="AS13" i="7" a="1"/>
  <c r="AS13" i="7" s="1"/>
  <c r="Y13" i="7" a="1"/>
  <c r="Y13" i="7" s="1"/>
  <c r="Z13" i="7" a="1"/>
  <c r="Z13" i="7" s="1"/>
  <c r="AC13" i="7" a="1"/>
  <c r="AC13" i="7" s="1"/>
  <c r="D13" i="7" a="1"/>
  <c r="D13" i="7" s="1"/>
  <c r="R13" i="7" a="1"/>
  <c r="R13" i="7" s="1"/>
  <c r="AA13" i="7" a="1"/>
  <c r="AA13" i="7" s="1"/>
  <c r="B13" i="7" a="1"/>
  <c r="B13" i="7" s="1"/>
  <c r="Q13" i="7" a="1"/>
  <c r="Q13" i="7" s="1"/>
  <c r="S13" i="7" a="1"/>
  <c r="S13" i="7" s="1"/>
  <c r="AF13" i="7" a="1"/>
  <c r="AF13" i="7" s="1"/>
  <c r="G13" i="7" a="1"/>
  <c r="G13" i="7" s="1"/>
  <c r="L13" i="7" a="1"/>
  <c r="L13" i="7" s="1"/>
  <c r="U13" i="7" a="1"/>
  <c r="U13" i="7" s="1"/>
  <c r="J13" i="7" a="1"/>
  <c r="J13" i="7" s="1"/>
  <c r="W13" i="7" a="1"/>
  <c r="W13" i="7" s="1"/>
  <c r="E13" i="7" a="1"/>
  <c r="E13" i="7" s="1"/>
  <c r="C13" i="7" a="1"/>
  <c r="C13" i="7" s="1"/>
  <c r="AK13" i="7" a="1"/>
  <c r="AK13" i="7" s="1"/>
  <c r="F13" i="7" a="1"/>
  <c r="F13" i="7" s="1"/>
  <c r="AE13" i="7" a="1"/>
  <c r="AE13" i="7" s="1"/>
  <c r="AH13" i="7" a="1"/>
  <c r="AH13" i="7" s="1"/>
  <c r="O13" i="7" a="1"/>
  <c r="O13" i="7" s="1"/>
  <c r="AB13" i="7" a="1"/>
  <c r="AB13" i="7" s="1"/>
  <c r="V13" i="7" a="1"/>
  <c r="V13" i="7" s="1"/>
  <c r="AD13" i="7" a="1"/>
  <c r="AD13" i="7" s="1"/>
  <c r="X13" i="7" a="1"/>
  <c r="X13" i="7" s="1"/>
  <c r="AT13" i="7" a="1"/>
  <c r="AT13" i="7" s="1"/>
  <c r="AW13" i="7" a="1"/>
  <c r="AW13" i="7" s="1"/>
  <c r="AV13" i="7" a="1"/>
  <c r="AV13" i="7" s="1"/>
  <c r="AU13" i="7" a="1"/>
  <c r="AU13" i="7" s="1"/>
  <c r="AX13" i="7" a="1"/>
  <c r="AX13" i="7" s="1"/>
  <c r="AY13" i="7" a="1"/>
  <c r="AY13" i="7" s="1"/>
  <c r="BC13" i="7" a="1"/>
  <c r="BC13" i="7" s="1"/>
  <c r="AZ13" i="7" a="1"/>
  <c r="AZ13" i="7" s="1"/>
  <c r="BE13" i="7" a="1"/>
  <c r="BE13" i="7" s="1"/>
  <c r="BF13" i="7" a="1"/>
  <c r="BF13" i="7" s="1"/>
  <c r="BG13" i="7" a="1"/>
  <c r="BG13" i="7" s="1"/>
  <c r="BA13" i="7" a="1"/>
  <c r="BA13" i="7" s="1"/>
  <c r="BD13" i="7" a="1"/>
  <c r="BD13" i="7" s="1"/>
  <c r="BB13" i="7" a="1"/>
  <c r="BB13" i="7" s="1"/>
  <c r="BH13" i="7" a="1"/>
  <c r="BH13" i="7" s="1"/>
  <c r="BI13" i="7" a="1"/>
  <c r="BI13" i="7" s="1"/>
  <c r="BI28" i="7" a="1"/>
  <c r="BI28" i="7" s="1"/>
  <c r="AT28" i="7" a="1"/>
  <c r="AT28" i="7" s="1"/>
  <c r="Q28" i="7" a="1"/>
  <c r="Q28" i="7" s="1"/>
  <c r="R28" i="7" a="1"/>
  <c r="R28" i="7" s="1"/>
  <c r="M28" i="7" a="1"/>
  <c r="M28" i="7" s="1"/>
  <c r="F28" i="7" a="1"/>
  <c r="F28" i="7" s="1"/>
  <c r="AG28" i="7" a="1"/>
  <c r="AG28" i="7" s="1"/>
  <c r="AV51" i="7"/>
  <c r="BM68" i="5"/>
  <c r="BM65" i="5" s="1"/>
  <c r="AP14" i="7" a="1"/>
  <c r="AP14" i="7" s="1"/>
  <c r="AN14" i="7" a="1"/>
  <c r="AN14" i="7" s="1"/>
  <c r="L21" i="6" s="1"/>
  <c r="AM14" i="7" a="1"/>
  <c r="AM14" i="7" s="1"/>
  <c r="AO14" i="7" a="1"/>
  <c r="AO14" i="7" s="1"/>
  <c r="AL14" i="7" a="1"/>
  <c r="AL14" i="7" s="1"/>
  <c r="AJ14" i="7" a="1"/>
  <c r="AJ14" i="7" s="1"/>
  <c r="J14" i="7" a="1"/>
  <c r="J14" i="7" s="1"/>
  <c r="E14" i="7" a="1"/>
  <c r="E14" i="7" s="1"/>
  <c r="AD14" i="7" a="1"/>
  <c r="AD14" i="7" s="1"/>
  <c r="G14" i="7" a="1"/>
  <c r="G14" i="7" s="1"/>
  <c r="F14" i="7" a="1"/>
  <c r="F14" i="7" s="1"/>
  <c r="L14" i="7" a="1"/>
  <c r="L14" i="7" s="1"/>
  <c r="Z14" i="7" a="1"/>
  <c r="Z14" i="7" s="1"/>
  <c r="C14" i="7" a="1"/>
  <c r="C14" i="7" s="1"/>
  <c r="B14" i="7" a="1"/>
  <c r="B14" i="7" s="1"/>
  <c r="P14" i="7" a="1"/>
  <c r="P14" i="7" s="1"/>
  <c r="D14" i="7" a="1"/>
  <c r="D14" i="7" s="1"/>
  <c r="AB14" i="7" a="1"/>
  <c r="AB14" i="7" s="1"/>
  <c r="V14" i="7" a="1"/>
  <c r="V14" i="7" s="1"/>
  <c r="AE14" i="7" a="1"/>
  <c r="AE14" i="7" s="1"/>
  <c r="Y14" i="7" a="1"/>
  <c r="Y14" i="7" s="1"/>
  <c r="AC14" i="7" a="1"/>
  <c r="AC14" i="7" s="1"/>
  <c r="AA14" i="7" a="1"/>
  <c r="AA14" i="7" s="1"/>
  <c r="J21" i="6" s="1"/>
  <c r="W14" i="7" a="1"/>
  <c r="W14" i="7" s="1"/>
  <c r="AG14" i="7" a="1"/>
  <c r="AG14" i="7" s="1"/>
  <c r="AF14" i="7" a="1"/>
  <c r="AF14" i="7" s="1"/>
  <c r="O14" i="7" a="1"/>
  <c r="O14" i="7" s="1"/>
  <c r="S14" i="7" a="1"/>
  <c r="S14" i="7" s="1"/>
  <c r="R14" i="7" a="1"/>
  <c r="R14" i="7" s="1"/>
  <c r="AH14" i="7" a="1"/>
  <c r="AH14" i="7" s="1"/>
  <c r="Q14" i="7" a="1"/>
  <c r="Q14" i="7" s="1"/>
  <c r="AQ14" i="7" a="1"/>
  <c r="AQ14" i="7" s="1"/>
  <c r="AR14" i="7" a="1"/>
  <c r="AR14" i="7" s="1"/>
  <c r="AK14" i="7" a="1"/>
  <c r="AK14" i="7" s="1"/>
  <c r="M14" i="7" a="1"/>
  <c r="M14" i="7" s="1"/>
  <c r="N14" i="7" a="1"/>
  <c r="N14" i="7" s="1"/>
  <c r="X14" i="7" a="1"/>
  <c r="X14" i="7" s="1"/>
  <c r="K14" i="7" a="1"/>
  <c r="K14" i="7" s="1"/>
  <c r="H14" i="7" a="1"/>
  <c r="H14" i="7" s="1"/>
  <c r="AI14" i="7" a="1"/>
  <c r="AI14" i="7" s="1"/>
  <c r="T14" i="7" a="1"/>
  <c r="T14" i="7" s="1"/>
  <c r="I14" i="7" a="1"/>
  <c r="I14" i="7" s="1"/>
  <c r="U14" i="7" a="1"/>
  <c r="U14" i="7" s="1"/>
  <c r="AS14" i="7" a="1"/>
  <c r="AS14" i="7" s="1"/>
  <c r="AT14" i="7" a="1"/>
  <c r="AT14" i="7" s="1"/>
  <c r="AX14" i="7" a="1"/>
  <c r="AX14" i="7" s="1"/>
  <c r="AU14" i="7" a="1"/>
  <c r="AU14" i="7" s="1"/>
  <c r="AW14" i="7" a="1"/>
  <c r="AW14" i="7" s="1"/>
  <c r="AY14" i="7" a="1"/>
  <c r="AY14" i="7" s="1"/>
  <c r="N21" i="6" s="1"/>
  <c r="AV14" i="7" a="1"/>
  <c r="AV14" i="7" s="1"/>
  <c r="BA14" i="7" a="1"/>
  <c r="BA14" i="7" s="1"/>
  <c r="AZ14" i="7" a="1"/>
  <c r="AZ14" i="7" s="1"/>
  <c r="BE14" i="7" a="1"/>
  <c r="BE14" i="7" s="1"/>
  <c r="BB14" i="7" a="1"/>
  <c r="BB14" i="7" s="1"/>
  <c r="BD14" i="7" a="1"/>
  <c r="BD14" i="7" s="1"/>
  <c r="BC14" i="7" a="1"/>
  <c r="BC14" i="7" s="1"/>
  <c r="BG14" i="7" a="1"/>
  <c r="BG14" i="7" s="1"/>
  <c r="BH14" i="7" a="1"/>
  <c r="BH14" i="7" s="1"/>
  <c r="BF14" i="7" a="1"/>
  <c r="BF14" i="7" s="1"/>
  <c r="BI14" i="7" a="1"/>
  <c r="BI14" i="7" s="1"/>
  <c r="BG28" i="7" a="1"/>
  <c r="BG28" i="7" s="1"/>
  <c r="AU28" i="7" a="1"/>
  <c r="AU28" i="7" s="1"/>
  <c r="AD28" i="7" a="1"/>
  <c r="AD28" i="7" s="1"/>
  <c r="X28" i="7" a="1"/>
  <c r="X28" i="7" s="1"/>
  <c r="Z28" i="7" a="1"/>
  <c r="Z28" i="7" s="1"/>
  <c r="J28" i="6" s="1"/>
  <c r="AJ28" i="7" a="1"/>
  <c r="AJ28" i="7" s="1"/>
  <c r="AI28" i="7" a="1"/>
  <c r="AI28" i="7" s="1"/>
  <c r="BL175" i="5"/>
  <c r="BB28" i="7" a="1"/>
  <c r="BB28" i="7" s="1"/>
  <c r="BC28" i="7" a="1"/>
  <c r="BC28" i="7" s="1"/>
  <c r="AS28" i="7" a="1"/>
  <c r="AS28" i="7" s="1"/>
  <c r="W28" i="7" a="1"/>
  <c r="W28" i="7" s="1"/>
  <c r="B28" i="7" a="1"/>
  <c r="B28" i="7" s="1"/>
  <c r="S28" i="7" a="1"/>
  <c r="S28" i="7" s="1"/>
  <c r="AO28" i="7" a="1"/>
  <c r="AO28" i="7" s="1"/>
  <c r="AM28" i="7" a="1"/>
  <c r="AM28" i="7" s="1"/>
  <c r="BC51" i="7"/>
  <c r="BL177" i="5"/>
  <c r="I51" i="7"/>
  <c r="H51" i="7"/>
  <c r="N51" i="7"/>
  <c r="F14" i="6"/>
  <c r="D13" i="6"/>
  <c r="AZ51" i="7"/>
  <c r="X51" i="7"/>
  <c r="AT51" i="7"/>
  <c r="AR51" i="7"/>
  <c r="T51" i="7"/>
  <c r="G51" i="7"/>
  <c r="C51" i="7"/>
  <c r="F23" i="6"/>
  <c r="BH28" i="7" a="1"/>
  <c r="BH28" i="7" s="1"/>
  <c r="AX28" i="7" a="1"/>
  <c r="AX28" i="7" s="1"/>
  <c r="N28" i="7" a="1"/>
  <c r="N28" i="7" s="1"/>
  <c r="O28" i="7" a="1"/>
  <c r="O28" i="7" s="1"/>
  <c r="H28" i="6" s="1"/>
  <c r="J28" i="7" a="1"/>
  <c r="J28" i="7" s="1"/>
  <c r="U28" i="7" a="1"/>
  <c r="U28" i="7" s="1"/>
  <c r="Y28" i="7" a="1"/>
  <c r="Y28" i="7" s="1"/>
  <c r="AH28" i="7" a="1"/>
  <c r="AH28" i="7" s="1"/>
  <c r="AW51" i="7"/>
  <c r="AO51" i="7"/>
  <c r="AY51" i="7"/>
  <c r="AH51" i="7"/>
  <c r="F16" i="6"/>
  <c r="BI51" i="7"/>
  <c r="BD51" i="7"/>
  <c r="AD51" i="7"/>
  <c r="Q51" i="7"/>
  <c r="AK51" i="7"/>
  <c r="Y51" i="7"/>
  <c r="AF51" i="7"/>
  <c r="AN51" i="7"/>
  <c r="F29" i="6"/>
  <c r="BA28" i="7" a="1"/>
  <c r="BA28" i="7" s="1"/>
  <c r="BF28" i="7" a="1"/>
  <c r="BF28" i="7" s="1"/>
  <c r="AR28" i="7" a="1"/>
  <c r="AR28" i="7" s="1"/>
  <c r="AA28" i="7" a="1"/>
  <c r="AA28" i="7" s="1"/>
  <c r="I28" i="7" a="1"/>
  <c r="I28" i="7" s="1"/>
  <c r="AB28" i="7" a="1"/>
  <c r="AB28" i="7" s="1"/>
  <c r="G28" i="7" a="1"/>
  <c r="G28" i="7" s="1"/>
  <c r="AL28" i="7" a="1"/>
  <c r="AL28" i="7" s="1"/>
  <c r="L28" i="6" s="1"/>
  <c r="AS51" i="7"/>
  <c r="U51" i="7"/>
  <c r="K51" i="7"/>
  <c r="F22" i="6"/>
  <c r="AU51" i="7"/>
  <c r="AC51" i="7"/>
  <c r="F27" i="6"/>
  <c r="D27" i="6" s="1"/>
  <c r="H21" i="6"/>
  <c r="H17" i="6"/>
  <c r="H20" i="6"/>
  <c r="H22" i="6"/>
  <c r="H23" i="6"/>
  <c r="H29" i="6"/>
  <c r="L20" i="6"/>
  <c r="N23" i="6"/>
  <c r="H27" i="6"/>
  <c r="J30" i="6"/>
  <c r="L17" i="6"/>
  <c r="L29" i="6"/>
  <c r="J27" i="6"/>
  <c r="N27" i="6"/>
  <c r="F25" i="6"/>
  <c r="L23" i="6"/>
  <c r="J20" i="6"/>
  <c r="H25" i="6"/>
  <c r="N30" i="6"/>
  <c r="N20" i="6"/>
  <c r="L25" i="6"/>
  <c r="J23" i="6"/>
  <c r="J22" i="6"/>
  <c r="L27" i="6"/>
  <c r="H30" i="6"/>
  <c r="D30" i="6" s="1"/>
  <c r="J29" i="6"/>
  <c r="L30" i="6"/>
  <c r="L22" i="6"/>
  <c r="J25" i="6"/>
  <c r="J17" i="6"/>
  <c r="N22" i="6"/>
  <c r="N25" i="6"/>
  <c r="P28" i="6"/>
  <c r="P24" i="6"/>
  <c r="P19" i="6"/>
  <c r="P26" i="6"/>
  <c r="P21" i="6"/>
  <c r="N17" i="6"/>
  <c r="P27" i="6"/>
  <c r="P23" i="6"/>
  <c r="N29" i="6"/>
  <c r="P25" i="6"/>
  <c r="P22" i="6"/>
  <c r="P30" i="6"/>
  <c r="P29" i="6"/>
  <c r="P20" i="6"/>
  <c r="P17" i="6"/>
  <c r="P31" i="6"/>
  <c r="BH51" i="7"/>
  <c r="BB51" i="7"/>
  <c r="E51" i="7"/>
  <c r="J51" i="7"/>
  <c r="R51" i="7"/>
  <c r="W51" i="7"/>
  <c r="D51" i="7"/>
  <c r="AM51" i="7"/>
  <c r="AZ28" i="7" a="1"/>
  <c r="AZ28" i="7" s="1"/>
  <c r="N28" i="6" s="1"/>
  <c r="BE28" i="7" a="1"/>
  <c r="BE28" i="7" s="1"/>
  <c r="L28" i="7" a="1"/>
  <c r="L28" i="7" s="1"/>
  <c r="AE28" i="7" a="1"/>
  <c r="AE28" i="7" s="1"/>
  <c r="V28" i="7" a="1"/>
  <c r="V28" i="7" s="1"/>
  <c r="H28" i="7" a="1"/>
  <c r="H28" i="7" s="1"/>
  <c r="AN28" i="7" a="1"/>
  <c r="AN28" i="7" s="1"/>
  <c r="BM63" i="5" l="1"/>
  <c r="BM62" i="5" s="1"/>
  <c r="AL22" i="7" a="1"/>
  <c r="AL22" i="7" s="1"/>
  <c r="AU22" i="7" a="1"/>
  <c r="AU22" i="7" s="1"/>
  <c r="AU20" i="7" s="1"/>
  <c r="AU19" i="7" s="1"/>
  <c r="AQ22" i="7" a="1"/>
  <c r="AQ22" i="7" s="1"/>
  <c r="AQ20" i="7" s="1"/>
  <c r="AQ19" i="7" s="1"/>
  <c r="AR22" i="7" a="1"/>
  <c r="AR22" i="7" s="1"/>
  <c r="AR20" i="7" s="1"/>
  <c r="AR19" i="7" s="1"/>
  <c r="AP22" i="7" a="1"/>
  <c r="AP22" i="7" s="1"/>
  <c r="AP20" i="7" s="1"/>
  <c r="AP19" i="7" s="1"/>
  <c r="AN22" i="7" a="1"/>
  <c r="AN22" i="7" s="1"/>
  <c r="AN20" i="7" s="1"/>
  <c r="AN19" i="7" s="1"/>
  <c r="AS22" i="7" a="1"/>
  <c r="AS22" i="7" s="1"/>
  <c r="AS20" i="7" s="1"/>
  <c r="AS19" i="7" s="1"/>
  <c r="AM22" i="7" a="1"/>
  <c r="AM22" i="7" s="1"/>
  <c r="AM20" i="7" s="1"/>
  <c r="AM19" i="7" s="1"/>
  <c r="AG22" i="7" a="1"/>
  <c r="AG22" i="7" s="1"/>
  <c r="AG20" i="7" s="1"/>
  <c r="AG19" i="7" s="1"/>
  <c r="AT22" i="7" a="1"/>
  <c r="AT22" i="7" s="1"/>
  <c r="AT20" i="7" s="1"/>
  <c r="AT19" i="7" s="1"/>
  <c r="S22" i="7" a="1"/>
  <c r="S22" i="7" s="1"/>
  <c r="S20" i="7" s="1"/>
  <c r="S19" i="7" s="1"/>
  <c r="J22" i="7" a="1"/>
  <c r="J22" i="7" s="1"/>
  <c r="J20" i="7" s="1"/>
  <c r="J19" i="7" s="1"/>
  <c r="AE22" i="7" a="1"/>
  <c r="AE22" i="7" s="1"/>
  <c r="AE20" i="7" s="1"/>
  <c r="AE19" i="7" s="1"/>
  <c r="B22" i="7" a="1"/>
  <c r="B22" i="7" s="1"/>
  <c r="AV22" i="7" a="1"/>
  <c r="AV22" i="7" s="1"/>
  <c r="AV20" i="7" s="1"/>
  <c r="AV19" i="7" s="1"/>
  <c r="N22" i="7" a="1"/>
  <c r="N22" i="7" s="1"/>
  <c r="X22" i="7" a="1"/>
  <c r="X22" i="7" s="1"/>
  <c r="X20" i="7" s="1"/>
  <c r="X19" i="7" s="1"/>
  <c r="AJ22" i="7" a="1"/>
  <c r="AJ22" i="7" s="1"/>
  <c r="AJ20" i="7" s="1"/>
  <c r="AJ19" i="7" s="1"/>
  <c r="R22" i="7" a="1"/>
  <c r="R22" i="7" s="1"/>
  <c r="R20" i="7" s="1"/>
  <c r="R19" i="7" s="1"/>
  <c r="C22" i="7" a="1"/>
  <c r="C22" i="7" s="1"/>
  <c r="C20" i="7" s="1"/>
  <c r="C19" i="7" s="1"/>
  <c r="G22" i="7" a="1"/>
  <c r="G22" i="7" s="1"/>
  <c r="G20" i="7" s="1"/>
  <c r="G19" i="7" s="1"/>
  <c r="AH22" i="7" a="1"/>
  <c r="AH22" i="7" s="1"/>
  <c r="AH20" i="7" s="1"/>
  <c r="AH19" i="7" s="1"/>
  <c r="L22" i="7" a="1"/>
  <c r="L22" i="7" s="1"/>
  <c r="L20" i="7" s="1"/>
  <c r="L19" i="7" s="1"/>
  <c r="P22" i="7" a="1"/>
  <c r="P22" i="7" s="1"/>
  <c r="P20" i="7" s="1"/>
  <c r="P19" i="7" s="1"/>
  <c r="AD22" i="7" a="1"/>
  <c r="AD22" i="7" s="1"/>
  <c r="AD20" i="7" s="1"/>
  <c r="AD19" i="7" s="1"/>
  <c r="AX22" i="7" a="1"/>
  <c r="AX22" i="7" s="1"/>
  <c r="I22" i="7" a="1"/>
  <c r="I22" i="7" s="1"/>
  <c r="I20" i="7" s="1"/>
  <c r="I19" i="7" s="1"/>
  <c r="AA22" i="7" a="1"/>
  <c r="AA22" i="7" s="1"/>
  <c r="AA20" i="7" s="1"/>
  <c r="AA19" i="7" s="1"/>
  <c r="Y22" i="7" a="1"/>
  <c r="Y22" i="7" s="1"/>
  <c r="Y20" i="7" s="1"/>
  <c r="Y19" i="7" s="1"/>
  <c r="AF22" i="7" a="1"/>
  <c r="AF22" i="7" s="1"/>
  <c r="AF20" i="7" s="1"/>
  <c r="AF19" i="7" s="1"/>
  <c r="W22" i="7" a="1"/>
  <c r="W22" i="7" s="1"/>
  <c r="W20" i="7" s="1"/>
  <c r="W19" i="7" s="1"/>
  <c r="E22" i="7" a="1"/>
  <c r="E22" i="7" s="1"/>
  <c r="E20" i="7" s="1"/>
  <c r="E19" i="7" s="1"/>
  <c r="AO22" i="7" a="1"/>
  <c r="AO22" i="7" s="1"/>
  <c r="AO20" i="7" s="1"/>
  <c r="AO19" i="7" s="1"/>
  <c r="AC22" i="7" a="1"/>
  <c r="AC22" i="7" s="1"/>
  <c r="AC20" i="7" s="1"/>
  <c r="AC19" i="7" s="1"/>
  <c r="H22" i="7" a="1"/>
  <c r="H22" i="7" s="1"/>
  <c r="H20" i="7" s="1"/>
  <c r="H19" i="7" s="1"/>
  <c r="T22" i="7" a="1"/>
  <c r="T22" i="7" s="1"/>
  <c r="T20" i="7" s="1"/>
  <c r="T19" i="7" s="1"/>
  <c r="K22" i="7" a="1"/>
  <c r="K22" i="7" s="1"/>
  <c r="K20" i="7" s="1"/>
  <c r="K19" i="7" s="1"/>
  <c r="Z22" i="7" a="1"/>
  <c r="Z22" i="7" s="1"/>
  <c r="V22" i="7" a="1"/>
  <c r="V22" i="7" s="1"/>
  <c r="V20" i="7" s="1"/>
  <c r="V19" i="7" s="1"/>
  <c r="D22" i="7" a="1"/>
  <c r="D22" i="7" s="1"/>
  <c r="D20" i="7" s="1"/>
  <c r="D19" i="7" s="1"/>
  <c r="AB22" i="7" a="1"/>
  <c r="AB22" i="7" s="1"/>
  <c r="AB20" i="7" s="1"/>
  <c r="AB19" i="7" s="1"/>
  <c r="F22" i="7" a="1"/>
  <c r="F22" i="7" s="1"/>
  <c r="F20" i="7" s="1"/>
  <c r="F19" i="7" s="1"/>
  <c r="O22" i="7" a="1"/>
  <c r="O22" i="7" s="1"/>
  <c r="O20" i="7" s="1"/>
  <c r="O19" i="7" s="1"/>
  <c r="U22" i="7" a="1"/>
  <c r="U22" i="7" s="1"/>
  <c r="U20" i="7" s="1"/>
  <c r="U19" i="7" s="1"/>
  <c r="AK22" i="7" a="1"/>
  <c r="AK22" i="7" s="1"/>
  <c r="AK20" i="7" s="1"/>
  <c r="AK19" i="7" s="1"/>
  <c r="Q22" i="7" a="1"/>
  <c r="Q22" i="7" s="1"/>
  <c r="Q20" i="7" s="1"/>
  <c r="Q19" i="7" s="1"/>
  <c r="AW22" i="7" a="1"/>
  <c r="AW22" i="7" s="1"/>
  <c r="AW20" i="7" s="1"/>
  <c r="AW19" i="7" s="1"/>
  <c r="AI22" i="7" a="1"/>
  <c r="AI22" i="7" s="1"/>
  <c r="AI20" i="7" s="1"/>
  <c r="AI19" i="7" s="1"/>
  <c r="AZ22" i="7" a="1"/>
  <c r="AZ22" i="7" s="1"/>
  <c r="AZ20" i="7" s="1"/>
  <c r="AZ19" i="7" s="1"/>
  <c r="M22" i="7" a="1"/>
  <c r="M22" i="7" s="1"/>
  <c r="M20" i="7" s="1"/>
  <c r="M19" i="7" s="1"/>
  <c r="AY22" i="7" a="1"/>
  <c r="AY22" i="7" s="1"/>
  <c r="AY20" i="7" s="1"/>
  <c r="AY19" i="7" s="1"/>
  <c r="BB22" i="7" a="1"/>
  <c r="BB22" i="7" s="1"/>
  <c r="BB20" i="7" s="1"/>
  <c r="BB19" i="7" s="1"/>
  <c r="BA22" i="7" a="1"/>
  <c r="BA22" i="7" s="1"/>
  <c r="BA20" i="7" s="1"/>
  <c r="BA19" i="7" s="1"/>
  <c r="BE22" i="7" a="1"/>
  <c r="BE22" i="7" s="1"/>
  <c r="BE20" i="7" s="1"/>
  <c r="BE19" i="7" s="1"/>
  <c r="BD22" i="7" a="1"/>
  <c r="BD22" i="7" s="1"/>
  <c r="BD20" i="7" s="1"/>
  <c r="BD19" i="7" s="1"/>
  <c r="BC22" i="7" a="1"/>
  <c r="BC22" i="7" s="1"/>
  <c r="BC20" i="7" s="1"/>
  <c r="BC19" i="7" s="1"/>
  <c r="BI22" i="7" a="1"/>
  <c r="BI22" i="7" s="1"/>
  <c r="BI20" i="7" s="1"/>
  <c r="BI19" i="7" s="1"/>
  <c r="BF22" i="7" a="1"/>
  <c r="BF22" i="7" s="1"/>
  <c r="BF20" i="7" s="1"/>
  <c r="BF19" i="7" s="1"/>
  <c r="BG22" i="7" a="1"/>
  <c r="BG22" i="7" s="1"/>
  <c r="BG20" i="7" s="1"/>
  <c r="BG19" i="7" s="1"/>
  <c r="BH22" i="7" a="1"/>
  <c r="BH22" i="7" s="1"/>
  <c r="BH20" i="7" s="1"/>
  <c r="BH19" i="7" s="1"/>
  <c r="F21" i="6"/>
  <c r="D21" i="6" s="1"/>
  <c r="D23" i="6"/>
  <c r="U18" i="4"/>
  <c r="T18" i="4"/>
  <c r="N23" i="4"/>
  <c r="F20" i="6"/>
  <c r="D20" i="6" s="1"/>
  <c r="D29" i="6"/>
  <c r="D22" i="6"/>
  <c r="P32" i="6"/>
  <c r="F28" i="6"/>
  <c r="D28" i="6" s="1"/>
  <c r="D25" i="6"/>
  <c r="BM177" i="5"/>
  <c r="BM175" i="5"/>
  <c r="BM176" i="5"/>
  <c r="AL9" i="7" a="1"/>
  <c r="AL9" i="7" s="1"/>
  <c r="AQ9" i="7" a="1"/>
  <c r="AQ9" i="7" s="1"/>
  <c r="AO9" i="7" a="1"/>
  <c r="AO9" i="7" s="1"/>
  <c r="AN9" i="7" a="1"/>
  <c r="AN9" i="7" s="1"/>
  <c r="AA9" i="7" a="1"/>
  <c r="AA9" i="7" s="1"/>
  <c r="L9" i="7" a="1"/>
  <c r="L9" i="7" s="1"/>
  <c r="D9" i="7" a="1"/>
  <c r="D9" i="7" s="1"/>
  <c r="O9" i="7" a="1"/>
  <c r="O9" i="7" s="1"/>
  <c r="AP9" i="7" a="1"/>
  <c r="AP9" i="7" s="1"/>
  <c r="H9" i="7" a="1"/>
  <c r="H9" i="7" s="1"/>
  <c r="AU9" i="7" a="1"/>
  <c r="AU9" i="7" s="1"/>
  <c r="M9" i="7" a="1"/>
  <c r="M9" i="7" s="1"/>
  <c r="S9" i="7" a="1"/>
  <c r="S9" i="7" s="1"/>
  <c r="AJ9" i="7" a="1"/>
  <c r="AJ9" i="7" s="1"/>
  <c r="AE9" i="7" a="1"/>
  <c r="AE9" i="7" s="1"/>
  <c r="P9" i="7" a="1"/>
  <c r="P9" i="7" s="1"/>
  <c r="T9" i="7" a="1"/>
  <c r="T9" i="7" s="1"/>
  <c r="V9" i="7" a="1"/>
  <c r="V9" i="7" s="1"/>
  <c r="AD9" i="7" a="1"/>
  <c r="AD9" i="7" s="1"/>
  <c r="E9" i="7" a="1"/>
  <c r="E9" i="7" s="1"/>
  <c r="K9" i="7" a="1"/>
  <c r="K9" i="7" s="1"/>
  <c r="C9" i="7" a="1"/>
  <c r="C9" i="7" s="1"/>
  <c r="AR9" i="7" a="1"/>
  <c r="AR9" i="7" s="1"/>
  <c r="AG9" i="7" a="1"/>
  <c r="AG9" i="7" s="1"/>
  <c r="AS9" i="7" a="1"/>
  <c r="AS9" i="7" s="1"/>
  <c r="AC9" i="7" a="1"/>
  <c r="AC9" i="7" s="1"/>
  <c r="I9" i="7" a="1"/>
  <c r="I9" i="7" s="1"/>
  <c r="F9" i="7" a="1"/>
  <c r="F9" i="7" s="1"/>
  <c r="AF9" i="7" a="1"/>
  <c r="AF9" i="7" s="1"/>
  <c r="Z9" i="7" a="1"/>
  <c r="Z9" i="7" s="1"/>
  <c r="AH9" i="7" a="1"/>
  <c r="AH9" i="7" s="1"/>
  <c r="Q9" i="7" a="1"/>
  <c r="Q9" i="7" s="1"/>
  <c r="AT9" i="7" a="1"/>
  <c r="AT9" i="7" s="1"/>
  <c r="N9" i="7" a="1"/>
  <c r="N9" i="7" s="1"/>
  <c r="AM9" i="7" a="1"/>
  <c r="AM9" i="7" s="1"/>
  <c r="U9" i="7" a="1"/>
  <c r="U9" i="7" s="1"/>
  <c r="R9" i="7" a="1"/>
  <c r="R9" i="7" s="1"/>
  <c r="AB9" i="7" a="1"/>
  <c r="AB9" i="7" s="1"/>
  <c r="AV9" i="7" a="1"/>
  <c r="AV9" i="7" s="1"/>
  <c r="J9" i="7" a="1"/>
  <c r="J9" i="7" s="1"/>
  <c r="AI9" i="7" a="1"/>
  <c r="AI9" i="7" s="1"/>
  <c r="AK9" i="7" a="1"/>
  <c r="AK9" i="7" s="1"/>
  <c r="B9" i="7" a="1"/>
  <c r="B9" i="7" s="1"/>
  <c r="X9" i="7" a="1"/>
  <c r="X9" i="7" s="1"/>
  <c r="G9" i="7" a="1"/>
  <c r="G9" i="7" s="1"/>
  <c r="AW9" i="7" a="1"/>
  <c r="AW9" i="7" s="1"/>
  <c r="Y9" i="7" a="1"/>
  <c r="Y9" i="7" s="1"/>
  <c r="W9" i="7" a="1"/>
  <c r="W9" i="7" s="1"/>
  <c r="AX9" i="7" a="1"/>
  <c r="AX9" i="7" s="1"/>
  <c r="AY9" i="7" a="1"/>
  <c r="AY9" i="7" s="1"/>
  <c r="BC9" i="7" a="1"/>
  <c r="BC9" i="7" s="1"/>
  <c r="AZ9" i="7" a="1"/>
  <c r="AZ9" i="7" s="1"/>
  <c r="BB9" i="7" a="1"/>
  <c r="BB9" i="7" s="1"/>
  <c r="BA9" i="7" a="1"/>
  <c r="BA9" i="7" s="1"/>
  <c r="BD9" i="7" a="1"/>
  <c r="BD9" i="7" s="1"/>
  <c r="BE9" i="7" a="1"/>
  <c r="BE9" i="7" s="1"/>
  <c r="BH9" i="7" a="1"/>
  <c r="BH9" i="7" s="1"/>
  <c r="BF9" i="7" a="1"/>
  <c r="BF9" i="7" s="1"/>
  <c r="BG9" i="7" a="1"/>
  <c r="BG9" i="7" s="1"/>
  <c r="BI9" i="7" a="1"/>
  <c r="BI9" i="7" s="1"/>
  <c r="F10" i="7" l="1"/>
  <c r="BG10" i="7"/>
  <c r="N10" i="7"/>
  <c r="H19" i="6"/>
  <c r="H32" i="6" s="1"/>
  <c r="AI10" i="7"/>
  <c r="AL10" i="7"/>
  <c r="L19" i="6"/>
  <c r="BB33" i="7"/>
  <c r="BB10" i="7"/>
  <c r="G33" i="7"/>
  <c r="G10" i="7"/>
  <c r="R10" i="7"/>
  <c r="AF10" i="7"/>
  <c r="K33" i="7"/>
  <c r="K10" i="7"/>
  <c r="S33" i="7"/>
  <c r="S10" i="7"/>
  <c r="AA10" i="7"/>
  <c r="E10" i="7"/>
  <c r="E33" i="7"/>
  <c r="Z20" i="7"/>
  <c r="Z19" i="7" s="1"/>
  <c r="J24" i="6" s="1"/>
  <c r="J26" i="6"/>
  <c r="F26" i="6"/>
  <c r="B20" i="7"/>
  <c r="B19" i="7" s="1"/>
  <c r="F24" i="6" s="1"/>
  <c r="U10" i="7"/>
  <c r="AD10" i="7"/>
  <c r="BI33" i="7"/>
  <c r="BI10" i="7"/>
  <c r="I33" i="7"/>
  <c r="I10" i="7"/>
  <c r="AS10" i="7"/>
  <c r="AM10" i="7"/>
  <c r="BF33" i="7"/>
  <c r="BF10" i="7"/>
  <c r="AC33" i="7"/>
  <c r="AC10" i="7"/>
  <c r="AQ10" i="7"/>
  <c r="BH10" i="7"/>
  <c r="AP10" i="7"/>
  <c r="BE33" i="7"/>
  <c r="BE10" i="7"/>
  <c r="Q10" i="7"/>
  <c r="AG10" i="7"/>
  <c r="P10" i="7"/>
  <c r="O33" i="7"/>
  <c r="O10" i="7"/>
  <c r="AX20" i="7"/>
  <c r="AX19" i="7" s="1"/>
  <c r="N24" i="6" s="1"/>
  <c r="N26" i="6"/>
  <c r="X10" i="7"/>
  <c r="AN10" i="7"/>
  <c r="B33" i="7"/>
  <c r="B10" i="7"/>
  <c r="F19" i="6"/>
  <c r="AO10" i="7"/>
  <c r="AK10" i="7"/>
  <c r="AK33" i="7"/>
  <c r="H33" i="7"/>
  <c r="H10" i="7"/>
  <c r="AX10" i="7"/>
  <c r="N19" i="6"/>
  <c r="N32" i="6" s="1"/>
  <c r="T10" i="7"/>
  <c r="J33" i="7"/>
  <c r="J10" i="7"/>
  <c r="Y33" i="7"/>
  <c r="Y10" i="7"/>
  <c r="AV10" i="7"/>
  <c r="AH10" i="7"/>
  <c r="AR33" i="7"/>
  <c r="AR10" i="7"/>
  <c r="AE33" i="7"/>
  <c r="AE10" i="7"/>
  <c r="D10" i="7"/>
  <c r="T23" i="4"/>
  <c r="N24" i="4"/>
  <c r="U23" i="4"/>
  <c r="AL20" i="7"/>
  <c r="AL19" i="7" s="1"/>
  <c r="L24" i="6" s="1"/>
  <c r="L26" i="6"/>
  <c r="AZ10" i="7"/>
  <c r="M10" i="7"/>
  <c r="BC10" i="7"/>
  <c r="AU33" i="7"/>
  <c r="AU10" i="7"/>
  <c r="AY10" i="7"/>
  <c r="V10" i="7"/>
  <c r="AT33" i="7"/>
  <c r="AT10" i="7"/>
  <c r="W33" i="7"/>
  <c r="W10" i="7"/>
  <c r="BD10" i="7"/>
  <c r="BA10" i="7"/>
  <c r="AW33" i="7"/>
  <c r="AW10" i="7"/>
  <c r="AB33" i="7"/>
  <c r="AB10" i="7"/>
  <c r="Z10" i="7"/>
  <c r="J19" i="6"/>
  <c r="C10" i="7"/>
  <c r="AJ33" i="7"/>
  <c r="AJ10" i="7"/>
  <c r="L33" i="7"/>
  <c r="L10" i="7"/>
  <c r="AW32" i="7" a="1"/>
  <c r="AW32" i="7" s="1"/>
  <c r="AM32" i="7" a="1"/>
  <c r="AM32" i="7" s="1"/>
  <c r="AM33" i="7" s="1"/>
  <c r="AS32" i="7" a="1"/>
  <c r="AS32" i="7" s="1"/>
  <c r="AS33" i="7" s="1"/>
  <c r="AO32" i="7" a="1"/>
  <c r="AO32" i="7" s="1"/>
  <c r="AO33" i="7" s="1"/>
  <c r="AU32" i="7" a="1"/>
  <c r="AU32" i="7" s="1"/>
  <c r="AL32" i="7" a="1"/>
  <c r="AL32" i="7" s="1"/>
  <c r="AV32" i="7" a="1"/>
  <c r="AV32" i="7" s="1"/>
  <c r="AV33" i="7" s="1"/>
  <c r="AR32" i="7" a="1"/>
  <c r="AR32" i="7" s="1"/>
  <c r="AT32" i="7" a="1"/>
  <c r="AT32" i="7" s="1"/>
  <c r="AG32" i="7" a="1"/>
  <c r="AG32" i="7" s="1"/>
  <c r="AG33" i="7" s="1"/>
  <c r="AF32" i="7" a="1"/>
  <c r="AF32" i="7" s="1"/>
  <c r="AF33" i="7" s="1"/>
  <c r="AC32" i="7" a="1"/>
  <c r="AC32" i="7" s="1"/>
  <c r="N32" i="7" a="1"/>
  <c r="N32" i="7" s="1"/>
  <c r="Q32" i="7" a="1"/>
  <c r="Q32" i="7" s="1"/>
  <c r="Q33" i="7" s="1"/>
  <c r="X32" i="7" a="1"/>
  <c r="X32" i="7" s="1"/>
  <c r="X33" i="7" s="1"/>
  <c r="AX32" i="7" a="1"/>
  <c r="AX32" i="7" s="1"/>
  <c r="AQ32" i="7" a="1"/>
  <c r="AQ32" i="7" s="1"/>
  <c r="AQ33" i="7" s="1"/>
  <c r="Z32" i="7" a="1"/>
  <c r="Z32" i="7" s="1"/>
  <c r="H32" i="7" a="1"/>
  <c r="H32" i="7" s="1"/>
  <c r="O32" i="7" a="1"/>
  <c r="O32" i="7" s="1"/>
  <c r="BC32" i="7" a="1"/>
  <c r="BC32" i="7" s="1"/>
  <c r="BC33" i="7" s="1"/>
  <c r="V32" i="7" a="1"/>
  <c r="V32" i="7" s="1"/>
  <c r="V33" i="7" s="1"/>
  <c r="P32" i="7" a="1"/>
  <c r="P32" i="7" s="1"/>
  <c r="P33" i="7" s="1"/>
  <c r="AE32" i="7" a="1"/>
  <c r="AE32" i="7" s="1"/>
  <c r="S32" i="7" a="1"/>
  <c r="S32" i="7" s="1"/>
  <c r="U32" i="7" a="1"/>
  <c r="U32" i="7" s="1"/>
  <c r="U33" i="7" s="1"/>
  <c r="J32" i="7" a="1"/>
  <c r="J32" i="7" s="1"/>
  <c r="I32" i="7" a="1"/>
  <c r="I32" i="7" s="1"/>
  <c r="AN32" i="7" a="1"/>
  <c r="AN32" i="7" s="1"/>
  <c r="AN33" i="7" s="1"/>
  <c r="AP32" i="7" a="1"/>
  <c r="AP32" i="7" s="1"/>
  <c r="AP33" i="7" s="1"/>
  <c r="AY32" i="7" a="1"/>
  <c r="AY32" i="7" s="1"/>
  <c r="AY33" i="7" s="1"/>
  <c r="M32" i="7" a="1"/>
  <c r="M32" i="7" s="1"/>
  <c r="M33" i="7" s="1"/>
  <c r="R32" i="7" a="1"/>
  <c r="R32" i="7" s="1"/>
  <c r="R33" i="7" s="1"/>
  <c r="AJ32" i="7" a="1"/>
  <c r="AJ32" i="7" s="1"/>
  <c r="G32" i="7" a="1"/>
  <c r="G32" i="7" s="1"/>
  <c r="B32" i="7" a="1"/>
  <c r="B32" i="7" s="1"/>
  <c r="W32" i="7" a="1"/>
  <c r="W32" i="7" s="1"/>
  <c r="F32" i="7" a="1"/>
  <c r="F32" i="7" s="1"/>
  <c r="F33" i="7" s="1"/>
  <c r="BA32" i="7" a="1"/>
  <c r="BA32" i="7" s="1"/>
  <c r="BA33" i="7" s="1"/>
  <c r="AA32" i="7" a="1"/>
  <c r="AA32" i="7" s="1"/>
  <c r="AA33" i="7" s="1"/>
  <c r="AK32" i="7" a="1"/>
  <c r="AK32" i="7" s="1"/>
  <c r="C32" i="7" a="1"/>
  <c r="C32" i="7" s="1"/>
  <c r="C33" i="7" s="1"/>
  <c r="E32" i="7" a="1"/>
  <c r="E32" i="7" s="1"/>
  <c r="AB32" i="7" a="1"/>
  <c r="AB32" i="7" s="1"/>
  <c r="T32" i="7" a="1"/>
  <c r="T32" i="7" s="1"/>
  <c r="T33" i="7" s="1"/>
  <c r="L32" i="7" a="1"/>
  <c r="L32" i="7" s="1"/>
  <c r="D32" i="7" a="1"/>
  <c r="D32" i="7" s="1"/>
  <c r="D33" i="7" s="1"/>
  <c r="AI32" i="7" a="1"/>
  <c r="AI32" i="7" s="1"/>
  <c r="AI33" i="7" s="1"/>
  <c r="AH32" i="7" a="1"/>
  <c r="AH32" i="7" s="1"/>
  <c r="AH33" i="7" s="1"/>
  <c r="Y32" i="7" a="1"/>
  <c r="Y32" i="7" s="1"/>
  <c r="K32" i="7" a="1"/>
  <c r="K32" i="7" s="1"/>
  <c r="AD32" i="7" a="1"/>
  <c r="AD32" i="7" s="1"/>
  <c r="AD33" i="7" s="1"/>
  <c r="BD32" i="7" a="1"/>
  <c r="BD32" i="7" s="1"/>
  <c r="BD33" i="7" s="1"/>
  <c r="BG32" i="7" a="1"/>
  <c r="BG32" i="7" s="1"/>
  <c r="BG33" i="7" s="1"/>
  <c r="AZ32" i="7" a="1"/>
  <c r="AZ32" i="7" s="1"/>
  <c r="AZ33" i="7" s="1"/>
  <c r="BB32" i="7" a="1"/>
  <c r="BB32" i="7" s="1"/>
  <c r="BF32" i="7" a="1"/>
  <c r="BF32" i="7" s="1"/>
  <c r="BE32" i="7" a="1"/>
  <c r="BE32" i="7" s="1"/>
  <c r="BI32" i="7" a="1"/>
  <c r="BI32" i="7" s="1"/>
  <c r="BH32" i="7" a="1"/>
  <c r="BH32" i="7" s="1"/>
  <c r="BH33" i="7" s="1"/>
  <c r="N20" i="7"/>
  <c r="N19" i="7" s="1"/>
  <c r="H24" i="6" s="1"/>
  <c r="H26" i="6"/>
  <c r="N31" i="6" l="1"/>
  <c r="Z33" i="7"/>
  <c r="AX33" i="7"/>
  <c r="D24" i="6"/>
  <c r="L32" i="6"/>
  <c r="H31" i="6"/>
  <c r="T24" i="4"/>
  <c r="U24" i="4"/>
  <c r="D26" i="6"/>
  <c r="J31" i="6"/>
  <c r="J32" i="6"/>
  <c r="AL33" i="7"/>
  <c r="L31" i="6"/>
  <c r="N33" i="7"/>
  <c r="F31" i="6"/>
  <c r="D31" i="6" s="1"/>
  <c r="D19" i="6"/>
  <c r="D32" i="6" s="1"/>
  <c r="F3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<sst xmlns="http://schemas.openxmlformats.org/spreadsheetml/2006/main" count="732" uniqueCount="403">
  <si>
    <t>SAP MODEL - OVERDRAFT</t>
  </si>
  <si>
    <t>KHN</t>
  </si>
  <si>
    <t>v5</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</si>
  <si>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</si>
  <si>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</si>
  <si>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</si>
  <si>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</si>
  <si>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</si>
  <si>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</si>
  <si>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thời điểm, do đó kết quả của mô hình có thể có sự khác biệt so với thực tế vận hành sản phẩm.</t>
  </si>
  <si>
    <t>- Mô hình SAP Overdraft tính hiệu quả dự kiến của 1 tài khoản Overdraft mở trong kỳ hoạt động 12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</si>
  <si>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</si>
  <si>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</si>
  <si>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</si>
  <si>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</si>
  <si>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</si>
  <si>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</si>
  <si>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</si>
  <si>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</si>
  <si>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</si>
  <si>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</si>
  <si>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</si>
  <si>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</si>
  <si>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</si>
  <si>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</si>
  <si>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</si>
  <si>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</si>
  <si>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</si>
  <si>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</si>
  <si>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</si>
  <si>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</si>
  <si>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</si>
  <si>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</si>
  <si>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</si>
  <si>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</si>
  <si>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</si>
  <si>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</si>
  <si>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</si>
  <si>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Average active balance</t>
  </si>
  <si>
    <t>Trung bình dư nợ/1 tài khoản có dư nợ/ngày</t>
  </si>
  <si>
    <t>=toàn bộ dư nợ theo từng ngày của toàn bộ tài khoản có dư nợ/(số ngày có dư nợ * số tài khoản có dư nợ theo từng ngày).</t>
  </si>
  <si>
    <t>Payment Method</t>
  </si>
  <si>
    <t>Phương pháp tính lãi</t>
  </si>
  <si>
    <t>Bullet payment- hàng tháng trả lãi, cuối kỳ trả gốc</t>
  </si>
  <si>
    <t>Nominal Tenor</t>
  </si>
  <si>
    <t>Thời hạn vay trung bình (active)</t>
  </si>
  <si>
    <t>Thời hạn trung bình giữ dư nợ của 1 khoản vay active</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</si>
  <si>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</si>
  <si>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</si>
  <si>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</si>
  <si>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</si>
  <si>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</si>
  <si>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</si>
  <si>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</si>
  <si>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</si>
  <si>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</si>
  <si>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</si>
  <si>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</si>
  <si>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</si>
  <si>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</si>
  <si>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</si>
  <si>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</si>
  <si>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</si>
  <si>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Monthly fee</t>
  </si>
  <si>
    <t>Phí hàng tháng</t>
  </si>
  <si>
    <t>Loan grant fee</t>
  </si>
  <si>
    <t>Phí mở tài khoản</t>
  </si>
  <si>
    <t>COST INPUT</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</si>
  <si>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</si>
  <si>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</si>
  <si>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</si>
  <si>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</si>
  <si>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</si>
  <si>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</si>
  <si>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</si>
  <si>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</si>
  <si>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</si>
  <si>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</si>
  <si>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</si>
  <si>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</si>
  <si>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</si>
  <si>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</si>
  <si>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</si>
  <si>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</si>
  <si>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</si>
  <si>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</si>
  <si>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</si>
  <si>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</si>
  <si>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</si>
  <si>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</si>
  <si>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</si>
  <si>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</si>
  <si>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</si>
  <si>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</si>
  <si>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</si>
  <si>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</si>
  <si>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</si>
  <si>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</si>
  <si>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</si>
  <si>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</si>
  <si>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</si>
  <si>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</si>
  <si>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</si>
  <si>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</si>
  <si>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</si>
  <si>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</si>
  <si>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</si>
  <si>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</si>
  <si>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</si>
  <si>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</si>
  <si>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</si>
  <si>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</si>
  <si>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</si>
  <si>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</si>
  <si>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</si>
  <si>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</si>
  <si>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</si>
  <si>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</si>
  <si>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</si>
  <si>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</si>
  <si>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</si>
  <si>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</si>
  <si>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</si>
  <si>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</si>
  <si>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</si>
  <si>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</si>
  <si>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</si>
  <si>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</si>
  <si>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PD</t>
  </si>
  <si>
    <t>Percentage of debt (tỉ lệ vỡ nợ)</t>
  </si>
  <si>
    <t>Pro. Rate</t>
  </si>
  <si>
    <t>Tỉ lệ vỡ nợ đã điều chỉnh thu hồi nợ</t>
  </si>
  <si>
    <t>Recovery rate</t>
  </si>
  <si>
    <t>Tỉ lệ thu hồi nợ sau WO</t>
  </si>
  <si>
    <t>Hiện tại chưa đủ dữ liệu tính nên để =0</t>
  </si>
  <si>
    <t>Write-off mode</t>
  </si>
  <si>
    <t>Provision mode</t>
  </si>
  <si>
    <t>DPD360+</t>
  </si>
  <si>
    <t>IFRS</t>
  </si>
  <si>
    <t>DPD180+</t>
  </si>
  <si>
    <t>VAS</t>
  </si>
  <si>
    <t>Mapping</t>
  </si>
  <si>
    <t>Value</t>
  </si>
  <si>
    <t>AVG Ticket size</t>
  </si>
  <si>
    <t>AVG Tenor</t>
  </si>
  <si>
    <t>Limit fee</t>
  </si>
  <si>
    <t>UW</t>
  </si>
  <si>
    <t>Disburse cost</t>
  </si>
  <si>
    <t>Aprroval rate</t>
  </si>
  <si>
    <t>Signed rate</t>
  </si>
  <si>
    <t>Collection</t>
  </si>
  <si>
    <t>SMS</t>
  </si>
  <si>
    <t>Direct HR cost</t>
  </si>
  <si>
    <t>Indirect HR cost</t>
  </si>
  <si>
    <t>Indirect system cost</t>
  </si>
  <si>
    <t>Other indirect supporting cost</t>
  </si>
  <si>
    <t>%Attrition</t>
  </si>
  <si>
    <t>Group</t>
  </si>
  <si>
    <t>Partner</t>
  </si>
  <si>
    <t>Product</t>
  </si>
  <si>
    <t>Sub Product</t>
  </si>
  <si>
    <t>Index</t>
  </si>
  <si>
    <t>Period</t>
  </si>
  <si>
    <t>Insurance rate</t>
  </si>
  <si>
    <t>Insurance penetration</t>
  </si>
  <si>
    <t>MKT</t>
  </si>
  <si>
    <t>Leadgen</t>
  </si>
  <si>
    <t>Sharing</t>
  </si>
  <si>
    <t>Q1</t>
  </si>
  <si>
    <t>Q2</t>
  </si>
  <si>
    <t>Q3</t>
  </si>
  <si>
    <t>Q4</t>
  </si>
  <si>
    <t>UPL</t>
  </si>
  <si>
    <t>Cake</t>
  </si>
  <si>
    <t>Overdraft</t>
  </si>
  <si>
    <t>Cake_Overdraft</t>
  </si>
  <si>
    <t>SAP OVERDRAFT MODEL</t>
  </si>
  <si>
    <t>Sub-Product</t>
  </si>
  <si>
    <t>All</t>
  </si>
  <si>
    <t>ALL</t>
  </si>
  <si>
    <t>Sub-Segments</t>
  </si>
  <si>
    <t>Time</t>
  </si>
  <si>
    <t>Cur: mVND</t>
  </si>
  <si>
    <t>GENERAL OUTPUT</t>
  </si>
  <si>
    <t>Life time</t>
  </si>
  <si>
    <t>Year 1</t>
  </si>
  <si>
    <t>Year 2</t>
  </si>
  <si>
    <t>Year 3</t>
  </si>
  <si>
    <t>Year 4</t>
  </si>
  <si>
    <t>Year 5</t>
  </si>
  <si>
    <t>% ANR</t>
  </si>
  <si>
    <t>% Disbursement</t>
  </si>
  <si>
    <t>Bullet payment</t>
  </si>
  <si>
    <t>ANR</t>
  </si>
  <si>
    <t>Active time (=&lt; 12m)</t>
  </si>
  <si>
    <t>TOI</t>
  </si>
  <si>
    <t>Net interest income</t>
  </si>
  <si>
    <t>Net fee income</t>
  </si>
  <si>
    <t>Other income</t>
  </si>
  <si>
    <t>From</t>
  </si>
  <si>
    <t>To</t>
  </si>
  <si>
    <t>PROVISION</t>
  </si>
  <si>
    <t>Indue</t>
  </si>
  <si>
    <t>OPEX</t>
  </si>
  <si>
    <t>Overdue</t>
  </si>
  <si>
    <t>UW &amp; Disbursal</t>
  </si>
  <si>
    <t>Collection &amp; aftersale service</t>
  </si>
  <si>
    <t>Support unit</t>
  </si>
  <si>
    <t>PBT</t>
  </si>
  <si>
    <r>
      <rPr>
        <i/>
        <sz val="8"/>
        <color theme="1" tint="0.14999847407452621"/>
        <rFont val="Arial"/>
        <family val="2"/>
      </rPr>
      <t>In which:</t>
    </r>
    <r>
      <rPr>
        <sz val="8"/>
        <color theme="1" tint="0.14999847407452621"/>
        <rFont val="Arial"/>
        <family val="2"/>
      </rPr>
      <t xml:space="preserve"> PROFIT BEFORE SU</t>
    </r>
  </si>
  <si>
    <t>Early prepayment</t>
  </si>
  <si>
    <t>Penalty fee</t>
  </si>
  <si>
    <t>Penalty IR</t>
  </si>
  <si>
    <t>Not Active rate</t>
  </si>
  <si>
    <t>per cohort</t>
  </si>
  <si>
    <t>Attrition rate</t>
  </si>
  <si>
    <t>PERFORMANCE OUTPUT</t>
  </si>
  <si>
    <t>per active account/month</t>
  </si>
  <si>
    <t>Interest income</t>
  </si>
  <si>
    <t>per account</t>
  </si>
  <si>
    <t>Cost of fund</t>
  </si>
  <si>
    <t>Early termination fee</t>
  </si>
  <si>
    <t>% per month</t>
  </si>
  <si>
    <t>Support fee</t>
  </si>
  <si>
    <t>Auto MODE</t>
  </si>
  <si>
    <t>Lead Acquisition</t>
  </si>
  <si>
    <t>Adjust MODE</t>
  </si>
  <si>
    <t>Sharing performance</t>
  </si>
  <si>
    <t>Marketing</t>
  </si>
  <si>
    <t>Underwriting</t>
  </si>
  <si>
    <t>Disbursement</t>
  </si>
  <si>
    <t>Collection &amp; after sale service</t>
  </si>
  <si>
    <t>Early collections</t>
  </si>
  <si>
    <t>AMC</t>
  </si>
  <si>
    <t>per ticketsize</t>
  </si>
  <si>
    <t>Supporting Units</t>
  </si>
  <si>
    <t>Indiect HR</t>
  </si>
  <si>
    <t>Other support units</t>
  </si>
  <si>
    <t>of application</t>
  </si>
  <si>
    <t>of account</t>
  </si>
  <si>
    <t>of submitted application</t>
  </si>
  <si>
    <t>of aproved application</t>
  </si>
  <si>
    <t>Inflation</t>
  </si>
  <si>
    <t>Incentive</t>
  </si>
  <si>
    <t>per account/month</t>
  </si>
  <si>
    <t>Sale team</t>
  </si>
  <si>
    <t>Collections_B1+</t>
  </si>
  <si>
    <t>Sale Mgt</t>
  </si>
  <si>
    <t>AMC_principal collected</t>
  </si>
  <si>
    <t>per 1mVND collected amount</t>
  </si>
  <si>
    <t>MA</t>
  </si>
  <si>
    <t>AMC_interest collected</t>
  </si>
  <si>
    <t>AMC_penalty collected</t>
  </si>
  <si>
    <t>CPCUW</t>
  </si>
  <si>
    <t>CPCUW_SCORE</t>
  </si>
  <si>
    <t>CPCCA</t>
  </si>
  <si>
    <t>Net flow</t>
  </si>
  <si>
    <t>Nor_month</t>
  </si>
  <si>
    <t>Lastmonth</t>
  </si>
  <si>
    <t>AMC_PR</t>
  </si>
  <si>
    <t>B0 - B1</t>
  </si>
  <si>
    <t>B1 - B2</t>
  </si>
  <si>
    <t>B2 - B3</t>
  </si>
  <si>
    <t>B3 - B4</t>
  </si>
  <si>
    <t>B4 - B5</t>
  </si>
  <si>
    <t>B5 - B6</t>
  </si>
  <si>
    <t>B6 - B7</t>
  </si>
  <si>
    <t>B7 - B8</t>
  </si>
  <si>
    <t>B8 - B9</t>
  </si>
  <si>
    <t>B9 - B10</t>
  </si>
  <si>
    <t>B10 - B11</t>
  </si>
  <si>
    <t>B11 - B12</t>
  </si>
  <si>
    <t>B12 - B13</t>
  </si>
  <si>
    <t>B13-B24</t>
  </si>
  <si>
    <t>B25-B36</t>
  </si>
  <si>
    <t>B36+</t>
  </si>
  <si>
    <t>Risk cost/ANR active</t>
  </si>
  <si>
    <t>Riskcost/ANR</t>
  </si>
  <si>
    <t>B8- B12</t>
  </si>
  <si>
    <t>Recovery rate B13-B24</t>
  </si>
  <si>
    <t>Recovery rate B24-B36</t>
  </si>
  <si>
    <t>B24-B36</t>
  </si>
  <si>
    <t>Recovery rate B36+</t>
  </si>
  <si>
    <t>%B1A/B1</t>
  </si>
  <si>
    <t>SAP Speadsheet</t>
  </si>
  <si>
    <t>Method</t>
  </si>
  <si>
    <t>Oustanding tenor</t>
  </si>
  <si>
    <t>Last month on book</t>
  </si>
  <si>
    <t>Nominal Tenor + Maturity to Termination</t>
  </si>
  <si>
    <t>Balance</t>
  </si>
  <si>
    <t>Interest rate</t>
  </si>
  <si>
    <t>INR rate</t>
  </si>
  <si>
    <t>Input table</t>
  </si>
  <si>
    <t>COF rate (indue)</t>
  </si>
  <si>
    <t>COF rate(overdue)</t>
  </si>
  <si>
    <t>Prepayment Penalty</t>
  </si>
  <si>
    <t>BRM</t>
  </si>
  <si>
    <t>Account accumulated</t>
  </si>
  <si>
    <t>Tỉ lệ khoản vay còn tồn tại</t>
  </si>
  <si>
    <t>SBV</t>
  </si>
  <si>
    <t>Balance by Bucket/Group</t>
  </si>
  <si>
    <t>G1</t>
  </si>
  <si>
    <t>B0</t>
  </si>
  <si>
    <t>G2</t>
  </si>
  <si>
    <t>B1</t>
  </si>
  <si>
    <t>B2</t>
  </si>
  <si>
    <t>B3</t>
  </si>
  <si>
    <t>G3</t>
  </si>
  <si>
    <t>B4</t>
  </si>
  <si>
    <t>B5</t>
  </si>
  <si>
    <t>B6</t>
  </si>
  <si>
    <t>G4</t>
  </si>
  <si>
    <t>B7</t>
  </si>
  <si>
    <t>B8</t>
  </si>
  <si>
    <t>B9</t>
  </si>
  <si>
    <t>B10</t>
  </si>
  <si>
    <t>B11</t>
  </si>
  <si>
    <t>B12</t>
  </si>
  <si>
    <t>G5</t>
  </si>
  <si>
    <t>B13</t>
  </si>
  <si>
    <t>420+</t>
  </si>
  <si>
    <t>B14+</t>
  </si>
  <si>
    <t>ENR</t>
  </si>
  <si>
    <t>Total bank</t>
  </si>
  <si>
    <t>Outstanding balance</t>
  </si>
  <si>
    <t>Writeoff balance</t>
  </si>
  <si>
    <t>Outstanding Bal/TB</t>
  </si>
  <si>
    <t>Average Balance Projected ENR (t and t-1)</t>
  </si>
  <si>
    <t>ANR for CII (B0+B1A)</t>
  </si>
  <si>
    <t>Average Balance B0 only (t and t-1)</t>
  </si>
  <si>
    <t>Performance</t>
  </si>
  <si>
    <t>Total Prepayment AMT * Eff.prepayment penalty rate</t>
  </si>
  <si>
    <t>Other Income</t>
  </si>
  <si>
    <t>VARIABLE EXPENSES</t>
  </si>
  <si>
    <t>Lead Acquistion</t>
  </si>
  <si>
    <t>Sharing Performance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</si>
  <si>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</si>
  <si>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</si>
  <si>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</si>
  <si>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</si>
  <si>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</si>
  <si>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</si>
  <si>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</si>
  <si>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</si>
  <si>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</si>
  <si>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</si>
  <si>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</si>
  <si>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</si>
  <si>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</si>
  <si>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</si>
  <si>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</si>
  <si>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</si>
  <si>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</si>
  <si>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</si>
  <si>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</si>
  <si>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</si>
  <si>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</si>
  <si>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</si>
  <si>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</si>
  <si>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</si>
  <si>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</si>
  <si>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</si>
  <si>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</si>
  <si>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</si>
  <si>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</si>
  <si>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</si>
  <si>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</si>
  <si>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</si>
  <si>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</si>
  <si>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</si>
  <si>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</si>
  <si>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</si>
  <si>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</si>
  <si>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</si>
  <si>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</si>
  <si>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</si>
  <si>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</si>
  <si>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Account</t>
  </si>
  <si>
    <t>II.</t>
  </si>
  <si>
    <t>PROFIT &amp; LOSS</t>
  </si>
  <si>
    <t>FISCAL YEAR</t>
  </si>
  <si>
    <t>Total</t>
  </si>
  <si>
    <t>bVND</t>
  </si>
  <si>
    <t>NEW ACC</t>
  </si>
  <si>
    <t>Monthly Acc</t>
  </si>
  <si>
    <t>EOP</t>
  </si>
  <si>
    <t>ADB</t>
  </si>
  <si>
    <t>NII</t>
  </si>
  <si>
    <t>NFI</t>
  </si>
  <si>
    <t>Other TOI</t>
  </si>
  <si>
    <t>Sales incentives</t>
  </si>
  <si>
    <t>After-sales services</t>
  </si>
  <si>
    <t>In which: PROFIT BEFORE SU</t>
  </si>
  <si>
    <t>PL PROJECTION</t>
  </si>
  <si>
    <t>60 months</t>
  </si>
  <si>
    <t>Month on board</t>
  </si>
  <si>
    <t>Unit: mVND</t>
  </si>
  <si>
    <t>Early termination income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</si>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</sst>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_);_(* \(#,##0\);_(* &quot;-&quot;??_);_(@_)"/>
    <numFmt numFmtId="165" formatCode="_-* #,##0.00\ _₫_-;\-* #,##0.00\ _₫_-;_-* &quot;-&quot;??\ _₫_-;_-@_-"/>
    <numFmt numFmtId="166" formatCode="_-* #,##0\ _₫_-;\-* #,##0\ _₫_-;_-* &quot;-&quot;??\ _₫_-;_-@_-"/>
    <numFmt numFmtId="167" formatCode="_(* #,##0.0_);_(* \(#,##0.0\);_(* &quot;-&quot;??_);_(@_)"/>
    <numFmt numFmtId="168" formatCode="0.0%"/>
    <numFmt numFmtId="169" formatCode="_(* #,##0.000_);_(* \(#,##0.000\);_(* &quot;-&quot;??_);_(@_)"/>
    <numFmt numFmtId="170" formatCode="_(* #,##0.0000_);_(* \(#,##0.0000\);_(* &quot;-&quot;??_);_(@_)"/>
    <numFmt numFmtId="171" formatCode="_(* #,##0.0000_);_(* \(#,##0.0000\);_(* &quot;-&quot;????_);_(@_)"/>
    <numFmt numFmtId="172" formatCode="[$-409]mmm\-yy;@"/>
    <numFmt numFmtId="173" formatCode="[$-409]dd\-mmm\-yy;@"/>
  </numFmts>
  <fonts count="88" x14ac:knownFonts="1">
    <font>
      <sz val="12"/>
      <color theme="1"/>
      <name val="Aptos Narrow"/>
      <family val="2"/>
      <scheme val="minor"/>
    </font>
    <font>
      <b/>
      <sz val="15"/>
      <color theme="3"/>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11"/>
      <color rgb="FFFF0000"/>
      <name val="Aptos Narrow"/>
      <family val="2"/>
      <scheme val="minor"/>
    </font>
    <font>
      <b/>
      <sz val="11"/>
      <color theme="1"/>
      <name val="Aptos Narrow"/>
      <family val="2"/>
      <scheme val="minor"/>
    </font>
    <font>
      <sz val="10"/>
      <color rgb="FF000000"/>
      <name val="Arial"/>
      <family val="2"/>
    </font>
    <font>
      <b/>
      <sz val="8"/>
      <color theme="1" tint="0.14999847407452621"/>
      <name val="Arial"/>
      <family val="2"/>
    </font>
    <font>
      <sz val="8"/>
      <color theme="1" tint="0.14999847407452621"/>
      <name val="Arial"/>
      <family val="2"/>
    </font>
    <font>
      <sz val="10"/>
      <color theme="1"/>
      <name val="Aptos Narrow"/>
      <family val="2"/>
      <scheme val="minor"/>
    </font>
    <font>
      <sz val="10"/>
      <color rgb="FF000000"/>
      <name val="Aptos Narrow"/>
      <family val="2"/>
      <scheme val="minor"/>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1" tint="0.499984740745262"/>
      <name val="Arial"/>
      <family val="2"/>
    </font>
    <font>
      <i/>
      <sz val="8"/>
      <color theme="3"/>
      <name val="Arial"/>
      <family val="2"/>
    </font>
    <font>
      <b/>
      <i/>
      <sz val="8"/>
      <color theme="1" tint="0.14999847407452621"/>
      <name val="Arial"/>
      <family val="2"/>
    </font>
    <font>
      <b/>
      <i/>
      <sz val="8"/>
      <color theme="3"/>
      <name val="Arial"/>
      <family val="2"/>
    </font>
    <font>
      <i/>
      <sz val="8"/>
      <color theme="1" tint="0.14999847407452621"/>
      <name val="Arial"/>
      <family val="2"/>
    </font>
    <font>
      <b/>
      <sz val="8"/>
      <color theme="0" tint="-0.34998626667073579"/>
      <name val="Arial"/>
      <family val="2"/>
    </font>
    <font>
      <i/>
      <sz val="8"/>
      <color theme="1"/>
      <name val="Arial"/>
      <family val="2"/>
    </font>
    <font>
      <sz val="8"/>
      <color rgb="FFFF0000"/>
      <name val="Arial"/>
      <family val="2"/>
    </font>
    <font>
      <i/>
      <sz val="8"/>
      <name val="Arial"/>
      <family val="2"/>
    </font>
    <font>
      <sz val="8"/>
      <color theme="0" tint="-0.34998626667073579"/>
      <name val="Arial"/>
      <family val="2"/>
    </font>
    <font>
      <sz val="8"/>
      <color theme="1"/>
      <name val="Arial"/>
      <family val="2"/>
    </font>
    <font>
      <i/>
      <sz val="8"/>
      <color rgb="FFFF0000"/>
      <name val="Arial"/>
      <family val="2"/>
    </font>
    <font>
      <b/>
      <sz val="8"/>
      <color rgb="FFFF0000"/>
      <name val="Arial"/>
      <family val="2"/>
    </font>
    <font>
      <b/>
      <sz val="9"/>
      <name val="Arial"/>
      <family val="2"/>
    </font>
    <font>
      <sz val="11"/>
      <color rgb="FF3F3F76"/>
      <name val="Aptos Narrow"/>
      <family val="2"/>
      <scheme val="minor"/>
    </font>
    <font>
      <sz val="9"/>
      <color theme="0"/>
      <name val="Arial"/>
      <family val="2"/>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theme="1" tint="0.34998626667073579"/>
      <name val="Arial"/>
      <family val="2"/>
    </font>
    <font>
      <i/>
      <sz val="10"/>
      <color theme="1"/>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1">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15">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00B05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2">
    <xf numFmtId="0" fontId="0" fillId="0" borderId="0"/>
    <xf numFmtId="0" fontId="2" fillId="0" borderId="0"/>
    <xf numFmtId="0" fontId="9" fillId="0" borderId="0"/>
    <xf numFmtId="0" fontId="9" fillId="0" borderId="0"/>
    <xf numFmtId="0" fontId="28"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5" fontId="2" fillId="0" borderId="0" applyFont="0" applyFill="0" applyBorder="0" applyAlignment="0" applyProtection="0"/>
    <xf numFmtId="9" fontId="2" fillId="0" borderId="0" applyFont="0" applyFill="0" applyBorder="0" applyAlignment="0" applyProtection="0"/>
    <xf numFmtId="0" fontId="68" fillId="2" borderId="2" applyNumberFormat="0" applyAlignment="0" applyProtection="0"/>
    <xf numFmtId="0" fontId="1" fillId="0" borderId="1" applyNumberFormat="0" applyFill="0" applyAlignment="0" applyProtection="0"/>
  </cellStyleXfs>
  <cellXfs count="339">
    <xf numFmtId="0" fontId="0" fillId="0" borderId="0" xfId="0"/>
    <xf numFmtId="0" fontId="3" fillId="0" borderId="0" xfId="1" applyFont="1"/>
    <xf numFmtId="0" fontId="4" fillId="0" borderId="0" xfId="1" applyFont="1"/>
    <xf numFmtId="0" fontId="5" fillId="0" borderId="0" xfId="1" applyFont="1"/>
    <xf numFmtId="0" fontId="6" fillId="0" borderId="0" xfId="1" applyFont="1" applyAlignment="1">
      <alignment vertical="center"/>
    </xf>
    <xf numFmtId="0" fontId="7" fillId="0" borderId="0" xfId="1" applyFont="1"/>
    <xf numFmtId="0" fontId="8" fillId="0" borderId="0" xfId="1" applyFont="1" applyAlignment="1">
      <alignment vertical="center"/>
    </xf>
    <xf numFmtId="0" fontId="4" fillId="0" borderId="0" xfId="2" quotePrefix="1" applyFont="1" applyAlignment="1">
      <alignment vertical="center"/>
    </xf>
    <xf numFmtId="0" fontId="4" fillId="0" borderId="0" xfId="2" applyFont="1"/>
    <xf numFmtId="0" fontId="11" fillId="0" borderId="0" xfId="1" applyFont="1"/>
    <xf numFmtId="0" fontId="11" fillId="0" borderId="0" xfId="2" quotePrefix="1" applyFont="1" applyAlignment="1">
      <alignment vertical="center"/>
    </xf>
    <xf numFmtId="0" fontId="4" fillId="3" borderId="0" xfId="2" quotePrefix="1" applyFont="1" applyFill="1" applyAlignment="1">
      <alignment vertical="center"/>
    </xf>
    <xf numFmtId="0" fontId="4" fillId="3" borderId="0" xfId="1" applyFont="1" applyFill="1"/>
    <xf numFmtId="0" fontId="4" fillId="0" borderId="0" xfId="2" quotePrefix="1" applyFont="1"/>
    <xf numFmtId="0" fontId="4" fillId="0" borderId="0" xfId="1" quotePrefix="1" applyFont="1"/>
    <xf numFmtId="0" fontId="4" fillId="0" borderId="0" xfId="2" applyFont="1" applyAlignment="1">
      <alignment vertical="center"/>
    </xf>
    <xf numFmtId="0" fontId="12" fillId="0" borderId="3" xfId="3" applyFont="1" applyBorder="1"/>
    <xf numFmtId="0" fontId="13" fillId="0" borderId="3" xfId="3" applyFont="1" applyBorder="1"/>
    <xf numFmtId="0" fontId="14" fillId="0" borderId="3" xfId="3" applyFont="1" applyBorder="1"/>
    <xf numFmtId="0" fontId="15" fillId="0" borderId="3" xfId="3" applyFont="1" applyBorder="1"/>
    <xf numFmtId="0" fontId="16" fillId="0" borderId="0" xfId="1" applyFont="1" applyAlignment="1">
      <alignment vertical="center"/>
    </xf>
    <xf numFmtId="0" fontId="10" fillId="0" borderId="0" xfId="1" applyFont="1"/>
    <xf numFmtId="0" fontId="10" fillId="0" borderId="0" xfId="2" applyFont="1"/>
    <xf numFmtId="0" fontId="16" fillId="0" borderId="0" xfId="1" applyFont="1"/>
    <xf numFmtId="0" fontId="17" fillId="0" borderId="0" xfId="3" applyFont="1"/>
    <xf numFmtId="0" fontId="18" fillId="0" borderId="0" xfId="2" applyFont="1"/>
    <xf numFmtId="0" fontId="19" fillId="0" borderId="0" xfId="1" applyFont="1"/>
    <xf numFmtId="0" fontId="18" fillId="0" borderId="0" xfId="1" applyFont="1"/>
    <xf numFmtId="0" fontId="20" fillId="0" borderId="0" xfId="1" applyFont="1"/>
    <xf numFmtId="0" fontId="12" fillId="0" borderId="0" xfId="3" applyFont="1"/>
    <xf numFmtId="0" fontId="21" fillId="0" borderId="0" xfId="3" applyFont="1"/>
    <xf numFmtId="0" fontId="22" fillId="0" borderId="0" xfId="1" applyFont="1"/>
    <xf numFmtId="0" fontId="22" fillId="0" borderId="0" xfId="2" applyFont="1"/>
    <xf numFmtId="0" fontId="23" fillId="0" borderId="0" xfId="1" applyFont="1"/>
    <xf numFmtId="0" fontId="20" fillId="0" borderId="0" xfId="1" quotePrefix="1" applyFont="1"/>
    <xf numFmtId="0" fontId="18" fillId="0" borderId="0" xfId="2" quotePrefix="1" applyFont="1" applyAlignment="1">
      <alignment vertical="center"/>
    </xf>
    <xf numFmtId="0" fontId="24" fillId="0" borderId="0" xfId="3" applyFont="1"/>
    <xf numFmtId="0" fontId="25" fillId="0" borderId="0" xfId="3" applyFont="1"/>
    <xf numFmtId="0" fontId="26" fillId="0" borderId="0" xfId="1" applyFont="1"/>
    <xf numFmtId="0" fontId="27" fillId="0" borderId="0" xfId="3" applyFont="1"/>
    <xf numFmtId="0" fontId="28" fillId="0" borderId="0" xfId="4" quotePrefix="1"/>
    <xf numFmtId="0" fontId="29" fillId="0" borderId="0" xfId="1" quotePrefix="1" applyFont="1"/>
    <xf numFmtId="0" fontId="30" fillId="0" borderId="3" xfId="3" applyFont="1" applyBorder="1"/>
    <xf numFmtId="0" fontId="24" fillId="0" borderId="3" xfId="3" applyFont="1" applyBorder="1"/>
    <xf numFmtId="0" fontId="31" fillId="0" borderId="3" xfId="3" applyFont="1" applyBorder="1"/>
    <xf numFmtId="0" fontId="24" fillId="0" borderId="0" xfId="3" applyFont="1" applyAlignment="1">
      <alignment horizontal="left" vertical="center"/>
    </xf>
    <xf numFmtId="0" fontId="32" fillId="0" borderId="0" xfId="3" applyFont="1"/>
    <xf numFmtId="0" fontId="33" fillId="0" borderId="0" xfId="3" applyFont="1"/>
    <xf numFmtId="0" fontId="9" fillId="0" borderId="0" xfId="3"/>
    <xf numFmtId="17" fontId="34" fillId="0" borderId="0" xfId="3" applyNumberFormat="1" applyFont="1"/>
    <xf numFmtId="0" fontId="35" fillId="0" borderId="0" xfId="3" applyFont="1"/>
    <xf numFmtId="0" fontId="36" fillId="0" borderId="0" xfId="3" applyFont="1"/>
    <xf numFmtId="0" fontId="37" fillId="0" borderId="4" xfId="3" applyFont="1" applyBorder="1" applyAlignment="1">
      <alignment horizontal="center" vertical="center" wrapText="1"/>
    </xf>
    <xf numFmtId="164" fontId="38" fillId="3" borderId="4" xfId="5" applyNumberFormat="1" applyFont="1" applyFill="1" applyBorder="1" applyAlignment="1">
      <alignment horizontal="right"/>
    </xf>
    <xf numFmtId="9" fontId="0" fillId="0" borderId="0" xfId="6" applyFont="1"/>
    <xf numFmtId="0" fontId="39" fillId="4" borderId="0" xfId="3" applyFont="1" applyFill="1" applyAlignment="1">
      <alignment vertical="center"/>
    </xf>
    <xf numFmtId="0" fontId="9" fillId="5" borderId="0" xfId="3" applyFill="1"/>
    <xf numFmtId="0" fontId="40" fillId="5" borderId="0" xfId="3" applyFont="1" applyFill="1"/>
    <xf numFmtId="0" fontId="38" fillId="0" borderId="0" xfId="3" applyFont="1"/>
    <xf numFmtId="0" fontId="41" fillId="0" borderId="0" xfId="3" applyFont="1"/>
    <xf numFmtId="0" fontId="42" fillId="0" borderId="0" xfId="3" applyFont="1"/>
    <xf numFmtId="0" fontId="43" fillId="0" borderId="0" xfId="3" applyFont="1"/>
    <xf numFmtId="0" fontId="44" fillId="0" borderId="0" xfId="3" applyFont="1"/>
    <xf numFmtId="0" fontId="45" fillId="0" borderId="0" xfId="3" applyFont="1"/>
    <xf numFmtId="43" fontId="43" fillId="0" borderId="0" xfId="5" applyFont="1" applyFill="1" applyBorder="1"/>
    <xf numFmtId="0" fontId="46" fillId="0" borderId="0" xfId="3" applyFont="1"/>
    <xf numFmtId="0" fontId="47" fillId="0" borderId="0" xfId="3" applyFont="1"/>
    <xf numFmtId="1" fontId="47" fillId="0" borderId="0" xfId="3" applyNumberFormat="1" applyFont="1"/>
    <xf numFmtId="10" fontId="47" fillId="0" borderId="0" xfId="7" applyNumberFormat="1" applyFont="1" applyFill="1" applyBorder="1"/>
    <xf numFmtId="43" fontId="47" fillId="0" borderId="0" xfId="5" applyFont="1" applyFill="1" applyBorder="1"/>
    <xf numFmtId="0" fontId="48" fillId="0" borderId="0" xfId="3" applyFont="1"/>
    <xf numFmtId="0" fontId="22" fillId="0" borderId="0" xfId="3" applyFont="1"/>
    <xf numFmtId="10" fontId="49" fillId="0" borderId="0" xfId="7" applyNumberFormat="1" applyFont="1" applyFill="1" applyBorder="1"/>
    <xf numFmtId="0" fontId="31" fillId="0" borderId="0" xfId="3" applyFont="1"/>
    <xf numFmtId="0" fontId="24" fillId="0" borderId="5" xfId="3" applyFont="1" applyBorder="1"/>
    <xf numFmtId="0" fontId="24" fillId="0" borderId="5" xfId="3" applyFont="1" applyBorder="1" applyAlignment="1">
      <alignment horizontal="right"/>
    </xf>
    <xf numFmtId="0" fontId="50" fillId="0" borderId="0" xfId="3" applyFont="1"/>
    <xf numFmtId="1" fontId="50" fillId="0" borderId="0" xfId="3" applyNumberFormat="1" applyFont="1"/>
    <xf numFmtId="0" fontId="24" fillId="0" borderId="6" xfId="3" applyFont="1" applyBorder="1" applyAlignment="1">
      <alignment horizontal="right"/>
    </xf>
    <xf numFmtId="0" fontId="30" fillId="0" borderId="0" xfId="3" applyFont="1"/>
    <xf numFmtId="0" fontId="24" fillId="0" borderId="6" xfId="3" applyFont="1" applyBorder="1"/>
    <xf numFmtId="17" fontId="24" fillId="0" borderId="6" xfId="3" applyNumberFormat="1" applyFont="1" applyBorder="1" applyAlignment="1">
      <alignment horizontal="right"/>
    </xf>
    <xf numFmtId="0" fontId="24" fillId="0" borderId="6" xfId="3" applyFont="1" applyBorder="1" applyAlignment="1">
      <alignment vertical="center"/>
    </xf>
    <xf numFmtId="0" fontId="51" fillId="0" borderId="0" xfId="3" applyFont="1" applyAlignment="1">
      <alignment horizontal="left"/>
    </xf>
    <xf numFmtId="165" fontId="21" fillId="0" borderId="0" xfId="8" applyFont="1" applyFill="1" applyBorder="1" applyAlignment="1">
      <alignment horizontal="left"/>
    </xf>
    <xf numFmtId="43" fontId="21" fillId="0" borderId="0" xfId="8" applyNumberFormat="1" applyFont="1" applyBorder="1" applyAlignment="1">
      <alignment horizontal="right"/>
    </xf>
    <xf numFmtId="10" fontId="21" fillId="0" borderId="0" xfId="9" applyNumberFormat="1" applyFont="1" applyBorder="1" applyAlignment="1">
      <alignment horizontal="right"/>
    </xf>
    <xf numFmtId="43" fontId="30" fillId="0" borderId="0" xfId="5" applyFont="1" applyFill="1" applyBorder="1"/>
    <xf numFmtId="166" fontId="52" fillId="0" borderId="0" xfId="8" applyNumberFormat="1" applyFont="1" applyBorder="1" applyAlignment="1">
      <alignment horizontal="right"/>
    </xf>
    <xf numFmtId="0" fontId="38" fillId="0" borderId="3" xfId="3" applyFont="1" applyBorder="1"/>
    <xf numFmtId="0" fontId="49" fillId="0" borderId="3" xfId="3" applyFont="1" applyBorder="1"/>
    <xf numFmtId="0" fontId="51" fillId="0" borderId="3" xfId="3" applyFont="1" applyBorder="1"/>
    <xf numFmtId="0" fontId="49" fillId="0" borderId="0" xfId="3" applyFont="1"/>
    <xf numFmtId="0" fontId="24" fillId="0" borderId="7" xfId="3" applyFont="1" applyBorder="1"/>
    <xf numFmtId="0" fontId="38" fillId="0" borderId="7" xfId="3" applyFont="1" applyBorder="1"/>
    <xf numFmtId="43" fontId="38" fillId="0" borderId="0" xfId="3" applyNumberFormat="1" applyFont="1"/>
    <xf numFmtId="43" fontId="49" fillId="0" borderId="0" xfId="5" applyFont="1" applyFill="1" applyBorder="1"/>
    <xf numFmtId="0" fontId="37" fillId="0" borderId="0" xfId="3" applyFont="1"/>
    <xf numFmtId="167" fontId="38" fillId="3" borderId="8" xfId="5" applyNumberFormat="1" applyFont="1" applyFill="1" applyBorder="1" applyAlignment="1">
      <alignment horizontal="right" wrapText="1"/>
    </xf>
    <xf numFmtId="43" fontId="38" fillId="0" borderId="0" xfId="5" applyFont="1" applyFill="1"/>
    <xf numFmtId="0" fontId="51" fillId="0" borderId="0" xfId="3" applyFont="1"/>
    <xf numFmtId="0" fontId="37" fillId="0" borderId="0" xfId="3" applyFont="1" applyAlignment="1">
      <alignment horizontal="center" vertical="center"/>
    </xf>
    <xf numFmtId="0" fontId="37" fillId="0" borderId="0" xfId="3" applyFont="1" applyAlignment="1">
      <alignment horizontal="right"/>
    </xf>
    <xf numFmtId="43" fontId="53" fillId="0" borderId="0" xfId="5" applyFont="1" applyFill="1" applyBorder="1"/>
    <xf numFmtId="164" fontId="37" fillId="0" borderId="8" xfId="5" applyNumberFormat="1" applyFont="1" applyFill="1" applyBorder="1" applyAlignment="1">
      <alignment horizontal="left"/>
    </xf>
    <xf numFmtId="164" fontId="38" fillId="0" borderId="0" xfId="5" applyNumberFormat="1" applyFont="1" applyFill="1"/>
    <xf numFmtId="43" fontId="37" fillId="0" borderId="9" xfId="5" applyFont="1" applyFill="1" applyBorder="1"/>
    <xf numFmtId="10" fontId="37" fillId="0" borderId="9" xfId="3" applyNumberFormat="1" applyFont="1" applyBorder="1"/>
    <xf numFmtId="168" fontId="37" fillId="0" borderId="9" xfId="7" applyNumberFormat="1" applyFont="1" applyFill="1" applyBorder="1"/>
    <xf numFmtId="0" fontId="38" fillId="3" borderId="8" xfId="3" applyFont="1" applyFill="1" applyBorder="1" applyAlignment="1">
      <alignment horizontal="right"/>
    </xf>
    <xf numFmtId="10" fontId="54" fillId="0" borderId="0" xfId="7" applyNumberFormat="1" applyFont="1" applyFill="1"/>
    <xf numFmtId="10" fontId="49" fillId="0" borderId="0" xfId="3" applyNumberFormat="1" applyFont="1"/>
    <xf numFmtId="43" fontId="49" fillId="0" borderId="0" xfId="7" applyNumberFormat="1" applyFont="1" applyFill="1"/>
    <xf numFmtId="0" fontId="38" fillId="0" borderId="0" xfId="3" applyFont="1" applyAlignment="1">
      <alignment wrapText="1"/>
    </xf>
    <xf numFmtId="10" fontId="37" fillId="0" borderId="9" xfId="7" applyNumberFormat="1" applyFont="1" applyFill="1" applyBorder="1"/>
    <xf numFmtId="164" fontId="38" fillId="3" borderId="8" xfId="5" applyNumberFormat="1" applyFont="1" applyFill="1" applyBorder="1" applyAlignment="1">
      <alignment horizontal="right"/>
    </xf>
    <xf numFmtId="1" fontId="38" fillId="0" borderId="0" xfId="3" applyNumberFormat="1" applyFont="1"/>
    <xf numFmtId="0" fontId="38" fillId="0" borderId="0" xfId="3" applyFont="1" applyAlignment="1">
      <alignment horizontal="left" indent="1"/>
    </xf>
    <xf numFmtId="43" fontId="38" fillId="0" borderId="9" xfId="5" applyFont="1" applyFill="1" applyBorder="1"/>
    <xf numFmtId="10" fontId="38" fillId="0" borderId="9" xfId="7" applyNumberFormat="1" applyFont="1" applyFill="1" applyBorder="1"/>
    <xf numFmtId="168" fontId="38" fillId="0" borderId="9" xfId="7" applyNumberFormat="1" applyFont="1" applyFill="1" applyBorder="1"/>
    <xf numFmtId="164" fontId="38" fillId="0" borderId="8" xfId="5" applyNumberFormat="1" applyFont="1" applyFill="1" applyBorder="1" applyAlignment="1">
      <alignment horizontal="right"/>
    </xf>
    <xf numFmtId="0" fontId="55" fillId="0" borderId="10" xfId="3" applyFont="1" applyBorder="1"/>
    <xf numFmtId="0" fontId="55" fillId="0" borderId="0" xfId="3" applyFont="1"/>
    <xf numFmtId="0" fontId="37" fillId="0" borderId="4" xfId="3" applyFont="1" applyBorder="1" applyAlignment="1">
      <alignment horizontal="right"/>
    </xf>
    <xf numFmtId="0" fontId="53" fillId="0" borderId="4" xfId="3" applyFont="1" applyBorder="1" applyAlignment="1">
      <alignment horizontal="right"/>
    </xf>
    <xf numFmtId="0" fontId="49" fillId="0" borderId="0" xfId="3" applyFont="1" applyAlignment="1">
      <alignment horizontal="left" vertical="center" indent="2"/>
    </xf>
    <xf numFmtId="0" fontId="38" fillId="3" borderId="4" xfId="3" applyFont="1" applyFill="1" applyBorder="1" applyAlignment="1">
      <alignment horizontal="right"/>
    </xf>
    <xf numFmtId="1" fontId="49" fillId="3" borderId="4" xfId="3" applyNumberFormat="1" applyFont="1" applyFill="1" applyBorder="1" applyAlignment="1">
      <alignment horizontal="right"/>
    </xf>
    <xf numFmtId="10" fontId="38" fillId="3" borderId="4" xfId="7" applyNumberFormat="1" applyFont="1" applyFill="1" applyBorder="1" applyAlignment="1">
      <alignment horizontal="right"/>
    </xf>
    <xf numFmtId="10" fontId="38" fillId="0" borderId="4" xfId="7" applyNumberFormat="1" applyFont="1" applyFill="1" applyBorder="1" applyAlignment="1">
      <alignment horizontal="right"/>
    </xf>
    <xf numFmtId="164" fontId="49" fillId="3" borderId="4" xfId="3" applyNumberFormat="1" applyFont="1" applyFill="1" applyBorder="1" applyAlignment="1">
      <alignment horizontal="right"/>
    </xf>
    <xf numFmtId="0" fontId="38" fillId="0" borderId="4" xfId="3" applyFont="1" applyBorder="1" applyAlignment="1">
      <alignment horizontal="right"/>
    </xf>
    <xf numFmtId="164" fontId="49" fillId="0" borderId="4" xfId="3" applyNumberFormat="1" applyFont="1" applyBorder="1" applyAlignment="1">
      <alignment horizontal="right"/>
    </xf>
    <xf numFmtId="43" fontId="38" fillId="0" borderId="9" xfId="3" applyNumberFormat="1" applyFont="1" applyBorder="1"/>
    <xf numFmtId="0" fontId="38" fillId="0" borderId="0" xfId="3" applyFont="1" applyAlignment="1">
      <alignment horizontal="right"/>
    </xf>
    <xf numFmtId="0" fontId="49" fillId="0" borderId="0" xfId="3" applyFont="1" applyAlignment="1">
      <alignment horizontal="right"/>
    </xf>
    <xf numFmtId="9" fontId="38" fillId="0" borderId="0" xfId="7" applyFont="1" applyFill="1" applyBorder="1" applyAlignment="1">
      <alignment horizontal="right"/>
    </xf>
    <xf numFmtId="0" fontId="56" fillId="0" borderId="0" xfId="3" applyFont="1"/>
    <xf numFmtId="0" fontId="57" fillId="0" borderId="0" xfId="3" applyFont="1"/>
    <xf numFmtId="0" fontId="53" fillId="0" borderId="4" xfId="3" applyFont="1" applyBorder="1" applyAlignment="1">
      <alignment horizontal="center" vertical="center" wrapText="1"/>
    </xf>
    <xf numFmtId="0" fontId="59" fillId="0" borderId="4" xfId="3" applyFont="1" applyBorder="1" applyAlignment="1">
      <alignment horizontal="center" vertical="center" wrapText="1"/>
    </xf>
    <xf numFmtId="0" fontId="58" fillId="0" borderId="0" xfId="3" applyFont="1"/>
    <xf numFmtId="0" fontId="41" fillId="0" borderId="0" xfId="3" applyFont="1" applyAlignment="1">
      <alignment wrapText="1"/>
    </xf>
    <xf numFmtId="164" fontId="60" fillId="0" borderId="0" xfId="5" applyNumberFormat="1" applyFont="1" applyFill="1"/>
    <xf numFmtId="164" fontId="49" fillId="3" borderId="4" xfId="5" applyNumberFormat="1" applyFont="1" applyFill="1" applyBorder="1" applyAlignment="1">
      <alignment horizontal="right"/>
    </xf>
    <xf numFmtId="10" fontId="49" fillId="0" borderId="4" xfId="7" applyNumberFormat="1" applyFont="1" applyFill="1" applyBorder="1" applyAlignment="1">
      <alignment horizontal="right"/>
    </xf>
    <xf numFmtId="10" fontId="49" fillId="3" borderId="4" xfId="7" applyNumberFormat="1" applyFont="1" applyFill="1" applyBorder="1" applyAlignment="1">
      <alignment horizontal="right"/>
    </xf>
    <xf numFmtId="43" fontId="49" fillId="0" borderId="0" xfId="5" applyFont="1" applyFill="1"/>
    <xf numFmtId="10" fontId="53" fillId="0" borderId="0" xfId="7" applyNumberFormat="1" applyFont="1" applyFill="1" applyBorder="1"/>
    <xf numFmtId="43" fontId="49" fillId="0" borderId="0" xfId="3" applyNumberFormat="1" applyFont="1"/>
    <xf numFmtId="0" fontId="37" fillId="0" borderId="0" xfId="3" applyFont="1" applyAlignment="1">
      <alignment horizontal="center" wrapText="1"/>
    </xf>
    <xf numFmtId="164" fontId="38" fillId="0" borderId="0" xfId="3" applyNumberFormat="1" applyFont="1"/>
    <xf numFmtId="164" fontId="38" fillId="0" borderId="4" xfId="5" applyNumberFormat="1" applyFont="1" applyFill="1" applyBorder="1" applyAlignment="1">
      <alignment horizontal="right"/>
    </xf>
    <xf numFmtId="164" fontId="49" fillId="0" borderId="4" xfId="5" applyNumberFormat="1" applyFont="1" applyFill="1" applyBorder="1" applyAlignment="1">
      <alignment horizontal="right"/>
    </xf>
    <xf numFmtId="43" fontId="61" fillId="0" borderId="0" xfId="3" applyNumberFormat="1" applyFont="1"/>
    <xf numFmtId="43" fontId="53" fillId="0" borderId="0" xfId="5" applyFont="1" applyFill="1" applyBorder="1" applyAlignment="1">
      <alignment horizontal="center" vertical="center"/>
    </xf>
    <xf numFmtId="0" fontId="53" fillId="0" borderId="0" xfId="3" applyFont="1"/>
    <xf numFmtId="0" fontId="37" fillId="0" borderId="9" xfId="3" applyFont="1" applyBorder="1"/>
    <xf numFmtId="10" fontId="37" fillId="0" borderId="9" xfId="7" applyNumberFormat="1" applyFont="1" applyBorder="1"/>
    <xf numFmtId="0" fontId="49" fillId="0" borderId="0" xfId="3" applyFont="1" applyAlignment="1">
      <alignment wrapText="1"/>
    </xf>
    <xf numFmtId="43" fontId="53" fillId="0" borderId="9" xfId="5" applyFont="1" applyFill="1" applyBorder="1"/>
    <xf numFmtId="0" fontId="62" fillId="0" borderId="0" xfId="3" applyFont="1"/>
    <xf numFmtId="43" fontId="38" fillId="3" borderId="11" xfId="5" applyFont="1" applyFill="1" applyBorder="1"/>
    <xf numFmtId="0" fontId="38" fillId="0" borderId="0" xfId="3" applyFont="1" applyAlignment="1">
      <alignment horizontal="left" indent="2"/>
    </xf>
    <xf numFmtId="43" fontId="49" fillId="0" borderId="9" xfId="5" applyFont="1" applyFill="1" applyBorder="1"/>
    <xf numFmtId="43" fontId="38" fillId="3" borderId="8" xfId="5" applyFont="1" applyFill="1" applyBorder="1"/>
    <xf numFmtId="0" fontId="63" fillId="0" borderId="0" xfId="3" applyFont="1" applyAlignment="1">
      <alignment horizontal="left" indent="2"/>
    </xf>
    <xf numFmtId="0" fontId="63" fillId="0" borderId="0" xfId="3" applyFont="1"/>
    <xf numFmtId="10" fontId="63" fillId="0" borderId="0" xfId="7" applyNumberFormat="1" applyFont="1" applyFill="1"/>
    <xf numFmtId="43" fontId="63" fillId="0" borderId="9" xfId="5" applyFont="1" applyFill="1" applyBorder="1"/>
    <xf numFmtId="10" fontId="63" fillId="0" borderId="9" xfId="7" applyNumberFormat="1" applyFont="1" applyFill="1" applyBorder="1"/>
    <xf numFmtId="168" fontId="38" fillId="3" borderId="8" xfId="7" applyNumberFormat="1" applyFont="1" applyFill="1" applyBorder="1"/>
    <xf numFmtId="0" fontId="64" fillId="0" borderId="0" xfId="3" applyFont="1"/>
    <xf numFmtId="165" fontId="38" fillId="0" borderId="0" xfId="3" applyNumberFormat="1" applyFont="1"/>
    <xf numFmtId="168" fontId="38" fillId="0" borderId="0" xfId="7" applyNumberFormat="1" applyFont="1"/>
    <xf numFmtId="0" fontId="37" fillId="0" borderId="0" xfId="3" applyFont="1" applyAlignment="1">
      <alignment horizontal="left"/>
    </xf>
    <xf numFmtId="0" fontId="65" fillId="0" borderId="0" xfId="3" applyFont="1"/>
    <xf numFmtId="43" fontId="65" fillId="0" borderId="0" xfId="5" applyFont="1" applyFill="1" applyBorder="1"/>
    <xf numFmtId="43" fontId="53" fillId="0" borderId="9" xfId="5" applyFont="1" applyFill="1" applyBorder="1" applyAlignment="1">
      <alignment horizontal="right"/>
    </xf>
    <xf numFmtId="9" fontId="38" fillId="3" borderId="8" xfId="7" applyFont="1" applyFill="1" applyBorder="1"/>
    <xf numFmtId="169" fontId="38" fillId="0" borderId="0" xfId="5" applyNumberFormat="1" applyFont="1" applyFill="1" applyBorder="1"/>
    <xf numFmtId="43" fontId="38" fillId="0" borderId="0" xfId="5" applyFont="1" applyFill="1" applyBorder="1"/>
    <xf numFmtId="0" fontId="49" fillId="0" borderId="0" xfId="3" applyFont="1" applyAlignment="1">
      <alignment horizontal="left" indent="1"/>
    </xf>
    <xf numFmtId="168" fontId="38" fillId="3" borderId="8" xfId="5" applyNumberFormat="1" applyFont="1" applyFill="1" applyBorder="1"/>
    <xf numFmtId="9" fontId="38" fillId="0" borderId="8" xfId="7" applyFont="1" applyFill="1" applyBorder="1"/>
    <xf numFmtId="0" fontId="49" fillId="0" borderId="0" xfId="3" applyFont="1" applyAlignment="1">
      <alignment horizontal="left"/>
    </xf>
    <xf numFmtId="0" fontId="38" fillId="0" borderId="0" xfId="3" applyFont="1" applyProtection="1">
      <protection locked="0"/>
    </xf>
    <xf numFmtId="169" fontId="49" fillId="3" borderId="8" xfId="5" applyNumberFormat="1" applyFont="1" applyFill="1" applyBorder="1"/>
    <xf numFmtId="170" fontId="38" fillId="0" borderId="0" xfId="5" applyNumberFormat="1" applyFont="1" applyFill="1" applyBorder="1"/>
    <xf numFmtId="164" fontId="38" fillId="0" borderId="0" xfId="5" applyNumberFormat="1" applyFont="1" applyFill="1" applyBorder="1"/>
    <xf numFmtId="9" fontId="49" fillId="3" borderId="8" xfId="5" applyNumberFormat="1" applyFont="1" applyFill="1" applyBorder="1"/>
    <xf numFmtId="168" fontId="38" fillId="0" borderId="0" xfId="7" applyNumberFormat="1" applyFont="1" applyFill="1" applyBorder="1"/>
    <xf numFmtId="9" fontId="38" fillId="0" borderId="0" xfId="7" applyFont="1" applyFill="1" applyBorder="1"/>
    <xf numFmtId="43" fontId="38" fillId="0" borderId="0" xfId="5" applyFont="1"/>
    <xf numFmtId="169" fontId="38" fillId="3" borderId="8" xfId="5" applyNumberFormat="1" applyFont="1" applyFill="1" applyBorder="1"/>
    <xf numFmtId="169" fontId="38" fillId="0" borderId="8" xfId="5" applyNumberFormat="1" applyFont="1" applyFill="1" applyBorder="1"/>
    <xf numFmtId="43" fontId="49" fillId="0" borderId="8" xfId="5" applyFont="1" applyFill="1" applyBorder="1"/>
    <xf numFmtId="43" fontId="37" fillId="0" borderId="0" xfId="3" applyNumberFormat="1" applyFont="1"/>
    <xf numFmtId="10" fontId="37" fillId="0" borderId="0" xfId="7" applyNumberFormat="1" applyFont="1" applyFill="1" applyBorder="1"/>
    <xf numFmtId="9" fontId="37" fillId="0" borderId="0" xfId="7" applyFont="1" applyFill="1" applyBorder="1"/>
    <xf numFmtId="43" fontId="66" fillId="0" borderId="0" xfId="3" applyNumberFormat="1" applyFont="1"/>
    <xf numFmtId="170" fontId="38" fillId="3" borderId="8" xfId="5" applyNumberFormat="1" applyFont="1" applyFill="1" applyBorder="1"/>
    <xf numFmtId="164" fontId="9" fillId="0" borderId="0" xfId="3" applyNumberFormat="1"/>
    <xf numFmtId="164" fontId="0" fillId="0" borderId="0" xfId="5" applyNumberFormat="1" applyFont="1" applyFill="1" applyBorder="1"/>
    <xf numFmtId="0" fontId="37" fillId="0" borderId="0" xfId="3" applyFont="1" applyAlignment="1">
      <alignment horizontal="left" vertical="top"/>
    </xf>
    <xf numFmtId="0" fontId="67" fillId="0" borderId="0" xfId="3" applyFont="1"/>
    <xf numFmtId="0" fontId="37" fillId="0" borderId="0" xfId="3" applyFont="1" applyAlignment="1">
      <alignment horizontal="center"/>
    </xf>
    <xf numFmtId="168" fontId="38" fillId="0" borderId="0" xfId="10" applyNumberFormat="1" applyFont="1" applyFill="1" applyBorder="1"/>
    <xf numFmtId="10" fontId="38" fillId="3" borderId="2" xfId="10" applyNumberFormat="1" applyFont="1" applyFill="1"/>
    <xf numFmtId="10" fontId="38" fillId="0" borderId="2" xfId="10" applyNumberFormat="1" applyFont="1" applyFill="1"/>
    <xf numFmtId="10" fontId="61" fillId="0" borderId="2" xfId="10" applyNumberFormat="1" applyFont="1" applyFill="1"/>
    <xf numFmtId="10" fontId="49" fillId="3" borderId="2" xfId="10" applyNumberFormat="1" applyFont="1" applyFill="1"/>
    <xf numFmtId="168" fontId="37" fillId="0" borderId="0" xfId="10" applyNumberFormat="1" applyFont="1" applyFill="1" applyBorder="1"/>
    <xf numFmtId="10" fontId="49" fillId="0" borderId="2" xfId="10" applyNumberFormat="1" applyFont="1" applyFill="1"/>
    <xf numFmtId="10" fontId="66" fillId="0" borderId="0" xfId="7" applyNumberFormat="1" applyFont="1"/>
    <xf numFmtId="10" fontId="66" fillId="0" borderId="0" xfId="3" applyNumberFormat="1" applyFont="1"/>
    <xf numFmtId="10" fontId="38" fillId="3" borderId="9" xfId="7" applyNumberFormat="1" applyFont="1" applyFill="1" applyBorder="1"/>
    <xf numFmtId="0" fontId="69" fillId="0" borderId="0" xfId="3" applyFont="1"/>
    <xf numFmtId="0" fontId="48" fillId="0" borderId="0" xfId="11" applyFont="1" applyFill="1" applyBorder="1"/>
    <xf numFmtId="43" fontId="30" fillId="0" borderId="0" xfId="5" applyFont="1" applyFill="1"/>
    <xf numFmtId="0" fontId="70" fillId="0" borderId="0" xfId="3" applyFont="1"/>
    <xf numFmtId="164" fontId="49" fillId="0" borderId="0" xfId="5" applyNumberFormat="1" applyFont="1" applyFill="1"/>
    <xf numFmtId="2" fontId="49" fillId="0" borderId="0" xfId="5" applyNumberFormat="1" applyFont="1" applyFill="1" applyAlignment="1">
      <alignment horizontal="right"/>
    </xf>
    <xf numFmtId="2" fontId="49" fillId="0" borderId="0" xfId="3" applyNumberFormat="1" applyFont="1"/>
    <xf numFmtId="0" fontId="71" fillId="0" borderId="0" xfId="3" applyFont="1"/>
    <xf numFmtId="9" fontId="49" fillId="0" borderId="0" xfId="7" applyFont="1" applyFill="1"/>
    <xf numFmtId="9" fontId="49" fillId="0" borderId="0" xfId="3" applyNumberFormat="1" applyFont="1"/>
    <xf numFmtId="164" fontId="53" fillId="6" borderId="0" xfId="5" applyNumberFormat="1" applyFont="1" applyFill="1"/>
    <xf numFmtId="164" fontId="53" fillId="0" borderId="0" xfId="5" applyNumberFormat="1" applyFont="1" applyFill="1"/>
    <xf numFmtId="0" fontId="72" fillId="0" borderId="12" xfId="3" applyFont="1" applyBorder="1"/>
    <xf numFmtId="0" fontId="53" fillId="0" borderId="12" xfId="3" applyFont="1" applyBorder="1"/>
    <xf numFmtId="0" fontId="62" fillId="0" borderId="12" xfId="3" applyFont="1" applyBorder="1"/>
    <xf numFmtId="0" fontId="49" fillId="0" borderId="12" xfId="3" applyFont="1" applyBorder="1"/>
    <xf numFmtId="164" fontId="49" fillId="0" borderId="12" xfId="5" applyNumberFormat="1" applyFont="1" applyFill="1" applyBorder="1"/>
    <xf numFmtId="10" fontId="49" fillId="0" borderId="0" xfId="7" applyNumberFormat="1" applyFont="1" applyFill="1"/>
    <xf numFmtId="9" fontId="49" fillId="3" borderId="0" xfId="3" applyNumberFormat="1" applyFont="1" applyFill="1"/>
    <xf numFmtId="10" fontId="49" fillId="3" borderId="0" xfId="7" applyNumberFormat="1" applyFont="1" applyFill="1"/>
    <xf numFmtId="43" fontId="73" fillId="0" borderId="0" xfId="5" applyFont="1" applyFill="1"/>
    <xf numFmtId="43" fontId="53" fillId="0" borderId="0" xfId="5" applyFont="1" applyFill="1"/>
    <xf numFmtId="43" fontId="62" fillId="0" borderId="0" xfId="5" applyFont="1" applyFill="1"/>
    <xf numFmtId="43" fontId="49" fillId="5" borderId="0" xfId="5" applyFont="1" applyFill="1"/>
    <xf numFmtId="169" fontId="49" fillId="5" borderId="0" xfId="5" applyNumberFormat="1" applyFont="1" applyFill="1"/>
    <xf numFmtId="0" fontId="49" fillId="5" borderId="0" xfId="3" applyFont="1" applyFill="1"/>
    <xf numFmtId="0" fontId="53" fillId="5" borderId="0" xfId="3" applyFont="1" applyFill="1"/>
    <xf numFmtId="164" fontId="49" fillId="0" borderId="0" xfId="3" applyNumberFormat="1" applyFont="1"/>
    <xf numFmtId="0" fontId="64" fillId="0" borderId="0" xfId="3" applyFont="1" applyAlignment="1">
      <alignment horizontal="left"/>
    </xf>
    <xf numFmtId="168" fontId="49" fillId="0" borderId="0" xfId="7" applyNumberFormat="1" applyFont="1" applyFill="1"/>
    <xf numFmtId="0" fontId="72" fillId="0" borderId="0" xfId="3" applyFont="1"/>
    <xf numFmtId="164" fontId="49" fillId="0" borderId="0" xfId="5" applyNumberFormat="1" applyFont="1" applyFill="1" applyBorder="1"/>
    <xf numFmtId="43" fontId="53" fillId="0" borderId="0" xfId="3" applyNumberFormat="1" applyFont="1"/>
    <xf numFmtId="43" fontId="49" fillId="0" borderId="0" xfId="5" quotePrefix="1" applyFont="1" applyFill="1"/>
    <xf numFmtId="0" fontId="49" fillId="0" borderId="0" xfId="3" applyFont="1" applyAlignment="1">
      <alignment horizontal="left" indent="2"/>
    </xf>
    <xf numFmtId="171" fontId="49" fillId="0" borderId="0" xfId="3" applyNumberFormat="1" applyFont="1"/>
    <xf numFmtId="0" fontId="49" fillId="7" borderId="0" xfId="3" applyFont="1" applyFill="1"/>
    <xf numFmtId="0" fontId="62" fillId="7" borderId="0" xfId="3" applyFont="1" applyFill="1"/>
    <xf numFmtId="43" fontId="49" fillId="7" borderId="0" xfId="5" applyFont="1" applyFill="1"/>
    <xf numFmtId="169" fontId="49" fillId="0" borderId="0" xfId="5" applyNumberFormat="1" applyFont="1" applyFill="1"/>
    <xf numFmtId="169" fontId="49" fillId="0" borderId="0" xfId="3" applyNumberFormat="1" applyFont="1"/>
    <xf numFmtId="169" fontId="62" fillId="0" borderId="0" xfId="5" applyNumberFormat="1" applyFont="1" applyFill="1"/>
    <xf numFmtId="43" fontId="62" fillId="0" borderId="0" xfId="3" applyNumberFormat="1" applyFont="1"/>
    <xf numFmtId="0" fontId="53" fillId="3" borderId="0" xfId="3" applyFont="1" applyFill="1"/>
    <xf numFmtId="10" fontId="49" fillId="0" borderId="0" xfId="7" applyNumberFormat="1" applyFont="1"/>
    <xf numFmtId="10" fontId="62" fillId="0" borderId="0" xfId="7" applyNumberFormat="1" applyFont="1" applyFill="1"/>
    <xf numFmtId="165" fontId="49" fillId="0" borderId="0" xfId="3" applyNumberFormat="1" applyFont="1"/>
    <xf numFmtId="167" fontId="49" fillId="0" borderId="0" xfId="5" applyNumberFormat="1" applyFont="1" applyFill="1"/>
    <xf numFmtId="0" fontId="49" fillId="8" borderId="0" xfId="3" applyFont="1" applyFill="1"/>
    <xf numFmtId="0" fontId="74" fillId="0" borderId="0" xfId="3" applyFont="1"/>
    <xf numFmtId="0" fontId="75" fillId="0" borderId="0" xfId="3" applyFont="1"/>
    <xf numFmtId="0" fontId="18" fillId="0" borderId="0" xfId="3" applyFont="1" applyAlignment="1">
      <alignment horizontal="left"/>
    </xf>
    <xf numFmtId="0" fontId="18" fillId="0" borderId="0" xfId="3" applyFont="1"/>
    <xf numFmtId="0" fontId="32" fillId="0" borderId="7" xfId="3" applyFont="1" applyBorder="1" applyAlignment="1">
      <alignment horizontal="left"/>
    </xf>
    <xf numFmtId="0" fontId="32" fillId="0" borderId="7" xfId="3" applyFont="1" applyBorder="1"/>
    <xf numFmtId="0" fontId="32" fillId="0" borderId="0" xfId="3" applyFont="1" applyAlignment="1">
      <alignment horizontal="left"/>
    </xf>
    <xf numFmtId="0" fontId="18" fillId="0" borderId="0" xfId="3" applyFont="1" applyAlignment="1">
      <alignment horizontal="right"/>
    </xf>
    <xf numFmtId="1" fontId="18" fillId="0" borderId="0" xfId="3" applyNumberFormat="1" applyFont="1"/>
    <xf numFmtId="0" fontId="76" fillId="0" borderId="10" xfId="3" applyFont="1" applyBorder="1"/>
    <xf numFmtId="172" fontId="23" fillId="3" borderId="10" xfId="3" applyNumberFormat="1" applyFont="1" applyFill="1" applyBorder="1" applyAlignment="1">
      <alignment horizontal="right"/>
    </xf>
    <xf numFmtId="172" fontId="76" fillId="0" borderId="10" xfId="3" applyNumberFormat="1" applyFont="1" applyBorder="1" applyAlignment="1">
      <alignment horizontal="right"/>
    </xf>
    <xf numFmtId="0" fontId="50" fillId="0" borderId="0" xfId="3" applyFont="1" applyAlignment="1">
      <alignment horizontal="left"/>
    </xf>
    <xf numFmtId="0" fontId="77" fillId="0" borderId="0" xfId="3" applyFont="1"/>
    <xf numFmtId="164" fontId="33" fillId="0" borderId="0" xfId="5" applyNumberFormat="1" applyFont="1" applyFill="1" applyBorder="1" applyAlignment="1">
      <alignment horizontal="right"/>
    </xf>
    <xf numFmtId="0" fontId="50" fillId="0" borderId="0" xfId="3" applyFont="1" applyAlignment="1">
      <alignment horizontal="right"/>
    </xf>
    <xf numFmtId="3" fontId="36" fillId="9" borderId="13" xfId="3" applyNumberFormat="1" applyFont="1" applyFill="1" applyBorder="1"/>
    <xf numFmtId="164" fontId="32" fillId="0" borderId="7" xfId="5" applyNumberFormat="1" applyFont="1" applyFill="1" applyBorder="1"/>
    <xf numFmtId="164" fontId="18" fillId="0" borderId="7" xfId="5" applyNumberFormat="1" applyFont="1" applyFill="1" applyBorder="1"/>
    <xf numFmtId="0" fontId="76" fillId="8" borderId="0" xfId="3" applyFont="1" applyFill="1" applyAlignment="1">
      <alignment horizontal="right"/>
    </xf>
    <xf numFmtId="0" fontId="78" fillId="0" borderId="0" xfId="3" applyFont="1"/>
    <xf numFmtId="0" fontId="78" fillId="0" borderId="0" xfId="3" applyFont="1" applyAlignment="1">
      <alignment horizontal="right"/>
    </xf>
    <xf numFmtId="0" fontId="79" fillId="0" borderId="0" xfId="3" applyFont="1"/>
    <xf numFmtId="0" fontId="18" fillId="0" borderId="10" xfId="3" applyFont="1" applyBorder="1" applyAlignment="1">
      <alignment horizontal="right"/>
    </xf>
    <xf numFmtId="0" fontId="18" fillId="0" borderId="10" xfId="3" applyFont="1" applyBorder="1"/>
    <xf numFmtId="164" fontId="32" fillId="0" borderId="0" xfId="3" applyNumberFormat="1" applyFont="1"/>
    <xf numFmtId="164" fontId="32" fillId="0" borderId="0" xfId="5" applyNumberFormat="1" applyFont="1" applyFill="1"/>
    <xf numFmtId="164" fontId="18" fillId="0" borderId="0" xfId="5" applyNumberFormat="1" applyFont="1" applyFill="1"/>
    <xf numFmtId="164" fontId="18" fillId="0" borderId="10" xfId="3" applyNumberFormat="1" applyFont="1" applyBorder="1"/>
    <xf numFmtId="164" fontId="18" fillId="0" borderId="10" xfId="5" applyNumberFormat="1" applyFont="1" applyFill="1" applyBorder="1"/>
    <xf numFmtId="167" fontId="18" fillId="0" borderId="0" xfId="3" applyNumberFormat="1" applyFont="1"/>
    <xf numFmtId="167" fontId="18" fillId="0" borderId="0" xfId="5" applyNumberFormat="1" applyFont="1" applyFill="1"/>
    <xf numFmtId="167" fontId="32" fillId="0" borderId="0" xfId="5" applyNumberFormat="1" applyFont="1" applyFill="1"/>
    <xf numFmtId="167" fontId="32" fillId="0" borderId="0" xfId="3" applyNumberFormat="1" applyFont="1"/>
    <xf numFmtId="167" fontId="32" fillId="0" borderId="10" xfId="5" applyNumberFormat="1" applyFont="1" applyFill="1" applyBorder="1"/>
    <xf numFmtId="167" fontId="32" fillId="0" borderId="10" xfId="3" applyNumberFormat="1" applyFont="1" applyBorder="1"/>
    <xf numFmtId="43" fontId="18" fillId="0" borderId="0" xfId="3" applyNumberFormat="1" applyFont="1"/>
    <xf numFmtId="43" fontId="32" fillId="0" borderId="0" xfId="3" applyNumberFormat="1" applyFont="1"/>
    <xf numFmtId="0" fontId="18" fillId="0" borderId="0" xfId="3" applyFont="1" applyAlignment="1">
      <alignment horizontal="left" indent="1"/>
    </xf>
    <xf numFmtId="167" fontId="18" fillId="0" borderId="0" xfId="5" applyNumberFormat="1" applyFont="1"/>
    <xf numFmtId="167" fontId="32" fillId="0" borderId="0" xfId="5" applyNumberFormat="1" applyFont="1"/>
    <xf numFmtId="167" fontId="32" fillId="0" borderId="10" xfId="5" applyNumberFormat="1" applyFont="1" applyBorder="1"/>
    <xf numFmtId="167" fontId="18" fillId="0" borderId="0" xfId="5" applyNumberFormat="1" applyFont="1" applyFill="1" applyBorder="1"/>
    <xf numFmtId="167" fontId="18" fillId="0" borderId="0" xfId="5" applyNumberFormat="1" applyFont="1" applyBorder="1"/>
    <xf numFmtId="0" fontId="64" fillId="0" borderId="0" xfId="3" applyFont="1" applyAlignment="1">
      <alignment horizontal="left" indent="4"/>
    </xf>
    <xf numFmtId="164" fontId="64" fillId="0" borderId="0" xfId="3" applyNumberFormat="1" applyFont="1"/>
    <xf numFmtId="164" fontId="64" fillId="0" borderId="0" xfId="5" applyNumberFormat="1" applyFont="1" applyFill="1"/>
    <xf numFmtId="0" fontId="80" fillId="0" borderId="0" xfId="3" applyFont="1"/>
    <xf numFmtId="0" fontId="81" fillId="0" borderId="0" xfId="3" applyFont="1"/>
    <xf numFmtId="43" fontId="81" fillId="0" borderId="0" xfId="3" applyNumberFormat="1" applyFont="1"/>
    <xf numFmtId="0" fontId="82" fillId="0" borderId="0" xfId="3" applyFont="1"/>
    <xf numFmtId="0" fontId="83" fillId="10" borderId="14" xfId="3" applyFont="1" applyFill="1" applyBorder="1"/>
    <xf numFmtId="173" fontId="84" fillId="10" borderId="14" xfId="3" applyNumberFormat="1" applyFont="1" applyFill="1" applyBorder="1" applyAlignment="1">
      <alignment horizontal="right"/>
    </xf>
    <xf numFmtId="0" fontId="83" fillId="10" borderId="0" xfId="3" applyFont="1" applyFill="1"/>
    <xf numFmtId="164" fontId="80" fillId="0" borderId="0" xfId="5" applyNumberFormat="1" applyFont="1"/>
    <xf numFmtId="164" fontId="85" fillId="0" borderId="0" xfId="3" applyNumberFormat="1" applyFont="1"/>
    <xf numFmtId="164" fontId="82" fillId="0" borderId="0" xfId="5" applyNumberFormat="1" applyFont="1"/>
    <xf numFmtId="164" fontId="82" fillId="0" borderId="0" xfId="3" applyNumberFormat="1" applyFont="1"/>
    <xf numFmtId="0" fontId="81" fillId="0" borderId="0" xfId="3" applyFont="1" applyAlignment="1">
      <alignment horizontal="left" indent="1"/>
    </xf>
    <xf numFmtId="164" fontId="81" fillId="0" borderId="0" xfId="5" applyNumberFormat="1" applyFont="1"/>
    <xf numFmtId="0" fontId="80" fillId="5" borderId="0" xfId="3" applyFont="1" applyFill="1"/>
    <xf numFmtId="0" fontId="86" fillId="0" borderId="0" xfId="3" applyFont="1"/>
    <xf numFmtId="164" fontId="86" fillId="0" borderId="0" xfId="5" applyNumberFormat="1" applyFont="1"/>
    <xf numFmtId="10" fontId="81" fillId="0" borderId="0" xfId="7" applyNumberFormat="1" applyFont="1"/>
    <xf numFmtId="164" fontId="81" fillId="0" borderId="0" xfId="3" applyNumberFormat="1" applyFont="1"/>
    <xf numFmtId="164" fontId="86" fillId="0" borderId="0" xfId="3" applyNumberFormat="1" applyFont="1"/>
    <xf numFmtId="0" fontId="87" fillId="0" borderId="0" xfId="3" applyFont="1"/>
    <xf numFmtId="0" fontId="80" fillId="8" borderId="14" xfId="3" applyFont="1" applyFill="1" applyBorder="1"/>
    <xf numFmtId="164" fontId="80" fillId="8" borderId="14" xfId="5" applyNumberFormat="1" applyFont="1" applyFill="1" applyBorder="1"/>
    <xf numFmtId="0" fontId="80" fillId="0" borderId="0" xfId="3" applyFont="1" applyAlignment="1">
      <alignment horizontal="left"/>
    </xf>
    <xf numFmtId="164" fontId="80" fillId="0" borderId="0" xfId="3" applyNumberFormat="1" applyFont="1"/>
    <xf numFmtId="43" fontId="81" fillId="0" borderId="0" xfId="5" applyFont="1"/>
  </cellXfs>
  <cellStyles count="12">
    <cellStyle name="Comma 19" xfId="5" xr:uid="{2D951982-37C6-F941-B7F5-0E4DF7574118}"/>
    <cellStyle name="Comma 2 14 3" xfId="8" xr:uid="{E7A8D84E-1C08-534F-8DE3-E644C8D087C6}"/>
    <cellStyle name="Heading 1 3" xfId="11" xr:uid="{F442DAE4-8949-ED4F-8AB4-429F7A54A17F}"/>
    <cellStyle name="Hyperlink 2" xfId="4" xr:uid="{A52C5D0E-1744-E342-B752-3CADD6B455AB}"/>
    <cellStyle name="Input 3" xfId="10" xr:uid="{76DCC7A7-FE4B-574A-A08C-6273D5CE0EF5}"/>
    <cellStyle name="Normal" xfId="0" builtinId="0"/>
    <cellStyle name="Normal 2" xfId="1" xr:uid="{A07F66EC-BA0B-3442-9CE0-06DBC9C02B04}"/>
    <cellStyle name="Normal 22" xfId="3" xr:uid="{372742C5-294A-AF45-8EB7-96F153DB40C6}"/>
    <cellStyle name="Normal 25" xfId="2" xr:uid="{BBDABFD0-C3CD-3F48-A95D-EC2C7E413BA5}"/>
    <cellStyle name="Percent 15" xfId="7" xr:uid="{BE953C15-36A5-9C4B-9CA7-220218971877}"/>
    <cellStyle name="Percent 2" xfId="6" xr:uid="{3482AEF8-75AB-DD4D-BEAD-6FFBE0DFBE11}"/>
    <cellStyle name="Percent 2 7 2" xfId="9" xr:uid="{43D2C50C-16CC-B348-862A-6D7598CBD0D1}"/>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akedigital-my.sharepoint.com/personal/ha_ngo_cake_vn/Documents/9.%20Ch&#7841;y%20model/1.%20VPB_Paylater_ModelSAP&amp;PnL_v6_20241113.xlsb" TargetMode="External"/><Relationship Id="rId1" Type="http://schemas.openxmlformats.org/officeDocument/2006/relationships/externalLinkPath" Target="https://cakedigital-my.sharepoint.com/personal/ha_ngo_cake_vn/Documents/9.%20Ch&#7841;y%20model/1.%20VPB_Paylater_ModelSAP&amp;PnL_v6_20241113.xlsb"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ownloads/1.%20Q1.26/1.3.%20Overdraft_Model_SAP&amp;PnL_v5_Q2026%20Q1.xlsb" TargetMode="External"/><Relationship Id="rId2" Type="http://schemas.openxmlformats.org/officeDocument/2006/relationships/externalLinkPath" Target="/Users/dam.ho/Downloads/1.%20Q1.26/1.3.%20Overdraft_Model_SAP&amp;PnL_v5_Q2026%20Q1.xlsb" TargetMode="External"/><Relationship Id="rId1" Type="http://schemas.openxmlformats.org/officeDocument/2006/relationships/externalLinkPath" Target="/Users/dam.ho/Downloads/1.%20Q1.26/1.3.%20Overdraft_Model_SAP&amp;PnL_v5_Q2026%20Q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
      <sheetName val="SAP_Leadsheet"/>
      <sheetName val="SAP_Spreadsheet"/>
      <sheetName val="Sales plan&amp; PnL"/>
      <sheetName val="PnL_Speadsheet"/>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DATA"/>
      <sheetName val="Leadsheet"/>
      <sheetName val="SAP_Speadsheet"/>
      <sheetName val="Saleplan&amp;PnL"/>
      <sheetName val="PnL_Speadshee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FFC6F-4DE1-7040-8B61-53E6AFB81C62}">
  <sheetPr>
    <tabColor rgb="FFFF0000"/>
  </sheetPr>
  <dimension ref="A1:T110"/>
  <sheetViews>
    <sheetView showGridLines="0" tabSelected="1" zoomScale="101" workbookViewId="0">
      <pane xSplit="1" ySplit="2" topLeftCell="B17" activePane="bottomRight" state="frozen"/>
      <selection pane="topRight" activeCell="AB54" sqref="AB54"/>
      <selection pane="bottomLeft" activeCell="AB54" sqref="AB54"/>
      <selection pane="bottomRight" activeCell="P3" sqref="P3"/>
    </sheetView>
  </sheetViews>
  <sheetFormatPr baseColWidth="10" defaultColWidth="8.83203125" defaultRowHeight="14" x14ac:dyDescent="0.15"/>
  <cols>
    <col min="1" max="1" width="8.83203125" style="2"/>
    <col min="2" max="2" width="5.5" style="2" customWidth="1"/>
    <col min="3" max="3" width="5" style="2" customWidth="1"/>
    <col min="4" max="16384" width="8.83203125" style="2"/>
  </cols>
  <sheetData>
    <row r="1" spans="1:20" ht="25" x14ac:dyDescent="0.25">
      <c r="A1" s="1" t="s">
        <v>0</v>
      </c>
    </row>
    <row r="2" spans="1:20" ht="25" x14ac:dyDescent="0.25">
      <c r="A2" s="1"/>
      <c r="N2" s="3" t="s">
        <v>1</v>
      </c>
      <c r="O2" s="3" t="s">
        <v>2</v>
      </c>
      <c r="P2" s="3">
        <v>20251001</v>
      </c>
    </row>
    <row r="3" spans="1:20" ht="25" x14ac:dyDescent="0.15">
      <c r="B3" s="4" t="s">
        <v>3</v>
      </c>
    </row>
    <row r="4" spans="1:20" s="5" customFormat="1" ht="16" x14ac:dyDescent="0.2">
      <c r="B4" s="6"/>
      <c r="C4" s="6" t="s">
        <v>4</v>
      </c>
    </row>
    <row r="5" spans="1:20" x14ac:dyDescent="0.15">
      <c r="D5" s="7" t="s">
        <v>5</v>
      </c>
      <c r="E5" s="8"/>
      <c r="Q5" s="8"/>
      <c r="R5" s="8"/>
      <c r="S5" s="8"/>
      <c r="T5" s="8"/>
    </row>
    <row r="6" spans="1:20" x14ac:dyDescent="0.15">
      <c r="D6" s="7" t="s">
        <v>6</v>
      </c>
      <c r="E6" s="8"/>
      <c r="Q6" s="8"/>
      <c r="R6" s="8"/>
      <c r="S6" s="8"/>
      <c r="T6" s="8"/>
    </row>
    <row r="7" spans="1:20" x14ac:dyDescent="0.15">
      <c r="D7" s="7" t="s">
        <v>7</v>
      </c>
      <c r="E7" s="8"/>
      <c r="Q7" s="8"/>
      <c r="R7" s="8"/>
      <c r="S7" s="8"/>
      <c r="T7" s="8"/>
    </row>
    <row r="8" spans="1:20" x14ac:dyDescent="0.15">
      <c r="D8" s="7" t="s">
        <v>8</v>
      </c>
      <c r="E8" s="8"/>
      <c r="Q8" s="8"/>
      <c r="R8" s="8"/>
      <c r="S8" s="8"/>
      <c r="T8" s="8"/>
    </row>
    <row r="9" spans="1:20" x14ac:dyDescent="0.15">
      <c r="D9" s="7" t="s">
        <v>9</v>
      </c>
      <c r="E9" s="8"/>
      <c r="Q9" s="8"/>
      <c r="R9" s="8"/>
      <c r="S9" s="8"/>
      <c r="T9" s="8"/>
    </row>
    <row r="10" spans="1:20" x14ac:dyDescent="0.15">
      <c r="D10" s="7" t="s">
        <v>10</v>
      </c>
      <c r="E10" s="8"/>
      <c r="Q10" s="8"/>
      <c r="R10" s="8"/>
      <c r="S10" s="8"/>
      <c r="T10" s="8"/>
    </row>
    <row r="11" spans="1:20" x14ac:dyDescent="0.15">
      <c r="E11" s="7"/>
      <c r="Q11" s="8"/>
      <c r="R11" s="8"/>
      <c r="S11" s="8"/>
      <c r="T11" s="8"/>
    </row>
    <row r="12" spans="1:20" x14ac:dyDescent="0.15">
      <c r="C12" s="9" t="s">
        <v>11</v>
      </c>
      <c r="D12" s="8"/>
      <c r="E12" s="8"/>
      <c r="Q12" s="8"/>
      <c r="R12" s="8"/>
      <c r="S12" s="8"/>
      <c r="T12" s="8"/>
    </row>
    <row r="13" spans="1:20" x14ac:dyDescent="0.15">
      <c r="D13" s="7" t="s">
        <v>12</v>
      </c>
      <c r="E13" s="8"/>
      <c r="Q13" s="8"/>
      <c r="R13" s="8"/>
      <c r="S13" s="8"/>
      <c r="T13" s="8"/>
    </row>
    <row r="14" spans="1:20" x14ac:dyDescent="0.15">
      <c r="D14" s="7" t="s">
        <v>13</v>
      </c>
      <c r="E14" s="8"/>
      <c r="Q14" s="8"/>
      <c r="R14" s="8"/>
      <c r="S14" s="8"/>
      <c r="T14" s="8"/>
    </row>
    <row r="15" spans="1:20" x14ac:dyDescent="0.15">
      <c r="D15" s="7" t="s">
        <v>14</v>
      </c>
      <c r="E15" s="8"/>
      <c r="Q15" s="8"/>
      <c r="R15" s="8"/>
      <c r="S15" s="8"/>
      <c r="T15" s="8"/>
    </row>
    <row r="16" spans="1:20" ht="12" customHeight="1" x14ac:dyDescent="0.15">
      <c r="B16" s="4"/>
      <c r="C16" s="9"/>
      <c r="D16" s="7"/>
      <c r="E16" s="8"/>
      <c r="Q16" s="8"/>
      <c r="R16" s="8"/>
      <c r="S16" s="8"/>
      <c r="T16" s="8"/>
    </row>
    <row r="17" spans="2:20" ht="25" x14ac:dyDescent="0.15">
      <c r="B17" s="4" t="s">
        <v>15</v>
      </c>
      <c r="D17" s="7"/>
      <c r="E17" s="8"/>
      <c r="Q17" s="8"/>
      <c r="R17" s="8"/>
      <c r="S17" s="8"/>
      <c r="T17" s="8"/>
    </row>
    <row r="18" spans="2:20" x14ac:dyDescent="0.15">
      <c r="D18" s="10" t="s">
        <v>16</v>
      </c>
      <c r="E18" s="8"/>
      <c r="Q18" s="8"/>
      <c r="R18" s="8"/>
      <c r="S18" s="8"/>
      <c r="T18" s="8"/>
    </row>
    <row r="19" spans="2:20" x14ac:dyDescent="0.15">
      <c r="D19" s="7"/>
      <c r="E19" s="11" t="s">
        <v>17</v>
      </c>
      <c r="F19" s="12"/>
      <c r="G19" s="12"/>
      <c r="H19" s="12"/>
      <c r="Q19" s="8"/>
      <c r="R19" s="8"/>
      <c r="S19" s="8"/>
      <c r="T19" s="8"/>
    </row>
    <row r="20" spans="2:20" x14ac:dyDescent="0.15">
      <c r="D20" s="7"/>
      <c r="E20" s="13" t="s">
        <v>18</v>
      </c>
      <c r="Q20" s="8"/>
      <c r="R20" s="8"/>
      <c r="S20" s="8"/>
      <c r="T20" s="8"/>
    </row>
    <row r="21" spans="2:20" x14ac:dyDescent="0.15">
      <c r="D21" s="7"/>
      <c r="E21" s="13"/>
      <c r="F21" s="7" t="s">
        <v>19</v>
      </c>
      <c r="Q21" s="8"/>
      <c r="R21" s="8"/>
      <c r="S21" s="8"/>
      <c r="T21" s="8"/>
    </row>
    <row r="22" spans="2:20" x14ac:dyDescent="0.15">
      <c r="D22" s="7"/>
      <c r="F22" s="14" t="s">
        <v>20</v>
      </c>
      <c r="Q22" s="8"/>
      <c r="R22" s="8"/>
      <c r="S22" s="8"/>
      <c r="T22" s="8"/>
    </row>
    <row r="23" spans="2:20" x14ac:dyDescent="0.15">
      <c r="D23" s="7"/>
      <c r="E23" s="13" t="s">
        <v>21</v>
      </c>
      <c r="Q23" s="8"/>
      <c r="R23" s="8"/>
      <c r="S23" s="8"/>
      <c r="T23" s="8"/>
    </row>
    <row r="24" spans="2:20" x14ac:dyDescent="0.15">
      <c r="D24" s="7"/>
      <c r="E24" s="13"/>
      <c r="F24" s="14" t="s">
        <v>22</v>
      </c>
      <c r="Q24" s="8"/>
      <c r="R24" s="8"/>
      <c r="S24" s="8"/>
      <c r="T24" s="8"/>
    </row>
    <row r="25" spans="2:20" x14ac:dyDescent="0.15">
      <c r="D25" s="7"/>
      <c r="E25" s="13"/>
      <c r="F25" s="14" t="s">
        <v>23</v>
      </c>
      <c r="Q25" s="8"/>
      <c r="R25" s="8"/>
      <c r="S25" s="8"/>
      <c r="T25" s="8"/>
    </row>
    <row r="26" spans="2:20" x14ac:dyDescent="0.15">
      <c r="D26" s="7"/>
      <c r="E26" s="8"/>
      <c r="Q26" s="8"/>
      <c r="R26" s="8"/>
      <c r="S26" s="8"/>
      <c r="T26" s="8"/>
    </row>
    <row r="27" spans="2:20" x14ac:dyDescent="0.15">
      <c r="D27" s="10" t="s">
        <v>24</v>
      </c>
      <c r="E27" s="8"/>
      <c r="Q27" s="8"/>
      <c r="R27" s="8"/>
      <c r="S27" s="8"/>
      <c r="T27" s="8"/>
    </row>
    <row r="28" spans="2:20" x14ac:dyDescent="0.15">
      <c r="D28" s="7"/>
      <c r="E28" s="13" t="s">
        <v>25</v>
      </c>
      <c r="Q28" s="8"/>
      <c r="R28" s="8"/>
      <c r="S28" s="8"/>
      <c r="T28" s="8"/>
    </row>
    <row r="29" spans="2:20" x14ac:dyDescent="0.15">
      <c r="D29" s="7"/>
      <c r="E29" s="13"/>
      <c r="Q29" s="8"/>
      <c r="R29" s="8"/>
      <c r="S29" s="8"/>
      <c r="T29" s="8"/>
    </row>
    <row r="30" spans="2:20" x14ac:dyDescent="0.15">
      <c r="D30" s="7"/>
      <c r="E30" s="8"/>
      <c r="Q30" s="8"/>
      <c r="R30" s="8"/>
      <c r="S30" s="8"/>
      <c r="T30" s="8"/>
    </row>
    <row r="31" spans="2:20" ht="25" x14ac:dyDescent="0.15">
      <c r="B31" s="4" t="s">
        <v>26</v>
      </c>
      <c r="D31" s="7"/>
      <c r="E31" s="8"/>
      <c r="Q31" s="8"/>
      <c r="R31" s="8"/>
      <c r="S31" s="8"/>
      <c r="T31" s="8"/>
    </row>
    <row r="32" spans="2:20" x14ac:dyDescent="0.15">
      <c r="Q32" s="15"/>
      <c r="R32" s="15"/>
      <c r="S32" s="15"/>
      <c r="T32" s="15"/>
    </row>
    <row r="33" spans="2:20" ht="19" thickBot="1" x14ac:dyDescent="0.25">
      <c r="B33" s="16"/>
      <c r="C33" s="17" t="s">
        <v>27</v>
      </c>
      <c r="D33" s="18"/>
      <c r="E33" s="19"/>
      <c r="F33" s="18"/>
      <c r="G33" s="18"/>
      <c r="H33" s="18"/>
      <c r="I33" s="16"/>
      <c r="J33" s="18"/>
      <c r="K33" s="18"/>
      <c r="L33" s="18"/>
      <c r="M33" s="16"/>
      <c r="N33" s="18"/>
      <c r="O33" s="18"/>
      <c r="P33" s="18"/>
      <c r="Q33" s="8"/>
      <c r="R33" s="8"/>
      <c r="S33" s="8"/>
      <c r="T33" s="8"/>
    </row>
    <row r="34" spans="2:20" ht="12" customHeight="1" thickTop="1" x14ac:dyDescent="0.15">
      <c r="B34" s="4"/>
      <c r="D34" s="7"/>
      <c r="E34" s="8"/>
      <c r="Q34" s="8"/>
      <c r="R34" s="8"/>
      <c r="S34" s="8"/>
      <c r="T34" s="8"/>
    </row>
    <row r="35" spans="2:20" s="21" customFormat="1" ht="15" customHeight="1" x14ac:dyDescent="0.15">
      <c r="B35" s="20"/>
      <c r="E35" s="22"/>
      <c r="G35" s="23" t="s">
        <v>28</v>
      </c>
      <c r="L35" s="23" t="s">
        <v>29</v>
      </c>
      <c r="Q35" s="22"/>
      <c r="R35" s="22"/>
      <c r="S35" s="22"/>
      <c r="T35" s="22"/>
    </row>
    <row r="36" spans="2:20" ht="12" customHeight="1" x14ac:dyDescent="0.15">
      <c r="B36" s="4"/>
      <c r="D36" s="24" t="s">
        <v>30</v>
      </c>
      <c r="E36" s="25"/>
      <c r="F36" s="21"/>
      <c r="G36" s="26" t="s">
        <v>31</v>
      </c>
      <c r="H36" s="27"/>
      <c r="I36" s="27"/>
      <c r="J36" s="27"/>
      <c r="K36" s="27"/>
      <c r="L36" s="28" t="s">
        <v>32</v>
      </c>
      <c r="Q36" s="8"/>
      <c r="R36" s="8"/>
      <c r="S36" s="8"/>
      <c r="T36" s="8"/>
    </row>
    <row r="37" spans="2:20" ht="12" customHeight="1" x14ac:dyDescent="0.15">
      <c r="B37" s="4"/>
      <c r="D37" s="24" t="s">
        <v>33</v>
      </c>
      <c r="E37" s="25"/>
      <c r="F37" s="21"/>
      <c r="G37" s="26" t="s">
        <v>34</v>
      </c>
      <c r="H37" s="27"/>
      <c r="I37" s="27"/>
      <c r="J37" s="27"/>
      <c r="K37" s="27"/>
      <c r="L37" s="28" t="s">
        <v>35</v>
      </c>
      <c r="Q37" s="8"/>
      <c r="R37" s="8"/>
      <c r="S37" s="8"/>
      <c r="T37" s="8"/>
    </row>
    <row r="38" spans="2:20" ht="20.25" customHeight="1" thickBot="1" x14ac:dyDescent="0.25">
      <c r="B38" s="16"/>
      <c r="C38" s="17" t="s">
        <v>36</v>
      </c>
      <c r="D38" s="18"/>
      <c r="E38" s="19"/>
      <c r="F38" s="18"/>
      <c r="G38" s="18"/>
      <c r="H38" s="18"/>
      <c r="I38" s="16"/>
      <c r="J38" s="18"/>
      <c r="K38" s="18"/>
      <c r="L38" s="18"/>
      <c r="M38" s="16"/>
      <c r="N38" s="18"/>
      <c r="O38" s="18"/>
      <c r="P38" s="18"/>
      <c r="Q38" s="29"/>
      <c r="R38" s="8"/>
      <c r="S38" s="8"/>
      <c r="T38" s="8"/>
    </row>
    <row r="39" spans="2:20" ht="12" customHeight="1" thickTop="1" x14ac:dyDescent="0.15">
      <c r="B39" s="20"/>
      <c r="D39" s="7"/>
      <c r="E39" s="8"/>
      <c r="Q39" s="8"/>
      <c r="R39" s="8"/>
      <c r="S39" s="8"/>
      <c r="T39" s="8"/>
    </row>
    <row r="40" spans="2:20" s="21" customFormat="1" ht="15" customHeight="1" x14ac:dyDescent="0.15">
      <c r="B40" s="20"/>
      <c r="E40" s="22"/>
      <c r="G40" s="23" t="s">
        <v>28</v>
      </c>
      <c r="L40" s="23" t="s">
        <v>29</v>
      </c>
      <c r="Q40" s="22"/>
      <c r="R40" s="22"/>
      <c r="S40" s="22"/>
      <c r="T40" s="22"/>
    </row>
    <row r="41" spans="2:20" s="21" customFormat="1" ht="15" customHeight="1" x14ac:dyDescent="0.15">
      <c r="B41" s="20"/>
      <c r="C41" s="30" t="s">
        <v>37</v>
      </c>
      <c r="D41" s="31"/>
      <c r="E41" s="32"/>
      <c r="F41" s="31"/>
      <c r="G41" s="33"/>
      <c r="H41" s="31"/>
      <c r="I41" s="31"/>
      <c r="J41" s="31"/>
      <c r="K41" s="31"/>
      <c r="L41" s="33"/>
      <c r="Q41" s="22"/>
      <c r="R41" s="22"/>
      <c r="S41" s="22"/>
      <c r="T41" s="22"/>
    </row>
    <row r="42" spans="2:20" ht="12" customHeight="1" x14ac:dyDescent="0.15">
      <c r="B42" s="20"/>
      <c r="C42" s="24"/>
      <c r="D42" s="24" t="s">
        <v>38</v>
      </c>
      <c r="E42" s="25"/>
      <c r="F42" s="27"/>
      <c r="G42" s="26" t="s">
        <v>39</v>
      </c>
      <c r="H42" s="27"/>
      <c r="I42" s="27"/>
      <c r="J42" s="27"/>
      <c r="K42" s="27"/>
      <c r="L42" s="34" t="s">
        <v>40</v>
      </c>
      <c r="Q42" s="8"/>
      <c r="R42" s="8"/>
      <c r="S42" s="8"/>
      <c r="T42" s="8"/>
    </row>
    <row r="43" spans="2:20" ht="12" customHeight="1" x14ac:dyDescent="0.15">
      <c r="B43" s="20"/>
      <c r="C43" s="24"/>
      <c r="D43" s="24" t="s">
        <v>41</v>
      </c>
      <c r="E43" s="25"/>
      <c r="F43" s="27"/>
      <c r="G43" s="26" t="s">
        <v>42</v>
      </c>
      <c r="H43" s="27"/>
      <c r="I43" s="27"/>
      <c r="J43" s="27"/>
      <c r="K43" s="27"/>
      <c r="L43" s="28" t="s">
        <v>43</v>
      </c>
      <c r="Q43" s="8"/>
      <c r="R43" s="8"/>
      <c r="S43" s="8"/>
      <c r="T43" s="8"/>
    </row>
    <row r="44" spans="2:20" ht="12" customHeight="1" x14ac:dyDescent="0.15">
      <c r="B44" s="20"/>
      <c r="C44" s="24"/>
      <c r="D44" s="24" t="s">
        <v>44</v>
      </c>
      <c r="E44" s="25"/>
      <c r="F44" s="27"/>
      <c r="G44" s="26" t="s">
        <v>45</v>
      </c>
      <c r="H44" s="27"/>
      <c r="I44" s="27"/>
      <c r="J44" s="27"/>
      <c r="K44" s="27"/>
      <c r="L44" s="28" t="s">
        <v>46</v>
      </c>
      <c r="Q44" s="8"/>
      <c r="R44" s="8"/>
      <c r="S44" s="8"/>
      <c r="T44" s="8"/>
    </row>
    <row r="45" spans="2:20" ht="12" customHeight="1" x14ac:dyDescent="0.15">
      <c r="B45" s="20"/>
      <c r="C45" s="24"/>
      <c r="D45" s="24" t="s">
        <v>47</v>
      </c>
      <c r="E45" s="25"/>
      <c r="F45" s="27"/>
      <c r="G45" s="26" t="s">
        <v>48</v>
      </c>
      <c r="H45" s="27"/>
      <c r="I45" s="27"/>
      <c r="J45" s="27"/>
      <c r="K45" s="27"/>
      <c r="L45" s="28" t="s">
        <v>49</v>
      </c>
      <c r="Q45" s="8"/>
      <c r="R45" s="8"/>
      <c r="S45" s="8"/>
      <c r="T45" s="8"/>
    </row>
    <row r="46" spans="2:20" ht="12" customHeight="1" x14ac:dyDescent="0.15">
      <c r="B46" s="20"/>
      <c r="C46" s="27"/>
      <c r="D46" s="24" t="s">
        <v>50</v>
      </c>
      <c r="E46" s="25"/>
      <c r="F46" s="27"/>
      <c r="G46" s="26" t="s">
        <v>51</v>
      </c>
      <c r="H46" s="27"/>
      <c r="I46" s="27"/>
      <c r="J46" s="27"/>
      <c r="K46" s="27"/>
      <c r="L46" s="34" t="s">
        <v>52</v>
      </c>
      <c r="Q46" s="8"/>
      <c r="R46" s="8"/>
      <c r="S46" s="8"/>
      <c r="T46" s="8"/>
    </row>
    <row r="47" spans="2:20" ht="12" customHeight="1" x14ac:dyDescent="0.15">
      <c r="B47" s="4"/>
      <c r="C47" s="27"/>
      <c r="D47" s="35"/>
      <c r="E47" s="25"/>
      <c r="F47" s="27"/>
      <c r="G47" s="27"/>
      <c r="H47" s="27"/>
      <c r="I47" s="27"/>
      <c r="J47" s="27"/>
      <c r="K47" s="27"/>
      <c r="L47" s="27"/>
      <c r="Q47" s="8"/>
      <c r="R47" s="8"/>
      <c r="S47" s="8"/>
      <c r="T47" s="8"/>
    </row>
    <row r="48" spans="2:20" ht="12" customHeight="1" x14ac:dyDescent="0.15">
      <c r="B48" s="4"/>
      <c r="C48" s="36" t="s">
        <v>53</v>
      </c>
      <c r="D48" s="7"/>
      <c r="E48" s="8"/>
      <c r="Q48" s="8"/>
      <c r="R48" s="8"/>
      <c r="S48" s="8"/>
      <c r="T48" s="8"/>
    </row>
    <row r="49" spans="2:20" ht="12" customHeight="1" x14ac:dyDescent="0.15">
      <c r="B49" s="4"/>
      <c r="C49" s="27"/>
      <c r="D49" s="24" t="s">
        <v>54</v>
      </c>
      <c r="E49" s="8"/>
      <c r="G49" s="26" t="s">
        <v>55</v>
      </c>
      <c r="L49" s="34"/>
      <c r="Q49" s="8"/>
      <c r="R49" s="8"/>
      <c r="S49" s="8"/>
      <c r="T49" s="8"/>
    </row>
    <row r="50" spans="2:20" ht="12" customHeight="1" x14ac:dyDescent="0.15">
      <c r="B50" s="4"/>
      <c r="C50" s="27"/>
      <c r="D50" s="24" t="s">
        <v>56</v>
      </c>
      <c r="E50" s="8"/>
      <c r="G50" s="26" t="s">
        <v>57</v>
      </c>
      <c r="L50" s="34"/>
      <c r="Q50" s="8"/>
      <c r="R50" s="8"/>
      <c r="S50" s="8"/>
      <c r="T50" s="8"/>
    </row>
    <row r="51" spans="2:20" ht="12" customHeight="1" x14ac:dyDescent="0.15">
      <c r="B51" s="4"/>
      <c r="C51" s="27"/>
      <c r="D51" s="24" t="s">
        <v>58</v>
      </c>
      <c r="E51" s="8"/>
      <c r="G51" s="26" t="s">
        <v>59</v>
      </c>
      <c r="L51" s="34" t="s">
        <v>60</v>
      </c>
      <c r="Q51" s="8"/>
      <c r="R51" s="8"/>
      <c r="S51" s="8"/>
      <c r="T51" s="8"/>
    </row>
    <row r="52" spans="2:20" ht="12" customHeight="1" x14ac:dyDescent="0.15">
      <c r="B52" s="4"/>
      <c r="C52" s="27"/>
      <c r="D52" s="24" t="s">
        <v>61</v>
      </c>
      <c r="E52" s="8"/>
      <c r="G52" s="26" t="s">
        <v>62</v>
      </c>
      <c r="L52" s="34"/>
      <c r="Q52" s="8"/>
      <c r="R52" s="8"/>
      <c r="S52" s="8"/>
      <c r="T52" s="8"/>
    </row>
    <row r="53" spans="2:20" ht="12" customHeight="1" x14ac:dyDescent="0.15">
      <c r="B53" s="4"/>
      <c r="D53" s="7"/>
      <c r="E53" s="8"/>
      <c r="G53" s="26"/>
      <c r="L53" s="34"/>
      <c r="Q53" s="8"/>
      <c r="R53" s="8"/>
      <c r="S53" s="8"/>
      <c r="T53" s="8"/>
    </row>
    <row r="54" spans="2:20" ht="12" customHeight="1" x14ac:dyDescent="0.15">
      <c r="B54" s="4"/>
      <c r="C54" s="36" t="s">
        <v>63</v>
      </c>
      <c r="D54" s="7"/>
      <c r="E54" s="8"/>
      <c r="G54" s="26" t="s">
        <v>64</v>
      </c>
      <c r="L54" s="34"/>
      <c r="Q54" s="8"/>
      <c r="R54" s="8"/>
      <c r="S54" s="8"/>
      <c r="T54" s="8"/>
    </row>
    <row r="55" spans="2:20" ht="12" customHeight="1" x14ac:dyDescent="0.15">
      <c r="B55" s="4"/>
      <c r="C55" s="36" t="s">
        <v>65</v>
      </c>
      <c r="D55" s="24"/>
      <c r="E55" s="8"/>
      <c r="G55" s="26" t="s">
        <v>66</v>
      </c>
      <c r="L55" s="34"/>
      <c r="Q55" s="8"/>
      <c r="R55" s="8"/>
      <c r="S55" s="8"/>
      <c r="T55" s="8"/>
    </row>
    <row r="56" spans="2:20" ht="12" customHeight="1" x14ac:dyDescent="0.15">
      <c r="B56" s="4"/>
      <c r="D56" s="24"/>
      <c r="E56" s="8"/>
      <c r="G56" s="26"/>
      <c r="L56" s="34"/>
      <c r="Q56" s="8"/>
      <c r="R56" s="8"/>
      <c r="S56" s="8"/>
      <c r="T56" s="8"/>
    </row>
    <row r="57" spans="2:20" ht="20.25" customHeight="1" thickBot="1" x14ac:dyDescent="0.25">
      <c r="B57" s="16"/>
      <c r="C57" s="17" t="s">
        <v>67</v>
      </c>
      <c r="D57" s="18"/>
      <c r="E57" s="19"/>
      <c r="F57" s="18"/>
      <c r="G57" s="18"/>
      <c r="H57" s="18"/>
      <c r="I57" s="16"/>
      <c r="J57" s="18"/>
      <c r="K57" s="18"/>
      <c r="L57" s="18"/>
      <c r="M57" s="16"/>
      <c r="N57" s="18"/>
      <c r="O57" s="18"/>
      <c r="P57" s="18"/>
      <c r="Q57" s="29"/>
      <c r="R57" s="8"/>
      <c r="S57" s="8"/>
      <c r="T57" s="8"/>
    </row>
    <row r="58" spans="2:20" ht="12" customHeight="1" thickTop="1" x14ac:dyDescent="0.15">
      <c r="B58" s="4"/>
      <c r="D58" s="7"/>
      <c r="E58" s="8"/>
      <c r="G58" s="26"/>
      <c r="L58" s="34"/>
      <c r="Q58" s="8"/>
      <c r="R58" s="8"/>
      <c r="S58" s="8"/>
      <c r="T58" s="8"/>
    </row>
    <row r="59" spans="2:20" ht="20.25" customHeight="1" x14ac:dyDescent="0.15">
      <c r="B59" s="4"/>
      <c r="D59" s="7"/>
      <c r="E59" s="8"/>
      <c r="G59" s="23" t="s">
        <v>28</v>
      </c>
      <c r="H59" s="21"/>
      <c r="I59" s="21"/>
      <c r="J59" s="21"/>
      <c r="K59" s="21"/>
      <c r="L59" s="23" t="s">
        <v>29</v>
      </c>
      <c r="Q59" s="8"/>
      <c r="R59" s="8"/>
      <c r="S59" s="8"/>
      <c r="T59" s="8"/>
    </row>
    <row r="60" spans="2:20" ht="12" customHeight="1" x14ac:dyDescent="0.15">
      <c r="B60" s="4"/>
      <c r="C60" s="36" t="s">
        <v>68</v>
      </c>
      <c r="D60" s="24"/>
      <c r="E60" s="8"/>
      <c r="G60" s="26" t="s">
        <v>69</v>
      </c>
      <c r="L60" s="34"/>
      <c r="Q60" s="8"/>
      <c r="R60" s="8"/>
      <c r="S60" s="8"/>
      <c r="T60" s="8"/>
    </row>
    <row r="61" spans="2:20" ht="12" customHeight="1" x14ac:dyDescent="0.15">
      <c r="B61" s="4"/>
      <c r="C61" s="24"/>
      <c r="D61" s="24"/>
      <c r="E61" s="8"/>
      <c r="G61" s="26"/>
      <c r="L61" s="34"/>
      <c r="Q61" s="8"/>
      <c r="R61" s="8"/>
      <c r="S61" s="8"/>
      <c r="T61" s="8"/>
    </row>
    <row r="62" spans="2:20" ht="12" customHeight="1" x14ac:dyDescent="0.15">
      <c r="B62" s="4"/>
      <c r="C62" s="36" t="s">
        <v>70</v>
      </c>
      <c r="D62" s="37"/>
      <c r="E62" s="8"/>
      <c r="G62" s="38" t="s">
        <v>71</v>
      </c>
      <c r="L62" s="34"/>
      <c r="Q62" s="8"/>
      <c r="R62" s="8"/>
      <c r="S62" s="8"/>
      <c r="T62" s="8"/>
    </row>
    <row r="63" spans="2:20" ht="12" customHeight="1" x14ac:dyDescent="0.15">
      <c r="B63" s="4"/>
      <c r="C63" s="37"/>
      <c r="D63" s="39" t="s">
        <v>72</v>
      </c>
      <c r="E63" s="8"/>
      <c r="G63" s="38" t="s">
        <v>73</v>
      </c>
      <c r="L63" s="34"/>
      <c r="Q63" s="8"/>
      <c r="R63" s="8"/>
      <c r="S63" s="8"/>
      <c r="T63" s="8"/>
    </row>
    <row r="64" spans="2:20" ht="12" customHeight="1" x14ac:dyDescent="0.2">
      <c r="B64" s="4"/>
      <c r="C64" s="24"/>
      <c r="D64" s="24" t="s">
        <v>74</v>
      </c>
      <c r="E64" s="8"/>
      <c r="G64" s="26" t="s">
        <v>75</v>
      </c>
      <c r="L64" s="40" t="s">
        <v>76</v>
      </c>
      <c r="Q64" s="8"/>
      <c r="R64" s="8"/>
      <c r="S64" s="8"/>
      <c r="T64" s="8"/>
    </row>
    <row r="65" spans="2:20" ht="12" customHeight="1" x14ac:dyDescent="0.2">
      <c r="B65" s="4"/>
      <c r="C65" s="24"/>
      <c r="D65" s="24" t="s">
        <v>77</v>
      </c>
      <c r="E65" s="8"/>
      <c r="G65" s="26" t="s">
        <v>78</v>
      </c>
      <c r="L65" s="40" t="s">
        <v>76</v>
      </c>
      <c r="Q65" s="8"/>
      <c r="R65" s="8"/>
      <c r="S65" s="8"/>
      <c r="T65" s="8"/>
    </row>
    <row r="66" spans="2:20" ht="12" customHeight="1" x14ac:dyDescent="0.15">
      <c r="B66" s="4"/>
      <c r="C66" s="24"/>
      <c r="D66" s="24"/>
      <c r="E66" s="8"/>
      <c r="G66" s="26"/>
      <c r="L66" s="34"/>
      <c r="Q66" s="8"/>
      <c r="R66" s="8"/>
      <c r="S66" s="8"/>
      <c r="T66" s="8"/>
    </row>
    <row r="67" spans="2:20" ht="12" customHeight="1" x14ac:dyDescent="0.15">
      <c r="B67" s="4"/>
      <c r="C67" s="24"/>
      <c r="D67" s="24" t="s">
        <v>79</v>
      </c>
      <c r="E67" s="8"/>
      <c r="G67" s="26" t="s">
        <v>80</v>
      </c>
      <c r="L67" s="34"/>
      <c r="Q67" s="8"/>
      <c r="R67" s="8"/>
      <c r="S67" s="8"/>
      <c r="T67" s="8"/>
    </row>
    <row r="68" spans="2:20" ht="12" customHeight="1" x14ac:dyDescent="0.15">
      <c r="B68" s="4"/>
      <c r="C68" s="24"/>
      <c r="D68" s="24" t="s">
        <v>81</v>
      </c>
      <c r="E68" s="8"/>
      <c r="G68" s="26" t="s">
        <v>82</v>
      </c>
      <c r="L68" s="34"/>
      <c r="Q68" s="8"/>
      <c r="R68" s="8"/>
      <c r="S68" s="8"/>
      <c r="T68" s="8"/>
    </row>
    <row r="69" spans="2:20" ht="12" customHeight="1" x14ac:dyDescent="0.15">
      <c r="B69" s="4"/>
      <c r="C69" s="24"/>
      <c r="D69" s="24" t="s">
        <v>83</v>
      </c>
      <c r="E69" s="8"/>
      <c r="G69" s="26" t="s">
        <v>84</v>
      </c>
      <c r="L69" s="34"/>
      <c r="Q69" s="8"/>
      <c r="R69" s="8"/>
      <c r="S69" s="8"/>
      <c r="T69" s="8"/>
    </row>
    <row r="70" spans="2:20" ht="12" customHeight="1" x14ac:dyDescent="0.2">
      <c r="B70" s="4"/>
      <c r="C70" s="24"/>
      <c r="D70" s="24" t="s">
        <v>85</v>
      </c>
      <c r="E70" s="8"/>
      <c r="G70" s="26" t="s">
        <v>86</v>
      </c>
      <c r="L70" s="40" t="s">
        <v>76</v>
      </c>
      <c r="Q70" s="8"/>
      <c r="R70" s="8"/>
      <c r="S70" s="8"/>
      <c r="T70" s="8"/>
    </row>
    <row r="71" spans="2:20" ht="12" customHeight="1" x14ac:dyDescent="0.2">
      <c r="B71" s="4"/>
      <c r="C71" s="24"/>
      <c r="D71" s="24" t="s">
        <v>87</v>
      </c>
      <c r="E71" s="8"/>
      <c r="G71" s="26" t="s">
        <v>88</v>
      </c>
      <c r="L71" s="40" t="s">
        <v>76</v>
      </c>
      <c r="Q71" s="8"/>
      <c r="R71" s="8"/>
      <c r="S71" s="8"/>
      <c r="T71" s="8"/>
    </row>
    <row r="72" spans="2:20" ht="12" customHeight="1" x14ac:dyDescent="0.15">
      <c r="B72" s="4"/>
      <c r="C72" s="24"/>
      <c r="D72" s="24"/>
      <c r="E72" s="8"/>
      <c r="G72" s="26"/>
      <c r="L72" s="34"/>
      <c r="Q72" s="8"/>
      <c r="R72" s="8"/>
      <c r="S72" s="8"/>
      <c r="T72" s="8"/>
    </row>
    <row r="73" spans="2:20" ht="12" customHeight="1" x14ac:dyDescent="0.15">
      <c r="B73" s="4"/>
      <c r="C73" s="24"/>
      <c r="D73" s="24" t="s">
        <v>89</v>
      </c>
      <c r="E73" s="8"/>
      <c r="G73" s="26" t="s">
        <v>90</v>
      </c>
      <c r="L73" s="34"/>
      <c r="Q73" s="8"/>
      <c r="R73" s="8"/>
      <c r="S73" s="8"/>
      <c r="T73" s="8"/>
    </row>
    <row r="74" spans="2:20" ht="12" customHeight="1" x14ac:dyDescent="0.15">
      <c r="B74" s="4"/>
      <c r="C74" s="24"/>
      <c r="D74" s="24"/>
      <c r="E74" s="8"/>
      <c r="G74" s="26"/>
      <c r="L74" s="34"/>
      <c r="Q74" s="8"/>
      <c r="R74" s="8"/>
      <c r="S74" s="8"/>
      <c r="T74" s="8"/>
    </row>
    <row r="75" spans="2:20" ht="12" customHeight="1" x14ac:dyDescent="0.15">
      <c r="B75" s="4"/>
      <c r="C75" s="39" t="s">
        <v>91</v>
      </c>
      <c r="D75" s="24"/>
      <c r="E75" s="8"/>
      <c r="G75" s="26"/>
      <c r="L75" s="34"/>
      <c r="Q75" s="8"/>
      <c r="R75" s="8"/>
      <c r="S75" s="8"/>
      <c r="T75" s="8"/>
    </row>
    <row r="76" spans="2:20" ht="12" customHeight="1" x14ac:dyDescent="0.15">
      <c r="B76" s="4"/>
      <c r="C76" s="41" t="s">
        <v>92</v>
      </c>
      <c r="D76" s="24"/>
      <c r="E76" s="8"/>
      <c r="G76" s="26"/>
      <c r="L76" s="34"/>
      <c r="Q76" s="8"/>
      <c r="R76" s="8"/>
      <c r="S76" s="8"/>
      <c r="T76" s="8"/>
    </row>
    <row r="77" spans="2:20" ht="12" customHeight="1" x14ac:dyDescent="0.15">
      <c r="B77" s="4"/>
      <c r="C77" s="41" t="s">
        <v>93</v>
      </c>
      <c r="D77" s="24"/>
      <c r="E77" s="8"/>
      <c r="G77" s="26"/>
      <c r="L77" s="34"/>
      <c r="Q77" s="8"/>
      <c r="R77" s="8"/>
      <c r="S77" s="8"/>
      <c r="T77" s="8"/>
    </row>
    <row r="78" spans="2:20" ht="12" customHeight="1" x14ac:dyDescent="0.15">
      <c r="B78" s="4"/>
      <c r="C78" s="41"/>
      <c r="D78" s="24"/>
      <c r="E78" s="8"/>
      <c r="G78" s="26"/>
      <c r="L78" s="34"/>
      <c r="Q78" s="8"/>
      <c r="R78" s="8"/>
      <c r="S78" s="8"/>
      <c r="T78" s="8"/>
    </row>
    <row r="79" spans="2:20" ht="12" customHeight="1" x14ac:dyDescent="0.15">
      <c r="B79" s="4"/>
      <c r="C79" s="24"/>
      <c r="D79" s="36" t="s">
        <v>94</v>
      </c>
      <c r="E79" s="8"/>
      <c r="G79" s="26" t="s">
        <v>95</v>
      </c>
      <c r="L79" s="34"/>
      <c r="Q79" s="8"/>
      <c r="R79" s="8"/>
      <c r="S79" s="8"/>
      <c r="T79" s="8"/>
    </row>
    <row r="80" spans="2:20" ht="12" customHeight="1" x14ac:dyDescent="0.15">
      <c r="B80" s="4"/>
      <c r="C80" s="24"/>
      <c r="D80" s="39"/>
      <c r="E80" s="8"/>
      <c r="G80" s="26"/>
      <c r="L80" s="34"/>
      <c r="Q80" s="8"/>
      <c r="R80" s="8"/>
      <c r="S80" s="8"/>
      <c r="T80" s="8"/>
    </row>
    <row r="81" spans="2:20" ht="12" customHeight="1" x14ac:dyDescent="0.15">
      <c r="B81" s="4"/>
      <c r="C81" s="24"/>
      <c r="D81" s="36" t="s">
        <v>96</v>
      </c>
      <c r="E81" s="27"/>
      <c r="G81" s="26"/>
      <c r="L81" s="34"/>
      <c r="Q81" s="8"/>
      <c r="R81" s="8"/>
      <c r="S81" s="8"/>
      <c r="T81" s="8"/>
    </row>
    <row r="82" spans="2:20" ht="12" customHeight="1" x14ac:dyDescent="0.15">
      <c r="B82" s="4"/>
      <c r="C82" s="24"/>
      <c r="D82" s="36"/>
      <c r="E82" s="24" t="s">
        <v>97</v>
      </c>
      <c r="G82" s="26" t="s">
        <v>98</v>
      </c>
      <c r="L82" s="34"/>
      <c r="Q82" s="8"/>
      <c r="R82" s="8"/>
      <c r="S82" s="8"/>
      <c r="T82" s="8"/>
    </row>
    <row r="83" spans="2:20" ht="12" customHeight="1" x14ac:dyDescent="0.15">
      <c r="B83" s="4"/>
      <c r="C83" s="27"/>
      <c r="D83" s="24"/>
      <c r="E83" s="24" t="s">
        <v>99</v>
      </c>
      <c r="G83" s="26" t="s">
        <v>100</v>
      </c>
      <c r="L83" s="34"/>
      <c r="Q83" s="8"/>
      <c r="R83" s="8"/>
      <c r="S83" s="8"/>
      <c r="T83" s="8"/>
    </row>
    <row r="84" spans="2:20" ht="12" customHeight="1" x14ac:dyDescent="0.15">
      <c r="B84" s="4"/>
      <c r="C84" s="27"/>
      <c r="D84" s="24"/>
      <c r="E84" s="24" t="s">
        <v>101</v>
      </c>
      <c r="G84" s="26" t="s">
        <v>102</v>
      </c>
      <c r="L84" s="34"/>
      <c r="Q84" s="8"/>
      <c r="R84" s="8"/>
      <c r="S84" s="8"/>
      <c r="T84" s="8"/>
    </row>
    <row r="85" spans="2:20" ht="12" customHeight="1" x14ac:dyDescent="0.15">
      <c r="B85" s="4"/>
      <c r="C85" s="27"/>
      <c r="D85" s="24"/>
      <c r="E85" s="24" t="s">
        <v>103</v>
      </c>
      <c r="G85" s="26" t="s">
        <v>104</v>
      </c>
      <c r="L85" s="34" t="s">
        <v>105</v>
      </c>
      <c r="Q85" s="8"/>
      <c r="R85" s="8"/>
      <c r="S85" s="8"/>
      <c r="T85" s="8"/>
    </row>
    <row r="86" spans="2:20" ht="12" customHeight="1" x14ac:dyDescent="0.15">
      <c r="B86" s="4"/>
      <c r="C86" s="27"/>
      <c r="D86" s="35"/>
      <c r="E86" s="24" t="s">
        <v>106</v>
      </c>
      <c r="G86" s="26" t="s">
        <v>107</v>
      </c>
      <c r="L86" s="34" t="s">
        <v>108</v>
      </c>
      <c r="Q86" s="8"/>
      <c r="R86" s="8"/>
      <c r="S86" s="8"/>
      <c r="T86" s="8"/>
    </row>
    <row r="87" spans="2:20" ht="12" customHeight="1" x14ac:dyDescent="0.15">
      <c r="B87" s="4"/>
      <c r="C87" s="27"/>
      <c r="D87" s="35"/>
      <c r="E87" s="8"/>
      <c r="G87" s="26"/>
      <c r="L87" s="34"/>
      <c r="Q87" s="8"/>
      <c r="R87" s="8"/>
      <c r="S87" s="8"/>
      <c r="T87" s="8"/>
    </row>
    <row r="88" spans="2:20" ht="12" customHeight="1" x14ac:dyDescent="0.15">
      <c r="C88" s="27"/>
      <c r="D88" s="36" t="s">
        <v>109</v>
      </c>
      <c r="E88" s="27"/>
      <c r="G88" s="26"/>
      <c r="L88" s="34"/>
      <c r="Q88" s="15"/>
      <c r="R88" s="15"/>
      <c r="S88" s="15"/>
      <c r="T88" s="15"/>
    </row>
    <row r="89" spans="2:20" ht="12" customHeight="1" x14ac:dyDescent="0.15">
      <c r="C89" s="27"/>
      <c r="D89" s="27"/>
      <c r="E89" s="24" t="s">
        <v>110</v>
      </c>
      <c r="G89" s="26" t="s">
        <v>111</v>
      </c>
      <c r="L89" s="34"/>
      <c r="Q89" s="8"/>
      <c r="R89" s="8"/>
      <c r="S89" s="8"/>
      <c r="T89" s="8"/>
    </row>
    <row r="90" spans="2:20" ht="12" customHeight="1" x14ac:dyDescent="0.15">
      <c r="C90" s="27"/>
      <c r="D90" s="35"/>
      <c r="E90" s="25"/>
      <c r="G90" s="26"/>
      <c r="L90" s="34"/>
      <c r="Q90" s="8"/>
      <c r="R90" s="8"/>
      <c r="S90" s="8"/>
      <c r="T90" s="8"/>
    </row>
    <row r="91" spans="2:20" ht="12" customHeight="1" x14ac:dyDescent="0.15">
      <c r="C91" s="27"/>
      <c r="D91" s="36" t="s">
        <v>112</v>
      </c>
      <c r="E91" s="36"/>
      <c r="F91" s="36"/>
      <c r="G91" s="26"/>
      <c r="L91" s="34"/>
      <c r="Q91" s="8"/>
      <c r="R91" s="8"/>
      <c r="S91" s="8"/>
      <c r="T91" s="8"/>
    </row>
    <row r="92" spans="2:20" ht="12" customHeight="1" x14ac:dyDescent="0.15">
      <c r="C92" s="27"/>
      <c r="D92" s="36"/>
      <c r="E92" s="24" t="s">
        <v>113</v>
      </c>
      <c r="F92" s="36"/>
      <c r="G92" s="26" t="s">
        <v>114</v>
      </c>
      <c r="H92" s="9"/>
      <c r="L92" s="34"/>
      <c r="Q92" s="8"/>
      <c r="R92" s="8"/>
      <c r="S92" s="8"/>
      <c r="T92" s="8"/>
    </row>
    <row r="93" spans="2:20" ht="12" customHeight="1" x14ac:dyDescent="0.15">
      <c r="C93" s="27"/>
      <c r="D93" s="35"/>
      <c r="E93" s="8"/>
      <c r="G93" s="26"/>
      <c r="L93" s="34"/>
      <c r="Q93" s="8"/>
      <c r="R93" s="8"/>
      <c r="S93" s="8"/>
      <c r="T93" s="8"/>
    </row>
    <row r="94" spans="2:20" ht="12" customHeight="1" x14ac:dyDescent="0.15">
      <c r="C94" s="27"/>
      <c r="D94" s="36" t="s">
        <v>115</v>
      </c>
      <c r="E94" s="27"/>
      <c r="G94" s="38" t="s">
        <v>116</v>
      </c>
      <c r="L94" s="34"/>
      <c r="Q94" s="8"/>
      <c r="R94" s="8"/>
      <c r="S94" s="8"/>
      <c r="T94" s="8"/>
    </row>
    <row r="95" spans="2:20" x14ac:dyDescent="0.15">
      <c r="C95" s="27"/>
      <c r="D95" s="36"/>
      <c r="E95" s="24" t="s">
        <v>117</v>
      </c>
      <c r="G95" s="26" t="s">
        <v>118</v>
      </c>
      <c r="L95" s="34"/>
      <c r="Q95" s="8"/>
      <c r="R95" s="8"/>
      <c r="S95" s="8"/>
      <c r="T95" s="8"/>
    </row>
    <row r="96" spans="2:20" x14ac:dyDescent="0.15">
      <c r="D96" s="36"/>
      <c r="E96" s="24" t="s">
        <v>119</v>
      </c>
      <c r="G96" s="26" t="s">
        <v>120</v>
      </c>
      <c r="L96" s="34"/>
    </row>
    <row r="97" spans="2:20" x14ac:dyDescent="0.15">
      <c r="D97" s="36"/>
      <c r="E97" s="24" t="s">
        <v>121</v>
      </c>
      <c r="G97" s="26" t="s">
        <v>122</v>
      </c>
      <c r="L97" s="34"/>
    </row>
    <row r="98" spans="2:20" x14ac:dyDescent="0.15">
      <c r="D98" s="27"/>
      <c r="E98" s="24" t="s">
        <v>123</v>
      </c>
      <c r="G98" s="26" t="s">
        <v>124</v>
      </c>
      <c r="L98" s="34"/>
    </row>
    <row r="99" spans="2:20" x14ac:dyDescent="0.15">
      <c r="G99" s="26"/>
      <c r="L99" s="34"/>
    </row>
    <row r="100" spans="2:20" ht="15" thickBot="1" x14ac:dyDescent="0.2">
      <c r="B100" s="42"/>
      <c r="C100" s="43" t="s">
        <v>125</v>
      </c>
      <c r="D100" s="44"/>
      <c r="E100" s="42"/>
      <c r="F100" s="42"/>
      <c r="G100" s="42"/>
      <c r="H100" s="44"/>
      <c r="I100" s="44"/>
      <c r="J100" s="44"/>
      <c r="K100" s="44"/>
      <c r="L100" s="44"/>
      <c r="M100" s="44"/>
      <c r="N100" s="44"/>
      <c r="O100" s="44"/>
      <c r="P100" s="44"/>
      <c r="Q100" s="44"/>
    </row>
    <row r="101" spans="2:20" ht="15" thickTop="1" x14ac:dyDescent="0.15">
      <c r="G101" s="26"/>
      <c r="L101" s="34"/>
    </row>
    <row r="102" spans="2:20" x14ac:dyDescent="0.15">
      <c r="D102" s="45" t="s">
        <v>126</v>
      </c>
      <c r="G102" s="26" t="s">
        <v>127</v>
      </c>
      <c r="L102" s="34"/>
    </row>
    <row r="103" spans="2:20" x14ac:dyDescent="0.15">
      <c r="D103" s="45" t="s">
        <v>128</v>
      </c>
      <c r="G103" s="26" t="s">
        <v>129</v>
      </c>
    </row>
    <row r="104" spans="2:20" x14ac:dyDescent="0.15">
      <c r="D104" s="45" t="s">
        <v>130</v>
      </c>
      <c r="G104" s="26" t="s">
        <v>131</v>
      </c>
    </row>
    <row r="105" spans="2:20" x14ac:dyDescent="0.15">
      <c r="G105" s="26"/>
    </row>
    <row r="106" spans="2:20" x14ac:dyDescent="0.15">
      <c r="D106" s="46" t="s">
        <v>132</v>
      </c>
      <c r="E106" s="47"/>
      <c r="G106" s="26" t="s">
        <v>133</v>
      </c>
      <c r="L106" s="34" t="s">
        <v>134</v>
      </c>
    </row>
    <row r="107" spans="2:20" x14ac:dyDescent="0.15">
      <c r="E107" s="7"/>
      <c r="Q107" s="8"/>
      <c r="R107" s="8"/>
      <c r="S107" s="8"/>
      <c r="T107" s="8"/>
    </row>
    <row r="108" spans="2:20" x14ac:dyDescent="0.15">
      <c r="B108" s="9" t="s">
        <v>135</v>
      </c>
      <c r="E108" s="9" t="s">
        <v>136</v>
      </c>
    </row>
    <row r="109" spans="2:20" x14ac:dyDescent="0.15">
      <c r="B109" s="2" t="s">
        <v>137</v>
      </c>
      <c r="E109" s="2" t="s">
        <v>138</v>
      </c>
    </row>
    <row r="110" spans="2:20" x14ac:dyDescent="0.15">
      <c r="B110" s="2" t="s">
        <v>139</v>
      </c>
      <c r="E110" s="2" t="s">
        <v>140</v>
      </c>
    </row>
  </sheetData>
  <sheetProtection algorithmName="SHA-512" hashValue="O5S/TIXWn8AQ2On5JLRmruf1i2k9fQBb1XtnX1qQpQh3fSyyA7wd20+qEYnoVNjZz5lU5e3tvr3v0HMNP2Py7A==" saltValue="Fplq5pXoSlwakE+r2W6SEA==" spinCount="100000" sheet="1"/>
  <hyperlinks>
    <hyperlink ref="L64" location="NOTE!B74" display="xem giải thích DPD+ tại đây" xr:uid="{AF0512F9-142F-1242-915D-A61A9136D0DE}"/>
    <hyperlink ref="L65" location="NOTE!B74" display="xem giải thích DPD+ tại đây" xr:uid="{17F35C29-4B09-EE49-8D35-202C566E70FE}"/>
    <hyperlink ref="L70" location="NOTE!B74" display="xem giải thích DPD+ tại đây" xr:uid="{6586E075-F0E6-8C47-A618-72F7A3B30C4F}"/>
    <hyperlink ref="L71" location="NOTE!B74" display="xem giải thích DPD+ tại đây" xr:uid="{54BD13D7-F55C-4741-94CA-F367C051DAC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83B69-7265-AC4D-A2C7-F20FDB115E94}">
  <dimension ref="A1:AE41"/>
  <sheetViews>
    <sheetView topLeftCell="L12" workbookViewId="0">
      <selection activeCell="P3" sqref="P3"/>
    </sheetView>
  </sheetViews>
  <sheetFormatPr baseColWidth="10" defaultColWidth="8.83203125" defaultRowHeight="15" x14ac:dyDescent="0.2"/>
  <cols>
    <col min="1" max="1" width="21.83203125" style="48" customWidth="1"/>
    <col min="2" max="2" width="27" style="48" customWidth="1"/>
    <col min="3" max="26" width="8.83203125" style="48"/>
    <col min="27" max="27" width="22.83203125" style="48" customWidth="1"/>
    <col min="28" max="16384" width="8.83203125" style="48"/>
  </cols>
  <sheetData>
    <row r="1" spans="1:3" x14ac:dyDescent="0.2">
      <c r="B1" s="49" t="str">
        <f>Leadsheet!G6</f>
        <v>Q1</v>
      </c>
    </row>
    <row r="2" spans="1:3" x14ac:dyDescent="0.2">
      <c r="B2" s="50" t="s">
        <v>141</v>
      </c>
      <c r="C2" s="48" t="s">
        <v>142</v>
      </c>
    </row>
    <row r="3" spans="1:3" x14ac:dyDescent="0.2">
      <c r="A3" s="51" t="s">
        <v>38</v>
      </c>
      <c r="B3" s="51" t="s">
        <v>143</v>
      </c>
      <c r="C3" s="48">
        <f t="shared" ref="C3:C13" si="0">INDEX($F$26:$Y$27,MATCH($B$1,$F$26:$F$27,0),MATCH($B3,$F$26:$Y$26,0))</f>
        <v>8.3820478753724981</v>
      </c>
    </row>
    <row r="4" spans="1:3" x14ac:dyDescent="0.2">
      <c r="A4" s="51" t="s">
        <v>44</v>
      </c>
      <c r="B4" s="51" t="s">
        <v>144</v>
      </c>
      <c r="C4" s="48">
        <f t="shared" si="0"/>
        <v>9</v>
      </c>
    </row>
    <row r="5" spans="1:3" x14ac:dyDescent="0.2">
      <c r="A5" s="51" t="s">
        <v>56</v>
      </c>
      <c r="B5" s="51" t="s">
        <v>56</v>
      </c>
      <c r="C5" s="48">
        <f t="shared" si="0"/>
        <v>0.34950820748358907</v>
      </c>
    </row>
    <row r="6" spans="1:3" x14ac:dyDescent="0.2">
      <c r="A6" s="51" t="s">
        <v>58</v>
      </c>
      <c r="B6" s="51" t="s">
        <v>58</v>
      </c>
      <c r="C6" s="48">
        <f t="shared" si="0"/>
        <v>6.6359342038446831E-2</v>
      </c>
    </row>
    <row r="7" spans="1:3" x14ac:dyDescent="0.2">
      <c r="A7" s="51" t="s">
        <v>65</v>
      </c>
      <c r="B7" s="51" t="s">
        <v>145</v>
      </c>
      <c r="C7" s="48">
        <f t="shared" si="0"/>
        <v>0.15124250214224508</v>
      </c>
    </row>
    <row r="8" spans="1:3" x14ac:dyDescent="0.2">
      <c r="A8" s="51" t="s">
        <v>97</v>
      </c>
      <c r="B8" s="51" t="s">
        <v>146</v>
      </c>
      <c r="C8" s="48">
        <f t="shared" si="0"/>
        <v>1.402694182186282E-2</v>
      </c>
    </row>
    <row r="9" spans="1:3" x14ac:dyDescent="0.2">
      <c r="A9" s="51" t="s">
        <v>101</v>
      </c>
      <c r="B9" s="51" t="s">
        <v>147</v>
      </c>
      <c r="C9" s="48">
        <f t="shared" si="0"/>
        <v>8.2621508140531276E-4</v>
      </c>
    </row>
    <row r="10" spans="1:3" x14ac:dyDescent="0.2">
      <c r="A10" s="51" t="s">
        <v>103</v>
      </c>
      <c r="B10" s="51" t="s">
        <v>148</v>
      </c>
      <c r="C10" s="48">
        <f t="shared" si="0"/>
        <v>0.1438250692947336</v>
      </c>
    </row>
    <row r="11" spans="1:3" x14ac:dyDescent="0.2">
      <c r="A11" s="51" t="s">
        <v>106</v>
      </c>
      <c r="B11" s="51" t="s">
        <v>149</v>
      </c>
      <c r="C11" s="48">
        <f t="shared" si="0"/>
        <v>0.8501070663811563</v>
      </c>
    </row>
    <row r="12" spans="1:3" x14ac:dyDescent="0.2">
      <c r="A12" s="51" t="s">
        <v>110</v>
      </c>
      <c r="B12" s="51" t="s">
        <v>150</v>
      </c>
      <c r="C12" s="48">
        <f t="shared" si="0"/>
        <v>4.0360679593941205E-3</v>
      </c>
    </row>
    <row r="13" spans="1:3" x14ac:dyDescent="0.2">
      <c r="A13" s="51" t="s">
        <v>113</v>
      </c>
      <c r="B13" s="51" t="s">
        <v>151</v>
      </c>
      <c r="C13" s="48">
        <f t="shared" si="0"/>
        <v>7.6532026870908383E-6</v>
      </c>
    </row>
    <row r="14" spans="1:3" x14ac:dyDescent="0.2">
      <c r="A14" s="51" t="s">
        <v>117</v>
      </c>
      <c r="B14" s="51" t="s">
        <v>152</v>
      </c>
      <c r="C14" s="48">
        <f>INDEX($AA$26:$AE$30,MATCH($B14,$AA$26:$AA$30,0),MATCH($B$1,$AA$26:$AE$26,0))</f>
        <v>7.5933848369420008E-3</v>
      </c>
    </row>
    <row r="15" spans="1:3" x14ac:dyDescent="0.2">
      <c r="A15" s="51" t="s">
        <v>119</v>
      </c>
      <c r="B15" s="51" t="s">
        <v>153</v>
      </c>
      <c r="C15" s="48">
        <f>INDEX($AA$26:$AE$30,MATCH($B15,$AA$26:$AA$30,0),MATCH($B$1,$AA$26:$AE$26,0))</f>
        <v>1.8032512703267879E-2</v>
      </c>
    </row>
    <row r="16" spans="1:3" x14ac:dyDescent="0.2">
      <c r="A16" s="51" t="s">
        <v>121</v>
      </c>
      <c r="B16" s="51" t="s">
        <v>154</v>
      </c>
      <c r="C16" s="48">
        <f>INDEX($AA$26:$AE$30,MATCH($B16,$AA$26:$AA$30,0),MATCH($B$1,$AA$26:$AE$26,0))</f>
        <v>9.9529490852838486E-3</v>
      </c>
    </row>
    <row r="17" spans="1:31" x14ac:dyDescent="0.2">
      <c r="A17" s="51" t="s">
        <v>123</v>
      </c>
      <c r="B17" s="51" t="s">
        <v>155</v>
      </c>
      <c r="C17" s="48">
        <f>INDEX($AA$26:$AE$30,MATCH($B17,$AA$26:$AA$30,0),MATCH($B$1,$AA$26:$AE$26,0))</f>
        <v>7.3406550704903763E-3</v>
      </c>
    </row>
    <row r="19" spans="1:31" x14ac:dyDescent="0.2">
      <c r="B19" s="52" t="s">
        <v>156</v>
      </c>
    </row>
    <row r="20" spans="1:31" ht="16" x14ac:dyDescent="0.2">
      <c r="A20" s="53">
        <v>0</v>
      </c>
      <c r="B20" s="54">
        <f>INDEX($F$26:$Y$27,MATCH($B$1,$F$26:$F$27,0),MATCH($A20,$F$26:$Y$26,0))</f>
        <v>0.05</v>
      </c>
    </row>
    <row r="21" spans="1:31" ht="16" x14ac:dyDescent="0.2">
      <c r="A21" s="53">
        <v>1</v>
      </c>
      <c r="B21" s="54">
        <f>INDEX($F$26:$Y$27,MATCH($B$1,$F$26:$F$27,0),MATCH($A21,$F$26:$Y$26,0))</f>
        <v>0.1</v>
      </c>
    </row>
    <row r="22" spans="1:31" ht="16" x14ac:dyDescent="0.2">
      <c r="A22" s="53">
        <v>2</v>
      </c>
      <c r="B22" s="54">
        <f>INDEX($F$26:$Y$27,MATCH($B$1,$F$26:$F$27,0),MATCH($A22,$F$26:$Y$26,0))</f>
        <v>0.03</v>
      </c>
    </row>
    <row r="26" spans="1:31" x14ac:dyDescent="0.2">
      <c r="A26" s="55" t="s">
        <v>157</v>
      </c>
      <c r="B26" s="55" t="s">
        <v>158</v>
      </c>
      <c r="C26" s="55" t="s">
        <v>159</v>
      </c>
      <c r="D26" s="55" t="s">
        <v>160</v>
      </c>
      <c r="E26" s="55" t="s">
        <v>161</v>
      </c>
      <c r="F26" s="56" t="s">
        <v>162</v>
      </c>
      <c r="G26" s="56" t="s">
        <v>148</v>
      </c>
      <c r="H26" s="56" t="s">
        <v>149</v>
      </c>
      <c r="I26" s="56" t="s">
        <v>56</v>
      </c>
      <c r="J26" s="56" t="s">
        <v>58</v>
      </c>
      <c r="K26" s="57" t="s">
        <v>143</v>
      </c>
      <c r="L26" s="57" t="s">
        <v>144</v>
      </c>
      <c r="M26" s="57" t="s">
        <v>163</v>
      </c>
      <c r="N26" s="57" t="s">
        <v>164</v>
      </c>
      <c r="O26" s="56" t="s">
        <v>165</v>
      </c>
      <c r="P26" s="56" t="s">
        <v>146</v>
      </c>
      <c r="Q26" s="56" t="s">
        <v>150</v>
      </c>
      <c r="R26" s="56" t="s">
        <v>151</v>
      </c>
      <c r="S26" s="56" t="s">
        <v>147</v>
      </c>
      <c r="T26" s="56" t="s">
        <v>145</v>
      </c>
      <c r="U26" s="56" t="s">
        <v>166</v>
      </c>
      <c r="V26" s="56" t="s">
        <v>167</v>
      </c>
      <c r="W26" s="53">
        <v>0</v>
      </c>
      <c r="X26" s="53">
        <v>1</v>
      </c>
      <c r="Y26" s="53">
        <v>2</v>
      </c>
      <c r="AB26" s="48" t="s">
        <v>168</v>
      </c>
      <c r="AC26" s="48" t="s">
        <v>169</v>
      </c>
      <c r="AD26" s="48" t="s">
        <v>170</v>
      </c>
      <c r="AE26" s="48" t="s">
        <v>171</v>
      </c>
    </row>
    <row r="27" spans="1:31" x14ac:dyDescent="0.2">
      <c r="A27" s="58" t="s">
        <v>172</v>
      </c>
      <c r="B27" s="48" t="s">
        <v>173</v>
      </c>
      <c r="C27" s="48" t="s">
        <v>174</v>
      </c>
      <c r="D27" s="48" t="s">
        <v>174</v>
      </c>
      <c r="E27" s="48" t="s">
        <v>175</v>
      </c>
      <c r="F27" s="48" t="s">
        <v>168</v>
      </c>
      <c r="G27" s="48">
        <v>0.1438250692947336</v>
      </c>
      <c r="H27" s="48">
        <v>0.8501070663811563</v>
      </c>
      <c r="I27" s="48">
        <v>0.34950820748358907</v>
      </c>
      <c r="J27" s="48">
        <v>6.6359342038446831E-2</v>
      </c>
      <c r="K27" s="48">
        <v>8.3820478753724981</v>
      </c>
      <c r="L27" s="48">
        <v>9</v>
      </c>
      <c r="O27" s="48">
        <v>0</v>
      </c>
      <c r="P27" s="48">
        <v>1.402694182186282E-2</v>
      </c>
      <c r="Q27" s="48">
        <v>4.0360679593941205E-3</v>
      </c>
      <c r="R27" s="48">
        <v>7.6532026870908383E-6</v>
      </c>
      <c r="S27" s="48">
        <v>8.2621508140531276E-4</v>
      </c>
      <c r="T27" s="48">
        <v>0.15124250214224508</v>
      </c>
      <c r="W27" s="48">
        <v>0.05</v>
      </c>
      <c r="X27" s="48">
        <v>0.1</v>
      </c>
      <c r="Y27" s="48">
        <v>0.03</v>
      </c>
      <c r="AA27" s="51" t="s">
        <v>152</v>
      </c>
      <c r="AB27" s="48">
        <v>7.5933848369420008E-3</v>
      </c>
    </row>
    <row r="28" spans="1:31" x14ac:dyDescent="0.2">
      <c r="A28" s="58"/>
      <c r="AA28" s="51" t="s">
        <v>153</v>
      </c>
      <c r="AB28" s="48">
        <v>1.8032512703267879E-2</v>
      </c>
    </row>
    <row r="29" spans="1:31" x14ac:dyDescent="0.2">
      <c r="AA29" s="51" t="s">
        <v>154</v>
      </c>
      <c r="AB29" s="48">
        <v>9.9529490852838486E-3</v>
      </c>
    </row>
    <row r="30" spans="1:31" x14ac:dyDescent="0.2">
      <c r="AA30" s="51" t="s">
        <v>155</v>
      </c>
      <c r="AB30" s="48">
        <v>7.3406550704903763E-3</v>
      </c>
    </row>
    <row r="32" spans="1:31" x14ac:dyDescent="0.2">
      <c r="A32" s="58"/>
    </row>
    <row r="33" spans="1:1" x14ac:dyDescent="0.2">
      <c r="A33" s="58"/>
    </row>
    <row r="34" spans="1:1" x14ac:dyDescent="0.2">
      <c r="A34" s="58"/>
    </row>
    <row r="35" spans="1:1" x14ac:dyDescent="0.2">
      <c r="A35" s="58"/>
    </row>
    <row r="36" spans="1:1" x14ac:dyDescent="0.2">
      <c r="A36" s="58"/>
    </row>
    <row r="37" spans="1:1" x14ac:dyDescent="0.2">
      <c r="A37" s="58"/>
    </row>
    <row r="38" spans="1:1" x14ac:dyDescent="0.2">
      <c r="A38" s="58"/>
    </row>
    <row r="39" spans="1:1" x14ac:dyDescent="0.2">
      <c r="A39" s="58"/>
    </row>
    <row r="40" spans="1:1" x14ac:dyDescent="0.2">
      <c r="A40" s="58"/>
    </row>
    <row r="41" spans="1:1" x14ac:dyDescent="0.2">
      <c r="A41" s="5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72E84-9A71-1646-8524-3D68C54E2D67}">
  <sheetPr>
    <tabColor rgb="FFFFFF00"/>
    <pageSetUpPr fitToPage="1"/>
  </sheetPr>
  <dimension ref="A1:X120"/>
  <sheetViews>
    <sheetView showGridLines="0" zoomScale="120" zoomScaleNormal="120" zoomScaleSheetLayoutView="70" workbookViewId="0">
      <selection activeCell="P3" sqref="P3"/>
    </sheetView>
  </sheetViews>
  <sheetFormatPr baseColWidth="10" defaultColWidth="9.1640625" defaultRowHeight="12" x14ac:dyDescent="0.15"/>
  <cols>
    <col min="1" max="1" width="4" style="59" customWidth="1"/>
    <col min="2" max="2" width="19.33203125" style="73" customWidth="1"/>
    <col min="3" max="3" width="18.33203125" style="73" bestFit="1" customWidth="1"/>
    <col min="4" max="4" width="8.83203125" style="79" bestFit="1" customWidth="1"/>
    <col min="5" max="5" width="12.5" style="73" bestFit="1" customWidth="1"/>
    <col min="6" max="6" width="9" style="73" customWidth="1"/>
    <col min="7" max="7" width="11.5" style="73" customWidth="1"/>
    <col min="8" max="8" width="10.6640625" style="73" customWidth="1"/>
    <col min="9" max="9" width="15.5" style="79" customWidth="1"/>
    <col min="10" max="10" width="16.6640625" style="79" customWidth="1"/>
    <col min="11" max="11" width="11.5" style="73" customWidth="1"/>
    <col min="12" max="13" width="9" style="73" customWidth="1"/>
    <col min="14" max="16" width="8.5" style="73" customWidth="1"/>
    <col min="17" max="19" width="8.5" style="73" hidden="1" customWidth="1"/>
    <col min="20" max="20" width="8.5" style="73" customWidth="1"/>
    <col min="21" max="21" width="8.5" style="87" hidden="1" customWidth="1"/>
    <col min="22" max="22" width="9.1640625" style="79" customWidth="1"/>
    <col min="23" max="23" width="9.1640625" style="73"/>
    <col min="24" max="24" width="10.5" style="73" bestFit="1" customWidth="1"/>
    <col min="25" max="38" width="9.1640625" style="73"/>
    <col min="39" max="39" width="9.1640625" style="73" customWidth="1"/>
    <col min="40" max="16384" width="9.1640625" style="73"/>
  </cols>
  <sheetData>
    <row r="1" spans="1:23" s="63" customFormat="1" ht="18" customHeight="1" x14ac:dyDescent="0.2">
      <c r="A1" s="59"/>
      <c r="B1" s="60" t="s">
        <v>176</v>
      </c>
      <c r="C1" s="61"/>
      <c r="D1" s="62">
        <v>1</v>
      </c>
      <c r="E1" s="62" t="str">
        <f>C4&amp;C5&amp;C6&amp;G7&amp;G5&amp;G6&amp;G4</f>
        <v>OverdraftAllDPD180+Q1IFRS</v>
      </c>
      <c r="F1" s="62"/>
      <c r="G1" s="62"/>
      <c r="H1" s="62"/>
      <c r="I1" s="61"/>
      <c r="J1" s="61"/>
      <c r="U1" s="64"/>
      <c r="V1" s="61"/>
    </row>
    <row r="2" spans="1:23" s="66" customFormat="1" ht="13" customHeight="1" x14ac:dyDescent="0.15">
      <c r="A2" s="65"/>
      <c r="B2" s="66" t="str">
        <f>NOTE!N2</f>
        <v>KHN</v>
      </c>
      <c r="C2" s="67">
        <f>NOTE!P2</f>
        <v>20251001</v>
      </c>
      <c r="D2" s="66" t="str">
        <f>NOTE!O2</f>
        <v>v5</v>
      </c>
      <c r="I2" s="68"/>
      <c r="U2" s="69"/>
    </row>
    <row r="3" spans="1:23" s="63" customFormat="1" ht="9" customHeight="1" x14ac:dyDescent="0.2">
      <c r="A3" s="70"/>
      <c r="B3" s="24"/>
      <c r="C3" s="24"/>
      <c r="D3" s="71"/>
      <c r="E3" s="24"/>
      <c r="F3" s="24"/>
      <c r="G3" s="24"/>
      <c r="H3" s="62"/>
      <c r="I3" s="72"/>
      <c r="J3" s="61"/>
      <c r="L3" s="73"/>
      <c r="M3" s="73"/>
      <c r="N3" s="73"/>
      <c r="O3" s="73"/>
      <c r="P3" s="73"/>
      <c r="U3" s="64"/>
      <c r="V3" s="61"/>
    </row>
    <row r="4" spans="1:23" s="24" customFormat="1" ht="14" thickBot="1" x14ac:dyDescent="0.2">
      <c r="A4" s="59"/>
      <c r="B4" s="74" t="s">
        <v>159</v>
      </c>
      <c r="C4" s="75" t="s">
        <v>174</v>
      </c>
      <c r="D4" s="76" t="s">
        <v>172</v>
      </c>
      <c r="E4" s="74" t="s">
        <v>30</v>
      </c>
      <c r="F4" s="74"/>
      <c r="G4" s="75" t="s">
        <v>138</v>
      </c>
      <c r="H4" s="77" t="str">
        <f>G4</f>
        <v>IFRS</v>
      </c>
      <c r="L4" s="73"/>
      <c r="M4" s="73"/>
      <c r="N4" s="73"/>
      <c r="O4" s="73"/>
      <c r="P4" s="73"/>
    </row>
    <row r="5" spans="1:23" ht="14" thickBot="1" x14ac:dyDescent="0.2">
      <c r="B5" s="74" t="s">
        <v>177</v>
      </c>
      <c r="C5" s="78" t="s">
        <v>178</v>
      </c>
      <c r="D5" s="76" t="s">
        <v>179</v>
      </c>
      <c r="E5" s="74" t="s">
        <v>33</v>
      </c>
      <c r="F5" s="74"/>
      <c r="G5" s="75" t="s">
        <v>139</v>
      </c>
      <c r="H5" s="77" t="str">
        <f>G5</f>
        <v>DPD180+</v>
      </c>
      <c r="T5" s="79"/>
      <c r="U5" s="79"/>
      <c r="V5" s="73"/>
    </row>
    <row r="6" spans="1:23" ht="14" thickBot="1" x14ac:dyDescent="0.2">
      <c r="B6" s="80" t="s">
        <v>180</v>
      </c>
      <c r="C6" s="78"/>
      <c r="D6" s="76" t="s">
        <v>179</v>
      </c>
      <c r="E6" s="80" t="s">
        <v>181</v>
      </c>
      <c r="F6" s="80"/>
      <c r="G6" s="81" t="s">
        <v>168</v>
      </c>
      <c r="H6" s="77"/>
      <c r="T6" s="79"/>
      <c r="U6" s="79"/>
      <c r="V6" s="73"/>
    </row>
    <row r="7" spans="1:23" ht="14" thickBot="1" x14ac:dyDescent="0.2">
      <c r="A7" s="70"/>
      <c r="B7" s="82"/>
      <c r="C7" s="82"/>
      <c r="D7" s="76"/>
      <c r="E7" s="80"/>
      <c r="F7" s="80"/>
      <c r="G7" s="78"/>
      <c r="H7" s="77">
        <f>G7</f>
        <v>0</v>
      </c>
      <c r="T7" s="79"/>
      <c r="U7" s="79"/>
      <c r="V7" s="73"/>
    </row>
    <row r="8" spans="1:23" ht="13" x14ac:dyDescent="0.15">
      <c r="A8" s="70"/>
      <c r="B8" s="36"/>
      <c r="C8" s="83"/>
      <c r="D8" s="30"/>
      <c r="I8" s="84"/>
      <c r="J8" s="85"/>
      <c r="K8" s="86"/>
      <c r="V8" s="88"/>
    </row>
    <row r="9" spans="1:23" s="58" customFormat="1" ht="14.25" customHeight="1" thickBot="1" x14ac:dyDescent="0.2">
      <c r="A9" s="70"/>
      <c r="B9" s="43" t="s">
        <v>36</v>
      </c>
      <c r="C9" s="89"/>
      <c r="D9" s="90"/>
      <c r="E9" s="89"/>
      <c r="F9" s="89"/>
      <c r="G9" s="89"/>
      <c r="H9" s="91" t="s">
        <v>182</v>
      </c>
      <c r="I9" s="92"/>
      <c r="J9" s="92"/>
      <c r="K9" s="93" t="s">
        <v>183</v>
      </c>
      <c r="L9" s="94"/>
      <c r="M9" s="94"/>
      <c r="N9" s="94"/>
      <c r="O9" s="94"/>
      <c r="P9" s="94"/>
      <c r="Q9" s="94"/>
      <c r="R9" s="94"/>
      <c r="S9" s="94"/>
      <c r="T9" s="94"/>
      <c r="U9" s="94" t="s">
        <v>182</v>
      </c>
    </row>
    <row r="10" spans="1:23" s="58" customFormat="1" ht="13.5" customHeight="1" thickTop="1" x14ac:dyDescent="0.15">
      <c r="A10" s="70"/>
      <c r="D10" s="92"/>
      <c r="I10" s="92"/>
      <c r="J10" s="92"/>
      <c r="N10" s="95"/>
      <c r="O10" s="95"/>
      <c r="P10" s="95"/>
      <c r="Q10" s="95"/>
      <c r="R10" s="95"/>
      <c r="U10" s="96"/>
    </row>
    <row r="11" spans="1:23" s="58" customFormat="1" x14ac:dyDescent="0.15">
      <c r="A11" s="59"/>
      <c r="B11" s="97" t="s">
        <v>37</v>
      </c>
      <c r="C11" s="58" t="s">
        <v>38</v>
      </c>
      <c r="D11" s="92"/>
      <c r="E11" s="98">
        <f>DATA!C3</f>
        <v>8.3820478753724981</v>
      </c>
      <c r="F11" s="95"/>
      <c r="G11" s="99"/>
      <c r="H11" s="95"/>
      <c r="I11" s="92"/>
      <c r="J11" s="92"/>
      <c r="K11" s="100"/>
      <c r="N11" s="101" t="s">
        <v>184</v>
      </c>
      <c r="O11" s="101" t="s">
        <v>185</v>
      </c>
      <c r="P11" s="101" t="s">
        <v>186</v>
      </c>
      <c r="Q11" s="101" t="s">
        <v>187</v>
      </c>
      <c r="R11" s="101" t="s">
        <v>188</v>
      </c>
      <c r="S11" s="101" t="s">
        <v>189</v>
      </c>
      <c r="T11" s="102" t="s">
        <v>190</v>
      </c>
      <c r="U11" s="103" t="s">
        <v>191</v>
      </c>
    </row>
    <row r="12" spans="1:23" s="58" customFormat="1" ht="11.25" customHeight="1" x14ac:dyDescent="0.15">
      <c r="A12" s="59"/>
      <c r="C12" s="58" t="s">
        <v>41</v>
      </c>
      <c r="D12" s="92"/>
      <c r="E12" s="104" t="s">
        <v>192</v>
      </c>
      <c r="G12" s="105"/>
      <c r="I12" s="92"/>
      <c r="J12" s="92"/>
      <c r="K12" s="97" t="s">
        <v>193</v>
      </c>
      <c r="N12" s="106">
        <f t="shared" ref="N12:S12" si="0">N30</f>
        <v>4.234683897215346</v>
      </c>
      <c r="O12" s="106">
        <f t="shared" si="0"/>
        <v>4.9448101350082148</v>
      </c>
      <c r="P12" s="106">
        <f t="shared" si="0"/>
        <v>1.3941789460438727</v>
      </c>
      <c r="Q12" s="106">
        <f t="shared" si="0"/>
        <v>0</v>
      </c>
      <c r="R12" s="106">
        <f t="shared" si="0"/>
        <v>0</v>
      </c>
      <c r="S12" s="106">
        <f t="shared" si="0"/>
        <v>0</v>
      </c>
      <c r="T12" s="107"/>
      <c r="U12" s="108">
        <f t="shared" ref="U12:U24" si="1">N12/$E$11</f>
        <v>0.50520874614154565</v>
      </c>
    </row>
    <row r="13" spans="1:23" s="58" customFormat="1" ht="11" x14ac:dyDescent="0.15">
      <c r="A13" s="59"/>
      <c r="C13" s="58" t="s">
        <v>44</v>
      </c>
      <c r="D13" s="92"/>
      <c r="E13" s="109">
        <f>DATA!C4</f>
        <v>9</v>
      </c>
      <c r="F13" s="110" t="s">
        <v>194</v>
      </c>
      <c r="G13" s="105"/>
      <c r="I13" s="111"/>
      <c r="J13" s="112"/>
      <c r="K13" s="97" t="s">
        <v>195</v>
      </c>
      <c r="L13" s="113"/>
      <c r="N13" s="106">
        <f t="shared" ref="N13:S13" si="2">SUM(N14:N16)</f>
        <v>1.3218960173079004</v>
      </c>
      <c r="O13" s="106">
        <f t="shared" si="2"/>
        <v>1.345025216693732</v>
      </c>
      <c r="P13" s="106">
        <f t="shared" si="2"/>
        <v>-2.3129199385831665E-2</v>
      </c>
      <c r="Q13" s="106">
        <f t="shared" si="2"/>
        <v>0</v>
      </c>
      <c r="R13" s="106">
        <f t="shared" si="2"/>
        <v>0</v>
      </c>
      <c r="S13" s="106">
        <f t="shared" si="2"/>
        <v>0</v>
      </c>
      <c r="T13" s="114">
        <f t="shared" ref="T13:T24" si="3">N13/$E$15*12/$N$12</f>
        <v>0.24972745062310903</v>
      </c>
      <c r="U13" s="108">
        <f t="shared" si="1"/>
        <v>0.15770561525803209</v>
      </c>
      <c r="W13" s="95"/>
    </row>
    <row r="14" spans="1:23" s="58" customFormat="1" ht="11" x14ac:dyDescent="0.15">
      <c r="A14" s="59"/>
      <c r="C14" s="58" t="s">
        <v>47</v>
      </c>
      <c r="D14" s="92"/>
      <c r="E14" s="115">
        <v>6</v>
      </c>
      <c r="F14" s="116"/>
      <c r="G14" s="105"/>
      <c r="I14" s="111"/>
      <c r="J14" s="112"/>
      <c r="K14" s="117" t="s">
        <v>196</v>
      </c>
      <c r="N14" s="118">
        <f t="shared" ref="N14:S14" si="4">N32</f>
        <v>1.1706535151656554</v>
      </c>
      <c r="O14" s="118">
        <f t="shared" si="4"/>
        <v>1.193782714551487</v>
      </c>
      <c r="P14" s="118">
        <f t="shared" si="4"/>
        <v>-2.3129199385831665E-2</v>
      </c>
      <c r="Q14" s="118">
        <f t="shared" si="4"/>
        <v>0</v>
      </c>
      <c r="R14" s="118">
        <f t="shared" si="4"/>
        <v>0</v>
      </c>
      <c r="S14" s="118">
        <f t="shared" si="4"/>
        <v>0</v>
      </c>
      <c r="T14" s="119">
        <f t="shared" si="3"/>
        <v>0.22115530577107897</v>
      </c>
      <c r="U14" s="120">
        <f t="shared" si="1"/>
        <v>0.13966199341394619</v>
      </c>
    </row>
    <row r="15" spans="1:23" s="58" customFormat="1" ht="11" x14ac:dyDescent="0.15">
      <c r="A15" s="59"/>
      <c r="C15" s="58" t="s">
        <v>50</v>
      </c>
      <c r="D15" s="92"/>
      <c r="E15" s="121">
        <f>E13+E14</f>
        <v>15</v>
      </c>
      <c r="I15" s="111"/>
      <c r="J15" s="112"/>
      <c r="K15" s="117" t="s">
        <v>197</v>
      </c>
      <c r="N15" s="118">
        <f t="shared" ref="N15:S15" si="5">N35</f>
        <v>0.15124250214224508</v>
      </c>
      <c r="O15" s="118">
        <f t="shared" si="5"/>
        <v>0.15124250214224508</v>
      </c>
      <c r="P15" s="118">
        <f t="shared" si="5"/>
        <v>0</v>
      </c>
      <c r="Q15" s="118">
        <f t="shared" si="5"/>
        <v>0</v>
      </c>
      <c r="R15" s="118">
        <f t="shared" si="5"/>
        <v>0</v>
      </c>
      <c r="S15" s="118">
        <f t="shared" si="5"/>
        <v>0</v>
      </c>
      <c r="T15" s="119">
        <f t="shared" si="3"/>
        <v>2.8572144852030062E-2</v>
      </c>
      <c r="U15" s="120">
        <f t="shared" si="1"/>
        <v>1.8043621844085908E-2</v>
      </c>
    </row>
    <row r="16" spans="1:23" s="58" customFormat="1" ht="11" x14ac:dyDescent="0.15">
      <c r="A16" s="59"/>
      <c r="D16" s="92"/>
      <c r="E16" s="92"/>
      <c r="F16" s="92"/>
      <c r="G16" s="122"/>
      <c r="H16" s="123"/>
      <c r="I16" s="111"/>
      <c r="J16" s="112"/>
      <c r="K16" s="117" t="s">
        <v>198</v>
      </c>
      <c r="N16" s="118">
        <f t="shared" ref="N16:S17" si="6">N39</f>
        <v>0</v>
      </c>
      <c r="O16" s="118">
        <f t="shared" si="6"/>
        <v>0</v>
      </c>
      <c r="P16" s="118">
        <f t="shared" si="6"/>
        <v>0</v>
      </c>
      <c r="Q16" s="118">
        <f t="shared" si="6"/>
        <v>0</v>
      </c>
      <c r="R16" s="118">
        <f t="shared" si="6"/>
        <v>0</v>
      </c>
      <c r="S16" s="118">
        <f t="shared" si="6"/>
        <v>0</v>
      </c>
      <c r="T16" s="119">
        <f t="shared" si="3"/>
        <v>0</v>
      </c>
      <c r="U16" s="120">
        <f t="shared" si="1"/>
        <v>0</v>
      </c>
    </row>
    <row r="17" spans="1:24" s="58" customFormat="1" ht="11" x14ac:dyDescent="0.15">
      <c r="A17" s="59"/>
      <c r="B17" s="97" t="s">
        <v>53</v>
      </c>
      <c r="C17" s="124" t="s">
        <v>199</v>
      </c>
      <c r="D17" s="125" t="s">
        <v>200</v>
      </c>
      <c r="E17" s="124" t="s">
        <v>56</v>
      </c>
      <c r="F17" s="124" t="s">
        <v>58</v>
      </c>
      <c r="G17" s="124" t="s">
        <v>61</v>
      </c>
      <c r="I17" s="111"/>
      <c r="J17" s="112"/>
      <c r="K17" s="97" t="s">
        <v>201</v>
      </c>
      <c r="N17" s="106">
        <f t="shared" si="6"/>
        <v>-1.3189241870375423</v>
      </c>
      <c r="O17" s="106">
        <f t="shared" si="6"/>
        <v>-1.3088780044240715</v>
      </c>
      <c r="P17" s="106">
        <f t="shared" si="6"/>
        <v>-1.0046182613470789E-2</v>
      </c>
      <c r="Q17" s="106">
        <f t="shared" si="6"/>
        <v>0</v>
      </c>
      <c r="R17" s="106">
        <f t="shared" si="6"/>
        <v>0</v>
      </c>
      <c r="S17" s="106">
        <f t="shared" si="6"/>
        <v>0</v>
      </c>
      <c r="T17" s="114">
        <f t="shared" si="3"/>
        <v>-0.2491660240151278</v>
      </c>
      <c r="U17" s="108">
        <f t="shared" si="1"/>
        <v>-0.15735106821719619</v>
      </c>
    </row>
    <row r="18" spans="1:24" s="58" customFormat="1" ht="11" x14ac:dyDescent="0.15">
      <c r="A18" s="59"/>
      <c r="B18" s="126" t="s">
        <v>202</v>
      </c>
      <c r="C18" s="127">
        <v>1</v>
      </c>
      <c r="D18" s="128">
        <f>E13</f>
        <v>9</v>
      </c>
      <c r="E18" s="129">
        <f>DATA!C5</f>
        <v>0.34950820748358907</v>
      </c>
      <c r="F18" s="129">
        <f>DATA!C6</f>
        <v>6.6359342038446831E-2</v>
      </c>
      <c r="G18" s="130">
        <f>E18-F18</f>
        <v>0.28314886544514223</v>
      </c>
      <c r="I18" s="111"/>
      <c r="J18" s="112"/>
      <c r="K18" s="97" t="s">
        <v>203</v>
      </c>
      <c r="N18" s="106">
        <f t="shared" ref="N18:S18" si="7">SUM(N19:N22)</f>
        <v>-0.33047051086760787</v>
      </c>
      <c r="O18" s="106">
        <f t="shared" si="7"/>
        <v>-0.32827852474666658</v>
      </c>
      <c r="P18" s="106">
        <f t="shared" si="7"/>
        <v>-2.1919861209412903E-3</v>
      </c>
      <c r="Q18" s="106">
        <f t="shared" si="7"/>
        <v>0</v>
      </c>
      <c r="R18" s="106">
        <f t="shared" si="7"/>
        <v>0</v>
      </c>
      <c r="S18" s="106">
        <f t="shared" si="7"/>
        <v>0</v>
      </c>
      <c r="T18" s="114">
        <f t="shared" si="3"/>
        <v>-6.2431202685030537E-2</v>
      </c>
      <c r="U18" s="108">
        <f t="shared" si="1"/>
        <v>-3.9425987035766219E-2</v>
      </c>
    </row>
    <row r="19" spans="1:24" s="58" customFormat="1" ht="11" x14ac:dyDescent="0.15">
      <c r="A19" s="59">
        <v>1</v>
      </c>
      <c r="B19" s="126" t="s">
        <v>204</v>
      </c>
      <c r="C19" s="127">
        <f>IF(D18="","",IF(D18&gt;$E$13,"",D18+1))</f>
        <v>10</v>
      </c>
      <c r="D19" s="131">
        <f>E15</f>
        <v>15</v>
      </c>
      <c r="E19" s="129">
        <f>E18</f>
        <v>0.34950820748358907</v>
      </c>
      <c r="F19" s="129">
        <f>F18</f>
        <v>6.6359342038446831E-2</v>
      </c>
      <c r="G19" s="130"/>
      <c r="I19" s="111"/>
      <c r="J19" s="112"/>
      <c r="K19" s="117" t="s">
        <v>70</v>
      </c>
      <c r="N19" s="118">
        <f t="shared" ref="N19:S19" si="8">SUM(N42)</f>
        <v>0</v>
      </c>
      <c r="O19" s="118">
        <f t="shared" si="8"/>
        <v>0</v>
      </c>
      <c r="P19" s="118">
        <f t="shared" si="8"/>
        <v>0</v>
      </c>
      <c r="Q19" s="118">
        <f t="shared" si="8"/>
        <v>0</v>
      </c>
      <c r="R19" s="118">
        <f t="shared" si="8"/>
        <v>0</v>
      </c>
      <c r="S19" s="118">
        <f t="shared" si="8"/>
        <v>0</v>
      </c>
      <c r="T19" s="119">
        <f t="shared" si="3"/>
        <v>0</v>
      </c>
      <c r="U19" s="120">
        <f t="shared" si="1"/>
        <v>0</v>
      </c>
    </row>
    <row r="20" spans="1:24" s="58" customFormat="1" ht="11" x14ac:dyDescent="0.15">
      <c r="A20" s="59">
        <v>2</v>
      </c>
      <c r="B20" s="59">
        <v>3</v>
      </c>
      <c r="C20" s="132" t="str">
        <f>IF(D19="","",IF(D19&gt;$E$13,"",D19+1))</f>
        <v/>
      </c>
      <c r="D20" s="133"/>
      <c r="E20" s="130"/>
      <c r="F20" s="130"/>
      <c r="G20" s="130"/>
      <c r="I20" s="111"/>
      <c r="J20" s="112"/>
      <c r="K20" s="117" t="s">
        <v>205</v>
      </c>
      <c r="N20" s="134">
        <f t="shared" ref="N20:S20" si="9">N46</f>
        <v>-1.4853156903268133E-2</v>
      </c>
      <c r="O20" s="118">
        <f t="shared" si="9"/>
        <v>-1.4853156903268133E-2</v>
      </c>
      <c r="P20" s="134">
        <f t="shared" si="9"/>
        <v>0</v>
      </c>
      <c r="Q20" s="134">
        <f t="shared" si="9"/>
        <v>0</v>
      </c>
      <c r="R20" s="134">
        <f t="shared" si="9"/>
        <v>0</v>
      </c>
      <c r="S20" s="134">
        <f t="shared" si="9"/>
        <v>0</v>
      </c>
      <c r="T20" s="119">
        <f t="shared" si="3"/>
        <v>-2.8060005920225234E-3</v>
      </c>
      <c r="U20" s="120">
        <f t="shared" si="1"/>
        <v>-1.7720200509601669E-3</v>
      </c>
    </row>
    <row r="21" spans="1:24" s="58" customFormat="1" ht="11" x14ac:dyDescent="0.15">
      <c r="A21" s="59">
        <v>3</v>
      </c>
      <c r="B21" s="59">
        <v>4</v>
      </c>
      <c r="C21" s="135"/>
      <c r="D21" s="136"/>
      <c r="E21" s="137"/>
      <c r="F21" s="137"/>
      <c r="G21" s="137"/>
      <c r="I21" s="92"/>
      <c r="J21" s="112"/>
      <c r="K21" s="117" t="s">
        <v>206</v>
      </c>
      <c r="N21" s="134">
        <f t="shared" ref="N21:S21" si="10">N49</f>
        <v>-3.234864277084467E-2</v>
      </c>
      <c r="O21" s="134">
        <f t="shared" si="10"/>
        <v>-3.0156656649903378E-2</v>
      </c>
      <c r="P21" s="134">
        <f t="shared" si="10"/>
        <v>-2.1919861209412903E-3</v>
      </c>
      <c r="Q21" s="134">
        <f t="shared" si="10"/>
        <v>0</v>
      </c>
      <c r="R21" s="134">
        <f t="shared" si="10"/>
        <v>0</v>
      </c>
      <c r="S21" s="134">
        <f t="shared" si="10"/>
        <v>0</v>
      </c>
      <c r="T21" s="119">
        <f t="shared" si="3"/>
        <v>-6.1111796877432239E-3</v>
      </c>
      <c r="U21" s="120">
        <f t="shared" si="1"/>
        <v>-3.859276784363045E-3</v>
      </c>
    </row>
    <row r="22" spans="1:24" s="58" customFormat="1" ht="11" x14ac:dyDescent="0.15">
      <c r="A22" s="59">
        <v>4</v>
      </c>
      <c r="B22" s="59">
        <v>5</v>
      </c>
      <c r="C22" s="135"/>
      <c r="D22" s="136"/>
      <c r="E22" s="137"/>
      <c r="F22" s="137"/>
      <c r="G22" s="137"/>
      <c r="I22" s="92"/>
      <c r="J22" s="92"/>
      <c r="K22" s="117" t="s">
        <v>207</v>
      </c>
      <c r="N22" s="118">
        <f t="shared" ref="N22:S22" si="11">N53</f>
        <v>-0.28326871119349506</v>
      </c>
      <c r="O22" s="118">
        <f t="shared" si="11"/>
        <v>-0.28326871119349506</v>
      </c>
      <c r="P22" s="118">
        <f t="shared" si="11"/>
        <v>0</v>
      </c>
      <c r="Q22" s="118">
        <f t="shared" si="11"/>
        <v>0</v>
      </c>
      <c r="R22" s="118">
        <f t="shared" si="11"/>
        <v>0</v>
      </c>
      <c r="S22" s="118">
        <f t="shared" si="11"/>
        <v>0</v>
      </c>
      <c r="T22" s="119">
        <f t="shared" si="3"/>
        <v>-5.3514022405264788E-2</v>
      </c>
      <c r="U22" s="120">
        <f t="shared" si="1"/>
        <v>-3.3794690200443005E-2</v>
      </c>
    </row>
    <row r="23" spans="1:24" s="58" customFormat="1" ht="11" x14ac:dyDescent="0.15">
      <c r="A23" s="59">
        <v>5</v>
      </c>
      <c r="B23" s="59">
        <v>6</v>
      </c>
      <c r="C23" s="135"/>
      <c r="D23" s="136"/>
      <c r="E23" s="137"/>
      <c r="F23" s="137"/>
      <c r="G23" s="137"/>
      <c r="I23" s="92"/>
      <c r="J23" s="92"/>
      <c r="K23" s="97" t="s">
        <v>208</v>
      </c>
      <c r="N23" s="106">
        <f t="shared" ref="N23:S23" si="12">N13+N17+N18</f>
        <v>-0.32749868059724979</v>
      </c>
      <c r="O23" s="106">
        <f t="shared" si="12"/>
        <v>-0.29213131247700613</v>
      </c>
      <c r="P23" s="106">
        <f t="shared" si="12"/>
        <v>-3.5367368120243742E-2</v>
      </c>
      <c r="Q23" s="106">
        <f t="shared" si="12"/>
        <v>0</v>
      </c>
      <c r="R23" s="106">
        <f t="shared" si="12"/>
        <v>0</v>
      </c>
      <c r="S23" s="106">
        <f t="shared" si="12"/>
        <v>0</v>
      </c>
      <c r="T23" s="114">
        <f t="shared" si="3"/>
        <v>-6.1869776077049292E-2</v>
      </c>
      <c r="U23" s="108">
        <f t="shared" si="1"/>
        <v>-3.9071439994930325E-2</v>
      </c>
    </row>
    <row r="24" spans="1:24" s="58" customFormat="1" ht="11" x14ac:dyDescent="0.15">
      <c r="A24" s="59"/>
      <c r="B24" s="138"/>
      <c r="C24" s="139"/>
      <c r="D24" s="123"/>
      <c r="E24" s="123"/>
      <c r="F24" s="123"/>
      <c r="G24" s="123"/>
      <c r="H24" s="123"/>
      <c r="I24" s="92"/>
      <c r="J24" s="92"/>
      <c r="K24" s="58" t="s">
        <v>209</v>
      </c>
      <c r="N24" s="106">
        <f t="shared" ref="N24:S24" si="13">N23-N22</f>
        <v>-4.4229969403754732E-2</v>
      </c>
      <c r="O24" s="118">
        <f t="shared" si="13"/>
        <v>-8.8626012835110735E-3</v>
      </c>
      <c r="P24" s="118">
        <f t="shared" si="13"/>
        <v>-3.5367368120243742E-2</v>
      </c>
      <c r="Q24" s="118">
        <f t="shared" si="13"/>
        <v>0</v>
      </c>
      <c r="R24" s="118">
        <f t="shared" si="13"/>
        <v>0</v>
      </c>
      <c r="S24" s="118">
        <f t="shared" si="13"/>
        <v>0</v>
      </c>
      <c r="T24" s="119">
        <f t="shared" si="3"/>
        <v>-8.3557536717844914E-3</v>
      </c>
      <c r="U24" s="120">
        <f t="shared" si="1"/>
        <v>-5.276749794487323E-3</v>
      </c>
      <c r="V24" s="92"/>
    </row>
    <row r="25" spans="1:24" s="58" customFormat="1" ht="15.75" customHeight="1" x14ac:dyDescent="0.15">
      <c r="A25" s="59"/>
      <c r="B25" s="97" t="s">
        <v>210</v>
      </c>
      <c r="C25" s="52" t="s">
        <v>199</v>
      </c>
      <c r="D25" s="140" t="s">
        <v>200</v>
      </c>
      <c r="E25" s="141" t="s">
        <v>211</v>
      </c>
      <c r="F25" s="141" t="s">
        <v>212</v>
      </c>
      <c r="G25" s="52" t="s">
        <v>156</v>
      </c>
      <c r="H25" s="142"/>
      <c r="I25" s="92"/>
      <c r="J25" s="92"/>
      <c r="V25" s="96"/>
    </row>
    <row r="26" spans="1:24" s="58" customFormat="1" ht="11" x14ac:dyDescent="0.15">
      <c r="A26" s="143"/>
      <c r="B26" s="144" t="s">
        <v>213</v>
      </c>
      <c r="C26" s="53">
        <v>0</v>
      </c>
      <c r="D26" s="145">
        <v>0</v>
      </c>
      <c r="E26" s="146"/>
      <c r="F26" s="130"/>
      <c r="G26" s="147">
        <f>DATA!B20</f>
        <v>0.05</v>
      </c>
      <c r="H26" s="110" t="s">
        <v>214</v>
      </c>
      <c r="I26" s="92"/>
      <c r="J26" s="111"/>
      <c r="N26" s="95"/>
      <c r="U26" s="148"/>
      <c r="V26" s="149"/>
    </row>
    <row r="27" spans="1:24" s="58" customFormat="1" ht="14" thickBot="1" x14ac:dyDescent="0.2">
      <c r="A27" s="59"/>
      <c r="B27" s="144" t="s">
        <v>215</v>
      </c>
      <c r="C27" s="53">
        <f>IF(D26="","",IF(D26&gt;$E$13,"",D26+1))</f>
        <v>1</v>
      </c>
      <c r="D27" s="145">
        <v>1</v>
      </c>
      <c r="E27" s="146"/>
      <c r="F27" s="130"/>
      <c r="G27" s="147">
        <f>DATA!B21</f>
        <v>0.1</v>
      </c>
      <c r="H27" s="110" t="s">
        <v>214</v>
      </c>
      <c r="I27" s="92"/>
      <c r="J27" s="92"/>
      <c r="K27" s="93" t="s">
        <v>216</v>
      </c>
      <c r="L27" s="94"/>
      <c r="M27" s="94"/>
      <c r="N27" s="94"/>
      <c r="O27" s="94"/>
      <c r="P27" s="94"/>
      <c r="Q27" s="94"/>
      <c r="R27" s="94"/>
      <c r="S27" s="94"/>
      <c r="T27" s="94"/>
      <c r="U27" s="94" t="s">
        <v>182</v>
      </c>
      <c r="V27" s="92"/>
    </row>
    <row r="28" spans="1:24" s="58" customFormat="1" ht="12.75" customHeight="1" x14ac:dyDescent="0.15">
      <c r="A28" s="59"/>
      <c r="B28" s="144"/>
      <c r="C28" s="53">
        <f>IF(D27="","",IF(D27&gt;$E$13,"",D27+1))</f>
        <v>2</v>
      </c>
      <c r="D28" s="145">
        <f>E13</f>
        <v>9</v>
      </c>
      <c r="E28" s="146"/>
      <c r="F28" s="130"/>
      <c r="G28" s="147">
        <f>DATA!B22</f>
        <v>0.03</v>
      </c>
      <c r="H28" s="110" t="s">
        <v>214</v>
      </c>
      <c r="I28" s="92"/>
      <c r="J28" s="150"/>
      <c r="L28" s="151"/>
      <c r="M28" s="151"/>
      <c r="O28" s="151"/>
      <c r="P28" s="151"/>
      <c r="Q28" s="151"/>
      <c r="R28" s="151"/>
      <c r="U28" s="148"/>
      <c r="V28" s="150"/>
      <c r="W28" s="95"/>
      <c r="X28" s="152"/>
    </row>
    <row r="29" spans="1:24" s="58" customFormat="1" ht="11" x14ac:dyDescent="0.15">
      <c r="A29" s="59"/>
      <c r="B29" s="144"/>
      <c r="C29" s="153">
        <f>IF(D28="","",IF(D28&gt;$E$13,"",D28+1))</f>
        <v>10</v>
      </c>
      <c r="D29" s="154"/>
      <c r="E29" s="146"/>
      <c r="F29" s="130"/>
      <c r="G29" s="146"/>
      <c r="I29" s="92"/>
      <c r="J29" s="155"/>
      <c r="N29" s="101" t="s">
        <v>184</v>
      </c>
      <c r="O29" s="101" t="s">
        <v>185</v>
      </c>
      <c r="P29" s="101" t="s">
        <v>186</v>
      </c>
      <c r="Q29" s="101" t="s">
        <v>187</v>
      </c>
      <c r="R29" s="101" t="s">
        <v>188</v>
      </c>
      <c r="S29" s="101" t="s">
        <v>189</v>
      </c>
      <c r="T29" s="101" t="s">
        <v>190</v>
      </c>
      <c r="U29" s="156" t="s">
        <v>191</v>
      </c>
      <c r="V29" s="150"/>
      <c r="W29" s="95"/>
      <c r="X29" s="152"/>
    </row>
    <row r="30" spans="1:24" s="58" customFormat="1" ht="11" x14ac:dyDescent="0.15">
      <c r="A30" s="59"/>
      <c r="B30" s="144"/>
      <c r="C30" s="153" t="str">
        <f>IF(D29="","",IF(D29&gt;$E$13,"",D29+1))</f>
        <v/>
      </c>
      <c r="D30" s="154"/>
      <c r="E30" s="146">
        <f>IF(D30="",0,SUMIFS(#REF!,#REF!,Leadsheet!G$24,#REF!,Leadsheet!$A31,#REF!,Leadsheet!$C$4,#REF!,Leadsheet!$G$5,#REF!,Leadsheet!$D$5,#REF!,Leadsheet!G4))</f>
        <v>0</v>
      </c>
      <c r="F30" s="130">
        <v>0</v>
      </c>
      <c r="G30" s="146"/>
      <c r="I30" s="92"/>
      <c r="K30" s="157" t="s">
        <v>193</v>
      </c>
      <c r="N30" s="106">
        <f>SUM(SAP_Speadsheet!$E$43:$BG$43)/COUNTIF(SAP_Speadsheet!$E$43:$BG$43,"&gt;0")</f>
        <v>4.234683897215346</v>
      </c>
      <c r="O30" s="106">
        <f>IFERROR(SUM(SAP_Speadsheet!$E$43:$Q$43)/COUNTIF(SAP_Speadsheet!$E$43:$Q$43,"&gt;0"),0)</f>
        <v>4.9448101350082148</v>
      </c>
      <c r="P30" s="106">
        <f>IFERROR(SUM(SAP_Speadsheet!$R$43:$AC$43)/COUNTIF(SAP_Speadsheet!$R$43:$AC$43,"&gt;0"),0)</f>
        <v>1.3941789460438727</v>
      </c>
      <c r="Q30" s="106">
        <f>IFERROR(SUM(SAP_Speadsheet!$AD$43:$AO$43)/COUNTIF(SAP_Speadsheet!$AD$43:$AO$43,"&gt;0"),0)</f>
        <v>0</v>
      </c>
      <c r="R30" s="106">
        <f>IFERROR(SUM(SAP_Speadsheet!$AP$43:$BA$43)/COUNTIF(SAP_Speadsheet!$AP$43:$BA$43,"&gt;0"),0)</f>
        <v>0</v>
      </c>
      <c r="S30" s="106">
        <f>IFERROR(SUM(SAP_Speadsheet!$BB$43:$BG$43)/COUNTIF(SAP_Speadsheet!$BB$43:$BG$43,"&gt;0"),0)</f>
        <v>0</v>
      </c>
      <c r="T30" s="158"/>
      <c r="U30" s="159">
        <f t="shared" ref="U30:U53" si="14">N30/$E$11</f>
        <v>0.50520874614154565</v>
      </c>
      <c r="V30" s="150"/>
      <c r="W30" s="95"/>
      <c r="X30" s="152"/>
    </row>
    <row r="31" spans="1:24" s="58" customFormat="1" ht="11" x14ac:dyDescent="0.15">
      <c r="A31" s="59"/>
      <c r="B31" s="144"/>
      <c r="C31" s="153" t="str">
        <f>IF(D30="","",IF(D30&gt;$E$13,"",D30+1))</f>
        <v/>
      </c>
      <c r="D31" s="154"/>
      <c r="E31" s="130">
        <f>IF(D31="",0,SUMIFS(#REF!,#REF!,Leadsheet!G$24,#REF!,Leadsheet!$A32,#REF!,Leadsheet!$C$4,#REF!,Leadsheet!$G$5,#REF!,Leadsheet!$D$5,#REF!,Leadsheet!G4))</f>
        <v>0</v>
      </c>
      <c r="F31" s="130">
        <v>0</v>
      </c>
      <c r="G31" s="130"/>
      <c r="I31" s="160"/>
      <c r="J31" s="150"/>
      <c r="K31" s="97" t="s">
        <v>195</v>
      </c>
      <c r="N31" s="161">
        <f t="shared" ref="N31:N52" si="15">SUM(O31:S31)</f>
        <v>1.3218960173079004</v>
      </c>
      <c r="O31" s="161">
        <f>SUM(SAP_Speadsheet!$F$48:$Q$48)</f>
        <v>1.345025216693732</v>
      </c>
      <c r="P31" s="161">
        <f>SUM(SAP_Speadsheet!$R$48:$AC$48)</f>
        <v>-2.3129199385831665E-2</v>
      </c>
      <c r="Q31" s="161">
        <f>SUM(SAP_Speadsheet!$AD$48:$AO$48)</f>
        <v>0</v>
      </c>
      <c r="R31" s="161">
        <f>SUM(SAP_Speadsheet!$AP$48:$BA$48)</f>
        <v>0</v>
      </c>
      <c r="S31" s="161">
        <f>SUM(SAP_Speadsheet!$BB$48:$BG$48)</f>
        <v>0</v>
      </c>
      <c r="T31" s="114">
        <f t="shared" ref="T31:T58" si="16">N31/$E$15*12/$N$30</f>
        <v>0.24972745062310903</v>
      </c>
      <c r="U31" s="114">
        <f t="shared" si="14"/>
        <v>0.15770561525803209</v>
      </c>
      <c r="V31" s="155"/>
      <c r="W31" s="95"/>
      <c r="X31" s="152"/>
    </row>
    <row r="32" spans="1:24" s="58" customFormat="1" ht="11" x14ac:dyDescent="0.15">
      <c r="A32" s="59"/>
      <c r="D32" s="92"/>
      <c r="I32" s="92"/>
      <c r="J32" s="150"/>
      <c r="K32" s="97" t="s">
        <v>196</v>
      </c>
      <c r="N32" s="161">
        <f>SUM(O32:S32)</f>
        <v>1.1706535151656554</v>
      </c>
      <c r="O32" s="161">
        <f>SUM(SAP_Speadsheet!$F$50:$Q$50)</f>
        <v>1.193782714551487</v>
      </c>
      <c r="P32" s="161">
        <f>SUM(SAP_Speadsheet!$R$50:$AC$50)</f>
        <v>-2.3129199385831665E-2</v>
      </c>
      <c r="Q32" s="161">
        <f>SUM(SAP_Speadsheet!$AD$50:$AO$50)</f>
        <v>0</v>
      </c>
      <c r="R32" s="161">
        <f>SUM(SAP_Speadsheet!$AP$50:$BA$50)</f>
        <v>0</v>
      </c>
      <c r="S32" s="161">
        <f>SUM(SAP_Speadsheet!$BB$50:$BG$50)</f>
        <v>0</v>
      </c>
      <c r="T32" s="114">
        <f t="shared" si="16"/>
        <v>0.22115530577107897</v>
      </c>
      <c r="U32" s="114">
        <f t="shared" si="14"/>
        <v>0.13966199341394619</v>
      </c>
      <c r="V32" s="150"/>
      <c r="W32" s="95"/>
      <c r="X32" s="152"/>
    </row>
    <row r="33" spans="1:24" s="58" customFormat="1" ht="13" x14ac:dyDescent="0.15">
      <c r="A33" s="59"/>
      <c r="B33" s="97" t="s">
        <v>63</v>
      </c>
      <c r="D33" s="162"/>
      <c r="E33" s="163"/>
      <c r="F33" s="110" t="s">
        <v>217</v>
      </c>
      <c r="G33" s="36"/>
      <c r="H33" s="113"/>
      <c r="I33" s="160"/>
      <c r="J33" s="150"/>
      <c r="K33" s="164" t="s">
        <v>218</v>
      </c>
      <c r="N33" s="165">
        <f t="shared" si="15"/>
        <v>1.5219170616156754</v>
      </c>
      <c r="O33" s="165">
        <f>SUM(SAP_Speadsheet!$F$51:$Q$51)</f>
        <v>1.5219170616156754</v>
      </c>
      <c r="P33" s="165">
        <f>SUM(SAP_Speadsheet!$R$51:$AC$51)</f>
        <v>0</v>
      </c>
      <c r="Q33" s="165">
        <f>SUM(SAP_Speadsheet!$AD$51:$AO$51)</f>
        <v>0</v>
      </c>
      <c r="R33" s="165">
        <f>SUM(SAP_Speadsheet!$AP$51:$BA$51)</f>
        <v>0</v>
      </c>
      <c r="S33" s="165">
        <f>SUM(SAP_Speadsheet!$BB$51:$BG$51)</f>
        <v>0</v>
      </c>
      <c r="T33" s="119">
        <f t="shared" si="16"/>
        <v>0.28751464780952579</v>
      </c>
      <c r="U33" s="119">
        <f t="shared" si="14"/>
        <v>0.18156864339647324</v>
      </c>
      <c r="V33" s="150"/>
      <c r="W33" s="95"/>
      <c r="X33" s="152"/>
    </row>
    <row r="34" spans="1:24" s="113" customFormat="1" ht="11.25" customHeight="1" x14ac:dyDescent="0.15">
      <c r="A34" s="143"/>
      <c r="B34" s="97" t="s">
        <v>65</v>
      </c>
      <c r="C34" s="58"/>
      <c r="D34" s="58"/>
      <c r="E34" s="166">
        <f>DATA!C7</f>
        <v>0.15124250214224508</v>
      </c>
      <c r="F34" s="110" t="s">
        <v>219</v>
      </c>
      <c r="G34" s="58"/>
      <c r="H34" s="152"/>
      <c r="I34" s="72"/>
      <c r="J34" s="150"/>
      <c r="K34" s="164" t="s">
        <v>220</v>
      </c>
      <c r="L34" s="58"/>
      <c r="M34" s="58"/>
      <c r="N34" s="165">
        <f t="shared" si="15"/>
        <v>-0.35126354645002017</v>
      </c>
      <c r="O34" s="165">
        <f>SUM(SAP_Speadsheet!$F$52:$Q$52)</f>
        <v>-0.32813434706418848</v>
      </c>
      <c r="P34" s="165">
        <f>SUM(SAP_Speadsheet!$R$52:$AC$52)</f>
        <v>-2.3129199385831665E-2</v>
      </c>
      <c r="Q34" s="165">
        <f>SUM(SAP_Speadsheet!$AD$52:$AO$52)</f>
        <v>0</v>
      </c>
      <c r="R34" s="165">
        <f>SUM(SAP_Speadsheet!$AP$52:$BA$52)</f>
        <v>0</v>
      </c>
      <c r="S34" s="165">
        <f>SUM(SAP_Speadsheet!$BB$52:$BG$52)</f>
        <v>0</v>
      </c>
      <c r="T34" s="119">
        <f t="shared" si="16"/>
        <v>-6.6359342038446831E-2</v>
      </c>
      <c r="U34" s="119">
        <f t="shared" si="14"/>
        <v>-4.1906649982527092E-2</v>
      </c>
      <c r="V34" s="150"/>
      <c r="W34" s="95"/>
      <c r="X34" s="152"/>
    </row>
    <row r="35" spans="1:24" s="58" customFormat="1" ht="11" x14ac:dyDescent="0.15">
      <c r="A35" s="59"/>
      <c r="J35" s="150"/>
      <c r="K35" s="97" t="s">
        <v>197</v>
      </c>
      <c r="N35" s="161">
        <f t="shared" si="15"/>
        <v>0.15124250214224508</v>
      </c>
      <c r="O35" s="161">
        <f>SUM(SAP_Speadsheet!$F$54:$Q$54)</f>
        <v>0.15124250214224508</v>
      </c>
      <c r="P35" s="161">
        <f>SUM(SAP_Speadsheet!$R$54:$AC$54)</f>
        <v>0</v>
      </c>
      <c r="Q35" s="161">
        <f>SUM(SAP_Speadsheet!$AD$54:$AO$54)</f>
        <v>0</v>
      </c>
      <c r="R35" s="161">
        <f>SUM(SAP_Speadsheet!$AP$54:$BA$54)</f>
        <v>0</v>
      </c>
      <c r="S35" s="161">
        <f>SUM(SAP_Speadsheet!$BB$54:$BG$54)</f>
        <v>0</v>
      </c>
      <c r="T35" s="114">
        <f t="shared" si="16"/>
        <v>2.8572144852030062E-2</v>
      </c>
      <c r="U35" s="114">
        <f t="shared" si="14"/>
        <v>1.8043621844085908E-2</v>
      </c>
      <c r="V35" s="150"/>
      <c r="W35" s="95"/>
      <c r="X35" s="152"/>
    </row>
    <row r="36" spans="1:24" s="58" customFormat="1" ht="14" thickBot="1" x14ac:dyDescent="0.2">
      <c r="A36" s="59"/>
      <c r="B36" s="43" t="s">
        <v>67</v>
      </c>
      <c r="C36" s="89"/>
      <c r="D36" s="90"/>
      <c r="E36" s="89"/>
      <c r="F36" s="89"/>
      <c r="G36" s="89"/>
      <c r="H36" s="89" t="s">
        <v>182</v>
      </c>
      <c r="I36" s="150"/>
      <c r="J36" s="150"/>
      <c r="K36" s="167" t="s">
        <v>221</v>
      </c>
      <c r="L36" s="168"/>
      <c r="M36" s="169"/>
      <c r="N36" s="170">
        <f t="shared" si="15"/>
        <v>0</v>
      </c>
      <c r="O36" s="170">
        <f>SUM(SAP_Speadsheet!$F$55:$Q$55)</f>
        <v>0</v>
      </c>
      <c r="P36" s="170">
        <f>SUM(SAP_Speadsheet!$R$55:$AC$55)</f>
        <v>0</v>
      </c>
      <c r="Q36" s="170">
        <f>SUM(SAP_Speadsheet!$AD$55:$AO$55)</f>
        <v>0</v>
      </c>
      <c r="R36" s="170">
        <f>SUM(SAP_Speadsheet!$AP$55:$BA$55)</f>
        <v>0</v>
      </c>
      <c r="S36" s="170">
        <f>SUM(SAP_Speadsheet!$BB$55:$BG$55)</f>
        <v>0</v>
      </c>
      <c r="T36" s="171">
        <f t="shared" si="16"/>
        <v>0</v>
      </c>
      <c r="U36" s="171">
        <f t="shared" si="14"/>
        <v>0</v>
      </c>
      <c r="V36" s="150"/>
      <c r="W36" s="95"/>
      <c r="X36" s="152"/>
    </row>
    <row r="37" spans="1:24" s="58" customFormat="1" thickTop="1" x14ac:dyDescent="0.15">
      <c r="A37" s="59"/>
      <c r="D37" s="92"/>
      <c r="I37" s="150"/>
      <c r="J37" s="150"/>
      <c r="K37" s="164" t="s">
        <v>63</v>
      </c>
      <c r="N37" s="165">
        <f t="shared" si="15"/>
        <v>0</v>
      </c>
      <c r="O37" s="165">
        <f>SUM(SAP_Speadsheet!$F$56:$Q$56)</f>
        <v>0</v>
      </c>
      <c r="P37" s="165">
        <f>SUM(SAP_Speadsheet!$R$56:$AC$56)</f>
        <v>0</v>
      </c>
      <c r="Q37" s="165">
        <f>SUM(SAP_Speadsheet!$AD$56:$AO$56)</f>
        <v>0</v>
      </c>
      <c r="R37" s="165">
        <f>SUM(SAP_Speadsheet!$AP$56:$BA$56)</f>
        <v>0</v>
      </c>
      <c r="S37" s="165">
        <f>SUM(SAP_Speadsheet!$BB$56:$BG$56)</f>
        <v>0</v>
      </c>
      <c r="T37" s="119">
        <f t="shared" si="16"/>
        <v>0</v>
      </c>
      <c r="U37" s="119">
        <f t="shared" si="14"/>
        <v>0</v>
      </c>
      <c r="V37" s="150"/>
      <c r="W37" s="95"/>
      <c r="X37" s="152"/>
    </row>
    <row r="38" spans="1:24" s="58" customFormat="1" ht="11" x14ac:dyDescent="0.15">
      <c r="A38" s="59"/>
      <c r="B38" s="97" t="s">
        <v>68</v>
      </c>
      <c r="D38" s="92"/>
      <c r="E38" s="172">
        <v>3.5000000000000003E-2</v>
      </c>
      <c r="F38" s="110" t="s">
        <v>222</v>
      </c>
      <c r="I38" s="150"/>
      <c r="J38" s="150"/>
      <c r="K38" s="164" t="s">
        <v>223</v>
      </c>
      <c r="N38" s="165">
        <f t="shared" si="15"/>
        <v>0.15124250214224508</v>
      </c>
      <c r="O38" s="165">
        <f>SUM(SAP_Speadsheet!$F$57:$Q$57)</f>
        <v>0.15124250214224508</v>
      </c>
      <c r="P38" s="165">
        <f>SUM(SAP_Speadsheet!$R$57:$AC$57)</f>
        <v>0</v>
      </c>
      <c r="Q38" s="165">
        <f>SUM(SAP_Speadsheet!$AD$57:$AO$57)</f>
        <v>0</v>
      </c>
      <c r="R38" s="165">
        <f>SUM(SAP_Speadsheet!$AP$57:$BA$57)</f>
        <v>0</v>
      </c>
      <c r="S38" s="165">
        <f>SUM(SAP_Speadsheet!$BB$57:$BG$57)</f>
        <v>0</v>
      </c>
      <c r="T38" s="119">
        <f t="shared" si="16"/>
        <v>2.8572144852030062E-2</v>
      </c>
      <c r="U38" s="119">
        <f t="shared" si="14"/>
        <v>1.8043621844085908E-2</v>
      </c>
      <c r="V38" s="150"/>
      <c r="W38" s="95"/>
      <c r="X38" s="152"/>
    </row>
    <row r="39" spans="1:24" s="58" customFormat="1" ht="11" x14ac:dyDescent="0.15">
      <c r="A39" s="59"/>
      <c r="D39" s="92"/>
      <c r="E39" s="173"/>
      <c r="F39" s="110"/>
      <c r="G39" s="174"/>
      <c r="H39" s="95"/>
      <c r="I39" s="150"/>
      <c r="J39" s="150"/>
      <c r="K39" s="97" t="s">
        <v>198</v>
      </c>
      <c r="L39" s="142"/>
      <c r="M39" s="175"/>
      <c r="N39" s="118">
        <f t="shared" si="15"/>
        <v>0</v>
      </c>
      <c r="O39" s="118">
        <f>SUM(SAP_Speadsheet!$F$59:$Q$59)</f>
        <v>0</v>
      </c>
      <c r="P39" s="118">
        <f>SUM(SAP_Speadsheet!$R$59:$AC$59)</f>
        <v>0</v>
      </c>
      <c r="Q39" s="118">
        <f>SUM(SAP_Speadsheet!$AD$59:$AO$59)</f>
        <v>0</v>
      </c>
      <c r="R39" s="118">
        <f>SUM(SAP_Speadsheet!$AP$59:$BA$59)</f>
        <v>0</v>
      </c>
      <c r="S39" s="118">
        <f>SUM(SAP_Speadsheet!$BB$59:$BG$59)</f>
        <v>0</v>
      </c>
      <c r="T39" s="119">
        <f t="shared" si="16"/>
        <v>0</v>
      </c>
      <c r="U39" s="119">
        <f t="shared" si="14"/>
        <v>0</v>
      </c>
      <c r="V39" s="150"/>
      <c r="W39" s="95"/>
      <c r="X39" s="152"/>
    </row>
    <row r="40" spans="1:24" s="58" customFormat="1" ht="11" x14ac:dyDescent="0.15">
      <c r="A40" s="59"/>
      <c r="B40" s="97" t="s">
        <v>70</v>
      </c>
      <c r="C40" s="142"/>
      <c r="D40" s="142"/>
      <c r="E40" s="142"/>
      <c r="F40" s="110"/>
      <c r="G40" s="142"/>
      <c r="H40" s="142"/>
      <c r="I40" s="150"/>
      <c r="J40" s="150"/>
      <c r="K40" s="176" t="s">
        <v>201</v>
      </c>
      <c r="L40" s="97"/>
      <c r="M40" s="97"/>
      <c r="N40" s="161">
        <f t="shared" si="15"/>
        <v>-1.3189241870375423</v>
      </c>
      <c r="O40" s="161">
        <f>SUM(SAP_Speadsheet!$F$171:$Q$171)</f>
        <v>-1.3088780044240715</v>
      </c>
      <c r="P40" s="161">
        <f>SUM(SAP_Speadsheet!$R$171:$AC$171)</f>
        <v>-1.0046182613470789E-2</v>
      </c>
      <c r="Q40" s="161">
        <f>SUM(SAP_Speadsheet!$AD$171:$AO$171)</f>
        <v>0</v>
      </c>
      <c r="R40" s="161">
        <f>SUM(SAP_Speadsheet!$AP$171:$BA$171)</f>
        <v>0</v>
      </c>
      <c r="S40" s="161">
        <f>SUM(SAP_Speadsheet!$BB$171:$BG$171)</f>
        <v>0</v>
      </c>
      <c r="T40" s="114">
        <f t="shared" si="16"/>
        <v>-0.2491660240151278</v>
      </c>
      <c r="U40" s="114">
        <f t="shared" si="14"/>
        <v>-0.15735106821719619</v>
      </c>
      <c r="V40" s="150"/>
      <c r="W40" s="95"/>
      <c r="X40" s="152"/>
    </row>
    <row r="41" spans="1:24" s="58" customFormat="1" ht="11" x14ac:dyDescent="0.15">
      <c r="A41" s="59"/>
      <c r="B41" s="142"/>
      <c r="C41" s="138" t="s">
        <v>72</v>
      </c>
      <c r="D41" s="142"/>
      <c r="E41" s="177" t="s">
        <v>224</v>
      </c>
      <c r="F41" s="110"/>
      <c r="G41" s="142"/>
      <c r="H41" s="178"/>
      <c r="I41" s="150"/>
      <c r="J41" s="150"/>
      <c r="K41" s="97" t="s">
        <v>203</v>
      </c>
      <c r="N41" s="161">
        <f t="shared" si="15"/>
        <v>-0.33047051086760787</v>
      </c>
      <c r="O41" s="161">
        <f>+SUM(O42,O46,O49,O53)</f>
        <v>-0.32827852474666658</v>
      </c>
      <c r="P41" s="179">
        <f>+SUM(P42,P46,P49,P53)</f>
        <v>-2.1919861209412903E-3</v>
      </c>
      <c r="Q41" s="179">
        <f>+SUM(Q42,Q46,Q49,Q53)</f>
        <v>0</v>
      </c>
      <c r="R41" s="179">
        <f>+SUM(R42,R46,R49,R53)</f>
        <v>0</v>
      </c>
      <c r="S41" s="161">
        <f>+SUM(S42,S46,S49,S53)</f>
        <v>0</v>
      </c>
      <c r="T41" s="114">
        <f t="shared" si="16"/>
        <v>-6.2431202685030537E-2</v>
      </c>
      <c r="U41" s="114">
        <f t="shared" si="14"/>
        <v>-3.9425987035766219E-2</v>
      </c>
      <c r="V41" s="150"/>
      <c r="W41" s="95"/>
      <c r="X41" s="152"/>
    </row>
    <row r="42" spans="1:24" s="58" customFormat="1" ht="11" x14ac:dyDescent="0.15">
      <c r="A42" s="59"/>
      <c r="C42" s="58" t="s">
        <v>74</v>
      </c>
      <c r="D42" s="92"/>
      <c r="E42" s="180"/>
      <c r="F42" s="110" t="s">
        <v>222</v>
      </c>
      <c r="G42" s="181"/>
      <c r="H42" s="142"/>
      <c r="I42" s="142"/>
      <c r="J42" s="150"/>
      <c r="K42" s="176" t="s">
        <v>70</v>
      </c>
      <c r="N42" s="161">
        <f t="shared" si="15"/>
        <v>0</v>
      </c>
      <c r="O42" s="161">
        <f>SUM(O43:O45)</f>
        <v>0</v>
      </c>
      <c r="P42" s="161">
        <f>SUM(P43:P45)</f>
        <v>0</v>
      </c>
      <c r="Q42" s="161">
        <f>SUM(Q43:Q45)</f>
        <v>0</v>
      </c>
      <c r="R42" s="161">
        <f>SUM(R43:R45)</f>
        <v>0</v>
      </c>
      <c r="S42" s="161">
        <f>SUM(S43:S45)</f>
        <v>0</v>
      </c>
      <c r="T42" s="114">
        <f t="shared" si="16"/>
        <v>0</v>
      </c>
      <c r="U42" s="114">
        <f t="shared" si="14"/>
        <v>0</v>
      </c>
      <c r="V42" s="150"/>
      <c r="W42" s="95"/>
      <c r="X42" s="152"/>
    </row>
    <row r="43" spans="1:24" s="58" customFormat="1" ht="11" x14ac:dyDescent="0.15">
      <c r="A43" s="59"/>
      <c r="C43" s="58" t="s">
        <v>77</v>
      </c>
      <c r="D43" s="92"/>
      <c r="E43" s="180"/>
      <c r="F43" s="110" t="s">
        <v>222</v>
      </c>
      <c r="G43" s="182"/>
      <c r="J43" s="150"/>
      <c r="K43" s="117" t="s">
        <v>225</v>
      </c>
      <c r="L43" s="142"/>
      <c r="N43" s="118">
        <f t="shared" si="15"/>
        <v>0</v>
      </c>
      <c r="O43" s="118">
        <f>SUM(SAP_Speadsheet!$F$64:$Q$64)</f>
        <v>0</v>
      </c>
      <c r="P43" s="118">
        <f>SUM(SAP_Speadsheet!$R$64:$AC$64)</f>
        <v>0</v>
      </c>
      <c r="Q43" s="118">
        <f>SUM(SAP_Speadsheet!$AD$64:$AO$64)</f>
        <v>0</v>
      </c>
      <c r="R43" s="118">
        <f>SUM(SAP_Speadsheet!$AP$64:$BA$64)</f>
        <v>0</v>
      </c>
      <c r="S43" s="118">
        <f>SUM(SAP_Speadsheet!$BB$64:$BG$64)</f>
        <v>0</v>
      </c>
      <c r="T43" s="119">
        <f t="shared" si="16"/>
        <v>0</v>
      </c>
      <c r="U43" s="119">
        <f t="shared" si="14"/>
        <v>0</v>
      </c>
      <c r="V43" s="150"/>
      <c r="W43" s="95"/>
      <c r="X43" s="152"/>
    </row>
    <row r="44" spans="1:24" s="58" customFormat="1" ht="11" x14ac:dyDescent="0.15">
      <c r="A44" s="59"/>
      <c r="E44" s="178" t="s">
        <v>226</v>
      </c>
      <c r="F44" s="110"/>
      <c r="G44" s="182"/>
      <c r="J44" s="150"/>
      <c r="K44" s="117" t="s">
        <v>227</v>
      </c>
      <c r="N44" s="165">
        <f t="shared" si="15"/>
        <v>0</v>
      </c>
      <c r="O44" s="165">
        <f>SUM(SAP_Speadsheet!$F$65:$Q$65)</f>
        <v>0</v>
      </c>
      <c r="P44" s="165">
        <f>SUM(SAP_Speadsheet!$R$65:$AC$65)</f>
        <v>0</v>
      </c>
      <c r="Q44" s="165">
        <f>SUM(SAP_Speadsheet!$AD$65:$AO$65)</f>
        <v>0</v>
      </c>
      <c r="R44" s="165">
        <f>SUM(SAP_Speadsheet!$AP$65:$BA$65)</f>
        <v>0</v>
      </c>
      <c r="S44" s="165">
        <f>SUM(SAP_Speadsheet!$BB$65:$BG$65)</f>
        <v>0</v>
      </c>
      <c r="T44" s="119">
        <f t="shared" si="16"/>
        <v>0</v>
      </c>
      <c r="U44" s="119">
        <f t="shared" si="14"/>
        <v>0</v>
      </c>
      <c r="V44" s="150"/>
      <c r="W44" s="95"/>
      <c r="X44" s="152"/>
    </row>
    <row r="45" spans="1:24" s="142" customFormat="1" ht="11" x14ac:dyDescent="0.15">
      <c r="A45" s="59"/>
      <c r="B45" s="58"/>
      <c r="C45" s="58" t="s">
        <v>79</v>
      </c>
      <c r="D45" s="162"/>
      <c r="E45" s="180"/>
      <c r="F45" s="110" t="s">
        <v>222</v>
      </c>
      <c r="G45" s="182"/>
      <c r="H45" s="58"/>
      <c r="I45" s="58"/>
      <c r="J45" s="150"/>
      <c r="K45" s="117" t="s">
        <v>228</v>
      </c>
      <c r="M45" s="58"/>
      <c r="N45" s="118">
        <f t="shared" si="15"/>
        <v>0</v>
      </c>
      <c r="O45" s="118">
        <f>SUM(SAP_Speadsheet!$F$74:$Q$74)</f>
        <v>0</v>
      </c>
      <c r="P45" s="118">
        <f>SUM(SAP_Speadsheet!$R$74:$AC$74)</f>
        <v>0</v>
      </c>
      <c r="Q45" s="118">
        <f>SUM(SAP_Speadsheet!$AD$74:$AO$74)</f>
        <v>0</v>
      </c>
      <c r="R45" s="118">
        <f>SUM(SAP_Speadsheet!$AP$74:$BA$74)</f>
        <v>0</v>
      </c>
      <c r="S45" s="118">
        <f>SUM(SAP_Speadsheet!$BB$74:$BG$74)</f>
        <v>0</v>
      </c>
      <c r="T45" s="119">
        <f t="shared" si="16"/>
        <v>0</v>
      </c>
      <c r="U45" s="119">
        <f t="shared" si="14"/>
        <v>0</v>
      </c>
      <c r="V45" s="150"/>
      <c r="W45" s="95"/>
      <c r="X45" s="152"/>
    </row>
    <row r="46" spans="1:24" s="142" customFormat="1" ht="11" x14ac:dyDescent="0.15">
      <c r="A46" s="59"/>
      <c r="B46" s="58"/>
      <c r="C46" s="58" t="s">
        <v>81</v>
      </c>
      <c r="D46" s="58"/>
      <c r="E46" s="180"/>
      <c r="F46" s="110" t="s">
        <v>222</v>
      </c>
      <c r="G46" s="182"/>
      <c r="H46" s="58"/>
      <c r="I46" s="58"/>
      <c r="J46" s="150"/>
      <c r="K46" s="176" t="s">
        <v>205</v>
      </c>
      <c r="M46" s="58"/>
      <c r="N46" s="106">
        <f t="shared" si="15"/>
        <v>-1.4853156903268133E-2</v>
      </c>
      <c r="O46" s="106">
        <f>SUM(O47:O48)</f>
        <v>-1.4853156903268133E-2</v>
      </c>
      <c r="P46" s="106">
        <f>SUM(P47:P48)</f>
        <v>0</v>
      </c>
      <c r="Q46" s="106">
        <f>SUM(Q47:Q48)</f>
        <v>0</v>
      </c>
      <c r="R46" s="106">
        <f>SUM(R47:R48)</f>
        <v>0</v>
      </c>
      <c r="S46" s="106">
        <f>SUM(S47:S48)</f>
        <v>0</v>
      </c>
      <c r="T46" s="114">
        <f t="shared" si="16"/>
        <v>-2.8060005920225234E-3</v>
      </c>
      <c r="U46" s="114">
        <f t="shared" si="14"/>
        <v>-1.7720200509601669E-3</v>
      </c>
      <c r="V46" s="150"/>
      <c r="W46" s="95"/>
      <c r="X46" s="152"/>
    </row>
    <row r="47" spans="1:24" s="142" customFormat="1" ht="11" x14ac:dyDescent="0.15">
      <c r="A47" s="59"/>
      <c r="B47" s="58"/>
      <c r="C47" s="58" t="s">
        <v>83</v>
      </c>
      <c r="D47" s="58"/>
      <c r="E47" s="180"/>
      <c r="F47" s="110" t="s">
        <v>222</v>
      </c>
      <c r="G47" s="181"/>
      <c r="H47" s="178"/>
      <c r="I47" s="183"/>
      <c r="K47" s="117" t="s">
        <v>229</v>
      </c>
      <c r="L47" s="58"/>
      <c r="M47" s="58"/>
      <c r="N47" s="118">
        <f t="shared" si="15"/>
        <v>-1.402694182186282E-2</v>
      </c>
      <c r="O47" s="118">
        <f>SUM(SAP_Speadsheet!$F$77:$Q$77)</f>
        <v>-1.402694182186282E-2</v>
      </c>
      <c r="P47" s="118">
        <f>SUM(SAP_Speadsheet!$R$77:$AC$77)</f>
        <v>0</v>
      </c>
      <c r="Q47" s="118">
        <f>SUM(SAP_Speadsheet!$AD$77:$AO$77)</f>
        <v>0</v>
      </c>
      <c r="R47" s="118">
        <f>SUM(SAP_Speadsheet!$AP$77:$BA$77)</f>
        <v>0</v>
      </c>
      <c r="S47" s="118">
        <f>SUM(SAP_Speadsheet!$BB$77:$BG$77)</f>
        <v>0</v>
      </c>
      <c r="T47" s="119">
        <f t="shared" si="16"/>
        <v>-2.6499152545646568E-3</v>
      </c>
      <c r="U47" s="119">
        <f t="shared" si="14"/>
        <v>-1.6734504539249559E-3</v>
      </c>
      <c r="V47" s="150"/>
      <c r="W47" s="95"/>
      <c r="X47" s="152"/>
    </row>
    <row r="48" spans="1:24" s="58" customFormat="1" ht="11" x14ac:dyDescent="0.15">
      <c r="A48" s="59"/>
      <c r="C48" s="58" t="s">
        <v>85</v>
      </c>
      <c r="E48" s="180"/>
      <c r="F48" s="110" t="s">
        <v>222</v>
      </c>
      <c r="G48" s="181"/>
      <c r="H48" s="178"/>
      <c r="I48" s="183"/>
      <c r="K48" s="117" t="s">
        <v>230</v>
      </c>
      <c r="N48" s="118">
        <f t="shared" si="15"/>
        <v>-8.2621508140531276E-4</v>
      </c>
      <c r="O48" s="118">
        <f>SUM(SAP_Speadsheet!$F$78:$Q$78)</f>
        <v>-8.2621508140531276E-4</v>
      </c>
      <c r="P48" s="118">
        <f>SUM(SAP_Speadsheet!$R$78:$AC$78)</f>
        <v>0</v>
      </c>
      <c r="Q48" s="118">
        <f>SUM(SAP_Speadsheet!$AD$78:$AO$78)</f>
        <v>0</v>
      </c>
      <c r="R48" s="118">
        <f>SUM(SAP_Speadsheet!$AP$78:$BA$78)</f>
        <v>0</v>
      </c>
      <c r="S48" s="118">
        <f>SUM(SAP_Speadsheet!$BB$78:$BG$78)</f>
        <v>0</v>
      </c>
      <c r="T48" s="119">
        <f t="shared" si="16"/>
        <v>-1.5608533745786643E-4</v>
      </c>
      <c r="U48" s="119">
        <f t="shared" si="14"/>
        <v>-9.85695970352109E-5</v>
      </c>
      <c r="V48" s="150"/>
      <c r="W48" s="95"/>
      <c r="X48" s="152"/>
    </row>
    <row r="49" spans="1:24" s="58" customFormat="1" ht="11" x14ac:dyDescent="0.15">
      <c r="A49" s="59"/>
      <c r="C49" s="58" t="s">
        <v>87</v>
      </c>
      <c r="E49" s="180"/>
      <c r="F49" s="110" t="s">
        <v>222</v>
      </c>
      <c r="I49" s="183"/>
      <c r="K49" s="176" t="s">
        <v>231</v>
      </c>
      <c r="N49" s="106">
        <f t="shared" si="15"/>
        <v>-3.234864277084467E-2</v>
      </c>
      <c r="O49" s="106">
        <f>SUM(O50:O52)</f>
        <v>-3.0156656649903378E-2</v>
      </c>
      <c r="P49" s="106">
        <f>SUM(P50:P52)</f>
        <v>-2.1919861209412903E-3</v>
      </c>
      <c r="Q49" s="106">
        <f>SUM(Q50:Q52)</f>
        <v>0</v>
      </c>
      <c r="R49" s="106">
        <f>SUM(R50:R52)</f>
        <v>0</v>
      </c>
      <c r="S49" s="106">
        <f>SUM(S50:S52)</f>
        <v>0</v>
      </c>
      <c r="T49" s="114">
        <f t="shared" si="16"/>
        <v>-6.1111796877432239E-3</v>
      </c>
      <c r="U49" s="114">
        <f t="shared" si="14"/>
        <v>-3.859276784363045E-3</v>
      </c>
      <c r="V49" s="150"/>
      <c r="W49" s="95"/>
      <c r="X49" s="152"/>
    </row>
    <row r="50" spans="1:24" s="58" customFormat="1" ht="11" x14ac:dyDescent="0.15">
      <c r="A50" s="59"/>
      <c r="F50" s="110"/>
      <c r="I50" s="183"/>
      <c r="K50" s="117" t="s">
        <v>232</v>
      </c>
      <c r="N50" s="118">
        <f t="shared" si="15"/>
        <v>-3.2298131633109871E-2</v>
      </c>
      <c r="O50" s="118">
        <f>SUM(SAP_Speadsheet!$F$84:$Q$84)</f>
        <v>-3.0106145512168579E-2</v>
      </c>
      <c r="P50" s="118">
        <f>SUM(SAP_Speadsheet!$R$84:$AC$84)</f>
        <v>-2.1919861209412903E-3</v>
      </c>
      <c r="Q50" s="118">
        <f>SUM(SAP_Speadsheet!$AD$84:$AO$84)</f>
        <v>0</v>
      </c>
      <c r="R50" s="118">
        <f>SUM(SAP_Speadsheet!$AP$84:$BA$84)</f>
        <v>0</v>
      </c>
      <c r="S50" s="118">
        <f>SUM(SAP_Speadsheet!$BB$84:$BG$84)</f>
        <v>0</v>
      </c>
      <c r="T50" s="119">
        <f t="shared" si="16"/>
        <v>-6.1016373201973452E-3</v>
      </c>
      <c r="U50" s="119">
        <f t="shared" si="14"/>
        <v>-3.8532506749342017E-3</v>
      </c>
      <c r="V50" s="150"/>
      <c r="W50" s="95"/>
      <c r="X50" s="152"/>
    </row>
    <row r="51" spans="1:24" s="58" customFormat="1" ht="11" x14ac:dyDescent="0.15">
      <c r="A51" s="59"/>
      <c r="C51" s="58" t="s">
        <v>89</v>
      </c>
      <c r="D51" s="92"/>
      <c r="E51" s="166"/>
      <c r="F51" s="110" t="s">
        <v>219</v>
      </c>
      <c r="K51" s="117" t="s">
        <v>233</v>
      </c>
      <c r="N51" s="118">
        <f t="shared" si="15"/>
        <v>0</v>
      </c>
      <c r="O51" s="118">
        <f>SUM(SAP_Speadsheet!$F$85:$Q$85)</f>
        <v>0</v>
      </c>
      <c r="P51" s="118">
        <f>SUM(SAP_Speadsheet!$R$85:$AC$85)</f>
        <v>0</v>
      </c>
      <c r="Q51" s="118">
        <f>SUM(SAP_Speadsheet!$AD$85:$AO$85)</f>
        <v>0</v>
      </c>
      <c r="R51" s="118">
        <f>SUM(SAP_Speadsheet!$AP$85:$BA$85)</f>
        <v>0</v>
      </c>
      <c r="S51" s="118">
        <f>SUM(SAP_Speadsheet!$BB$85:$BG$85)</f>
        <v>0</v>
      </c>
      <c r="T51" s="119">
        <f t="shared" si="16"/>
        <v>0</v>
      </c>
      <c r="U51" s="119">
        <f t="shared" si="14"/>
        <v>0</v>
      </c>
      <c r="V51" s="150"/>
      <c r="W51" s="95"/>
      <c r="X51" s="152"/>
    </row>
    <row r="52" spans="1:24" s="58" customFormat="1" ht="11" x14ac:dyDescent="0.15">
      <c r="A52" s="59"/>
      <c r="E52" s="184"/>
      <c r="F52" s="110" t="s">
        <v>234</v>
      </c>
      <c r="J52" s="150"/>
      <c r="K52" s="117" t="s">
        <v>112</v>
      </c>
      <c r="L52" s="142"/>
      <c r="N52" s="118">
        <f t="shared" si="15"/>
        <v>-5.0511137734799516E-5</v>
      </c>
      <c r="O52" s="118">
        <f>SUM(SAP_Speadsheet!$F$87:$Q$87)</f>
        <v>-5.0511137734799516E-5</v>
      </c>
      <c r="P52" s="118">
        <f>SUM(SAP_Speadsheet!$R$87:$AC$87)</f>
        <v>0</v>
      </c>
      <c r="Q52" s="118">
        <f>SUM(SAP_Speadsheet!$AD$87:$AO$87)</f>
        <v>0</v>
      </c>
      <c r="R52" s="118">
        <f>SUM(SAP_Speadsheet!$AP$87:$BA$87)</f>
        <v>0</v>
      </c>
      <c r="S52" s="118">
        <f>SUM(SAP_Speadsheet!$BB$87:$BG$87)</f>
        <v>0</v>
      </c>
      <c r="T52" s="119">
        <f t="shared" si="16"/>
        <v>-9.542367545877935E-6</v>
      </c>
      <c r="U52" s="119">
        <f t="shared" si="14"/>
        <v>-6.0261094288434615E-6</v>
      </c>
      <c r="V52" s="150"/>
      <c r="W52" s="95"/>
      <c r="X52" s="152"/>
    </row>
    <row r="53" spans="1:24" s="58" customFormat="1" ht="11" x14ac:dyDescent="0.15">
      <c r="A53" s="59"/>
      <c r="F53" s="110"/>
      <c r="J53" s="150"/>
      <c r="K53" s="176" t="s">
        <v>235</v>
      </c>
      <c r="N53" s="106">
        <f t="shared" ref="N53:N58" si="17">SUM(O53:S53)</f>
        <v>-0.28326871119349506</v>
      </c>
      <c r="O53" s="106">
        <f>SUM(O54:O57)</f>
        <v>-0.28326871119349506</v>
      </c>
      <c r="P53" s="106">
        <f>SUM(P54:P57)</f>
        <v>0</v>
      </c>
      <c r="Q53" s="106">
        <f>SUM(Q54:Q57)</f>
        <v>0</v>
      </c>
      <c r="R53" s="106">
        <f>SUM(R54:R57)</f>
        <v>0</v>
      </c>
      <c r="S53" s="106">
        <f>SUM(S54:S57)</f>
        <v>0</v>
      </c>
      <c r="T53" s="114">
        <f t="shared" si="16"/>
        <v>-5.3514022405264788E-2</v>
      </c>
      <c r="U53" s="114">
        <f t="shared" si="14"/>
        <v>-3.3794690200443005E-2</v>
      </c>
      <c r="V53" s="150"/>
      <c r="W53" s="95"/>
      <c r="X53" s="152"/>
    </row>
    <row r="54" spans="1:24" s="58" customFormat="1" ht="11" x14ac:dyDescent="0.15">
      <c r="A54" s="59"/>
      <c r="C54" s="138" t="s">
        <v>94</v>
      </c>
      <c r="F54" s="110"/>
      <c r="J54" s="150"/>
      <c r="K54" s="117" t="s">
        <v>117</v>
      </c>
      <c r="N54" s="118">
        <f t="shared" si="17"/>
        <v>-5.0116339923817199E-2</v>
      </c>
      <c r="O54" s="118">
        <f>SUM(SAP_Speadsheet!$F$92:$Q$92)</f>
        <v>-5.0116339923817199E-2</v>
      </c>
      <c r="P54" s="118">
        <f>SUM(SAP_Speadsheet!$R$92:$AC$92)</f>
        <v>0</v>
      </c>
      <c r="Q54" s="118">
        <f>SUM(SAP_Speadsheet!$AD$92:$AO$92)</f>
        <v>0</v>
      </c>
      <c r="R54" s="118">
        <f>SUM(SAP_Speadsheet!$AP$92:$BA$92)</f>
        <v>0</v>
      </c>
      <c r="S54" s="118">
        <f>SUM(SAP_Speadsheet!$BB$92:$BG$92)</f>
        <v>0</v>
      </c>
      <c r="T54" s="119">
        <f t="shared" si="16"/>
        <v>-9.4677838800242588E-3</v>
      </c>
      <c r="U54" s="119">
        <f>N54/$E$11</f>
        <v>-5.9790090284577418E-3</v>
      </c>
      <c r="V54" s="150"/>
      <c r="W54" s="95"/>
      <c r="X54" s="152"/>
    </row>
    <row r="55" spans="1:24" s="58" customFormat="1" ht="11" x14ac:dyDescent="0.15">
      <c r="A55" s="59"/>
      <c r="C55" s="168"/>
      <c r="D55" s="92"/>
      <c r="E55" s="185"/>
      <c r="F55" s="110"/>
      <c r="G55" s="181"/>
      <c r="H55" s="178"/>
      <c r="J55" s="150"/>
      <c r="K55" s="117" t="s">
        <v>236</v>
      </c>
      <c r="N55" s="118">
        <f t="shared" si="17"/>
        <v>-0.11901458384156798</v>
      </c>
      <c r="O55" s="118">
        <f>SUM(SAP_Speadsheet!$F$93:$Q$93)</f>
        <v>-0.11901458384156798</v>
      </c>
      <c r="P55" s="118">
        <f>SUM(SAP_Speadsheet!$R$93:$AC$93)</f>
        <v>0</v>
      </c>
      <c r="Q55" s="118">
        <f>SUM(SAP_Speadsheet!$AD$93:$AO$93)</f>
        <v>0</v>
      </c>
      <c r="R55" s="118">
        <f>SUM(SAP_Speadsheet!$AP$93:$BA$93)</f>
        <v>0</v>
      </c>
      <c r="S55" s="118">
        <f>SUM(SAP_Speadsheet!$BB$93:$BG$93)</f>
        <v>0</v>
      </c>
      <c r="T55" s="119">
        <f t="shared" si="16"/>
        <v>-2.2483771961317799E-2</v>
      </c>
      <c r="U55" s="119">
        <f>N55/$E$11</f>
        <v>-1.4198747801387256E-2</v>
      </c>
      <c r="V55" s="150"/>
      <c r="W55" s="95"/>
      <c r="X55" s="152"/>
    </row>
    <row r="56" spans="1:24" s="58" customFormat="1" ht="11" x14ac:dyDescent="0.15">
      <c r="A56" s="59"/>
      <c r="C56" s="58" t="s">
        <v>94</v>
      </c>
      <c r="D56" s="92"/>
      <c r="E56" s="166"/>
      <c r="F56" s="110" t="s">
        <v>219</v>
      </c>
      <c r="G56" s="181"/>
      <c r="H56" s="182"/>
      <c r="I56" s="186"/>
      <c r="J56" s="150"/>
      <c r="K56" s="117" t="s">
        <v>121</v>
      </c>
      <c r="N56" s="118">
        <f t="shared" si="17"/>
        <v>-6.5689463962873382E-2</v>
      </c>
      <c r="O56" s="118">
        <f>SUM(SAP_Speadsheet!$F$94:$Q$94)</f>
        <v>-6.5689463962873382E-2</v>
      </c>
      <c r="P56" s="118">
        <f>SUM(SAP_Speadsheet!$R$94:$AC$94)</f>
        <v>0</v>
      </c>
      <c r="Q56" s="118">
        <f>SUM(SAP_Speadsheet!$AD$94:$AO$94)</f>
        <v>0</v>
      </c>
      <c r="R56" s="118">
        <f>SUM(SAP_Speadsheet!$AP$94:$BA$94)</f>
        <v>0</v>
      </c>
      <c r="S56" s="118">
        <f>SUM(SAP_Speadsheet!$BB$94:$BG$94)</f>
        <v>0</v>
      </c>
      <c r="T56" s="119">
        <f t="shared" si="16"/>
        <v>-1.2409797861147489E-2</v>
      </c>
      <c r="U56" s="119">
        <f>N56/$E$11</f>
        <v>-7.8369230216254453E-3</v>
      </c>
      <c r="V56" s="150"/>
      <c r="W56" s="95"/>
      <c r="X56" s="152"/>
    </row>
    <row r="57" spans="1:24" s="58" customFormat="1" ht="11" x14ac:dyDescent="0.15">
      <c r="A57" s="59"/>
      <c r="C57" s="187"/>
      <c r="F57" s="110"/>
      <c r="H57" s="152"/>
      <c r="I57" s="186"/>
      <c r="J57" s="150"/>
      <c r="K57" s="117" t="s">
        <v>237</v>
      </c>
      <c r="N57" s="118">
        <f t="shared" si="17"/>
        <v>-4.8448323465236469E-2</v>
      </c>
      <c r="O57" s="118">
        <f>SUM(SAP_Speadsheet!$F$95:$Q$95)</f>
        <v>-4.8448323465236469E-2</v>
      </c>
      <c r="P57" s="118">
        <f>SUM(SAP_Speadsheet!$R$95:$AC$95)</f>
        <v>0</v>
      </c>
      <c r="Q57" s="118">
        <f>SUM(SAP_Speadsheet!$AD$95:$AO$95)</f>
        <v>0</v>
      </c>
      <c r="R57" s="118">
        <f>SUM(SAP_Speadsheet!$AP$95:$BA$95)</f>
        <v>0</v>
      </c>
      <c r="S57" s="118">
        <f>SUM(SAP_Speadsheet!$BB$95:$BG$95)</f>
        <v>0</v>
      </c>
      <c r="T57" s="119">
        <f t="shared" si="16"/>
        <v>-9.15266870277524E-3</v>
      </c>
      <c r="U57" s="119">
        <f>N57/$E$11</f>
        <v>-5.7800103489725569E-3</v>
      </c>
      <c r="V57" s="150"/>
      <c r="W57" s="95"/>
      <c r="X57" s="152"/>
    </row>
    <row r="58" spans="1:24" s="58" customFormat="1" ht="11" x14ac:dyDescent="0.15">
      <c r="A58" s="59"/>
      <c r="B58" s="97" t="s">
        <v>96</v>
      </c>
      <c r="C58" s="58" t="s">
        <v>97</v>
      </c>
      <c r="D58" s="92"/>
      <c r="E58" s="188">
        <f>DATA!C8*E61*E62</f>
        <v>1.7150279960823959E-3</v>
      </c>
      <c r="F58" s="110" t="s">
        <v>238</v>
      </c>
      <c r="G58" s="189"/>
      <c r="H58" s="190"/>
      <c r="I58" s="157"/>
      <c r="J58" s="150"/>
      <c r="K58" s="97" t="s">
        <v>208</v>
      </c>
      <c r="L58" s="142"/>
      <c r="N58" s="106">
        <f t="shared" si="17"/>
        <v>-0.32749868059724974</v>
      </c>
      <c r="O58" s="106">
        <f>SUM(SAP_Speadsheet!$F$177:$Q$177)</f>
        <v>-0.29213131247700597</v>
      </c>
      <c r="P58" s="106">
        <f>SUM(SAP_Speadsheet!$R$177:$AC$177)</f>
        <v>-3.5367368120243742E-2</v>
      </c>
      <c r="Q58" s="106">
        <f>SUM(SAP_Speadsheet!$AD$177:$AO$177)</f>
        <v>0</v>
      </c>
      <c r="R58" s="106">
        <f>SUM(SAP_Speadsheet!$AP$177:$BA$177)</f>
        <v>0</v>
      </c>
      <c r="S58" s="106">
        <f>SUM(SAP_Speadsheet!$BB$177:$BG$177)</f>
        <v>0</v>
      </c>
      <c r="T58" s="114">
        <f t="shared" si="16"/>
        <v>-6.1869776077049264E-2</v>
      </c>
      <c r="U58" s="114">
        <f>N58/$E$11</f>
        <v>-3.9071439994930318E-2</v>
      </c>
      <c r="V58" s="150"/>
      <c r="W58" s="95"/>
      <c r="X58" s="152"/>
    </row>
    <row r="59" spans="1:24" s="58" customFormat="1" ht="11" x14ac:dyDescent="0.15">
      <c r="A59" s="59"/>
      <c r="B59" s="97"/>
      <c r="C59" s="58" t="s">
        <v>99</v>
      </c>
      <c r="D59" s="92"/>
      <c r="E59" s="188">
        <v>0</v>
      </c>
      <c r="F59" s="110" t="s">
        <v>239</v>
      </c>
      <c r="G59" s="189"/>
      <c r="H59" s="152"/>
      <c r="I59" s="186"/>
      <c r="J59" s="150"/>
      <c r="V59" s="150"/>
      <c r="W59" s="95"/>
      <c r="X59" s="152"/>
    </row>
    <row r="60" spans="1:24" s="58" customFormat="1" ht="11" x14ac:dyDescent="0.15">
      <c r="A60" s="59"/>
      <c r="C60" s="58" t="s">
        <v>101</v>
      </c>
      <c r="D60" s="92"/>
      <c r="E60" s="188">
        <f>DATA!C9</f>
        <v>8.2621508140531276E-4</v>
      </c>
      <c r="F60" s="110" t="s">
        <v>239</v>
      </c>
      <c r="G60" s="182"/>
      <c r="H60" s="190"/>
      <c r="I60" s="186"/>
      <c r="J60" s="150"/>
      <c r="N60" s="95"/>
      <c r="V60" s="150"/>
      <c r="W60" s="95"/>
      <c r="X60" s="152"/>
    </row>
    <row r="61" spans="1:24" s="58" customFormat="1" ht="11" x14ac:dyDescent="0.15">
      <c r="A61" s="59"/>
      <c r="C61" s="58" t="s">
        <v>103</v>
      </c>
      <c r="D61" s="92"/>
      <c r="E61" s="191">
        <f>DATA!C10</f>
        <v>0.1438250692947336</v>
      </c>
      <c r="F61" s="110" t="s">
        <v>240</v>
      </c>
      <c r="G61" s="192"/>
      <c r="H61" s="182"/>
      <c r="I61" s="157"/>
      <c r="J61" s="92"/>
      <c r="V61" s="92"/>
    </row>
    <row r="62" spans="1:24" s="58" customFormat="1" ht="11.25" customHeight="1" x14ac:dyDescent="0.15">
      <c r="A62" s="59"/>
      <c r="C62" s="58" t="s">
        <v>106</v>
      </c>
      <c r="D62" s="92"/>
      <c r="E62" s="191">
        <f>DATA!C11</f>
        <v>0.8501070663811563</v>
      </c>
      <c r="F62" s="110" t="s">
        <v>241</v>
      </c>
      <c r="G62" s="193"/>
      <c r="H62" s="182"/>
      <c r="I62" s="186"/>
      <c r="J62" s="92"/>
      <c r="V62" s="92"/>
    </row>
    <row r="63" spans="1:24" s="58" customFormat="1" ht="11.25" customHeight="1" x14ac:dyDescent="0.15">
      <c r="A63" s="59"/>
      <c r="F63" s="110"/>
      <c r="H63" s="192"/>
      <c r="I63" s="157"/>
      <c r="J63" s="92"/>
      <c r="V63" s="92"/>
    </row>
    <row r="64" spans="1:24" s="142" customFormat="1" ht="11.25" customHeight="1" x14ac:dyDescent="0.15">
      <c r="A64" s="59" t="s">
        <v>242</v>
      </c>
      <c r="B64" s="58"/>
      <c r="C64" s="58"/>
      <c r="D64" s="58"/>
      <c r="E64" s="58"/>
      <c r="F64" s="110"/>
      <c r="G64" s="58"/>
      <c r="H64" s="192"/>
      <c r="I64" s="92"/>
      <c r="J64" s="162"/>
      <c r="V64" s="162"/>
    </row>
    <row r="65" spans="1:22" s="58" customFormat="1" ht="11.25" customHeight="1" x14ac:dyDescent="0.15">
      <c r="A65" s="59"/>
      <c r="D65" s="92"/>
      <c r="E65" s="194"/>
      <c r="F65" s="110"/>
      <c r="H65" s="182"/>
      <c r="I65" s="92"/>
      <c r="J65" s="92"/>
      <c r="V65" s="92"/>
    </row>
    <row r="66" spans="1:22" s="58" customFormat="1" ht="11.25" customHeight="1" x14ac:dyDescent="0.15">
      <c r="A66" s="59" t="s">
        <v>243</v>
      </c>
      <c r="B66" s="97" t="s">
        <v>109</v>
      </c>
      <c r="C66" s="58" t="s">
        <v>110</v>
      </c>
      <c r="D66" s="92"/>
      <c r="E66" s="195">
        <f>DATA!C12</f>
        <v>4.0360679593941205E-3</v>
      </c>
      <c r="F66" s="110" t="s">
        <v>244</v>
      </c>
      <c r="G66" s="189"/>
      <c r="H66" s="182"/>
      <c r="V66" s="92"/>
    </row>
    <row r="67" spans="1:22" s="58" customFormat="1" ht="11.25" customHeight="1" x14ac:dyDescent="0.15">
      <c r="A67" s="59" t="s">
        <v>245</v>
      </c>
      <c r="C67" s="168" t="s">
        <v>246</v>
      </c>
      <c r="D67" s="92"/>
      <c r="E67" s="196"/>
      <c r="F67" s="110" t="s">
        <v>244</v>
      </c>
      <c r="G67" s="189"/>
      <c r="H67" s="182"/>
      <c r="I67" s="92"/>
      <c r="J67" s="92"/>
      <c r="V67" s="92"/>
    </row>
    <row r="68" spans="1:22" s="58" customFormat="1" ht="11.25" customHeight="1" x14ac:dyDescent="0.15">
      <c r="A68" s="59" t="s">
        <v>247</v>
      </c>
      <c r="C68" s="168" t="s">
        <v>248</v>
      </c>
      <c r="D68" s="92"/>
      <c r="E68" s="197"/>
      <c r="F68" s="110" t="s">
        <v>249</v>
      </c>
      <c r="G68" s="189"/>
      <c r="H68" s="182"/>
      <c r="I68" s="92"/>
      <c r="J68" s="92"/>
      <c r="V68" s="92"/>
    </row>
    <row r="69" spans="1:22" s="58" customFormat="1" ht="11.25" customHeight="1" x14ac:dyDescent="0.15">
      <c r="A69" s="59" t="s">
        <v>250</v>
      </c>
      <c r="C69" s="168" t="s">
        <v>251</v>
      </c>
      <c r="D69" s="92"/>
      <c r="E69" s="197"/>
      <c r="F69" s="110" t="s">
        <v>249</v>
      </c>
      <c r="G69" s="189"/>
      <c r="H69" s="182"/>
      <c r="I69" s="92"/>
      <c r="J69" s="92"/>
      <c r="V69" s="92"/>
    </row>
    <row r="70" spans="1:22" s="58" customFormat="1" ht="11" x14ac:dyDescent="0.15">
      <c r="A70" s="59"/>
      <c r="C70" s="168" t="s">
        <v>252</v>
      </c>
      <c r="D70" s="92"/>
      <c r="E70" s="197"/>
      <c r="F70" s="110" t="s">
        <v>249</v>
      </c>
      <c r="G70" s="189"/>
      <c r="H70" s="182"/>
      <c r="I70" s="92"/>
      <c r="V70" s="92"/>
    </row>
    <row r="71" spans="1:22" s="58" customFormat="1" ht="11" x14ac:dyDescent="0.15">
      <c r="A71" s="92"/>
      <c r="F71" s="110"/>
      <c r="I71" s="92"/>
      <c r="J71" s="92"/>
      <c r="K71" s="97"/>
      <c r="L71" s="97"/>
      <c r="M71" s="97"/>
      <c r="N71" s="198"/>
      <c r="O71" s="198"/>
      <c r="P71" s="198"/>
      <c r="Q71" s="198"/>
      <c r="R71" s="198"/>
      <c r="S71" s="198"/>
      <c r="T71" s="199"/>
      <c r="U71" s="200"/>
      <c r="V71" s="92"/>
    </row>
    <row r="72" spans="1:22" s="58" customFormat="1" ht="11" x14ac:dyDescent="0.15">
      <c r="A72" s="92"/>
      <c r="B72" s="97" t="s">
        <v>112</v>
      </c>
      <c r="F72" s="110"/>
      <c r="I72" s="92"/>
      <c r="J72" s="92"/>
      <c r="K72" s="97"/>
      <c r="L72" s="97"/>
      <c r="M72" s="97"/>
      <c r="N72" s="198"/>
      <c r="O72" s="198"/>
      <c r="P72" s="198"/>
      <c r="Q72" s="198"/>
      <c r="R72" s="198"/>
      <c r="S72" s="198"/>
      <c r="T72" s="199"/>
      <c r="U72" s="200"/>
      <c r="V72" s="92"/>
    </row>
    <row r="73" spans="1:22" s="58" customFormat="1" ht="11" x14ac:dyDescent="0.15">
      <c r="A73" s="92"/>
      <c r="C73" s="58" t="s">
        <v>113</v>
      </c>
      <c r="E73" s="195">
        <f>DATA!C13</f>
        <v>7.6532026870908383E-6</v>
      </c>
      <c r="F73" s="110" t="s">
        <v>244</v>
      </c>
      <c r="I73" s="92"/>
      <c r="J73" s="92"/>
      <c r="K73" s="97"/>
      <c r="L73" s="97"/>
      <c r="M73" s="97"/>
      <c r="N73" s="198"/>
      <c r="O73" s="198"/>
      <c r="P73" s="198"/>
      <c r="Q73" s="198"/>
      <c r="R73" s="198"/>
      <c r="S73" s="198"/>
      <c r="T73" s="199"/>
      <c r="U73" s="200"/>
      <c r="V73" s="92"/>
    </row>
    <row r="74" spans="1:22" s="58" customFormat="1" ht="11" x14ac:dyDescent="0.15">
      <c r="A74" s="92"/>
      <c r="F74" s="110"/>
      <c r="I74" s="92"/>
      <c r="J74" s="92"/>
      <c r="K74" s="97"/>
      <c r="L74" s="97"/>
      <c r="M74" s="97"/>
      <c r="N74" s="198"/>
      <c r="O74" s="198"/>
      <c r="P74" s="198"/>
      <c r="Q74" s="198"/>
      <c r="R74" s="198"/>
      <c r="S74" s="198"/>
      <c r="T74" s="199"/>
      <c r="U74" s="200"/>
      <c r="V74" s="92"/>
    </row>
    <row r="75" spans="1:22" s="58" customFormat="1" ht="11" x14ac:dyDescent="0.15">
      <c r="A75" s="59"/>
      <c r="F75" s="110"/>
      <c r="I75" s="92"/>
      <c r="J75" s="92"/>
      <c r="K75" s="97"/>
      <c r="L75" s="97"/>
      <c r="M75" s="97"/>
      <c r="N75" s="198"/>
      <c r="O75" s="198"/>
      <c r="P75" s="198"/>
      <c r="Q75" s="198"/>
      <c r="R75" s="201"/>
      <c r="S75" s="198"/>
      <c r="T75" s="199"/>
      <c r="U75" s="148"/>
      <c r="V75" s="92"/>
    </row>
    <row r="76" spans="1:22" s="58" customFormat="1" ht="12" customHeight="1" x14ac:dyDescent="0.2">
      <c r="A76" s="59"/>
      <c r="B76" s="97" t="s">
        <v>115</v>
      </c>
      <c r="C76" s="58" t="s">
        <v>117</v>
      </c>
      <c r="D76" s="92"/>
      <c r="E76" s="202">
        <f>DATA!C14</f>
        <v>7.5933848369420008E-3</v>
      </c>
      <c r="F76" s="110" t="s">
        <v>244</v>
      </c>
      <c r="H76" s="203"/>
      <c r="I76" s="204"/>
      <c r="J76" s="150"/>
      <c r="K76" s="97"/>
      <c r="L76" s="97"/>
      <c r="M76" s="97"/>
      <c r="N76" s="198"/>
      <c r="O76" s="198"/>
      <c r="P76" s="198"/>
      <c r="Q76" s="198"/>
      <c r="R76" s="201"/>
      <c r="S76" s="198"/>
      <c r="T76" s="199"/>
      <c r="U76" s="148"/>
      <c r="V76" s="92"/>
    </row>
    <row r="77" spans="1:22" s="58" customFormat="1" ht="12" customHeight="1" x14ac:dyDescent="0.2">
      <c r="A77" s="59"/>
      <c r="B77" s="97"/>
      <c r="C77" s="58" t="s">
        <v>119</v>
      </c>
      <c r="E77" s="202">
        <f>DATA!C15</f>
        <v>1.8032512703267879E-2</v>
      </c>
      <c r="F77" s="110" t="s">
        <v>244</v>
      </c>
      <c r="G77" s="189"/>
      <c r="H77" s="203"/>
      <c r="I77" s="204"/>
      <c r="J77" s="150"/>
      <c r="K77" s="97"/>
      <c r="L77" s="97"/>
      <c r="M77" s="97"/>
      <c r="N77" s="198"/>
      <c r="O77" s="198"/>
      <c r="P77" s="198"/>
      <c r="Q77" s="198"/>
      <c r="R77" s="201"/>
      <c r="S77" s="198"/>
      <c r="T77" s="199"/>
      <c r="U77" s="148"/>
      <c r="V77" s="92"/>
    </row>
    <row r="78" spans="1:22" s="58" customFormat="1" ht="12" customHeight="1" x14ac:dyDescent="0.2">
      <c r="A78" s="59"/>
      <c r="B78" s="97"/>
      <c r="C78" s="58" t="s">
        <v>121</v>
      </c>
      <c r="D78" s="92"/>
      <c r="E78" s="202">
        <f>DATA!C16</f>
        <v>9.9529490852838486E-3</v>
      </c>
      <c r="F78" s="110" t="s">
        <v>244</v>
      </c>
      <c r="G78" s="189"/>
      <c r="H78" s="203"/>
      <c r="I78" s="204"/>
      <c r="J78" s="150"/>
      <c r="K78" s="97"/>
      <c r="L78" s="97"/>
      <c r="M78" s="97"/>
      <c r="N78" s="198"/>
      <c r="O78" s="198"/>
      <c r="P78" s="198"/>
      <c r="Q78" s="198"/>
      <c r="R78" s="201"/>
      <c r="S78" s="198"/>
      <c r="T78" s="199"/>
      <c r="U78" s="148"/>
      <c r="V78" s="92"/>
    </row>
    <row r="79" spans="1:22" s="58" customFormat="1" ht="12" customHeight="1" x14ac:dyDescent="0.2">
      <c r="A79" s="59" t="s">
        <v>253</v>
      </c>
      <c r="B79" s="97"/>
      <c r="C79" s="58" t="s">
        <v>123</v>
      </c>
      <c r="D79" s="92"/>
      <c r="E79" s="202">
        <f>DATA!C17</f>
        <v>7.3406550704903763E-3</v>
      </c>
      <c r="F79" s="110" t="s">
        <v>244</v>
      </c>
      <c r="G79" s="189"/>
      <c r="H79" s="203"/>
      <c r="I79" s="204"/>
      <c r="J79" s="150"/>
      <c r="U79" s="148"/>
      <c r="V79" s="92"/>
    </row>
    <row r="80" spans="1:22" s="58" customFormat="1" ht="11" x14ac:dyDescent="0.15">
      <c r="A80" s="59" t="s">
        <v>254</v>
      </c>
      <c r="B80" s="97"/>
      <c r="I80" s="92"/>
      <c r="J80" s="92"/>
      <c r="U80" s="148"/>
      <c r="V80" s="92"/>
    </row>
    <row r="81" spans="1:22" s="58" customFormat="1" ht="11" x14ac:dyDescent="0.15">
      <c r="A81" s="59" t="s">
        <v>255</v>
      </c>
      <c r="I81" s="92"/>
      <c r="L81" s="189"/>
      <c r="U81" s="148"/>
      <c r="V81" s="92"/>
    </row>
    <row r="82" spans="1:22" s="58" customFormat="1" ht="11" x14ac:dyDescent="0.15">
      <c r="A82" s="59" t="s">
        <v>103</v>
      </c>
      <c r="D82" s="92"/>
      <c r="I82" s="92"/>
      <c r="L82" s="189"/>
      <c r="U82" s="148"/>
      <c r="V82" s="92"/>
    </row>
    <row r="83" spans="1:22" s="58" customFormat="1" ht="14" thickBot="1" x14ac:dyDescent="0.2">
      <c r="A83" s="59"/>
      <c r="B83" s="43" t="s">
        <v>125</v>
      </c>
      <c r="C83" s="44"/>
      <c r="D83" s="42"/>
      <c r="E83" s="44"/>
      <c r="F83" s="44"/>
      <c r="G83" s="44"/>
      <c r="H83" s="44"/>
      <c r="I83" s="42"/>
      <c r="J83" s="42"/>
      <c r="K83" s="42"/>
      <c r="L83" s="42"/>
      <c r="M83" s="42"/>
      <c r="N83" s="42"/>
      <c r="O83" s="42"/>
      <c r="P83" s="42"/>
      <c r="T83" s="42"/>
      <c r="U83" s="148"/>
      <c r="V83" s="92"/>
    </row>
    <row r="84" spans="1:22" s="58" customFormat="1" ht="13" thickTop="1" x14ac:dyDescent="0.15">
      <c r="A84" s="59"/>
      <c r="B84" s="100"/>
      <c r="C84" s="100"/>
      <c r="E84" s="100"/>
      <c r="F84" s="73"/>
      <c r="G84" s="100"/>
      <c r="H84" s="73"/>
      <c r="I84" s="79"/>
      <c r="J84" s="92"/>
      <c r="U84" s="96"/>
      <c r="V84" s="92"/>
    </row>
    <row r="85" spans="1:22" s="58" customFormat="1" x14ac:dyDescent="0.15">
      <c r="A85" s="59"/>
      <c r="B85" s="205" t="s">
        <v>256</v>
      </c>
      <c r="C85" s="100"/>
      <c r="D85" s="206" t="s">
        <v>126</v>
      </c>
      <c r="E85" s="100"/>
      <c r="F85" s="73"/>
      <c r="G85" s="207" t="s">
        <v>128</v>
      </c>
      <c r="J85" s="207" t="s">
        <v>130</v>
      </c>
      <c r="U85" s="96"/>
      <c r="V85" s="92"/>
    </row>
    <row r="86" spans="1:22" s="58" customFormat="1" ht="11" x14ac:dyDescent="0.15">
      <c r="A86" s="59"/>
      <c r="B86" s="205"/>
      <c r="C86" s="97"/>
      <c r="D86" s="207" t="s">
        <v>257</v>
      </c>
      <c r="E86" s="207" t="s">
        <v>258</v>
      </c>
      <c r="F86" s="175"/>
      <c r="G86" s="207" t="s">
        <v>257</v>
      </c>
      <c r="H86" s="207" t="s">
        <v>258</v>
      </c>
      <c r="J86" s="207" t="s">
        <v>257</v>
      </c>
      <c r="K86" s="207" t="s">
        <v>258</v>
      </c>
      <c r="U86" s="96"/>
      <c r="V86" s="92"/>
    </row>
    <row r="87" spans="1:22" s="58" customFormat="1" ht="11" x14ac:dyDescent="0.15">
      <c r="A87" s="59" t="s">
        <v>259</v>
      </c>
      <c r="B87" s="208"/>
      <c r="C87" s="97" t="s">
        <v>260</v>
      </c>
      <c r="D87" s="209">
        <v>2.1000000000000001E-2</v>
      </c>
      <c r="E87" s="209">
        <v>0.2</v>
      </c>
      <c r="F87" s="175"/>
      <c r="G87" s="210">
        <f>PRODUCT(D87:D$100)</f>
        <v>1.8680951173499997E-2</v>
      </c>
      <c r="H87" s="210">
        <f>PRODUCT(E87:E$100)</f>
        <v>0.117910485</v>
      </c>
      <c r="J87" s="211">
        <f>G87*(1-$E$106)*(1-$E$107)*(1-$E$108)*(1-$E$109)</f>
        <v>1.7406538178919916E-2</v>
      </c>
      <c r="K87" s="211">
        <f>H87*(1-$E$106)*(1-$E$107)*(1-$E$108)*(1-$E$109)</f>
        <v>0.1098666411461388</v>
      </c>
      <c r="U87" s="96"/>
      <c r="V87" s="92"/>
    </row>
    <row r="88" spans="1:22" s="58" customFormat="1" ht="11" x14ac:dyDescent="0.15">
      <c r="A88" s="59"/>
      <c r="B88" s="208"/>
      <c r="C88" s="97" t="s">
        <v>261</v>
      </c>
      <c r="D88" s="209">
        <v>0.95</v>
      </c>
      <c r="E88" s="209">
        <v>0.7</v>
      </c>
      <c r="G88" s="210">
        <f>PRODUCT(D88:D$100)</f>
        <v>0.88956910349999985</v>
      </c>
      <c r="H88" s="210">
        <f>PRODUCT(E88:E$100)</f>
        <v>0.58955242499999994</v>
      </c>
      <c r="J88" s="211">
        <f t="shared" ref="J88:K94" si="18">G88*(1-$E$106)*(1-$E$107)*(1-$E$108)*(1-$E$109)</f>
        <v>0.82888277042475822</v>
      </c>
      <c r="K88" s="211">
        <f t="shared" si="18"/>
        <v>0.54933320573069389</v>
      </c>
      <c r="U88" s="96"/>
      <c r="V88" s="92"/>
    </row>
    <row r="89" spans="1:22" s="58" customFormat="1" x14ac:dyDescent="0.15">
      <c r="A89" s="59"/>
      <c r="B89" s="208"/>
      <c r="C89" s="97" t="s">
        <v>262</v>
      </c>
      <c r="D89" s="209">
        <v>0.97</v>
      </c>
      <c r="E89" s="209">
        <v>0.9</v>
      </c>
      <c r="G89" s="210">
        <f>PRODUCT(D89:D$100)</f>
        <v>0.93638853</v>
      </c>
      <c r="H89" s="210">
        <f>PRODUCT(E89:E$100)</f>
        <v>0.84221774999999988</v>
      </c>
      <c r="J89" s="211">
        <f t="shared" si="18"/>
        <v>0.87250817939448233</v>
      </c>
      <c r="K89" s="211">
        <f t="shared" si="18"/>
        <v>0.78476172247241982</v>
      </c>
      <c r="L89" s="73"/>
      <c r="M89" s="73"/>
      <c r="N89" s="73"/>
      <c r="O89" s="73"/>
      <c r="P89" s="73"/>
      <c r="Q89" s="73"/>
      <c r="R89" s="73"/>
      <c r="S89" s="73"/>
      <c r="T89" s="100"/>
      <c r="U89" s="96"/>
      <c r="V89" s="92"/>
    </row>
    <row r="90" spans="1:22" s="58" customFormat="1" ht="11" x14ac:dyDescent="0.15">
      <c r="A90" s="59"/>
      <c r="B90" s="208"/>
      <c r="C90" s="97" t="s">
        <v>263</v>
      </c>
      <c r="D90" s="209">
        <v>0.98</v>
      </c>
      <c r="E90" s="209">
        <v>0.95</v>
      </c>
      <c r="G90" s="210">
        <f>PRODUCT(D90:D$100)</f>
        <v>0.9653489999999999</v>
      </c>
      <c r="H90" s="210">
        <f>PRODUCT(E90:E$100)</f>
        <v>0.93579749999999995</v>
      </c>
      <c r="J90" s="211">
        <f t="shared" si="18"/>
        <v>0.89949296844791993</v>
      </c>
      <c r="K90" s="211">
        <f t="shared" si="18"/>
        <v>0.87195746941379992</v>
      </c>
      <c r="L90" s="97"/>
      <c r="N90" s="97"/>
      <c r="P90" s="97"/>
      <c r="Q90" s="97"/>
      <c r="R90" s="97"/>
      <c r="S90" s="97"/>
      <c r="U90" s="96"/>
      <c r="V90" s="92"/>
    </row>
    <row r="91" spans="1:22" s="58" customFormat="1" ht="11" x14ac:dyDescent="0.15">
      <c r="A91" s="70"/>
      <c r="B91" s="208"/>
      <c r="C91" s="97" t="s">
        <v>264</v>
      </c>
      <c r="D91" s="209">
        <v>0.99</v>
      </c>
      <c r="E91" s="209">
        <f>D91</f>
        <v>0.99</v>
      </c>
      <c r="G91" s="210">
        <f>PRODUCT(D91:D$100)</f>
        <v>0.98504999999999998</v>
      </c>
      <c r="H91" s="210">
        <f>PRODUCT(E91:E$100)</f>
        <v>0.98504999999999998</v>
      </c>
      <c r="J91" s="211">
        <f t="shared" si="18"/>
        <v>0.91784996780400008</v>
      </c>
      <c r="K91" s="211">
        <f t="shared" si="18"/>
        <v>0.91784996780400008</v>
      </c>
    </row>
    <row r="92" spans="1:22" s="58" customFormat="1" ht="11" x14ac:dyDescent="0.15">
      <c r="A92" s="59"/>
      <c r="B92" s="208"/>
      <c r="C92" s="97" t="s">
        <v>265</v>
      </c>
      <c r="D92" s="209">
        <v>0.995</v>
      </c>
      <c r="E92" s="209">
        <f>D92</f>
        <v>0.995</v>
      </c>
      <c r="G92" s="210">
        <f>PRODUCT(D92:D$100)</f>
        <v>0.995</v>
      </c>
      <c r="H92" s="210">
        <f>PRODUCT(E92:E$100)</f>
        <v>0.995</v>
      </c>
      <c r="J92" s="211">
        <f t="shared" si="18"/>
        <v>0.92712117959999996</v>
      </c>
      <c r="K92" s="211">
        <f t="shared" si="18"/>
        <v>0.92712117959999996</v>
      </c>
    </row>
    <row r="93" spans="1:22" s="58" customFormat="1" ht="11" x14ac:dyDescent="0.15">
      <c r="A93" s="59"/>
      <c r="B93" s="208"/>
      <c r="C93" s="97" t="s">
        <v>266</v>
      </c>
      <c r="D93" s="209">
        <v>1</v>
      </c>
      <c r="E93" s="209">
        <v>1</v>
      </c>
      <c r="G93" s="210">
        <f>PRODUCT(D93:D$100)</f>
        <v>1</v>
      </c>
      <c r="H93" s="210">
        <f>PRODUCT(E93:E$100)</f>
        <v>1</v>
      </c>
      <c r="J93" s="211">
        <f t="shared" si="18"/>
        <v>0.9317800799999999</v>
      </c>
      <c r="K93" s="211">
        <f t="shared" si="18"/>
        <v>0.9317800799999999</v>
      </c>
    </row>
    <row r="94" spans="1:22" s="58" customFormat="1" ht="11" x14ac:dyDescent="0.15">
      <c r="A94" s="59"/>
      <c r="B94" s="208"/>
      <c r="C94" s="97" t="s">
        <v>267</v>
      </c>
      <c r="D94" s="209">
        <v>1</v>
      </c>
      <c r="E94" s="209">
        <v>1</v>
      </c>
      <c r="G94" s="210">
        <f>PRODUCT(D94:D$100)</f>
        <v>1</v>
      </c>
      <c r="H94" s="210">
        <f>PRODUCT(E94:E$100)</f>
        <v>1</v>
      </c>
      <c r="J94" s="211">
        <f t="shared" si="18"/>
        <v>0.9317800799999999</v>
      </c>
      <c r="K94" s="211">
        <f t="shared" si="18"/>
        <v>0.9317800799999999</v>
      </c>
    </row>
    <row r="95" spans="1:22" s="58" customFormat="1" ht="11" x14ac:dyDescent="0.15">
      <c r="A95" s="59"/>
      <c r="B95" s="208"/>
      <c r="C95" s="97" t="s">
        <v>268</v>
      </c>
      <c r="D95" s="209">
        <v>1</v>
      </c>
      <c r="E95" s="209">
        <v>1</v>
      </c>
      <c r="G95" s="210">
        <f>PRODUCT(D95:D$100)</f>
        <v>1</v>
      </c>
      <c r="H95" s="210">
        <f>PRODUCT(E95:E$100)</f>
        <v>1</v>
      </c>
      <c r="J95" s="211">
        <f t="shared" ref="J95:K99" si="19">G95*(1-$E$107)*(1-$E$108)*(1-$E$109)</f>
        <v>0.95079599999999986</v>
      </c>
      <c r="K95" s="211">
        <f t="shared" si="19"/>
        <v>0.95079599999999986</v>
      </c>
    </row>
    <row r="96" spans="1:22" s="58" customFormat="1" ht="11" x14ac:dyDescent="0.15">
      <c r="A96" s="59"/>
      <c r="B96" s="208"/>
      <c r="C96" s="97" t="s">
        <v>269</v>
      </c>
      <c r="D96" s="209">
        <v>1</v>
      </c>
      <c r="E96" s="209">
        <v>1</v>
      </c>
      <c r="G96" s="210">
        <f>PRODUCT(D96:D$100)</f>
        <v>1</v>
      </c>
      <c r="H96" s="210">
        <f>PRODUCT(E96:E$100)</f>
        <v>1</v>
      </c>
      <c r="J96" s="211">
        <f t="shared" si="19"/>
        <v>0.95079599999999986</v>
      </c>
      <c r="K96" s="211">
        <f t="shared" si="19"/>
        <v>0.95079599999999986</v>
      </c>
    </row>
    <row r="97" spans="1:22" s="58" customFormat="1" ht="11" x14ac:dyDescent="0.15">
      <c r="A97" s="59"/>
      <c r="B97" s="208"/>
      <c r="C97" s="97" t="s">
        <v>270</v>
      </c>
      <c r="D97" s="209">
        <v>1</v>
      </c>
      <c r="E97" s="209">
        <v>1</v>
      </c>
      <c r="G97" s="210">
        <f>PRODUCT(D97:D$100)</f>
        <v>1</v>
      </c>
      <c r="H97" s="210">
        <f>PRODUCT(E97:E$100)</f>
        <v>1</v>
      </c>
      <c r="J97" s="211">
        <f t="shared" si="19"/>
        <v>0.95079599999999986</v>
      </c>
      <c r="K97" s="211">
        <f t="shared" si="19"/>
        <v>0.95079599999999986</v>
      </c>
    </row>
    <row r="98" spans="1:22" s="58" customFormat="1" ht="11" x14ac:dyDescent="0.15">
      <c r="A98" s="59"/>
      <c r="B98" s="208"/>
      <c r="C98" s="97" t="s">
        <v>271</v>
      </c>
      <c r="D98" s="209">
        <v>1</v>
      </c>
      <c r="E98" s="209">
        <v>1</v>
      </c>
      <c r="G98" s="210">
        <f>PRODUCT(D98:D$100)</f>
        <v>1</v>
      </c>
      <c r="H98" s="210">
        <f>PRODUCT(E98:E$100)</f>
        <v>1</v>
      </c>
      <c r="J98" s="211">
        <f t="shared" si="19"/>
        <v>0.95079599999999986</v>
      </c>
      <c r="K98" s="211">
        <f t="shared" si="19"/>
        <v>0.95079599999999986</v>
      </c>
    </row>
    <row r="99" spans="1:22" s="58" customFormat="1" ht="11" x14ac:dyDescent="0.15">
      <c r="A99" s="59"/>
      <c r="B99" s="208"/>
      <c r="C99" s="97" t="s">
        <v>272</v>
      </c>
      <c r="D99" s="212">
        <v>1</v>
      </c>
      <c r="E99" s="212">
        <v>1</v>
      </c>
      <c r="G99" s="210">
        <f>PRODUCT(D99:D$100)</f>
        <v>1</v>
      </c>
      <c r="H99" s="210">
        <f>PRODUCT(E99:E$100)</f>
        <v>1</v>
      </c>
      <c r="J99" s="211">
        <f t="shared" si="19"/>
        <v>0.95079599999999986</v>
      </c>
      <c r="K99" s="211">
        <f t="shared" si="19"/>
        <v>0.95079599999999986</v>
      </c>
    </row>
    <row r="100" spans="1:22" s="58" customFormat="1" ht="11" x14ac:dyDescent="0.15">
      <c r="A100" s="59"/>
      <c r="B100" s="208"/>
      <c r="C100" s="213" t="s">
        <v>273</v>
      </c>
      <c r="D100" s="214"/>
      <c r="E100" s="214"/>
      <c r="G100" s="210"/>
      <c r="H100" s="210"/>
      <c r="J100" s="211">
        <f>(1-$E$107)*(1-$E$108)*(1-$E$109)</f>
        <v>0.95079599999999986</v>
      </c>
      <c r="K100" s="211">
        <f>(1-$E$107)*(1-$E$108)*(1-$E$109)</f>
        <v>0.95079599999999986</v>
      </c>
    </row>
    <row r="101" spans="1:22" s="58" customFormat="1" ht="11" x14ac:dyDescent="0.15">
      <c r="A101" s="59"/>
      <c r="C101" s="213" t="s">
        <v>274</v>
      </c>
      <c r="D101" s="210"/>
      <c r="E101" s="210"/>
      <c r="G101" s="210"/>
      <c r="H101" s="210"/>
      <c r="I101" s="92"/>
      <c r="J101" s="211">
        <f>(1-$E$108)*(1-$E$109)</f>
        <v>0.97019999999999995</v>
      </c>
      <c r="K101" s="211">
        <f>(1-$E$108)*(1-$E$109)</f>
        <v>0.97019999999999995</v>
      </c>
    </row>
    <row r="102" spans="1:22" s="58" customFormat="1" ht="11" x14ac:dyDescent="0.15">
      <c r="A102" s="59"/>
      <c r="C102" s="213" t="s">
        <v>275</v>
      </c>
      <c r="D102" s="210"/>
      <c r="E102" s="210"/>
      <c r="G102" s="210"/>
      <c r="H102" s="210"/>
      <c r="I102" s="92"/>
      <c r="J102" s="211">
        <f>(1-$E$109)</f>
        <v>0.99</v>
      </c>
      <c r="K102" s="211">
        <f>(1-$E$109)</f>
        <v>0.99</v>
      </c>
    </row>
    <row r="103" spans="1:22" s="58" customFormat="1" ht="11" x14ac:dyDescent="0.15">
      <c r="A103" s="59"/>
      <c r="C103" s="58" t="s">
        <v>276</v>
      </c>
      <c r="D103" s="215">
        <f>N40/E11</f>
        <v>-0.15735106821719619</v>
      </c>
      <c r="I103" s="92"/>
    </row>
    <row r="104" spans="1:22" s="58" customFormat="1" ht="11" x14ac:dyDescent="0.15">
      <c r="A104" s="59"/>
      <c r="C104" s="58" t="s">
        <v>277</v>
      </c>
      <c r="D104" s="216">
        <f>T40</f>
        <v>-0.2491660240151278</v>
      </c>
      <c r="I104" s="92"/>
    </row>
    <row r="105" spans="1:22" s="58" customFormat="1" x14ac:dyDescent="0.15">
      <c r="A105" s="59"/>
      <c r="H105" s="73"/>
      <c r="I105" s="92"/>
    </row>
    <row r="106" spans="1:22" s="58" customFormat="1" ht="11" x14ac:dyDescent="0.15">
      <c r="A106" s="59"/>
      <c r="B106" s="97" t="s">
        <v>132</v>
      </c>
      <c r="C106" s="58" t="s">
        <v>278</v>
      </c>
      <c r="E106" s="217">
        <v>0.02</v>
      </c>
      <c r="I106" s="92"/>
      <c r="J106" s="92"/>
      <c r="U106" s="72"/>
      <c r="V106" s="92"/>
    </row>
    <row r="107" spans="1:22" s="58" customFormat="1" x14ac:dyDescent="0.15">
      <c r="A107" s="59" t="s">
        <v>279</v>
      </c>
      <c r="B107" s="97"/>
      <c r="C107" s="58" t="s">
        <v>273</v>
      </c>
      <c r="D107" s="59" t="s">
        <v>279</v>
      </c>
      <c r="E107" s="217">
        <v>0.02</v>
      </c>
      <c r="H107" s="73"/>
      <c r="I107" s="92"/>
      <c r="J107" s="92"/>
      <c r="U107" s="72"/>
      <c r="V107" s="92"/>
    </row>
    <row r="108" spans="1:22" s="58" customFormat="1" ht="11" x14ac:dyDescent="0.15">
      <c r="A108" s="59" t="s">
        <v>280</v>
      </c>
      <c r="C108" s="58" t="s">
        <v>281</v>
      </c>
      <c r="D108" s="59" t="s">
        <v>280</v>
      </c>
      <c r="E108" s="217">
        <v>0.02</v>
      </c>
      <c r="I108" s="92"/>
      <c r="J108" s="92"/>
      <c r="U108" s="96"/>
      <c r="V108" s="92"/>
    </row>
    <row r="109" spans="1:22" s="58" customFormat="1" x14ac:dyDescent="0.15">
      <c r="A109" s="59" t="s">
        <v>282</v>
      </c>
      <c r="C109" s="58" t="s">
        <v>275</v>
      </c>
      <c r="D109" s="59" t="s">
        <v>282</v>
      </c>
      <c r="E109" s="217">
        <v>0.01</v>
      </c>
      <c r="F109" s="73"/>
      <c r="G109" s="73"/>
      <c r="I109" s="92"/>
      <c r="J109" s="92"/>
      <c r="U109" s="96"/>
      <c r="V109" s="92"/>
    </row>
    <row r="110" spans="1:22" s="58" customFormat="1" x14ac:dyDescent="0.15">
      <c r="A110" s="59"/>
      <c r="B110" s="73"/>
      <c r="C110" s="73"/>
      <c r="D110" s="218"/>
      <c r="E110" s="73"/>
      <c r="H110" s="73"/>
      <c r="I110" s="79"/>
      <c r="J110" s="92"/>
      <c r="U110" s="96"/>
      <c r="V110" s="92"/>
    </row>
    <row r="111" spans="1:22" s="58" customFormat="1" x14ac:dyDescent="0.15">
      <c r="A111" s="59"/>
      <c r="B111" s="97" t="s">
        <v>283</v>
      </c>
      <c r="D111" s="92"/>
      <c r="E111" s="119">
        <f>1-D88</f>
        <v>5.0000000000000044E-2</v>
      </c>
      <c r="F111" s="73"/>
      <c r="G111" s="73"/>
      <c r="H111" s="73"/>
      <c r="I111" s="79"/>
      <c r="J111" s="92"/>
      <c r="U111" s="148"/>
      <c r="V111" s="92"/>
    </row>
    <row r="112" spans="1:22" s="58" customFormat="1" x14ac:dyDescent="0.15">
      <c r="A112" s="59"/>
      <c r="D112" s="92"/>
      <c r="E112" s="73"/>
      <c r="F112" s="73"/>
      <c r="G112" s="73"/>
      <c r="H112" s="73"/>
      <c r="I112" s="79"/>
      <c r="J112" s="92"/>
      <c r="U112" s="96"/>
      <c r="V112" s="92"/>
    </row>
    <row r="113" spans="1:22" s="58" customFormat="1" x14ac:dyDescent="0.15">
      <c r="A113" s="219"/>
      <c r="B113" s="73"/>
      <c r="C113" s="73"/>
      <c r="D113" s="79"/>
      <c r="E113" s="73"/>
      <c r="F113" s="73"/>
      <c r="G113" s="73"/>
      <c r="H113" s="73"/>
      <c r="I113" s="79"/>
      <c r="J113" s="92"/>
      <c r="U113" s="148"/>
      <c r="V113" s="92"/>
    </row>
    <row r="114" spans="1:22" s="58" customFormat="1" ht="11" x14ac:dyDescent="0.15">
      <c r="A114" s="59"/>
      <c r="J114" s="92"/>
      <c r="U114" s="148"/>
      <c r="V114" s="92"/>
    </row>
    <row r="115" spans="1:22" x14ac:dyDescent="0.15">
      <c r="U115" s="220"/>
    </row>
    <row r="116" spans="1:22" x14ac:dyDescent="0.15">
      <c r="U116" s="220"/>
    </row>
    <row r="117" spans="1:22" x14ac:dyDescent="0.15">
      <c r="U117" s="220"/>
    </row>
    <row r="118" spans="1:22" x14ac:dyDescent="0.15">
      <c r="U118" s="220"/>
    </row>
    <row r="119" spans="1:22" x14ac:dyDescent="0.15">
      <c r="U119" s="220"/>
    </row>
    <row r="120" spans="1:22" collapsed="1" x14ac:dyDescent="0.15"/>
  </sheetData>
  <dataConsolidate link="1"/>
  <conditionalFormatting sqref="E26:F31">
    <cfRule type="cellIs" dxfId="1" priority="2" operator="equal">
      <formula>0</formula>
    </cfRule>
  </conditionalFormatting>
  <conditionalFormatting sqref="G26:G29">
    <cfRule type="cellIs" dxfId="0" priority="1" operator="equal">
      <formula>0</formula>
    </cfRule>
  </conditionalFormatting>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6A6D0C7-66A0-E245-8F88-8B1301E63496}">
          <x14:formula1>
            <xm:f>DATA!$AB$26:$AE$26</xm:f>
          </x14:formula1>
          <xm:sqref>G6</xm:sqref>
        </x14:dataValidation>
        <x14:dataValidation type="list" allowBlank="1" showInputMessage="1" showErrorMessage="1" xr:uid="{0855AAF6-679B-674C-B3C3-2D73CE4A40FB}">
          <x14:formula1>
            <xm:f>NOTE!$B$109:$B$110</xm:f>
          </x14:formula1>
          <xm:sqref>G5</xm:sqref>
        </x14:dataValidation>
        <x14:dataValidation type="list" allowBlank="1" showInputMessage="1" showErrorMessage="1" xr:uid="{A58BB041-92DF-C542-9D71-3638D5557DE3}">
          <x14:formula1>
            <xm:f>NOTE!$E$109:$E$110</xm:f>
          </x14:formula1>
          <xm:sqref>G4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370EC-0DFD-BB4C-BA76-89C70EA8FAD2}">
  <sheetPr>
    <tabColor theme="4" tint="0.59999389629810485"/>
  </sheetPr>
  <dimension ref="A1:KU211"/>
  <sheetViews>
    <sheetView showGridLines="0" zoomScale="103" zoomScaleNormal="70" zoomScaleSheetLayoutView="55" workbookViewId="0">
      <pane xSplit="4" ySplit="5" topLeftCell="E49" activePane="bottomRight" state="frozen"/>
      <selection activeCell="P3" sqref="P3"/>
      <selection pane="topRight" activeCell="P3" sqref="P3"/>
      <selection pane="bottomLeft" activeCell="P3" sqref="P3"/>
      <selection pane="bottomRight" activeCell="P3" sqref="P3"/>
    </sheetView>
  </sheetViews>
  <sheetFormatPr baseColWidth="10" defaultColWidth="9.1640625" defaultRowHeight="11" outlineLevelCol="1" x14ac:dyDescent="0.15"/>
  <cols>
    <col min="1" max="1" width="5.5" style="92" customWidth="1" outlineLevel="1"/>
    <col min="2" max="2" width="6.6640625" style="92" customWidth="1" outlineLevel="1"/>
    <col min="3" max="3" width="24.1640625" style="92" customWidth="1"/>
    <col min="4" max="4" width="27.33203125" style="162" hidden="1" customWidth="1" outlineLevel="1"/>
    <col min="5" max="5" width="10.6640625" style="92" bestFit="1" customWidth="1" outlineLevel="1"/>
    <col min="6" max="29" width="8.5" style="92" customWidth="1"/>
    <col min="30" max="65" width="8.5" style="92" hidden="1" customWidth="1"/>
    <col min="66" max="306" width="6.5" style="92" bestFit="1" customWidth="1"/>
    <col min="307" max="307" width="2.1640625" style="92" bestFit="1" customWidth="1"/>
    <col min="308" max="16384" width="9.1640625" style="92"/>
  </cols>
  <sheetData>
    <row r="1" spans="2:306" ht="20" x14ac:dyDescent="0.2">
      <c r="B1" s="221" t="s">
        <v>284</v>
      </c>
      <c r="C1" s="136"/>
      <c r="F1" s="222"/>
      <c r="G1" s="222"/>
      <c r="H1" s="222"/>
      <c r="I1" s="222"/>
      <c r="J1" s="222"/>
      <c r="K1" s="222"/>
      <c r="L1" s="222"/>
      <c r="M1" s="222"/>
      <c r="AY1" s="150"/>
    </row>
    <row r="2" spans="2:306" x14ac:dyDescent="0.15">
      <c r="C2" s="223"/>
      <c r="F2" s="222"/>
      <c r="G2" s="222"/>
      <c r="H2" s="222"/>
      <c r="I2" s="222"/>
      <c r="J2" s="222"/>
      <c r="K2" s="222"/>
      <c r="L2" s="222"/>
      <c r="M2" s="222"/>
      <c r="AW2" s="150"/>
    </row>
    <row r="3" spans="2:306" x14ac:dyDescent="0.15">
      <c r="C3" s="224"/>
      <c r="D3" s="225" t="s">
        <v>285</v>
      </c>
      <c r="E3" s="157"/>
      <c r="G3" s="226"/>
      <c r="H3" s="227"/>
      <c r="I3" s="227"/>
      <c r="J3" s="227"/>
      <c r="K3" s="227"/>
      <c r="L3" s="227"/>
      <c r="M3" s="227"/>
      <c r="N3" s="227"/>
      <c r="O3" s="227"/>
      <c r="P3" s="227"/>
      <c r="Q3" s="227"/>
      <c r="R3" s="227"/>
      <c r="S3" s="227"/>
      <c r="T3" s="227"/>
      <c r="U3" s="227"/>
      <c r="V3" s="227"/>
      <c r="W3" s="227"/>
      <c r="X3" s="227"/>
      <c r="Y3" s="227"/>
      <c r="Z3" s="227"/>
      <c r="AA3" s="227"/>
      <c r="AB3" s="227"/>
      <c r="AC3" s="227"/>
    </row>
    <row r="4" spans="2:306" x14ac:dyDescent="0.15">
      <c r="C4" s="157" t="s">
        <v>50</v>
      </c>
      <c r="E4" s="228">
        <v>0</v>
      </c>
      <c r="F4" s="229">
        <f t="shared" ref="F4:BM4" si="0">E4+1</f>
        <v>1</v>
      </c>
      <c r="G4" s="229">
        <f t="shared" si="0"/>
        <v>2</v>
      </c>
      <c r="H4" s="229">
        <f t="shared" si="0"/>
        <v>3</v>
      </c>
      <c r="I4" s="229">
        <f t="shared" si="0"/>
        <v>4</v>
      </c>
      <c r="J4" s="229">
        <f t="shared" si="0"/>
        <v>5</v>
      </c>
      <c r="K4" s="229">
        <f t="shared" si="0"/>
        <v>6</v>
      </c>
      <c r="L4" s="229">
        <f t="shared" si="0"/>
        <v>7</v>
      </c>
      <c r="M4" s="229">
        <f t="shared" si="0"/>
        <v>8</v>
      </c>
      <c r="N4" s="229">
        <f t="shared" si="0"/>
        <v>9</v>
      </c>
      <c r="O4" s="229">
        <f t="shared" si="0"/>
        <v>10</v>
      </c>
      <c r="P4" s="229">
        <f t="shared" si="0"/>
        <v>11</v>
      </c>
      <c r="Q4" s="229">
        <f t="shared" si="0"/>
        <v>12</v>
      </c>
      <c r="R4" s="229">
        <f t="shared" si="0"/>
        <v>13</v>
      </c>
      <c r="S4" s="229">
        <f t="shared" si="0"/>
        <v>14</v>
      </c>
      <c r="T4" s="229">
        <f t="shared" si="0"/>
        <v>15</v>
      </c>
      <c r="U4" s="229">
        <f t="shared" si="0"/>
        <v>16</v>
      </c>
      <c r="V4" s="229">
        <f t="shared" si="0"/>
        <v>17</v>
      </c>
      <c r="W4" s="229">
        <f t="shared" si="0"/>
        <v>18</v>
      </c>
      <c r="X4" s="229">
        <f t="shared" si="0"/>
        <v>19</v>
      </c>
      <c r="Y4" s="229">
        <f t="shared" si="0"/>
        <v>20</v>
      </c>
      <c r="Z4" s="229">
        <f t="shared" si="0"/>
        <v>21</v>
      </c>
      <c r="AA4" s="229">
        <f t="shared" si="0"/>
        <v>22</v>
      </c>
      <c r="AB4" s="229">
        <f t="shared" si="0"/>
        <v>23</v>
      </c>
      <c r="AC4" s="229">
        <f t="shared" si="0"/>
        <v>24</v>
      </c>
      <c r="AD4" s="229">
        <f t="shared" si="0"/>
        <v>25</v>
      </c>
      <c r="AE4" s="229">
        <f t="shared" si="0"/>
        <v>26</v>
      </c>
      <c r="AF4" s="229">
        <f t="shared" si="0"/>
        <v>27</v>
      </c>
      <c r="AG4" s="229">
        <f t="shared" si="0"/>
        <v>28</v>
      </c>
      <c r="AH4" s="229">
        <f t="shared" si="0"/>
        <v>29</v>
      </c>
      <c r="AI4" s="229">
        <f t="shared" si="0"/>
        <v>30</v>
      </c>
      <c r="AJ4" s="229">
        <f t="shared" si="0"/>
        <v>31</v>
      </c>
      <c r="AK4" s="229">
        <f t="shared" si="0"/>
        <v>32</v>
      </c>
      <c r="AL4" s="229">
        <f t="shared" si="0"/>
        <v>33</v>
      </c>
      <c r="AM4" s="229">
        <f t="shared" si="0"/>
        <v>34</v>
      </c>
      <c r="AN4" s="229">
        <f t="shared" si="0"/>
        <v>35</v>
      </c>
      <c r="AO4" s="229">
        <f t="shared" si="0"/>
        <v>36</v>
      </c>
      <c r="AP4" s="229">
        <f t="shared" si="0"/>
        <v>37</v>
      </c>
      <c r="AQ4" s="229">
        <f t="shared" si="0"/>
        <v>38</v>
      </c>
      <c r="AR4" s="229">
        <f t="shared" si="0"/>
        <v>39</v>
      </c>
      <c r="AS4" s="229">
        <f t="shared" si="0"/>
        <v>40</v>
      </c>
      <c r="AT4" s="229">
        <f t="shared" si="0"/>
        <v>41</v>
      </c>
      <c r="AU4" s="229">
        <f t="shared" si="0"/>
        <v>42</v>
      </c>
      <c r="AV4" s="229">
        <f t="shared" si="0"/>
        <v>43</v>
      </c>
      <c r="AW4" s="229">
        <f t="shared" si="0"/>
        <v>44</v>
      </c>
      <c r="AX4" s="229">
        <f t="shared" si="0"/>
        <v>45</v>
      </c>
      <c r="AY4" s="229">
        <f t="shared" si="0"/>
        <v>46</v>
      </c>
      <c r="AZ4" s="229">
        <f t="shared" si="0"/>
        <v>47</v>
      </c>
      <c r="BA4" s="229">
        <f t="shared" si="0"/>
        <v>48</v>
      </c>
      <c r="BB4" s="229">
        <f t="shared" si="0"/>
        <v>49</v>
      </c>
      <c r="BC4" s="229">
        <f t="shared" si="0"/>
        <v>50</v>
      </c>
      <c r="BD4" s="229">
        <f t="shared" si="0"/>
        <v>51</v>
      </c>
      <c r="BE4" s="229">
        <f t="shared" si="0"/>
        <v>52</v>
      </c>
      <c r="BF4" s="229">
        <f t="shared" si="0"/>
        <v>53</v>
      </c>
      <c r="BG4" s="229">
        <f t="shared" si="0"/>
        <v>54</v>
      </c>
      <c r="BH4" s="229">
        <f t="shared" si="0"/>
        <v>55</v>
      </c>
      <c r="BI4" s="229">
        <f t="shared" si="0"/>
        <v>56</v>
      </c>
      <c r="BJ4" s="229">
        <f t="shared" si="0"/>
        <v>57</v>
      </c>
      <c r="BK4" s="229">
        <f t="shared" si="0"/>
        <v>58</v>
      </c>
      <c r="BL4" s="229">
        <f t="shared" si="0"/>
        <v>59</v>
      </c>
      <c r="BM4" s="229">
        <f t="shared" si="0"/>
        <v>60</v>
      </c>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c r="KJ4" s="229"/>
      <c r="KK4" s="229"/>
      <c r="KL4" s="229"/>
      <c r="KM4" s="229"/>
      <c r="KN4" s="229"/>
      <c r="KO4" s="229"/>
      <c r="KP4" s="229"/>
      <c r="KQ4" s="229"/>
      <c r="KR4" s="229"/>
      <c r="KS4" s="229"/>
      <c r="KT4" s="229"/>
    </row>
    <row r="5" spans="2:306" x14ac:dyDescent="0.15">
      <c r="C5" s="157" t="s">
        <v>286</v>
      </c>
      <c r="E5" s="229">
        <f>IF(Leadsheet!$E$13-SAP_Speadsheet!E4&lt;0,0,Leadsheet!$E$13-SAP_Speadsheet!E4)</f>
        <v>9</v>
      </c>
      <c r="F5" s="229">
        <f>IF(Leadsheet!$E$13-SAP_Speadsheet!F4&lt;0,0,Leadsheet!$E$13-SAP_Speadsheet!F4)</f>
        <v>8</v>
      </c>
      <c r="G5" s="229">
        <f>IF(Leadsheet!$E$13-SAP_Speadsheet!G4&lt;0,0,Leadsheet!$E$13-SAP_Speadsheet!G4)</f>
        <v>7</v>
      </c>
      <c r="H5" s="229">
        <f>IF(Leadsheet!$E$13-SAP_Speadsheet!H4&lt;0,0,Leadsheet!$E$13-SAP_Speadsheet!H4)</f>
        <v>6</v>
      </c>
      <c r="I5" s="229">
        <f>IF(Leadsheet!$E$13-SAP_Speadsheet!I4&lt;0,0,Leadsheet!$E$13-SAP_Speadsheet!I4)</f>
        <v>5</v>
      </c>
      <c r="J5" s="229">
        <f>IF(Leadsheet!$E$13-SAP_Speadsheet!J4&lt;0,0,Leadsheet!$E$13-SAP_Speadsheet!J4)</f>
        <v>4</v>
      </c>
      <c r="K5" s="229">
        <f>IF(Leadsheet!$E$13-SAP_Speadsheet!K4&lt;0,0,Leadsheet!$E$13-SAP_Speadsheet!K4)</f>
        <v>3</v>
      </c>
      <c r="L5" s="229">
        <f>IF(Leadsheet!$E$13-SAP_Speadsheet!L4&lt;0,0,Leadsheet!$E$13-SAP_Speadsheet!L4)</f>
        <v>2</v>
      </c>
      <c r="M5" s="229">
        <f>IF(Leadsheet!$E$13-SAP_Speadsheet!M4&lt;0,0,Leadsheet!$E$13-SAP_Speadsheet!M4)</f>
        <v>1</v>
      </c>
      <c r="N5" s="229">
        <f>IF(Leadsheet!$E$13-SAP_Speadsheet!N4&lt;0,0,Leadsheet!$E$13-SAP_Speadsheet!N4)</f>
        <v>0</v>
      </c>
      <c r="O5" s="229">
        <f>IF(Leadsheet!$E$13-SAP_Speadsheet!O4&lt;0,0,Leadsheet!$E$13-SAP_Speadsheet!O4)</f>
        <v>0</v>
      </c>
      <c r="P5" s="229">
        <f>IF(Leadsheet!$E$13-SAP_Speadsheet!P4&lt;0,0,Leadsheet!$E$13-SAP_Speadsheet!P4)</f>
        <v>0</v>
      </c>
      <c r="Q5" s="229">
        <f>IF(Leadsheet!$E$13-SAP_Speadsheet!Q4&lt;0,0,Leadsheet!$E$13-SAP_Speadsheet!Q4)</f>
        <v>0</v>
      </c>
      <c r="R5" s="229">
        <f>IF(Leadsheet!$E$13-SAP_Speadsheet!R4&lt;0,0,Leadsheet!$E$13-SAP_Speadsheet!R4)</f>
        <v>0</v>
      </c>
      <c r="S5" s="229">
        <f>IF(Leadsheet!$E$13-SAP_Speadsheet!S4&lt;0,0,Leadsheet!$E$13-SAP_Speadsheet!S4)</f>
        <v>0</v>
      </c>
      <c r="T5" s="229">
        <f>IF(Leadsheet!$E$13-SAP_Speadsheet!T4&lt;0,0,Leadsheet!$E$13-SAP_Speadsheet!T4)</f>
        <v>0</v>
      </c>
      <c r="U5" s="229">
        <f>IF(Leadsheet!$E$13-SAP_Speadsheet!U4&lt;0,0,Leadsheet!$E$13-SAP_Speadsheet!U4)</f>
        <v>0</v>
      </c>
      <c r="V5" s="229">
        <f>IF(Leadsheet!$E$13-SAP_Speadsheet!V4&lt;0,0,Leadsheet!$E$13-SAP_Speadsheet!V4)</f>
        <v>0</v>
      </c>
      <c r="W5" s="229">
        <f>IF(Leadsheet!$E$13-SAP_Speadsheet!W4&lt;0,0,Leadsheet!$E$13-SAP_Speadsheet!W4)</f>
        <v>0</v>
      </c>
      <c r="X5" s="229">
        <f>IF(Leadsheet!$E$13-SAP_Speadsheet!X4&lt;0,0,Leadsheet!$E$13-SAP_Speadsheet!X4)</f>
        <v>0</v>
      </c>
      <c r="Y5" s="229">
        <f>IF(Leadsheet!$E$13-SAP_Speadsheet!Y4&lt;0,0,Leadsheet!$E$13-SAP_Speadsheet!Y4)</f>
        <v>0</v>
      </c>
      <c r="Z5" s="229">
        <f>IF(Leadsheet!$E$13-SAP_Speadsheet!Z4&lt;0,0,Leadsheet!$E$13-SAP_Speadsheet!Z4)</f>
        <v>0</v>
      </c>
      <c r="AA5" s="229">
        <f>IF(Leadsheet!$E$13-SAP_Speadsheet!AA4&lt;0,0,Leadsheet!$E$13-SAP_Speadsheet!AA4)</f>
        <v>0</v>
      </c>
      <c r="AB5" s="229">
        <f>IF(Leadsheet!$E$13-SAP_Speadsheet!AB4&lt;0,0,Leadsheet!$E$13-SAP_Speadsheet!AB4)</f>
        <v>0</v>
      </c>
      <c r="AC5" s="229">
        <f>IF(Leadsheet!$E$13-SAP_Speadsheet!AC4&lt;0,0,Leadsheet!$E$13-SAP_Speadsheet!AC4)</f>
        <v>0</v>
      </c>
      <c r="AD5" s="229">
        <f>IF(Leadsheet!$E$13-SAP_Speadsheet!AD4&lt;0,0,Leadsheet!$E$13-SAP_Speadsheet!AD4)</f>
        <v>0</v>
      </c>
      <c r="AE5" s="229">
        <f>IF(Leadsheet!$E$13-SAP_Speadsheet!AE4&lt;0,0,Leadsheet!$E$13-SAP_Speadsheet!AE4)</f>
        <v>0</v>
      </c>
      <c r="AF5" s="229">
        <f>IF(Leadsheet!$E$13-SAP_Speadsheet!AF4&lt;0,0,Leadsheet!$E$13-SAP_Speadsheet!AF4)</f>
        <v>0</v>
      </c>
      <c r="AG5" s="229">
        <f>IF(Leadsheet!$E$13-SAP_Speadsheet!AG4&lt;0,0,Leadsheet!$E$13-SAP_Speadsheet!AG4)</f>
        <v>0</v>
      </c>
      <c r="AH5" s="229">
        <f>IF(Leadsheet!$E$13-SAP_Speadsheet!AH4&lt;0,0,Leadsheet!$E$13-SAP_Speadsheet!AH4)</f>
        <v>0</v>
      </c>
      <c r="AI5" s="229">
        <f>IF(Leadsheet!$E$13-SAP_Speadsheet!AI4&lt;0,0,Leadsheet!$E$13-SAP_Speadsheet!AI4)</f>
        <v>0</v>
      </c>
      <c r="AJ5" s="229">
        <f>IF(Leadsheet!$E$13-SAP_Speadsheet!AJ4&lt;0,0,Leadsheet!$E$13-SAP_Speadsheet!AJ4)</f>
        <v>0</v>
      </c>
      <c r="AK5" s="229">
        <f>IF(Leadsheet!$E$13-SAP_Speadsheet!AK4&lt;0,0,Leadsheet!$E$13-SAP_Speadsheet!AK4)</f>
        <v>0</v>
      </c>
      <c r="AL5" s="229">
        <f>IF(Leadsheet!$E$13-SAP_Speadsheet!AL4&lt;0,0,Leadsheet!$E$13-SAP_Speadsheet!AL4)</f>
        <v>0</v>
      </c>
      <c r="AM5" s="229">
        <f>IF(Leadsheet!$E$13-SAP_Speadsheet!AM4&lt;0,0,Leadsheet!$E$13-SAP_Speadsheet!AM4)</f>
        <v>0</v>
      </c>
      <c r="AN5" s="229">
        <f>IF(Leadsheet!$E$13-SAP_Speadsheet!AN4&lt;0,0,Leadsheet!$E$13-SAP_Speadsheet!AN4)</f>
        <v>0</v>
      </c>
      <c r="AO5" s="229">
        <f>IF(Leadsheet!$E$13-SAP_Speadsheet!AO4&lt;0,0,Leadsheet!$E$13-SAP_Speadsheet!AO4)</f>
        <v>0</v>
      </c>
      <c r="AP5" s="229">
        <f>IF(Leadsheet!$E$13-SAP_Speadsheet!AP4&lt;0,0,Leadsheet!$E$13-SAP_Speadsheet!AP4)</f>
        <v>0</v>
      </c>
      <c r="AQ5" s="229">
        <f>IF(Leadsheet!$E$13-SAP_Speadsheet!AQ4&lt;0,0,Leadsheet!$E$13-SAP_Speadsheet!AQ4)</f>
        <v>0</v>
      </c>
      <c r="AR5" s="229">
        <f>IF(Leadsheet!$E$13-SAP_Speadsheet!AR4&lt;0,0,Leadsheet!$E$13-SAP_Speadsheet!AR4)</f>
        <v>0</v>
      </c>
      <c r="AS5" s="229">
        <f>IF(Leadsheet!$E$13-SAP_Speadsheet!AS4&lt;0,0,Leadsheet!$E$13-SAP_Speadsheet!AS4)</f>
        <v>0</v>
      </c>
      <c r="AT5" s="229">
        <f>IF(Leadsheet!$E$13-SAP_Speadsheet!AT4&lt;0,0,Leadsheet!$E$13-SAP_Speadsheet!AT4)</f>
        <v>0</v>
      </c>
      <c r="AU5" s="229">
        <f>IF(Leadsheet!$E$13-SAP_Speadsheet!AU4&lt;0,0,Leadsheet!$E$13-SAP_Speadsheet!AU4)</f>
        <v>0</v>
      </c>
      <c r="AV5" s="229">
        <f>IF(Leadsheet!$E$13-SAP_Speadsheet!AV4&lt;0,0,Leadsheet!$E$13-SAP_Speadsheet!AV4)</f>
        <v>0</v>
      </c>
      <c r="AW5" s="229">
        <f>IF(Leadsheet!$E$13-SAP_Speadsheet!AW4&lt;0,0,Leadsheet!$E$13-SAP_Speadsheet!AW4)</f>
        <v>0</v>
      </c>
      <c r="AX5" s="229">
        <f>IF(Leadsheet!$E$13-SAP_Speadsheet!AX4&lt;0,0,Leadsheet!$E$13-SAP_Speadsheet!AX4)</f>
        <v>0</v>
      </c>
      <c r="AY5" s="229">
        <f>IF(Leadsheet!$E$13-SAP_Speadsheet!AY4&lt;0,0,Leadsheet!$E$13-SAP_Speadsheet!AY4)</f>
        <v>0</v>
      </c>
      <c r="AZ5" s="229">
        <f>IF(Leadsheet!$E$13-SAP_Speadsheet!AZ4&lt;0,0,Leadsheet!$E$13-SAP_Speadsheet!AZ4)</f>
        <v>0</v>
      </c>
      <c r="BA5" s="229">
        <f>IF(Leadsheet!$E$13-SAP_Speadsheet!BA4&lt;0,0,Leadsheet!$E$13-SAP_Speadsheet!BA4)</f>
        <v>0</v>
      </c>
      <c r="BB5" s="229">
        <f>IF(Leadsheet!$E$13-SAP_Speadsheet!BB4&lt;0,0,Leadsheet!$E$13-SAP_Speadsheet!BB4)</f>
        <v>0</v>
      </c>
      <c r="BC5" s="229">
        <f>IF(Leadsheet!$E$13-SAP_Speadsheet!BC4&lt;0,0,Leadsheet!$E$13-SAP_Speadsheet!BC4)</f>
        <v>0</v>
      </c>
      <c r="BD5" s="229">
        <f>IF(Leadsheet!$E$13-SAP_Speadsheet!BD4&lt;0,0,Leadsheet!$E$13-SAP_Speadsheet!BD4)</f>
        <v>0</v>
      </c>
      <c r="BE5" s="222">
        <f>IF(Leadsheet!$E$13-SAP_Speadsheet!BE4&lt;0,0,Leadsheet!$E$13-SAP_Speadsheet!BE4)</f>
        <v>0</v>
      </c>
      <c r="BF5" s="222">
        <f>IF(Leadsheet!$E$13-SAP_Speadsheet!BF4&lt;0,0,Leadsheet!$E$13-SAP_Speadsheet!BF4)</f>
        <v>0</v>
      </c>
      <c r="BG5" s="222">
        <f>IF(Leadsheet!$E$13-SAP_Speadsheet!BG4&lt;0,0,Leadsheet!$E$13-SAP_Speadsheet!BG4)</f>
        <v>0</v>
      </c>
      <c r="BH5" s="222">
        <f>IF(Leadsheet!$E$13-SAP_Speadsheet!BH4&lt;0,0,Leadsheet!$E$13-SAP_Speadsheet!BH4)</f>
        <v>0</v>
      </c>
      <c r="BI5" s="222">
        <f>IF(Leadsheet!$E$13-SAP_Speadsheet!BI4&lt;0,0,Leadsheet!$E$13-SAP_Speadsheet!BI4)</f>
        <v>0</v>
      </c>
      <c r="BJ5" s="222">
        <f>IF(Leadsheet!$E$13-SAP_Speadsheet!BJ4&lt;0,0,Leadsheet!$E$13-SAP_Speadsheet!BJ4)</f>
        <v>0</v>
      </c>
      <c r="BK5" s="222">
        <f>IF(Leadsheet!$E$13-SAP_Speadsheet!BK4&lt;0,0,Leadsheet!$E$13-SAP_Speadsheet!BK4)</f>
        <v>0</v>
      </c>
      <c r="BL5" s="222">
        <f>IF(Leadsheet!$E$13-SAP_Speadsheet!BL4&lt;0,0,Leadsheet!$E$13-SAP_Speadsheet!BL4)</f>
        <v>0</v>
      </c>
      <c r="BM5" s="222">
        <f>IF(Leadsheet!$E$13-SAP_Speadsheet!BM4&lt;0,0,Leadsheet!$E$13-SAP_Speadsheet!BM4)</f>
        <v>0</v>
      </c>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2"/>
      <c r="CS5" s="222"/>
      <c r="CT5" s="222"/>
      <c r="CU5" s="222"/>
      <c r="CV5" s="222"/>
      <c r="CW5" s="222"/>
      <c r="CX5" s="222"/>
      <c r="CY5" s="222"/>
      <c r="CZ5" s="222"/>
      <c r="DA5" s="222"/>
      <c r="DB5" s="222"/>
      <c r="DC5" s="222"/>
      <c r="DD5" s="222"/>
      <c r="DE5" s="222"/>
      <c r="DF5" s="222"/>
      <c r="DG5" s="222"/>
      <c r="DH5" s="222"/>
      <c r="DI5" s="222"/>
      <c r="DJ5" s="222"/>
      <c r="DK5" s="222"/>
      <c r="DL5" s="222"/>
      <c r="DM5" s="222"/>
      <c r="DN5" s="222"/>
      <c r="DO5" s="222"/>
      <c r="DP5" s="222"/>
      <c r="DQ5" s="222"/>
      <c r="DR5" s="222"/>
      <c r="DS5" s="222"/>
      <c r="DT5" s="222"/>
      <c r="DU5" s="222"/>
      <c r="DV5" s="222"/>
      <c r="DW5" s="222"/>
      <c r="DX5" s="222"/>
      <c r="DY5" s="222"/>
      <c r="DZ5" s="222"/>
      <c r="EA5" s="222"/>
      <c r="EB5" s="222"/>
      <c r="EC5" s="222"/>
      <c r="ED5" s="222"/>
      <c r="EE5" s="222"/>
      <c r="EF5" s="222"/>
      <c r="EG5" s="222"/>
      <c r="EH5" s="222"/>
      <c r="EI5" s="222"/>
      <c r="EJ5" s="222"/>
      <c r="EK5" s="222"/>
      <c r="EL5" s="222"/>
      <c r="EM5" s="222"/>
      <c r="EN5" s="222"/>
      <c r="EO5" s="222"/>
      <c r="EP5" s="222"/>
      <c r="EQ5" s="222"/>
      <c r="ER5" s="222"/>
      <c r="ES5" s="222"/>
      <c r="ET5" s="222"/>
      <c r="EU5" s="222"/>
      <c r="EV5" s="222"/>
      <c r="EW5" s="222"/>
      <c r="EX5" s="222"/>
      <c r="EY5" s="222"/>
      <c r="EZ5" s="222"/>
      <c r="FA5" s="222"/>
      <c r="FB5" s="222"/>
      <c r="FC5" s="222"/>
      <c r="FD5" s="222"/>
      <c r="FE5" s="222"/>
      <c r="FF5" s="222"/>
      <c r="FG5" s="222"/>
      <c r="FH5" s="222"/>
      <c r="FI5" s="222"/>
      <c r="FJ5" s="222"/>
      <c r="FK5" s="222"/>
      <c r="FL5" s="222"/>
      <c r="FM5" s="222"/>
      <c r="FN5" s="222"/>
      <c r="FO5" s="222"/>
      <c r="FP5" s="222"/>
      <c r="FQ5" s="222"/>
      <c r="FR5" s="222"/>
      <c r="FS5" s="222"/>
      <c r="FT5" s="222"/>
      <c r="FU5" s="222"/>
      <c r="FV5" s="222"/>
      <c r="FW5" s="222"/>
      <c r="FX5" s="222"/>
      <c r="FY5" s="222"/>
      <c r="FZ5" s="222"/>
      <c r="GA5" s="222"/>
      <c r="GB5" s="222"/>
      <c r="GC5" s="222"/>
      <c r="GD5" s="222"/>
      <c r="GE5" s="222"/>
      <c r="GF5" s="222"/>
      <c r="GG5" s="222"/>
      <c r="GH5" s="222"/>
      <c r="GI5" s="222"/>
      <c r="GJ5" s="222"/>
      <c r="GK5" s="222"/>
      <c r="GL5" s="222"/>
      <c r="GM5" s="222"/>
      <c r="GN5" s="222"/>
      <c r="GO5" s="222"/>
      <c r="GP5" s="222"/>
      <c r="GQ5" s="222"/>
      <c r="GR5" s="222"/>
      <c r="GS5" s="222"/>
      <c r="GT5" s="222"/>
      <c r="GU5" s="222"/>
      <c r="GV5" s="222"/>
      <c r="GW5" s="222"/>
      <c r="GX5" s="222"/>
      <c r="GY5" s="222"/>
      <c r="GZ5" s="222"/>
      <c r="HA5" s="222"/>
      <c r="HB5" s="222"/>
      <c r="HC5" s="222"/>
      <c r="HD5" s="222"/>
      <c r="HE5" s="222"/>
      <c r="HF5" s="222"/>
      <c r="HG5" s="222"/>
      <c r="HH5" s="222"/>
      <c r="HI5" s="222"/>
      <c r="HJ5" s="222"/>
      <c r="HK5" s="222"/>
      <c r="HL5" s="222"/>
      <c r="HM5" s="222"/>
      <c r="HN5" s="222"/>
      <c r="HO5" s="222"/>
      <c r="HP5" s="222"/>
      <c r="HQ5" s="222"/>
      <c r="HR5" s="222"/>
      <c r="HS5" s="222"/>
      <c r="HT5" s="222"/>
      <c r="HU5" s="222"/>
      <c r="HV5" s="222"/>
      <c r="HW5" s="222"/>
      <c r="HX5" s="222"/>
      <c r="HY5" s="222"/>
      <c r="HZ5" s="222"/>
      <c r="IA5" s="222"/>
      <c r="IB5" s="222"/>
      <c r="IC5" s="222"/>
      <c r="ID5" s="222"/>
      <c r="IE5" s="222"/>
      <c r="IF5" s="222"/>
      <c r="IG5" s="222"/>
      <c r="IH5" s="222"/>
      <c r="II5" s="222"/>
      <c r="IJ5" s="222"/>
      <c r="IK5" s="222"/>
      <c r="IL5" s="222"/>
      <c r="IM5" s="222"/>
      <c r="IN5" s="222"/>
      <c r="IO5" s="222"/>
      <c r="IP5" s="222"/>
      <c r="IQ5" s="222"/>
      <c r="IR5" s="222"/>
      <c r="IS5" s="222"/>
      <c r="IT5" s="222"/>
      <c r="IU5" s="222"/>
      <c r="IV5" s="222"/>
      <c r="IW5" s="222"/>
      <c r="IX5" s="222"/>
      <c r="IY5" s="222"/>
      <c r="IZ5" s="222"/>
      <c r="JA5" s="222"/>
      <c r="JB5" s="222"/>
      <c r="JC5" s="222"/>
      <c r="JD5" s="222"/>
      <c r="JE5" s="222"/>
      <c r="JF5" s="222"/>
      <c r="JG5" s="222"/>
      <c r="JH5" s="222"/>
      <c r="JI5" s="222"/>
      <c r="JJ5" s="222"/>
      <c r="JK5" s="222"/>
      <c r="JL5" s="222"/>
      <c r="JM5" s="222"/>
      <c r="JN5" s="222"/>
      <c r="JO5" s="222"/>
      <c r="JP5" s="222"/>
      <c r="JQ5" s="222"/>
      <c r="JR5" s="222"/>
      <c r="JS5" s="222"/>
      <c r="JT5" s="222"/>
      <c r="JU5" s="222"/>
      <c r="JV5" s="222"/>
      <c r="JW5" s="222"/>
      <c r="JX5" s="222"/>
      <c r="JY5" s="222"/>
      <c r="JZ5" s="222"/>
      <c r="KA5" s="222"/>
      <c r="KB5" s="222"/>
      <c r="KC5" s="222"/>
      <c r="KD5" s="222"/>
      <c r="KE5" s="222"/>
      <c r="KF5" s="222"/>
      <c r="KG5" s="222"/>
      <c r="KH5" s="222"/>
      <c r="KI5" s="222"/>
      <c r="KJ5" s="222"/>
      <c r="KK5" s="222"/>
      <c r="KL5" s="222"/>
      <c r="KM5" s="222"/>
      <c r="KN5" s="222"/>
      <c r="KO5" s="222"/>
      <c r="KP5" s="222"/>
      <c r="KQ5" s="222"/>
      <c r="KR5" s="222"/>
      <c r="KS5" s="222"/>
      <c r="KT5" s="222"/>
    </row>
    <row r="6" spans="2:306" x14ac:dyDescent="0.15">
      <c r="C6" s="157" t="s">
        <v>287</v>
      </c>
      <c r="D6" s="162" t="s">
        <v>288</v>
      </c>
      <c r="F6" s="222">
        <f>Leadsheet!E14+Leadsheet!E13</f>
        <v>15</v>
      </c>
    </row>
    <row r="7" spans="2:306" x14ac:dyDescent="0.15">
      <c r="C7" s="157"/>
      <c r="F7" s="222"/>
    </row>
    <row r="8" spans="2:306" ht="13" thickBot="1" x14ac:dyDescent="0.2">
      <c r="B8" s="230" t="s">
        <v>289</v>
      </c>
      <c r="C8" s="231"/>
      <c r="D8" s="232"/>
      <c r="E8" s="233"/>
      <c r="F8" s="234"/>
      <c r="G8" s="233"/>
      <c r="H8" s="233"/>
      <c r="I8" s="233"/>
      <c r="J8" s="233"/>
      <c r="K8" s="233"/>
      <c r="L8" s="233"/>
      <c r="M8" s="233"/>
      <c r="N8" s="233"/>
      <c r="O8" s="233"/>
      <c r="P8" s="233"/>
      <c r="Q8" s="233"/>
      <c r="R8" s="233"/>
      <c r="S8" s="233"/>
      <c r="T8" s="233"/>
      <c r="U8" s="233"/>
      <c r="V8" s="233"/>
      <c r="W8" s="233"/>
      <c r="X8" s="233"/>
      <c r="Y8" s="233"/>
      <c r="Z8" s="233"/>
      <c r="AA8" s="233"/>
      <c r="AB8" s="233"/>
      <c r="AC8" s="233"/>
      <c r="AD8" s="233"/>
      <c r="AE8" s="233"/>
      <c r="AF8" s="233"/>
      <c r="AG8" s="233"/>
      <c r="AH8" s="233"/>
      <c r="AI8" s="233"/>
      <c r="AJ8" s="233"/>
      <c r="AK8" s="233"/>
      <c r="AL8" s="233"/>
      <c r="AM8" s="233"/>
      <c r="AN8" s="233"/>
      <c r="AO8" s="233"/>
      <c r="AP8" s="233"/>
      <c r="AQ8" s="233"/>
      <c r="AR8" s="233"/>
      <c r="AS8" s="233"/>
      <c r="AT8" s="233"/>
      <c r="AU8" s="233"/>
      <c r="AV8" s="233"/>
      <c r="AW8" s="233"/>
      <c r="AX8" s="233"/>
      <c r="AY8" s="233"/>
      <c r="AZ8" s="233"/>
      <c r="BA8" s="233"/>
      <c r="BB8" s="233"/>
      <c r="BC8" s="233"/>
      <c r="BD8" s="233"/>
      <c r="BE8" s="233"/>
      <c r="BF8" s="233"/>
      <c r="BG8" s="233"/>
      <c r="BH8" s="233"/>
      <c r="BI8" s="233"/>
      <c r="BJ8" s="233"/>
      <c r="BK8" s="233"/>
      <c r="BL8" s="233"/>
      <c r="BM8" s="233"/>
    </row>
    <row r="9" spans="2:306" ht="12" thickTop="1" x14ac:dyDescent="0.15">
      <c r="B9" s="157" t="s">
        <v>290</v>
      </c>
      <c r="C9" s="157"/>
      <c r="F9" s="222"/>
    </row>
    <row r="10" spans="2:306" x14ac:dyDescent="0.15">
      <c r="C10" s="92" t="s">
        <v>291</v>
      </c>
      <c r="D10" s="162" t="s">
        <v>292</v>
      </c>
      <c r="E10" s="235">
        <f>Leadsheet!E18</f>
        <v>0.34950820748358907</v>
      </c>
      <c r="F10" s="235">
        <f>IF(F$4&gt;$F$6,0,VLOOKUP(SAP_Speadsheet!F$4,Leadsheet!$C$18:$F$23,3,1))</f>
        <v>0.34950820748358907</v>
      </c>
      <c r="G10" s="235">
        <f>IF(G$4&gt;$F$6,0,VLOOKUP(SAP_Speadsheet!G$4,Leadsheet!$C$18:$F$23,3,1))</f>
        <v>0.34950820748358907</v>
      </c>
      <c r="H10" s="235">
        <f>IF(H$4&gt;$F$6,0,VLOOKUP(SAP_Speadsheet!H$4,Leadsheet!$C$18:$F$23,3,1))</f>
        <v>0.34950820748358907</v>
      </c>
      <c r="I10" s="235">
        <f>IF(I$4&gt;$F$6,0,VLOOKUP(SAP_Speadsheet!I$4,Leadsheet!$C$18:$F$23,3,1))</f>
        <v>0.34950820748358907</v>
      </c>
      <c r="J10" s="235">
        <f>IF(J$4&gt;$F$6,0,VLOOKUP(SAP_Speadsheet!J$4,Leadsheet!$C$18:$F$23,3,1))</f>
        <v>0.34950820748358907</v>
      </c>
      <c r="K10" s="235">
        <f>IF(K$4&gt;$F$6,0,VLOOKUP(SAP_Speadsheet!K$4,Leadsheet!$C$18:$F$23,3,1))</f>
        <v>0.34950820748358907</v>
      </c>
      <c r="L10" s="235">
        <f>IF(L$4&gt;$F$6,0,VLOOKUP(SAP_Speadsheet!L$4,Leadsheet!$C$18:$F$23,3,1))</f>
        <v>0.34950820748358907</v>
      </c>
      <c r="M10" s="235">
        <f>IF(M$4&gt;$F$6,0,VLOOKUP(SAP_Speadsheet!M$4,Leadsheet!$C$18:$F$23,3,1))</f>
        <v>0.34950820748358907</v>
      </c>
      <c r="N10" s="235">
        <f>IF(N$4&gt;$F$6,0,VLOOKUP(SAP_Speadsheet!N$4,Leadsheet!$C$18:$F$23,3,1))</f>
        <v>0.34950820748358907</v>
      </c>
      <c r="O10" s="235">
        <f>IF(O$4&gt;$F$6,0,VLOOKUP(SAP_Speadsheet!O$4,Leadsheet!$C$18:$F$23,3,1))</f>
        <v>0.34950820748358907</v>
      </c>
      <c r="P10" s="235">
        <f>IF(P$4&gt;$F$6,0,VLOOKUP(SAP_Speadsheet!P$4,Leadsheet!$C$18:$F$23,3,1))</f>
        <v>0.34950820748358907</v>
      </c>
      <c r="Q10" s="235">
        <f>IF(Q$4&gt;$F$6,0,VLOOKUP(SAP_Speadsheet!Q$4,Leadsheet!$C$18:$F$23,3,1))</f>
        <v>0.34950820748358907</v>
      </c>
      <c r="R10" s="235">
        <f>IF(R$4&gt;$F$6,0,VLOOKUP(SAP_Speadsheet!R$4,Leadsheet!$C$18:$F$23,3,1))</f>
        <v>0.34950820748358907</v>
      </c>
      <c r="S10" s="235">
        <f>IF(S$4&gt;$F$6,0,VLOOKUP(SAP_Speadsheet!S$4,Leadsheet!$C$18:$F$23,3,1))</f>
        <v>0.34950820748358907</v>
      </c>
      <c r="T10" s="235">
        <f>IF(T$4&gt;$F$6,0,VLOOKUP(SAP_Speadsheet!T$4,Leadsheet!$C$18:$F$23,3,1))</f>
        <v>0.34950820748358907</v>
      </c>
      <c r="U10" s="235">
        <f>IF(U$4&gt;$F$6,0,VLOOKUP(SAP_Speadsheet!U$4,Leadsheet!$C$18:$F$23,3,1))</f>
        <v>0</v>
      </c>
      <c r="V10" s="235">
        <f>IF(V$4&gt;$F$6,0,VLOOKUP(SAP_Speadsheet!V$4,Leadsheet!$C$18:$F$23,3,1))</f>
        <v>0</v>
      </c>
      <c r="W10" s="235">
        <f>IF(W$4&gt;$F$6,0,VLOOKUP(SAP_Speadsheet!W$4,Leadsheet!$C$18:$F$23,3,1))</f>
        <v>0</v>
      </c>
      <c r="X10" s="235">
        <f>IF(X$4&gt;$F$6,0,VLOOKUP(SAP_Speadsheet!X$4,Leadsheet!$C$18:$F$23,3,1))</f>
        <v>0</v>
      </c>
      <c r="Y10" s="235">
        <f>IF(Y$4&gt;$F$6,0,VLOOKUP(SAP_Speadsheet!Y$4,Leadsheet!$C$18:$F$23,3,1))</f>
        <v>0</v>
      </c>
      <c r="Z10" s="235">
        <f>IF(Z$4&gt;$F$6,0,VLOOKUP(SAP_Speadsheet!Z$4,Leadsheet!$C$18:$F$23,3,1))</f>
        <v>0</v>
      </c>
      <c r="AA10" s="235">
        <f>IF(AA$4&gt;$F$6,0,VLOOKUP(SAP_Speadsheet!AA$4,Leadsheet!$C$18:$F$23,3,1))</f>
        <v>0</v>
      </c>
      <c r="AB10" s="235">
        <f>IF(AB$4&gt;$F$6,0,VLOOKUP(SAP_Speadsheet!AB$4,Leadsheet!$C$18:$F$23,3,1))</f>
        <v>0</v>
      </c>
      <c r="AC10" s="235">
        <f>IF(AC$4&gt;$F$6,0,VLOOKUP(SAP_Speadsheet!AC$4,Leadsheet!$C$18:$F$23,3,1))</f>
        <v>0</v>
      </c>
      <c r="AD10" s="235">
        <f>IF(AD$4&gt;$F$6,0,VLOOKUP(SAP_Speadsheet!AD$4,Leadsheet!$C$18:$F$23,3,1))</f>
        <v>0</v>
      </c>
      <c r="AE10" s="235">
        <f>IF(AE$4&gt;$F$6,0,VLOOKUP(SAP_Speadsheet!AE$4,Leadsheet!$C$18:$F$23,3,1))</f>
        <v>0</v>
      </c>
      <c r="AF10" s="235">
        <f>IF(AF$4&gt;$F$6,0,VLOOKUP(SAP_Speadsheet!AF$4,Leadsheet!$C$18:$F$23,3,1))</f>
        <v>0</v>
      </c>
      <c r="AG10" s="235">
        <f>IF(AG$4&gt;$F$6,0,VLOOKUP(SAP_Speadsheet!AG$4,Leadsheet!$C$18:$F$23,3,1))</f>
        <v>0</v>
      </c>
      <c r="AH10" s="235">
        <f>IF(AH$4&gt;$F$6,0,VLOOKUP(SAP_Speadsheet!AH$4,Leadsheet!$C$18:$F$23,3,1))</f>
        <v>0</v>
      </c>
      <c r="AI10" s="235">
        <f>IF(AI$4&gt;$F$6,0,VLOOKUP(SAP_Speadsheet!AI$4,Leadsheet!$C$18:$F$23,3,1))</f>
        <v>0</v>
      </c>
      <c r="AJ10" s="235">
        <f>IF(AJ$4&gt;$F$6,0,VLOOKUP(SAP_Speadsheet!AJ$4,Leadsheet!$C$18:$F$23,3,1))</f>
        <v>0</v>
      </c>
      <c r="AK10" s="235">
        <f>IF(AK$4&gt;$F$6,0,VLOOKUP(SAP_Speadsheet!AK$4,Leadsheet!$C$18:$F$23,3,1))</f>
        <v>0</v>
      </c>
      <c r="AL10" s="235">
        <f>IF(AL$4&gt;$F$6,0,VLOOKUP(SAP_Speadsheet!AL$4,Leadsheet!$C$18:$F$23,3,1))</f>
        <v>0</v>
      </c>
      <c r="AM10" s="235">
        <f>IF(AM$4&gt;$F$6,0,VLOOKUP(SAP_Speadsheet!AM$4,Leadsheet!$C$18:$F$23,3,1))</f>
        <v>0</v>
      </c>
      <c r="AN10" s="235">
        <f>IF(AN$4&gt;$F$6,0,VLOOKUP(SAP_Speadsheet!AN$4,Leadsheet!$C$18:$F$23,3,1))</f>
        <v>0</v>
      </c>
      <c r="AO10" s="235">
        <f>IF(AO$4&gt;$F$6,0,VLOOKUP(SAP_Speadsheet!AO$4,Leadsheet!$C$18:$F$23,3,1))</f>
        <v>0</v>
      </c>
      <c r="AP10" s="235">
        <f>IF(AP$4&gt;$F$6,0,VLOOKUP(SAP_Speadsheet!AP$4,Leadsheet!$C$18:$F$23,3,1))</f>
        <v>0</v>
      </c>
      <c r="AQ10" s="235">
        <f>IF(AQ$4&gt;$F$6,0,VLOOKUP(SAP_Speadsheet!AQ$4,Leadsheet!$C$18:$F$23,3,1))</f>
        <v>0</v>
      </c>
      <c r="AR10" s="235">
        <f>IF(AR$4&gt;$F$6,0,VLOOKUP(SAP_Speadsheet!AR$4,Leadsheet!$C$18:$F$23,3,1))</f>
        <v>0</v>
      </c>
      <c r="AS10" s="235">
        <f>IF(AS$4&gt;$F$6,0,VLOOKUP(SAP_Speadsheet!AS$4,Leadsheet!$C$18:$F$23,3,1))</f>
        <v>0</v>
      </c>
      <c r="AT10" s="235">
        <f>IF(AT$4&gt;$F$6,0,VLOOKUP(SAP_Speadsheet!AT$4,Leadsheet!$C$18:$F$23,3,1))</f>
        <v>0</v>
      </c>
      <c r="AU10" s="235">
        <f>IF(AU$4&gt;$F$6,0,VLOOKUP(SAP_Speadsheet!AU$4,Leadsheet!$C$18:$F$23,3,1))</f>
        <v>0</v>
      </c>
      <c r="AV10" s="235">
        <f>IF(AV$4&gt;$F$6,0,VLOOKUP(SAP_Speadsheet!AV$4,Leadsheet!$C$18:$F$23,3,1))</f>
        <v>0</v>
      </c>
      <c r="AW10" s="235">
        <f>IF(AW$4&gt;$F$6,0,VLOOKUP(SAP_Speadsheet!AW$4,Leadsheet!$C$18:$F$23,3,1))</f>
        <v>0</v>
      </c>
      <c r="AX10" s="235">
        <f>IF(AX$4&gt;$F$6,0,VLOOKUP(SAP_Speadsheet!AX$4,Leadsheet!$C$18:$F$23,3,1))</f>
        <v>0</v>
      </c>
      <c r="AY10" s="235">
        <f>IF(AY$4&gt;$F$6,0,VLOOKUP(SAP_Speadsheet!AY$4,Leadsheet!$C$18:$F$23,3,1))</f>
        <v>0</v>
      </c>
      <c r="AZ10" s="235">
        <f>IF(AZ$4&gt;$F$6,0,VLOOKUP(SAP_Speadsheet!AZ$4,Leadsheet!$C$18:$F$23,3,1))</f>
        <v>0</v>
      </c>
      <c r="BA10" s="235">
        <f>IF(BA$4&gt;$F$6,0,VLOOKUP(SAP_Speadsheet!BA$4,Leadsheet!$C$18:$F$23,3,1))</f>
        <v>0</v>
      </c>
      <c r="BB10" s="235">
        <f>IF(BB$4&gt;$F$6,0,VLOOKUP(SAP_Speadsheet!BB$4,Leadsheet!$C$18:$F$23,3,1))</f>
        <v>0</v>
      </c>
      <c r="BC10" s="235">
        <f>IF(BC$4&gt;$F$6,0,VLOOKUP(SAP_Speadsheet!BC$4,Leadsheet!$C$18:$F$23,3,1))</f>
        <v>0</v>
      </c>
      <c r="BD10" s="235">
        <f>IF(BD$4&gt;$F$6,0,VLOOKUP(SAP_Speadsheet!BD$4,Leadsheet!$C$18:$F$23,3,1))</f>
        <v>0</v>
      </c>
      <c r="BE10" s="235">
        <f>IF(BE$4&gt;$F$6,0,VLOOKUP(SAP_Speadsheet!BE$4,Leadsheet!$C$18:$F$23,3,1))</f>
        <v>0</v>
      </c>
      <c r="BF10" s="235">
        <f>IF(BF$4&gt;$F$6,0,VLOOKUP(SAP_Speadsheet!BF$4,Leadsheet!$C$18:$F$23,3,1))</f>
        <v>0</v>
      </c>
      <c r="BG10" s="235">
        <f>IF(BG$4&gt;$F$6,0,VLOOKUP(SAP_Speadsheet!BG$4,Leadsheet!$C$18:$F$23,3,1))</f>
        <v>0</v>
      </c>
      <c r="BH10" s="235">
        <f>IF(BH$4&gt;$F$6,0,VLOOKUP(SAP_Speadsheet!BH$4,Leadsheet!$C$18:$F$23,3,1))</f>
        <v>0</v>
      </c>
      <c r="BI10" s="235">
        <f>IF(BI$4&gt;$F$6,0,VLOOKUP(SAP_Speadsheet!BI$4,Leadsheet!$C$18:$F$23,3,1))</f>
        <v>0</v>
      </c>
      <c r="BJ10" s="235">
        <f>IF(BJ$4&gt;$F$6,0,VLOOKUP(SAP_Speadsheet!BJ$4,Leadsheet!$C$18:$F$23,3,1))</f>
        <v>0</v>
      </c>
      <c r="BK10" s="235">
        <f>IF(BK$4&gt;$F$6,0,VLOOKUP(SAP_Speadsheet!BK$4,Leadsheet!$C$18:$F$23,3,1))</f>
        <v>0</v>
      </c>
      <c r="BL10" s="235">
        <f>IF(BL$4&gt;$F$6,0,VLOOKUP(SAP_Speadsheet!BL$4,Leadsheet!$C$18:$F$23,3,1))</f>
        <v>0</v>
      </c>
      <c r="BM10" s="235">
        <f>IF(BM$4&gt;$F$6,0,VLOOKUP(SAP_Speadsheet!BM$4,Leadsheet!$C$18:$F$23,3,1))</f>
        <v>0</v>
      </c>
      <c r="BN10" s="235"/>
      <c r="BO10" s="235"/>
      <c r="BP10" s="235"/>
      <c r="BQ10" s="235"/>
      <c r="BR10" s="235"/>
      <c r="BS10" s="235"/>
      <c r="BT10" s="235"/>
      <c r="BU10" s="235"/>
      <c r="BV10" s="235"/>
      <c r="BW10" s="235"/>
      <c r="BX10" s="235"/>
      <c r="BY10" s="235"/>
      <c r="BZ10" s="235"/>
      <c r="CA10" s="235"/>
      <c r="CB10" s="235"/>
      <c r="CC10" s="235"/>
      <c r="CD10" s="235"/>
      <c r="CE10" s="235"/>
      <c r="CF10" s="235"/>
      <c r="CG10" s="235"/>
      <c r="CH10" s="235"/>
      <c r="CI10" s="235"/>
      <c r="CJ10" s="235"/>
      <c r="CK10" s="235"/>
      <c r="CL10" s="235"/>
      <c r="CM10" s="235"/>
      <c r="CN10" s="235"/>
      <c r="CO10" s="235"/>
      <c r="CP10" s="235"/>
      <c r="CQ10" s="235"/>
      <c r="CR10" s="235"/>
      <c r="CS10" s="235"/>
      <c r="CT10" s="235"/>
      <c r="CU10" s="235"/>
      <c r="CV10" s="235"/>
      <c r="CW10" s="235"/>
      <c r="CX10" s="235"/>
      <c r="CY10" s="235"/>
      <c r="CZ10" s="235"/>
      <c r="DA10" s="235"/>
      <c r="DB10" s="235"/>
      <c r="DC10" s="235"/>
      <c r="DD10" s="235"/>
      <c r="DE10" s="235"/>
      <c r="DF10" s="235"/>
      <c r="DG10" s="235"/>
      <c r="DH10" s="235"/>
      <c r="DI10" s="235"/>
      <c r="DJ10" s="235"/>
      <c r="DK10" s="235"/>
      <c r="DL10" s="235"/>
      <c r="DM10" s="235"/>
      <c r="DN10" s="235"/>
      <c r="DO10" s="235"/>
      <c r="DP10" s="235"/>
      <c r="DQ10" s="235"/>
      <c r="DR10" s="235"/>
      <c r="DS10" s="235"/>
      <c r="DT10" s="235"/>
      <c r="DU10" s="235"/>
      <c r="DV10" s="235"/>
      <c r="DW10" s="235"/>
      <c r="DX10" s="235"/>
      <c r="DY10" s="235"/>
      <c r="DZ10" s="235"/>
      <c r="EA10" s="235"/>
      <c r="EB10" s="235"/>
      <c r="EC10" s="235"/>
      <c r="ED10" s="235"/>
      <c r="EE10" s="235"/>
      <c r="EF10" s="235"/>
      <c r="EG10" s="235"/>
      <c r="EH10" s="235"/>
      <c r="EI10" s="235"/>
      <c r="EJ10" s="235"/>
      <c r="EK10" s="235"/>
      <c r="EL10" s="235"/>
      <c r="EM10" s="235"/>
      <c r="EN10" s="235"/>
      <c r="EO10" s="235"/>
      <c r="EP10" s="235"/>
      <c r="EQ10" s="235"/>
      <c r="ER10" s="235"/>
      <c r="ES10" s="235"/>
      <c r="ET10" s="235"/>
      <c r="EU10" s="235"/>
      <c r="EV10" s="235"/>
      <c r="EW10" s="235"/>
      <c r="EX10" s="235"/>
      <c r="EY10" s="235"/>
      <c r="EZ10" s="235"/>
      <c r="FA10" s="235"/>
      <c r="FB10" s="235"/>
      <c r="FC10" s="235"/>
      <c r="FD10" s="235"/>
      <c r="FE10" s="235"/>
      <c r="FF10" s="235"/>
      <c r="FG10" s="235"/>
      <c r="FH10" s="235"/>
      <c r="FI10" s="235"/>
      <c r="FJ10" s="235"/>
      <c r="FK10" s="235"/>
      <c r="FL10" s="235"/>
      <c r="FM10" s="235"/>
      <c r="FN10" s="235"/>
      <c r="FO10" s="235"/>
      <c r="FP10" s="235"/>
      <c r="FQ10" s="235"/>
      <c r="FR10" s="235"/>
      <c r="FS10" s="235"/>
      <c r="FT10" s="235"/>
      <c r="FU10" s="235"/>
      <c r="FV10" s="235"/>
      <c r="FW10" s="235"/>
      <c r="FX10" s="235"/>
      <c r="FY10" s="235"/>
      <c r="FZ10" s="235"/>
      <c r="GA10" s="235"/>
      <c r="GB10" s="235"/>
      <c r="GC10" s="235"/>
      <c r="GD10" s="235"/>
      <c r="GE10" s="235"/>
      <c r="GF10" s="235"/>
      <c r="GG10" s="235"/>
      <c r="GH10" s="235"/>
      <c r="GI10" s="235"/>
      <c r="GJ10" s="235"/>
      <c r="GK10" s="235"/>
      <c r="GL10" s="235"/>
      <c r="GM10" s="235"/>
      <c r="GN10" s="235"/>
      <c r="GO10" s="235"/>
      <c r="GP10" s="235"/>
      <c r="GQ10" s="235"/>
      <c r="GR10" s="235"/>
      <c r="GS10" s="235"/>
      <c r="GT10" s="235"/>
      <c r="GU10" s="235"/>
      <c r="GV10" s="235"/>
      <c r="GW10" s="235"/>
      <c r="GX10" s="235"/>
      <c r="GY10" s="235"/>
      <c r="GZ10" s="235"/>
      <c r="HA10" s="235"/>
      <c r="HB10" s="235"/>
      <c r="HC10" s="235"/>
      <c r="HD10" s="235"/>
      <c r="HE10" s="235"/>
      <c r="HF10" s="235"/>
      <c r="HG10" s="235"/>
      <c r="HH10" s="235"/>
      <c r="HI10" s="235"/>
      <c r="HJ10" s="235"/>
      <c r="HK10" s="235"/>
      <c r="HL10" s="235"/>
      <c r="HM10" s="235"/>
      <c r="HN10" s="235"/>
      <c r="HO10" s="235"/>
      <c r="HP10" s="235"/>
      <c r="HQ10" s="235"/>
      <c r="HR10" s="235"/>
      <c r="HS10" s="235"/>
      <c r="HT10" s="235"/>
      <c r="HU10" s="235"/>
      <c r="HV10" s="235"/>
      <c r="HW10" s="235"/>
      <c r="HX10" s="235"/>
      <c r="HY10" s="235"/>
      <c r="HZ10" s="235"/>
      <c r="IA10" s="235"/>
      <c r="IB10" s="235"/>
      <c r="IC10" s="235"/>
      <c r="ID10" s="235"/>
      <c r="IE10" s="235"/>
      <c r="IF10" s="235"/>
      <c r="IG10" s="235"/>
      <c r="IH10" s="235"/>
      <c r="II10" s="235"/>
      <c r="IJ10" s="235"/>
      <c r="IK10" s="235"/>
      <c r="IL10" s="235"/>
      <c r="IM10" s="235"/>
      <c r="IN10" s="235"/>
      <c r="IO10" s="235"/>
      <c r="IP10" s="235"/>
      <c r="IQ10" s="235"/>
      <c r="IR10" s="235"/>
      <c r="IS10" s="235"/>
      <c r="IT10" s="235"/>
      <c r="IU10" s="235"/>
      <c r="IV10" s="235"/>
      <c r="IW10" s="235"/>
      <c r="IX10" s="235"/>
      <c r="IY10" s="235"/>
      <c r="IZ10" s="235"/>
      <c r="JA10" s="235"/>
      <c r="JB10" s="235"/>
      <c r="JC10" s="235"/>
      <c r="JD10" s="235"/>
      <c r="JE10" s="235"/>
      <c r="JF10" s="235"/>
      <c r="JG10" s="235"/>
      <c r="JH10" s="235"/>
      <c r="JI10" s="235"/>
      <c r="JJ10" s="235"/>
      <c r="JK10" s="235"/>
      <c r="JL10" s="235"/>
      <c r="JM10" s="235"/>
      <c r="JN10" s="235"/>
      <c r="JO10" s="235"/>
      <c r="JP10" s="235"/>
      <c r="JQ10" s="235"/>
      <c r="JR10" s="235"/>
      <c r="JS10" s="235"/>
      <c r="JT10" s="235"/>
      <c r="JU10" s="235"/>
      <c r="JV10" s="235"/>
      <c r="JW10" s="235"/>
      <c r="JX10" s="235"/>
      <c r="JY10" s="235"/>
      <c r="JZ10" s="235"/>
      <c r="KA10" s="235"/>
      <c r="KB10" s="235"/>
      <c r="KC10" s="235"/>
      <c r="KD10" s="235"/>
      <c r="KE10" s="235"/>
      <c r="KF10" s="235"/>
      <c r="KG10" s="235"/>
      <c r="KH10" s="235"/>
      <c r="KI10" s="235"/>
      <c r="KJ10" s="235"/>
      <c r="KK10" s="235"/>
      <c r="KL10" s="235"/>
      <c r="KM10" s="235"/>
      <c r="KN10" s="235"/>
      <c r="KO10" s="235"/>
      <c r="KP10" s="235"/>
      <c r="KQ10" s="235"/>
      <c r="KR10" s="235"/>
      <c r="KS10" s="235"/>
      <c r="KT10" s="235"/>
    </row>
    <row r="11" spans="2:306" x14ac:dyDescent="0.15">
      <c r="C11" s="92" t="s">
        <v>293</v>
      </c>
      <c r="D11" s="162" t="s">
        <v>292</v>
      </c>
      <c r="E11" s="235">
        <f>Leadsheet!F18</f>
        <v>6.6359342038446831E-2</v>
      </c>
      <c r="F11" s="235">
        <f>IF(F$4&gt;$F$6,0,VLOOKUP(SAP_Speadsheet!F$4,Leadsheet!$C$18:$F$23,4,1))</f>
        <v>6.6359342038446831E-2</v>
      </c>
      <c r="G11" s="235">
        <f>IF(G$4&gt;$F$6,0,VLOOKUP(SAP_Speadsheet!G$4,Leadsheet!$C$18:$F$23,4,1))</f>
        <v>6.6359342038446831E-2</v>
      </c>
      <c r="H11" s="235">
        <f>IF(H$4&gt;$F$6,0,VLOOKUP(SAP_Speadsheet!H$4,Leadsheet!$C$18:$F$23,4,1))</f>
        <v>6.6359342038446831E-2</v>
      </c>
      <c r="I11" s="235">
        <f>IF(I$4&gt;$F$6,0,VLOOKUP(SAP_Speadsheet!I$4,Leadsheet!$C$18:$F$23,4,1))</f>
        <v>6.6359342038446831E-2</v>
      </c>
      <c r="J11" s="235">
        <f>IF(J$4&gt;$F$6,0,VLOOKUP(SAP_Speadsheet!J$4,Leadsheet!$C$18:$F$23,4,1))</f>
        <v>6.6359342038446831E-2</v>
      </c>
      <c r="K11" s="235">
        <f>IF(K$4&gt;$F$6,0,VLOOKUP(SAP_Speadsheet!K$4,Leadsheet!$C$18:$F$23,4,1))</f>
        <v>6.6359342038446831E-2</v>
      </c>
      <c r="L11" s="235">
        <f>IF(L$4&gt;$F$6,0,VLOOKUP(SAP_Speadsheet!L$4,Leadsheet!$C$18:$F$23,4,1))</f>
        <v>6.6359342038446831E-2</v>
      </c>
      <c r="M11" s="235">
        <f>IF(M$4&gt;$F$6,0,VLOOKUP(SAP_Speadsheet!M$4,Leadsheet!$C$18:$F$23,4,1))</f>
        <v>6.6359342038446831E-2</v>
      </c>
      <c r="N11" s="235">
        <f>IF(N$4&gt;$F$6,0,VLOOKUP(SAP_Speadsheet!N$4,Leadsheet!$C$18:$F$23,4,1))</f>
        <v>6.6359342038446831E-2</v>
      </c>
      <c r="O11" s="235">
        <f>IF(O$4&gt;$F$6,0,VLOOKUP(SAP_Speadsheet!O$4,Leadsheet!$C$18:$F$23,4,1))</f>
        <v>6.6359342038446831E-2</v>
      </c>
      <c r="P11" s="235">
        <f>IF(P$4&gt;$F$6,0,VLOOKUP(SAP_Speadsheet!P$4,Leadsheet!$C$18:$F$23,4,1))</f>
        <v>6.6359342038446831E-2</v>
      </c>
      <c r="Q11" s="235">
        <f>IF(Q$4&gt;$F$6,0,VLOOKUP(SAP_Speadsheet!Q$4,Leadsheet!$C$18:$F$23,4,1))</f>
        <v>6.6359342038446831E-2</v>
      </c>
      <c r="R11" s="235">
        <f>IF(R$4&gt;$F$6,0,VLOOKUP(SAP_Speadsheet!R$4,Leadsheet!$C$18:$F$23,4,1))</f>
        <v>6.6359342038446831E-2</v>
      </c>
      <c r="S11" s="235">
        <f>IF(S$4&gt;$F$6,0,VLOOKUP(SAP_Speadsheet!S$4,Leadsheet!$C$18:$F$23,4,1))</f>
        <v>6.6359342038446831E-2</v>
      </c>
      <c r="T11" s="235">
        <f>IF(T$4&gt;$F$6,0,VLOOKUP(SAP_Speadsheet!T$4,Leadsheet!$C$18:$F$23,4,1))</f>
        <v>6.6359342038446831E-2</v>
      </c>
      <c r="U11" s="235">
        <f>IF(U$4&gt;$F$6,0,VLOOKUP(SAP_Speadsheet!U$4,Leadsheet!$C$18:$F$23,4,1))</f>
        <v>0</v>
      </c>
      <c r="V11" s="235">
        <f>IF(V$4&gt;$F$6,0,VLOOKUP(SAP_Speadsheet!V$4,Leadsheet!$C$18:$F$23,4,1))</f>
        <v>0</v>
      </c>
      <c r="W11" s="235">
        <f>IF(W$4&gt;$F$6,0,VLOOKUP(SAP_Speadsheet!W$4,Leadsheet!$C$18:$F$23,4,1))</f>
        <v>0</v>
      </c>
      <c r="X11" s="235">
        <f>IF(X$4&gt;$F$6,0,VLOOKUP(SAP_Speadsheet!X$4,Leadsheet!$C$18:$F$23,4,1))</f>
        <v>0</v>
      </c>
      <c r="Y11" s="235">
        <f>IF(Y$4&gt;$F$6,0,VLOOKUP(SAP_Speadsheet!Y$4,Leadsheet!$C$18:$F$23,4,1))</f>
        <v>0</v>
      </c>
      <c r="Z11" s="235">
        <f>IF(Z$4&gt;$F$6,0,VLOOKUP(SAP_Speadsheet!Z$4,Leadsheet!$C$18:$F$23,4,1))</f>
        <v>0</v>
      </c>
      <c r="AA11" s="235">
        <f>IF(AA$4&gt;$F$6,0,VLOOKUP(SAP_Speadsheet!AA$4,Leadsheet!$C$18:$F$23,4,1))</f>
        <v>0</v>
      </c>
      <c r="AB11" s="235">
        <f>IF(AB$4&gt;$F$6,0,VLOOKUP(SAP_Speadsheet!AB$4,Leadsheet!$C$18:$F$23,4,1))</f>
        <v>0</v>
      </c>
      <c r="AC11" s="235">
        <f>IF(AC$4&gt;$F$6,0,VLOOKUP(SAP_Speadsheet!AC$4,Leadsheet!$C$18:$F$23,4,1))</f>
        <v>0</v>
      </c>
      <c r="AD11" s="235">
        <f>IF(AD$4&gt;$F$6,0,VLOOKUP(SAP_Speadsheet!AD$4,Leadsheet!$C$18:$F$23,4,1))</f>
        <v>0</v>
      </c>
      <c r="AE11" s="235">
        <f>IF(AE$4&gt;$F$6,0,VLOOKUP(SAP_Speadsheet!AE$4,Leadsheet!$C$18:$F$23,4,1))</f>
        <v>0</v>
      </c>
      <c r="AF11" s="235">
        <f>IF(AF$4&gt;$F$6,0,VLOOKUP(SAP_Speadsheet!AF$4,Leadsheet!$C$18:$F$23,4,1))</f>
        <v>0</v>
      </c>
      <c r="AG11" s="235">
        <f>IF(AG$4&gt;$F$6,0,VLOOKUP(SAP_Speadsheet!AG$4,Leadsheet!$C$18:$F$23,4,1))</f>
        <v>0</v>
      </c>
      <c r="AH11" s="235">
        <f>IF(AH$4&gt;$F$6,0,VLOOKUP(SAP_Speadsheet!AH$4,Leadsheet!$C$18:$F$23,4,1))</f>
        <v>0</v>
      </c>
      <c r="AI11" s="235">
        <f>IF(AI$4&gt;$F$6,0,VLOOKUP(SAP_Speadsheet!AI$4,Leadsheet!$C$18:$F$23,4,1))</f>
        <v>0</v>
      </c>
      <c r="AJ11" s="235">
        <f>IF(AJ$4&gt;$F$6,0,VLOOKUP(SAP_Speadsheet!AJ$4,Leadsheet!$C$18:$F$23,4,1))</f>
        <v>0</v>
      </c>
      <c r="AK11" s="235">
        <f>IF(AK$4&gt;$F$6,0,VLOOKUP(SAP_Speadsheet!AK$4,Leadsheet!$C$18:$F$23,4,1))</f>
        <v>0</v>
      </c>
      <c r="AL11" s="235">
        <f>IF(AL$4&gt;$F$6,0,VLOOKUP(SAP_Speadsheet!AL$4,Leadsheet!$C$18:$F$23,4,1))</f>
        <v>0</v>
      </c>
      <c r="AM11" s="235">
        <f>IF(AM$4&gt;$F$6,0,VLOOKUP(SAP_Speadsheet!AM$4,Leadsheet!$C$18:$F$23,4,1))</f>
        <v>0</v>
      </c>
      <c r="AN11" s="235">
        <f>IF(AN$4&gt;$F$6,0,VLOOKUP(SAP_Speadsheet!AN$4,Leadsheet!$C$18:$F$23,4,1))</f>
        <v>0</v>
      </c>
      <c r="AO11" s="235">
        <f>IF(AO$4&gt;$F$6,0,VLOOKUP(SAP_Speadsheet!AO$4,Leadsheet!$C$18:$F$23,4,1))</f>
        <v>0</v>
      </c>
      <c r="AP11" s="235">
        <f>IF(AP$4&gt;$F$6,0,VLOOKUP(SAP_Speadsheet!AP$4,Leadsheet!$C$18:$F$23,4,1))</f>
        <v>0</v>
      </c>
      <c r="AQ11" s="235">
        <f>IF(AQ$4&gt;$F$6,0,VLOOKUP(SAP_Speadsheet!AQ$4,Leadsheet!$C$18:$F$23,4,1))</f>
        <v>0</v>
      </c>
      <c r="AR11" s="235">
        <f>IF(AR$4&gt;$F$6,0,VLOOKUP(SAP_Speadsheet!AR$4,Leadsheet!$C$18:$F$23,4,1))</f>
        <v>0</v>
      </c>
      <c r="AS11" s="235">
        <f>IF(AS$4&gt;$F$6,0,VLOOKUP(SAP_Speadsheet!AS$4,Leadsheet!$C$18:$F$23,4,1))</f>
        <v>0</v>
      </c>
      <c r="AT11" s="235">
        <f>IF(AT$4&gt;$F$6,0,VLOOKUP(SAP_Speadsheet!AT$4,Leadsheet!$C$18:$F$23,4,1))</f>
        <v>0</v>
      </c>
      <c r="AU11" s="235">
        <f>IF(AU$4&gt;$F$6,0,VLOOKUP(SAP_Speadsheet!AU$4,Leadsheet!$C$18:$F$23,4,1))</f>
        <v>0</v>
      </c>
      <c r="AV11" s="235">
        <f>IF(AV$4&gt;$F$6,0,VLOOKUP(SAP_Speadsheet!AV$4,Leadsheet!$C$18:$F$23,4,1))</f>
        <v>0</v>
      </c>
      <c r="AW11" s="235">
        <f>IF(AW$4&gt;$F$6,0,VLOOKUP(SAP_Speadsheet!AW$4,Leadsheet!$C$18:$F$23,4,1))</f>
        <v>0</v>
      </c>
      <c r="AX11" s="235">
        <f>IF(AX$4&gt;$F$6,0,VLOOKUP(SAP_Speadsheet!AX$4,Leadsheet!$C$18:$F$23,4,1))</f>
        <v>0</v>
      </c>
      <c r="AY11" s="235">
        <f>IF(AY$4&gt;$F$6,0,VLOOKUP(SAP_Speadsheet!AY$4,Leadsheet!$C$18:$F$23,4,1))</f>
        <v>0</v>
      </c>
      <c r="AZ11" s="235">
        <f>IF(AZ$4&gt;$F$6,0,VLOOKUP(SAP_Speadsheet!AZ$4,Leadsheet!$C$18:$F$23,4,1))</f>
        <v>0</v>
      </c>
      <c r="BA11" s="235">
        <f>IF(BA$4&gt;$F$6,0,VLOOKUP(SAP_Speadsheet!BA$4,Leadsheet!$C$18:$F$23,4,1))</f>
        <v>0</v>
      </c>
      <c r="BB11" s="235">
        <f>IF(BB$4&gt;$F$6,0,VLOOKUP(SAP_Speadsheet!BB$4,Leadsheet!$C$18:$F$23,4,1))</f>
        <v>0</v>
      </c>
      <c r="BC11" s="235">
        <f>IF(BC$4&gt;$F$6,0,VLOOKUP(SAP_Speadsheet!BC$4,Leadsheet!$C$18:$F$23,4,1))</f>
        <v>0</v>
      </c>
      <c r="BD11" s="235">
        <f>IF(BD$4&gt;$F$6,0,VLOOKUP(SAP_Speadsheet!BD$4,Leadsheet!$C$18:$F$23,4,1))</f>
        <v>0</v>
      </c>
      <c r="BE11" s="235">
        <f>IF(BE$4&gt;$F$6,0,VLOOKUP(SAP_Speadsheet!BE$4,Leadsheet!$C$18:$F$23,4,1))</f>
        <v>0</v>
      </c>
      <c r="BF11" s="235">
        <f>IF(BF$4&gt;$F$6,0,VLOOKUP(SAP_Speadsheet!BF$4,Leadsheet!$C$18:$F$23,4,1))</f>
        <v>0</v>
      </c>
      <c r="BG11" s="235">
        <f>IF(BG$4&gt;$F$6,0,VLOOKUP(SAP_Speadsheet!BG$4,Leadsheet!$C$18:$F$23,4,1))</f>
        <v>0</v>
      </c>
      <c r="BH11" s="235">
        <f>IF(BH$4&gt;$F$6,0,VLOOKUP(SAP_Speadsheet!BH$4,Leadsheet!$C$18:$F$23,4,1))</f>
        <v>0</v>
      </c>
      <c r="BI11" s="235">
        <f>IF(BI$4&gt;$F$6,0,VLOOKUP(SAP_Speadsheet!BI$4,Leadsheet!$C$18:$F$23,4,1))</f>
        <v>0</v>
      </c>
      <c r="BJ11" s="235">
        <f>IF(BJ$4&gt;$F$6,0,VLOOKUP(SAP_Speadsheet!BJ$4,Leadsheet!$C$18:$F$23,4,1))</f>
        <v>0</v>
      </c>
      <c r="BK11" s="235">
        <f>IF(BK$4&gt;$F$6,0,VLOOKUP(SAP_Speadsheet!BK$4,Leadsheet!$C$18:$F$23,4,1))</f>
        <v>0</v>
      </c>
      <c r="BL11" s="235">
        <f>IF(BL$4&gt;$F$6,0,VLOOKUP(SAP_Speadsheet!BL$4,Leadsheet!$C$18:$F$23,4,1))</f>
        <v>0</v>
      </c>
      <c r="BM11" s="235">
        <f>IF(BM$4&gt;$F$6,0,VLOOKUP(SAP_Speadsheet!BM$4,Leadsheet!$C$18:$F$23,4,1))</f>
        <v>0</v>
      </c>
      <c r="BN11" s="235"/>
      <c r="BO11" s="235"/>
      <c r="BP11" s="235"/>
      <c r="BQ11" s="235"/>
      <c r="BR11" s="235"/>
      <c r="BS11" s="235"/>
      <c r="BT11" s="235"/>
      <c r="BU11" s="235"/>
      <c r="BV11" s="235"/>
      <c r="BW11" s="235"/>
      <c r="BX11" s="235"/>
      <c r="BY11" s="235"/>
      <c r="BZ11" s="235"/>
      <c r="CA11" s="235"/>
      <c r="CB11" s="235"/>
      <c r="CC11" s="235"/>
      <c r="CD11" s="235"/>
      <c r="CE11" s="235"/>
      <c r="CF11" s="235"/>
      <c r="CG11" s="235"/>
      <c r="CH11" s="235"/>
      <c r="CI11" s="235"/>
      <c r="CJ11" s="235"/>
      <c r="CK11" s="235"/>
      <c r="CL11" s="235"/>
      <c r="CM11" s="235"/>
      <c r="CN11" s="235"/>
      <c r="CO11" s="235"/>
      <c r="CP11" s="235"/>
      <c r="CQ11" s="235"/>
      <c r="CR11" s="235"/>
      <c r="CS11" s="235"/>
      <c r="CT11" s="235"/>
      <c r="CU11" s="235"/>
      <c r="CV11" s="235"/>
      <c r="CW11" s="235"/>
      <c r="CX11" s="235"/>
      <c r="CY11" s="235"/>
      <c r="CZ11" s="235"/>
      <c r="DA11" s="235"/>
      <c r="DB11" s="235"/>
      <c r="DC11" s="235"/>
      <c r="DD11" s="235"/>
      <c r="DE11" s="235"/>
      <c r="DF11" s="235"/>
      <c r="DG11" s="235"/>
      <c r="DH11" s="235"/>
      <c r="DI11" s="235"/>
      <c r="DJ11" s="235"/>
      <c r="DK11" s="235"/>
      <c r="DL11" s="235"/>
      <c r="DM11" s="235"/>
      <c r="DN11" s="235"/>
      <c r="DO11" s="235"/>
      <c r="DP11" s="235"/>
      <c r="DQ11" s="235"/>
      <c r="DR11" s="235"/>
      <c r="DS11" s="235"/>
      <c r="DT11" s="235"/>
      <c r="DU11" s="235"/>
      <c r="DV11" s="235"/>
      <c r="DW11" s="235"/>
      <c r="DX11" s="235"/>
      <c r="DY11" s="235"/>
      <c r="DZ11" s="235"/>
      <c r="EA11" s="235"/>
      <c r="EB11" s="235"/>
      <c r="EC11" s="235"/>
      <c r="ED11" s="235"/>
      <c r="EE11" s="235"/>
      <c r="EF11" s="235"/>
      <c r="EG11" s="235"/>
      <c r="EH11" s="235"/>
      <c r="EI11" s="235"/>
      <c r="EJ11" s="235"/>
      <c r="EK11" s="235"/>
      <c r="EL11" s="235"/>
      <c r="EM11" s="235"/>
      <c r="EN11" s="235"/>
      <c r="EO11" s="235"/>
      <c r="EP11" s="235"/>
      <c r="EQ11" s="235"/>
      <c r="ER11" s="235"/>
      <c r="ES11" s="235"/>
      <c r="ET11" s="235"/>
      <c r="EU11" s="235"/>
      <c r="EV11" s="235"/>
      <c r="EW11" s="235"/>
      <c r="EX11" s="235"/>
      <c r="EY11" s="235"/>
      <c r="EZ11" s="235"/>
      <c r="FA11" s="235"/>
      <c r="FB11" s="235"/>
      <c r="FC11" s="235"/>
      <c r="FD11" s="235"/>
      <c r="FE11" s="235"/>
      <c r="FF11" s="235"/>
      <c r="FG11" s="235"/>
      <c r="FH11" s="235"/>
      <c r="FI11" s="235"/>
      <c r="FJ11" s="235"/>
      <c r="FK11" s="235"/>
      <c r="FL11" s="235"/>
      <c r="FM11" s="235"/>
      <c r="FN11" s="235"/>
      <c r="FO11" s="235"/>
      <c r="FP11" s="235"/>
      <c r="FQ11" s="235"/>
      <c r="FR11" s="235"/>
      <c r="FS11" s="235"/>
      <c r="FT11" s="235"/>
      <c r="FU11" s="235"/>
      <c r="FV11" s="235"/>
      <c r="FW11" s="235"/>
      <c r="FX11" s="235"/>
      <c r="FY11" s="235"/>
      <c r="FZ11" s="235"/>
      <c r="GA11" s="235"/>
      <c r="GB11" s="235"/>
      <c r="GC11" s="235"/>
      <c r="GD11" s="235"/>
      <c r="GE11" s="235"/>
      <c r="GF11" s="235"/>
      <c r="GG11" s="235"/>
      <c r="GH11" s="235"/>
      <c r="GI11" s="235"/>
      <c r="GJ11" s="235"/>
      <c r="GK11" s="235"/>
      <c r="GL11" s="235"/>
      <c r="GM11" s="235"/>
      <c r="GN11" s="235"/>
      <c r="GO11" s="235"/>
      <c r="GP11" s="235"/>
      <c r="GQ11" s="235"/>
      <c r="GR11" s="235"/>
      <c r="GS11" s="235"/>
      <c r="GT11" s="235"/>
      <c r="GU11" s="235"/>
      <c r="GV11" s="235"/>
      <c r="GW11" s="235"/>
      <c r="GX11" s="235"/>
      <c r="GY11" s="235"/>
      <c r="GZ11" s="235"/>
      <c r="HA11" s="235"/>
      <c r="HB11" s="235"/>
      <c r="HC11" s="235"/>
      <c r="HD11" s="235"/>
      <c r="HE11" s="235"/>
      <c r="HF11" s="235"/>
      <c r="HG11" s="235"/>
      <c r="HH11" s="235"/>
      <c r="HI11" s="235"/>
      <c r="HJ11" s="235"/>
      <c r="HK11" s="235"/>
      <c r="HL11" s="235"/>
      <c r="HM11" s="235"/>
      <c r="HN11" s="235"/>
      <c r="HO11" s="235"/>
      <c r="HP11" s="235"/>
      <c r="HQ11" s="235"/>
      <c r="HR11" s="235"/>
      <c r="HS11" s="235"/>
      <c r="HT11" s="235"/>
      <c r="HU11" s="235"/>
      <c r="HV11" s="235"/>
      <c r="HW11" s="235"/>
      <c r="HX11" s="235"/>
      <c r="HY11" s="235"/>
      <c r="HZ11" s="235"/>
      <c r="IA11" s="235"/>
      <c r="IB11" s="235"/>
      <c r="IC11" s="235"/>
      <c r="ID11" s="235"/>
      <c r="IE11" s="235"/>
      <c r="IF11" s="235"/>
      <c r="IG11" s="235"/>
      <c r="IH11" s="235"/>
      <c r="II11" s="235"/>
      <c r="IJ11" s="235"/>
      <c r="IK11" s="235"/>
      <c r="IL11" s="235"/>
      <c r="IM11" s="235"/>
      <c r="IN11" s="235"/>
      <c r="IO11" s="235"/>
      <c r="IP11" s="235"/>
      <c r="IQ11" s="235"/>
      <c r="IR11" s="235"/>
      <c r="IS11" s="235"/>
      <c r="IT11" s="235"/>
      <c r="IU11" s="235"/>
      <c r="IV11" s="235"/>
      <c r="IW11" s="235"/>
      <c r="IX11" s="235"/>
      <c r="IY11" s="235"/>
      <c r="IZ11" s="235"/>
      <c r="JA11" s="235"/>
      <c r="JB11" s="235"/>
      <c r="JC11" s="235"/>
      <c r="JD11" s="235"/>
      <c r="JE11" s="235"/>
      <c r="JF11" s="235"/>
      <c r="JG11" s="235"/>
      <c r="JH11" s="235"/>
      <c r="JI11" s="235"/>
      <c r="JJ11" s="235"/>
      <c r="JK11" s="235"/>
      <c r="JL11" s="235"/>
      <c r="JM11" s="235"/>
      <c r="JN11" s="235"/>
      <c r="JO11" s="235"/>
      <c r="JP11" s="235"/>
      <c r="JQ11" s="235"/>
      <c r="JR11" s="235"/>
      <c r="JS11" s="235"/>
      <c r="JT11" s="235"/>
      <c r="JU11" s="235"/>
      <c r="JV11" s="235"/>
      <c r="JW11" s="235"/>
      <c r="JX11" s="235"/>
      <c r="JY11" s="235"/>
      <c r="JZ11" s="235"/>
      <c r="KA11" s="235"/>
      <c r="KB11" s="235"/>
      <c r="KC11" s="235"/>
      <c r="KD11" s="235"/>
      <c r="KE11" s="235"/>
      <c r="KF11" s="235"/>
      <c r="KG11" s="235"/>
      <c r="KH11" s="235"/>
      <c r="KI11" s="235"/>
      <c r="KJ11" s="235"/>
      <c r="KK11" s="235"/>
      <c r="KL11" s="235"/>
      <c r="KM11" s="235"/>
      <c r="KN11" s="235"/>
      <c r="KO11" s="235"/>
      <c r="KP11" s="235"/>
      <c r="KQ11" s="235"/>
      <c r="KR11" s="235"/>
      <c r="KS11" s="235"/>
      <c r="KT11" s="235"/>
    </row>
    <row r="12" spans="2:306" x14ac:dyDescent="0.15">
      <c r="C12" s="92" t="s">
        <v>294</v>
      </c>
      <c r="E12" s="235">
        <f>IF(E4&gt;$F$6,0,Leadsheet!$F$19)</f>
        <v>6.6359342038446831E-2</v>
      </c>
      <c r="F12" s="235">
        <f>IF(F4&gt;$F$6,0,Leadsheet!$F$19)</f>
        <v>6.6359342038446831E-2</v>
      </c>
      <c r="G12" s="235">
        <f>IF(G4&gt;$F$6,0,Leadsheet!$F$19)</f>
        <v>6.6359342038446831E-2</v>
      </c>
      <c r="H12" s="235">
        <f>IF(H4&gt;$F$6,0,Leadsheet!$F$19)</f>
        <v>6.6359342038446831E-2</v>
      </c>
      <c r="I12" s="235">
        <f>IF(I4&gt;$F$6,0,Leadsheet!$F$19)</f>
        <v>6.6359342038446831E-2</v>
      </c>
      <c r="J12" s="235">
        <f>IF(J4&gt;$F$6,0,Leadsheet!$F$19)</f>
        <v>6.6359342038446831E-2</v>
      </c>
      <c r="K12" s="235">
        <f>IF(K4&gt;$F$6,0,Leadsheet!$F$19)</f>
        <v>6.6359342038446831E-2</v>
      </c>
      <c r="L12" s="235">
        <f>IF(L4&gt;$F$6,0,Leadsheet!$F$19)</f>
        <v>6.6359342038446831E-2</v>
      </c>
      <c r="M12" s="235">
        <f>IF(M4&gt;$F$6,0,Leadsheet!$F$19)</f>
        <v>6.6359342038446831E-2</v>
      </c>
      <c r="N12" s="235">
        <f>IF(N4&gt;$F$6,0,Leadsheet!$F$19)</f>
        <v>6.6359342038446831E-2</v>
      </c>
      <c r="O12" s="235">
        <f>IF(O4&gt;$F$6,0,Leadsheet!$F$19)</f>
        <v>6.6359342038446831E-2</v>
      </c>
      <c r="P12" s="235">
        <f>IF(P4&gt;$F$6,0,Leadsheet!$F$19)</f>
        <v>6.6359342038446831E-2</v>
      </c>
      <c r="Q12" s="235">
        <f>IF(Q4&gt;$F$6,0,Leadsheet!$F$19)</f>
        <v>6.6359342038446831E-2</v>
      </c>
      <c r="R12" s="235">
        <f>IF(R4&gt;$F$6,0,Leadsheet!$F$19)</f>
        <v>6.6359342038446831E-2</v>
      </c>
      <c r="S12" s="235">
        <f>IF(S4&gt;$F$6,0,Leadsheet!$F$19)</f>
        <v>6.6359342038446831E-2</v>
      </c>
      <c r="T12" s="235">
        <f>IF(T4&gt;$F$6,0,Leadsheet!$F$19)</f>
        <v>6.6359342038446831E-2</v>
      </c>
      <c r="U12" s="235">
        <f>IF(U4&gt;$F$6,0,Leadsheet!$F$19)</f>
        <v>0</v>
      </c>
      <c r="V12" s="235">
        <f>IF(V4&gt;$F$6,0,Leadsheet!$F$19)</f>
        <v>0</v>
      </c>
      <c r="W12" s="235">
        <f>IF(W4&gt;$F$6,0,Leadsheet!$F$19)</f>
        <v>0</v>
      </c>
      <c r="X12" s="235">
        <f>IF(X4&gt;$F$6,0,Leadsheet!$F$19)</f>
        <v>0</v>
      </c>
      <c r="Y12" s="235">
        <f>IF(Y4&gt;$F$6,0,Leadsheet!$F$19)</f>
        <v>0</v>
      </c>
      <c r="Z12" s="235">
        <f>IF(Z4&gt;$F$6,0,Leadsheet!$F$19)</f>
        <v>0</v>
      </c>
      <c r="AA12" s="235">
        <f>IF(AA4&gt;$F$6,0,Leadsheet!$F$19)</f>
        <v>0</v>
      </c>
      <c r="AB12" s="235">
        <f>IF(AB4&gt;$F$6,0,Leadsheet!$F$19)</f>
        <v>0</v>
      </c>
      <c r="AC12" s="235">
        <f>IF(AC4&gt;$F$6,0,Leadsheet!$F$19)</f>
        <v>0</v>
      </c>
      <c r="AD12" s="235"/>
      <c r="AE12" s="235"/>
      <c r="AF12" s="235"/>
      <c r="AG12" s="235"/>
      <c r="AH12" s="235"/>
      <c r="AI12" s="235"/>
      <c r="AJ12" s="235"/>
      <c r="AK12" s="235"/>
      <c r="AL12" s="235"/>
      <c r="AM12" s="235"/>
      <c r="AN12" s="235"/>
      <c r="AO12" s="235"/>
      <c r="AP12" s="235"/>
      <c r="AQ12" s="235"/>
      <c r="AR12" s="235"/>
      <c r="AS12" s="235"/>
      <c r="AT12" s="235"/>
      <c r="AU12" s="235"/>
      <c r="AV12" s="235"/>
      <c r="AW12" s="235"/>
      <c r="AX12" s="235"/>
      <c r="AY12" s="235"/>
      <c r="AZ12" s="235"/>
      <c r="BA12" s="235"/>
      <c r="BB12" s="235"/>
      <c r="BC12" s="235"/>
      <c r="BD12" s="235"/>
      <c r="BE12" s="235"/>
      <c r="BF12" s="235"/>
      <c r="BG12" s="235"/>
      <c r="BH12" s="235"/>
      <c r="BI12" s="235"/>
      <c r="BJ12" s="235"/>
      <c r="BK12" s="235"/>
      <c r="BL12" s="235"/>
      <c r="BM12" s="235"/>
      <c r="BN12" s="235"/>
      <c r="BO12" s="235"/>
      <c r="BP12" s="235"/>
      <c r="BQ12" s="235"/>
      <c r="BR12" s="235"/>
      <c r="BS12" s="235"/>
      <c r="BT12" s="235"/>
      <c r="BU12" s="235"/>
      <c r="BV12" s="235"/>
      <c r="BW12" s="235"/>
      <c r="BX12" s="235"/>
      <c r="BY12" s="235"/>
      <c r="BZ12" s="235"/>
      <c r="CA12" s="235"/>
      <c r="CB12" s="235"/>
      <c r="CC12" s="235"/>
      <c r="CD12" s="235"/>
      <c r="CE12" s="235"/>
      <c r="CF12" s="235"/>
      <c r="CG12" s="235"/>
      <c r="CH12" s="235"/>
      <c r="CI12" s="235"/>
      <c r="CJ12" s="235"/>
      <c r="CK12" s="235"/>
      <c r="CL12" s="235"/>
      <c r="CM12" s="235"/>
      <c r="CN12" s="235"/>
      <c r="CO12" s="235"/>
      <c r="CP12" s="235"/>
      <c r="CQ12" s="235"/>
      <c r="CR12" s="235"/>
      <c r="CS12" s="235"/>
      <c r="CT12" s="235"/>
      <c r="CU12" s="235"/>
      <c r="CV12" s="235"/>
      <c r="CW12" s="235"/>
      <c r="CX12" s="235"/>
      <c r="CY12" s="235"/>
      <c r="CZ12" s="235"/>
      <c r="DA12" s="235"/>
      <c r="DB12" s="235"/>
      <c r="DC12" s="235"/>
      <c r="DD12" s="235"/>
      <c r="DE12" s="235"/>
      <c r="DF12" s="235"/>
      <c r="DG12" s="235"/>
      <c r="DH12" s="235"/>
      <c r="DI12" s="235"/>
      <c r="DJ12" s="235"/>
      <c r="DK12" s="235"/>
      <c r="DL12" s="235"/>
      <c r="DM12" s="235"/>
      <c r="DN12" s="235"/>
      <c r="DO12" s="235"/>
      <c r="DP12" s="235"/>
      <c r="DQ12" s="235"/>
      <c r="DR12" s="235"/>
      <c r="DS12" s="235"/>
      <c r="DT12" s="235"/>
      <c r="DU12" s="235"/>
      <c r="DV12" s="235"/>
      <c r="DW12" s="235"/>
      <c r="DX12" s="235"/>
      <c r="DY12" s="235"/>
      <c r="DZ12" s="235"/>
      <c r="EA12" s="235"/>
      <c r="EB12" s="235"/>
      <c r="EC12" s="235"/>
      <c r="ED12" s="235"/>
      <c r="EE12" s="235"/>
      <c r="EF12" s="235"/>
      <c r="EG12" s="235"/>
      <c r="EH12" s="235"/>
      <c r="EI12" s="235"/>
      <c r="EJ12" s="235"/>
      <c r="EK12" s="235"/>
      <c r="EL12" s="235"/>
      <c r="EM12" s="235"/>
      <c r="EN12" s="235"/>
      <c r="EO12" s="235"/>
      <c r="EP12" s="235"/>
      <c r="EQ12" s="235"/>
      <c r="ER12" s="235"/>
      <c r="ES12" s="235"/>
      <c r="ET12" s="235"/>
      <c r="EU12" s="235"/>
      <c r="EV12" s="235"/>
      <c r="EW12" s="235"/>
      <c r="EX12" s="235"/>
      <c r="EY12" s="235"/>
      <c r="EZ12" s="235"/>
      <c r="FA12" s="235"/>
      <c r="FB12" s="235"/>
      <c r="FC12" s="235"/>
      <c r="FD12" s="235"/>
      <c r="FE12" s="235"/>
      <c r="FF12" s="235"/>
      <c r="FG12" s="235"/>
      <c r="FH12" s="235"/>
      <c r="FI12" s="235"/>
      <c r="FJ12" s="235"/>
      <c r="FK12" s="235"/>
      <c r="FL12" s="235"/>
      <c r="FM12" s="235"/>
      <c r="FN12" s="235"/>
      <c r="FO12" s="235"/>
      <c r="FP12" s="235"/>
      <c r="FQ12" s="235"/>
      <c r="FR12" s="235"/>
      <c r="FS12" s="235"/>
      <c r="FT12" s="235"/>
      <c r="FU12" s="235"/>
      <c r="FV12" s="235"/>
      <c r="FW12" s="235"/>
      <c r="FX12" s="235"/>
      <c r="FY12" s="235"/>
      <c r="FZ12" s="235"/>
      <c r="GA12" s="235"/>
      <c r="GB12" s="235"/>
      <c r="GC12" s="235"/>
      <c r="GD12" s="235"/>
      <c r="GE12" s="235"/>
      <c r="GF12" s="235"/>
      <c r="GG12" s="235"/>
      <c r="GH12" s="235"/>
      <c r="GI12" s="235"/>
      <c r="GJ12" s="235"/>
      <c r="GK12" s="235"/>
      <c r="GL12" s="235"/>
      <c r="GM12" s="235"/>
      <c r="GN12" s="235"/>
      <c r="GO12" s="235"/>
      <c r="GP12" s="235"/>
      <c r="GQ12" s="235"/>
      <c r="GR12" s="235"/>
      <c r="GS12" s="235"/>
      <c r="GT12" s="235"/>
      <c r="GU12" s="235"/>
      <c r="GV12" s="235"/>
      <c r="GW12" s="235"/>
      <c r="GX12" s="235"/>
      <c r="GY12" s="235"/>
      <c r="GZ12" s="235"/>
      <c r="HA12" s="235"/>
      <c r="HB12" s="235"/>
      <c r="HC12" s="235"/>
      <c r="HD12" s="235"/>
      <c r="HE12" s="235"/>
      <c r="HF12" s="235"/>
      <c r="HG12" s="235"/>
      <c r="HH12" s="235"/>
      <c r="HI12" s="235"/>
      <c r="HJ12" s="235"/>
      <c r="HK12" s="235"/>
      <c r="HL12" s="235"/>
      <c r="HM12" s="235"/>
      <c r="HN12" s="235"/>
      <c r="HO12" s="235"/>
      <c r="HP12" s="235"/>
      <c r="HQ12" s="235"/>
      <c r="HR12" s="235"/>
      <c r="HS12" s="235"/>
      <c r="HT12" s="235"/>
      <c r="HU12" s="235"/>
      <c r="HV12" s="235"/>
      <c r="HW12" s="235"/>
      <c r="HX12" s="235"/>
      <c r="HY12" s="235"/>
      <c r="HZ12" s="235"/>
      <c r="IA12" s="235"/>
      <c r="IB12" s="235"/>
      <c r="IC12" s="235"/>
      <c r="ID12" s="235"/>
      <c r="IE12" s="235"/>
      <c r="IF12" s="235"/>
      <c r="IG12" s="235"/>
      <c r="IH12" s="235"/>
      <c r="II12" s="235"/>
      <c r="IJ12" s="235"/>
      <c r="IK12" s="235"/>
      <c r="IL12" s="235"/>
      <c r="IM12" s="235"/>
      <c r="IN12" s="235"/>
      <c r="IO12" s="235"/>
      <c r="IP12" s="235"/>
      <c r="IQ12" s="235"/>
      <c r="IR12" s="235"/>
      <c r="IS12" s="235"/>
      <c r="IT12" s="235"/>
      <c r="IU12" s="235"/>
      <c r="IV12" s="235"/>
      <c r="IW12" s="235"/>
      <c r="IX12" s="235"/>
      <c r="IY12" s="235"/>
      <c r="IZ12" s="235"/>
      <c r="JA12" s="235"/>
      <c r="JB12" s="235"/>
      <c r="JC12" s="235"/>
      <c r="JD12" s="235"/>
      <c r="JE12" s="235"/>
      <c r="JF12" s="235"/>
      <c r="JG12" s="235"/>
      <c r="JH12" s="235"/>
      <c r="JI12" s="235"/>
      <c r="JJ12" s="235"/>
      <c r="JK12" s="235"/>
      <c r="JL12" s="235"/>
      <c r="JM12" s="235"/>
      <c r="JN12" s="235"/>
      <c r="JO12" s="235"/>
      <c r="JP12" s="235"/>
      <c r="JQ12" s="235"/>
      <c r="JR12" s="235"/>
      <c r="JS12" s="235"/>
      <c r="JT12" s="235"/>
      <c r="JU12" s="235"/>
      <c r="JV12" s="235"/>
      <c r="JW12" s="235"/>
      <c r="JX12" s="235"/>
      <c r="JY12" s="235"/>
      <c r="JZ12" s="235"/>
      <c r="KA12" s="235"/>
      <c r="KB12" s="235"/>
      <c r="KC12" s="235"/>
      <c r="KD12" s="235"/>
      <c r="KE12" s="235"/>
      <c r="KF12" s="235"/>
      <c r="KG12" s="235"/>
      <c r="KH12" s="235"/>
      <c r="KI12" s="235"/>
      <c r="KJ12" s="235"/>
      <c r="KK12" s="235"/>
      <c r="KL12" s="235"/>
      <c r="KM12" s="235"/>
      <c r="KN12" s="235"/>
      <c r="KO12" s="235"/>
      <c r="KP12" s="235"/>
      <c r="KQ12" s="235"/>
      <c r="KR12" s="235"/>
      <c r="KS12" s="235"/>
      <c r="KT12" s="235"/>
    </row>
    <row r="13" spans="2:306" x14ac:dyDescent="0.15">
      <c r="C13" s="92" t="s">
        <v>215</v>
      </c>
      <c r="D13" s="162" t="s">
        <v>292</v>
      </c>
      <c r="E13" s="235">
        <f>IF(E$4&lt;Leadsheet!$E$13,VLOOKUP(SAP_Speadsheet!E$4,Leadsheet!$C$26:$G$30,5,1),0)</f>
        <v>0.05</v>
      </c>
      <c r="F13" s="235">
        <f>IF(F$4&lt;Leadsheet!$E$13,VLOOKUP(SAP_Speadsheet!F$4,Leadsheet!$C$26:$G$30,5,1),0)</f>
        <v>0.1</v>
      </c>
      <c r="G13" s="235">
        <f>IF(G$4&lt;Leadsheet!$E$13,VLOOKUP(SAP_Speadsheet!G$4,Leadsheet!$C$26:$G$30,5,1),0)</f>
        <v>0.03</v>
      </c>
      <c r="H13" s="235">
        <f>IF(H$4&lt;Leadsheet!$E$13,VLOOKUP(SAP_Speadsheet!H$4,Leadsheet!$C$26:$G$30,5,1),0)</f>
        <v>0.03</v>
      </c>
      <c r="I13" s="235">
        <f>IF(I$4&lt;Leadsheet!$E$13,VLOOKUP(SAP_Speadsheet!I$4,Leadsheet!$C$26:$G$30,5,1),0)</f>
        <v>0.03</v>
      </c>
      <c r="J13" s="235">
        <f>IF(J$4&lt;Leadsheet!$E$13,VLOOKUP(SAP_Speadsheet!J$4,Leadsheet!$C$26:$G$30,5,1),0)</f>
        <v>0.03</v>
      </c>
      <c r="K13" s="235">
        <f>IF(K$4&lt;Leadsheet!$E$13,VLOOKUP(SAP_Speadsheet!K$4,Leadsheet!$C$26:$G$30,5,1),0)</f>
        <v>0.03</v>
      </c>
      <c r="L13" s="235">
        <f>IF(L$4&lt;Leadsheet!$E$13,VLOOKUP(SAP_Speadsheet!L$4,Leadsheet!$C$26:$G$30,5,1),0)</f>
        <v>0.03</v>
      </c>
      <c r="M13" s="235">
        <f>IF(M$4&lt;Leadsheet!$E$13,VLOOKUP(SAP_Speadsheet!M$4,Leadsheet!$C$26:$G$30,5,1),0)</f>
        <v>0.03</v>
      </c>
      <c r="N13" s="235">
        <f>IF(N$4&lt;Leadsheet!$E$13,VLOOKUP(SAP_Speadsheet!N$4,Leadsheet!$C$26:$G$30,5,1),0)</f>
        <v>0</v>
      </c>
      <c r="O13" s="235">
        <f>IF(O$4&lt;Leadsheet!$E$13,VLOOKUP(SAP_Speadsheet!O$4,Leadsheet!$C$26:$G$30,5,1),0)</f>
        <v>0</v>
      </c>
      <c r="P13" s="235">
        <f>IF(P$4&lt;Leadsheet!$E$13,VLOOKUP(SAP_Speadsheet!P$4,Leadsheet!$C$26:$G$30,5,1),0)</f>
        <v>0</v>
      </c>
      <c r="Q13" s="235">
        <f>IF(Q$4&lt;Leadsheet!$E$13,VLOOKUP(SAP_Speadsheet!Q$4,Leadsheet!$C$26:$G$30,5,1),0)</f>
        <v>0</v>
      </c>
      <c r="R13" s="235">
        <f>IF(R$4&lt;Leadsheet!$E$13,VLOOKUP(SAP_Speadsheet!R$4,Leadsheet!$C$26:$G$30,5,1),0)</f>
        <v>0</v>
      </c>
      <c r="S13" s="235">
        <f>IF(S$4&lt;Leadsheet!$E$13,VLOOKUP(SAP_Speadsheet!S$4,Leadsheet!$C$26:$G$30,5,1),0)</f>
        <v>0</v>
      </c>
      <c r="T13" s="235">
        <f>IF(T$4&lt;Leadsheet!$E$13,VLOOKUP(SAP_Speadsheet!T$4,Leadsheet!$C$26:$G$30,5,1),0)</f>
        <v>0</v>
      </c>
      <c r="U13" s="235">
        <f>IF(U$4&lt;Leadsheet!$E$13,VLOOKUP(SAP_Speadsheet!U$4,Leadsheet!$C$26:$G$30,5,1),0)</f>
        <v>0</v>
      </c>
      <c r="V13" s="235">
        <f>IF(V$4&lt;Leadsheet!$E$13,VLOOKUP(SAP_Speadsheet!V$4,Leadsheet!$C$26:$G$30,5,1),0)</f>
        <v>0</v>
      </c>
      <c r="W13" s="235">
        <f>IF(W$4&lt;Leadsheet!$E$13,VLOOKUP(SAP_Speadsheet!W$4,Leadsheet!$C$26:$G$30,5,1),0)</f>
        <v>0</v>
      </c>
      <c r="X13" s="235">
        <f>IF(X$4&lt;Leadsheet!$E$13,VLOOKUP(SAP_Speadsheet!X$4,Leadsheet!$C$26:$G$30,5,1),0)</f>
        <v>0</v>
      </c>
      <c r="Y13" s="235">
        <f>IF(Y$4&lt;Leadsheet!$E$13,VLOOKUP(SAP_Speadsheet!Y$4,Leadsheet!$C$26:$G$30,5,1),0)</f>
        <v>0</v>
      </c>
      <c r="Z13" s="235">
        <f>IF(Z$4&lt;Leadsheet!$E$13,VLOOKUP(SAP_Speadsheet!Z$4,Leadsheet!$C$26:$G$30,5,1),0)</f>
        <v>0</v>
      </c>
      <c r="AA13" s="235">
        <f>IF(AA$4&lt;Leadsheet!$E$13,VLOOKUP(SAP_Speadsheet!AA$4,Leadsheet!$C$26:$G$30,5,1),0)</f>
        <v>0</v>
      </c>
      <c r="AB13" s="235">
        <f>IF(AB$4&lt;Leadsheet!$E$13,VLOOKUP(SAP_Speadsheet!AB$4,Leadsheet!$C$26:$G$30,5,1),0)</f>
        <v>0</v>
      </c>
      <c r="AC13" s="235">
        <f>IF(AC$4&lt;Leadsheet!$E$13,VLOOKUP(SAP_Speadsheet!AC$4,Leadsheet!$C$26:$G$30,5,1),0)</f>
        <v>0</v>
      </c>
      <c r="AD13" s="235">
        <f>IF(AD$4&lt;Leadsheet!$E$13,VLOOKUP(SAP_Speadsheet!AD$4,Leadsheet!$C$26:$G$30,5,1),0)</f>
        <v>0</v>
      </c>
      <c r="AE13" s="235">
        <f>IF(AE$4&lt;Leadsheet!$E$13,VLOOKUP(SAP_Speadsheet!AE$4,Leadsheet!$C$26:$G$30,5,1),0)</f>
        <v>0</v>
      </c>
      <c r="AF13" s="235">
        <f>IF(AF$4&lt;Leadsheet!$E$13,VLOOKUP(SAP_Speadsheet!AF$4,Leadsheet!$C$26:$G$30,5,1),0)</f>
        <v>0</v>
      </c>
      <c r="AG13" s="235">
        <f>IF(AG$4&lt;Leadsheet!$E$13,VLOOKUP(SAP_Speadsheet!AG$4,Leadsheet!$C$26:$G$30,5,1),0)</f>
        <v>0</v>
      </c>
      <c r="AH13" s="235">
        <f>IF(AH$4&lt;Leadsheet!$E$13,VLOOKUP(SAP_Speadsheet!AH$4,Leadsheet!$C$26:$G$30,5,1),0)</f>
        <v>0</v>
      </c>
      <c r="AI13" s="235">
        <f>IF(AI$4&lt;Leadsheet!$E$13,VLOOKUP(SAP_Speadsheet!AI$4,Leadsheet!$C$26:$G$30,5,1),0)</f>
        <v>0</v>
      </c>
      <c r="AJ13" s="235">
        <f>IF(AJ$4&lt;Leadsheet!$E$13,VLOOKUP(SAP_Speadsheet!AJ$4,Leadsheet!$C$26:$G$30,5,1),0)</f>
        <v>0</v>
      </c>
      <c r="AK13" s="235">
        <f>IF(AK$4&lt;Leadsheet!$E$13,VLOOKUP(SAP_Speadsheet!AK$4,Leadsheet!$C$26:$G$30,5,1),0)</f>
        <v>0</v>
      </c>
      <c r="AL13" s="235">
        <f>IF(AL$4&lt;Leadsheet!$E$13,VLOOKUP(SAP_Speadsheet!AL$4,Leadsheet!$C$26:$G$30,5,1),0)</f>
        <v>0</v>
      </c>
      <c r="AM13" s="235">
        <f>IF(AM$4&lt;Leadsheet!$E$13,VLOOKUP(SAP_Speadsheet!AM$4,Leadsheet!$C$26:$G$30,5,1),0)</f>
        <v>0</v>
      </c>
      <c r="AN13" s="235">
        <f>IF(AN$4&lt;Leadsheet!$E$13,VLOOKUP(SAP_Speadsheet!AN$4,Leadsheet!$C$26:$G$30,5,1),0)</f>
        <v>0</v>
      </c>
      <c r="AO13" s="235">
        <f>IF(AO$4&lt;Leadsheet!$E$13,VLOOKUP(SAP_Speadsheet!AO$4,Leadsheet!$C$26:$G$30,5,1),0)</f>
        <v>0</v>
      </c>
      <c r="AP13" s="235">
        <f>IF(AP$4&lt;Leadsheet!$E$13,VLOOKUP(SAP_Speadsheet!AP$4,Leadsheet!$C$26:$G$30,5,1),0)</f>
        <v>0</v>
      </c>
      <c r="AQ13" s="235">
        <f>IF(AQ$4&lt;Leadsheet!$E$13,VLOOKUP(SAP_Speadsheet!AQ$4,Leadsheet!$C$26:$G$30,5,1),0)</f>
        <v>0</v>
      </c>
      <c r="AR13" s="235">
        <f>IF(AR$4&lt;Leadsheet!$E$13,VLOOKUP(SAP_Speadsheet!AR$4,Leadsheet!$C$26:$G$30,5,1),0)</f>
        <v>0</v>
      </c>
      <c r="AS13" s="235">
        <f>IF(AS$4&lt;Leadsheet!$E$13,VLOOKUP(SAP_Speadsheet!AS$4,Leadsheet!$C$26:$G$30,5,1),0)</f>
        <v>0</v>
      </c>
      <c r="AT13" s="235">
        <f>IF(AT$4&lt;Leadsheet!$E$13,VLOOKUP(SAP_Speadsheet!AT$4,Leadsheet!$C$26:$G$30,5,1),0)</f>
        <v>0</v>
      </c>
      <c r="AU13" s="235">
        <f>IF(AU$4&lt;Leadsheet!$E$13,VLOOKUP(SAP_Speadsheet!AU$4,Leadsheet!$C$26:$G$30,5,1),0)</f>
        <v>0</v>
      </c>
      <c r="AV13" s="235">
        <f>IF(AV$4&lt;Leadsheet!$E$13,VLOOKUP(SAP_Speadsheet!AV$4,Leadsheet!$C$26:$G$30,5,1),0)</f>
        <v>0</v>
      </c>
      <c r="AW13" s="235">
        <f>IF(AW$4&lt;Leadsheet!$E$13,VLOOKUP(SAP_Speadsheet!AW$4,Leadsheet!$C$26:$G$30,5,1),0)</f>
        <v>0</v>
      </c>
      <c r="AX13" s="235">
        <f>IF(AX$4&lt;Leadsheet!$E$13,VLOOKUP(SAP_Speadsheet!AX$4,Leadsheet!$C$26:$G$30,5,1),0)</f>
        <v>0</v>
      </c>
      <c r="AY13" s="235">
        <f>IF(AY$4&lt;Leadsheet!$E$13,VLOOKUP(SAP_Speadsheet!AY$4,Leadsheet!$C$26:$G$30,5,1),0)</f>
        <v>0</v>
      </c>
      <c r="AZ13" s="235">
        <f>IF(AZ$4&lt;Leadsheet!$E$13,VLOOKUP(SAP_Speadsheet!AZ$4,Leadsheet!$C$26:$G$30,5,1),0)</f>
        <v>0</v>
      </c>
      <c r="BA13" s="235">
        <f>IF(BA$4&lt;Leadsheet!$E$13,VLOOKUP(SAP_Speadsheet!BA$4,Leadsheet!$C$26:$G$30,5,1),0)</f>
        <v>0</v>
      </c>
      <c r="BB13" s="235">
        <f>IF(BB$4&lt;Leadsheet!$E$13,VLOOKUP(SAP_Speadsheet!BB$4,Leadsheet!$C$26:$G$30,5,1),0)</f>
        <v>0</v>
      </c>
      <c r="BC13" s="235">
        <f>IF(BC$4&lt;Leadsheet!$E$13,VLOOKUP(SAP_Speadsheet!BC$4,Leadsheet!$C$26:$G$30,5,1),0)</f>
        <v>0</v>
      </c>
      <c r="BD13" s="235">
        <f>IF(BD$4&lt;Leadsheet!$E$13,VLOOKUP(SAP_Speadsheet!BD$4,Leadsheet!$C$26:$G$30,5,1),0)</f>
        <v>0</v>
      </c>
      <c r="BE13" s="235">
        <f>IF(BE$4&lt;Leadsheet!$E$13,VLOOKUP(SAP_Speadsheet!BE$4,Leadsheet!$C$26:$G$30,5,1),0)</f>
        <v>0</v>
      </c>
      <c r="BF13" s="235">
        <f>IF(BF$4&lt;Leadsheet!$E$13,VLOOKUP(SAP_Speadsheet!BF$4,Leadsheet!$C$26:$G$30,5,1),0)</f>
        <v>0</v>
      </c>
      <c r="BG13" s="235">
        <f>IF(BG$4&lt;Leadsheet!$E$13,VLOOKUP(SAP_Speadsheet!BG$4,Leadsheet!$C$26:$G$30,5,1),0)</f>
        <v>0</v>
      </c>
      <c r="BH13" s="235">
        <f>IF(BH$4&lt;Leadsheet!$E$13,VLOOKUP(SAP_Speadsheet!BH$4,Leadsheet!$C$26:$G$30,5,1),0)</f>
        <v>0</v>
      </c>
      <c r="BI13" s="235">
        <f>IF(BI$4&lt;Leadsheet!$E$13,VLOOKUP(SAP_Speadsheet!BI$4,Leadsheet!$C$26:$G$30,5,1),0)</f>
        <v>0</v>
      </c>
      <c r="BJ13" s="235">
        <f>IF(BJ$4&lt;Leadsheet!$E$13,VLOOKUP(SAP_Speadsheet!BJ$4,Leadsheet!$C$26:$G$30,5,1),0)</f>
        <v>0</v>
      </c>
      <c r="BK13" s="235">
        <f>IF(BK$4&lt;Leadsheet!$E$13,VLOOKUP(SAP_Speadsheet!BK$4,Leadsheet!$C$26:$G$30,5,1),0)</f>
        <v>0</v>
      </c>
      <c r="BL13" s="235">
        <f>IF(BL$4&lt;Leadsheet!$E$13,VLOOKUP(SAP_Speadsheet!BL$4,Leadsheet!$C$26:$G$30,5,1),0)</f>
        <v>0</v>
      </c>
      <c r="BM13" s="235">
        <f>IF(BM$4&lt;Leadsheet!$E$13,VLOOKUP(SAP_Speadsheet!BM$4,Leadsheet!$C$26:$G$30,5,1),0)</f>
        <v>0</v>
      </c>
      <c r="BN13" s="235"/>
      <c r="BO13" s="235"/>
      <c r="BP13" s="235"/>
      <c r="BQ13" s="235"/>
      <c r="BR13" s="235"/>
      <c r="BS13" s="235"/>
      <c r="BT13" s="235"/>
      <c r="BU13" s="235"/>
      <c r="BV13" s="235"/>
      <c r="BW13" s="235"/>
      <c r="BX13" s="235"/>
      <c r="BY13" s="235"/>
      <c r="BZ13" s="235"/>
      <c r="CA13" s="235"/>
      <c r="CB13" s="235"/>
      <c r="CC13" s="235"/>
      <c r="CD13" s="235"/>
      <c r="CE13" s="235"/>
      <c r="CF13" s="235"/>
      <c r="CG13" s="235"/>
      <c r="CH13" s="235"/>
      <c r="CI13" s="235"/>
      <c r="CJ13" s="235"/>
      <c r="CK13" s="235"/>
      <c r="CL13" s="235"/>
      <c r="CM13" s="235"/>
      <c r="CN13" s="235"/>
      <c r="CO13" s="235"/>
      <c r="CP13" s="235"/>
      <c r="CQ13" s="235"/>
      <c r="CR13" s="235"/>
      <c r="CS13" s="235"/>
      <c r="CT13" s="235"/>
      <c r="CU13" s="235"/>
      <c r="CV13" s="235"/>
      <c r="CW13" s="235"/>
      <c r="CX13" s="235"/>
      <c r="CY13" s="235"/>
      <c r="CZ13" s="235"/>
      <c r="DA13" s="235"/>
      <c r="DB13" s="235"/>
      <c r="DC13" s="235"/>
      <c r="DD13" s="235"/>
      <c r="DE13" s="235"/>
      <c r="DF13" s="235"/>
      <c r="DG13" s="235"/>
      <c r="DH13" s="235"/>
      <c r="DI13" s="235"/>
      <c r="DJ13" s="235"/>
      <c r="DK13" s="235"/>
      <c r="DL13" s="235"/>
      <c r="DM13" s="235"/>
      <c r="DN13" s="235"/>
      <c r="DO13" s="235"/>
      <c r="DP13" s="235"/>
      <c r="DQ13" s="235"/>
      <c r="DR13" s="235"/>
      <c r="DS13" s="235"/>
      <c r="DT13" s="235"/>
      <c r="DU13" s="235"/>
      <c r="DV13" s="235"/>
      <c r="DW13" s="235"/>
      <c r="DX13" s="235"/>
      <c r="DY13" s="235"/>
      <c r="DZ13" s="235"/>
      <c r="EA13" s="235"/>
      <c r="EB13" s="235"/>
      <c r="EC13" s="235"/>
      <c r="ED13" s="235"/>
      <c r="EE13" s="235"/>
      <c r="EF13" s="235"/>
      <c r="EG13" s="235"/>
      <c r="EH13" s="235"/>
      <c r="EI13" s="235"/>
      <c r="EJ13" s="235"/>
      <c r="EK13" s="235"/>
      <c r="EL13" s="235"/>
      <c r="EM13" s="235"/>
      <c r="EN13" s="235"/>
      <c r="EO13" s="235"/>
      <c r="EP13" s="235"/>
      <c r="EQ13" s="235"/>
      <c r="ER13" s="235"/>
      <c r="ES13" s="235"/>
      <c r="ET13" s="235"/>
      <c r="EU13" s="235"/>
      <c r="EV13" s="235"/>
      <c r="EW13" s="235"/>
      <c r="EX13" s="235"/>
      <c r="EY13" s="235"/>
      <c r="EZ13" s="235"/>
      <c r="FA13" s="235"/>
      <c r="FB13" s="235"/>
      <c r="FC13" s="235"/>
      <c r="FD13" s="235"/>
      <c r="FE13" s="235"/>
      <c r="FF13" s="235"/>
      <c r="FG13" s="235"/>
      <c r="FH13" s="235"/>
      <c r="FI13" s="235"/>
      <c r="FJ13" s="235"/>
      <c r="FK13" s="235"/>
      <c r="FL13" s="235"/>
      <c r="FM13" s="235"/>
      <c r="FN13" s="235"/>
      <c r="FO13" s="235"/>
      <c r="FP13" s="235"/>
      <c r="FQ13" s="235"/>
      <c r="FR13" s="235"/>
      <c r="FS13" s="235"/>
      <c r="FT13" s="235"/>
      <c r="FU13" s="235"/>
      <c r="FV13" s="235"/>
      <c r="FW13" s="235"/>
      <c r="FX13" s="235"/>
      <c r="FY13" s="235"/>
      <c r="FZ13" s="235"/>
      <c r="GA13" s="235"/>
      <c r="GB13" s="235"/>
      <c r="GC13" s="235"/>
      <c r="GD13" s="235"/>
      <c r="GE13" s="235"/>
      <c r="GF13" s="235"/>
      <c r="GG13" s="235"/>
      <c r="GH13" s="235"/>
      <c r="GI13" s="235"/>
      <c r="GJ13" s="235"/>
      <c r="GK13" s="235"/>
      <c r="GL13" s="235"/>
      <c r="GM13" s="235"/>
      <c r="GN13" s="235"/>
      <c r="GO13" s="235"/>
      <c r="GP13" s="235"/>
      <c r="GQ13" s="235"/>
      <c r="GR13" s="235"/>
      <c r="GS13" s="235"/>
      <c r="GT13" s="235"/>
      <c r="GU13" s="235"/>
      <c r="GV13" s="235"/>
      <c r="GW13" s="235"/>
      <c r="GX13" s="235"/>
      <c r="GY13" s="235"/>
      <c r="GZ13" s="235"/>
      <c r="HA13" s="235"/>
      <c r="HB13" s="235"/>
      <c r="HC13" s="235"/>
      <c r="HD13" s="235"/>
      <c r="HE13" s="235"/>
      <c r="HF13" s="235"/>
      <c r="HG13" s="235"/>
      <c r="HH13" s="235"/>
      <c r="HI13" s="235"/>
      <c r="HJ13" s="235"/>
      <c r="HK13" s="235"/>
      <c r="HL13" s="235"/>
      <c r="HM13" s="235"/>
      <c r="HN13" s="235"/>
      <c r="HO13" s="235"/>
      <c r="HP13" s="235"/>
      <c r="HQ13" s="235"/>
      <c r="HR13" s="235"/>
      <c r="HS13" s="235"/>
      <c r="HT13" s="235"/>
      <c r="HU13" s="235"/>
      <c r="HV13" s="235"/>
      <c r="HW13" s="235"/>
      <c r="HX13" s="235"/>
      <c r="HY13" s="235"/>
      <c r="HZ13" s="235"/>
      <c r="IA13" s="235"/>
      <c r="IB13" s="235"/>
      <c r="IC13" s="235"/>
      <c r="ID13" s="235"/>
      <c r="IE13" s="235"/>
      <c r="IF13" s="235"/>
      <c r="IG13" s="235"/>
      <c r="IH13" s="235"/>
      <c r="II13" s="235"/>
      <c r="IJ13" s="235"/>
      <c r="IK13" s="235"/>
      <c r="IL13" s="235"/>
      <c r="IM13" s="235"/>
      <c r="IN13" s="235"/>
      <c r="IO13" s="235"/>
      <c r="IP13" s="235"/>
      <c r="IQ13" s="235"/>
      <c r="IR13" s="235"/>
      <c r="IS13" s="235"/>
      <c r="IT13" s="235"/>
      <c r="IU13" s="235"/>
      <c r="IV13" s="235"/>
      <c r="IW13" s="235"/>
      <c r="IX13" s="235"/>
      <c r="IY13" s="235"/>
      <c r="IZ13" s="235"/>
      <c r="JA13" s="235"/>
      <c r="JB13" s="235"/>
      <c r="JC13" s="235"/>
      <c r="JD13" s="235"/>
      <c r="JE13" s="235"/>
      <c r="JF13" s="235"/>
      <c r="JG13" s="235"/>
      <c r="JH13" s="235"/>
      <c r="JI13" s="235"/>
      <c r="JJ13" s="235"/>
      <c r="JK13" s="235"/>
      <c r="JL13" s="235"/>
      <c r="JM13" s="235"/>
      <c r="JN13" s="235"/>
      <c r="JO13" s="235"/>
      <c r="JP13" s="235"/>
      <c r="JQ13" s="235"/>
      <c r="JR13" s="235"/>
      <c r="JS13" s="235"/>
      <c r="JT13" s="235"/>
      <c r="JU13" s="235"/>
      <c r="JV13" s="235"/>
      <c r="JW13" s="235"/>
      <c r="JX13" s="235"/>
      <c r="JY13" s="235"/>
      <c r="JZ13" s="235"/>
      <c r="KA13" s="235"/>
      <c r="KB13" s="235"/>
      <c r="KC13" s="235"/>
      <c r="KD13" s="235"/>
      <c r="KE13" s="235"/>
      <c r="KF13" s="235"/>
      <c r="KG13" s="235"/>
      <c r="KH13" s="235"/>
      <c r="KI13" s="235"/>
      <c r="KJ13" s="235"/>
      <c r="KK13" s="235"/>
      <c r="KL13" s="235"/>
      <c r="KM13" s="235"/>
      <c r="KN13" s="235"/>
      <c r="KO13" s="235"/>
      <c r="KP13" s="235"/>
      <c r="KQ13" s="235"/>
      <c r="KR13" s="235"/>
      <c r="KS13" s="235"/>
      <c r="KT13" s="235"/>
    </row>
    <row r="14" spans="2:306" x14ac:dyDescent="0.15">
      <c r="C14" s="92" t="s">
        <v>295</v>
      </c>
      <c r="D14" s="162" t="s">
        <v>292</v>
      </c>
      <c r="E14" s="235">
        <f>IF(E$4&lt;Leadsheet!$E$13,VLOOKUP(SAP_Speadsheet!E$4,Leadsheet!$C$26:$F$30,3,1),0)</f>
        <v>0</v>
      </c>
      <c r="F14" s="235">
        <f>IF(F$4&lt;Leadsheet!$E$13,VLOOKUP(SAP_Speadsheet!F$4,Leadsheet!$C$26:$F$30,3,1),0)</f>
        <v>0</v>
      </c>
      <c r="G14" s="235">
        <f>IF(G$4&lt;Leadsheet!$E$13,VLOOKUP(SAP_Speadsheet!G$4,Leadsheet!$C$26:$F$30,3,1),0)</f>
        <v>0</v>
      </c>
      <c r="H14" s="235">
        <f>IF(H$4&lt;Leadsheet!$E$13,VLOOKUP(SAP_Speadsheet!H$4,Leadsheet!$C$26:$F$30,3,1),0)</f>
        <v>0</v>
      </c>
      <c r="I14" s="235">
        <f>IF(I$4&lt;Leadsheet!$E$13,VLOOKUP(SAP_Speadsheet!I$4,Leadsheet!$C$26:$F$30,3,1),0)</f>
        <v>0</v>
      </c>
      <c r="J14" s="235">
        <f>IF(J$4&lt;Leadsheet!$E$13,VLOOKUP(SAP_Speadsheet!J$4,Leadsheet!$C$26:$F$30,3,1),0)</f>
        <v>0</v>
      </c>
      <c r="K14" s="235">
        <f>IF(K$4&lt;Leadsheet!$E$13,VLOOKUP(SAP_Speadsheet!K$4,Leadsheet!$C$26:$F$30,3,1),0)</f>
        <v>0</v>
      </c>
      <c r="L14" s="235">
        <f>IF(L$4&lt;Leadsheet!$E$13,VLOOKUP(SAP_Speadsheet!L$4,Leadsheet!$C$26:$F$30,3,1),0)</f>
        <v>0</v>
      </c>
      <c r="M14" s="235">
        <f>IF(M$4&lt;Leadsheet!$E$13,VLOOKUP(SAP_Speadsheet!M$4,Leadsheet!$C$26:$F$30,3,1),0)</f>
        <v>0</v>
      </c>
      <c r="N14" s="235">
        <f>IF(N$4&lt;Leadsheet!$E$13,VLOOKUP(SAP_Speadsheet!N$4,Leadsheet!$C$26:$F$30,3,1),0)</f>
        <v>0</v>
      </c>
      <c r="O14" s="235">
        <f>IF(O$4&lt;Leadsheet!$E$13,VLOOKUP(SAP_Speadsheet!O$4,Leadsheet!$C$26:$F$30,3,1),0)</f>
        <v>0</v>
      </c>
      <c r="P14" s="235">
        <f>IF(P$4&lt;Leadsheet!$E$13,VLOOKUP(SAP_Speadsheet!P$4,Leadsheet!$C$26:$F$30,3,1),0)</f>
        <v>0</v>
      </c>
      <c r="Q14" s="235">
        <f>IF(Q$4&lt;Leadsheet!$E$13,VLOOKUP(SAP_Speadsheet!Q$4,Leadsheet!$C$26:$F$30,3,1),0)</f>
        <v>0</v>
      </c>
      <c r="R14" s="235">
        <f>IF(R$4&lt;Leadsheet!$E$13,VLOOKUP(SAP_Speadsheet!R$4,Leadsheet!$C$26:$F$30,3,1),0)</f>
        <v>0</v>
      </c>
      <c r="S14" s="235">
        <f>IF(S$4&lt;Leadsheet!$E$13,VLOOKUP(SAP_Speadsheet!S$4,Leadsheet!$C$26:$F$30,3,1),0)</f>
        <v>0</v>
      </c>
      <c r="T14" s="235">
        <f>IF(T$4&lt;Leadsheet!$E$13,VLOOKUP(SAP_Speadsheet!T$4,Leadsheet!$C$26:$F$30,3,1),0)</f>
        <v>0</v>
      </c>
      <c r="U14" s="235">
        <f>IF(U$4&lt;Leadsheet!$E$13,VLOOKUP(SAP_Speadsheet!U$4,Leadsheet!$C$26:$F$30,3,1),0)</f>
        <v>0</v>
      </c>
      <c r="V14" s="235">
        <f>IF(V$4&lt;Leadsheet!$E$13,VLOOKUP(SAP_Speadsheet!V$4,Leadsheet!$C$26:$F$30,3,1),0)</f>
        <v>0</v>
      </c>
      <c r="W14" s="235">
        <f>IF(W$4&lt;Leadsheet!$E$13,VLOOKUP(SAP_Speadsheet!W$4,Leadsheet!$C$26:$F$30,3,1),0)</f>
        <v>0</v>
      </c>
      <c r="X14" s="235">
        <f>IF(X$4&lt;Leadsheet!$E$13,VLOOKUP(SAP_Speadsheet!X$4,Leadsheet!$C$26:$F$30,3,1),0)</f>
        <v>0</v>
      </c>
      <c r="Y14" s="235">
        <f>IF(Y$4&lt;Leadsheet!$E$13,VLOOKUP(SAP_Speadsheet!Y$4,Leadsheet!$C$26:$F$30,3,1),0)</f>
        <v>0</v>
      </c>
      <c r="Z14" s="235">
        <f>IF(Z$4&lt;Leadsheet!$E$13,VLOOKUP(SAP_Speadsheet!Z$4,Leadsheet!$C$26:$F$30,3,1),0)</f>
        <v>0</v>
      </c>
      <c r="AA14" s="235">
        <f>IF(AA$4&lt;Leadsheet!$E$13,VLOOKUP(SAP_Speadsheet!AA$4,Leadsheet!$C$26:$F$30,3,1),0)</f>
        <v>0</v>
      </c>
      <c r="AB14" s="235">
        <f>IF(AB$4&lt;Leadsheet!$E$13,VLOOKUP(SAP_Speadsheet!AB$4,Leadsheet!$C$26:$F$30,3,1),0)</f>
        <v>0</v>
      </c>
      <c r="AC14" s="235">
        <f>IF(AC$4&lt;Leadsheet!$E$13,VLOOKUP(SAP_Speadsheet!AC$4,Leadsheet!$C$26:$F$30,3,1),0)</f>
        <v>0</v>
      </c>
      <c r="AD14" s="235">
        <f>IF(AD$4&lt;Leadsheet!$E$13,VLOOKUP(SAP_Speadsheet!AD$4,Leadsheet!$C$26:$F$30,3,1),0)</f>
        <v>0</v>
      </c>
      <c r="AE14" s="235">
        <f>IF(AE$4&lt;Leadsheet!$E$13,VLOOKUP(SAP_Speadsheet!AE$4,Leadsheet!$C$26:$F$30,3,1),0)</f>
        <v>0</v>
      </c>
      <c r="AF14" s="235">
        <f>IF(AF$4&lt;Leadsheet!$E$13,VLOOKUP(SAP_Speadsheet!AF$4,Leadsheet!$C$26:$F$30,3,1),0)</f>
        <v>0</v>
      </c>
      <c r="AG14" s="235">
        <f>IF(AG$4&lt;Leadsheet!$E$13,VLOOKUP(SAP_Speadsheet!AG$4,Leadsheet!$C$26:$F$30,3,1),0)</f>
        <v>0</v>
      </c>
      <c r="AH14" s="235">
        <f>IF(AH$4&lt;Leadsheet!$E$13,VLOOKUP(SAP_Speadsheet!AH$4,Leadsheet!$C$26:$F$30,3,1),0)</f>
        <v>0</v>
      </c>
      <c r="AI14" s="235">
        <f>IF(AI$4&lt;Leadsheet!$E$13,VLOOKUP(SAP_Speadsheet!AI$4,Leadsheet!$C$26:$F$30,3,1),0)</f>
        <v>0</v>
      </c>
      <c r="AJ14" s="235">
        <f>IF(AJ$4&lt;Leadsheet!$E$13,VLOOKUP(SAP_Speadsheet!AJ$4,Leadsheet!$C$26:$F$30,3,1),0)</f>
        <v>0</v>
      </c>
      <c r="AK14" s="235">
        <f>IF(AK$4&lt;Leadsheet!$E$13,VLOOKUP(SAP_Speadsheet!AK$4,Leadsheet!$C$26:$F$30,3,1),0)</f>
        <v>0</v>
      </c>
      <c r="AL14" s="235">
        <f>IF(AL$4&lt;Leadsheet!$E$13,VLOOKUP(SAP_Speadsheet!AL$4,Leadsheet!$C$26:$F$30,3,1),0)</f>
        <v>0</v>
      </c>
      <c r="AM14" s="235">
        <f>IF(AM$4&lt;Leadsheet!$E$13,VLOOKUP(SAP_Speadsheet!AM$4,Leadsheet!$C$26:$F$30,3,1),0)</f>
        <v>0</v>
      </c>
      <c r="AN14" s="235">
        <f>IF(AN$4&lt;Leadsheet!$E$13,VLOOKUP(SAP_Speadsheet!AN$4,Leadsheet!$C$26:$F$30,3,1),0)</f>
        <v>0</v>
      </c>
      <c r="AO14" s="235">
        <f>IF(AO$4&lt;Leadsheet!$E$13,VLOOKUP(SAP_Speadsheet!AO$4,Leadsheet!$C$26:$F$30,3,1),0)</f>
        <v>0</v>
      </c>
      <c r="AP14" s="235">
        <f>IF(AP$4&lt;Leadsheet!$E$13,VLOOKUP(SAP_Speadsheet!AP$4,Leadsheet!$C$26:$F$30,3,1),0)</f>
        <v>0</v>
      </c>
      <c r="AQ14" s="235">
        <f>IF(AQ$4&lt;Leadsheet!$E$13,VLOOKUP(SAP_Speadsheet!AQ$4,Leadsheet!$C$26:$F$30,3,1),0)</f>
        <v>0</v>
      </c>
      <c r="AR14" s="235">
        <f>IF(AR$4&lt;Leadsheet!$E$13,VLOOKUP(SAP_Speadsheet!AR$4,Leadsheet!$C$26:$F$30,3,1),0)</f>
        <v>0</v>
      </c>
      <c r="AS14" s="235">
        <f>IF(AS$4&lt;Leadsheet!$E$13,VLOOKUP(SAP_Speadsheet!AS$4,Leadsheet!$C$26:$F$30,3,1),0)</f>
        <v>0</v>
      </c>
      <c r="AT14" s="235">
        <f>IF(AT$4&lt;Leadsheet!$E$13,VLOOKUP(SAP_Speadsheet!AT$4,Leadsheet!$C$26:$F$30,3,1),0)</f>
        <v>0</v>
      </c>
      <c r="AU14" s="235">
        <f>IF(AU$4&lt;Leadsheet!$E$13,VLOOKUP(SAP_Speadsheet!AU$4,Leadsheet!$C$26:$F$30,3,1),0)</f>
        <v>0</v>
      </c>
      <c r="AV14" s="235">
        <f>IF(AV$4&lt;Leadsheet!$E$13,VLOOKUP(SAP_Speadsheet!AV$4,Leadsheet!$C$26:$F$30,3,1),0)</f>
        <v>0</v>
      </c>
      <c r="AW14" s="235">
        <f>IF(AW$4&lt;Leadsheet!$E$13,VLOOKUP(SAP_Speadsheet!AW$4,Leadsheet!$C$26:$F$30,3,1),0)</f>
        <v>0</v>
      </c>
      <c r="AX14" s="235">
        <f>IF(AX$4&lt;Leadsheet!$E$13,VLOOKUP(SAP_Speadsheet!AX$4,Leadsheet!$C$26:$F$30,3,1),0)</f>
        <v>0</v>
      </c>
      <c r="AY14" s="235">
        <f>IF(AY$4&lt;Leadsheet!$E$13,VLOOKUP(SAP_Speadsheet!AY$4,Leadsheet!$C$26:$F$30,3,1),0)</f>
        <v>0</v>
      </c>
      <c r="AZ14" s="235">
        <f>IF(AZ$4&lt;Leadsheet!$E$13,VLOOKUP(SAP_Speadsheet!AZ$4,Leadsheet!$C$26:$F$30,3,1),0)</f>
        <v>0</v>
      </c>
      <c r="BA14" s="235">
        <f>IF(BA$4&lt;Leadsheet!$E$13,VLOOKUP(SAP_Speadsheet!BA$4,Leadsheet!$C$26:$F$30,3,1),0)</f>
        <v>0</v>
      </c>
      <c r="BB14" s="235">
        <f>IF(BB$4&lt;Leadsheet!$E$13,VLOOKUP(SAP_Speadsheet!BB$4,Leadsheet!$C$26:$F$30,3,1),0)</f>
        <v>0</v>
      </c>
      <c r="BC14" s="235">
        <f>IF(BC$4&lt;Leadsheet!$E$13,VLOOKUP(SAP_Speadsheet!BC$4,Leadsheet!$C$26:$F$30,3,1),0)</f>
        <v>0</v>
      </c>
      <c r="BD14" s="235">
        <f>IF(BD$4&lt;Leadsheet!$E$13,VLOOKUP(SAP_Speadsheet!BD$4,Leadsheet!$C$26:$F$30,3,1),0)</f>
        <v>0</v>
      </c>
      <c r="BE14" s="235">
        <f>IF(BE$4&lt;Leadsheet!$E$13,VLOOKUP(SAP_Speadsheet!BE$4,Leadsheet!$C$26:$F$30,3,1),0)</f>
        <v>0</v>
      </c>
      <c r="BF14" s="235">
        <f>IF(BF$4&lt;Leadsheet!$E$13,VLOOKUP(SAP_Speadsheet!BF$4,Leadsheet!$C$26:$F$30,3,1),0)</f>
        <v>0</v>
      </c>
      <c r="BG14" s="235">
        <f>IF(BG$4&lt;Leadsheet!$E$13,VLOOKUP(SAP_Speadsheet!BG$4,Leadsheet!$C$26:$F$30,3,1),0)</f>
        <v>0</v>
      </c>
      <c r="BH14" s="235">
        <f>IF(BH$4&lt;Leadsheet!$E$13,VLOOKUP(SAP_Speadsheet!BH$4,Leadsheet!$C$26:$F$30,3,1),0)</f>
        <v>0</v>
      </c>
      <c r="BI14" s="235">
        <f>IF(BI$4&lt;Leadsheet!$E$13,VLOOKUP(SAP_Speadsheet!BI$4,Leadsheet!$C$26:$F$30,3,1),0)</f>
        <v>0</v>
      </c>
      <c r="BJ14" s="235">
        <f>IF(BJ$4&lt;Leadsheet!$E$13,VLOOKUP(SAP_Speadsheet!BJ$4,Leadsheet!$C$26:$F$30,3,1),0)</f>
        <v>0</v>
      </c>
      <c r="BK14" s="235">
        <f>IF(BK$4&lt;Leadsheet!$E$13,VLOOKUP(SAP_Speadsheet!BK$4,Leadsheet!$C$26:$F$30,3,1),0)</f>
        <v>0</v>
      </c>
      <c r="BL14" s="235">
        <f>IF(BL$4&lt;Leadsheet!$E$13,VLOOKUP(SAP_Speadsheet!BL$4,Leadsheet!$C$26:$F$30,3,1),0)</f>
        <v>0</v>
      </c>
      <c r="BM14" s="235">
        <f>IF(BM$4&lt;Leadsheet!$E$13,VLOOKUP(SAP_Speadsheet!BM$4,Leadsheet!$C$26:$F$30,3,1),0)</f>
        <v>0</v>
      </c>
      <c r="BN14" s="226"/>
      <c r="BO14" s="226"/>
      <c r="BP14" s="226"/>
      <c r="BQ14" s="226"/>
      <c r="BR14" s="226"/>
      <c r="BS14" s="226"/>
      <c r="BT14" s="226"/>
      <c r="BU14" s="226"/>
      <c r="BV14" s="226"/>
      <c r="BW14" s="226"/>
      <c r="BX14" s="226"/>
      <c r="BY14" s="226"/>
      <c r="BZ14" s="226"/>
      <c r="CA14" s="226"/>
      <c r="CB14" s="226"/>
      <c r="CC14" s="226"/>
      <c r="CD14" s="226"/>
      <c r="CE14" s="226"/>
      <c r="CF14" s="226"/>
      <c r="CG14" s="226"/>
      <c r="CH14" s="226"/>
      <c r="CI14" s="226"/>
      <c r="CJ14" s="226"/>
      <c r="CK14" s="226"/>
      <c r="CL14" s="226"/>
      <c r="CM14" s="226"/>
      <c r="CN14" s="226"/>
      <c r="CO14" s="226"/>
      <c r="CP14" s="226"/>
      <c r="CQ14" s="226"/>
      <c r="CR14" s="226"/>
      <c r="CS14" s="226"/>
      <c r="CT14" s="226"/>
      <c r="CU14" s="226"/>
      <c r="CV14" s="226"/>
      <c r="CW14" s="226"/>
      <c r="CX14" s="226"/>
      <c r="CY14" s="226"/>
      <c r="CZ14" s="226"/>
      <c r="DA14" s="226"/>
      <c r="DB14" s="226"/>
      <c r="DC14" s="226"/>
      <c r="DD14" s="226"/>
      <c r="DE14" s="226"/>
      <c r="DF14" s="226"/>
      <c r="DG14" s="226"/>
      <c r="DH14" s="226"/>
      <c r="DI14" s="226"/>
      <c r="DJ14" s="226"/>
      <c r="DK14" s="226"/>
      <c r="DL14" s="226"/>
      <c r="DM14" s="226"/>
      <c r="DN14" s="226"/>
      <c r="DO14" s="226"/>
      <c r="DP14" s="226"/>
      <c r="DQ14" s="226"/>
      <c r="DR14" s="226"/>
      <c r="DS14" s="226"/>
      <c r="DT14" s="226"/>
      <c r="DU14" s="226"/>
      <c r="DV14" s="226"/>
      <c r="DW14" s="226"/>
      <c r="DX14" s="226"/>
      <c r="DY14" s="226"/>
      <c r="DZ14" s="226"/>
      <c r="EA14" s="226"/>
      <c r="EB14" s="226"/>
      <c r="EC14" s="226"/>
      <c r="ED14" s="226"/>
      <c r="EE14" s="226"/>
      <c r="EF14" s="226"/>
      <c r="EG14" s="226"/>
      <c r="EH14" s="226"/>
      <c r="EI14" s="226"/>
      <c r="EJ14" s="226"/>
      <c r="EK14" s="226"/>
      <c r="EL14" s="226"/>
      <c r="EM14" s="226"/>
      <c r="EN14" s="226"/>
      <c r="EO14" s="226"/>
      <c r="EP14" s="226"/>
      <c r="EQ14" s="226"/>
      <c r="ER14" s="226"/>
      <c r="ES14" s="226"/>
      <c r="ET14" s="226"/>
      <c r="EU14" s="226"/>
      <c r="EV14" s="226"/>
      <c r="EW14" s="226"/>
      <c r="EX14" s="226"/>
      <c r="EY14" s="226"/>
      <c r="EZ14" s="226"/>
      <c r="FA14" s="226"/>
      <c r="FB14" s="226"/>
      <c r="FC14" s="226"/>
      <c r="FD14" s="226"/>
      <c r="FE14" s="226"/>
      <c r="FF14" s="226"/>
      <c r="FG14" s="226"/>
      <c r="FH14" s="226"/>
      <c r="FI14" s="226"/>
      <c r="FJ14" s="226"/>
      <c r="FK14" s="226"/>
      <c r="FL14" s="226"/>
      <c r="FM14" s="226"/>
      <c r="FN14" s="226"/>
      <c r="FO14" s="226"/>
      <c r="FP14" s="226"/>
      <c r="FQ14" s="226"/>
      <c r="FR14" s="226"/>
      <c r="FS14" s="226"/>
      <c r="FT14" s="226"/>
      <c r="FU14" s="226"/>
      <c r="FV14" s="226"/>
      <c r="FW14" s="226"/>
      <c r="FX14" s="226"/>
      <c r="FY14" s="226"/>
      <c r="FZ14" s="226"/>
      <c r="GA14" s="226"/>
      <c r="GB14" s="226"/>
      <c r="GC14" s="226"/>
      <c r="GD14" s="226"/>
      <c r="GE14" s="226"/>
      <c r="GF14" s="226"/>
      <c r="GG14" s="226"/>
      <c r="GH14" s="226"/>
      <c r="GI14" s="226"/>
      <c r="GJ14" s="226"/>
      <c r="GK14" s="226"/>
      <c r="GL14" s="226"/>
      <c r="GM14" s="226"/>
      <c r="GN14" s="226"/>
      <c r="GO14" s="226"/>
      <c r="GP14" s="226"/>
      <c r="GQ14" s="226"/>
      <c r="GR14" s="226"/>
      <c r="GS14" s="226"/>
      <c r="GT14" s="226"/>
      <c r="GU14" s="226"/>
      <c r="GV14" s="226"/>
      <c r="GW14" s="226"/>
      <c r="GX14" s="226"/>
      <c r="GY14" s="226"/>
      <c r="GZ14" s="226"/>
      <c r="HA14" s="226"/>
      <c r="HB14" s="226"/>
      <c r="HC14" s="226"/>
      <c r="HD14" s="226"/>
      <c r="HE14" s="226"/>
      <c r="HF14" s="226"/>
      <c r="HG14" s="226"/>
      <c r="HH14" s="226"/>
      <c r="HI14" s="226"/>
      <c r="HJ14" s="226"/>
      <c r="HK14" s="226"/>
      <c r="HL14" s="226"/>
      <c r="HM14" s="226"/>
      <c r="HN14" s="226"/>
      <c r="HO14" s="226"/>
      <c r="HP14" s="226"/>
      <c r="HQ14" s="226"/>
      <c r="HR14" s="226"/>
      <c r="HS14" s="226"/>
      <c r="HT14" s="226"/>
      <c r="HU14" s="226"/>
      <c r="HV14" s="226"/>
      <c r="HW14" s="226"/>
      <c r="HX14" s="226"/>
      <c r="HY14" s="226"/>
      <c r="HZ14" s="226"/>
      <c r="IA14" s="226"/>
      <c r="IB14" s="226"/>
      <c r="IC14" s="226"/>
      <c r="ID14" s="226"/>
      <c r="IE14" s="226"/>
      <c r="IF14" s="226"/>
      <c r="IG14" s="226"/>
      <c r="IH14" s="226"/>
      <c r="II14" s="226"/>
      <c r="IJ14" s="226"/>
      <c r="IK14" s="226"/>
      <c r="IL14" s="226"/>
      <c r="IM14" s="226"/>
      <c r="IN14" s="226"/>
      <c r="IO14" s="226"/>
      <c r="IP14" s="226"/>
      <c r="IQ14" s="226"/>
      <c r="IR14" s="226"/>
      <c r="IS14" s="226"/>
      <c r="IT14" s="226"/>
      <c r="IU14" s="226"/>
      <c r="IV14" s="226"/>
      <c r="IW14" s="226"/>
      <c r="IX14" s="226"/>
      <c r="IY14" s="226"/>
      <c r="IZ14" s="226"/>
      <c r="JA14" s="226"/>
      <c r="JB14" s="226"/>
      <c r="JC14" s="226"/>
      <c r="JD14" s="226"/>
      <c r="JE14" s="226"/>
      <c r="JF14" s="226"/>
      <c r="JG14" s="226"/>
      <c r="JH14" s="226"/>
      <c r="JI14" s="226"/>
      <c r="JJ14" s="226"/>
      <c r="JK14" s="226"/>
      <c r="JL14" s="226"/>
      <c r="JM14" s="226"/>
      <c r="JN14" s="226"/>
      <c r="JO14" s="226"/>
      <c r="JP14" s="226"/>
      <c r="JQ14" s="226"/>
      <c r="JR14" s="226"/>
      <c r="JS14" s="226"/>
      <c r="JT14" s="226"/>
      <c r="JU14" s="226"/>
      <c r="JV14" s="226"/>
      <c r="JW14" s="226"/>
      <c r="JX14" s="226"/>
      <c r="JY14" s="226"/>
      <c r="JZ14" s="226"/>
      <c r="KA14" s="226"/>
      <c r="KB14" s="226"/>
      <c r="KC14" s="226"/>
      <c r="KD14" s="226"/>
      <c r="KE14" s="226"/>
      <c r="KF14" s="226"/>
      <c r="KG14" s="226"/>
      <c r="KH14" s="226"/>
      <c r="KI14" s="226"/>
      <c r="KJ14" s="226"/>
      <c r="KK14" s="226"/>
      <c r="KL14" s="226"/>
      <c r="KM14" s="226"/>
      <c r="KN14" s="226"/>
      <c r="KO14" s="226"/>
      <c r="KP14" s="226"/>
      <c r="KQ14" s="226"/>
      <c r="KR14" s="226"/>
      <c r="KS14" s="226"/>
      <c r="KT14" s="226"/>
    </row>
    <row r="15" spans="2:306" x14ac:dyDescent="0.15">
      <c r="D15" s="92"/>
      <c r="F15" s="235"/>
      <c r="G15" s="235"/>
      <c r="H15" s="235"/>
      <c r="I15" s="235"/>
      <c r="J15" s="235"/>
      <c r="K15" s="235"/>
      <c r="L15" s="235"/>
      <c r="M15" s="235"/>
      <c r="N15" s="235"/>
      <c r="O15" s="235"/>
      <c r="P15" s="235"/>
      <c r="Q15" s="235"/>
      <c r="R15" s="235"/>
      <c r="S15" s="235"/>
      <c r="T15" s="235"/>
      <c r="U15" s="235"/>
      <c r="V15" s="235"/>
      <c r="W15" s="235"/>
      <c r="X15" s="235"/>
      <c r="Y15" s="235"/>
      <c r="Z15" s="235"/>
      <c r="AA15" s="235"/>
      <c r="AB15" s="235"/>
      <c r="AC15" s="235"/>
      <c r="AD15" s="235"/>
      <c r="AE15" s="235"/>
      <c r="AF15" s="235"/>
      <c r="AG15" s="235"/>
      <c r="AH15" s="235"/>
      <c r="AI15" s="235"/>
      <c r="AJ15" s="235"/>
      <c r="AK15" s="235"/>
      <c r="AL15" s="235"/>
      <c r="AM15" s="235"/>
      <c r="AN15" s="235"/>
      <c r="AO15" s="235"/>
      <c r="AP15" s="235"/>
      <c r="AQ15" s="235"/>
      <c r="AR15" s="235"/>
      <c r="AS15" s="235"/>
      <c r="AT15" s="235"/>
      <c r="AU15" s="235"/>
      <c r="AV15" s="235"/>
      <c r="AW15" s="235"/>
      <c r="AX15" s="235"/>
      <c r="AY15" s="235"/>
      <c r="AZ15" s="235"/>
      <c r="BA15" s="226"/>
      <c r="BB15" s="226"/>
      <c r="BC15" s="226"/>
      <c r="BD15" s="226"/>
      <c r="BE15" s="226"/>
      <c r="BF15" s="226"/>
      <c r="BG15" s="226"/>
      <c r="BH15" s="226"/>
      <c r="BI15" s="226"/>
      <c r="BJ15" s="226"/>
      <c r="BK15" s="226"/>
      <c r="BL15" s="226"/>
      <c r="BM15" s="226"/>
      <c r="BN15" s="226"/>
      <c r="BO15" s="226"/>
      <c r="BP15" s="226"/>
      <c r="BQ15" s="226"/>
      <c r="BR15" s="226"/>
      <c r="BS15" s="226"/>
      <c r="BT15" s="226"/>
      <c r="BU15" s="226"/>
      <c r="BV15" s="226"/>
      <c r="BW15" s="226"/>
      <c r="BX15" s="226"/>
      <c r="BY15" s="226"/>
      <c r="BZ15" s="226"/>
      <c r="CA15" s="226"/>
      <c r="CB15" s="226"/>
      <c r="CC15" s="226"/>
      <c r="CD15" s="226"/>
      <c r="CE15" s="226"/>
      <c r="CF15" s="226"/>
      <c r="CG15" s="226"/>
      <c r="CH15" s="226"/>
      <c r="CI15" s="226"/>
      <c r="CJ15" s="226"/>
      <c r="CK15" s="226"/>
      <c r="CL15" s="226"/>
      <c r="CM15" s="226"/>
      <c r="CN15" s="226"/>
      <c r="CO15" s="226"/>
      <c r="CP15" s="226"/>
      <c r="CQ15" s="226"/>
      <c r="CR15" s="226"/>
      <c r="CS15" s="226"/>
      <c r="CT15" s="226"/>
      <c r="CU15" s="226"/>
      <c r="CV15" s="226"/>
      <c r="CW15" s="226"/>
      <c r="CX15" s="226"/>
      <c r="CY15" s="226"/>
      <c r="CZ15" s="226"/>
      <c r="DA15" s="226"/>
      <c r="DB15" s="226"/>
      <c r="DC15" s="226"/>
      <c r="DD15" s="226"/>
      <c r="DE15" s="226"/>
      <c r="DF15" s="226"/>
      <c r="DG15" s="226"/>
      <c r="DH15" s="226"/>
      <c r="DI15" s="226"/>
      <c r="DJ15" s="226"/>
      <c r="DK15" s="226"/>
      <c r="DL15" s="226"/>
      <c r="DM15" s="226"/>
      <c r="DN15" s="226"/>
      <c r="DO15" s="226"/>
      <c r="DP15" s="226"/>
      <c r="DQ15" s="226"/>
      <c r="DR15" s="226"/>
      <c r="DS15" s="226"/>
      <c r="DT15" s="226"/>
      <c r="DU15" s="226"/>
      <c r="DV15" s="226"/>
      <c r="DW15" s="226"/>
      <c r="DX15" s="226"/>
      <c r="DY15" s="226"/>
      <c r="DZ15" s="226"/>
      <c r="EA15" s="226"/>
      <c r="EB15" s="226"/>
      <c r="EC15" s="226"/>
      <c r="ED15" s="226"/>
      <c r="EE15" s="226"/>
      <c r="EF15" s="226"/>
      <c r="EG15" s="226"/>
      <c r="EH15" s="226"/>
      <c r="EI15" s="226"/>
      <c r="EJ15" s="226"/>
      <c r="EK15" s="226"/>
      <c r="EL15" s="226"/>
      <c r="EM15" s="226"/>
      <c r="EN15" s="226"/>
      <c r="EO15" s="226"/>
      <c r="EP15" s="226"/>
      <c r="EQ15" s="226"/>
      <c r="ER15" s="226"/>
      <c r="ES15" s="226"/>
      <c r="ET15" s="226"/>
      <c r="EU15" s="226"/>
      <c r="EV15" s="226"/>
      <c r="EW15" s="226"/>
      <c r="EX15" s="226"/>
      <c r="EY15" s="226"/>
      <c r="EZ15" s="226"/>
      <c r="FA15" s="226"/>
      <c r="FB15" s="226"/>
      <c r="FC15" s="226"/>
      <c r="FD15" s="226"/>
      <c r="FE15" s="226"/>
      <c r="FF15" s="226"/>
      <c r="FG15" s="226"/>
      <c r="FH15" s="226"/>
      <c r="FI15" s="226"/>
      <c r="FJ15" s="226"/>
      <c r="FK15" s="226"/>
      <c r="FL15" s="226"/>
      <c r="FM15" s="226"/>
      <c r="FN15" s="226"/>
      <c r="FO15" s="226"/>
      <c r="FP15" s="226"/>
      <c r="FQ15" s="226"/>
      <c r="FR15" s="226"/>
      <c r="FS15" s="226"/>
      <c r="FT15" s="226"/>
      <c r="FU15" s="226"/>
      <c r="FV15" s="226"/>
      <c r="FW15" s="226"/>
      <c r="FX15" s="226"/>
      <c r="FY15" s="226"/>
      <c r="FZ15" s="226"/>
      <c r="GA15" s="226"/>
      <c r="GB15" s="226"/>
      <c r="GC15" s="226"/>
      <c r="GD15" s="226"/>
      <c r="GE15" s="226"/>
      <c r="GF15" s="226"/>
      <c r="GG15" s="226"/>
      <c r="GH15" s="226"/>
      <c r="GI15" s="226"/>
      <c r="GJ15" s="226"/>
      <c r="GK15" s="226"/>
      <c r="GL15" s="226"/>
      <c r="GM15" s="226"/>
      <c r="GN15" s="226"/>
      <c r="GO15" s="226"/>
      <c r="GP15" s="226"/>
      <c r="GQ15" s="226"/>
      <c r="GR15" s="226"/>
      <c r="GS15" s="226"/>
      <c r="GT15" s="226"/>
      <c r="GU15" s="226"/>
      <c r="GV15" s="226"/>
      <c r="GW15" s="226"/>
      <c r="GX15" s="226"/>
      <c r="GY15" s="226"/>
      <c r="GZ15" s="226"/>
      <c r="HA15" s="226"/>
      <c r="HB15" s="226"/>
      <c r="HC15" s="226"/>
      <c r="HD15" s="226"/>
      <c r="HE15" s="226"/>
      <c r="HF15" s="226"/>
      <c r="HG15" s="226"/>
      <c r="HH15" s="226"/>
      <c r="HI15" s="226"/>
      <c r="HJ15" s="226"/>
      <c r="HK15" s="226"/>
      <c r="HL15" s="226"/>
      <c r="HM15" s="226"/>
      <c r="HN15" s="226"/>
      <c r="HO15" s="226"/>
      <c r="HP15" s="226"/>
      <c r="HQ15" s="226"/>
      <c r="HR15" s="226"/>
      <c r="HS15" s="226"/>
      <c r="HT15" s="226"/>
      <c r="HU15" s="226"/>
      <c r="HV15" s="226"/>
      <c r="HW15" s="226"/>
      <c r="HX15" s="226"/>
      <c r="HY15" s="226"/>
      <c r="HZ15" s="226"/>
      <c r="IA15" s="226"/>
      <c r="IB15" s="226"/>
      <c r="IC15" s="226"/>
      <c r="ID15" s="226"/>
      <c r="IE15" s="226"/>
      <c r="IF15" s="226"/>
      <c r="IG15" s="226"/>
      <c r="IH15" s="226"/>
      <c r="II15" s="226"/>
      <c r="IJ15" s="226"/>
      <c r="IK15" s="226"/>
      <c r="IL15" s="226"/>
      <c r="IM15" s="226"/>
      <c r="IN15" s="226"/>
      <c r="IO15" s="226"/>
      <c r="IP15" s="226"/>
      <c r="IQ15" s="226"/>
      <c r="IR15" s="226"/>
      <c r="IS15" s="226"/>
      <c r="IT15" s="226"/>
      <c r="IU15" s="226"/>
      <c r="IV15" s="226"/>
      <c r="IW15" s="226"/>
      <c r="IX15" s="226"/>
      <c r="IY15" s="226"/>
      <c r="IZ15" s="226"/>
      <c r="JA15" s="226"/>
      <c r="JB15" s="226"/>
      <c r="JC15" s="226"/>
      <c r="JD15" s="226"/>
      <c r="JE15" s="226"/>
      <c r="JF15" s="226"/>
      <c r="JG15" s="226"/>
      <c r="JH15" s="226"/>
      <c r="JI15" s="226"/>
      <c r="JJ15" s="226"/>
      <c r="JK15" s="226"/>
      <c r="JL15" s="226"/>
      <c r="JM15" s="226"/>
      <c r="JN15" s="226"/>
      <c r="JO15" s="226"/>
      <c r="JP15" s="226"/>
      <c r="JQ15" s="226"/>
      <c r="JR15" s="226"/>
      <c r="JS15" s="226"/>
      <c r="JT15" s="226"/>
      <c r="JU15" s="226"/>
      <c r="JV15" s="226"/>
      <c r="JW15" s="226"/>
      <c r="JX15" s="226"/>
      <c r="JY15" s="226"/>
      <c r="JZ15" s="226"/>
      <c r="KA15" s="226"/>
      <c r="KB15" s="226"/>
      <c r="KC15" s="226"/>
      <c r="KD15" s="226"/>
      <c r="KE15" s="226"/>
      <c r="KF15" s="226"/>
      <c r="KG15" s="226"/>
      <c r="KH15" s="226"/>
      <c r="KI15" s="226"/>
      <c r="KJ15" s="226"/>
      <c r="KK15" s="226"/>
      <c r="KL15" s="226"/>
      <c r="KM15" s="226"/>
      <c r="KN15" s="226"/>
      <c r="KO15" s="226"/>
      <c r="KP15" s="226"/>
      <c r="KQ15" s="226"/>
      <c r="KR15" s="226"/>
      <c r="KS15" s="226"/>
      <c r="KT15" s="226"/>
    </row>
    <row r="16" spans="2:306" x14ac:dyDescent="0.15">
      <c r="B16" s="157" t="s">
        <v>296</v>
      </c>
      <c r="C16" s="92" t="s">
        <v>297</v>
      </c>
      <c r="D16" s="92" t="s">
        <v>298</v>
      </c>
      <c r="E16" s="236">
        <f>100%-E13</f>
        <v>0.95</v>
      </c>
      <c r="F16" s="237">
        <f>IF(F4&gt;$F$6,0,E16-F13)</f>
        <v>0.85</v>
      </c>
      <c r="G16" s="237">
        <f>IF(G4&gt;$F$6,0,F16-G13)</f>
        <v>0.82</v>
      </c>
      <c r="H16" s="237">
        <f>IF(H4&gt;$F$6,0,G16-H13)</f>
        <v>0.78999999999999992</v>
      </c>
      <c r="I16" s="237">
        <f>IF(I4&gt;$F$6,0,H16-I13)</f>
        <v>0.7599999999999999</v>
      </c>
      <c r="J16" s="237">
        <f>IF(J4&gt;$F$6,0,I16-J13)</f>
        <v>0.72999999999999987</v>
      </c>
      <c r="K16" s="237">
        <f t="shared" ref="K16:BM16" si="1">IF(K4&gt;$F$6,0,J16-K13)</f>
        <v>0.69999999999999984</v>
      </c>
      <c r="L16" s="237">
        <f t="shared" si="1"/>
        <v>0.66999999999999982</v>
      </c>
      <c r="M16" s="237">
        <f t="shared" si="1"/>
        <v>0.63999999999999979</v>
      </c>
      <c r="N16" s="237">
        <f t="shared" si="1"/>
        <v>0.63999999999999979</v>
      </c>
      <c r="O16" s="237">
        <f t="shared" si="1"/>
        <v>0.63999999999999979</v>
      </c>
      <c r="P16" s="237">
        <f t="shared" si="1"/>
        <v>0.63999999999999979</v>
      </c>
      <c r="Q16" s="237">
        <f t="shared" si="1"/>
        <v>0.63999999999999979</v>
      </c>
      <c r="R16" s="237">
        <f t="shared" si="1"/>
        <v>0.63999999999999979</v>
      </c>
      <c r="S16" s="237">
        <f t="shared" si="1"/>
        <v>0.63999999999999979</v>
      </c>
      <c r="T16" s="237">
        <f t="shared" si="1"/>
        <v>0.63999999999999979</v>
      </c>
      <c r="U16" s="237">
        <f t="shared" si="1"/>
        <v>0</v>
      </c>
      <c r="V16" s="237">
        <f t="shared" si="1"/>
        <v>0</v>
      </c>
      <c r="W16" s="237">
        <f t="shared" si="1"/>
        <v>0</v>
      </c>
      <c r="X16" s="237">
        <f t="shared" si="1"/>
        <v>0</v>
      </c>
      <c r="Y16" s="237">
        <f t="shared" si="1"/>
        <v>0</v>
      </c>
      <c r="Z16" s="237">
        <f t="shared" si="1"/>
        <v>0</v>
      </c>
      <c r="AA16" s="237">
        <f t="shared" si="1"/>
        <v>0</v>
      </c>
      <c r="AB16" s="237">
        <f t="shared" si="1"/>
        <v>0</v>
      </c>
      <c r="AC16" s="237">
        <f t="shared" si="1"/>
        <v>0</v>
      </c>
      <c r="AD16" s="237">
        <f t="shared" si="1"/>
        <v>0</v>
      </c>
      <c r="AE16" s="237">
        <f t="shared" si="1"/>
        <v>0</v>
      </c>
      <c r="AF16" s="237">
        <f t="shared" si="1"/>
        <v>0</v>
      </c>
      <c r="AG16" s="237">
        <f t="shared" si="1"/>
        <v>0</v>
      </c>
      <c r="AH16" s="237">
        <f t="shared" si="1"/>
        <v>0</v>
      </c>
      <c r="AI16" s="237">
        <f t="shared" si="1"/>
        <v>0</v>
      </c>
      <c r="AJ16" s="237">
        <f t="shared" si="1"/>
        <v>0</v>
      </c>
      <c r="AK16" s="237">
        <f t="shared" si="1"/>
        <v>0</v>
      </c>
      <c r="AL16" s="237">
        <f t="shared" si="1"/>
        <v>0</v>
      </c>
      <c r="AM16" s="237">
        <f t="shared" si="1"/>
        <v>0</v>
      </c>
      <c r="AN16" s="237">
        <f t="shared" si="1"/>
        <v>0</v>
      </c>
      <c r="AO16" s="237">
        <f t="shared" si="1"/>
        <v>0</v>
      </c>
      <c r="AP16" s="237">
        <f t="shared" si="1"/>
        <v>0</v>
      </c>
      <c r="AQ16" s="237">
        <f t="shared" si="1"/>
        <v>0</v>
      </c>
      <c r="AR16" s="237">
        <f t="shared" si="1"/>
        <v>0</v>
      </c>
      <c r="AS16" s="237">
        <f t="shared" si="1"/>
        <v>0</v>
      </c>
      <c r="AT16" s="237">
        <f t="shared" si="1"/>
        <v>0</v>
      </c>
      <c r="AU16" s="237">
        <f t="shared" si="1"/>
        <v>0</v>
      </c>
      <c r="AV16" s="237">
        <f t="shared" si="1"/>
        <v>0</v>
      </c>
      <c r="AW16" s="237">
        <f t="shared" si="1"/>
        <v>0</v>
      </c>
      <c r="AX16" s="237">
        <f t="shared" si="1"/>
        <v>0</v>
      </c>
      <c r="AY16" s="237">
        <f t="shared" si="1"/>
        <v>0</v>
      </c>
      <c r="AZ16" s="237">
        <f t="shared" si="1"/>
        <v>0</v>
      </c>
      <c r="BA16" s="237">
        <f t="shared" si="1"/>
        <v>0</v>
      </c>
      <c r="BB16" s="237">
        <f t="shared" si="1"/>
        <v>0</v>
      </c>
      <c r="BC16" s="237">
        <f t="shared" si="1"/>
        <v>0</v>
      </c>
      <c r="BD16" s="237">
        <f t="shared" si="1"/>
        <v>0</v>
      </c>
      <c r="BE16" s="237">
        <f t="shared" si="1"/>
        <v>0</v>
      </c>
      <c r="BF16" s="237">
        <f t="shared" si="1"/>
        <v>0</v>
      </c>
      <c r="BG16" s="237">
        <f t="shared" si="1"/>
        <v>0</v>
      </c>
      <c r="BH16" s="237">
        <f t="shared" si="1"/>
        <v>0</v>
      </c>
      <c r="BI16" s="237">
        <f t="shared" si="1"/>
        <v>0</v>
      </c>
      <c r="BJ16" s="237">
        <f t="shared" si="1"/>
        <v>0</v>
      </c>
      <c r="BK16" s="237">
        <f t="shared" si="1"/>
        <v>0</v>
      </c>
      <c r="BL16" s="237">
        <f t="shared" si="1"/>
        <v>0</v>
      </c>
      <c r="BM16" s="237">
        <f t="shared" si="1"/>
        <v>0</v>
      </c>
      <c r="BN16" s="226"/>
      <c r="BO16" s="226"/>
      <c r="BP16" s="226"/>
      <c r="BQ16" s="226"/>
      <c r="BR16" s="226"/>
      <c r="BS16" s="226"/>
      <c r="BT16" s="226"/>
      <c r="BU16" s="226"/>
      <c r="BV16" s="226"/>
      <c r="BW16" s="226"/>
      <c r="BX16" s="226"/>
      <c r="BY16" s="226"/>
      <c r="BZ16" s="226"/>
      <c r="CA16" s="226"/>
      <c r="CB16" s="226"/>
      <c r="CC16" s="226"/>
      <c r="CD16" s="226"/>
      <c r="CE16" s="226"/>
      <c r="CF16" s="226"/>
      <c r="CG16" s="226"/>
      <c r="CH16" s="226"/>
      <c r="CI16" s="226"/>
      <c r="CJ16" s="226"/>
      <c r="CK16" s="226"/>
      <c r="CL16" s="226"/>
      <c r="CM16" s="226"/>
      <c r="CN16" s="226"/>
      <c r="CO16" s="226"/>
      <c r="CP16" s="226"/>
      <c r="CQ16" s="226"/>
      <c r="CR16" s="226"/>
      <c r="CS16" s="226"/>
      <c r="CT16" s="226"/>
      <c r="CU16" s="226"/>
      <c r="CV16" s="226"/>
      <c r="CW16" s="226"/>
      <c r="CX16" s="226"/>
      <c r="CY16" s="226"/>
      <c r="CZ16" s="226"/>
      <c r="DA16" s="226"/>
      <c r="DB16" s="226"/>
      <c r="DC16" s="226"/>
      <c r="DD16" s="226"/>
      <c r="DE16" s="226"/>
      <c r="DF16" s="226"/>
      <c r="DG16" s="226"/>
      <c r="DH16" s="226"/>
      <c r="DI16" s="226"/>
      <c r="DJ16" s="226"/>
      <c r="DK16" s="226"/>
      <c r="DL16" s="226"/>
      <c r="DM16" s="226"/>
      <c r="DN16" s="226"/>
      <c r="DO16" s="226"/>
      <c r="DP16" s="226"/>
      <c r="DQ16" s="226"/>
      <c r="DR16" s="226"/>
      <c r="DS16" s="226"/>
      <c r="DT16" s="226"/>
      <c r="DU16" s="226"/>
      <c r="DV16" s="226"/>
      <c r="DW16" s="226"/>
      <c r="DX16" s="226"/>
      <c r="DY16" s="226"/>
      <c r="DZ16" s="226"/>
      <c r="EA16" s="226"/>
      <c r="EB16" s="226"/>
      <c r="EC16" s="226"/>
      <c r="ED16" s="226"/>
      <c r="EE16" s="226"/>
      <c r="EF16" s="226"/>
      <c r="EG16" s="226"/>
      <c r="EH16" s="226"/>
      <c r="EI16" s="226"/>
      <c r="EJ16" s="226"/>
      <c r="EK16" s="226"/>
      <c r="EL16" s="226"/>
      <c r="EM16" s="226"/>
      <c r="EN16" s="226"/>
      <c r="EO16" s="226"/>
      <c r="EP16" s="226"/>
      <c r="EQ16" s="226"/>
      <c r="ER16" s="226"/>
      <c r="ES16" s="226"/>
      <c r="ET16" s="226"/>
      <c r="EU16" s="226"/>
      <c r="EV16" s="226"/>
      <c r="EW16" s="226"/>
      <c r="EX16" s="226"/>
      <c r="EY16" s="226"/>
      <c r="EZ16" s="226"/>
      <c r="FA16" s="226"/>
      <c r="FB16" s="226"/>
      <c r="FC16" s="226"/>
      <c r="FD16" s="226"/>
      <c r="FE16" s="226"/>
      <c r="FF16" s="226"/>
      <c r="FG16" s="226"/>
      <c r="FH16" s="226"/>
      <c r="FI16" s="226"/>
      <c r="FJ16" s="226"/>
      <c r="FK16" s="226"/>
      <c r="FL16" s="226"/>
      <c r="FM16" s="226"/>
      <c r="FN16" s="226"/>
      <c r="FO16" s="226"/>
      <c r="FP16" s="226"/>
      <c r="FQ16" s="226"/>
      <c r="FR16" s="226"/>
      <c r="FS16" s="226"/>
      <c r="FT16" s="226"/>
      <c r="FU16" s="226"/>
      <c r="FV16" s="226"/>
      <c r="FW16" s="226"/>
      <c r="FX16" s="226"/>
      <c r="FY16" s="226"/>
      <c r="FZ16" s="226"/>
      <c r="GA16" s="226"/>
      <c r="GB16" s="226"/>
      <c r="GC16" s="226"/>
      <c r="GD16" s="226"/>
      <c r="GE16" s="226"/>
      <c r="GF16" s="226"/>
      <c r="GG16" s="226"/>
      <c r="GH16" s="226"/>
      <c r="GI16" s="226"/>
      <c r="GJ16" s="226"/>
      <c r="GK16" s="226"/>
      <c r="GL16" s="226"/>
      <c r="GM16" s="226"/>
      <c r="GN16" s="226"/>
      <c r="GO16" s="226"/>
      <c r="GP16" s="226"/>
      <c r="GQ16" s="226"/>
      <c r="GR16" s="226"/>
      <c r="GS16" s="226"/>
      <c r="GT16" s="226"/>
      <c r="GU16" s="226"/>
      <c r="GV16" s="226"/>
      <c r="GW16" s="226"/>
      <c r="GX16" s="226"/>
      <c r="GY16" s="226"/>
      <c r="GZ16" s="226"/>
      <c r="HA16" s="226"/>
      <c r="HB16" s="226"/>
      <c r="HC16" s="226"/>
      <c r="HD16" s="226"/>
      <c r="HE16" s="226"/>
      <c r="HF16" s="226"/>
      <c r="HG16" s="226"/>
      <c r="HH16" s="226"/>
      <c r="HI16" s="226"/>
      <c r="HJ16" s="226"/>
      <c r="HK16" s="226"/>
      <c r="HL16" s="226"/>
      <c r="HM16" s="226"/>
      <c r="HN16" s="226"/>
      <c r="HO16" s="226"/>
      <c r="HP16" s="226"/>
      <c r="HQ16" s="226"/>
      <c r="HR16" s="226"/>
      <c r="HS16" s="226"/>
      <c r="HT16" s="226"/>
      <c r="HU16" s="226"/>
      <c r="HV16" s="226"/>
      <c r="HW16" s="226"/>
      <c r="HX16" s="226"/>
      <c r="HY16" s="226"/>
      <c r="HZ16" s="226"/>
      <c r="IA16" s="226"/>
      <c r="IB16" s="226"/>
      <c r="IC16" s="226"/>
      <c r="ID16" s="226"/>
      <c r="IE16" s="226"/>
      <c r="IF16" s="226"/>
      <c r="IG16" s="226"/>
      <c r="IH16" s="226"/>
      <c r="II16" s="226"/>
      <c r="IJ16" s="226"/>
      <c r="IK16" s="226"/>
      <c r="IL16" s="226"/>
      <c r="IM16" s="226"/>
      <c r="IN16" s="226"/>
      <c r="IO16" s="226"/>
      <c r="IP16" s="226"/>
      <c r="IQ16" s="226"/>
      <c r="IR16" s="226"/>
      <c r="IS16" s="226"/>
      <c r="IT16" s="226"/>
      <c r="IU16" s="226"/>
      <c r="IV16" s="226"/>
      <c r="IW16" s="226"/>
      <c r="IX16" s="226"/>
      <c r="IY16" s="226"/>
      <c r="IZ16" s="226"/>
      <c r="JA16" s="226"/>
      <c r="JB16" s="226"/>
      <c r="JC16" s="226"/>
      <c r="JD16" s="226"/>
      <c r="JE16" s="226"/>
      <c r="JF16" s="226"/>
      <c r="JG16" s="226"/>
      <c r="JH16" s="226"/>
      <c r="JI16" s="226"/>
      <c r="JJ16" s="226"/>
      <c r="JK16" s="226"/>
      <c r="JL16" s="226"/>
      <c r="JM16" s="226"/>
      <c r="JN16" s="226"/>
      <c r="JO16" s="226"/>
      <c r="JP16" s="226"/>
      <c r="JQ16" s="226"/>
      <c r="JR16" s="226"/>
      <c r="JS16" s="226"/>
      <c r="JT16" s="226"/>
      <c r="JU16" s="226"/>
      <c r="JV16" s="226"/>
      <c r="JW16" s="226"/>
      <c r="JX16" s="226"/>
      <c r="JY16" s="226"/>
      <c r="JZ16" s="226"/>
      <c r="KA16" s="226"/>
      <c r="KB16" s="226"/>
      <c r="KC16" s="226"/>
      <c r="KD16" s="226"/>
      <c r="KE16" s="226"/>
      <c r="KF16" s="226"/>
      <c r="KG16" s="226"/>
      <c r="KH16" s="226"/>
      <c r="KI16" s="226"/>
      <c r="KJ16" s="226"/>
      <c r="KK16" s="226"/>
      <c r="KL16" s="226"/>
      <c r="KM16" s="226"/>
      <c r="KN16" s="226"/>
      <c r="KO16" s="226"/>
      <c r="KP16" s="226"/>
      <c r="KQ16" s="226"/>
      <c r="KR16" s="226"/>
      <c r="KS16" s="226"/>
      <c r="KT16" s="226"/>
    </row>
    <row r="17" spans="1:307" x14ac:dyDescent="0.15">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48"/>
      <c r="BF17" s="148"/>
      <c r="BG17" s="148"/>
      <c r="BH17" s="148"/>
      <c r="BI17" s="148"/>
      <c r="BJ17" s="148"/>
      <c r="BK17" s="148"/>
      <c r="BL17" s="148"/>
      <c r="BM17" s="148"/>
      <c r="BN17" s="148"/>
      <c r="BO17" s="148"/>
      <c r="BP17" s="148"/>
      <c r="BQ17" s="148"/>
      <c r="BR17" s="148"/>
      <c r="BS17" s="148"/>
      <c r="BT17" s="148"/>
      <c r="BU17" s="148"/>
      <c r="BV17" s="148"/>
      <c r="BW17" s="148"/>
      <c r="BX17" s="148"/>
      <c r="BY17" s="148"/>
      <c r="BZ17" s="148"/>
      <c r="CA17" s="148"/>
      <c r="CB17" s="148"/>
      <c r="CC17" s="148"/>
      <c r="CD17" s="148"/>
      <c r="CE17" s="148"/>
      <c r="CF17" s="148"/>
      <c r="CG17" s="148"/>
      <c r="CH17" s="148"/>
      <c r="CI17" s="148"/>
      <c r="CJ17" s="148"/>
      <c r="CK17" s="148"/>
      <c r="CL17" s="148"/>
      <c r="CM17" s="148"/>
      <c r="CN17" s="148"/>
      <c r="CO17" s="148"/>
      <c r="CP17" s="148"/>
      <c r="CQ17" s="148"/>
      <c r="CR17" s="148"/>
      <c r="CS17" s="148"/>
      <c r="CT17" s="148"/>
      <c r="CU17" s="148"/>
      <c r="CV17" s="148"/>
      <c r="CW17" s="148"/>
      <c r="CX17" s="148"/>
      <c r="CY17" s="148"/>
      <c r="CZ17" s="148"/>
      <c r="DA17" s="148"/>
      <c r="DB17" s="148"/>
      <c r="DC17" s="148"/>
      <c r="DD17" s="148"/>
      <c r="DE17" s="148"/>
      <c r="DF17" s="148"/>
      <c r="DG17" s="148"/>
      <c r="DH17" s="148"/>
      <c r="DI17" s="148"/>
      <c r="DJ17" s="148"/>
      <c r="DK17" s="148"/>
      <c r="DL17" s="148"/>
      <c r="DM17" s="148"/>
      <c r="DN17" s="148"/>
      <c r="DO17" s="148"/>
      <c r="DP17" s="148"/>
      <c r="DQ17" s="148"/>
      <c r="DR17" s="148"/>
      <c r="DS17" s="148"/>
      <c r="DT17" s="148"/>
      <c r="DU17" s="148"/>
      <c r="DV17" s="148"/>
      <c r="DW17" s="148"/>
      <c r="DX17" s="148"/>
      <c r="DY17" s="148"/>
      <c r="DZ17" s="148"/>
      <c r="EA17" s="148"/>
      <c r="EB17" s="148"/>
      <c r="EC17" s="148"/>
      <c r="ED17" s="148"/>
      <c r="EE17" s="148"/>
      <c r="EF17" s="148"/>
      <c r="EG17" s="148"/>
      <c r="EH17" s="148"/>
      <c r="EI17" s="148"/>
      <c r="EJ17" s="148"/>
      <c r="EK17" s="148"/>
      <c r="EL17" s="148"/>
      <c r="EM17" s="148"/>
      <c r="EN17" s="148"/>
      <c r="EO17" s="148"/>
      <c r="EP17" s="148"/>
      <c r="EQ17" s="148"/>
      <c r="ER17" s="148"/>
      <c r="ES17" s="148"/>
      <c r="ET17" s="148"/>
      <c r="EU17" s="148"/>
      <c r="EV17" s="148"/>
      <c r="EW17" s="148"/>
      <c r="EX17" s="148"/>
      <c r="EY17" s="148"/>
      <c r="EZ17" s="148"/>
      <c r="FA17" s="148"/>
      <c r="FB17" s="148"/>
      <c r="FC17" s="148"/>
      <c r="FD17" s="148"/>
      <c r="FE17" s="148"/>
      <c r="FF17" s="148"/>
      <c r="FG17" s="148"/>
      <c r="FH17" s="148"/>
      <c r="FI17" s="148"/>
      <c r="FJ17" s="148"/>
      <c r="FK17" s="148"/>
      <c r="FL17" s="148"/>
      <c r="FM17" s="148"/>
      <c r="FN17" s="148"/>
      <c r="FO17" s="148"/>
      <c r="FP17" s="148"/>
      <c r="FQ17" s="148"/>
      <c r="FR17" s="148"/>
      <c r="FS17" s="148"/>
      <c r="FT17" s="148"/>
      <c r="FU17" s="148"/>
      <c r="FV17" s="148"/>
      <c r="FW17" s="148"/>
      <c r="FX17" s="148"/>
      <c r="FY17" s="148"/>
      <c r="FZ17" s="148"/>
      <c r="GA17" s="148"/>
      <c r="GB17" s="148"/>
      <c r="GC17" s="148"/>
      <c r="GD17" s="148"/>
      <c r="GE17" s="148"/>
      <c r="GF17" s="148"/>
      <c r="GG17" s="148"/>
      <c r="GH17" s="148"/>
      <c r="GI17" s="148"/>
      <c r="GJ17" s="148"/>
      <c r="GK17" s="148"/>
      <c r="GL17" s="148"/>
      <c r="GM17" s="148"/>
      <c r="GN17" s="148"/>
      <c r="GO17" s="148"/>
      <c r="GP17" s="148"/>
      <c r="GQ17" s="148"/>
      <c r="GR17" s="148"/>
      <c r="GS17" s="148"/>
      <c r="GT17" s="148"/>
      <c r="GU17" s="148"/>
      <c r="GV17" s="148"/>
      <c r="GW17" s="148"/>
      <c r="GX17" s="148"/>
      <c r="GY17" s="148"/>
      <c r="GZ17" s="148"/>
      <c r="HA17" s="148"/>
      <c r="HB17" s="148"/>
      <c r="HC17" s="148"/>
      <c r="HD17" s="148"/>
      <c r="HE17" s="148"/>
      <c r="HF17" s="148"/>
      <c r="HG17" s="148"/>
      <c r="HH17" s="148"/>
      <c r="HI17" s="148"/>
      <c r="HJ17" s="148"/>
      <c r="HK17" s="148"/>
      <c r="HL17" s="148"/>
      <c r="HM17" s="148"/>
      <c r="HN17" s="148"/>
      <c r="HO17" s="148"/>
      <c r="HP17" s="148"/>
      <c r="HQ17" s="148"/>
      <c r="HR17" s="148"/>
      <c r="HS17" s="148"/>
      <c r="HT17" s="148"/>
      <c r="HU17" s="148"/>
      <c r="HV17" s="148"/>
      <c r="HW17" s="148"/>
      <c r="HX17" s="148"/>
      <c r="HY17" s="148"/>
      <c r="HZ17" s="148"/>
      <c r="IA17" s="148"/>
      <c r="IB17" s="148"/>
      <c r="IC17" s="148"/>
      <c r="ID17" s="148"/>
      <c r="IE17" s="148"/>
      <c r="IF17" s="148"/>
      <c r="IG17" s="148"/>
      <c r="IH17" s="148"/>
      <c r="II17" s="148"/>
      <c r="IJ17" s="148"/>
      <c r="IK17" s="148"/>
      <c r="IL17" s="148"/>
      <c r="IM17" s="148"/>
      <c r="IN17" s="148"/>
      <c r="IO17" s="148"/>
      <c r="IP17" s="148"/>
      <c r="IQ17" s="148"/>
      <c r="IR17" s="148"/>
      <c r="IS17" s="148"/>
      <c r="IT17" s="148"/>
      <c r="IU17" s="148"/>
      <c r="IV17" s="148"/>
      <c r="IW17" s="148"/>
      <c r="IX17" s="148"/>
      <c r="IY17" s="148"/>
      <c r="IZ17" s="148"/>
      <c r="JA17" s="148"/>
      <c r="JB17" s="148"/>
      <c r="JC17" s="148"/>
      <c r="JD17" s="148"/>
      <c r="JE17" s="148"/>
      <c r="JF17" s="148"/>
      <c r="JG17" s="148"/>
      <c r="JH17" s="148"/>
      <c r="JI17" s="148"/>
      <c r="JJ17" s="148"/>
      <c r="JK17" s="148"/>
      <c r="JL17" s="148"/>
      <c r="JM17" s="148"/>
      <c r="JN17" s="148"/>
      <c r="JO17" s="148"/>
      <c r="JP17" s="148"/>
      <c r="JQ17" s="148"/>
      <c r="JR17" s="148"/>
      <c r="JS17" s="148"/>
      <c r="JT17" s="148"/>
      <c r="JU17" s="148"/>
      <c r="JV17" s="148"/>
      <c r="JW17" s="148"/>
      <c r="JX17" s="148"/>
      <c r="JY17" s="148"/>
      <c r="JZ17" s="148"/>
      <c r="KA17" s="148"/>
      <c r="KB17" s="148"/>
      <c r="KC17" s="148"/>
      <c r="KD17" s="148"/>
      <c r="KE17" s="148"/>
      <c r="KF17" s="148"/>
      <c r="KG17" s="148"/>
      <c r="KH17" s="148"/>
      <c r="KI17" s="148"/>
      <c r="KJ17" s="148"/>
      <c r="KK17" s="148"/>
      <c r="KL17" s="148"/>
      <c r="KM17" s="148"/>
      <c r="KN17" s="148"/>
      <c r="KO17" s="148"/>
      <c r="KP17" s="148"/>
      <c r="KQ17" s="148"/>
      <c r="KR17" s="148"/>
      <c r="KS17" s="148"/>
      <c r="KT17" s="148"/>
    </row>
    <row r="18" spans="1:307" s="157" customFormat="1" x14ac:dyDescent="0.15">
      <c r="A18" s="238" t="s">
        <v>299</v>
      </c>
      <c r="B18" s="238" t="s">
        <v>204</v>
      </c>
      <c r="C18" s="225" t="s">
        <v>300</v>
      </c>
      <c r="D18" s="225"/>
      <c r="E18" s="239"/>
      <c r="F18" s="239"/>
      <c r="G18" s="239"/>
      <c r="H18" s="239"/>
      <c r="I18" s="239"/>
      <c r="J18" s="239"/>
      <c r="K18" s="239"/>
      <c r="L18" s="239"/>
      <c r="M18" s="239"/>
      <c r="N18" s="239"/>
      <c r="O18" s="239"/>
      <c r="P18" s="239"/>
      <c r="Q18" s="239"/>
      <c r="R18" s="239"/>
      <c r="S18" s="239"/>
      <c r="T18" s="239"/>
      <c r="U18" s="239"/>
      <c r="V18" s="239"/>
      <c r="W18" s="239"/>
      <c r="X18" s="239"/>
      <c r="Y18" s="239"/>
      <c r="Z18" s="239"/>
      <c r="AA18" s="239"/>
      <c r="AB18" s="239"/>
      <c r="AC18" s="239"/>
      <c r="AD18" s="239"/>
      <c r="AE18" s="239"/>
      <c r="AF18" s="239"/>
      <c r="AG18" s="239"/>
      <c r="AH18" s="239"/>
      <c r="AI18" s="239"/>
      <c r="AJ18" s="239"/>
      <c r="AK18" s="239"/>
      <c r="AL18" s="239"/>
      <c r="AM18" s="239"/>
      <c r="AN18" s="239"/>
      <c r="AO18" s="239"/>
      <c r="AP18" s="239"/>
      <c r="AQ18" s="239"/>
      <c r="AR18" s="239"/>
      <c r="AS18" s="239"/>
      <c r="AT18" s="239"/>
      <c r="AU18" s="239"/>
      <c r="AV18" s="239"/>
      <c r="AW18" s="239"/>
      <c r="AX18" s="239"/>
      <c r="AY18" s="239"/>
      <c r="AZ18" s="239"/>
      <c r="BA18" s="239"/>
      <c r="BB18" s="239"/>
      <c r="BC18" s="239"/>
      <c r="BD18" s="239"/>
      <c r="BE18" s="239"/>
      <c r="BF18" s="239"/>
      <c r="BG18" s="239"/>
      <c r="BH18" s="239"/>
      <c r="BI18" s="239"/>
      <c r="BJ18" s="239"/>
      <c r="BK18" s="239"/>
      <c r="BL18" s="239"/>
      <c r="BM18" s="239"/>
      <c r="BN18" s="239"/>
      <c r="BO18" s="239"/>
      <c r="BP18" s="239"/>
      <c r="BQ18" s="239"/>
      <c r="BR18" s="239"/>
      <c r="BS18" s="239"/>
      <c r="BT18" s="239"/>
      <c r="BU18" s="239"/>
      <c r="BV18" s="239"/>
      <c r="BW18" s="239"/>
      <c r="BX18" s="239"/>
      <c r="BY18" s="239"/>
      <c r="BZ18" s="239"/>
      <c r="CA18" s="239"/>
      <c r="CB18" s="239"/>
      <c r="CC18" s="239"/>
      <c r="CD18" s="239"/>
      <c r="CE18" s="239"/>
      <c r="CF18" s="239"/>
      <c r="CG18" s="239"/>
      <c r="CH18" s="239"/>
      <c r="CI18" s="239"/>
      <c r="CJ18" s="239"/>
      <c r="CK18" s="239"/>
      <c r="CL18" s="239"/>
      <c r="CM18" s="239"/>
      <c r="CN18" s="239"/>
      <c r="CO18" s="239"/>
      <c r="CP18" s="239"/>
      <c r="CQ18" s="239"/>
      <c r="CR18" s="239"/>
      <c r="CS18" s="239"/>
      <c r="CT18" s="239"/>
      <c r="CU18" s="239"/>
      <c r="CV18" s="239"/>
      <c r="CW18" s="239"/>
      <c r="CX18" s="239"/>
      <c r="CY18" s="239"/>
      <c r="CZ18" s="239"/>
      <c r="DA18" s="239"/>
      <c r="DB18" s="239"/>
      <c r="DC18" s="239"/>
      <c r="DD18" s="239"/>
      <c r="DE18" s="239"/>
      <c r="DF18" s="239"/>
      <c r="DG18" s="239"/>
      <c r="DH18" s="239"/>
      <c r="DI18" s="239"/>
      <c r="DJ18" s="239"/>
      <c r="DK18" s="239"/>
      <c r="DL18" s="239"/>
      <c r="DM18" s="239"/>
      <c r="DN18" s="239"/>
      <c r="DO18" s="239"/>
      <c r="DP18" s="239"/>
      <c r="DQ18" s="239"/>
      <c r="DR18" s="239"/>
      <c r="DS18" s="239"/>
      <c r="DT18" s="239"/>
      <c r="DU18" s="239"/>
      <c r="DV18" s="239"/>
      <c r="DW18" s="239"/>
      <c r="DX18" s="239"/>
      <c r="DY18" s="239"/>
      <c r="DZ18" s="239"/>
      <c r="EA18" s="239"/>
      <c r="EB18" s="239"/>
      <c r="EC18" s="239"/>
      <c r="ED18" s="239"/>
      <c r="EE18" s="239"/>
      <c r="EF18" s="239"/>
      <c r="EG18" s="239"/>
      <c r="EH18" s="239"/>
      <c r="EI18" s="239"/>
      <c r="EJ18" s="239"/>
      <c r="EK18" s="239"/>
      <c r="EL18" s="239"/>
      <c r="EM18" s="239"/>
      <c r="EN18" s="239"/>
      <c r="EO18" s="239"/>
      <c r="EP18" s="239"/>
      <c r="EQ18" s="239"/>
      <c r="ER18" s="239"/>
      <c r="ES18" s="239"/>
      <c r="ET18" s="239"/>
      <c r="EU18" s="239"/>
      <c r="EV18" s="239"/>
      <c r="EW18" s="239"/>
      <c r="EX18" s="239"/>
      <c r="EY18" s="239"/>
      <c r="EZ18" s="239"/>
      <c r="FA18" s="239"/>
      <c r="FB18" s="239"/>
      <c r="FC18" s="239"/>
      <c r="FD18" s="239"/>
      <c r="FE18" s="239"/>
      <c r="FF18" s="239"/>
      <c r="FG18" s="239"/>
      <c r="FH18" s="239"/>
      <c r="FI18" s="239"/>
      <c r="FJ18" s="239"/>
      <c r="FK18" s="239"/>
      <c r="FL18" s="239"/>
      <c r="FM18" s="239"/>
      <c r="FN18" s="239"/>
      <c r="FO18" s="239"/>
      <c r="FP18" s="239"/>
      <c r="FQ18" s="239"/>
      <c r="FR18" s="239"/>
      <c r="FS18" s="239"/>
      <c r="FT18" s="239"/>
      <c r="FU18" s="239"/>
      <c r="FV18" s="239"/>
      <c r="FW18" s="239"/>
      <c r="FX18" s="239"/>
      <c r="FY18" s="239"/>
      <c r="FZ18" s="239"/>
      <c r="GA18" s="239"/>
      <c r="GB18" s="239"/>
      <c r="GC18" s="239"/>
      <c r="GD18" s="239"/>
      <c r="GE18" s="239"/>
      <c r="GF18" s="239"/>
      <c r="GG18" s="239"/>
      <c r="GH18" s="239"/>
      <c r="GI18" s="239"/>
      <c r="GJ18" s="239"/>
      <c r="GK18" s="239"/>
      <c r="GL18" s="239"/>
      <c r="GM18" s="239"/>
      <c r="GN18" s="239"/>
      <c r="GO18" s="239"/>
      <c r="GP18" s="239"/>
      <c r="GQ18" s="239"/>
      <c r="GR18" s="239"/>
      <c r="GS18" s="239"/>
      <c r="GT18" s="239"/>
      <c r="GU18" s="239"/>
      <c r="GV18" s="239"/>
      <c r="GW18" s="239"/>
      <c r="GX18" s="239"/>
      <c r="GY18" s="239"/>
      <c r="GZ18" s="239"/>
      <c r="HA18" s="239"/>
      <c r="HB18" s="239"/>
      <c r="HC18" s="239"/>
      <c r="HD18" s="239"/>
      <c r="HE18" s="239"/>
      <c r="HF18" s="239"/>
      <c r="HG18" s="239"/>
      <c r="HH18" s="239"/>
      <c r="HI18" s="239"/>
      <c r="HJ18" s="239"/>
      <c r="HK18" s="239"/>
      <c r="HL18" s="239"/>
      <c r="HM18" s="239"/>
      <c r="HN18" s="239"/>
      <c r="HO18" s="239"/>
      <c r="HP18" s="239"/>
      <c r="HQ18" s="239"/>
      <c r="HR18" s="239"/>
      <c r="HS18" s="239"/>
      <c r="HT18" s="239"/>
      <c r="HU18" s="239"/>
      <c r="HV18" s="239"/>
      <c r="HW18" s="239"/>
      <c r="HX18" s="239"/>
      <c r="HY18" s="239"/>
      <c r="HZ18" s="239"/>
      <c r="IA18" s="239"/>
      <c r="IB18" s="239"/>
      <c r="IC18" s="239"/>
      <c r="ID18" s="239"/>
      <c r="IE18" s="239"/>
      <c r="IF18" s="239"/>
      <c r="IG18" s="239"/>
      <c r="IH18" s="239"/>
      <c r="II18" s="239"/>
      <c r="IJ18" s="239"/>
      <c r="IK18" s="239"/>
      <c r="IL18" s="239"/>
      <c r="IM18" s="239"/>
      <c r="IN18" s="239"/>
      <c r="IO18" s="239"/>
      <c r="IP18" s="239"/>
      <c r="IQ18" s="239"/>
      <c r="IR18" s="239"/>
      <c r="IS18" s="239"/>
      <c r="IT18" s="239"/>
      <c r="IU18" s="239"/>
      <c r="IV18" s="239"/>
      <c r="IW18" s="239"/>
      <c r="IX18" s="239"/>
      <c r="IY18" s="239"/>
      <c r="IZ18" s="239"/>
      <c r="JA18" s="239"/>
      <c r="JB18" s="239"/>
      <c r="JC18" s="239"/>
      <c r="JD18" s="239"/>
      <c r="JE18" s="239"/>
      <c r="JF18" s="239"/>
      <c r="JG18" s="239"/>
      <c r="JH18" s="239"/>
      <c r="JI18" s="239"/>
      <c r="JJ18" s="239"/>
      <c r="JK18" s="239"/>
      <c r="JL18" s="239"/>
      <c r="JM18" s="239"/>
      <c r="JN18" s="239"/>
      <c r="JO18" s="239"/>
      <c r="JP18" s="239"/>
      <c r="JQ18" s="239"/>
      <c r="JR18" s="239"/>
      <c r="JS18" s="239"/>
      <c r="JT18" s="239"/>
      <c r="JU18" s="239"/>
      <c r="JV18" s="239"/>
      <c r="JW18" s="239"/>
      <c r="JX18" s="239"/>
      <c r="JY18" s="239"/>
      <c r="JZ18" s="239"/>
      <c r="KA18" s="239"/>
      <c r="KB18" s="239"/>
      <c r="KC18" s="239"/>
      <c r="KD18" s="239"/>
      <c r="KE18" s="239"/>
      <c r="KF18" s="239"/>
      <c r="KG18" s="239"/>
      <c r="KH18" s="239"/>
      <c r="KI18" s="239"/>
      <c r="KJ18" s="239"/>
      <c r="KK18" s="239"/>
      <c r="KL18" s="239"/>
      <c r="KM18" s="239"/>
      <c r="KN18" s="239"/>
      <c r="KO18" s="239"/>
      <c r="KP18" s="239"/>
      <c r="KQ18" s="239"/>
      <c r="KR18" s="239"/>
      <c r="KS18" s="239"/>
      <c r="KT18" s="239"/>
      <c r="KU18" s="92"/>
    </row>
    <row r="19" spans="1:307" s="148" customFormat="1" x14ac:dyDescent="0.15">
      <c r="A19" s="148" t="s">
        <v>301</v>
      </c>
      <c r="B19" s="148">
        <v>0</v>
      </c>
      <c r="C19" s="92" t="s">
        <v>302</v>
      </c>
      <c r="D19" s="240"/>
      <c r="E19" s="241">
        <f>E37</f>
        <v>7.9629454816038727</v>
      </c>
      <c r="F19" s="242">
        <f>IF(F4&gt;=Leadsheet!$E$13,0,F37-SUM(F20:F33))</f>
        <v>6.9575188389529412</v>
      </c>
      <c r="G19" s="242">
        <f>IF(G4&gt;=Leadsheet!$E$13,0,G37-SUM(G20:G33))</f>
        <v>6.5683105998294389</v>
      </c>
      <c r="H19" s="242">
        <f>IF(H4&gt;=Leadsheet!$E$13,0,H37-SUM(H20:H33))</f>
        <v>6.1909858586234856</v>
      </c>
      <c r="I19" s="242">
        <f>IF(I4&gt;=Leadsheet!$E$13,0,I37-SUM(I20:I33))</f>
        <v>5.8236564192758973</v>
      </c>
      <c r="J19" s="242">
        <f>IF(J4&gt;=Leadsheet!$E$13,0,J37-SUM(J20:J33))</f>
        <v>5.4645327661786958</v>
      </c>
      <c r="K19" s="242">
        <f>IF(K4&gt;=Leadsheet!$E$13,0,K37-SUM(K20:K33))</f>
        <v>5.1127453904802564</v>
      </c>
      <c r="L19" s="242">
        <f>IF(L4&gt;=Leadsheet!$E$13,0,L37-SUM(L20:L33))</f>
        <v>4.767434392344108</v>
      </c>
      <c r="M19" s="242">
        <f>IF(M4&gt;=Leadsheet!$E$13,0,M37-SUM(M20:M33))</f>
        <v>4.4285403511842238</v>
      </c>
      <c r="N19" s="242">
        <f>IF(N4&gt;=Leadsheet!$E$13,0,N37-SUM(N20:N33))</f>
        <v>0</v>
      </c>
      <c r="O19" s="242">
        <f>IF(O4&gt;=Leadsheet!$E$13,0,O37-SUM(O20:O33))</f>
        <v>0</v>
      </c>
      <c r="P19" s="242">
        <f>IF(P4&gt;=Leadsheet!$E$13,0,P37-SUM(P20:P33))</f>
        <v>0</v>
      </c>
      <c r="Q19" s="242">
        <f>IF(Q4&gt;=Leadsheet!$E$13,0,Q37-SUM(Q20:Q33))</f>
        <v>0</v>
      </c>
      <c r="R19" s="242">
        <f>IF(R4&gt;=Leadsheet!$E$13,0,R37-SUM(R20:R33))</f>
        <v>0</v>
      </c>
      <c r="S19" s="242">
        <f>IF(S4&gt;=Leadsheet!$E$13,0,S37-SUM(S20:S33))</f>
        <v>0</v>
      </c>
      <c r="T19" s="242">
        <f>IF(T4&gt;=Leadsheet!$E$13,0,T37-SUM(T20:T33))</f>
        <v>0</v>
      </c>
      <c r="U19" s="242">
        <f>IF(U4&gt;=Leadsheet!$E$13,0,U37-SUM(U20:U33))</f>
        <v>0</v>
      </c>
      <c r="V19" s="242">
        <f>IF(V4&gt;=Leadsheet!$E$13,0,V37-SUM(V20:V33))</f>
        <v>0</v>
      </c>
      <c r="W19" s="242">
        <f>IF(W4&gt;=Leadsheet!$E$13,0,W37-SUM(W20:W33))</f>
        <v>0</v>
      </c>
      <c r="X19" s="242">
        <f>IF(X4&gt;=Leadsheet!$E$13,0,X37-SUM(X20:X33))</f>
        <v>0</v>
      </c>
      <c r="Y19" s="242">
        <f>IF(Y4&gt;=Leadsheet!$E$13,0,Y37-SUM(Y20:Y33))</f>
        <v>0</v>
      </c>
      <c r="Z19" s="242">
        <f>IF(Z4&gt;=Leadsheet!$E$13,0,Z37-SUM(Z20:Z33))</f>
        <v>0</v>
      </c>
      <c r="AA19" s="242">
        <f>IF(AA4&gt;=Leadsheet!$E$13,0,AA37-SUM(AA20:AA33))</f>
        <v>0</v>
      </c>
      <c r="AB19" s="242">
        <f>IF(AB4&gt;=Leadsheet!$E$13,0,AB37-SUM(AB20:AB33))</f>
        <v>0</v>
      </c>
      <c r="AC19" s="242">
        <f>IF(AC4&gt;=Leadsheet!$E$13,0,AC37-SUM(AC20:AC33))</f>
        <v>0</v>
      </c>
      <c r="AD19" s="242">
        <f>IF(AD4&gt;=Leadsheet!$E$13,0,AD37-SUM(AD20:AD33))</f>
        <v>0</v>
      </c>
      <c r="AE19" s="242">
        <f>IF(AE4&gt;=Leadsheet!$E$13,0,AE37-SUM(AE20:AE33))</f>
        <v>0</v>
      </c>
      <c r="AF19" s="242">
        <f>IF(AF4&gt;=Leadsheet!$E$13,0,AF37-SUM(AF20:AF33))</f>
        <v>0</v>
      </c>
      <c r="AG19" s="242">
        <f>IF(AG4&gt;=Leadsheet!$E$13,0,AG37-SUM(AG20:AG33))</f>
        <v>0</v>
      </c>
      <c r="AH19" s="242">
        <f>IF(AH4&gt;=Leadsheet!$E$13,0,AH37-SUM(AH20:AH33))</f>
        <v>0</v>
      </c>
      <c r="AI19" s="242">
        <f>IF(AI4&gt;=Leadsheet!$E$13,0,AI37-SUM(AI20:AI33))</f>
        <v>0</v>
      </c>
      <c r="AJ19" s="242">
        <f>IF(AJ4&gt;=Leadsheet!$E$13,0,AJ37-SUM(AJ20:AJ33))</f>
        <v>0</v>
      </c>
      <c r="AK19" s="242">
        <f>IF(AK4&gt;=Leadsheet!$E$13,0,AK37-SUM(AK20:AK33))</f>
        <v>0</v>
      </c>
      <c r="AL19" s="242">
        <f>IF(AL4&gt;=Leadsheet!$E$13,0,AL37-SUM(AL20:AL33))</f>
        <v>0</v>
      </c>
      <c r="AM19" s="242">
        <f>IF(AM4&gt;=Leadsheet!$E$13,0,AM37-SUM(AM20:AM33))</f>
        <v>0</v>
      </c>
      <c r="AN19" s="242">
        <f>IF(AN4&gt;=Leadsheet!$E$13,0,AN37-SUM(AN20:AN33))</f>
        <v>0</v>
      </c>
      <c r="AO19" s="242">
        <f>IF(AO4&gt;=Leadsheet!$E$13,0,AO37-SUM(AO20:AO33))</f>
        <v>0</v>
      </c>
      <c r="AP19" s="242">
        <f>IF(AP4&gt;=Leadsheet!$E$13,0,AP37-SUM(AP20:AP33))</f>
        <v>0</v>
      </c>
      <c r="AQ19" s="242">
        <f>IF(AQ4&gt;=Leadsheet!$E$13,0,AQ37-SUM(AQ20:AQ33))</f>
        <v>0</v>
      </c>
      <c r="AR19" s="242">
        <f>IF(AR4&gt;=Leadsheet!$E$13,0,AR37-SUM(AR20:AR33))</f>
        <v>0</v>
      </c>
      <c r="AS19" s="242">
        <f>IF(AS4&gt;=Leadsheet!$E$13,0,AS37-SUM(AS20:AS33))</f>
        <v>0</v>
      </c>
      <c r="AT19" s="242">
        <f>IF(AT4&gt;=Leadsheet!$E$13,0,AT37-SUM(AT20:AT33))</f>
        <v>0</v>
      </c>
      <c r="AU19" s="242">
        <f>IF(AU4&gt;=Leadsheet!$E$13,0,AU37-SUM(AU20:AU33))</f>
        <v>0</v>
      </c>
      <c r="AV19" s="242">
        <f>IF(AV4&gt;=Leadsheet!$E$13,0,AV37-SUM(AV20:AV33))</f>
        <v>0</v>
      </c>
      <c r="AW19" s="242">
        <f>IF(AW4&gt;=Leadsheet!$E$13,0,AW37-SUM(AW20:AW33))</f>
        <v>0</v>
      </c>
      <c r="AX19" s="242">
        <f>IF(AX4&gt;=Leadsheet!$E$13,0,AX37-SUM(AX20:AX33))</f>
        <v>0</v>
      </c>
      <c r="AY19" s="242">
        <f>IF(AY4&gt;=Leadsheet!$E$13,0,AY37-SUM(AY20:AY33))</f>
        <v>0</v>
      </c>
      <c r="AZ19" s="242">
        <f>IF(AZ4&gt;=Leadsheet!$E$13,0,AZ37-SUM(AZ20:AZ33))</f>
        <v>0</v>
      </c>
      <c r="BA19" s="242">
        <f>IF(BA4&gt;=Leadsheet!$E$13,0,BA37-SUM(BA20:BA33))</f>
        <v>0</v>
      </c>
      <c r="BB19" s="242">
        <f>IF(BB4&gt;=Leadsheet!$E$13,0,BB37-SUM(BB20:BB33))</f>
        <v>0</v>
      </c>
      <c r="BC19" s="242">
        <f>IF(BC4&gt;=Leadsheet!$E$13,0,BC37-SUM(BC20:BC33))</f>
        <v>0</v>
      </c>
      <c r="BD19" s="242">
        <f>IF(BD4&gt;=Leadsheet!$E$13,0,BD37-SUM(BD20:BD33))</f>
        <v>0</v>
      </c>
      <c r="BE19" s="242">
        <f>IF(BE4&gt;=Leadsheet!$E$13,0,BE37-SUM(BE20:BE33))</f>
        <v>0</v>
      </c>
      <c r="BF19" s="242">
        <f>IF(BF4&gt;=Leadsheet!$E$13,0,BF37-SUM(BF20:BF33))</f>
        <v>0</v>
      </c>
      <c r="BG19" s="242">
        <f>IF(BG4&gt;=Leadsheet!$E$13,0,BG37-SUM(BG20:BG33))</f>
        <v>0</v>
      </c>
      <c r="BH19" s="242">
        <f>IF(BH4&gt;=Leadsheet!$E$13,0,BH37-SUM(BH20:BH33))</f>
        <v>0</v>
      </c>
      <c r="BI19" s="242">
        <f>IF(BI4&gt;=Leadsheet!$E$13,0,BI37-SUM(BI20:BI33))</f>
        <v>0</v>
      </c>
      <c r="BJ19" s="242">
        <f>IF(BJ4&gt;=Leadsheet!$E$13,0,BJ37-SUM(BJ20:BJ33))</f>
        <v>0</v>
      </c>
      <c r="BK19" s="242">
        <f>IF(BK4&gt;=Leadsheet!$E$13,0,BK37-SUM(BK20:BK33))</f>
        <v>0</v>
      </c>
      <c r="BL19" s="242">
        <f>IF(BL4&gt;=Leadsheet!$E$13,0,BL37-SUM(BL20:BL33))</f>
        <v>0</v>
      </c>
      <c r="BM19" s="242">
        <f>IF(BM4&gt;=Leadsheet!$E$13,0,BM37-SUM(BM20:BM33))</f>
        <v>0</v>
      </c>
      <c r="KU19" s="92"/>
    </row>
    <row r="20" spans="1:307" s="148" customFormat="1" x14ac:dyDescent="0.15">
      <c r="A20" s="148" t="s">
        <v>303</v>
      </c>
      <c r="B20" s="148">
        <v>30</v>
      </c>
      <c r="C20" s="92" t="s">
        <v>304</v>
      </c>
      <c r="D20" s="240"/>
      <c r="E20" s="241"/>
      <c r="F20" s="242">
        <f>IF(F$4&gt;$F$6,0,E19*IF(F$5&gt;=1,Leadsheet!$D87,Leadsheet!$E87))</f>
        <v>0.16722185511368134</v>
      </c>
      <c r="G20" s="242">
        <f>IF(G$4&gt;$F$6,0,F19*IF(G$5&gt;=1,Leadsheet!$D87,Leadsheet!$E87))</f>
        <v>0.14610789561801177</v>
      </c>
      <c r="H20" s="242">
        <f>IF(H$4&gt;$F$6,0,G19*IF(H$5&gt;=1,Leadsheet!$D87,Leadsheet!$E87))</f>
        <v>0.13793452259641822</v>
      </c>
      <c r="I20" s="242">
        <f>IF(I$4&gt;$F$6,0,H19*IF(I$5&gt;=1,Leadsheet!$D87,Leadsheet!$E87))</f>
        <v>0.13001070303109322</v>
      </c>
      <c r="J20" s="242">
        <f>IF(J$4&gt;$F$6,0,I19*IF(J$5&gt;=1,Leadsheet!$D87,Leadsheet!$E87))</f>
        <v>0.12229678480479385</v>
      </c>
      <c r="K20" s="242">
        <f>IF(K$4&gt;$F$6,0,J19*IF(K$5&gt;=1,Leadsheet!$D87,Leadsheet!$E87))</f>
        <v>0.11475518808975262</v>
      </c>
      <c r="L20" s="242">
        <f>IF(L$4&gt;$F$6,0,K19*IF(L$5&gt;=1,Leadsheet!$D87,Leadsheet!$E87))</f>
        <v>0.10736765320008539</v>
      </c>
      <c r="M20" s="242">
        <f>IF(M$4&gt;$F$6,0,L19*IF(M$5&gt;=1,Leadsheet!$D87,Leadsheet!$E87))</f>
        <v>0.10011612223922628</v>
      </c>
      <c r="N20" s="242">
        <f>IF(N$4&gt;$F$6,0,M19*IF(N$5&gt;=1,Leadsheet!$D87,Leadsheet!$E87))</f>
        <v>0.88570807023684484</v>
      </c>
      <c r="O20" s="242">
        <f>IF(O$4&gt;$F$6,0,N19*IF(O$5&gt;=1,Leadsheet!$D87,Leadsheet!$E87))</f>
        <v>0</v>
      </c>
      <c r="P20" s="242">
        <f>IF(P$4&gt;$F$6,0,O19*IF(P$5&gt;=1,Leadsheet!$D87,Leadsheet!$E87))</f>
        <v>0</v>
      </c>
      <c r="Q20" s="242">
        <f>IF(Q$4&gt;$F$6,0,P19*IF(Q$5&gt;=1,Leadsheet!$D87,Leadsheet!$E87))</f>
        <v>0</v>
      </c>
      <c r="R20" s="242">
        <f>IF(R$4&gt;$F$6,0,Q19*IF(R$5&gt;=1,Leadsheet!$D87,Leadsheet!$E87))</f>
        <v>0</v>
      </c>
      <c r="S20" s="242">
        <f>IF(S$4&gt;$F$6,0,R19*IF(S$5&gt;=1,Leadsheet!$D87,Leadsheet!$E87))</f>
        <v>0</v>
      </c>
      <c r="T20" s="242">
        <f>IF(T$4&gt;$F$6,0,S19*IF(T$5&gt;=1,Leadsheet!$D87,Leadsheet!$E87))</f>
        <v>0</v>
      </c>
      <c r="U20" s="242">
        <f>IF(U$4&gt;$F$6,0,T19*IF(U$5&gt;=1,Leadsheet!$D87,Leadsheet!$E87))</f>
        <v>0</v>
      </c>
      <c r="V20" s="242">
        <f>IF(V$4&gt;$F$6,0,U19*IF(V$5&gt;=1,Leadsheet!$D87,Leadsheet!$E87))</f>
        <v>0</v>
      </c>
      <c r="W20" s="242">
        <f>IF(W$4&gt;$F$6,0,V19*IF(W$5&gt;=1,Leadsheet!$D87,Leadsheet!$E87))</f>
        <v>0</v>
      </c>
      <c r="X20" s="242">
        <f>IF(X$4&gt;$F$6,0,W19*IF(X$5&gt;=1,Leadsheet!$D87,Leadsheet!$E87))</f>
        <v>0</v>
      </c>
      <c r="Y20" s="242">
        <f>IF(Y$4&gt;$F$6,0,X19*IF(Y$5&gt;=1,Leadsheet!$D87,Leadsheet!$E87))</f>
        <v>0</v>
      </c>
      <c r="Z20" s="242">
        <f>IF(Z$4&gt;$F$6,0,Y19*IF(Z$5&gt;=1,Leadsheet!$D87,Leadsheet!$E87))</f>
        <v>0</v>
      </c>
      <c r="AA20" s="242">
        <f>IF(AA$4&gt;$F$6,0,Z19*IF(AA$5&gt;=1,Leadsheet!$D87,Leadsheet!$E87))</f>
        <v>0</v>
      </c>
      <c r="AB20" s="242">
        <f>IF(AB$4&gt;$F$6,0,AA19*IF(AB$5&gt;=1,Leadsheet!$D87,Leadsheet!$E87))</f>
        <v>0</v>
      </c>
      <c r="AC20" s="242">
        <f>IF(AC$4&gt;$F$6,0,AB19*IF(AC$5&gt;=1,Leadsheet!$D87,Leadsheet!$E87))</f>
        <v>0</v>
      </c>
      <c r="AD20" s="241">
        <f>IF(AD$4&gt;$F$6,0,AC19*Leadsheet!$D87)</f>
        <v>0</v>
      </c>
      <c r="AE20" s="241">
        <f>IF(AE$4&gt;$F$6,0,AD19*Leadsheet!$D87)</f>
        <v>0</v>
      </c>
      <c r="AF20" s="241">
        <f>IF(AF$4&gt;$F$6,0,AE19*Leadsheet!$D87)</f>
        <v>0</v>
      </c>
      <c r="AG20" s="241">
        <f>IF(AG$4&gt;$F$6,0,AF19*Leadsheet!$D87)</f>
        <v>0</v>
      </c>
      <c r="AH20" s="241">
        <f>IF(AH$4&gt;$F$6,0,AG19*Leadsheet!$D87)</f>
        <v>0</v>
      </c>
      <c r="AI20" s="241">
        <f>IF(AI$4&gt;$F$6,0,AH19*Leadsheet!$D87)</f>
        <v>0</v>
      </c>
      <c r="AJ20" s="241">
        <f>IF(AJ$4&gt;$F$6,0,AI19*Leadsheet!$D87)</f>
        <v>0</v>
      </c>
      <c r="AK20" s="241">
        <f>IF(AK$4&gt;$F$6,0,AJ19*Leadsheet!$D87)</f>
        <v>0</v>
      </c>
      <c r="AL20" s="241">
        <f>IF(AL$4&gt;$F$6,0,AK19*Leadsheet!$D87)</f>
        <v>0</v>
      </c>
      <c r="AM20" s="241">
        <f>IF(AM$4&gt;$F$6,0,AL19*Leadsheet!$D87)</f>
        <v>0</v>
      </c>
      <c r="AN20" s="241">
        <f>IF(AN$4&gt;$F$6,0,AM19*Leadsheet!$D87)</f>
        <v>0</v>
      </c>
      <c r="AO20" s="241">
        <f>IF(AO$4&gt;$F$6,0,AN19*Leadsheet!$D87)</f>
        <v>0</v>
      </c>
      <c r="AP20" s="241">
        <f>IF(AP$4&gt;$F$6,0,AO19*Leadsheet!$D87)</f>
        <v>0</v>
      </c>
      <c r="AQ20" s="241">
        <f>IF(AQ$4&gt;$F$6,0,AP19*Leadsheet!$D87)</f>
        <v>0</v>
      </c>
      <c r="AR20" s="241">
        <f>IF(AR$4&gt;$F$6,0,AQ19*Leadsheet!$D87)</f>
        <v>0</v>
      </c>
      <c r="AS20" s="241">
        <f>IF(AS$4&gt;$F$6,0,AR19*Leadsheet!$D87)</f>
        <v>0</v>
      </c>
      <c r="AT20" s="241">
        <f>IF(AT$4&gt;$F$6,0,AS19*Leadsheet!$D87)</f>
        <v>0</v>
      </c>
      <c r="AU20" s="241">
        <f>IF(AU$4&gt;$F$6,0,AT19*Leadsheet!$D87)</f>
        <v>0</v>
      </c>
      <c r="AV20" s="241">
        <f>IF(AV$4&gt;$F$6,0,AU19*Leadsheet!$D87)</f>
        <v>0</v>
      </c>
      <c r="AW20" s="241">
        <f>IF(AW$4&gt;$F$6,0,AV19*Leadsheet!$D87)</f>
        <v>0</v>
      </c>
      <c r="AX20" s="241">
        <f>IF(AX$4&gt;$F$6,0,AW19*Leadsheet!$D87)</f>
        <v>0</v>
      </c>
      <c r="AY20" s="241">
        <f>IF(AY$4&gt;$F$6,0,AX19*Leadsheet!$D87)</f>
        <v>0</v>
      </c>
      <c r="AZ20" s="241">
        <f>IF(AZ$4&gt;$F$6,0,AY19*Leadsheet!$D87)</f>
        <v>0</v>
      </c>
      <c r="BA20" s="241">
        <f>IF(BA$4&gt;$F$6,0,AZ19*Leadsheet!$D87)</f>
        <v>0</v>
      </c>
      <c r="BB20" s="241">
        <f>IF(BB$4&gt;$F$6,0,BA19*Leadsheet!$D87)</f>
        <v>0</v>
      </c>
      <c r="BC20" s="241">
        <f>IF(BC$4&gt;$F$6,0,BB19*Leadsheet!$D87)</f>
        <v>0</v>
      </c>
      <c r="BD20" s="241">
        <f>IF(BD$4&gt;$F$6,0,BC19*Leadsheet!$D87)</f>
        <v>0</v>
      </c>
      <c r="BE20" s="241">
        <f>IF(BE$4&gt;$F$6,0,BD19*Leadsheet!$D87)</f>
        <v>0</v>
      </c>
      <c r="BF20" s="241">
        <f>IF(BF$4&gt;$F$6,0,BE19*Leadsheet!$D87)</f>
        <v>0</v>
      </c>
      <c r="BG20" s="241">
        <f>IF(BG$4&gt;$F$6,0,BF19*Leadsheet!$D87)</f>
        <v>0</v>
      </c>
      <c r="BH20" s="241">
        <f>IF(BH$4&gt;$F$6,0,BG19*Leadsheet!$D87)</f>
        <v>0</v>
      </c>
      <c r="BI20" s="241">
        <f>IF(BI$4&gt;$F$6,0,BH19*Leadsheet!$D87)</f>
        <v>0</v>
      </c>
      <c r="BJ20" s="241">
        <f>IF(BJ$4&gt;$F$6,0,BI19*Leadsheet!$D87)</f>
        <v>0</v>
      </c>
      <c r="BK20" s="241">
        <f>IF(BK$4&gt;$F$6,0,BJ19*Leadsheet!$D87)</f>
        <v>0</v>
      </c>
      <c r="BL20" s="241">
        <f>IF(BL$4&gt;$F$6,0,BK19*Leadsheet!$D87)</f>
        <v>0</v>
      </c>
      <c r="BM20" s="241">
        <f>IF(BM$4&gt;$F$6,0,BL19*Leadsheet!$D87)</f>
        <v>0</v>
      </c>
      <c r="KU20" s="92"/>
    </row>
    <row r="21" spans="1:307" s="148" customFormat="1" x14ac:dyDescent="0.15">
      <c r="A21" s="148" t="s">
        <v>303</v>
      </c>
      <c r="B21" s="148">
        <v>60</v>
      </c>
      <c r="C21" s="92" t="s">
        <v>305</v>
      </c>
      <c r="D21" s="240"/>
      <c r="E21" s="241"/>
      <c r="F21" s="242">
        <f>IF(F$4&gt;$F$6,0,E20*IF(F$5&gt;=1,Leadsheet!$D88,Leadsheet!$E88))</f>
        <v>0</v>
      </c>
      <c r="G21" s="242">
        <f>IF(G$4&gt;$F$6,0,F20*IF(G$5&gt;=1,Leadsheet!$D88,Leadsheet!$E88))</f>
        <v>0.15886076235799726</v>
      </c>
      <c r="H21" s="242">
        <f>IF(H$4&gt;$F$6,0,G20*IF(H$5&gt;=1,Leadsheet!$D88,Leadsheet!$E88))</f>
        <v>0.13880250083711118</v>
      </c>
      <c r="I21" s="242">
        <f>IF(I$4&gt;$F$6,0,H20*IF(I$5&gt;=1,Leadsheet!$D88,Leadsheet!$E88))</f>
        <v>0.1310377964665973</v>
      </c>
      <c r="J21" s="242">
        <f>IF(J$4&gt;$F$6,0,I20*IF(J$5&gt;=1,Leadsheet!$D88,Leadsheet!$E88))</f>
        <v>0.12351016787953854</v>
      </c>
      <c r="K21" s="242">
        <f>IF(K$4&gt;$F$6,0,J20*IF(K$5&gt;=1,Leadsheet!$D88,Leadsheet!$E88))</f>
        <v>0.11618194556455415</v>
      </c>
      <c r="L21" s="242">
        <f>IF(L$4&gt;$F$6,0,K20*IF(L$5&gt;=1,Leadsheet!$D88,Leadsheet!$E88))</f>
        <v>0.10901742868526498</v>
      </c>
      <c r="M21" s="242">
        <f>IF(M$4&gt;$F$6,0,L20*IF(M$5&gt;=1,Leadsheet!$D88,Leadsheet!$E88))</f>
        <v>0.10199927054008111</v>
      </c>
      <c r="N21" s="242">
        <f>IF(N$4&gt;$F$6,0,M20*IF(N$5&gt;=1,Leadsheet!$D88,Leadsheet!$E88))</f>
        <v>7.0081285567458393E-2</v>
      </c>
      <c r="O21" s="242">
        <f>IF(O$4&gt;$F$6,0,N20*IF(O$5&gt;=1,Leadsheet!$D88,Leadsheet!$E88))</f>
        <v>0.61999564916579131</v>
      </c>
      <c r="P21" s="242">
        <f>IF(P$4&gt;$F$6,0,O20*IF(P$5&gt;=1,Leadsheet!$D88,Leadsheet!$E88))</f>
        <v>0</v>
      </c>
      <c r="Q21" s="242">
        <f>IF(Q$4&gt;$F$6,0,P20*IF(Q$5&gt;=1,Leadsheet!$D88,Leadsheet!$E88))</f>
        <v>0</v>
      </c>
      <c r="R21" s="242">
        <f>IF(R$4&gt;$F$6,0,Q20*IF(R$5&gt;=1,Leadsheet!$D88,Leadsheet!$E88))</f>
        <v>0</v>
      </c>
      <c r="S21" s="242">
        <f>IF(S$4&gt;$F$6,0,R20*IF(S$5&gt;=1,Leadsheet!$D88,Leadsheet!$E88))</f>
        <v>0</v>
      </c>
      <c r="T21" s="242">
        <f>IF(T$4&gt;$F$6,0,S20*IF(T$5&gt;=1,Leadsheet!$D88,Leadsheet!$E88))</f>
        <v>0</v>
      </c>
      <c r="U21" s="242">
        <f>IF(U$4&gt;$F$6,0,T20*IF(U$5&gt;=1,Leadsheet!$D88,Leadsheet!$E88))</f>
        <v>0</v>
      </c>
      <c r="V21" s="242">
        <f>IF(V$4&gt;$F$6,0,U20*IF(V$5&gt;=1,Leadsheet!$D88,Leadsheet!$E88))</f>
        <v>0</v>
      </c>
      <c r="W21" s="242">
        <f>IF(W$4&gt;$F$6,0,V20*IF(W$5&gt;=1,Leadsheet!$D88,Leadsheet!$E88))</f>
        <v>0</v>
      </c>
      <c r="X21" s="242">
        <f>IF(X$4&gt;$F$6,0,W20*IF(X$5&gt;=1,Leadsheet!$D88,Leadsheet!$E88))</f>
        <v>0</v>
      </c>
      <c r="Y21" s="242">
        <f>IF(Y$4&gt;$F$6,0,X20*IF(Y$5&gt;=1,Leadsheet!$D88,Leadsheet!$E88))</f>
        <v>0</v>
      </c>
      <c r="Z21" s="242">
        <f>IF(Z$4&gt;$F$6,0,Y20*IF(Z$5&gt;=1,Leadsheet!$D88,Leadsheet!$E88))</f>
        <v>0</v>
      </c>
      <c r="AA21" s="242">
        <f>IF(AA$4&gt;$F$6,0,Z20*IF(AA$5&gt;=1,Leadsheet!$D88,Leadsheet!$E88))</f>
        <v>0</v>
      </c>
      <c r="AB21" s="242">
        <f>IF(AB$4&gt;$F$6,0,AA20*IF(AB$5&gt;=1,Leadsheet!$D88,Leadsheet!$E88))</f>
        <v>0</v>
      </c>
      <c r="AC21" s="242">
        <f>IF(AC$4&gt;$F$6,0,AB20*IF(AC$5&gt;=1,Leadsheet!$D88,Leadsheet!$E88))</f>
        <v>0</v>
      </c>
      <c r="AD21" s="241">
        <f>IF(AD$4&gt;$F$6,0,AC20*Leadsheet!$D88)</f>
        <v>0</v>
      </c>
      <c r="AE21" s="241">
        <f>IF(AE$4&gt;$F$6,0,AD20*Leadsheet!$D88)</f>
        <v>0</v>
      </c>
      <c r="AF21" s="241">
        <f>IF(AF$4&gt;$F$6,0,AE20*Leadsheet!$D88)</f>
        <v>0</v>
      </c>
      <c r="AG21" s="241">
        <f>IF(AG$4&gt;$F$6,0,AF20*Leadsheet!$D88)</f>
        <v>0</v>
      </c>
      <c r="AH21" s="241">
        <f>IF(AH$4&gt;$F$6,0,AG20*Leadsheet!$D88)</f>
        <v>0</v>
      </c>
      <c r="AI21" s="241">
        <f>IF(AI$4&gt;$F$6,0,AH20*Leadsheet!$D88)</f>
        <v>0</v>
      </c>
      <c r="AJ21" s="241">
        <f>IF(AJ$4&gt;$F$6,0,AI20*Leadsheet!$D88)</f>
        <v>0</v>
      </c>
      <c r="AK21" s="241">
        <f>IF(AK$4&gt;$F$6,0,AJ20*Leadsheet!$D88)</f>
        <v>0</v>
      </c>
      <c r="AL21" s="241">
        <f>IF(AL$4&gt;$F$6,0,AK20*Leadsheet!$D88)</f>
        <v>0</v>
      </c>
      <c r="AM21" s="241">
        <f>IF(AM$4&gt;$F$6,0,AL20*Leadsheet!$D88)</f>
        <v>0</v>
      </c>
      <c r="AN21" s="241">
        <f>IF(AN$4&gt;$F$6,0,AM20*Leadsheet!$D88)</f>
        <v>0</v>
      </c>
      <c r="AO21" s="241">
        <f>IF(AO$4&gt;$F$6,0,AN20*Leadsheet!$D88)</f>
        <v>0</v>
      </c>
      <c r="AP21" s="241">
        <f>IF(AP$4&gt;$F$6,0,AO20*Leadsheet!$D88)</f>
        <v>0</v>
      </c>
      <c r="AQ21" s="241">
        <f>IF(AQ$4&gt;$F$6,0,AP20*Leadsheet!$D88)</f>
        <v>0</v>
      </c>
      <c r="AR21" s="241">
        <f>IF(AR$4&gt;$F$6,0,AQ20*Leadsheet!$D88)</f>
        <v>0</v>
      </c>
      <c r="AS21" s="241">
        <f>IF(AS$4&gt;$F$6,0,AR20*Leadsheet!$D88)</f>
        <v>0</v>
      </c>
      <c r="AT21" s="241">
        <f>IF(AT$4&gt;$F$6,0,AS20*Leadsheet!$D88)</f>
        <v>0</v>
      </c>
      <c r="AU21" s="241">
        <f>IF(AU$4&gt;$F$6,0,AT20*Leadsheet!$D88)</f>
        <v>0</v>
      </c>
      <c r="AV21" s="241">
        <f>IF(AV$4&gt;$F$6,0,AU20*Leadsheet!$D88)</f>
        <v>0</v>
      </c>
      <c r="AW21" s="241">
        <f>IF(AW$4&gt;$F$6,0,AV20*Leadsheet!$D88)</f>
        <v>0</v>
      </c>
      <c r="AX21" s="241">
        <f>IF(AX$4&gt;$F$6,0,AW20*Leadsheet!$D88)</f>
        <v>0</v>
      </c>
      <c r="AY21" s="241">
        <f>IF(AY$4&gt;$F$6,0,AX20*Leadsheet!$D88)</f>
        <v>0</v>
      </c>
      <c r="AZ21" s="241">
        <f>IF(AZ$4&gt;$F$6,0,AY20*Leadsheet!$D88)</f>
        <v>0</v>
      </c>
      <c r="BA21" s="241">
        <f>IF(BA$4&gt;$F$6,0,AZ20*Leadsheet!$D88)</f>
        <v>0</v>
      </c>
      <c r="BB21" s="241">
        <f>IF(BB$4&gt;$F$6,0,BA20*Leadsheet!$D88)</f>
        <v>0</v>
      </c>
      <c r="BC21" s="241">
        <f>IF(BC$4&gt;$F$6,0,BB20*Leadsheet!$D88)</f>
        <v>0</v>
      </c>
      <c r="BD21" s="241">
        <f>IF(BD$4&gt;$F$6,0,BC20*Leadsheet!$D88)</f>
        <v>0</v>
      </c>
      <c r="BE21" s="241">
        <f>IF(BE$4&gt;$F$6,0,BD20*Leadsheet!$D88)</f>
        <v>0</v>
      </c>
      <c r="BF21" s="241">
        <f>IF(BF$4&gt;$F$6,0,BE20*Leadsheet!$D88)</f>
        <v>0</v>
      </c>
      <c r="BG21" s="241">
        <f>IF(BG$4&gt;$F$6,0,BF20*Leadsheet!$D88)</f>
        <v>0</v>
      </c>
      <c r="BH21" s="241">
        <f>IF(BH$4&gt;$F$6,0,BG20*Leadsheet!$D88)</f>
        <v>0</v>
      </c>
      <c r="BI21" s="241">
        <f>IF(BI$4&gt;$F$6,0,BH20*Leadsheet!$D88)</f>
        <v>0</v>
      </c>
      <c r="BJ21" s="241">
        <f>IF(BJ$4&gt;$F$6,0,BI20*Leadsheet!$D88)</f>
        <v>0</v>
      </c>
      <c r="BK21" s="241">
        <f>IF(BK$4&gt;$F$6,0,BJ20*Leadsheet!$D88)</f>
        <v>0</v>
      </c>
      <c r="BL21" s="241">
        <f>IF(BL$4&gt;$F$6,0,BK20*Leadsheet!$D88)</f>
        <v>0</v>
      </c>
      <c r="BM21" s="241">
        <f>IF(BM$4&gt;$F$6,0,BL20*Leadsheet!$D88)</f>
        <v>0</v>
      </c>
      <c r="KU21" s="92"/>
    </row>
    <row r="22" spans="1:307" s="148" customFormat="1" x14ac:dyDescent="0.15">
      <c r="A22" s="148" t="s">
        <v>303</v>
      </c>
      <c r="B22" s="148">
        <v>90</v>
      </c>
      <c r="C22" s="92" t="s">
        <v>306</v>
      </c>
      <c r="D22" s="240"/>
      <c r="E22" s="241"/>
      <c r="F22" s="242">
        <f>IF(F$4&gt;$F$6,0,E21*IF(F$5&gt;=1,Leadsheet!$D89,Leadsheet!$E89))</f>
        <v>0</v>
      </c>
      <c r="G22" s="242">
        <f>IF(G$4&gt;$F$6,0,F21*IF(G$5&gt;=1,Leadsheet!$D89,Leadsheet!$E89))</f>
        <v>0</v>
      </c>
      <c r="H22" s="242">
        <f>IF(H$4&gt;$F$6,0,G21*IF(H$5&gt;=1,Leadsheet!$D89,Leadsheet!$E89))</f>
        <v>0.15409493948725733</v>
      </c>
      <c r="I22" s="242">
        <f>IF(I$4&gt;$F$6,0,H21*IF(I$5&gt;=1,Leadsheet!$D89,Leadsheet!$E89))</f>
        <v>0.13463842581199784</v>
      </c>
      <c r="J22" s="242">
        <f>IF(J$4&gt;$F$6,0,I21*IF(J$5&gt;=1,Leadsheet!$D89,Leadsheet!$E89))</f>
        <v>0.12710666257259937</v>
      </c>
      <c r="K22" s="242">
        <f>IF(K$4&gt;$F$6,0,J21*IF(K$5&gt;=1,Leadsheet!$D89,Leadsheet!$E89))</f>
        <v>0.11980486284315238</v>
      </c>
      <c r="L22" s="242">
        <f>IF(L$4&gt;$F$6,0,K21*IF(L$5&gt;=1,Leadsheet!$D89,Leadsheet!$E89))</f>
        <v>0.11269648719761752</v>
      </c>
      <c r="M22" s="242">
        <f>IF(M$4&gt;$F$6,0,L21*IF(M$5&gt;=1,Leadsheet!$D89,Leadsheet!$E89))</f>
        <v>0.10574690582470703</v>
      </c>
      <c r="N22" s="242">
        <f>IF(N$4&gt;$F$6,0,M21*IF(N$5&gt;=1,Leadsheet!$D89,Leadsheet!$E89))</f>
        <v>9.1799343486072993E-2</v>
      </c>
      <c r="O22" s="242">
        <f>IF(O$4&gt;$F$6,0,N21*IF(O$5&gt;=1,Leadsheet!$D89,Leadsheet!$E89))</f>
        <v>6.3073157010712561E-2</v>
      </c>
      <c r="P22" s="242">
        <f>IF(P$4&gt;$F$6,0,O21*IF(P$5&gt;=1,Leadsheet!$D89,Leadsheet!$E89))</f>
        <v>0.55799608424921221</v>
      </c>
      <c r="Q22" s="242">
        <f>IF(Q$4&gt;$F$6,0,P21*IF(Q$5&gt;=1,Leadsheet!$D89,Leadsheet!$E89))</f>
        <v>0</v>
      </c>
      <c r="R22" s="242">
        <f>IF(R$4&gt;$F$6,0,Q21*IF(R$5&gt;=1,Leadsheet!$D89,Leadsheet!$E89))</f>
        <v>0</v>
      </c>
      <c r="S22" s="242">
        <f>IF(S$4&gt;$F$6,0,R21*IF(S$5&gt;=1,Leadsheet!$D89,Leadsheet!$E89))</f>
        <v>0</v>
      </c>
      <c r="T22" s="242">
        <f>IF(T$4&gt;$F$6,0,S21*IF(T$5&gt;=1,Leadsheet!$D89,Leadsheet!$E89))</f>
        <v>0</v>
      </c>
      <c r="U22" s="242">
        <f>IF(U$4&gt;$F$6,0,T21*IF(U$5&gt;=1,Leadsheet!$D89,Leadsheet!$E89))</f>
        <v>0</v>
      </c>
      <c r="V22" s="242">
        <f>IF(V$4&gt;$F$6,0,U21*IF(V$5&gt;=1,Leadsheet!$D89,Leadsheet!$E89))</f>
        <v>0</v>
      </c>
      <c r="W22" s="242">
        <f>IF(W$4&gt;$F$6,0,V21*IF(W$5&gt;=1,Leadsheet!$D89,Leadsheet!$E89))</f>
        <v>0</v>
      </c>
      <c r="X22" s="242">
        <f>IF(X$4&gt;$F$6,0,W21*IF(X$5&gt;=1,Leadsheet!$D89,Leadsheet!$E89))</f>
        <v>0</v>
      </c>
      <c r="Y22" s="242">
        <f>IF(Y$4&gt;$F$6,0,X21*IF(Y$5&gt;=1,Leadsheet!$D89,Leadsheet!$E89))</f>
        <v>0</v>
      </c>
      <c r="Z22" s="242">
        <f>IF(Z$4&gt;$F$6,0,Y21*IF(Z$5&gt;=1,Leadsheet!$D89,Leadsheet!$E89))</f>
        <v>0</v>
      </c>
      <c r="AA22" s="242">
        <f>IF(AA$4&gt;$F$6,0,Z21*IF(AA$5&gt;=1,Leadsheet!$D89,Leadsheet!$E89))</f>
        <v>0</v>
      </c>
      <c r="AB22" s="242">
        <f>IF(AB$4&gt;$F$6,0,AA21*IF(AB$5&gt;=1,Leadsheet!$D89,Leadsheet!$E89))</f>
        <v>0</v>
      </c>
      <c r="AC22" s="242">
        <f>IF(AC$4&gt;$F$6,0,AB21*IF(AC$5&gt;=1,Leadsheet!$D89,Leadsheet!$E89))</f>
        <v>0</v>
      </c>
      <c r="AD22" s="241">
        <f>IF(AD$4&gt;$F$6,0,AC21*Leadsheet!$D89)</f>
        <v>0</v>
      </c>
      <c r="AE22" s="241">
        <f>IF(AE$4&gt;$F$6,0,AD21*Leadsheet!$D89)</f>
        <v>0</v>
      </c>
      <c r="AF22" s="241">
        <f>IF(AF$4&gt;$F$6,0,AE21*Leadsheet!$D89)</f>
        <v>0</v>
      </c>
      <c r="AG22" s="241">
        <f>IF(AG$4&gt;$F$6,0,AF21*Leadsheet!$D89)</f>
        <v>0</v>
      </c>
      <c r="AH22" s="241">
        <f>IF(AH$4&gt;$F$6,0,AG21*Leadsheet!$D89)</f>
        <v>0</v>
      </c>
      <c r="AI22" s="241">
        <f>IF(AI$4&gt;$F$6,0,AH21*Leadsheet!$D89)</f>
        <v>0</v>
      </c>
      <c r="AJ22" s="241">
        <f>IF(AJ$4&gt;$F$6,0,AI21*Leadsheet!$D89)</f>
        <v>0</v>
      </c>
      <c r="AK22" s="241">
        <f>IF(AK$4&gt;$F$6,0,AJ21*Leadsheet!$D89)</f>
        <v>0</v>
      </c>
      <c r="AL22" s="241">
        <f>IF(AL$4&gt;$F$6,0,AK21*Leadsheet!$D89)</f>
        <v>0</v>
      </c>
      <c r="AM22" s="241">
        <f>IF(AM$4&gt;$F$6,0,AL21*Leadsheet!$D89)</f>
        <v>0</v>
      </c>
      <c r="AN22" s="241">
        <f>IF(AN$4&gt;$F$6,0,AM21*Leadsheet!$D89)</f>
        <v>0</v>
      </c>
      <c r="AO22" s="241">
        <f>IF(AO$4&gt;$F$6,0,AN21*Leadsheet!$D89)</f>
        <v>0</v>
      </c>
      <c r="AP22" s="241">
        <f>IF(AP$4&gt;$F$6,0,AO21*Leadsheet!$D89)</f>
        <v>0</v>
      </c>
      <c r="AQ22" s="241">
        <f>IF(AQ$4&gt;$F$6,0,AP21*Leadsheet!$D89)</f>
        <v>0</v>
      </c>
      <c r="AR22" s="241">
        <f>IF(AR$4&gt;$F$6,0,AQ21*Leadsheet!$D89)</f>
        <v>0</v>
      </c>
      <c r="AS22" s="241">
        <f>IF(AS$4&gt;$F$6,0,AR21*Leadsheet!$D89)</f>
        <v>0</v>
      </c>
      <c r="AT22" s="241">
        <f>IF(AT$4&gt;$F$6,0,AS21*Leadsheet!$D89)</f>
        <v>0</v>
      </c>
      <c r="AU22" s="241">
        <f>IF(AU$4&gt;$F$6,0,AT21*Leadsheet!$D89)</f>
        <v>0</v>
      </c>
      <c r="AV22" s="241">
        <f>IF(AV$4&gt;$F$6,0,AU21*Leadsheet!$D89)</f>
        <v>0</v>
      </c>
      <c r="AW22" s="241">
        <v>0</v>
      </c>
      <c r="AX22" s="241">
        <f>IF(AX$4&gt;$F$6,0,AW21*Leadsheet!$D89)</f>
        <v>0</v>
      </c>
      <c r="AY22" s="241">
        <f>IF(AY$4&gt;$F$6,0,AX21*Leadsheet!$D89)</f>
        <v>0</v>
      </c>
      <c r="AZ22" s="241">
        <f>IF(AZ$4&gt;$F$6,0,AY21*Leadsheet!$D89)</f>
        <v>0</v>
      </c>
      <c r="BA22" s="241">
        <f>IF(BA$4&gt;$F$6,0,AZ21*Leadsheet!$D89)</f>
        <v>0</v>
      </c>
      <c r="BB22" s="241">
        <f>IF(BB$4&gt;$F$6,0,BA21*Leadsheet!$D89)</f>
        <v>0</v>
      </c>
      <c r="BC22" s="241">
        <f>IF(BC$4&gt;$F$6,0,BB21*Leadsheet!$D89)</f>
        <v>0</v>
      </c>
      <c r="BD22" s="241">
        <f>IF(BD$4&gt;$F$6,0,BC21*Leadsheet!$D89)</f>
        <v>0</v>
      </c>
      <c r="BE22" s="241">
        <f>IF(BE$4&gt;$F$6,0,BD21*Leadsheet!$D89)</f>
        <v>0</v>
      </c>
      <c r="BF22" s="241">
        <f>IF(BF$4&gt;$F$6,0,BE21*Leadsheet!$D89)</f>
        <v>0</v>
      </c>
      <c r="BG22" s="241">
        <f>IF(BG$4&gt;$F$6,0,BF21*Leadsheet!$D89)</f>
        <v>0</v>
      </c>
      <c r="BH22" s="241">
        <f>IF(BH$4&gt;$F$6,0,BG21*Leadsheet!$D89)</f>
        <v>0</v>
      </c>
      <c r="BI22" s="241">
        <f>IF(BI$4&gt;$F$6,0,BH21*Leadsheet!$D89)</f>
        <v>0</v>
      </c>
      <c r="BJ22" s="241">
        <f>IF(BJ$4&gt;$F$6,0,BI21*Leadsheet!$D89)</f>
        <v>0</v>
      </c>
      <c r="BK22" s="241">
        <f>IF(BK$4&gt;$F$6,0,BJ21*Leadsheet!$D89)</f>
        <v>0</v>
      </c>
      <c r="BL22" s="241">
        <f>IF(BL$4&gt;$F$6,0,BK21*Leadsheet!$D89)</f>
        <v>0</v>
      </c>
      <c r="BM22" s="241">
        <f>IF(BM$4&gt;$F$6,0,BL21*Leadsheet!$D89)</f>
        <v>0</v>
      </c>
      <c r="KU22" s="92"/>
    </row>
    <row r="23" spans="1:307" x14ac:dyDescent="0.15">
      <c r="A23" s="92" t="s">
        <v>307</v>
      </c>
      <c r="B23" s="92">
        <v>120</v>
      </c>
      <c r="C23" s="92" t="s">
        <v>308</v>
      </c>
      <c r="E23" s="243"/>
      <c r="F23" s="242">
        <f>IF(F$4&gt;$F$6,0,E22*IF(F$5&gt;=1,Leadsheet!$D90,Leadsheet!$E90))</f>
        <v>0</v>
      </c>
      <c r="G23" s="242">
        <f>IF(G$4&gt;$F$6,0,F22*IF(G$5&gt;=1,Leadsheet!$D90,Leadsheet!$E90))</f>
        <v>0</v>
      </c>
      <c r="H23" s="242">
        <f>IF(H$4&gt;$F$6,0,G22*IF(H$5&gt;=1,Leadsheet!$D90,Leadsheet!$E90))</f>
        <v>0</v>
      </c>
      <c r="I23" s="242">
        <f>IF(I$4&gt;$F$6,0,H22*IF(I$5&gt;=1,Leadsheet!$D90,Leadsheet!$E90))</f>
        <v>0.15101304069751217</v>
      </c>
      <c r="J23" s="242">
        <f>IF(J$4&gt;$F$6,0,I22*IF(J$5&gt;=1,Leadsheet!$D90,Leadsheet!$E90))</f>
        <v>0.13194565729575788</v>
      </c>
      <c r="K23" s="242">
        <f>IF(K$4&gt;$F$6,0,J22*IF(K$5&gt;=1,Leadsheet!$D90,Leadsheet!$E90))</f>
        <v>0.12456452932114738</v>
      </c>
      <c r="L23" s="242">
        <f>IF(L$4&gt;$F$6,0,K22*IF(L$5&gt;=1,Leadsheet!$D90,Leadsheet!$E90))</f>
        <v>0.11740876558628933</v>
      </c>
      <c r="M23" s="242">
        <f>IF(M$4&gt;$F$6,0,L22*IF(M$5&gt;=1,Leadsheet!$D90,Leadsheet!$E90))</f>
        <v>0.11044255745366517</v>
      </c>
      <c r="N23" s="242">
        <f>IF(N$4&gt;$F$6,0,M22*IF(N$5&gt;=1,Leadsheet!$D90,Leadsheet!$E90))</f>
        <v>0.10045956053347167</v>
      </c>
      <c r="O23" s="242">
        <f>IF(O$4&gt;$F$6,0,N22*IF(O$5&gt;=1,Leadsheet!$D90,Leadsheet!$E90))</f>
        <v>8.7209376311769338E-2</v>
      </c>
      <c r="P23" s="242">
        <f>IF(P$4&gt;$F$6,0,O22*IF(P$5&gt;=1,Leadsheet!$D90,Leadsheet!$E90))</f>
        <v>5.9919499160176928E-2</v>
      </c>
      <c r="Q23" s="242">
        <f>IF(Q$4&gt;$F$6,0,P22*IF(Q$5&gt;=1,Leadsheet!$D90,Leadsheet!$E90))</f>
        <v>0.53009628003675158</v>
      </c>
      <c r="R23" s="242">
        <f>IF(R$4&gt;$F$6,0,Q22*IF(R$5&gt;=1,Leadsheet!$D90,Leadsheet!$E90))</f>
        <v>0</v>
      </c>
      <c r="S23" s="242">
        <f>IF(S$4&gt;$F$6,0,R22*IF(S$5&gt;=1,Leadsheet!$D90,Leadsheet!$E90))</f>
        <v>0</v>
      </c>
      <c r="T23" s="242">
        <f>IF(T$4&gt;$F$6,0,S22*IF(T$5&gt;=1,Leadsheet!$D90,Leadsheet!$E90))</f>
        <v>0</v>
      </c>
      <c r="U23" s="242">
        <f>IF(U$4&gt;$F$6,0,T22*IF(U$5&gt;=1,Leadsheet!$D90,Leadsheet!$E90))</f>
        <v>0</v>
      </c>
      <c r="V23" s="242">
        <f>IF(V$4&gt;$F$6,0,U22*IF(V$5&gt;=1,Leadsheet!$D90,Leadsheet!$E90))</f>
        <v>0</v>
      </c>
      <c r="W23" s="242">
        <f>IF(W$4&gt;$F$6,0,V22*IF(W$5&gt;=1,Leadsheet!$D90,Leadsheet!$E90))</f>
        <v>0</v>
      </c>
      <c r="X23" s="242">
        <f>IF(X$4&gt;$F$6,0,W22*IF(X$5&gt;=1,Leadsheet!$D90,Leadsheet!$E90))</f>
        <v>0</v>
      </c>
      <c r="Y23" s="242">
        <f>IF(Y$4&gt;$F$6,0,X22*IF(Y$5&gt;=1,Leadsheet!$D90,Leadsheet!$E90))</f>
        <v>0</v>
      </c>
      <c r="Z23" s="242">
        <f>IF(Z$4&gt;$F$6,0,Y22*IF(Z$5&gt;=1,Leadsheet!$D90,Leadsheet!$E90))</f>
        <v>0</v>
      </c>
      <c r="AA23" s="242">
        <f>IF(AA$4&gt;$F$6,0,Z22*IF(AA$5&gt;=1,Leadsheet!$D90,Leadsheet!$E90))</f>
        <v>0</v>
      </c>
      <c r="AB23" s="242">
        <f>IF(AB$4&gt;$F$6,0,AA22*IF(AB$5&gt;=1,Leadsheet!$D90,Leadsheet!$E90))</f>
        <v>0</v>
      </c>
      <c r="AC23" s="242">
        <f>IF(AC$4&gt;$F$6,0,AB22*IF(AC$5&gt;=1,Leadsheet!$D90,Leadsheet!$E90))</f>
        <v>0</v>
      </c>
      <c r="AD23" s="241">
        <f>IF(AD$4&gt;$F$6,0,AC22*Leadsheet!$D90)</f>
        <v>0</v>
      </c>
      <c r="AE23" s="241">
        <f>IF(AE$4&gt;$F$6,0,AD22*Leadsheet!$D90)</f>
        <v>0</v>
      </c>
      <c r="AF23" s="241">
        <f>IF(AF$4&gt;$F$6,0,AE22*Leadsheet!$D90)</f>
        <v>0</v>
      </c>
      <c r="AG23" s="241">
        <f>IF(AG$4&gt;$F$6,0,AF22*Leadsheet!$D90)</f>
        <v>0</v>
      </c>
      <c r="AH23" s="241">
        <f>IF(AH$4&gt;$F$6,0,AG22*Leadsheet!$D90)</f>
        <v>0</v>
      </c>
      <c r="AI23" s="241">
        <f>IF(AI$4&gt;$F$6,0,AH22*Leadsheet!$D90)</f>
        <v>0</v>
      </c>
      <c r="AJ23" s="241">
        <f>IF(AJ$4&gt;$F$6,0,AI22*Leadsheet!$D90)</f>
        <v>0</v>
      </c>
      <c r="AK23" s="241">
        <f>IF(AK$4&gt;$F$6,0,AJ22*Leadsheet!$D90)</f>
        <v>0</v>
      </c>
      <c r="AL23" s="241">
        <f>IF(AL$4&gt;$F$6,0,AK22*Leadsheet!$D90)</f>
        <v>0</v>
      </c>
      <c r="AM23" s="241">
        <f>IF(AM$4&gt;$F$6,0,AL22*Leadsheet!$D90)</f>
        <v>0</v>
      </c>
      <c r="AN23" s="241">
        <f>IF(AN$4&gt;$F$6,0,AM22*Leadsheet!$D90)</f>
        <v>0</v>
      </c>
      <c r="AO23" s="241">
        <f>IF(AO$4&gt;$F$6,0,AN22*Leadsheet!$D90)</f>
        <v>0</v>
      </c>
      <c r="AP23" s="241">
        <f>IF(AP$4&gt;$F$6,0,AO22*Leadsheet!$D90)</f>
        <v>0</v>
      </c>
      <c r="AQ23" s="241">
        <f>IF(AQ$4&gt;$F$6,0,AP22*Leadsheet!$D90)</f>
        <v>0</v>
      </c>
      <c r="AR23" s="241">
        <f>IF(AR$4&gt;$F$6,0,AQ22*Leadsheet!$D90)</f>
        <v>0</v>
      </c>
      <c r="AS23" s="241">
        <f>IF(AS$4&gt;$F$6,0,AR22*Leadsheet!$D90)</f>
        <v>0</v>
      </c>
      <c r="AT23" s="241">
        <f>IF(AT$4&gt;$F$6,0,AS22*Leadsheet!$D90)</f>
        <v>0</v>
      </c>
      <c r="AU23" s="241">
        <f>IF(AU$4&gt;$F$6,0,AT22*Leadsheet!$D90)</f>
        <v>0</v>
      </c>
      <c r="AV23" s="241">
        <f>IF(AV$4&gt;$F$6,0,AU22*Leadsheet!$D90)</f>
        <v>0</v>
      </c>
      <c r="AW23" s="241">
        <f>IF(AW$4&gt;$F$6,0,AV22*Leadsheet!$D90)</f>
        <v>0</v>
      </c>
      <c r="AX23" s="241">
        <f>IF(AX$4&gt;$F$6,0,AW22*Leadsheet!$D90)</f>
        <v>0</v>
      </c>
      <c r="AY23" s="241">
        <f>IF(AY$4&gt;$F$6,0,AX22*Leadsheet!$D90)</f>
        <v>0</v>
      </c>
      <c r="AZ23" s="241">
        <f>IF(AZ$4&gt;$F$6,0,AY22*Leadsheet!$D90)</f>
        <v>0</v>
      </c>
      <c r="BA23" s="241">
        <f>IF(BA$4&gt;$F$6,0,AZ22*Leadsheet!$D90)</f>
        <v>0</v>
      </c>
      <c r="BB23" s="241">
        <f>IF(BB$4&gt;$F$6,0,BA22*Leadsheet!$D90)</f>
        <v>0</v>
      </c>
      <c r="BC23" s="241">
        <f>IF(BC$4&gt;$F$6,0,BB22*Leadsheet!$D90)</f>
        <v>0</v>
      </c>
      <c r="BD23" s="241">
        <f>IF(BD$4&gt;$F$6,0,BC22*Leadsheet!$D90)</f>
        <v>0</v>
      </c>
      <c r="BE23" s="241">
        <f>IF(BE$4&gt;$F$6,0,BD22*Leadsheet!$D90)</f>
        <v>0</v>
      </c>
      <c r="BF23" s="241">
        <f>IF(BF$4&gt;$F$6,0,BE22*Leadsheet!$D90)</f>
        <v>0</v>
      </c>
      <c r="BG23" s="241">
        <f>IF(BG$4&gt;$F$6,0,BF22*Leadsheet!$D90)</f>
        <v>0</v>
      </c>
      <c r="BH23" s="241">
        <f>IF(BH$4&gt;$F$6,0,BG22*Leadsheet!$D90)</f>
        <v>0</v>
      </c>
      <c r="BI23" s="241">
        <f>IF(BI$4&gt;$F$6,0,BH22*Leadsheet!$D90)</f>
        <v>0</v>
      </c>
      <c r="BJ23" s="241">
        <f>IF(BJ$4&gt;$F$6,0,BI22*Leadsheet!$D90)</f>
        <v>0</v>
      </c>
      <c r="BK23" s="241">
        <f>IF(BK$4&gt;$F$6,0,BJ22*Leadsheet!$D90)</f>
        <v>0</v>
      </c>
      <c r="BL23" s="241">
        <f>IF(BL$4&gt;$F$6,0,BK22*Leadsheet!$D90)</f>
        <v>0</v>
      </c>
      <c r="BM23" s="241">
        <f>IF(BM$4&gt;$F$6,0,BL22*Leadsheet!$D90)</f>
        <v>0</v>
      </c>
      <c r="BN23" s="148"/>
      <c r="BO23" s="148"/>
      <c r="BP23" s="148"/>
      <c r="BQ23" s="148"/>
      <c r="BR23" s="148"/>
      <c r="BS23" s="148"/>
      <c r="BT23" s="148"/>
      <c r="BU23" s="148"/>
      <c r="BV23" s="148"/>
      <c r="BW23" s="148"/>
      <c r="BX23" s="148"/>
      <c r="BY23" s="148"/>
      <c r="BZ23" s="148"/>
      <c r="CA23" s="148"/>
      <c r="CB23" s="148"/>
      <c r="CC23" s="148"/>
      <c r="CD23" s="148"/>
      <c r="CE23" s="148"/>
      <c r="CF23" s="148"/>
      <c r="CG23" s="148"/>
      <c r="CH23" s="148"/>
      <c r="CI23" s="148"/>
      <c r="CJ23" s="148"/>
      <c r="CK23" s="148"/>
      <c r="CL23" s="148"/>
      <c r="CM23" s="148"/>
      <c r="CN23" s="148"/>
      <c r="CO23" s="148"/>
      <c r="CP23" s="148"/>
      <c r="CQ23" s="148"/>
      <c r="CR23" s="148"/>
      <c r="CS23" s="148"/>
      <c r="CT23" s="148"/>
      <c r="CU23" s="148"/>
      <c r="CV23" s="148"/>
      <c r="CW23" s="148"/>
      <c r="CX23" s="148"/>
      <c r="CY23" s="148"/>
      <c r="CZ23" s="148"/>
      <c r="DA23" s="148"/>
      <c r="DB23" s="148"/>
      <c r="DC23" s="148"/>
      <c r="DD23" s="148"/>
      <c r="DE23" s="148"/>
      <c r="DF23" s="148"/>
      <c r="DG23" s="148"/>
      <c r="DH23" s="148"/>
      <c r="DI23" s="148"/>
      <c r="DJ23" s="148"/>
      <c r="DK23" s="148"/>
      <c r="DL23" s="148"/>
      <c r="DM23" s="148"/>
      <c r="DN23" s="148"/>
      <c r="DO23" s="148"/>
      <c r="DP23" s="148"/>
      <c r="DQ23" s="148"/>
      <c r="DR23" s="148"/>
      <c r="DS23" s="148"/>
      <c r="DT23" s="148"/>
      <c r="DU23" s="148"/>
      <c r="DV23" s="148"/>
      <c r="DW23" s="148"/>
      <c r="DX23" s="148"/>
      <c r="DY23" s="148"/>
      <c r="DZ23" s="148"/>
      <c r="EA23" s="148"/>
      <c r="EB23" s="148"/>
      <c r="EC23" s="148"/>
      <c r="ED23" s="148"/>
      <c r="EE23" s="148"/>
      <c r="EF23" s="148"/>
      <c r="EG23" s="148"/>
      <c r="EH23" s="148"/>
      <c r="EI23" s="148"/>
      <c r="EJ23" s="148"/>
      <c r="EK23" s="148"/>
      <c r="EL23" s="148"/>
      <c r="EM23" s="148"/>
      <c r="EN23" s="148"/>
      <c r="EO23" s="148"/>
      <c r="EP23" s="148"/>
      <c r="EQ23" s="148"/>
      <c r="ER23" s="148"/>
      <c r="ES23" s="148"/>
      <c r="ET23" s="148"/>
      <c r="EU23" s="148"/>
      <c r="EV23" s="148"/>
      <c r="EW23" s="148"/>
      <c r="EX23" s="148"/>
      <c r="EY23" s="148"/>
      <c r="EZ23" s="148"/>
      <c r="FA23" s="148"/>
      <c r="FB23" s="148"/>
      <c r="FC23" s="148"/>
      <c r="FD23" s="148"/>
      <c r="FE23" s="148"/>
      <c r="FF23" s="148"/>
      <c r="FG23" s="148"/>
      <c r="FH23" s="148"/>
      <c r="FI23" s="148"/>
      <c r="FJ23" s="148"/>
      <c r="FK23" s="148"/>
      <c r="FL23" s="148"/>
      <c r="FM23" s="148"/>
      <c r="FN23" s="148"/>
      <c r="FO23" s="148"/>
      <c r="FP23" s="148"/>
      <c r="FQ23" s="148"/>
      <c r="FR23" s="148"/>
      <c r="FS23" s="148"/>
      <c r="FT23" s="148"/>
      <c r="FU23" s="148"/>
      <c r="FV23" s="148"/>
      <c r="FW23" s="148"/>
      <c r="FX23" s="148"/>
      <c r="FY23" s="148"/>
      <c r="FZ23" s="148"/>
      <c r="GA23" s="148"/>
      <c r="GB23" s="148"/>
      <c r="GC23" s="148"/>
      <c r="GD23" s="148"/>
      <c r="GE23" s="148"/>
      <c r="GF23" s="148"/>
      <c r="GG23" s="148"/>
      <c r="GH23" s="148"/>
      <c r="GI23" s="148"/>
      <c r="GJ23" s="148"/>
      <c r="GK23" s="148"/>
      <c r="GL23" s="148"/>
      <c r="GM23" s="148"/>
      <c r="GN23" s="148"/>
      <c r="GO23" s="148"/>
      <c r="GP23" s="148"/>
      <c r="GQ23" s="148"/>
      <c r="GR23" s="148"/>
      <c r="GS23" s="148"/>
      <c r="GT23" s="148"/>
      <c r="GU23" s="148"/>
      <c r="GV23" s="148"/>
      <c r="GW23" s="148"/>
      <c r="GX23" s="148"/>
      <c r="GY23" s="148"/>
      <c r="GZ23" s="148"/>
      <c r="HA23" s="148"/>
      <c r="HB23" s="148"/>
      <c r="HC23" s="148"/>
      <c r="HD23" s="148"/>
      <c r="HE23" s="148"/>
      <c r="HF23" s="148"/>
      <c r="HG23" s="148"/>
      <c r="HH23" s="148"/>
      <c r="HI23" s="148"/>
      <c r="HJ23" s="148"/>
      <c r="HK23" s="148"/>
      <c r="HL23" s="148"/>
      <c r="HM23" s="148"/>
      <c r="HN23" s="148"/>
      <c r="HO23" s="148"/>
      <c r="HP23" s="148"/>
      <c r="HQ23" s="148"/>
      <c r="HR23" s="148"/>
      <c r="HS23" s="148"/>
      <c r="HT23" s="148"/>
      <c r="HU23" s="148"/>
      <c r="HV23" s="148"/>
      <c r="HW23" s="148"/>
      <c r="HX23" s="148"/>
      <c r="HY23" s="148"/>
      <c r="HZ23" s="148"/>
      <c r="IA23" s="148"/>
      <c r="IB23" s="148"/>
      <c r="IC23" s="148"/>
      <c r="ID23" s="148"/>
      <c r="IE23" s="148"/>
      <c r="IF23" s="148"/>
      <c r="IG23" s="148"/>
      <c r="IH23" s="148"/>
      <c r="II23" s="148"/>
      <c r="IJ23" s="148"/>
      <c r="IK23" s="148"/>
      <c r="IL23" s="148"/>
      <c r="IM23" s="148"/>
      <c r="IN23" s="148"/>
      <c r="IO23" s="148"/>
      <c r="IP23" s="148"/>
      <c r="IQ23" s="148"/>
      <c r="IR23" s="148"/>
      <c r="IS23" s="148"/>
      <c r="IT23" s="148"/>
      <c r="IU23" s="148"/>
      <c r="IV23" s="148"/>
      <c r="IW23" s="148"/>
      <c r="IX23" s="148"/>
      <c r="IY23" s="148"/>
      <c r="IZ23" s="148"/>
      <c r="JA23" s="148"/>
      <c r="JB23" s="148"/>
      <c r="JC23" s="148"/>
      <c r="JD23" s="148"/>
      <c r="JE23" s="148"/>
      <c r="JF23" s="148"/>
      <c r="JG23" s="148"/>
      <c r="JH23" s="148"/>
      <c r="JI23" s="148"/>
      <c r="JJ23" s="148"/>
      <c r="JK23" s="148"/>
      <c r="JL23" s="148"/>
      <c r="JM23" s="148"/>
      <c r="JN23" s="148"/>
      <c r="JO23" s="148"/>
      <c r="JP23" s="148"/>
      <c r="JQ23" s="148"/>
      <c r="JR23" s="148"/>
      <c r="JS23" s="148"/>
      <c r="JT23" s="148"/>
      <c r="JU23" s="148"/>
      <c r="JV23" s="148"/>
      <c r="JW23" s="148"/>
      <c r="JX23" s="148"/>
      <c r="JY23" s="148"/>
      <c r="JZ23" s="148"/>
      <c r="KA23" s="148"/>
      <c r="KB23" s="148"/>
      <c r="KC23" s="148"/>
      <c r="KD23" s="148"/>
      <c r="KE23" s="148"/>
      <c r="KF23" s="148"/>
      <c r="KG23" s="148"/>
      <c r="KH23" s="148"/>
      <c r="KI23" s="148"/>
      <c r="KJ23" s="148"/>
      <c r="KK23" s="148"/>
      <c r="KL23" s="148"/>
      <c r="KM23" s="148"/>
      <c r="KN23" s="148"/>
      <c r="KO23" s="148"/>
      <c r="KP23" s="148"/>
      <c r="KQ23" s="148"/>
      <c r="KR23" s="148"/>
      <c r="KS23" s="148"/>
      <c r="KT23" s="148"/>
    </row>
    <row r="24" spans="1:307" x14ac:dyDescent="0.15">
      <c r="A24" s="92" t="s">
        <v>307</v>
      </c>
      <c r="B24" s="92">
        <v>150</v>
      </c>
      <c r="C24" s="92" t="s">
        <v>309</v>
      </c>
      <c r="E24" s="243"/>
      <c r="F24" s="242">
        <f>IF(F$4&gt;$F$6,0,E23*IF(F$5&gt;=1,Leadsheet!$D91,Leadsheet!$E91))</f>
        <v>0</v>
      </c>
      <c r="G24" s="242">
        <f>IF(G$4&gt;$F$6,0,F23*IF(G$5&gt;=1,Leadsheet!$D91,Leadsheet!$E91))</f>
        <v>0</v>
      </c>
      <c r="H24" s="242">
        <f>IF(H$4&gt;$F$6,0,G23*IF(H$5&gt;=1,Leadsheet!$D91,Leadsheet!$E91))</f>
        <v>0</v>
      </c>
      <c r="I24" s="242">
        <f>IF(I$4&gt;$F$6,0,H23*IF(I$5&gt;=1,Leadsheet!$D91,Leadsheet!$E91))</f>
        <v>0</v>
      </c>
      <c r="J24" s="242">
        <f>IF(J$4&gt;$F$6,0,I23*IF(J$5&gt;=1,Leadsheet!$D91,Leadsheet!$E91))</f>
        <v>0.14950291029053706</v>
      </c>
      <c r="K24" s="242">
        <f>IF(K$4&gt;$F$6,0,J23*IF(K$5&gt;=1,Leadsheet!$D91,Leadsheet!$E91))</f>
        <v>0.13062620072280032</v>
      </c>
      <c r="L24" s="242">
        <f>IF(L$4&gt;$F$6,0,K23*IF(L$5&gt;=1,Leadsheet!$D91,Leadsheet!$E91))</f>
        <v>0.12331888402793591</v>
      </c>
      <c r="M24" s="242">
        <f>IF(M$4&gt;$F$6,0,L23*IF(M$5&gt;=1,Leadsheet!$D91,Leadsheet!$E91))</f>
        <v>0.11623467793042644</v>
      </c>
      <c r="N24" s="242">
        <f>IF(N$4&gt;$F$6,0,M23*IF(N$5&gt;=1,Leadsheet!$D91,Leadsheet!$E91))</f>
        <v>0.10933813187912853</v>
      </c>
      <c r="O24" s="242">
        <f>IF(O$4&gt;$F$6,0,N23*IF(O$5&gt;=1,Leadsheet!$D91,Leadsheet!$E91))</f>
        <v>9.9454964928136949E-2</v>
      </c>
      <c r="P24" s="242">
        <f>IF(P$4&gt;$F$6,0,O23*IF(P$5&gt;=1,Leadsheet!$D91,Leadsheet!$E91))</f>
        <v>8.6337282548651639E-2</v>
      </c>
      <c r="Q24" s="242">
        <f>IF(Q$4&gt;$F$6,0,P23*IF(Q$5&gt;=1,Leadsheet!$D91,Leadsheet!$E91))</f>
        <v>5.9320304168575158E-2</v>
      </c>
      <c r="R24" s="242">
        <f>IF(R$4&gt;$F$6,0,Q23*IF(R$5&gt;=1,Leadsheet!$D91,Leadsheet!$E91))</f>
        <v>0.52479531723638406</v>
      </c>
      <c r="S24" s="242">
        <f>IF(S$4&gt;$F$6,0,R23*IF(S$5&gt;=1,Leadsheet!$D91,Leadsheet!$E91))</f>
        <v>0</v>
      </c>
      <c r="T24" s="242">
        <f>IF(T$4&gt;$F$6,0,S23*IF(T$5&gt;=1,Leadsheet!$D91,Leadsheet!$E91))</f>
        <v>0</v>
      </c>
      <c r="U24" s="242">
        <f>IF(U$4&gt;$F$6,0,T23*IF(U$5&gt;=1,Leadsheet!$D91,Leadsheet!$E91))</f>
        <v>0</v>
      </c>
      <c r="V24" s="242">
        <f>IF(V$4&gt;$F$6,0,U23*IF(V$5&gt;=1,Leadsheet!$D91,Leadsheet!$E91))</f>
        <v>0</v>
      </c>
      <c r="W24" s="242">
        <f>IF(W$4&gt;$F$6,0,V23*IF(W$5&gt;=1,Leadsheet!$D91,Leadsheet!$E91))</f>
        <v>0</v>
      </c>
      <c r="X24" s="242">
        <f>IF(X$4&gt;$F$6,0,W23*IF(X$5&gt;=1,Leadsheet!$D91,Leadsheet!$E91))</f>
        <v>0</v>
      </c>
      <c r="Y24" s="242">
        <f>IF(Y$4&gt;$F$6,0,X23*IF(Y$5&gt;=1,Leadsheet!$D91,Leadsheet!$E91))</f>
        <v>0</v>
      </c>
      <c r="Z24" s="242">
        <f>IF(Z$4&gt;$F$6,0,Y23*IF(Z$5&gt;=1,Leadsheet!$D91,Leadsheet!$E91))</f>
        <v>0</v>
      </c>
      <c r="AA24" s="242">
        <f>IF(AA$4&gt;$F$6,0,Z23*IF(AA$5&gt;=1,Leadsheet!$D91,Leadsheet!$E91))</f>
        <v>0</v>
      </c>
      <c r="AB24" s="242">
        <f>IF(AB$4&gt;$F$6,0,AA23*IF(AB$5&gt;=1,Leadsheet!$D91,Leadsheet!$E91))</f>
        <v>0</v>
      </c>
      <c r="AC24" s="242">
        <f>IF(AC$4&gt;$F$6,0,AB23*IF(AC$5&gt;=1,Leadsheet!$D91,Leadsheet!$E91))</f>
        <v>0</v>
      </c>
      <c r="AD24" s="241">
        <f>IF(AD$4&gt;$F$6,0,AC23*Leadsheet!$D91)</f>
        <v>0</v>
      </c>
      <c r="AE24" s="241">
        <f>IF(AE$4&gt;$F$6,0,AD23*Leadsheet!$D91)</f>
        <v>0</v>
      </c>
      <c r="AF24" s="241">
        <f>IF(AF$4&gt;$F$6,0,AE23*Leadsheet!$D91)</f>
        <v>0</v>
      </c>
      <c r="AG24" s="241">
        <f>IF(AG$4&gt;$F$6,0,AF23*Leadsheet!$D91)</f>
        <v>0</v>
      </c>
      <c r="AH24" s="241">
        <f>IF(AH$4&gt;$F$6,0,AG23*Leadsheet!$D91)</f>
        <v>0</v>
      </c>
      <c r="AI24" s="241">
        <f>IF(AI$4&gt;$F$6,0,AH23*Leadsheet!$D91)</f>
        <v>0</v>
      </c>
      <c r="AJ24" s="241">
        <f>IF(AJ$4&gt;$F$6,0,AI23*Leadsheet!$D91)</f>
        <v>0</v>
      </c>
      <c r="AK24" s="241">
        <f>IF(AK$4&gt;$F$6,0,AJ23*Leadsheet!$D91)</f>
        <v>0</v>
      </c>
      <c r="AL24" s="241">
        <f>IF(AL$4&gt;$F$6,0,AK23*Leadsheet!$D91)</f>
        <v>0</v>
      </c>
      <c r="AM24" s="241">
        <f>IF(AM$4&gt;$F$6,0,AL23*Leadsheet!$D91)</f>
        <v>0</v>
      </c>
      <c r="AN24" s="241">
        <f>IF(AN$4&gt;$F$6,0,AM23*Leadsheet!$D91)</f>
        <v>0</v>
      </c>
      <c r="AO24" s="241">
        <f>IF(AO$4&gt;$F$6,0,AN23*Leadsheet!$D91)</f>
        <v>0</v>
      </c>
      <c r="AP24" s="241">
        <f>IF(AP$4&gt;$F$6,0,AO23*Leadsheet!$D91)</f>
        <v>0</v>
      </c>
      <c r="AQ24" s="241">
        <f>IF(AQ$4&gt;$F$6,0,AP23*Leadsheet!$D91)</f>
        <v>0</v>
      </c>
      <c r="AR24" s="241">
        <f>IF(AR$4&gt;$F$6,0,AQ23*Leadsheet!$D91)</f>
        <v>0</v>
      </c>
      <c r="AS24" s="241">
        <f>IF(AS$4&gt;$F$6,0,AR23*Leadsheet!$D91)</f>
        <v>0</v>
      </c>
      <c r="AT24" s="241">
        <f>IF(AT$4&gt;$F$6,0,AS23*Leadsheet!$D91)</f>
        <v>0</v>
      </c>
      <c r="AU24" s="241">
        <f>IF(AU$4&gt;$F$6,0,AT23*Leadsheet!$D91)</f>
        <v>0</v>
      </c>
      <c r="AV24" s="241">
        <f>IF(AV$4&gt;$F$6,0,AU23*Leadsheet!$D91)</f>
        <v>0</v>
      </c>
      <c r="AW24" s="241">
        <f>IF(AW$4&gt;$F$6,0,AV23*Leadsheet!$D91)</f>
        <v>0</v>
      </c>
      <c r="AX24" s="241">
        <f>IF(AX$4&gt;$F$6,0,AW23*Leadsheet!$D91)</f>
        <v>0</v>
      </c>
      <c r="AY24" s="241">
        <f>IF(AY$4&gt;$F$6,0,AX23*Leadsheet!$D91)</f>
        <v>0</v>
      </c>
      <c r="AZ24" s="241">
        <f>IF(AZ$4&gt;$F$6,0,AY23*Leadsheet!$D91)</f>
        <v>0</v>
      </c>
      <c r="BA24" s="241">
        <f>IF(BA$4&gt;$F$6,0,AZ23*Leadsheet!$D91)</f>
        <v>0</v>
      </c>
      <c r="BB24" s="241">
        <f>IF(BB$4&gt;$F$6,0,BA23*Leadsheet!$D91)</f>
        <v>0</v>
      </c>
      <c r="BC24" s="241">
        <f>IF(BC$4&gt;$F$6,0,BB23*Leadsheet!$D91)</f>
        <v>0</v>
      </c>
      <c r="BD24" s="241">
        <f>IF(BD$4&gt;$F$6,0,BC23*Leadsheet!$D91)</f>
        <v>0</v>
      </c>
      <c r="BE24" s="241">
        <f>IF(BE$4&gt;$F$6,0,BD23*Leadsheet!$D91)</f>
        <v>0</v>
      </c>
      <c r="BF24" s="241">
        <f>IF(BF$4&gt;$F$6,0,BE23*Leadsheet!$D91)</f>
        <v>0</v>
      </c>
      <c r="BG24" s="241">
        <f>IF(BG$4&gt;$F$6,0,BF23*Leadsheet!$D91)</f>
        <v>0</v>
      </c>
      <c r="BH24" s="241">
        <f>IF(BH$4&gt;$F$6,0,BG23*Leadsheet!$D91)</f>
        <v>0</v>
      </c>
      <c r="BI24" s="241">
        <f>IF(BI$4&gt;$F$6,0,BH23*Leadsheet!$D91)</f>
        <v>0</v>
      </c>
      <c r="BJ24" s="241">
        <f>IF(BJ$4&gt;$F$6,0,BI23*Leadsheet!$D91)</f>
        <v>0</v>
      </c>
      <c r="BK24" s="241">
        <f>IF(BK$4&gt;$F$6,0,BJ23*Leadsheet!$D91)</f>
        <v>0</v>
      </c>
      <c r="BL24" s="241">
        <f>IF(BL$4&gt;$F$6,0,BK23*Leadsheet!$D91)</f>
        <v>0</v>
      </c>
      <c r="BM24" s="241">
        <f>IF(BM$4&gt;$F$6,0,BL23*Leadsheet!$D91)</f>
        <v>0</v>
      </c>
      <c r="BN24" s="148"/>
      <c r="BO24" s="148"/>
      <c r="BP24" s="148"/>
      <c r="BQ24" s="148"/>
      <c r="BR24" s="148"/>
      <c r="BS24" s="148"/>
      <c r="BT24" s="148"/>
      <c r="BU24" s="148"/>
      <c r="BV24" s="148"/>
      <c r="BW24" s="148"/>
      <c r="BX24" s="148"/>
      <c r="BY24" s="148"/>
      <c r="BZ24" s="148"/>
      <c r="CA24" s="148"/>
      <c r="CB24" s="148"/>
      <c r="CC24" s="148"/>
      <c r="CD24" s="148"/>
      <c r="CE24" s="148"/>
      <c r="CF24" s="148"/>
      <c r="CG24" s="148"/>
      <c r="CH24" s="148"/>
      <c r="CI24" s="148"/>
      <c r="CJ24" s="148"/>
      <c r="CK24" s="148"/>
      <c r="CL24" s="148"/>
      <c r="CM24" s="148"/>
      <c r="CN24" s="148"/>
      <c r="CO24" s="148"/>
      <c r="CP24" s="148"/>
      <c r="CQ24" s="148"/>
      <c r="CR24" s="148"/>
      <c r="CS24" s="148"/>
      <c r="CT24" s="148"/>
      <c r="CU24" s="148"/>
      <c r="CV24" s="148"/>
      <c r="CW24" s="148"/>
      <c r="CX24" s="148"/>
      <c r="CY24" s="148"/>
      <c r="CZ24" s="148"/>
      <c r="DA24" s="148"/>
      <c r="DB24" s="148"/>
      <c r="DC24" s="148"/>
      <c r="DD24" s="148"/>
      <c r="DE24" s="148"/>
      <c r="DF24" s="148"/>
      <c r="DG24" s="148"/>
      <c r="DH24" s="148"/>
      <c r="DI24" s="148"/>
      <c r="DJ24" s="148"/>
      <c r="DK24" s="148"/>
      <c r="DL24" s="148"/>
      <c r="DM24" s="148"/>
      <c r="DN24" s="148"/>
      <c r="DO24" s="148"/>
      <c r="DP24" s="148"/>
      <c r="DQ24" s="148"/>
      <c r="DR24" s="148"/>
      <c r="DS24" s="148"/>
      <c r="DT24" s="148"/>
      <c r="DU24" s="148"/>
      <c r="DV24" s="148"/>
      <c r="DW24" s="148"/>
      <c r="DX24" s="148"/>
      <c r="DY24" s="148"/>
      <c r="DZ24" s="148"/>
      <c r="EA24" s="148"/>
      <c r="EB24" s="148"/>
      <c r="EC24" s="148"/>
      <c r="ED24" s="148"/>
      <c r="EE24" s="148"/>
      <c r="EF24" s="148"/>
      <c r="EG24" s="148"/>
      <c r="EH24" s="148"/>
      <c r="EI24" s="148"/>
      <c r="EJ24" s="148"/>
      <c r="EK24" s="148"/>
      <c r="EL24" s="148"/>
      <c r="EM24" s="148"/>
      <c r="EN24" s="148"/>
      <c r="EO24" s="148"/>
      <c r="EP24" s="148"/>
      <c r="EQ24" s="148"/>
      <c r="ER24" s="148"/>
      <c r="ES24" s="148"/>
      <c r="ET24" s="148"/>
      <c r="EU24" s="148"/>
      <c r="EV24" s="148"/>
      <c r="EW24" s="148"/>
      <c r="EX24" s="148"/>
      <c r="EY24" s="148"/>
      <c r="EZ24" s="148"/>
      <c r="FA24" s="148"/>
      <c r="FB24" s="148"/>
      <c r="FC24" s="148"/>
      <c r="FD24" s="148"/>
      <c r="FE24" s="148"/>
      <c r="FF24" s="148"/>
      <c r="FG24" s="148"/>
      <c r="FH24" s="148"/>
      <c r="FI24" s="148"/>
      <c r="FJ24" s="148"/>
      <c r="FK24" s="148"/>
      <c r="FL24" s="148"/>
      <c r="FM24" s="148"/>
      <c r="FN24" s="148"/>
      <c r="FO24" s="148"/>
      <c r="FP24" s="148"/>
      <c r="FQ24" s="148"/>
      <c r="FR24" s="148"/>
      <c r="FS24" s="148"/>
      <c r="FT24" s="148"/>
      <c r="FU24" s="148"/>
      <c r="FV24" s="148"/>
      <c r="FW24" s="148"/>
      <c r="FX24" s="148"/>
      <c r="FY24" s="148"/>
      <c r="FZ24" s="148"/>
      <c r="GA24" s="148"/>
      <c r="GB24" s="148"/>
      <c r="GC24" s="148"/>
      <c r="GD24" s="148"/>
      <c r="GE24" s="148"/>
      <c r="GF24" s="148"/>
      <c r="GG24" s="148"/>
      <c r="GH24" s="148"/>
      <c r="GI24" s="148"/>
      <c r="GJ24" s="148"/>
      <c r="GK24" s="148"/>
      <c r="GL24" s="148"/>
      <c r="GM24" s="148"/>
      <c r="GN24" s="148"/>
      <c r="GO24" s="148"/>
      <c r="GP24" s="148"/>
      <c r="GQ24" s="148"/>
      <c r="GR24" s="148"/>
      <c r="GS24" s="148"/>
      <c r="GT24" s="148"/>
      <c r="GU24" s="148"/>
      <c r="GV24" s="148"/>
      <c r="GW24" s="148"/>
      <c r="GX24" s="148"/>
      <c r="GY24" s="148"/>
      <c r="GZ24" s="148"/>
      <c r="HA24" s="148"/>
      <c r="HB24" s="148"/>
      <c r="HC24" s="148"/>
      <c r="HD24" s="148"/>
      <c r="HE24" s="148"/>
      <c r="HF24" s="148"/>
      <c r="HG24" s="148"/>
      <c r="HH24" s="148"/>
      <c r="HI24" s="148"/>
      <c r="HJ24" s="148"/>
      <c r="HK24" s="148"/>
      <c r="HL24" s="148"/>
      <c r="HM24" s="148"/>
      <c r="HN24" s="148"/>
      <c r="HO24" s="148"/>
      <c r="HP24" s="148"/>
      <c r="HQ24" s="148"/>
      <c r="HR24" s="148"/>
      <c r="HS24" s="148"/>
      <c r="HT24" s="148"/>
      <c r="HU24" s="148"/>
      <c r="HV24" s="148"/>
      <c r="HW24" s="148"/>
      <c r="HX24" s="148"/>
      <c r="HY24" s="148"/>
      <c r="HZ24" s="148"/>
      <c r="IA24" s="148"/>
      <c r="IB24" s="148"/>
      <c r="IC24" s="148"/>
      <c r="ID24" s="148"/>
      <c r="IE24" s="148"/>
      <c r="IF24" s="148"/>
      <c r="IG24" s="148"/>
      <c r="IH24" s="148"/>
      <c r="II24" s="148"/>
      <c r="IJ24" s="148"/>
      <c r="IK24" s="148"/>
      <c r="IL24" s="148"/>
      <c r="IM24" s="148"/>
      <c r="IN24" s="148"/>
      <c r="IO24" s="148"/>
      <c r="IP24" s="148"/>
      <c r="IQ24" s="148"/>
      <c r="IR24" s="148"/>
      <c r="IS24" s="148"/>
      <c r="IT24" s="148"/>
      <c r="IU24" s="148"/>
      <c r="IV24" s="148"/>
      <c r="IW24" s="148"/>
      <c r="IX24" s="148"/>
      <c r="IY24" s="148"/>
      <c r="IZ24" s="148"/>
      <c r="JA24" s="148"/>
      <c r="JB24" s="148"/>
      <c r="JC24" s="148"/>
      <c r="JD24" s="148"/>
      <c r="JE24" s="148"/>
      <c r="JF24" s="148"/>
      <c r="JG24" s="148"/>
      <c r="JH24" s="148"/>
      <c r="JI24" s="148"/>
      <c r="JJ24" s="148"/>
      <c r="JK24" s="148"/>
      <c r="JL24" s="148"/>
      <c r="JM24" s="148"/>
      <c r="JN24" s="148"/>
      <c r="JO24" s="148"/>
      <c r="JP24" s="148"/>
      <c r="JQ24" s="148"/>
      <c r="JR24" s="148"/>
      <c r="JS24" s="148"/>
      <c r="JT24" s="148"/>
      <c r="JU24" s="148"/>
      <c r="JV24" s="148"/>
      <c r="JW24" s="148"/>
      <c r="JX24" s="148"/>
      <c r="JY24" s="148"/>
      <c r="JZ24" s="148"/>
      <c r="KA24" s="148"/>
      <c r="KB24" s="148"/>
      <c r="KC24" s="148"/>
      <c r="KD24" s="148"/>
      <c r="KE24" s="148"/>
      <c r="KF24" s="148"/>
      <c r="KG24" s="148"/>
      <c r="KH24" s="148"/>
      <c r="KI24" s="148"/>
      <c r="KJ24" s="148"/>
      <c r="KK24" s="148"/>
      <c r="KL24" s="148"/>
      <c r="KM24" s="148"/>
      <c r="KN24" s="148"/>
      <c r="KO24" s="148"/>
      <c r="KP24" s="148"/>
      <c r="KQ24" s="148"/>
      <c r="KR24" s="148"/>
      <c r="KS24" s="148"/>
      <c r="KT24" s="148"/>
    </row>
    <row r="25" spans="1:307" s="157" customFormat="1" x14ac:dyDescent="0.15">
      <c r="A25" s="92" t="s">
        <v>307</v>
      </c>
      <c r="B25" s="92">
        <v>180</v>
      </c>
      <c r="C25" s="92" t="s">
        <v>310</v>
      </c>
      <c r="D25" s="225"/>
      <c r="E25" s="244"/>
      <c r="F25" s="242">
        <f>IF(F$4&gt;$F$6,0,E24*IF(F$5&gt;=1,Leadsheet!$D92,Leadsheet!$E92))</f>
        <v>0</v>
      </c>
      <c r="G25" s="242">
        <f>IF(G$4&gt;$F$6,0,F24*IF(G$5&gt;=1,Leadsheet!$D92,Leadsheet!$E92))</f>
        <v>0</v>
      </c>
      <c r="H25" s="242">
        <f>IF(H$4&gt;$F$6,0,G24*IF(H$5&gt;=1,Leadsheet!$D92,Leadsheet!$E92))</f>
        <v>0</v>
      </c>
      <c r="I25" s="242">
        <f>IF(I$4&gt;$F$6,0,H24*IF(I$5&gt;=1,Leadsheet!$D92,Leadsheet!$E92))</f>
        <v>0</v>
      </c>
      <c r="J25" s="242">
        <f>IF(J$4&gt;$F$6,0,I24*IF(J$5&gt;=1,Leadsheet!$D92,Leadsheet!$E92))</f>
        <v>0</v>
      </c>
      <c r="K25" s="242">
        <f>IF(K$4&gt;$F$6,0,J24*IF(K$5&gt;=1,Leadsheet!$D92,Leadsheet!$E92))</f>
        <v>0.14875539573908436</v>
      </c>
      <c r="L25" s="242">
        <f>IF(L$4&gt;$F$6,0,K24*IF(L$5&gt;=1,Leadsheet!$D92,Leadsheet!$E92))</f>
        <v>0.12997306971918632</v>
      </c>
      <c r="M25" s="242">
        <f>IF(M$4&gt;$F$6,0,L24*IF(M$5&gt;=1,Leadsheet!$D92,Leadsheet!$E92))</f>
        <v>0.12270228960779622</v>
      </c>
      <c r="N25" s="242">
        <f>IF(N$4&gt;$F$6,0,M24*IF(N$5&gt;=1,Leadsheet!$D92,Leadsheet!$E92))</f>
        <v>0.1156535045407743</v>
      </c>
      <c r="O25" s="242">
        <f>IF(O$4&gt;$F$6,0,N24*IF(O$5&gt;=1,Leadsheet!$D92,Leadsheet!$E92))</f>
        <v>0.10879144121973289</v>
      </c>
      <c r="P25" s="242">
        <f>IF(P$4&gt;$F$6,0,O24*IF(P$5&gt;=1,Leadsheet!$D92,Leadsheet!$E92))</f>
        <v>9.8957690103496268E-2</v>
      </c>
      <c r="Q25" s="242">
        <f>IF(Q$4&gt;$F$6,0,P24*IF(Q$5&gt;=1,Leadsheet!$D92,Leadsheet!$E92))</f>
        <v>8.5905596135908383E-2</v>
      </c>
      <c r="R25" s="242">
        <f>IF(R$4&gt;$F$6,0,Q24*IF(R$5&gt;=1,Leadsheet!$D92,Leadsheet!$E92))</f>
        <v>5.9023702647732282E-2</v>
      </c>
      <c r="S25" s="242">
        <f>IF(S$4&gt;$F$6,0,R24*IF(S$5&gt;=1,Leadsheet!$D92,Leadsheet!$E92))</f>
        <v>0.5221713406502021</v>
      </c>
      <c r="T25" s="242">
        <f>IF(T$4&gt;$F$6,0,S24*IF(T$5&gt;=1,Leadsheet!$D92,Leadsheet!$E92))</f>
        <v>0</v>
      </c>
      <c r="U25" s="242">
        <f>IF(U$4&gt;$F$6,0,T24*IF(U$5&gt;=1,Leadsheet!$D92,Leadsheet!$E92))</f>
        <v>0</v>
      </c>
      <c r="V25" s="242">
        <f>IF(V$4&gt;$F$6,0,U24*IF(V$5&gt;=1,Leadsheet!$D92,Leadsheet!$E92))</f>
        <v>0</v>
      </c>
      <c r="W25" s="242">
        <f>IF(W$4&gt;$F$6,0,V24*IF(W$5&gt;=1,Leadsheet!$D92,Leadsheet!$E92))</f>
        <v>0</v>
      </c>
      <c r="X25" s="242">
        <f>IF(X$4&gt;$F$6,0,W24*IF(X$5&gt;=1,Leadsheet!$D92,Leadsheet!$E92))</f>
        <v>0</v>
      </c>
      <c r="Y25" s="242">
        <f>IF(Y$4&gt;$F$6,0,X24*IF(Y$5&gt;=1,Leadsheet!$D92,Leadsheet!$E92))</f>
        <v>0</v>
      </c>
      <c r="Z25" s="242">
        <f>IF(Z$4&gt;$F$6,0,Y24*IF(Z$5&gt;=1,Leadsheet!$D92,Leadsheet!$E92))</f>
        <v>0</v>
      </c>
      <c r="AA25" s="242">
        <f>IF(AA$4&gt;$F$6,0,Z24*IF(AA$5&gt;=1,Leadsheet!$D92,Leadsheet!$E92))</f>
        <v>0</v>
      </c>
      <c r="AB25" s="242">
        <f>IF(AB$4&gt;$F$6,0,AA24*IF(AB$5&gt;=1,Leadsheet!$D92,Leadsheet!$E92))</f>
        <v>0</v>
      </c>
      <c r="AC25" s="242">
        <f>IF(AC$4&gt;$F$6,0,AB24*IF(AC$5&gt;=1,Leadsheet!$D92,Leadsheet!$E92))</f>
        <v>0</v>
      </c>
      <c r="AD25" s="241">
        <f>IF(AD$4&gt;$F$6,0,AC24*Leadsheet!$D92)</f>
        <v>0</v>
      </c>
      <c r="AE25" s="241">
        <f>IF(AE$4&gt;$F$6,0,AD24*Leadsheet!$D92)</f>
        <v>0</v>
      </c>
      <c r="AF25" s="241">
        <f>IF(AF$4&gt;$F$6,0,AE24*Leadsheet!$D92)</f>
        <v>0</v>
      </c>
      <c r="AG25" s="241">
        <f>IF(AG$4&gt;$F$6,0,AF24*Leadsheet!$D92)</f>
        <v>0</v>
      </c>
      <c r="AH25" s="241">
        <f>IF(AH$4&gt;$F$6,0,AG24*Leadsheet!$D92)</f>
        <v>0</v>
      </c>
      <c r="AI25" s="241">
        <f>IF(AI$4&gt;$F$6,0,AH24*Leadsheet!$D92)</f>
        <v>0</v>
      </c>
      <c r="AJ25" s="241">
        <f>IF(AJ$4&gt;$F$6,0,AI24*Leadsheet!$D92)</f>
        <v>0</v>
      </c>
      <c r="AK25" s="241">
        <f>IF(AK$4&gt;$F$6,0,AJ24*Leadsheet!$D92)</f>
        <v>0</v>
      </c>
      <c r="AL25" s="241">
        <f>IF(AL$4&gt;$F$6,0,AK24*Leadsheet!$D92)</f>
        <v>0</v>
      </c>
      <c r="AM25" s="241">
        <f>IF(AM$4&gt;$F$6,0,AL24*Leadsheet!$D92)</f>
        <v>0</v>
      </c>
      <c r="AN25" s="241">
        <f>IF(AN$4&gt;$F$6,0,AM24*Leadsheet!$D92)</f>
        <v>0</v>
      </c>
      <c r="AO25" s="241">
        <f>IF(AO$4&gt;$F$6,0,AN24*Leadsheet!$D92)</f>
        <v>0</v>
      </c>
      <c r="AP25" s="241">
        <f>IF(AP$4&gt;$F$6,0,AO24*Leadsheet!$D92)</f>
        <v>0</v>
      </c>
      <c r="AQ25" s="241">
        <f>IF(AQ$4&gt;$F$6,0,AP24*Leadsheet!$D92)</f>
        <v>0</v>
      </c>
      <c r="AR25" s="241">
        <f>IF(AR$4&gt;$F$6,0,AQ24*Leadsheet!$D92)</f>
        <v>0</v>
      </c>
      <c r="AS25" s="241">
        <f>IF(AS$4&gt;$F$6,0,AR24*Leadsheet!$D92)</f>
        <v>0</v>
      </c>
      <c r="AT25" s="241">
        <f>IF(AT$4&gt;$F$6,0,AS24*Leadsheet!$D92)</f>
        <v>0</v>
      </c>
      <c r="AU25" s="241">
        <f>IF(AU$4&gt;$F$6,0,AT24*Leadsheet!$D92)</f>
        <v>0</v>
      </c>
      <c r="AV25" s="241">
        <f>IF(AV$4&gt;$F$6,0,AU24*Leadsheet!$D92)</f>
        <v>0</v>
      </c>
      <c r="AW25" s="241">
        <f>IF(AW$4&gt;$F$6,0,AV24*Leadsheet!$D92)</f>
        <v>0</v>
      </c>
      <c r="AX25" s="241">
        <f>IF(AX$4&gt;$F$6,0,AW24*Leadsheet!$D92)</f>
        <v>0</v>
      </c>
      <c r="AY25" s="241">
        <f>IF(AY$4&gt;$F$6,0,AX24*Leadsheet!$D92)</f>
        <v>0</v>
      </c>
      <c r="AZ25" s="241">
        <f>IF(AZ$4&gt;$F$6,0,AY24*Leadsheet!$D92)</f>
        <v>0</v>
      </c>
      <c r="BA25" s="241">
        <f>IF(BA$4&gt;$F$6,0,AZ24*Leadsheet!$D92)</f>
        <v>0</v>
      </c>
      <c r="BB25" s="241">
        <f>IF(BB$4&gt;$F$6,0,BA24*Leadsheet!$D92)</f>
        <v>0</v>
      </c>
      <c r="BC25" s="241">
        <f>IF(BC$4&gt;$F$6,0,BB24*Leadsheet!$D92)</f>
        <v>0</v>
      </c>
      <c r="BD25" s="241">
        <f>IF(BD$4&gt;$F$6,0,BC24*Leadsheet!$D92)</f>
        <v>0</v>
      </c>
      <c r="BE25" s="241">
        <f>IF(BE$4&gt;$F$6,0,BD24*Leadsheet!$D92)</f>
        <v>0</v>
      </c>
      <c r="BF25" s="241">
        <f>IF(BF$4&gt;$F$6,0,BE24*Leadsheet!$D92)</f>
        <v>0</v>
      </c>
      <c r="BG25" s="241">
        <f>IF(BG$4&gt;$F$6,0,BF24*Leadsheet!$D92)</f>
        <v>0</v>
      </c>
      <c r="BH25" s="241">
        <f>IF(BH$4&gt;$F$6,0,BG24*Leadsheet!$D92)</f>
        <v>0</v>
      </c>
      <c r="BI25" s="241">
        <f>IF(BI$4&gt;$F$6,0,BH24*Leadsheet!$D92)</f>
        <v>0</v>
      </c>
      <c r="BJ25" s="241">
        <f>IF(BJ$4&gt;$F$6,0,BI24*Leadsheet!$D92)</f>
        <v>0</v>
      </c>
      <c r="BK25" s="241">
        <f>IF(BK$4&gt;$F$6,0,BJ24*Leadsheet!$D92)</f>
        <v>0</v>
      </c>
      <c r="BL25" s="241">
        <f>IF(BL$4&gt;$F$6,0,BK24*Leadsheet!$D92)</f>
        <v>0</v>
      </c>
      <c r="BM25" s="241">
        <f>IF(BM$4&gt;$F$6,0,BL24*Leadsheet!$D92)</f>
        <v>0</v>
      </c>
      <c r="BN25" s="148"/>
      <c r="BO25" s="148"/>
      <c r="BP25" s="148"/>
      <c r="BQ25" s="148"/>
      <c r="BR25" s="148"/>
      <c r="BS25" s="148"/>
      <c r="BT25" s="148"/>
      <c r="BU25" s="148"/>
      <c r="BV25" s="148"/>
      <c r="BW25" s="148"/>
      <c r="BX25" s="148"/>
      <c r="BY25" s="148"/>
      <c r="BZ25" s="148"/>
      <c r="CA25" s="148"/>
      <c r="CB25" s="148"/>
      <c r="CC25" s="148"/>
      <c r="CD25" s="148"/>
      <c r="CE25" s="148"/>
      <c r="CF25" s="148"/>
      <c r="CG25" s="148"/>
      <c r="CH25" s="148"/>
      <c r="CI25" s="148"/>
      <c r="CJ25" s="148"/>
      <c r="CK25" s="148"/>
      <c r="CL25" s="148"/>
      <c r="CM25" s="148"/>
      <c r="CN25" s="148"/>
      <c r="CO25" s="148"/>
      <c r="CP25" s="148"/>
      <c r="CQ25" s="148"/>
      <c r="CR25" s="148"/>
      <c r="CS25" s="148"/>
      <c r="CT25" s="148"/>
      <c r="CU25" s="148"/>
      <c r="CV25" s="148"/>
      <c r="CW25" s="148"/>
      <c r="CX25" s="148"/>
      <c r="CY25" s="148"/>
      <c r="CZ25" s="148"/>
      <c r="DA25" s="148"/>
      <c r="DB25" s="148"/>
      <c r="DC25" s="148"/>
      <c r="DD25" s="148"/>
      <c r="DE25" s="148"/>
      <c r="DF25" s="148"/>
      <c r="DG25" s="148"/>
      <c r="DH25" s="148"/>
      <c r="DI25" s="148"/>
      <c r="DJ25" s="148"/>
      <c r="DK25" s="148"/>
      <c r="DL25" s="148"/>
      <c r="DM25" s="148"/>
      <c r="DN25" s="148"/>
      <c r="DO25" s="148"/>
      <c r="DP25" s="148"/>
      <c r="DQ25" s="148"/>
      <c r="DR25" s="148"/>
      <c r="DS25" s="148"/>
      <c r="DT25" s="148"/>
      <c r="DU25" s="148"/>
      <c r="DV25" s="148"/>
      <c r="DW25" s="148"/>
      <c r="DX25" s="148"/>
      <c r="DY25" s="148"/>
      <c r="DZ25" s="148"/>
      <c r="EA25" s="148"/>
      <c r="EB25" s="148"/>
      <c r="EC25" s="148"/>
      <c r="ED25" s="148"/>
      <c r="EE25" s="148"/>
      <c r="EF25" s="148"/>
      <c r="EG25" s="148"/>
      <c r="EH25" s="148"/>
      <c r="EI25" s="148"/>
      <c r="EJ25" s="148"/>
      <c r="EK25" s="148"/>
      <c r="EL25" s="148"/>
      <c r="EM25" s="148"/>
      <c r="EN25" s="148"/>
      <c r="EO25" s="148"/>
      <c r="EP25" s="148"/>
      <c r="EQ25" s="148"/>
      <c r="ER25" s="148"/>
      <c r="ES25" s="148"/>
      <c r="ET25" s="148"/>
      <c r="EU25" s="148"/>
      <c r="EV25" s="148"/>
      <c r="EW25" s="148"/>
      <c r="EX25" s="148"/>
      <c r="EY25" s="148"/>
      <c r="EZ25" s="148"/>
      <c r="FA25" s="148"/>
      <c r="FB25" s="148"/>
      <c r="FC25" s="148"/>
      <c r="FD25" s="148"/>
      <c r="FE25" s="148"/>
      <c r="FF25" s="148"/>
      <c r="FG25" s="148"/>
      <c r="FH25" s="148"/>
      <c r="FI25" s="148"/>
      <c r="FJ25" s="148"/>
      <c r="FK25" s="148"/>
      <c r="FL25" s="148"/>
      <c r="FM25" s="148"/>
      <c r="FN25" s="148"/>
      <c r="FO25" s="148"/>
      <c r="FP25" s="148"/>
      <c r="FQ25" s="148"/>
      <c r="FR25" s="148"/>
      <c r="FS25" s="148"/>
      <c r="FT25" s="148"/>
      <c r="FU25" s="148"/>
      <c r="FV25" s="148"/>
      <c r="FW25" s="148"/>
      <c r="FX25" s="148"/>
      <c r="FY25" s="148"/>
      <c r="FZ25" s="148"/>
      <c r="GA25" s="148"/>
      <c r="GB25" s="148"/>
      <c r="GC25" s="148"/>
      <c r="GD25" s="148"/>
      <c r="GE25" s="148"/>
      <c r="GF25" s="148"/>
      <c r="GG25" s="148"/>
      <c r="GH25" s="148"/>
      <c r="GI25" s="148"/>
      <c r="GJ25" s="148"/>
      <c r="GK25" s="148"/>
      <c r="GL25" s="148"/>
      <c r="GM25" s="148"/>
      <c r="GN25" s="148"/>
      <c r="GO25" s="148"/>
      <c r="GP25" s="148"/>
      <c r="GQ25" s="148"/>
      <c r="GR25" s="148"/>
      <c r="GS25" s="148"/>
      <c r="GT25" s="148"/>
      <c r="GU25" s="148"/>
      <c r="GV25" s="148"/>
      <c r="GW25" s="148"/>
      <c r="GX25" s="148"/>
      <c r="GY25" s="148"/>
      <c r="GZ25" s="148"/>
      <c r="HA25" s="148"/>
      <c r="HB25" s="148"/>
      <c r="HC25" s="148"/>
      <c r="HD25" s="148"/>
      <c r="HE25" s="148"/>
      <c r="HF25" s="148"/>
      <c r="HG25" s="148"/>
      <c r="HH25" s="148"/>
      <c r="HI25" s="148"/>
      <c r="HJ25" s="148"/>
      <c r="HK25" s="148"/>
      <c r="HL25" s="148"/>
      <c r="HM25" s="148"/>
      <c r="HN25" s="148"/>
      <c r="HO25" s="148"/>
      <c r="HP25" s="148"/>
      <c r="HQ25" s="148"/>
      <c r="HR25" s="148"/>
      <c r="HS25" s="148"/>
      <c r="HT25" s="148"/>
      <c r="HU25" s="148"/>
      <c r="HV25" s="148"/>
      <c r="HW25" s="148"/>
      <c r="HX25" s="148"/>
      <c r="HY25" s="148"/>
      <c r="HZ25" s="148"/>
      <c r="IA25" s="148"/>
      <c r="IB25" s="148"/>
      <c r="IC25" s="148"/>
      <c r="ID25" s="148"/>
      <c r="IE25" s="148"/>
      <c r="IF25" s="148"/>
      <c r="IG25" s="148"/>
      <c r="IH25" s="148"/>
      <c r="II25" s="148"/>
      <c r="IJ25" s="148"/>
      <c r="IK25" s="148"/>
      <c r="IL25" s="148"/>
      <c r="IM25" s="148"/>
      <c r="IN25" s="148"/>
      <c r="IO25" s="148"/>
      <c r="IP25" s="148"/>
      <c r="IQ25" s="148"/>
      <c r="IR25" s="148"/>
      <c r="IS25" s="148"/>
      <c r="IT25" s="148"/>
      <c r="IU25" s="148"/>
      <c r="IV25" s="148"/>
      <c r="IW25" s="148"/>
      <c r="IX25" s="148"/>
      <c r="IY25" s="148"/>
      <c r="IZ25" s="148"/>
      <c r="JA25" s="148"/>
      <c r="JB25" s="148"/>
      <c r="JC25" s="148"/>
      <c r="JD25" s="148"/>
      <c r="JE25" s="148"/>
      <c r="JF25" s="148"/>
      <c r="JG25" s="148"/>
      <c r="JH25" s="148"/>
      <c r="JI25" s="148"/>
      <c r="JJ25" s="148"/>
      <c r="JK25" s="148"/>
      <c r="JL25" s="148"/>
      <c r="JM25" s="148"/>
      <c r="JN25" s="148"/>
      <c r="JO25" s="148"/>
      <c r="JP25" s="148"/>
      <c r="JQ25" s="148"/>
      <c r="JR25" s="148"/>
      <c r="JS25" s="148"/>
      <c r="JT25" s="148"/>
      <c r="JU25" s="148"/>
      <c r="JV25" s="148"/>
      <c r="JW25" s="148"/>
      <c r="JX25" s="148"/>
      <c r="JY25" s="148"/>
      <c r="JZ25" s="148"/>
      <c r="KA25" s="148"/>
      <c r="KB25" s="148"/>
      <c r="KC25" s="148"/>
      <c r="KD25" s="148"/>
      <c r="KE25" s="148"/>
      <c r="KF25" s="148"/>
      <c r="KG25" s="148"/>
      <c r="KH25" s="148"/>
      <c r="KI25" s="148"/>
      <c r="KJ25" s="148"/>
      <c r="KK25" s="148"/>
      <c r="KL25" s="148"/>
      <c r="KM25" s="148"/>
      <c r="KN25" s="148"/>
      <c r="KO25" s="148"/>
      <c r="KP25" s="148"/>
      <c r="KQ25" s="148"/>
      <c r="KR25" s="148"/>
      <c r="KS25" s="148"/>
      <c r="KT25" s="148"/>
      <c r="KU25" s="92"/>
    </row>
    <row r="26" spans="1:307" s="157" customFormat="1" x14ac:dyDescent="0.15">
      <c r="A26" s="92" t="s">
        <v>311</v>
      </c>
      <c r="B26" s="92">
        <v>210</v>
      </c>
      <c r="C26" s="92" t="s">
        <v>312</v>
      </c>
      <c r="D26" s="225"/>
      <c r="E26" s="244"/>
      <c r="F26" s="242">
        <f>IF(F$4&gt;$F$6,0,E25*IF(F$5&gt;=1,Leadsheet!$D93,Leadsheet!$E93))</f>
        <v>0</v>
      </c>
      <c r="G26" s="242">
        <f>IF(G$4&gt;$F$6,0,F25*IF(G$5&gt;=1,Leadsheet!$D93,Leadsheet!$E93))</f>
        <v>0</v>
      </c>
      <c r="H26" s="242">
        <f>IF(H$4&gt;$F$6,0,G25*IF(H$5&gt;=1,Leadsheet!$D93,Leadsheet!$E93))</f>
        <v>0</v>
      </c>
      <c r="I26" s="242">
        <f>IF(I$4&gt;$F$6,0,H25*IF(I$5&gt;=1,Leadsheet!$D93,Leadsheet!$E93))</f>
        <v>0</v>
      </c>
      <c r="J26" s="242">
        <f>IF(J$4&gt;$F$6,0,I25*IF(J$5&gt;=1,Leadsheet!$D93,Leadsheet!$E93))</f>
        <v>0</v>
      </c>
      <c r="K26" s="242">
        <f>IF(K$4&gt;$F$6,0,J25*IF(K$5&gt;=1,Leadsheet!$D93,Leadsheet!$E93))</f>
        <v>0</v>
      </c>
      <c r="L26" s="242">
        <f>IF(L$4&gt;$F$6,0,K25*IF(L$5&gt;=1,Leadsheet!$D93,Leadsheet!$E93))</f>
        <v>0.14875539573908436</v>
      </c>
      <c r="M26" s="242">
        <f>IF(M$4&gt;$F$6,0,L25*IF(M$5&gt;=1,Leadsheet!$D93,Leadsheet!$E93))</f>
        <v>0.12997306971918632</v>
      </c>
      <c r="N26" s="242">
        <f>IF(N$4&gt;$F$6,0,M25*IF(N$5&gt;=1,Leadsheet!$D93,Leadsheet!$E93))</f>
        <v>0.12270228960779622</v>
      </c>
      <c r="O26" s="242">
        <f>IF(O$4&gt;$F$6,0,N25*IF(O$5&gt;=1,Leadsheet!$D93,Leadsheet!$E93))</f>
        <v>0.1156535045407743</v>
      </c>
      <c r="P26" s="242">
        <f>IF(P$4&gt;$F$6,0,O25*IF(P$5&gt;=1,Leadsheet!$D93,Leadsheet!$E93))</f>
        <v>0.10879144121973289</v>
      </c>
      <c r="Q26" s="242">
        <f>IF(Q$4&gt;$F$6,0,P25*IF(Q$5&gt;=1,Leadsheet!$D93,Leadsheet!$E93))</f>
        <v>9.8957690103496268E-2</v>
      </c>
      <c r="R26" s="242">
        <f>IF(R$4&gt;$F$6,0,Q25*IF(R$5&gt;=1,Leadsheet!$D93,Leadsheet!$E93))</f>
        <v>8.5905596135908383E-2</v>
      </c>
      <c r="S26" s="242">
        <f>IF(S$4&gt;$F$6,0,R25*IF(S$5&gt;=1,Leadsheet!$D93,Leadsheet!$E93))</f>
        <v>5.9023702647732282E-2</v>
      </c>
      <c r="T26" s="242">
        <f>IF(T$4&gt;$F$6,0,S25*IF(T$5&gt;=1,Leadsheet!$D93,Leadsheet!$E93))</f>
        <v>0.5221713406502021</v>
      </c>
      <c r="U26" s="242">
        <f>IF(U$4&gt;$F$6,0,T25*IF(U$5&gt;=1,Leadsheet!$D93,Leadsheet!$E93))</f>
        <v>0</v>
      </c>
      <c r="V26" s="242">
        <f>IF(V$4&gt;$F$6,0,U25*IF(V$5&gt;=1,Leadsheet!$D93,Leadsheet!$E93))</f>
        <v>0</v>
      </c>
      <c r="W26" s="242">
        <f>IF(W$4&gt;$F$6,0,V25*IF(W$5&gt;=1,Leadsheet!$D93,Leadsheet!$E93))</f>
        <v>0</v>
      </c>
      <c r="X26" s="242">
        <f>IF(X$4&gt;$F$6,0,W25*IF(X$5&gt;=1,Leadsheet!$D93,Leadsheet!$E93))</f>
        <v>0</v>
      </c>
      <c r="Y26" s="242">
        <f>IF(Y$4&gt;$F$6,0,X25*IF(Y$5&gt;=1,Leadsheet!$D93,Leadsheet!$E93))</f>
        <v>0</v>
      </c>
      <c r="Z26" s="242">
        <f>IF(Z$4&gt;$F$6,0,Y25*IF(Z$5&gt;=1,Leadsheet!$D93,Leadsheet!$E93))</f>
        <v>0</v>
      </c>
      <c r="AA26" s="242">
        <f>IF(AA$4&gt;$F$6,0,Z25*IF(AA$5&gt;=1,Leadsheet!$D93,Leadsheet!$E93))</f>
        <v>0</v>
      </c>
      <c r="AB26" s="242">
        <f>IF(AB$4&gt;$F$6,0,AA25*IF(AB$5&gt;=1,Leadsheet!$D93,Leadsheet!$E93))</f>
        <v>0</v>
      </c>
      <c r="AC26" s="242">
        <f>IF(AC$4&gt;$F$6,0,AB25*IF(AC$5&gt;=1,Leadsheet!$D93,Leadsheet!$E93))</f>
        <v>0</v>
      </c>
      <c r="AD26" s="241">
        <f>IF(AD$4&gt;$F$6,0,AC25*Leadsheet!$D93)</f>
        <v>0</v>
      </c>
      <c r="AE26" s="241">
        <f>IF(AE$4&gt;$F$6,0,AD25*Leadsheet!$D93)</f>
        <v>0</v>
      </c>
      <c r="AF26" s="241">
        <f>IF(AF$4&gt;$F$6,0,AE25*Leadsheet!$D93)</f>
        <v>0</v>
      </c>
      <c r="AG26" s="241">
        <f>IF(AG$4&gt;$F$6,0,AF25*Leadsheet!$D93)</f>
        <v>0</v>
      </c>
      <c r="AH26" s="241">
        <f>IF(AH$4&gt;$F$6,0,AG25*Leadsheet!$D93)</f>
        <v>0</v>
      </c>
      <c r="AI26" s="241">
        <f>IF(AI$4&gt;$F$6,0,AH25*Leadsheet!$D93)</f>
        <v>0</v>
      </c>
      <c r="AJ26" s="241">
        <f>IF(AJ$4&gt;$F$6,0,AI25*Leadsheet!$D93)</f>
        <v>0</v>
      </c>
      <c r="AK26" s="241">
        <f>IF(AK$4&gt;$F$6,0,AJ25*Leadsheet!$D93)</f>
        <v>0</v>
      </c>
      <c r="AL26" s="241">
        <f>IF(AL$4&gt;$F$6,0,AK25*Leadsheet!$D93)</f>
        <v>0</v>
      </c>
      <c r="AM26" s="241">
        <f>IF(AM$4&gt;$F$6,0,AL25*Leadsheet!$D93)</f>
        <v>0</v>
      </c>
      <c r="AN26" s="241">
        <f>IF(AN$4&gt;$F$6,0,AM25*Leadsheet!$D93)</f>
        <v>0</v>
      </c>
      <c r="AO26" s="241">
        <f>IF(AO$4&gt;$F$6,0,AN25*Leadsheet!$D93)</f>
        <v>0</v>
      </c>
      <c r="AP26" s="241">
        <f>IF(AP$4&gt;$F$6,0,AO25*Leadsheet!$D93)</f>
        <v>0</v>
      </c>
      <c r="AQ26" s="241">
        <f>IF(AQ$4&gt;$F$6,0,AP25*Leadsheet!$D93)</f>
        <v>0</v>
      </c>
      <c r="AR26" s="241">
        <f>IF(AR$4&gt;$F$6,0,AQ25*Leadsheet!$D93)</f>
        <v>0</v>
      </c>
      <c r="AS26" s="241">
        <f>IF(AS$4&gt;$F$6,0,AR25*Leadsheet!$D93)</f>
        <v>0</v>
      </c>
      <c r="AT26" s="241">
        <f>IF(AT$4&gt;$F$6,0,AS25*Leadsheet!$D93)</f>
        <v>0</v>
      </c>
      <c r="AU26" s="241">
        <f>IF(AU$4&gt;$F$6,0,AT25*Leadsheet!$D93)</f>
        <v>0</v>
      </c>
      <c r="AV26" s="241">
        <f>IF(AV$4&gt;$F$6,0,AU25*Leadsheet!$D93)</f>
        <v>0</v>
      </c>
      <c r="AW26" s="241">
        <f>IF(AW$4&gt;$F$6,0,AV25*Leadsheet!$D93)</f>
        <v>0</v>
      </c>
      <c r="AX26" s="241">
        <f>IF(AX$4&gt;$F$6,0,AW25*Leadsheet!$D93)</f>
        <v>0</v>
      </c>
      <c r="AY26" s="241">
        <f>IF(AY$4&gt;$F$6,0,AX25*Leadsheet!$D93)</f>
        <v>0</v>
      </c>
      <c r="AZ26" s="241">
        <f>IF(AZ$4&gt;$F$6,0,AY25*Leadsheet!$D93)</f>
        <v>0</v>
      </c>
      <c r="BA26" s="241">
        <f>IF(BA$4&gt;$F$6,0,AZ25*Leadsheet!$D93)</f>
        <v>0</v>
      </c>
      <c r="BB26" s="241">
        <f>IF(BB$4&gt;$F$6,0,BA25*Leadsheet!$D93)</f>
        <v>0</v>
      </c>
      <c r="BC26" s="241">
        <f>IF(BC$4&gt;$F$6,0,BB25*Leadsheet!$D93)</f>
        <v>0</v>
      </c>
      <c r="BD26" s="241">
        <f>IF(BD$4&gt;$F$6,0,BC25*Leadsheet!$D93)</f>
        <v>0</v>
      </c>
      <c r="BE26" s="241">
        <f>IF(BE$4&gt;$F$6,0,BD25*Leadsheet!$D93)</f>
        <v>0</v>
      </c>
      <c r="BF26" s="241">
        <f>IF(BF$4&gt;$F$6,0,BE25*Leadsheet!$D93)</f>
        <v>0</v>
      </c>
      <c r="BG26" s="241">
        <f>IF(BG$4&gt;$F$6,0,BF25*Leadsheet!$D93)</f>
        <v>0</v>
      </c>
      <c r="BH26" s="241">
        <f>IF(BH$4&gt;$F$6,0,BG25*Leadsheet!$D93)</f>
        <v>0</v>
      </c>
      <c r="BI26" s="241">
        <f>IF(BI$4&gt;$F$6,0,BH25*Leadsheet!$D93)</f>
        <v>0</v>
      </c>
      <c r="BJ26" s="241">
        <f>IF(BJ$4&gt;$F$6,0,BI25*Leadsheet!$D93)</f>
        <v>0</v>
      </c>
      <c r="BK26" s="241">
        <f>IF(BK$4&gt;$F$6,0,BJ25*Leadsheet!$D93)</f>
        <v>0</v>
      </c>
      <c r="BL26" s="241">
        <f>IF(BL$4&gt;$F$6,0,BK25*Leadsheet!$D93)</f>
        <v>0</v>
      </c>
      <c r="BM26" s="241">
        <f>IF(BM$4&gt;$F$6,0,BL25*Leadsheet!$D93)</f>
        <v>0</v>
      </c>
      <c r="BN26" s="148"/>
      <c r="BO26" s="148"/>
      <c r="BP26" s="148"/>
      <c r="BQ26" s="148"/>
      <c r="BR26" s="148"/>
      <c r="BS26" s="148"/>
      <c r="BT26" s="148"/>
      <c r="BU26" s="148"/>
      <c r="BV26" s="148"/>
      <c r="BW26" s="148"/>
      <c r="BX26" s="148"/>
      <c r="BY26" s="148"/>
      <c r="BZ26" s="148"/>
      <c r="CA26" s="148"/>
      <c r="CB26" s="148"/>
      <c r="CC26" s="148"/>
      <c r="CD26" s="148"/>
      <c r="CE26" s="148"/>
      <c r="CF26" s="148"/>
      <c r="CG26" s="148"/>
      <c r="CH26" s="148"/>
      <c r="CI26" s="148"/>
      <c r="CJ26" s="148"/>
      <c r="CK26" s="148"/>
      <c r="CL26" s="148"/>
      <c r="CM26" s="148"/>
      <c r="CN26" s="148"/>
      <c r="CO26" s="148"/>
      <c r="CP26" s="148"/>
      <c r="CQ26" s="148"/>
      <c r="CR26" s="148"/>
      <c r="CS26" s="148"/>
      <c r="CT26" s="148"/>
      <c r="CU26" s="148"/>
      <c r="CV26" s="148"/>
      <c r="CW26" s="148"/>
      <c r="CX26" s="148"/>
      <c r="CY26" s="148"/>
      <c r="CZ26" s="148"/>
      <c r="DA26" s="148"/>
      <c r="DB26" s="148"/>
      <c r="DC26" s="148"/>
      <c r="DD26" s="148"/>
      <c r="DE26" s="148"/>
      <c r="DF26" s="148"/>
      <c r="DG26" s="148"/>
      <c r="DH26" s="148"/>
      <c r="DI26" s="148"/>
      <c r="DJ26" s="148"/>
      <c r="DK26" s="148"/>
      <c r="DL26" s="148"/>
      <c r="DM26" s="148"/>
      <c r="DN26" s="148"/>
      <c r="DO26" s="148"/>
      <c r="DP26" s="148"/>
      <c r="DQ26" s="148"/>
      <c r="DR26" s="148"/>
      <c r="DS26" s="148"/>
      <c r="DT26" s="148"/>
      <c r="DU26" s="148"/>
      <c r="DV26" s="148"/>
      <c r="DW26" s="148"/>
      <c r="DX26" s="148"/>
      <c r="DY26" s="148"/>
      <c r="DZ26" s="148"/>
      <c r="EA26" s="148"/>
      <c r="EB26" s="148"/>
      <c r="EC26" s="148"/>
      <c r="ED26" s="148"/>
      <c r="EE26" s="148"/>
      <c r="EF26" s="148"/>
      <c r="EG26" s="148"/>
      <c r="EH26" s="148"/>
      <c r="EI26" s="148"/>
      <c r="EJ26" s="148"/>
      <c r="EK26" s="148"/>
      <c r="EL26" s="148"/>
      <c r="EM26" s="148"/>
      <c r="EN26" s="148"/>
      <c r="EO26" s="148"/>
      <c r="EP26" s="148"/>
      <c r="EQ26" s="148"/>
      <c r="ER26" s="148"/>
      <c r="ES26" s="148"/>
      <c r="ET26" s="148"/>
      <c r="EU26" s="148"/>
      <c r="EV26" s="148"/>
      <c r="EW26" s="148"/>
      <c r="EX26" s="148"/>
      <c r="EY26" s="148"/>
      <c r="EZ26" s="148"/>
      <c r="FA26" s="148"/>
      <c r="FB26" s="148"/>
      <c r="FC26" s="148"/>
      <c r="FD26" s="148"/>
      <c r="FE26" s="148"/>
      <c r="FF26" s="148"/>
      <c r="FG26" s="148"/>
      <c r="FH26" s="148"/>
      <c r="FI26" s="148"/>
      <c r="FJ26" s="148"/>
      <c r="FK26" s="148"/>
      <c r="FL26" s="148"/>
      <c r="FM26" s="148"/>
      <c r="FN26" s="148"/>
      <c r="FO26" s="148"/>
      <c r="FP26" s="148"/>
      <c r="FQ26" s="148"/>
      <c r="FR26" s="148"/>
      <c r="FS26" s="148"/>
      <c r="FT26" s="148"/>
      <c r="FU26" s="148"/>
      <c r="FV26" s="148"/>
      <c r="FW26" s="148"/>
      <c r="FX26" s="148"/>
      <c r="FY26" s="148"/>
      <c r="FZ26" s="148"/>
      <c r="GA26" s="148"/>
      <c r="GB26" s="148"/>
      <c r="GC26" s="148"/>
      <c r="GD26" s="148"/>
      <c r="GE26" s="148"/>
      <c r="GF26" s="148"/>
      <c r="GG26" s="148"/>
      <c r="GH26" s="148"/>
      <c r="GI26" s="148"/>
      <c r="GJ26" s="148"/>
      <c r="GK26" s="148"/>
      <c r="GL26" s="148"/>
      <c r="GM26" s="148"/>
      <c r="GN26" s="148"/>
      <c r="GO26" s="148"/>
      <c r="GP26" s="148"/>
      <c r="GQ26" s="148"/>
      <c r="GR26" s="148"/>
      <c r="GS26" s="148"/>
      <c r="GT26" s="148"/>
      <c r="GU26" s="148"/>
      <c r="GV26" s="148"/>
      <c r="GW26" s="148"/>
      <c r="GX26" s="148"/>
      <c r="GY26" s="148"/>
      <c r="GZ26" s="148"/>
      <c r="HA26" s="148"/>
      <c r="HB26" s="148"/>
      <c r="HC26" s="148"/>
      <c r="HD26" s="148"/>
      <c r="HE26" s="148"/>
      <c r="HF26" s="148"/>
      <c r="HG26" s="148"/>
      <c r="HH26" s="148"/>
      <c r="HI26" s="148"/>
      <c r="HJ26" s="148"/>
      <c r="HK26" s="148"/>
      <c r="HL26" s="148"/>
      <c r="HM26" s="148"/>
      <c r="HN26" s="148"/>
      <c r="HO26" s="148"/>
      <c r="HP26" s="148"/>
      <c r="HQ26" s="148"/>
      <c r="HR26" s="148"/>
      <c r="HS26" s="148"/>
      <c r="HT26" s="148"/>
      <c r="HU26" s="148"/>
      <c r="HV26" s="148"/>
      <c r="HW26" s="148"/>
      <c r="HX26" s="148"/>
      <c r="HY26" s="148"/>
      <c r="HZ26" s="148"/>
      <c r="IA26" s="148"/>
      <c r="IB26" s="148"/>
      <c r="IC26" s="148"/>
      <c r="ID26" s="148"/>
      <c r="IE26" s="148"/>
      <c r="IF26" s="148"/>
      <c r="IG26" s="148"/>
      <c r="IH26" s="148"/>
      <c r="II26" s="148"/>
      <c r="IJ26" s="148"/>
      <c r="IK26" s="148"/>
      <c r="IL26" s="148"/>
      <c r="IM26" s="148"/>
      <c r="IN26" s="148"/>
      <c r="IO26" s="148"/>
      <c r="IP26" s="148"/>
      <c r="IQ26" s="148"/>
      <c r="IR26" s="148"/>
      <c r="IS26" s="148"/>
      <c r="IT26" s="148"/>
      <c r="IU26" s="148"/>
      <c r="IV26" s="148"/>
      <c r="IW26" s="148"/>
      <c r="IX26" s="148"/>
      <c r="IY26" s="148"/>
      <c r="IZ26" s="148"/>
      <c r="JA26" s="148"/>
      <c r="JB26" s="148"/>
      <c r="JC26" s="148"/>
      <c r="JD26" s="148"/>
      <c r="JE26" s="148"/>
      <c r="JF26" s="148"/>
      <c r="JG26" s="148"/>
      <c r="JH26" s="148"/>
      <c r="JI26" s="148"/>
      <c r="JJ26" s="148"/>
      <c r="JK26" s="148"/>
      <c r="JL26" s="148"/>
      <c r="JM26" s="148"/>
      <c r="JN26" s="148"/>
      <c r="JO26" s="148"/>
      <c r="JP26" s="148"/>
      <c r="JQ26" s="148"/>
      <c r="JR26" s="148"/>
      <c r="JS26" s="148"/>
      <c r="JT26" s="148"/>
      <c r="JU26" s="148"/>
      <c r="JV26" s="148"/>
      <c r="JW26" s="148"/>
      <c r="JX26" s="148"/>
      <c r="JY26" s="148"/>
      <c r="JZ26" s="148"/>
      <c r="KA26" s="148"/>
      <c r="KB26" s="148"/>
      <c r="KC26" s="148"/>
      <c r="KD26" s="148"/>
      <c r="KE26" s="148"/>
      <c r="KF26" s="148"/>
      <c r="KG26" s="148"/>
      <c r="KH26" s="148"/>
      <c r="KI26" s="148"/>
      <c r="KJ26" s="148"/>
      <c r="KK26" s="148"/>
      <c r="KL26" s="148"/>
      <c r="KM26" s="148"/>
      <c r="KN26" s="148"/>
      <c r="KO26" s="148"/>
      <c r="KP26" s="148"/>
      <c r="KQ26" s="148"/>
      <c r="KR26" s="148"/>
      <c r="KS26" s="148"/>
      <c r="KT26" s="148"/>
      <c r="KU26" s="92"/>
    </row>
    <row r="27" spans="1:307" s="157" customFormat="1" x14ac:dyDescent="0.15">
      <c r="A27" s="92" t="s">
        <v>311</v>
      </c>
      <c r="B27" s="92">
        <v>240</v>
      </c>
      <c r="C27" s="92" t="s">
        <v>313</v>
      </c>
      <c r="D27" s="225"/>
      <c r="E27" s="244"/>
      <c r="F27" s="242">
        <f>IF(F$4&gt;$F$6,0,E26*IF(F$5&gt;=1,Leadsheet!$D94,Leadsheet!$E94))</f>
        <v>0</v>
      </c>
      <c r="G27" s="242">
        <f>IF(G$4&gt;$F$6,0,F26*IF(G$5&gt;=1,Leadsheet!$D94,Leadsheet!$E94))</f>
        <v>0</v>
      </c>
      <c r="H27" s="242">
        <f>IF(H$4&gt;$F$6,0,G26*IF(H$5&gt;=1,Leadsheet!$D94,Leadsheet!$E94))</f>
        <v>0</v>
      </c>
      <c r="I27" s="242">
        <f>IF(I$4&gt;$F$6,0,H26*IF(I$5&gt;=1,Leadsheet!$D94,Leadsheet!$E94))</f>
        <v>0</v>
      </c>
      <c r="J27" s="242">
        <f>IF(J$4&gt;$F$6,0,I26*IF(J$5&gt;=1,Leadsheet!$D94,Leadsheet!$E94))</f>
        <v>0</v>
      </c>
      <c r="K27" s="242">
        <f>IF(K$4&gt;$F$6,0,J26*IF(K$5&gt;=1,Leadsheet!$D94,Leadsheet!$E94))</f>
        <v>0</v>
      </c>
      <c r="L27" s="242">
        <f>IF(L$4&gt;$F$6,0,K26*IF(L$5&gt;=1,Leadsheet!$D94,Leadsheet!$E94))</f>
        <v>0</v>
      </c>
      <c r="M27" s="242">
        <f>IF(M$4&gt;$F$6,0,L26*IF(M$5&gt;=1,Leadsheet!$D94,Leadsheet!$E94))</f>
        <v>0.14875539573908436</v>
      </c>
      <c r="N27" s="242">
        <f>IF(N$4&gt;$F$6,0,M26*IF(N$5&gt;=1,Leadsheet!$D94,Leadsheet!$E94))</f>
        <v>0.12997306971918632</v>
      </c>
      <c r="O27" s="242">
        <f>IF(O$4&gt;$F$6,0,N26*IF(O$5&gt;=1,Leadsheet!$D94,Leadsheet!$E94))</f>
        <v>0.12270228960779622</v>
      </c>
      <c r="P27" s="242">
        <f>IF(P$4&gt;$F$6,0,O26*IF(P$5&gt;=1,Leadsheet!$D94,Leadsheet!$E94))</f>
        <v>0.1156535045407743</v>
      </c>
      <c r="Q27" s="242">
        <f>IF(Q$4&gt;$F$6,0,P26*IF(Q$5&gt;=1,Leadsheet!$D94,Leadsheet!$E94))</f>
        <v>0.10879144121973289</v>
      </c>
      <c r="R27" s="242">
        <f>IF(R$4&gt;$F$6,0,Q26*IF(R$5&gt;=1,Leadsheet!$D94,Leadsheet!$E94))</f>
        <v>9.8957690103496268E-2</v>
      </c>
      <c r="S27" s="242">
        <f>IF(S$4&gt;$F$6,0,R26*IF(S$5&gt;=1,Leadsheet!$D94,Leadsheet!$E94))</f>
        <v>8.5905596135908383E-2</v>
      </c>
      <c r="T27" s="242">
        <f>IF(T$4&gt;$F$6,0,S26*IF(T$5&gt;=1,Leadsheet!$D94,Leadsheet!$E94))</f>
        <v>5.9023702647732282E-2</v>
      </c>
      <c r="U27" s="242">
        <f>IF(U$4&gt;$F$6,0,T26*IF(U$5&gt;=1,Leadsheet!$D94,Leadsheet!$E94))</f>
        <v>0</v>
      </c>
      <c r="V27" s="242">
        <f>IF(V$4&gt;$F$6,0,U26*IF(V$5&gt;=1,Leadsheet!$D94,Leadsheet!$E94))</f>
        <v>0</v>
      </c>
      <c r="W27" s="242">
        <f>IF(W$4&gt;$F$6,0,V26*IF(W$5&gt;=1,Leadsheet!$D94,Leadsheet!$E94))</f>
        <v>0</v>
      </c>
      <c r="X27" s="242">
        <f>IF(X$4&gt;$F$6,0,W26*IF(X$5&gt;=1,Leadsheet!$D94,Leadsheet!$E94))</f>
        <v>0</v>
      </c>
      <c r="Y27" s="242">
        <f>IF(Y$4&gt;$F$6,0,X26*IF(Y$5&gt;=1,Leadsheet!$D94,Leadsheet!$E94))</f>
        <v>0</v>
      </c>
      <c r="Z27" s="242">
        <f>IF(Z$4&gt;$F$6,0,Y26*IF(Z$5&gt;=1,Leadsheet!$D94,Leadsheet!$E94))</f>
        <v>0</v>
      </c>
      <c r="AA27" s="242">
        <f>IF(AA$4&gt;$F$6,0,Z26*IF(AA$5&gt;=1,Leadsheet!$D94,Leadsheet!$E94))</f>
        <v>0</v>
      </c>
      <c r="AB27" s="242">
        <f>IF(AB$4&gt;$F$6,0,AA26*IF(AB$5&gt;=1,Leadsheet!$D94,Leadsheet!$E94))</f>
        <v>0</v>
      </c>
      <c r="AC27" s="242">
        <f>IF(AC$4&gt;$F$6,0,AB26*IF(AC$5&gt;=1,Leadsheet!$D94,Leadsheet!$E94))</f>
        <v>0</v>
      </c>
      <c r="AD27" s="241">
        <f>IF(AD$4&gt;$F$6,0,AC26*Leadsheet!$D94)</f>
        <v>0</v>
      </c>
      <c r="AE27" s="241">
        <f>IF(AE$4&gt;$F$6,0,AD26*Leadsheet!$D94)</f>
        <v>0</v>
      </c>
      <c r="AF27" s="241">
        <f>IF(AF$4&gt;$F$6,0,AE26*Leadsheet!$D94)</f>
        <v>0</v>
      </c>
      <c r="AG27" s="241">
        <f>IF(AG$4&gt;$F$6,0,AF26*Leadsheet!$D94)</f>
        <v>0</v>
      </c>
      <c r="AH27" s="241">
        <f>IF(AH$4&gt;$F$6,0,AG26*Leadsheet!$D94)</f>
        <v>0</v>
      </c>
      <c r="AI27" s="241">
        <f>IF(AI$4&gt;$F$6,0,AH26*Leadsheet!$D94)</f>
        <v>0</v>
      </c>
      <c r="AJ27" s="241">
        <f>IF(AJ$4&gt;$F$6,0,AI26*Leadsheet!$D94)</f>
        <v>0</v>
      </c>
      <c r="AK27" s="241">
        <f>IF(AK$4&gt;$F$6,0,AJ26*Leadsheet!$D94)</f>
        <v>0</v>
      </c>
      <c r="AL27" s="241">
        <f>IF(AL$4&gt;$F$6,0,AK26*Leadsheet!$D94)</f>
        <v>0</v>
      </c>
      <c r="AM27" s="241">
        <f>IF(AM$4&gt;$F$6,0,AL26*Leadsheet!$D94)</f>
        <v>0</v>
      </c>
      <c r="AN27" s="241">
        <f>IF(AN$4&gt;$F$6,0,AM26*Leadsheet!$D94)</f>
        <v>0</v>
      </c>
      <c r="AO27" s="241">
        <f>IF(AO$4&gt;$F$6,0,AN26*Leadsheet!$D94)</f>
        <v>0</v>
      </c>
      <c r="AP27" s="241">
        <f>IF(AP$4&gt;$F$6,0,AO26*Leadsheet!$D94)</f>
        <v>0</v>
      </c>
      <c r="AQ27" s="241">
        <f>IF(AQ$4&gt;$F$6,0,AP26*Leadsheet!$D94)</f>
        <v>0</v>
      </c>
      <c r="AR27" s="241">
        <f>IF(AR$4&gt;$F$6,0,AQ26*Leadsheet!$D94)</f>
        <v>0</v>
      </c>
      <c r="AS27" s="241">
        <f>IF(AS$4&gt;$F$6,0,AR26*Leadsheet!$D94)</f>
        <v>0</v>
      </c>
      <c r="AT27" s="241">
        <f>IF(AT$4&gt;$F$6,0,AS26*Leadsheet!$D94)</f>
        <v>0</v>
      </c>
      <c r="AU27" s="241">
        <f>IF(AU$4&gt;$F$6,0,AT26*Leadsheet!$D94)</f>
        <v>0</v>
      </c>
      <c r="AV27" s="241">
        <f>IF(AV$4&gt;$F$6,0,AU26*Leadsheet!$D94)</f>
        <v>0</v>
      </c>
      <c r="AW27" s="241">
        <f>IF(AW$4&gt;$F$6,0,AV26*Leadsheet!$D94)</f>
        <v>0</v>
      </c>
      <c r="AX27" s="241">
        <f>IF(AX$4&gt;$F$6,0,AW26*Leadsheet!$D94)</f>
        <v>0</v>
      </c>
      <c r="AY27" s="241">
        <f>IF(AY$4&gt;$F$6,0,AX26*Leadsheet!$D94)</f>
        <v>0</v>
      </c>
      <c r="AZ27" s="241">
        <f>IF(AZ$4&gt;$F$6,0,AY26*Leadsheet!$D94)</f>
        <v>0</v>
      </c>
      <c r="BA27" s="241">
        <f>IF(BA$4&gt;$F$6,0,AZ26*Leadsheet!$D94)</f>
        <v>0</v>
      </c>
      <c r="BB27" s="241">
        <f>IF(BB$4&gt;$F$6,0,BA26*Leadsheet!$D94)</f>
        <v>0</v>
      </c>
      <c r="BC27" s="241">
        <f>IF(BC$4&gt;$F$6,0,BB26*Leadsheet!$D94)</f>
        <v>0</v>
      </c>
      <c r="BD27" s="241">
        <f>IF(BD$4&gt;$F$6,0,BC26*Leadsheet!$D94)</f>
        <v>0</v>
      </c>
      <c r="BE27" s="241">
        <f>IF(BE$4&gt;$F$6,0,BD26*Leadsheet!$D94)</f>
        <v>0</v>
      </c>
      <c r="BF27" s="241">
        <f>IF(BF$4&gt;$F$6,0,BE26*Leadsheet!$D94)</f>
        <v>0</v>
      </c>
      <c r="BG27" s="241">
        <f>IF(BG$4&gt;$F$6,0,BF26*Leadsheet!$D94)</f>
        <v>0</v>
      </c>
      <c r="BH27" s="241">
        <f>IF(BH$4&gt;$F$6,0,BG26*Leadsheet!$D94)</f>
        <v>0</v>
      </c>
      <c r="BI27" s="241">
        <f>IF(BI$4&gt;$F$6,0,BH26*Leadsheet!$D94)</f>
        <v>0</v>
      </c>
      <c r="BJ27" s="241">
        <f>IF(BJ$4&gt;$F$6,0,BI26*Leadsheet!$D94)</f>
        <v>0</v>
      </c>
      <c r="BK27" s="241">
        <f>IF(BK$4&gt;$F$6,0,BJ26*Leadsheet!$D94)</f>
        <v>0</v>
      </c>
      <c r="BL27" s="241">
        <f>IF(BL$4&gt;$F$6,0,BK26*Leadsheet!$D94)</f>
        <v>0</v>
      </c>
      <c r="BM27" s="241">
        <f>IF(BM$4&gt;$F$6,0,BL26*Leadsheet!$D94)</f>
        <v>0</v>
      </c>
      <c r="BN27" s="148"/>
      <c r="BO27" s="148"/>
      <c r="BP27" s="148"/>
      <c r="BQ27" s="148"/>
      <c r="BR27" s="148"/>
      <c r="BS27" s="148"/>
      <c r="BT27" s="148"/>
      <c r="BU27" s="148"/>
      <c r="BV27" s="148"/>
      <c r="BW27" s="148"/>
      <c r="BX27" s="148"/>
      <c r="BY27" s="148"/>
      <c r="BZ27" s="148"/>
      <c r="CA27" s="148"/>
      <c r="CB27" s="148"/>
      <c r="CC27" s="148"/>
      <c r="CD27" s="148"/>
      <c r="CE27" s="148"/>
      <c r="CF27" s="148"/>
      <c r="CG27" s="148"/>
      <c r="CH27" s="148"/>
      <c r="CI27" s="148"/>
      <c r="CJ27" s="148"/>
      <c r="CK27" s="148"/>
      <c r="CL27" s="148"/>
      <c r="CM27" s="148"/>
      <c r="CN27" s="148"/>
      <c r="CO27" s="148"/>
      <c r="CP27" s="148"/>
      <c r="CQ27" s="148"/>
      <c r="CR27" s="148"/>
      <c r="CS27" s="148"/>
      <c r="CT27" s="148"/>
      <c r="CU27" s="148"/>
      <c r="CV27" s="148"/>
      <c r="CW27" s="148"/>
      <c r="CX27" s="148"/>
      <c r="CY27" s="148"/>
      <c r="CZ27" s="148"/>
      <c r="DA27" s="148"/>
      <c r="DB27" s="148"/>
      <c r="DC27" s="148"/>
      <c r="DD27" s="148"/>
      <c r="DE27" s="148"/>
      <c r="DF27" s="148"/>
      <c r="DG27" s="148"/>
      <c r="DH27" s="148"/>
      <c r="DI27" s="148"/>
      <c r="DJ27" s="148"/>
      <c r="DK27" s="148"/>
      <c r="DL27" s="148"/>
      <c r="DM27" s="148"/>
      <c r="DN27" s="148"/>
      <c r="DO27" s="148"/>
      <c r="DP27" s="148"/>
      <c r="DQ27" s="148"/>
      <c r="DR27" s="148"/>
      <c r="DS27" s="148"/>
      <c r="DT27" s="148"/>
      <c r="DU27" s="148"/>
      <c r="DV27" s="148"/>
      <c r="DW27" s="148"/>
      <c r="DX27" s="148"/>
      <c r="DY27" s="148"/>
      <c r="DZ27" s="148"/>
      <c r="EA27" s="148"/>
      <c r="EB27" s="148"/>
      <c r="EC27" s="148"/>
      <c r="ED27" s="148"/>
      <c r="EE27" s="148"/>
      <c r="EF27" s="148"/>
      <c r="EG27" s="148"/>
      <c r="EH27" s="148"/>
      <c r="EI27" s="148"/>
      <c r="EJ27" s="148"/>
      <c r="EK27" s="148"/>
      <c r="EL27" s="148"/>
      <c r="EM27" s="148"/>
      <c r="EN27" s="148"/>
      <c r="EO27" s="148"/>
      <c r="EP27" s="148"/>
      <c r="EQ27" s="148"/>
      <c r="ER27" s="148"/>
      <c r="ES27" s="148"/>
      <c r="ET27" s="148"/>
      <c r="EU27" s="148"/>
      <c r="EV27" s="148"/>
      <c r="EW27" s="148"/>
      <c r="EX27" s="148"/>
      <c r="EY27" s="148"/>
      <c r="EZ27" s="148"/>
      <c r="FA27" s="148"/>
      <c r="FB27" s="148"/>
      <c r="FC27" s="148"/>
      <c r="FD27" s="148"/>
      <c r="FE27" s="148"/>
      <c r="FF27" s="148"/>
      <c r="FG27" s="148"/>
      <c r="FH27" s="148"/>
      <c r="FI27" s="148"/>
      <c r="FJ27" s="148"/>
      <c r="FK27" s="148"/>
      <c r="FL27" s="148"/>
      <c r="FM27" s="148"/>
      <c r="FN27" s="148"/>
      <c r="FO27" s="148"/>
      <c r="FP27" s="148"/>
      <c r="FQ27" s="148"/>
      <c r="FR27" s="148"/>
      <c r="FS27" s="148"/>
      <c r="FT27" s="148"/>
      <c r="FU27" s="148"/>
      <c r="FV27" s="148"/>
      <c r="FW27" s="148"/>
      <c r="FX27" s="148"/>
      <c r="FY27" s="148"/>
      <c r="FZ27" s="148"/>
      <c r="GA27" s="148"/>
      <c r="GB27" s="148"/>
      <c r="GC27" s="148"/>
      <c r="GD27" s="148"/>
      <c r="GE27" s="148"/>
      <c r="GF27" s="148"/>
      <c r="GG27" s="148"/>
      <c r="GH27" s="148"/>
      <c r="GI27" s="148"/>
      <c r="GJ27" s="148"/>
      <c r="GK27" s="148"/>
      <c r="GL27" s="148"/>
      <c r="GM27" s="148"/>
      <c r="GN27" s="148"/>
      <c r="GO27" s="148"/>
      <c r="GP27" s="148"/>
      <c r="GQ27" s="148"/>
      <c r="GR27" s="148"/>
      <c r="GS27" s="148"/>
      <c r="GT27" s="148"/>
      <c r="GU27" s="148"/>
      <c r="GV27" s="148"/>
      <c r="GW27" s="148"/>
      <c r="GX27" s="148"/>
      <c r="GY27" s="148"/>
      <c r="GZ27" s="148"/>
      <c r="HA27" s="148"/>
      <c r="HB27" s="148"/>
      <c r="HC27" s="148"/>
      <c r="HD27" s="148"/>
      <c r="HE27" s="148"/>
      <c r="HF27" s="148"/>
      <c r="HG27" s="148"/>
      <c r="HH27" s="148"/>
      <c r="HI27" s="148"/>
      <c r="HJ27" s="148"/>
      <c r="HK27" s="148"/>
      <c r="HL27" s="148"/>
      <c r="HM27" s="148"/>
      <c r="HN27" s="148"/>
      <c r="HO27" s="148"/>
      <c r="HP27" s="148"/>
      <c r="HQ27" s="148"/>
      <c r="HR27" s="148"/>
      <c r="HS27" s="148"/>
      <c r="HT27" s="148"/>
      <c r="HU27" s="148"/>
      <c r="HV27" s="148"/>
      <c r="HW27" s="148"/>
      <c r="HX27" s="148"/>
      <c r="HY27" s="148"/>
      <c r="HZ27" s="148"/>
      <c r="IA27" s="148"/>
      <c r="IB27" s="148"/>
      <c r="IC27" s="148"/>
      <c r="ID27" s="148"/>
      <c r="IE27" s="148"/>
      <c r="IF27" s="148"/>
      <c r="IG27" s="148"/>
      <c r="IH27" s="148"/>
      <c r="II27" s="148"/>
      <c r="IJ27" s="148"/>
      <c r="IK27" s="148"/>
      <c r="IL27" s="148"/>
      <c r="IM27" s="148"/>
      <c r="IN27" s="148"/>
      <c r="IO27" s="148"/>
      <c r="IP27" s="148"/>
      <c r="IQ27" s="148"/>
      <c r="IR27" s="148"/>
      <c r="IS27" s="148"/>
      <c r="IT27" s="148"/>
      <c r="IU27" s="148"/>
      <c r="IV27" s="148"/>
      <c r="IW27" s="148"/>
      <c r="IX27" s="148"/>
      <c r="IY27" s="148"/>
      <c r="IZ27" s="148"/>
      <c r="JA27" s="148"/>
      <c r="JB27" s="148"/>
      <c r="JC27" s="148"/>
      <c r="JD27" s="148"/>
      <c r="JE27" s="148"/>
      <c r="JF27" s="148"/>
      <c r="JG27" s="148"/>
      <c r="JH27" s="148"/>
      <c r="JI27" s="148"/>
      <c r="JJ27" s="148"/>
      <c r="JK27" s="148"/>
      <c r="JL27" s="148"/>
      <c r="JM27" s="148"/>
      <c r="JN27" s="148"/>
      <c r="JO27" s="148"/>
      <c r="JP27" s="148"/>
      <c r="JQ27" s="148"/>
      <c r="JR27" s="148"/>
      <c r="JS27" s="148"/>
      <c r="JT27" s="148"/>
      <c r="JU27" s="148"/>
      <c r="JV27" s="148"/>
      <c r="JW27" s="148"/>
      <c r="JX27" s="148"/>
      <c r="JY27" s="148"/>
      <c r="JZ27" s="148"/>
      <c r="KA27" s="148"/>
      <c r="KB27" s="148"/>
      <c r="KC27" s="148"/>
      <c r="KD27" s="148"/>
      <c r="KE27" s="148"/>
      <c r="KF27" s="148"/>
      <c r="KG27" s="148"/>
      <c r="KH27" s="148"/>
      <c r="KI27" s="148"/>
      <c r="KJ27" s="148"/>
      <c r="KK27" s="148"/>
      <c r="KL27" s="148"/>
      <c r="KM27" s="148"/>
      <c r="KN27" s="148"/>
      <c r="KO27" s="148"/>
      <c r="KP27" s="148"/>
      <c r="KQ27" s="148"/>
      <c r="KR27" s="148"/>
      <c r="KS27" s="148"/>
      <c r="KT27" s="148"/>
      <c r="KU27" s="92"/>
    </row>
    <row r="28" spans="1:307" s="157" customFormat="1" x14ac:dyDescent="0.15">
      <c r="A28" s="92" t="s">
        <v>311</v>
      </c>
      <c r="B28" s="92">
        <v>270</v>
      </c>
      <c r="C28" s="92" t="s">
        <v>314</v>
      </c>
      <c r="D28" s="225"/>
      <c r="E28" s="244"/>
      <c r="F28" s="242">
        <f>IF(F$4&gt;$F$6,0,E27*IF(F$5&gt;=1,Leadsheet!$D95,Leadsheet!$E95))</f>
        <v>0</v>
      </c>
      <c r="G28" s="242">
        <f>IF(G$4&gt;$F$6,0,F27*IF(G$5&gt;=1,Leadsheet!$D95,Leadsheet!$E95))</f>
        <v>0</v>
      </c>
      <c r="H28" s="242">
        <f>IF(H$4&gt;$F$6,0,G27*IF(H$5&gt;=1,Leadsheet!$D95,Leadsheet!$E95))</f>
        <v>0</v>
      </c>
      <c r="I28" s="242">
        <f>IF(I$4&gt;$F$6,0,H27*IF(I$5&gt;=1,Leadsheet!$D95,Leadsheet!$E95))</f>
        <v>0</v>
      </c>
      <c r="J28" s="242">
        <f>IF(J$4&gt;$F$6,0,I27*IF(J$5&gt;=1,Leadsheet!$D95,Leadsheet!$E95))</f>
        <v>0</v>
      </c>
      <c r="K28" s="242">
        <f>IF(K$4&gt;$F$6,0,J27*IF(K$5&gt;=1,Leadsheet!$D95,Leadsheet!$E95))</f>
        <v>0</v>
      </c>
      <c r="L28" s="242">
        <f>IF(L$4&gt;$F$6,0,K27*IF(L$5&gt;=1,Leadsheet!$D95,Leadsheet!$E95))</f>
        <v>0</v>
      </c>
      <c r="M28" s="242">
        <f>IF(M$4&gt;$F$6,0,L27*IF(M$5&gt;=1,Leadsheet!$D95,Leadsheet!$E95))</f>
        <v>0</v>
      </c>
      <c r="N28" s="242">
        <f>IF(N$4&gt;$F$6,0,M27*IF(N$5&gt;=1,Leadsheet!$D95,Leadsheet!$E95))</f>
        <v>0.14875539573908436</v>
      </c>
      <c r="O28" s="242">
        <f>IF(O$4&gt;$F$6,0,N27*IF(O$5&gt;=1,Leadsheet!$D95,Leadsheet!$E95))</f>
        <v>0.12997306971918632</v>
      </c>
      <c r="P28" s="242">
        <f>IF(P$4&gt;$F$6,0,O27*IF(P$5&gt;=1,Leadsheet!$D95,Leadsheet!$E95))</f>
        <v>0.12270228960779622</v>
      </c>
      <c r="Q28" s="242">
        <f>IF(Q$4&gt;$F$6,0,P27*IF(Q$5&gt;=1,Leadsheet!$D95,Leadsheet!$E95))</f>
        <v>0.1156535045407743</v>
      </c>
      <c r="R28" s="242">
        <f>IF(R$4&gt;$F$6,0,Q27*IF(R$5&gt;=1,Leadsheet!$D95,Leadsheet!$E95))</f>
        <v>0.10879144121973289</v>
      </c>
      <c r="S28" s="242">
        <f>IF(S$4&gt;$F$6,0,R27*IF(S$5&gt;=1,Leadsheet!$D95,Leadsheet!$E95))</f>
        <v>9.8957690103496268E-2</v>
      </c>
      <c r="T28" s="242">
        <f>IF(T$4&gt;$F$6,0,S27*IF(T$5&gt;=1,Leadsheet!$D95,Leadsheet!$E95))</f>
        <v>8.5905596135908383E-2</v>
      </c>
      <c r="U28" s="242">
        <f>IF(U$4&gt;$F$6,0,T27*IF(U$5&gt;=1,Leadsheet!$D95,Leadsheet!$E95))</f>
        <v>0</v>
      </c>
      <c r="V28" s="242">
        <f>IF(V$4&gt;$F$6,0,U27*IF(V$5&gt;=1,Leadsheet!$D95,Leadsheet!$E95))</f>
        <v>0</v>
      </c>
      <c r="W28" s="242">
        <f>IF(W$4&gt;$F$6,0,V27*IF(W$5&gt;=1,Leadsheet!$D95,Leadsheet!$E95))</f>
        <v>0</v>
      </c>
      <c r="X28" s="242">
        <f>IF(X$4&gt;$F$6,0,W27*IF(X$5&gt;=1,Leadsheet!$D95,Leadsheet!$E95))</f>
        <v>0</v>
      </c>
      <c r="Y28" s="242">
        <f>IF(Y$4&gt;$F$6,0,X27*IF(Y$5&gt;=1,Leadsheet!$D95,Leadsheet!$E95))</f>
        <v>0</v>
      </c>
      <c r="Z28" s="242">
        <f>IF(Z$4&gt;$F$6,0,Y27*IF(Z$5&gt;=1,Leadsheet!$D95,Leadsheet!$E95))</f>
        <v>0</v>
      </c>
      <c r="AA28" s="242">
        <f>IF(AA$4&gt;$F$6,0,Z27*IF(AA$5&gt;=1,Leadsheet!$D95,Leadsheet!$E95))</f>
        <v>0</v>
      </c>
      <c r="AB28" s="242">
        <f>IF(AB$4&gt;$F$6,0,AA27*IF(AB$5&gt;=1,Leadsheet!$D95,Leadsheet!$E95))</f>
        <v>0</v>
      </c>
      <c r="AC28" s="242">
        <f>IF(AC$4&gt;$F$6,0,AB27*IF(AC$5&gt;=1,Leadsheet!$D95,Leadsheet!$E95))</f>
        <v>0</v>
      </c>
      <c r="AD28" s="241">
        <f>IF(AD$4&gt;$F$6,0,AC27*Leadsheet!$D95)</f>
        <v>0</v>
      </c>
      <c r="AE28" s="241">
        <f>IF(AE$4&gt;$F$6,0,AD27*Leadsheet!$D95)</f>
        <v>0</v>
      </c>
      <c r="AF28" s="241">
        <f>IF(AF$4&gt;$F$6,0,AE27*Leadsheet!$D95)</f>
        <v>0</v>
      </c>
      <c r="AG28" s="241">
        <f>IF(AG$4&gt;$F$6,0,AF27*Leadsheet!$D95)</f>
        <v>0</v>
      </c>
      <c r="AH28" s="241">
        <f>IF(AH$4&gt;$F$6,0,AG27*Leadsheet!$D95)</f>
        <v>0</v>
      </c>
      <c r="AI28" s="241">
        <f>IF(AI$4&gt;$F$6,0,AH27*Leadsheet!$D95)</f>
        <v>0</v>
      </c>
      <c r="AJ28" s="241">
        <f>IF(AJ$4&gt;$F$6,0,AI27*Leadsheet!$D95)</f>
        <v>0</v>
      </c>
      <c r="AK28" s="241">
        <f>IF(AK$4&gt;$F$6,0,AJ27*Leadsheet!$D95)</f>
        <v>0</v>
      </c>
      <c r="AL28" s="241">
        <f>IF(AL$4&gt;$F$6,0,AK27*Leadsheet!$D95)</f>
        <v>0</v>
      </c>
      <c r="AM28" s="241">
        <f>IF(AM$4&gt;$F$6,0,AL27*Leadsheet!$D95)</f>
        <v>0</v>
      </c>
      <c r="AN28" s="241">
        <f>IF(AN$4&gt;$F$6,0,AM27*Leadsheet!$D95)</f>
        <v>0</v>
      </c>
      <c r="AO28" s="241">
        <f>IF(AO$4&gt;$F$6,0,AN27*Leadsheet!$D95)</f>
        <v>0</v>
      </c>
      <c r="AP28" s="241">
        <f>IF(AP$4&gt;$F$6,0,AO27*Leadsheet!$D95)</f>
        <v>0</v>
      </c>
      <c r="AQ28" s="241">
        <f>IF(AQ$4&gt;$F$6,0,AP27*Leadsheet!$D95)</f>
        <v>0</v>
      </c>
      <c r="AR28" s="241">
        <f>IF(AR$4&gt;$F$6,0,AQ27*Leadsheet!$D95)</f>
        <v>0</v>
      </c>
      <c r="AS28" s="241">
        <f>IF(AS$4&gt;$F$6,0,AR27*Leadsheet!$D95)</f>
        <v>0</v>
      </c>
      <c r="AT28" s="241">
        <f>IF(AT$4&gt;$F$6,0,AS27*Leadsheet!$D95)</f>
        <v>0</v>
      </c>
      <c r="AU28" s="241">
        <f>IF(AU$4&gt;$F$6,0,AT27*Leadsheet!$D95)</f>
        <v>0</v>
      </c>
      <c r="AV28" s="241">
        <f>IF(AV$4&gt;$F$6,0,AU27*Leadsheet!$D95)</f>
        <v>0</v>
      </c>
      <c r="AW28" s="241">
        <f>IF(AW$4&gt;$F$6,0,AV27*Leadsheet!$D95)</f>
        <v>0</v>
      </c>
      <c r="AX28" s="241">
        <f>IF(AX$4&gt;$F$6,0,AW27*Leadsheet!$D95)</f>
        <v>0</v>
      </c>
      <c r="AY28" s="241">
        <f>IF(AY$4&gt;$F$6,0,AX27*Leadsheet!$D95)</f>
        <v>0</v>
      </c>
      <c r="AZ28" s="241">
        <f>IF(AZ$4&gt;$F$6,0,AY27*Leadsheet!$D95)</f>
        <v>0</v>
      </c>
      <c r="BA28" s="241">
        <f>IF(BA$4&gt;$F$6,0,AZ27*Leadsheet!$D95)</f>
        <v>0</v>
      </c>
      <c r="BB28" s="241">
        <f>IF(BB$4&gt;$F$6,0,BA27*Leadsheet!$D95)</f>
        <v>0</v>
      </c>
      <c r="BC28" s="241">
        <f>IF(BC$4&gt;$F$6,0,BB27*Leadsheet!$D95)</f>
        <v>0</v>
      </c>
      <c r="BD28" s="241">
        <f>IF(BD$4&gt;$F$6,0,BC27*Leadsheet!$D95)</f>
        <v>0</v>
      </c>
      <c r="BE28" s="241">
        <f>IF(BE$4&gt;$F$6,0,BD27*Leadsheet!$D95)</f>
        <v>0</v>
      </c>
      <c r="BF28" s="241">
        <f>IF(BF$4&gt;$F$6,0,BE27*Leadsheet!$D95)</f>
        <v>0</v>
      </c>
      <c r="BG28" s="241">
        <f>IF(BG$4&gt;$F$6,0,BF27*Leadsheet!$D95)</f>
        <v>0</v>
      </c>
      <c r="BH28" s="241">
        <f>IF(BH$4&gt;$F$6,0,BG27*Leadsheet!$D95)</f>
        <v>0</v>
      </c>
      <c r="BI28" s="241">
        <f>IF(BI$4&gt;$F$6,0,BH27*Leadsheet!$D95)</f>
        <v>0</v>
      </c>
      <c r="BJ28" s="241">
        <f>IF(BJ$4&gt;$F$6,0,BI27*Leadsheet!$D95)</f>
        <v>0</v>
      </c>
      <c r="BK28" s="241">
        <f>IF(BK$4&gt;$F$6,0,BJ27*Leadsheet!$D95)</f>
        <v>0</v>
      </c>
      <c r="BL28" s="241">
        <f>IF(BL$4&gt;$F$6,0,BK27*Leadsheet!$D95)</f>
        <v>0</v>
      </c>
      <c r="BM28" s="241">
        <f>IF(BM$4&gt;$F$6,0,BL27*Leadsheet!$D95)</f>
        <v>0</v>
      </c>
      <c r="BN28" s="148"/>
      <c r="BO28" s="148"/>
      <c r="BP28" s="148"/>
      <c r="BQ28" s="148"/>
      <c r="BR28" s="148"/>
      <c r="BS28" s="148"/>
      <c r="BT28" s="148"/>
      <c r="BU28" s="148"/>
      <c r="BV28" s="148"/>
      <c r="BW28" s="148"/>
      <c r="BX28" s="148"/>
      <c r="BY28" s="148"/>
      <c r="BZ28" s="148"/>
      <c r="CA28" s="148"/>
      <c r="CB28" s="148"/>
      <c r="CC28" s="148"/>
      <c r="CD28" s="148"/>
      <c r="CE28" s="148"/>
      <c r="CF28" s="148"/>
      <c r="CG28" s="148"/>
      <c r="CH28" s="148"/>
      <c r="CI28" s="148"/>
      <c r="CJ28" s="148"/>
      <c r="CK28" s="148"/>
      <c r="CL28" s="148"/>
      <c r="CM28" s="148"/>
      <c r="CN28" s="148"/>
      <c r="CO28" s="148"/>
      <c r="CP28" s="148"/>
      <c r="CQ28" s="148"/>
      <c r="CR28" s="148"/>
      <c r="CS28" s="148"/>
      <c r="CT28" s="148"/>
      <c r="CU28" s="148"/>
      <c r="CV28" s="148"/>
      <c r="CW28" s="148"/>
      <c r="CX28" s="148"/>
      <c r="CY28" s="148"/>
      <c r="CZ28" s="148"/>
      <c r="DA28" s="148"/>
      <c r="DB28" s="148"/>
      <c r="DC28" s="148"/>
      <c r="DD28" s="148"/>
      <c r="DE28" s="148"/>
      <c r="DF28" s="148"/>
      <c r="DG28" s="148"/>
      <c r="DH28" s="148"/>
      <c r="DI28" s="148"/>
      <c r="DJ28" s="148"/>
      <c r="DK28" s="148"/>
      <c r="DL28" s="148"/>
      <c r="DM28" s="148"/>
      <c r="DN28" s="148"/>
      <c r="DO28" s="148"/>
      <c r="DP28" s="148"/>
      <c r="DQ28" s="148"/>
      <c r="DR28" s="148"/>
      <c r="DS28" s="148"/>
      <c r="DT28" s="148"/>
      <c r="DU28" s="148"/>
      <c r="DV28" s="148"/>
      <c r="DW28" s="148"/>
      <c r="DX28" s="148"/>
      <c r="DY28" s="148"/>
      <c r="DZ28" s="148"/>
      <c r="EA28" s="148"/>
      <c r="EB28" s="148"/>
      <c r="EC28" s="148"/>
      <c r="ED28" s="148"/>
      <c r="EE28" s="148"/>
      <c r="EF28" s="148"/>
      <c r="EG28" s="148"/>
      <c r="EH28" s="148"/>
      <c r="EI28" s="148"/>
      <c r="EJ28" s="148"/>
      <c r="EK28" s="148"/>
      <c r="EL28" s="148"/>
      <c r="EM28" s="148"/>
      <c r="EN28" s="148"/>
      <c r="EO28" s="148"/>
      <c r="EP28" s="148"/>
      <c r="EQ28" s="148"/>
      <c r="ER28" s="148"/>
      <c r="ES28" s="148"/>
      <c r="ET28" s="148"/>
      <c r="EU28" s="148"/>
      <c r="EV28" s="148"/>
      <c r="EW28" s="148"/>
      <c r="EX28" s="148"/>
      <c r="EY28" s="148"/>
      <c r="EZ28" s="148"/>
      <c r="FA28" s="148"/>
      <c r="FB28" s="148"/>
      <c r="FC28" s="148"/>
      <c r="FD28" s="148"/>
      <c r="FE28" s="148"/>
      <c r="FF28" s="148"/>
      <c r="FG28" s="148"/>
      <c r="FH28" s="148"/>
      <c r="FI28" s="148"/>
      <c r="FJ28" s="148"/>
      <c r="FK28" s="148"/>
      <c r="FL28" s="148"/>
      <c r="FM28" s="148"/>
      <c r="FN28" s="148"/>
      <c r="FO28" s="148"/>
      <c r="FP28" s="148"/>
      <c r="FQ28" s="148"/>
      <c r="FR28" s="148"/>
      <c r="FS28" s="148"/>
      <c r="FT28" s="148"/>
      <c r="FU28" s="148"/>
      <c r="FV28" s="148"/>
      <c r="FW28" s="148"/>
      <c r="FX28" s="148"/>
      <c r="FY28" s="148"/>
      <c r="FZ28" s="148"/>
      <c r="GA28" s="148"/>
      <c r="GB28" s="148"/>
      <c r="GC28" s="148"/>
      <c r="GD28" s="148"/>
      <c r="GE28" s="148"/>
      <c r="GF28" s="148"/>
      <c r="GG28" s="148"/>
      <c r="GH28" s="148"/>
      <c r="GI28" s="148"/>
      <c r="GJ28" s="148"/>
      <c r="GK28" s="148"/>
      <c r="GL28" s="148"/>
      <c r="GM28" s="148"/>
      <c r="GN28" s="148"/>
      <c r="GO28" s="148"/>
      <c r="GP28" s="148"/>
      <c r="GQ28" s="148"/>
      <c r="GR28" s="148"/>
      <c r="GS28" s="148"/>
      <c r="GT28" s="148"/>
      <c r="GU28" s="148"/>
      <c r="GV28" s="148"/>
      <c r="GW28" s="148"/>
      <c r="GX28" s="148"/>
      <c r="GY28" s="148"/>
      <c r="GZ28" s="148"/>
      <c r="HA28" s="148"/>
      <c r="HB28" s="148"/>
      <c r="HC28" s="148"/>
      <c r="HD28" s="148"/>
      <c r="HE28" s="148"/>
      <c r="HF28" s="148"/>
      <c r="HG28" s="148"/>
      <c r="HH28" s="148"/>
      <c r="HI28" s="148"/>
      <c r="HJ28" s="148"/>
      <c r="HK28" s="148"/>
      <c r="HL28" s="148"/>
      <c r="HM28" s="148"/>
      <c r="HN28" s="148"/>
      <c r="HO28" s="148"/>
      <c r="HP28" s="148"/>
      <c r="HQ28" s="148"/>
      <c r="HR28" s="148"/>
      <c r="HS28" s="148"/>
      <c r="HT28" s="148"/>
      <c r="HU28" s="148"/>
      <c r="HV28" s="148"/>
      <c r="HW28" s="148"/>
      <c r="HX28" s="148"/>
      <c r="HY28" s="148"/>
      <c r="HZ28" s="148"/>
      <c r="IA28" s="148"/>
      <c r="IB28" s="148"/>
      <c r="IC28" s="148"/>
      <c r="ID28" s="148"/>
      <c r="IE28" s="148"/>
      <c r="IF28" s="148"/>
      <c r="IG28" s="148"/>
      <c r="IH28" s="148"/>
      <c r="II28" s="148"/>
      <c r="IJ28" s="148"/>
      <c r="IK28" s="148"/>
      <c r="IL28" s="148"/>
      <c r="IM28" s="148"/>
      <c r="IN28" s="148"/>
      <c r="IO28" s="148"/>
      <c r="IP28" s="148"/>
      <c r="IQ28" s="148"/>
      <c r="IR28" s="148"/>
      <c r="IS28" s="148"/>
      <c r="IT28" s="148"/>
      <c r="IU28" s="148"/>
      <c r="IV28" s="148"/>
      <c r="IW28" s="148"/>
      <c r="IX28" s="148"/>
      <c r="IY28" s="148"/>
      <c r="IZ28" s="148"/>
      <c r="JA28" s="148"/>
      <c r="JB28" s="148"/>
      <c r="JC28" s="148"/>
      <c r="JD28" s="148"/>
      <c r="JE28" s="148"/>
      <c r="JF28" s="148"/>
      <c r="JG28" s="148"/>
      <c r="JH28" s="148"/>
      <c r="JI28" s="148"/>
      <c r="JJ28" s="148"/>
      <c r="JK28" s="148"/>
      <c r="JL28" s="148"/>
      <c r="JM28" s="148"/>
      <c r="JN28" s="148"/>
      <c r="JO28" s="148"/>
      <c r="JP28" s="148"/>
      <c r="JQ28" s="148"/>
      <c r="JR28" s="148"/>
      <c r="JS28" s="148"/>
      <c r="JT28" s="148"/>
      <c r="JU28" s="148"/>
      <c r="JV28" s="148"/>
      <c r="JW28" s="148"/>
      <c r="JX28" s="148"/>
      <c r="JY28" s="148"/>
      <c r="JZ28" s="148"/>
      <c r="KA28" s="148"/>
      <c r="KB28" s="148"/>
      <c r="KC28" s="148"/>
      <c r="KD28" s="148"/>
      <c r="KE28" s="148"/>
      <c r="KF28" s="148"/>
      <c r="KG28" s="148"/>
      <c r="KH28" s="148"/>
      <c r="KI28" s="148"/>
      <c r="KJ28" s="148"/>
      <c r="KK28" s="148"/>
      <c r="KL28" s="148"/>
      <c r="KM28" s="148"/>
      <c r="KN28" s="148"/>
      <c r="KO28" s="148"/>
      <c r="KP28" s="148"/>
      <c r="KQ28" s="148"/>
      <c r="KR28" s="148"/>
      <c r="KS28" s="148"/>
      <c r="KT28" s="148"/>
      <c r="KU28" s="92"/>
    </row>
    <row r="29" spans="1:307" s="157" customFormat="1" x14ac:dyDescent="0.15">
      <c r="A29" s="92" t="s">
        <v>311</v>
      </c>
      <c r="B29" s="92">
        <v>300</v>
      </c>
      <c r="C29" s="92" t="s">
        <v>315</v>
      </c>
      <c r="D29" s="225"/>
      <c r="E29" s="244"/>
      <c r="F29" s="242">
        <f>IF(F$4&gt;$F$6,0,E28*IF(F$5&gt;=1,Leadsheet!$D96,Leadsheet!$E96))</f>
        <v>0</v>
      </c>
      <c r="G29" s="242">
        <f>IF(G$4&gt;$F$6,0,F28*IF(G$5&gt;=1,Leadsheet!$D96,Leadsheet!$E96))</f>
        <v>0</v>
      </c>
      <c r="H29" s="242">
        <f>IF(H$4&gt;$F$6,0,G28*IF(H$5&gt;=1,Leadsheet!$D96,Leadsheet!$E96))</f>
        <v>0</v>
      </c>
      <c r="I29" s="242">
        <f>IF(I$4&gt;$F$6,0,H28*IF(I$5&gt;=1,Leadsheet!$D96,Leadsheet!$E96))</f>
        <v>0</v>
      </c>
      <c r="J29" s="242">
        <f>IF(J$4&gt;$F$6,0,I28*IF(J$5&gt;=1,Leadsheet!$D96,Leadsheet!$E96))</f>
        <v>0</v>
      </c>
      <c r="K29" s="242">
        <f>IF(K$4&gt;$F$6,0,J28*IF(K$5&gt;=1,Leadsheet!$D96,Leadsheet!$E96))</f>
        <v>0</v>
      </c>
      <c r="L29" s="242">
        <f>IF(L$4&gt;$F$6,0,K28*IF(L$5&gt;=1,Leadsheet!$D96,Leadsheet!$E96))</f>
        <v>0</v>
      </c>
      <c r="M29" s="242">
        <f>IF(M$4&gt;$F$6,0,L28*IF(M$5&gt;=1,Leadsheet!$D96,Leadsheet!$E96))</f>
        <v>0</v>
      </c>
      <c r="N29" s="242">
        <f>IF(N$4&gt;$F$6,0,M28*IF(N$5&gt;=1,Leadsheet!$D96,Leadsheet!$E96))</f>
        <v>0</v>
      </c>
      <c r="O29" s="242">
        <f>IF(O$4&gt;$F$6,0,N28*IF(O$5&gt;=1,Leadsheet!$D96,Leadsheet!$E96))</f>
        <v>0.14875539573908436</v>
      </c>
      <c r="P29" s="242">
        <f>IF(P$4&gt;$F$6,0,O28*IF(P$5&gt;=1,Leadsheet!$D96,Leadsheet!$E96))</f>
        <v>0.12997306971918632</v>
      </c>
      <c r="Q29" s="242">
        <f>IF(Q$4&gt;$F$6,0,P28*IF(Q$5&gt;=1,Leadsheet!$D96,Leadsheet!$E96))</f>
        <v>0.12270228960779622</v>
      </c>
      <c r="R29" s="242">
        <f>IF(R$4&gt;$F$6,0,Q28*IF(R$5&gt;=1,Leadsheet!$D96,Leadsheet!$E96))</f>
        <v>0.1156535045407743</v>
      </c>
      <c r="S29" s="242">
        <f>IF(S$4&gt;$F$6,0,R28*IF(S$5&gt;=1,Leadsheet!$D96,Leadsheet!$E96))</f>
        <v>0.10879144121973289</v>
      </c>
      <c r="T29" s="242">
        <f>IF(T$4&gt;$F$6,0,S28*IF(T$5&gt;=1,Leadsheet!$D96,Leadsheet!$E96))</f>
        <v>9.8957690103496268E-2</v>
      </c>
      <c r="U29" s="242">
        <f>IF(U$4&gt;$F$6,0,T28*IF(U$5&gt;=1,Leadsheet!$D96,Leadsheet!$E96))</f>
        <v>0</v>
      </c>
      <c r="V29" s="242">
        <f>IF(V$4&gt;$F$6,0,U28*IF(V$5&gt;=1,Leadsheet!$D96,Leadsheet!$E96))</f>
        <v>0</v>
      </c>
      <c r="W29" s="242">
        <f>IF(W$4&gt;$F$6,0,V28*IF(W$5&gt;=1,Leadsheet!$D96,Leadsheet!$E96))</f>
        <v>0</v>
      </c>
      <c r="X29" s="242">
        <f>IF(X$4&gt;$F$6,0,W28*IF(X$5&gt;=1,Leadsheet!$D96,Leadsheet!$E96))</f>
        <v>0</v>
      </c>
      <c r="Y29" s="242">
        <f>IF(Y$4&gt;$F$6,0,X28*IF(Y$5&gt;=1,Leadsheet!$D96,Leadsheet!$E96))</f>
        <v>0</v>
      </c>
      <c r="Z29" s="242">
        <f>IF(Z$4&gt;$F$6,0,Y28*IF(Z$5&gt;=1,Leadsheet!$D96,Leadsheet!$E96))</f>
        <v>0</v>
      </c>
      <c r="AA29" s="242">
        <f>IF(AA$4&gt;$F$6,0,Z28*IF(AA$5&gt;=1,Leadsheet!$D96,Leadsheet!$E96))</f>
        <v>0</v>
      </c>
      <c r="AB29" s="242">
        <f>IF(AB$4&gt;$F$6,0,AA28*IF(AB$5&gt;=1,Leadsheet!$D96,Leadsheet!$E96))</f>
        <v>0</v>
      </c>
      <c r="AC29" s="242">
        <f>IF(AC$4&gt;$F$6,0,AB28*IF(AC$5&gt;=1,Leadsheet!$D96,Leadsheet!$E96))</f>
        <v>0</v>
      </c>
      <c r="AD29" s="241">
        <f>IF(AD$4&gt;$F$6,0,AC28*Leadsheet!$D96)</f>
        <v>0</v>
      </c>
      <c r="AE29" s="241">
        <f>IF(AE$4&gt;$F$6,0,AD28*Leadsheet!$D96)</f>
        <v>0</v>
      </c>
      <c r="AF29" s="241">
        <f>IF(AF$4&gt;$F$6,0,AE28*Leadsheet!$D96)</f>
        <v>0</v>
      </c>
      <c r="AG29" s="241">
        <f>IF(AG$4&gt;$F$6,0,AF28*Leadsheet!$D96)</f>
        <v>0</v>
      </c>
      <c r="AH29" s="241">
        <f>IF(AH$4&gt;$F$6,0,AG28*Leadsheet!$D96)</f>
        <v>0</v>
      </c>
      <c r="AI29" s="241">
        <f>IF(AI$4&gt;$F$6,0,AH28*Leadsheet!$D96)</f>
        <v>0</v>
      </c>
      <c r="AJ29" s="241">
        <f>IF(AJ$4&gt;$F$6,0,AI28*Leadsheet!$D96)</f>
        <v>0</v>
      </c>
      <c r="AK29" s="241">
        <f>IF(AK$4&gt;$F$6,0,AJ28*Leadsheet!$D96)</f>
        <v>0</v>
      </c>
      <c r="AL29" s="241">
        <f>IF(AL$4&gt;$F$6,0,AK28*Leadsheet!$D96)</f>
        <v>0</v>
      </c>
      <c r="AM29" s="241">
        <f>IF(AM$4&gt;$F$6,0,AL28*Leadsheet!$D96)</f>
        <v>0</v>
      </c>
      <c r="AN29" s="241">
        <f>IF(AN$4&gt;$F$6,0,AM28*Leadsheet!$D96)</f>
        <v>0</v>
      </c>
      <c r="AO29" s="241">
        <f>IF(AO$4&gt;$F$6,0,AN28*Leadsheet!$D96)</f>
        <v>0</v>
      </c>
      <c r="AP29" s="241">
        <f>IF(AP$4&gt;$F$6,0,AO28*Leadsheet!$D96)</f>
        <v>0</v>
      </c>
      <c r="AQ29" s="241">
        <f>IF(AQ$4&gt;$F$6,0,AP28*Leadsheet!$D96)</f>
        <v>0</v>
      </c>
      <c r="AR29" s="241">
        <f>IF(AR$4&gt;$F$6,0,AQ28*Leadsheet!$D96)</f>
        <v>0</v>
      </c>
      <c r="AS29" s="241">
        <f>IF(AS$4&gt;$F$6,0,AR28*Leadsheet!$D96)</f>
        <v>0</v>
      </c>
      <c r="AT29" s="241">
        <f>IF(AT$4&gt;$F$6,0,AS28*Leadsheet!$D96)</f>
        <v>0</v>
      </c>
      <c r="AU29" s="241">
        <f>IF(AU$4&gt;$F$6,0,AT28*Leadsheet!$D96)</f>
        <v>0</v>
      </c>
      <c r="AV29" s="241">
        <f>IF(AV$4&gt;$F$6,0,AU28*Leadsheet!$D96)</f>
        <v>0</v>
      </c>
      <c r="AW29" s="241">
        <f>IF(AW$4&gt;$F$6,0,AV28*Leadsheet!$D96)</f>
        <v>0</v>
      </c>
      <c r="AX29" s="241">
        <f>IF(AX$4&gt;$F$6,0,AW28*Leadsheet!$D96)</f>
        <v>0</v>
      </c>
      <c r="AY29" s="241">
        <f>IF(AY$4&gt;$F$6,0,AX28*Leadsheet!$D96)</f>
        <v>0</v>
      </c>
      <c r="AZ29" s="241">
        <f>IF(AZ$4&gt;$F$6,0,AY28*Leadsheet!$D96)</f>
        <v>0</v>
      </c>
      <c r="BA29" s="241">
        <f>IF(BA$4&gt;$F$6,0,AZ28*Leadsheet!$D96)</f>
        <v>0</v>
      </c>
      <c r="BB29" s="241">
        <f>IF(BB$4&gt;$F$6,0,BA28*Leadsheet!$D96)</f>
        <v>0</v>
      </c>
      <c r="BC29" s="241">
        <f>IF(BC$4&gt;$F$6,0,BB28*Leadsheet!$D96)</f>
        <v>0</v>
      </c>
      <c r="BD29" s="241">
        <f>IF(BD$4&gt;$F$6,0,BC28*Leadsheet!$D96)</f>
        <v>0</v>
      </c>
      <c r="BE29" s="241">
        <f>IF(BE$4&gt;$F$6,0,BD28*Leadsheet!$D96)</f>
        <v>0</v>
      </c>
      <c r="BF29" s="241">
        <f>IF(BF$4&gt;$F$6,0,BE28*Leadsheet!$D96)</f>
        <v>0</v>
      </c>
      <c r="BG29" s="241">
        <f>IF(BG$4&gt;$F$6,0,BF28*Leadsheet!$D96)</f>
        <v>0</v>
      </c>
      <c r="BH29" s="241">
        <f>IF(BH$4&gt;$F$6,0,BG28*Leadsheet!$D96)</f>
        <v>0</v>
      </c>
      <c r="BI29" s="241">
        <f>IF(BI$4&gt;$F$6,0,BH28*Leadsheet!$D96)</f>
        <v>0</v>
      </c>
      <c r="BJ29" s="241">
        <f>IF(BJ$4&gt;$F$6,0,BI28*Leadsheet!$D96)</f>
        <v>0</v>
      </c>
      <c r="BK29" s="241">
        <f>IF(BK$4&gt;$F$6,0,BJ28*Leadsheet!$D96)</f>
        <v>0</v>
      </c>
      <c r="BL29" s="241">
        <f>IF(BL$4&gt;$F$6,0,BK28*Leadsheet!$D96)</f>
        <v>0</v>
      </c>
      <c r="BM29" s="241">
        <f>IF(BM$4&gt;$F$6,0,BL28*Leadsheet!$D96)</f>
        <v>0</v>
      </c>
      <c r="BN29" s="148"/>
      <c r="BO29" s="148"/>
      <c r="BP29" s="148"/>
      <c r="BQ29" s="148"/>
      <c r="BR29" s="148"/>
      <c r="BS29" s="148"/>
      <c r="BT29" s="148"/>
      <c r="BU29" s="148"/>
      <c r="BV29" s="148"/>
      <c r="BW29" s="148"/>
      <c r="BX29" s="148"/>
      <c r="BY29" s="148"/>
      <c r="BZ29" s="148"/>
      <c r="CA29" s="148"/>
      <c r="CB29" s="148"/>
      <c r="CC29" s="148"/>
      <c r="CD29" s="148"/>
      <c r="CE29" s="148"/>
      <c r="CF29" s="148"/>
      <c r="CG29" s="148"/>
      <c r="CH29" s="148"/>
      <c r="CI29" s="148"/>
      <c r="CJ29" s="148"/>
      <c r="CK29" s="148"/>
      <c r="CL29" s="148"/>
      <c r="CM29" s="148"/>
      <c r="CN29" s="148"/>
      <c r="CO29" s="148"/>
      <c r="CP29" s="148"/>
      <c r="CQ29" s="148"/>
      <c r="CR29" s="148"/>
      <c r="CS29" s="148"/>
      <c r="CT29" s="148"/>
      <c r="CU29" s="148"/>
      <c r="CV29" s="148"/>
      <c r="CW29" s="148"/>
      <c r="CX29" s="148"/>
      <c r="CY29" s="148"/>
      <c r="CZ29" s="148"/>
      <c r="DA29" s="148"/>
      <c r="DB29" s="148"/>
      <c r="DC29" s="148"/>
      <c r="DD29" s="148"/>
      <c r="DE29" s="148"/>
      <c r="DF29" s="148"/>
      <c r="DG29" s="148"/>
      <c r="DH29" s="148"/>
      <c r="DI29" s="148"/>
      <c r="DJ29" s="148"/>
      <c r="DK29" s="148"/>
      <c r="DL29" s="148"/>
      <c r="DM29" s="148"/>
      <c r="DN29" s="148"/>
      <c r="DO29" s="148"/>
      <c r="DP29" s="148"/>
      <c r="DQ29" s="148"/>
      <c r="DR29" s="148"/>
      <c r="DS29" s="148"/>
      <c r="DT29" s="148"/>
      <c r="DU29" s="148"/>
      <c r="DV29" s="148"/>
      <c r="DW29" s="148"/>
      <c r="DX29" s="148"/>
      <c r="DY29" s="148"/>
      <c r="DZ29" s="148"/>
      <c r="EA29" s="148"/>
      <c r="EB29" s="148"/>
      <c r="EC29" s="148"/>
      <c r="ED29" s="148"/>
      <c r="EE29" s="148"/>
      <c r="EF29" s="148"/>
      <c r="EG29" s="148"/>
      <c r="EH29" s="148"/>
      <c r="EI29" s="148"/>
      <c r="EJ29" s="148"/>
      <c r="EK29" s="148"/>
      <c r="EL29" s="148"/>
      <c r="EM29" s="148"/>
      <c r="EN29" s="148"/>
      <c r="EO29" s="148"/>
      <c r="EP29" s="148"/>
      <c r="EQ29" s="148"/>
      <c r="ER29" s="148"/>
      <c r="ES29" s="148"/>
      <c r="ET29" s="148"/>
      <c r="EU29" s="148"/>
      <c r="EV29" s="148"/>
      <c r="EW29" s="148"/>
      <c r="EX29" s="148"/>
      <c r="EY29" s="148"/>
      <c r="EZ29" s="148"/>
      <c r="FA29" s="148"/>
      <c r="FB29" s="148"/>
      <c r="FC29" s="148"/>
      <c r="FD29" s="148"/>
      <c r="FE29" s="148"/>
      <c r="FF29" s="148"/>
      <c r="FG29" s="148"/>
      <c r="FH29" s="148"/>
      <c r="FI29" s="148"/>
      <c r="FJ29" s="148"/>
      <c r="FK29" s="148"/>
      <c r="FL29" s="148"/>
      <c r="FM29" s="148"/>
      <c r="FN29" s="148"/>
      <c r="FO29" s="148"/>
      <c r="FP29" s="148"/>
      <c r="FQ29" s="148"/>
      <c r="FR29" s="148"/>
      <c r="FS29" s="148"/>
      <c r="FT29" s="148"/>
      <c r="FU29" s="148"/>
      <c r="FV29" s="148"/>
      <c r="FW29" s="148"/>
      <c r="FX29" s="148"/>
      <c r="FY29" s="148"/>
      <c r="FZ29" s="148"/>
      <c r="GA29" s="148"/>
      <c r="GB29" s="148"/>
      <c r="GC29" s="148"/>
      <c r="GD29" s="148"/>
      <c r="GE29" s="148"/>
      <c r="GF29" s="148"/>
      <c r="GG29" s="148"/>
      <c r="GH29" s="148"/>
      <c r="GI29" s="148"/>
      <c r="GJ29" s="148"/>
      <c r="GK29" s="148"/>
      <c r="GL29" s="148"/>
      <c r="GM29" s="148"/>
      <c r="GN29" s="148"/>
      <c r="GO29" s="148"/>
      <c r="GP29" s="148"/>
      <c r="GQ29" s="148"/>
      <c r="GR29" s="148"/>
      <c r="GS29" s="148"/>
      <c r="GT29" s="148"/>
      <c r="GU29" s="148"/>
      <c r="GV29" s="148"/>
      <c r="GW29" s="148"/>
      <c r="GX29" s="148"/>
      <c r="GY29" s="148"/>
      <c r="GZ29" s="148"/>
      <c r="HA29" s="148"/>
      <c r="HB29" s="148"/>
      <c r="HC29" s="148"/>
      <c r="HD29" s="148"/>
      <c r="HE29" s="148"/>
      <c r="HF29" s="148"/>
      <c r="HG29" s="148"/>
      <c r="HH29" s="148"/>
      <c r="HI29" s="148"/>
      <c r="HJ29" s="148"/>
      <c r="HK29" s="148"/>
      <c r="HL29" s="148"/>
      <c r="HM29" s="148"/>
      <c r="HN29" s="148"/>
      <c r="HO29" s="148"/>
      <c r="HP29" s="148"/>
      <c r="HQ29" s="148"/>
      <c r="HR29" s="148"/>
      <c r="HS29" s="148"/>
      <c r="HT29" s="148"/>
      <c r="HU29" s="148"/>
      <c r="HV29" s="148"/>
      <c r="HW29" s="148"/>
      <c r="HX29" s="148"/>
      <c r="HY29" s="148"/>
      <c r="HZ29" s="148"/>
      <c r="IA29" s="148"/>
      <c r="IB29" s="148"/>
      <c r="IC29" s="148"/>
      <c r="ID29" s="148"/>
      <c r="IE29" s="148"/>
      <c r="IF29" s="148"/>
      <c r="IG29" s="148"/>
      <c r="IH29" s="148"/>
      <c r="II29" s="148"/>
      <c r="IJ29" s="148"/>
      <c r="IK29" s="148"/>
      <c r="IL29" s="148"/>
      <c r="IM29" s="148"/>
      <c r="IN29" s="148"/>
      <c r="IO29" s="148"/>
      <c r="IP29" s="148"/>
      <c r="IQ29" s="148"/>
      <c r="IR29" s="148"/>
      <c r="IS29" s="148"/>
      <c r="IT29" s="148"/>
      <c r="IU29" s="148"/>
      <c r="IV29" s="148"/>
      <c r="IW29" s="148"/>
      <c r="IX29" s="148"/>
      <c r="IY29" s="148"/>
      <c r="IZ29" s="148"/>
      <c r="JA29" s="148"/>
      <c r="JB29" s="148"/>
      <c r="JC29" s="148"/>
      <c r="JD29" s="148"/>
      <c r="JE29" s="148"/>
      <c r="JF29" s="148"/>
      <c r="JG29" s="148"/>
      <c r="JH29" s="148"/>
      <c r="JI29" s="148"/>
      <c r="JJ29" s="148"/>
      <c r="JK29" s="148"/>
      <c r="JL29" s="148"/>
      <c r="JM29" s="148"/>
      <c r="JN29" s="148"/>
      <c r="JO29" s="148"/>
      <c r="JP29" s="148"/>
      <c r="JQ29" s="148"/>
      <c r="JR29" s="148"/>
      <c r="JS29" s="148"/>
      <c r="JT29" s="148"/>
      <c r="JU29" s="148"/>
      <c r="JV29" s="148"/>
      <c r="JW29" s="148"/>
      <c r="JX29" s="148"/>
      <c r="JY29" s="148"/>
      <c r="JZ29" s="148"/>
      <c r="KA29" s="148"/>
      <c r="KB29" s="148"/>
      <c r="KC29" s="148"/>
      <c r="KD29" s="148"/>
      <c r="KE29" s="148"/>
      <c r="KF29" s="148"/>
      <c r="KG29" s="148"/>
      <c r="KH29" s="148"/>
      <c r="KI29" s="148"/>
      <c r="KJ29" s="148"/>
      <c r="KK29" s="148"/>
      <c r="KL29" s="148"/>
      <c r="KM29" s="148"/>
      <c r="KN29" s="148"/>
      <c r="KO29" s="148"/>
      <c r="KP29" s="148"/>
      <c r="KQ29" s="148"/>
      <c r="KR29" s="148"/>
      <c r="KS29" s="148"/>
      <c r="KT29" s="148"/>
      <c r="KU29" s="92"/>
    </row>
    <row r="30" spans="1:307" s="157" customFormat="1" x14ac:dyDescent="0.15">
      <c r="A30" s="92" t="s">
        <v>311</v>
      </c>
      <c r="B30" s="92">
        <v>330</v>
      </c>
      <c r="C30" s="92" t="s">
        <v>316</v>
      </c>
      <c r="D30" s="225"/>
      <c r="E30" s="244"/>
      <c r="F30" s="242">
        <f>IF(F$4&gt;$F$6,0,E29*IF(F$5&gt;=1,Leadsheet!$D97,Leadsheet!$E97))</f>
        <v>0</v>
      </c>
      <c r="G30" s="242">
        <f>IF(G$4&gt;$F$6,0,F29*IF(G$5&gt;=1,Leadsheet!$D97,Leadsheet!$E97))</f>
        <v>0</v>
      </c>
      <c r="H30" s="242">
        <f>IF(H$4&gt;$F$6,0,G29*IF(H$5&gt;=1,Leadsheet!$D97,Leadsheet!$E97))</f>
        <v>0</v>
      </c>
      <c r="I30" s="242">
        <f>IF(I$4&gt;$F$6,0,H29*IF(I$5&gt;=1,Leadsheet!$D97,Leadsheet!$E97))</f>
        <v>0</v>
      </c>
      <c r="J30" s="242">
        <f>IF(J$4&gt;$F$6,0,I29*IF(J$5&gt;=1,Leadsheet!$D97,Leadsheet!$E97))</f>
        <v>0</v>
      </c>
      <c r="K30" s="242">
        <f>IF(K$4&gt;$F$6,0,J29*IF(K$5&gt;=1,Leadsheet!$D97,Leadsheet!$E97))</f>
        <v>0</v>
      </c>
      <c r="L30" s="242">
        <f>IF(L$4&gt;$F$6,0,K29*IF(L$5&gt;=1,Leadsheet!$D97,Leadsheet!$E97))</f>
        <v>0</v>
      </c>
      <c r="M30" s="242">
        <f>IF(M$4&gt;$F$6,0,L29*IF(M$5&gt;=1,Leadsheet!$D97,Leadsheet!$E97))</f>
        <v>0</v>
      </c>
      <c r="N30" s="242">
        <f>IF(N$4&gt;$F$6,0,M29*IF(N$5&gt;=1,Leadsheet!$D97,Leadsheet!$E97))</f>
        <v>0</v>
      </c>
      <c r="O30" s="242">
        <f>IF(O$4&gt;$F$6,0,N29*IF(O$5&gt;=1,Leadsheet!$D97,Leadsheet!$E97))</f>
        <v>0</v>
      </c>
      <c r="P30" s="242">
        <f>IF(P$4&gt;$F$6,0,O29*IF(P$5&gt;=1,Leadsheet!$D97,Leadsheet!$E97))</f>
        <v>0.14875539573908436</v>
      </c>
      <c r="Q30" s="242">
        <f>IF(Q$4&gt;$F$6,0,P29*IF(Q$5&gt;=1,Leadsheet!$D97,Leadsheet!$E97))</f>
        <v>0.12997306971918632</v>
      </c>
      <c r="R30" s="242">
        <f>IF(R$4&gt;$F$6,0,Q29*IF(R$5&gt;=1,Leadsheet!$D97,Leadsheet!$E97))</f>
        <v>0.12270228960779622</v>
      </c>
      <c r="S30" s="242">
        <f>IF(S$4&gt;$F$6,0,R29*IF(S$5&gt;=1,Leadsheet!$D97,Leadsheet!$E97))</f>
        <v>0.1156535045407743</v>
      </c>
      <c r="T30" s="242">
        <f>IF(T$4&gt;$F$6,0,S29*IF(T$5&gt;=1,Leadsheet!$D97,Leadsheet!$E97))</f>
        <v>0.10879144121973289</v>
      </c>
      <c r="U30" s="242">
        <f>IF(U$4&gt;$F$6,0,T29*IF(U$5&gt;=1,Leadsheet!$D97,Leadsheet!$E97))</f>
        <v>0</v>
      </c>
      <c r="V30" s="242">
        <f>IF(V$4&gt;$F$6,0,U29*IF(V$5&gt;=1,Leadsheet!$D97,Leadsheet!$E97))</f>
        <v>0</v>
      </c>
      <c r="W30" s="242">
        <f>IF(W$4&gt;$F$6,0,V29*IF(W$5&gt;=1,Leadsheet!$D97,Leadsheet!$E97))</f>
        <v>0</v>
      </c>
      <c r="X30" s="242">
        <f>IF(X$4&gt;$F$6,0,W29*IF(X$5&gt;=1,Leadsheet!$D97,Leadsheet!$E97))</f>
        <v>0</v>
      </c>
      <c r="Y30" s="242">
        <f>IF(Y$4&gt;$F$6,0,X29*IF(Y$5&gt;=1,Leadsheet!$D97,Leadsheet!$E97))</f>
        <v>0</v>
      </c>
      <c r="Z30" s="242">
        <f>IF(Z$4&gt;$F$6,0,Y29*IF(Z$5&gt;=1,Leadsheet!$D97,Leadsheet!$E97))</f>
        <v>0</v>
      </c>
      <c r="AA30" s="242">
        <f>IF(AA$4&gt;$F$6,0,Z29*IF(AA$5&gt;=1,Leadsheet!$D97,Leadsheet!$E97))</f>
        <v>0</v>
      </c>
      <c r="AB30" s="242">
        <f>IF(AB$4&gt;$F$6,0,AA29*IF(AB$5&gt;=1,Leadsheet!$D97,Leadsheet!$E97))</f>
        <v>0</v>
      </c>
      <c r="AC30" s="242">
        <f>IF(AC$4&gt;$F$6,0,AB29*IF(AC$5&gt;=1,Leadsheet!$D97,Leadsheet!$E97))</f>
        <v>0</v>
      </c>
      <c r="AD30" s="241">
        <f>IF(AD$4&gt;$F$6,0,AC29*Leadsheet!$D97)</f>
        <v>0</v>
      </c>
      <c r="AE30" s="241">
        <f>IF(AE$4&gt;$F$6,0,AD29*Leadsheet!$D97)</f>
        <v>0</v>
      </c>
      <c r="AF30" s="241">
        <f>IF(AF$4&gt;$F$6,0,AE29*Leadsheet!$D97)</f>
        <v>0</v>
      </c>
      <c r="AG30" s="241">
        <f>IF(AG$4&gt;$F$6,0,AF29*Leadsheet!$D97)</f>
        <v>0</v>
      </c>
      <c r="AH30" s="241">
        <f>IF(AH$4&gt;$F$6,0,AG29*Leadsheet!$D97)</f>
        <v>0</v>
      </c>
      <c r="AI30" s="241">
        <f>IF(AI$4&gt;$F$6,0,AH29*Leadsheet!$D97)</f>
        <v>0</v>
      </c>
      <c r="AJ30" s="241">
        <f>IF(AJ$4&gt;$F$6,0,AI29*Leadsheet!$D97)</f>
        <v>0</v>
      </c>
      <c r="AK30" s="241">
        <f>IF(AK$4&gt;$F$6,0,AJ29*Leadsheet!$D97)</f>
        <v>0</v>
      </c>
      <c r="AL30" s="241">
        <f>IF(AL$4&gt;$F$6,0,AK29*Leadsheet!$D97)</f>
        <v>0</v>
      </c>
      <c r="AM30" s="241">
        <f>IF(AM$4&gt;$F$6,0,AL29*Leadsheet!$D97)</f>
        <v>0</v>
      </c>
      <c r="AN30" s="241">
        <f>IF(AN$4&gt;$F$6,0,AM29*Leadsheet!$D97)</f>
        <v>0</v>
      </c>
      <c r="AO30" s="241">
        <f>IF(AO$4&gt;$F$6,0,AN29*Leadsheet!$D97)</f>
        <v>0</v>
      </c>
      <c r="AP30" s="241">
        <f>IF(AP$4&gt;$F$6,0,AO29*Leadsheet!$D97)</f>
        <v>0</v>
      </c>
      <c r="AQ30" s="241">
        <f>IF(AQ$4&gt;$F$6,0,AP29*Leadsheet!$D97)</f>
        <v>0</v>
      </c>
      <c r="AR30" s="241">
        <f>IF(AR$4&gt;$F$6,0,AQ29*Leadsheet!$D97)</f>
        <v>0</v>
      </c>
      <c r="AS30" s="241">
        <f>IF(AS$4&gt;$F$6,0,AR29*Leadsheet!$D97)</f>
        <v>0</v>
      </c>
      <c r="AT30" s="241">
        <f>IF(AT$4&gt;$F$6,0,AS29*Leadsheet!$D97)</f>
        <v>0</v>
      </c>
      <c r="AU30" s="241">
        <f>IF(AU$4&gt;$F$6,0,AT29*Leadsheet!$D97)</f>
        <v>0</v>
      </c>
      <c r="AV30" s="241">
        <f>IF(AV$4&gt;$F$6,0,AU29*Leadsheet!$D97)</f>
        <v>0</v>
      </c>
      <c r="AW30" s="241">
        <f>IF(AW$4&gt;$F$6,0,AV29*Leadsheet!$D97)</f>
        <v>0</v>
      </c>
      <c r="AX30" s="241">
        <f>IF(AX$4&gt;$F$6,0,AW29*Leadsheet!$D97)</f>
        <v>0</v>
      </c>
      <c r="AY30" s="241">
        <f>IF(AY$4&gt;$F$6,0,AX29*Leadsheet!$D97)</f>
        <v>0</v>
      </c>
      <c r="AZ30" s="241">
        <f>IF(AZ$4&gt;$F$6,0,AY29*Leadsheet!$D97)</f>
        <v>0</v>
      </c>
      <c r="BA30" s="241">
        <f>IF(BA$4&gt;$F$6,0,AZ29*Leadsheet!$D97)</f>
        <v>0</v>
      </c>
      <c r="BB30" s="241">
        <f>IF(BB$4&gt;$F$6,0,BA29*Leadsheet!$D97)</f>
        <v>0</v>
      </c>
      <c r="BC30" s="241">
        <f>IF(BC$4&gt;$F$6,0,BB29*Leadsheet!$D97)</f>
        <v>0</v>
      </c>
      <c r="BD30" s="241">
        <f>IF(BD$4&gt;$F$6,0,BC29*Leadsheet!$D97)</f>
        <v>0</v>
      </c>
      <c r="BE30" s="241">
        <f>IF(BE$4&gt;$F$6,0,BD29*Leadsheet!$D97)</f>
        <v>0</v>
      </c>
      <c r="BF30" s="241">
        <f>IF(BF$4&gt;$F$6,0,BE29*Leadsheet!$D97)</f>
        <v>0</v>
      </c>
      <c r="BG30" s="241">
        <f>IF(BG$4&gt;$F$6,0,BF29*Leadsheet!$D97)</f>
        <v>0</v>
      </c>
      <c r="BH30" s="241">
        <f>IF(BH$4&gt;$F$6,0,BG29*Leadsheet!$D97)</f>
        <v>0</v>
      </c>
      <c r="BI30" s="241">
        <f>IF(BI$4&gt;$F$6,0,BH29*Leadsheet!$D97)</f>
        <v>0</v>
      </c>
      <c r="BJ30" s="241">
        <f>IF(BJ$4&gt;$F$6,0,BI29*Leadsheet!$D97)</f>
        <v>0</v>
      </c>
      <c r="BK30" s="241">
        <f>IF(BK$4&gt;$F$6,0,BJ29*Leadsheet!$D97)</f>
        <v>0</v>
      </c>
      <c r="BL30" s="241">
        <f>IF(BL$4&gt;$F$6,0,BK29*Leadsheet!$D97)</f>
        <v>0</v>
      </c>
      <c r="BM30" s="241">
        <f>IF(BM$4&gt;$F$6,0,BL29*Leadsheet!$D97)</f>
        <v>0</v>
      </c>
      <c r="BN30" s="148"/>
      <c r="BO30" s="148"/>
      <c r="BP30" s="148"/>
      <c r="BQ30" s="148"/>
      <c r="BR30" s="148"/>
      <c r="BS30" s="148"/>
      <c r="BT30" s="148"/>
      <c r="BU30" s="148"/>
      <c r="BV30" s="148"/>
      <c r="BW30" s="148"/>
      <c r="BX30" s="148"/>
      <c r="BY30" s="148"/>
      <c r="BZ30" s="148"/>
      <c r="CA30" s="148"/>
      <c r="CB30" s="148"/>
      <c r="CC30" s="148"/>
      <c r="CD30" s="148"/>
      <c r="CE30" s="148"/>
      <c r="CF30" s="148"/>
      <c r="CG30" s="148"/>
      <c r="CH30" s="148"/>
      <c r="CI30" s="148"/>
      <c r="CJ30" s="148"/>
      <c r="CK30" s="148"/>
      <c r="CL30" s="148"/>
      <c r="CM30" s="148"/>
      <c r="CN30" s="148"/>
      <c r="CO30" s="148"/>
      <c r="CP30" s="148"/>
      <c r="CQ30" s="148"/>
      <c r="CR30" s="148"/>
      <c r="CS30" s="148"/>
      <c r="CT30" s="148"/>
      <c r="CU30" s="148"/>
      <c r="CV30" s="148"/>
      <c r="CW30" s="148"/>
      <c r="CX30" s="148"/>
      <c r="CY30" s="148"/>
      <c r="CZ30" s="148"/>
      <c r="DA30" s="148"/>
      <c r="DB30" s="148"/>
      <c r="DC30" s="148"/>
      <c r="DD30" s="148"/>
      <c r="DE30" s="148"/>
      <c r="DF30" s="148"/>
      <c r="DG30" s="148"/>
      <c r="DH30" s="148"/>
      <c r="DI30" s="148"/>
      <c r="DJ30" s="148"/>
      <c r="DK30" s="148"/>
      <c r="DL30" s="148"/>
      <c r="DM30" s="148"/>
      <c r="DN30" s="148"/>
      <c r="DO30" s="148"/>
      <c r="DP30" s="148"/>
      <c r="DQ30" s="148"/>
      <c r="DR30" s="148"/>
      <c r="DS30" s="148"/>
      <c r="DT30" s="148"/>
      <c r="DU30" s="148"/>
      <c r="DV30" s="148"/>
      <c r="DW30" s="148"/>
      <c r="DX30" s="148"/>
      <c r="DY30" s="148"/>
      <c r="DZ30" s="148"/>
      <c r="EA30" s="148"/>
      <c r="EB30" s="148"/>
      <c r="EC30" s="148"/>
      <c r="ED30" s="148"/>
      <c r="EE30" s="148"/>
      <c r="EF30" s="148"/>
      <c r="EG30" s="148"/>
      <c r="EH30" s="148"/>
      <c r="EI30" s="148"/>
      <c r="EJ30" s="148"/>
      <c r="EK30" s="148"/>
      <c r="EL30" s="148"/>
      <c r="EM30" s="148"/>
      <c r="EN30" s="148"/>
      <c r="EO30" s="148"/>
      <c r="EP30" s="148"/>
      <c r="EQ30" s="148"/>
      <c r="ER30" s="148"/>
      <c r="ES30" s="148"/>
      <c r="ET30" s="148"/>
      <c r="EU30" s="148"/>
      <c r="EV30" s="148"/>
      <c r="EW30" s="148"/>
      <c r="EX30" s="148"/>
      <c r="EY30" s="148"/>
      <c r="EZ30" s="148"/>
      <c r="FA30" s="148"/>
      <c r="FB30" s="148"/>
      <c r="FC30" s="148"/>
      <c r="FD30" s="148"/>
      <c r="FE30" s="148"/>
      <c r="FF30" s="148"/>
      <c r="FG30" s="148"/>
      <c r="FH30" s="148"/>
      <c r="FI30" s="148"/>
      <c r="FJ30" s="148"/>
      <c r="FK30" s="148"/>
      <c r="FL30" s="148"/>
      <c r="FM30" s="148"/>
      <c r="FN30" s="148"/>
      <c r="FO30" s="148"/>
      <c r="FP30" s="148"/>
      <c r="FQ30" s="148"/>
      <c r="FR30" s="148"/>
      <c r="FS30" s="148"/>
      <c r="FT30" s="148"/>
      <c r="FU30" s="148"/>
      <c r="FV30" s="148"/>
      <c r="FW30" s="148"/>
      <c r="FX30" s="148"/>
      <c r="FY30" s="148"/>
      <c r="FZ30" s="148"/>
      <c r="GA30" s="148"/>
      <c r="GB30" s="148"/>
      <c r="GC30" s="148"/>
      <c r="GD30" s="148"/>
      <c r="GE30" s="148"/>
      <c r="GF30" s="148"/>
      <c r="GG30" s="148"/>
      <c r="GH30" s="148"/>
      <c r="GI30" s="148"/>
      <c r="GJ30" s="148"/>
      <c r="GK30" s="148"/>
      <c r="GL30" s="148"/>
      <c r="GM30" s="148"/>
      <c r="GN30" s="148"/>
      <c r="GO30" s="148"/>
      <c r="GP30" s="148"/>
      <c r="GQ30" s="148"/>
      <c r="GR30" s="148"/>
      <c r="GS30" s="148"/>
      <c r="GT30" s="148"/>
      <c r="GU30" s="148"/>
      <c r="GV30" s="148"/>
      <c r="GW30" s="148"/>
      <c r="GX30" s="148"/>
      <c r="GY30" s="148"/>
      <c r="GZ30" s="148"/>
      <c r="HA30" s="148"/>
      <c r="HB30" s="148"/>
      <c r="HC30" s="148"/>
      <c r="HD30" s="148"/>
      <c r="HE30" s="148"/>
      <c r="HF30" s="148"/>
      <c r="HG30" s="148"/>
      <c r="HH30" s="148"/>
      <c r="HI30" s="148"/>
      <c r="HJ30" s="148"/>
      <c r="HK30" s="148"/>
      <c r="HL30" s="148"/>
      <c r="HM30" s="148"/>
      <c r="HN30" s="148"/>
      <c r="HO30" s="148"/>
      <c r="HP30" s="148"/>
      <c r="HQ30" s="148"/>
      <c r="HR30" s="148"/>
      <c r="HS30" s="148"/>
      <c r="HT30" s="148"/>
      <c r="HU30" s="148"/>
      <c r="HV30" s="148"/>
      <c r="HW30" s="148"/>
      <c r="HX30" s="148"/>
      <c r="HY30" s="148"/>
      <c r="HZ30" s="148"/>
      <c r="IA30" s="148"/>
      <c r="IB30" s="148"/>
      <c r="IC30" s="148"/>
      <c r="ID30" s="148"/>
      <c r="IE30" s="148"/>
      <c r="IF30" s="148"/>
      <c r="IG30" s="148"/>
      <c r="IH30" s="148"/>
      <c r="II30" s="148"/>
      <c r="IJ30" s="148"/>
      <c r="IK30" s="148"/>
      <c r="IL30" s="148"/>
      <c r="IM30" s="148"/>
      <c r="IN30" s="148"/>
      <c r="IO30" s="148"/>
      <c r="IP30" s="148"/>
      <c r="IQ30" s="148"/>
      <c r="IR30" s="148"/>
      <c r="IS30" s="148"/>
      <c r="IT30" s="148"/>
      <c r="IU30" s="148"/>
      <c r="IV30" s="148"/>
      <c r="IW30" s="148"/>
      <c r="IX30" s="148"/>
      <c r="IY30" s="148"/>
      <c r="IZ30" s="148"/>
      <c r="JA30" s="148"/>
      <c r="JB30" s="148"/>
      <c r="JC30" s="148"/>
      <c r="JD30" s="148"/>
      <c r="JE30" s="148"/>
      <c r="JF30" s="148"/>
      <c r="JG30" s="148"/>
      <c r="JH30" s="148"/>
      <c r="JI30" s="148"/>
      <c r="JJ30" s="148"/>
      <c r="JK30" s="148"/>
      <c r="JL30" s="148"/>
      <c r="JM30" s="148"/>
      <c r="JN30" s="148"/>
      <c r="JO30" s="148"/>
      <c r="JP30" s="148"/>
      <c r="JQ30" s="148"/>
      <c r="JR30" s="148"/>
      <c r="JS30" s="148"/>
      <c r="JT30" s="148"/>
      <c r="JU30" s="148"/>
      <c r="JV30" s="148"/>
      <c r="JW30" s="148"/>
      <c r="JX30" s="148"/>
      <c r="JY30" s="148"/>
      <c r="JZ30" s="148"/>
      <c r="KA30" s="148"/>
      <c r="KB30" s="148"/>
      <c r="KC30" s="148"/>
      <c r="KD30" s="148"/>
      <c r="KE30" s="148"/>
      <c r="KF30" s="148"/>
      <c r="KG30" s="148"/>
      <c r="KH30" s="148"/>
      <c r="KI30" s="148"/>
      <c r="KJ30" s="148"/>
      <c r="KK30" s="148"/>
      <c r="KL30" s="148"/>
      <c r="KM30" s="148"/>
      <c r="KN30" s="148"/>
      <c r="KO30" s="148"/>
      <c r="KP30" s="148"/>
      <c r="KQ30" s="148"/>
      <c r="KR30" s="148"/>
      <c r="KS30" s="148"/>
      <c r="KT30" s="148"/>
      <c r="KU30" s="92"/>
    </row>
    <row r="31" spans="1:307" s="157" customFormat="1" x14ac:dyDescent="0.15">
      <c r="A31" s="92" t="s">
        <v>311</v>
      </c>
      <c r="B31" s="92">
        <v>360</v>
      </c>
      <c r="C31" s="92" t="s">
        <v>317</v>
      </c>
      <c r="D31" s="225"/>
      <c r="E31" s="244"/>
      <c r="F31" s="242">
        <f>IF(F$4&gt;$F$6,0,E30*IF(F$5&gt;=1,Leadsheet!$D98,Leadsheet!$E98))</f>
        <v>0</v>
      </c>
      <c r="G31" s="242">
        <f>IF(G$4&gt;$F$6,0,F30*IF(G$5&gt;=1,Leadsheet!$D98,Leadsheet!$E98))</f>
        <v>0</v>
      </c>
      <c r="H31" s="242">
        <f>IF(H$4&gt;$F$6,0,G30*IF(H$5&gt;=1,Leadsheet!$D98,Leadsheet!$E98))</f>
        <v>0</v>
      </c>
      <c r="I31" s="242">
        <f>IF(I$4&gt;$F$6,0,H30*IF(I$5&gt;=1,Leadsheet!$D98,Leadsheet!$E98))</f>
        <v>0</v>
      </c>
      <c r="J31" s="242">
        <f>IF(J$4&gt;$F$6,0,I30*IF(J$5&gt;=1,Leadsheet!$D98,Leadsheet!$E98))</f>
        <v>0</v>
      </c>
      <c r="K31" s="242">
        <f>IF(K$4&gt;$F$6,0,J30*IF(K$5&gt;=1,Leadsheet!$D98,Leadsheet!$E98))</f>
        <v>0</v>
      </c>
      <c r="L31" s="242">
        <f>IF(L$4&gt;$F$6,0,K30*IF(L$5&gt;=1,Leadsheet!$D98,Leadsheet!$E98))</f>
        <v>0</v>
      </c>
      <c r="M31" s="242">
        <f>IF(M$4&gt;$F$6,0,L30*IF(M$5&gt;=1,Leadsheet!$D98,Leadsheet!$E98))</f>
        <v>0</v>
      </c>
      <c r="N31" s="242">
        <f>IF(N$4&gt;$F$6,0,M30*IF(N$5&gt;=1,Leadsheet!$D98,Leadsheet!$E98))</f>
        <v>0</v>
      </c>
      <c r="O31" s="242">
        <f>IF(O$4&gt;$F$6,0,N30*IF(O$5&gt;=1,Leadsheet!$D98,Leadsheet!$E98))</f>
        <v>0</v>
      </c>
      <c r="P31" s="242">
        <f>IF(P$4&gt;$F$6,0,O30*IF(P$5&gt;=1,Leadsheet!$D98,Leadsheet!$E98))</f>
        <v>0</v>
      </c>
      <c r="Q31" s="242">
        <f>IF(Q$4&gt;$F$6,0,P30*IF(Q$5&gt;=1,Leadsheet!$D98,Leadsheet!$E98))</f>
        <v>0.14875539573908436</v>
      </c>
      <c r="R31" s="242">
        <f>IF(R$4&gt;$F$6,0,Q30*IF(R$5&gt;=1,Leadsheet!$D98,Leadsheet!$E98))</f>
        <v>0.12997306971918632</v>
      </c>
      <c r="S31" s="242">
        <f>IF(S$4&gt;$F$6,0,R30*IF(S$5&gt;=1,Leadsheet!$D98,Leadsheet!$E98))</f>
        <v>0.12270228960779622</v>
      </c>
      <c r="T31" s="242">
        <f>IF(T$4&gt;$F$6,0,S30*IF(T$5&gt;=1,Leadsheet!$D98,Leadsheet!$E98))</f>
        <v>0.1156535045407743</v>
      </c>
      <c r="U31" s="242">
        <f>IF(U$4&gt;$F$6,0,T30*IF(U$5&gt;=1,Leadsheet!$D98,Leadsheet!$E98))</f>
        <v>0</v>
      </c>
      <c r="V31" s="242">
        <f>IF(V$4&gt;$F$6,0,U30*IF(V$5&gt;=1,Leadsheet!$D98,Leadsheet!$E98))</f>
        <v>0</v>
      </c>
      <c r="W31" s="242">
        <f>IF(W$4&gt;$F$6,0,V30*IF(W$5&gt;=1,Leadsheet!$D98,Leadsheet!$E98))</f>
        <v>0</v>
      </c>
      <c r="X31" s="242">
        <f>IF(X$4&gt;$F$6,0,W30*IF(X$5&gt;=1,Leadsheet!$D98,Leadsheet!$E98))</f>
        <v>0</v>
      </c>
      <c r="Y31" s="242">
        <f>IF(Y$4&gt;$F$6,0,X30*IF(Y$5&gt;=1,Leadsheet!$D98,Leadsheet!$E98))</f>
        <v>0</v>
      </c>
      <c r="Z31" s="242">
        <f>IF(Z$4&gt;$F$6,0,Y30*IF(Z$5&gt;=1,Leadsheet!$D98,Leadsheet!$E98))</f>
        <v>0</v>
      </c>
      <c r="AA31" s="242">
        <f>IF(AA$4&gt;$F$6,0,Z30*IF(AA$5&gt;=1,Leadsheet!$D98,Leadsheet!$E98))</f>
        <v>0</v>
      </c>
      <c r="AB31" s="242">
        <f>IF(AB$4&gt;$F$6,0,AA30*IF(AB$5&gt;=1,Leadsheet!$D98,Leadsheet!$E98))</f>
        <v>0</v>
      </c>
      <c r="AC31" s="242">
        <f>IF(AC$4&gt;$F$6,0,AB30*IF(AC$5&gt;=1,Leadsheet!$D98,Leadsheet!$E98))</f>
        <v>0</v>
      </c>
      <c r="AD31" s="241">
        <f>IF(AD$4&gt;$F$6,0,AC30*Leadsheet!$D98)</f>
        <v>0</v>
      </c>
      <c r="AE31" s="241">
        <f>IF(AE$4&gt;$F$6,0,AD30*Leadsheet!$D98)</f>
        <v>0</v>
      </c>
      <c r="AF31" s="241">
        <f>IF(AF$4&gt;$F$6,0,AE30*Leadsheet!$D98)</f>
        <v>0</v>
      </c>
      <c r="AG31" s="241">
        <f>IF(AG$4&gt;$F$6,0,AF30*Leadsheet!$D98)</f>
        <v>0</v>
      </c>
      <c r="AH31" s="241">
        <f>IF(AH$4&gt;$F$6,0,AG30*Leadsheet!$D98)</f>
        <v>0</v>
      </c>
      <c r="AI31" s="241">
        <f>IF(AI$4&gt;$F$6,0,AH30*Leadsheet!$D98)</f>
        <v>0</v>
      </c>
      <c r="AJ31" s="241">
        <f>IF(AJ$4&gt;$F$6,0,AI30*Leadsheet!$D98)</f>
        <v>0</v>
      </c>
      <c r="AK31" s="241">
        <f>IF(AK$4&gt;$F$6,0,AJ30*Leadsheet!$D98)</f>
        <v>0</v>
      </c>
      <c r="AL31" s="241">
        <f>IF(AL$4&gt;$F$6,0,AK30*Leadsheet!$D98)</f>
        <v>0</v>
      </c>
      <c r="AM31" s="241">
        <f>IF(AM$4&gt;$F$6,0,AL30*Leadsheet!$D98)</f>
        <v>0</v>
      </c>
      <c r="AN31" s="241">
        <f>IF(AN$4&gt;$F$6,0,AM30*Leadsheet!$D98)</f>
        <v>0</v>
      </c>
      <c r="AO31" s="241">
        <f>IF(AO$4&gt;$F$6,0,AN30*Leadsheet!$D98)</f>
        <v>0</v>
      </c>
      <c r="AP31" s="241">
        <f>IF(AP$4&gt;$F$6,0,AO30*Leadsheet!$D98)</f>
        <v>0</v>
      </c>
      <c r="AQ31" s="241">
        <f>IF(AQ$4&gt;$F$6,0,AP30*Leadsheet!$D98)</f>
        <v>0</v>
      </c>
      <c r="AR31" s="241">
        <f>IF(AR$4&gt;$F$6,0,AQ30*Leadsheet!$D98)</f>
        <v>0</v>
      </c>
      <c r="AS31" s="241">
        <f>IF(AS$4&gt;$F$6,0,AR30*Leadsheet!$D98)</f>
        <v>0</v>
      </c>
      <c r="AT31" s="241">
        <f>IF(AT$4&gt;$F$6,0,AS30*Leadsheet!$D98)</f>
        <v>0</v>
      </c>
      <c r="AU31" s="241">
        <f>IF(AU$4&gt;$F$6,0,AT30*Leadsheet!$D98)</f>
        <v>0</v>
      </c>
      <c r="AV31" s="241">
        <f>IF(AV$4&gt;$F$6,0,AU30*Leadsheet!$D98)</f>
        <v>0</v>
      </c>
      <c r="AW31" s="241">
        <f>IF(AW$4&gt;$F$6,0,AV30*Leadsheet!$D98)</f>
        <v>0</v>
      </c>
      <c r="AX31" s="241">
        <f>IF(AX$4&gt;$F$6,0,AW30*Leadsheet!$D98)</f>
        <v>0</v>
      </c>
      <c r="AY31" s="241">
        <f>IF(AY$4&gt;$F$6,0,AX30*Leadsheet!$D98)</f>
        <v>0</v>
      </c>
      <c r="AZ31" s="241">
        <f>IF(AZ$4&gt;$F$6,0,AY30*Leadsheet!$D98)</f>
        <v>0</v>
      </c>
      <c r="BA31" s="241">
        <f>IF(BA$4&gt;$F$6,0,AZ30*Leadsheet!$D98)</f>
        <v>0</v>
      </c>
      <c r="BB31" s="241">
        <f>IF(BB$4&gt;$F$6,0,BA30*Leadsheet!$D98)</f>
        <v>0</v>
      </c>
      <c r="BC31" s="241">
        <f>IF(BC$4&gt;$F$6,0,BB30*Leadsheet!$D98)</f>
        <v>0</v>
      </c>
      <c r="BD31" s="241">
        <f>IF(BD$4&gt;$F$6,0,BC30*Leadsheet!$D98)</f>
        <v>0</v>
      </c>
      <c r="BE31" s="241">
        <f>IF(BE$4&gt;$F$6,0,BD30*Leadsheet!$D98)</f>
        <v>0</v>
      </c>
      <c r="BF31" s="241">
        <f>IF(BF$4&gt;$F$6,0,BE30*Leadsheet!$D98)</f>
        <v>0</v>
      </c>
      <c r="BG31" s="241">
        <f>IF(BG$4&gt;$F$6,0,BF30*Leadsheet!$D98)</f>
        <v>0</v>
      </c>
      <c r="BH31" s="241">
        <f>IF(BH$4&gt;$F$6,0,BG30*Leadsheet!$D98)</f>
        <v>0</v>
      </c>
      <c r="BI31" s="241">
        <f>IF(BI$4&gt;$F$6,0,BH30*Leadsheet!$D98)</f>
        <v>0</v>
      </c>
      <c r="BJ31" s="241">
        <f>IF(BJ$4&gt;$F$6,0,BI30*Leadsheet!$D98)</f>
        <v>0</v>
      </c>
      <c r="BK31" s="241">
        <f>IF(BK$4&gt;$F$6,0,BJ30*Leadsheet!$D98)</f>
        <v>0</v>
      </c>
      <c r="BL31" s="241">
        <f>IF(BL$4&gt;$F$6,0,BK30*Leadsheet!$D98)</f>
        <v>0</v>
      </c>
      <c r="BM31" s="241">
        <f>IF(BM$4&gt;$F$6,0,BL30*Leadsheet!$D98)</f>
        <v>0</v>
      </c>
      <c r="BN31" s="148"/>
      <c r="BO31" s="148"/>
      <c r="BP31" s="148"/>
      <c r="BQ31" s="148"/>
      <c r="BR31" s="148"/>
      <c r="BS31" s="148"/>
      <c r="BT31" s="148"/>
      <c r="BU31" s="148"/>
      <c r="BV31" s="148"/>
      <c r="BW31" s="148"/>
      <c r="BX31" s="148"/>
      <c r="BY31" s="148"/>
      <c r="BZ31" s="148"/>
      <c r="CA31" s="148"/>
      <c r="CB31" s="148"/>
      <c r="CC31" s="148"/>
      <c r="CD31" s="148"/>
      <c r="CE31" s="148"/>
      <c r="CF31" s="148"/>
      <c r="CG31" s="148"/>
      <c r="CH31" s="148"/>
      <c r="CI31" s="148"/>
      <c r="CJ31" s="148"/>
      <c r="CK31" s="148"/>
      <c r="CL31" s="148"/>
      <c r="CM31" s="148"/>
      <c r="CN31" s="148"/>
      <c r="CO31" s="148"/>
      <c r="CP31" s="148"/>
      <c r="CQ31" s="148"/>
      <c r="CR31" s="148"/>
      <c r="CS31" s="148"/>
      <c r="CT31" s="148"/>
      <c r="CU31" s="148"/>
      <c r="CV31" s="148"/>
      <c r="CW31" s="148"/>
      <c r="CX31" s="148"/>
      <c r="CY31" s="148"/>
      <c r="CZ31" s="148"/>
      <c r="DA31" s="148"/>
      <c r="DB31" s="148"/>
      <c r="DC31" s="148"/>
      <c r="DD31" s="148"/>
      <c r="DE31" s="148"/>
      <c r="DF31" s="148"/>
      <c r="DG31" s="148"/>
      <c r="DH31" s="148"/>
      <c r="DI31" s="148"/>
      <c r="DJ31" s="148"/>
      <c r="DK31" s="148"/>
      <c r="DL31" s="148"/>
      <c r="DM31" s="148"/>
      <c r="DN31" s="148"/>
      <c r="DO31" s="148"/>
      <c r="DP31" s="148"/>
      <c r="DQ31" s="148"/>
      <c r="DR31" s="148"/>
      <c r="DS31" s="148"/>
      <c r="DT31" s="148"/>
      <c r="DU31" s="148"/>
      <c r="DV31" s="148"/>
      <c r="DW31" s="148"/>
      <c r="DX31" s="148"/>
      <c r="DY31" s="148"/>
      <c r="DZ31" s="148"/>
      <c r="EA31" s="148"/>
      <c r="EB31" s="148"/>
      <c r="EC31" s="148"/>
      <c r="ED31" s="148"/>
      <c r="EE31" s="148"/>
      <c r="EF31" s="148"/>
      <c r="EG31" s="148"/>
      <c r="EH31" s="148"/>
      <c r="EI31" s="148"/>
      <c r="EJ31" s="148"/>
      <c r="EK31" s="148"/>
      <c r="EL31" s="148"/>
      <c r="EM31" s="148"/>
      <c r="EN31" s="148"/>
      <c r="EO31" s="148"/>
      <c r="EP31" s="148"/>
      <c r="EQ31" s="148"/>
      <c r="ER31" s="148"/>
      <c r="ES31" s="148"/>
      <c r="ET31" s="148"/>
      <c r="EU31" s="148"/>
      <c r="EV31" s="148"/>
      <c r="EW31" s="148"/>
      <c r="EX31" s="148"/>
      <c r="EY31" s="148"/>
      <c r="EZ31" s="148"/>
      <c r="FA31" s="148"/>
      <c r="FB31" s="148"/>
      <c r="FC31" s="148"/>
      <c r="FD31" s="148"/>
      <c r="FE31" s="148"/>
      <c r="FF31" s="148"/>
      <c r="FG31" s="148"/>
      <c r="FH31" s="148"/>
      <c r="FI31" s="148"/>
      <c r="FJ31" s="148"/>
      <c r="FK31" s="148"/>
      <c r="FL31" s="148"/>
      <c r="FM31" s="148"/>
      <c r="FN31" s="148"/>
      <c r="FO31" s="148"/>
      <c r="FP31" s="148"/>
      <c r="FQ31" s="148"/>
      <c r="FR31" s="148"/>
      <c r="FS31" s="148"/>
      <c r="FT31" s="148"/>
      <c r="FU31" s="148"/>
      <c r="FV31" s="148"/>
      <c r="FW31" s="148"/>
      <c r="FX31" s="148"/>
      <c r="FY31" s="148"/>
      <c r="FZ31" s="148"/>
      <c r="GA31" s="148"/>
      <c r="GB31" s="148"/>
      <c r="GC31" s="148"/>
      <c r="GD31" s="148"/>
      <c r="GE31" s="148"/>
      <c r="GF31" s="148"/>
      <c r="GG31" s="148"/>
      <c r="GH31" s="148"/>
      <c r="GI31" s="148"/>
      <c r="GJ31" s="148"/>
      <c r="GK31" s="148"/>
      <c r="GL31" s="148"/>
      <c r="GM31" s="148"/>
      <c r="GN31" s="148"/>
      <c r="GO31" s="148"/>
      <c r="GP31" s="148"/>
      <c r="GQ31" s="148"/>
      <c r="GR31" s="148"/>
      <c r="GS31" s="148"/>
      <c r="GT31" s="148"/>
      <c r="GU31" s="148"/>
      <c r="GV31" s="148"/>
      <c r="GW31" s="148"/>
      <c r="GX31" s="148"/>
      <c r="GY31" s="148"/>
      <c r="GZ31" s="148"/>
      <c r="HA31" s="148"/>
      <c r="HB31" s="148"/>
      <c r="HC31" s="148"/>
      <c r="HD31" s="148"/>
      <c r="HE31" s="148"/>
      <c r="HF31" s="148"/>
      <c r="HG31" s="148"/>
      <c r="HH31" s="148"/>
      <c r="HI31" s="148"/>
      <c r="HJ31" s="148"/>
      <c r="HK31" s="148"/>
      <c r="HL31" s="148"/>
      <c r="HM31" s="148"/>
      <c r="HN31" s="148"/>
      <c r="HO31" s="148"/>
      <c r="HP31" s="148"/>
      <c r="HQ31" s="148"/>
      <c r="HR31" s="148"/>
      <c r="HS31" s="148"/>
      <c r="HT31" s="148"/>
      <c r="HU31" s="148"/>
      <c r="HV31" s="148"/>
      <c r="HW31" s="148"/>
      <c r="HX31" s="148"/>
      <c r="HY31" s="148"/>
      <c r="HZ31" s="148"/>
      <c r="IA31" s="148"/>
      <c r="IB31" s="148"/>
      <c r="IC31" s="148"/>
      <c r="ID31" s="148"/>
      <c r="IE31" s="148"/>
      <c r="IF31" s="148"/>
      <c r="IG31" s="148"/>
      <c r="IH31" s="148"/>
      <c r="II31" s="148"/>
      <c r="IJ31" s="148"/>
      <c r="IK31" s="148"/>
      <c r="IL31" s="148"/>
      <c r="IM31" s="148"/>
      <c r="IN31" s="148"/>
      <c r="IO31" s="148"/>
      <c r="IP31" s="148"/>
      <c r="IQ31" s="148"/>
      <c r="IR31" s="148"/>
      <c r="IS31" s="148"/>
      <c r="IT31" s="148"/>
      <c r="IU31" s="148"/>
      <c r="IV31" s="148"/>
      <c r="IW31" s="148"/>
      <c r="IX31" s="148"/>
      <c r="IY31" s="148"/>
      <c r="IZ31" s="148"/>
      <c r="JA31" s="148"/>
      <c r="JB31" s="148"/>
      <c r="JC31" s="148"/>
      <c r="JD31" s="148"/>
      <c r="JE31" s="148"/>
      <c r="JF31" s="148"/>
      <c r="JG31" s="148"/>
      <c r="JH31" s="148"/>
      <c r="JI31" s="148"/>
      <c r="JJ31" s="148"/>
      <c r="JK31" s="148"/>
      <c r="JL31" s="148"/>
      <c r="JM31" s="148"/>
      <c r="JN31" s="148"/>
      <c r="JO31" s="148"/>
      <c r="JP31" s="148"/>
      <c r="JQ31" s="148"/>
      <c r="JR31" s="148"/>
      <c r="JS31" s="148"/>
      <c r="JT31" s="148"/>
      <c r="JU31" s="148"/>
      <c r="JV31" s="148"/>
      <c r="JW31" s="148"/>
      <c r="JX31" s="148"/>
      <c r="JY31" s="148"/>
      <c r="JZ31" s="148"/>
      <c r="KA31" s="148"/>
      <c r="KB31" s="148"/>
      <c r="KC31" s="148"/>
      <c r="KD31" s="148"/>
      <c r="KE31" s="148"/>
      <c r="KF31" s="148"/>
      <c r="KG31" s="148"/>
      <c r="KH31" s="148"/>
      <c r="KI31" s="148"/>
      <c r="KJ31" s="148"/>
      <c r="KK31" s="148"/>
      <c r="KL31" s="148"/>
      <c r="KM31" s="148"/>
      <c r="KN31" s="148"/>
      <c r="KO31" s="148"/>
      <c r="KP31" s="148"/>
      <c r="KQ31" s="148"/>
      <c r="KR31" s="148"/>
      <c r="KS31" s="148"/>
      <c r="KT31" s="148"/>
      <c r="KU31" s="92"/>
    </row>
    <row r="32" spans="1:307" x14ac:dyDescent="0.15">
      <c r="A32" s="92" t="s">
        <v>318</v>
      </c>
      <c r="B32" s="92">
        <v>390</v>
      </c>
      <c r="C32" s="92" t="s">
        <v>319</v>
      </c>
      <c r="E32" s="243"/>
      <c r="F32" s="242">
        <f>IF(F$4&gt;$F$6,0,E31*IF(F$5&gt;=1,Leadsheet!$D99,Leadsheet!$E99))</f>
        <v>0</v>
      </c>
      <c r="G32" s="242">
        <f>IF(G$4&gt;$F$6,0,F31*IF(G$5&gt;=1,Leadsheet!$D99,Leadsheet!$E99))</f>
        <v>0</v>
      </c>
      <c r="H32" s="242">
        <f>IF(H$4&gt;$F$6,0,G31*IF(H$5&gt;=1,Leadsheet!$D99,Leadsheet!$E99))</f>
        <v>0</v>
      </c>
      <c r="I32" s="242">
        <f>IF(I$4&gt;$F$6,0,H31*IF(I$5&gt;=1,Leadsheet!$D99,Leadsheet!$E99))</f>
        <v>0</v>
      </c>
      <c r="J32" s="242">
        <f>IF(J$4&gt;$F$6,0,I31*IF(J$5&gt;=1,Leadsheet!$D99,Leadsheet!$E99))</f>
        <v>0</v>
      </c>
      <c r="K32" s="242">
        <f>IF(K$4&gt;$F$6,0,J31*IF(K$5&gt;=1,Leadsheet!$D99,Leadsheet!$E99))</f>
        <v>0</v>
      </c>
      <c r="L32" s="242">
        <f>IF(L$4&gt;$F$6,0,K31*IF(L$5&gt;=1,Leadsheet!$D99,Leadsheet!$E99))</f>
        <v>0</v>
      </c>
      <c r="M32" s="242">
        <f>IF(M$4&gt;$F$6,0,L31*IF(M$5&gt;=1,Leadsheet!$D99,Leadsheet!$E99))</f>
        <v>0</v>
      </c>
      <c r="N32" s="242">
        <f>IF(N$4&gt;$F$6,0,M31*IF(N$5&gt;=1,Leadsheet!$D99,Leadsheet!$E99))</f>
        <v>0</v>
      </c>
      <c r="O32" s="242">
        <f>IF(O$4&gt;$F$6,0,N31*IF(O$5&gt;=1,Leadsheet!$D99,Leadsheet!$E99))</f>
        <v>0</v>
      </c>
      <c r="P32" s="242">
        <f>IF(P$4&gt;$F$6,0,O31*IF(P$5&gt;=1,Leadsheet!$D99,Leadsheet!$E99))</f>
        <v>0</v>
      </c>
      <c r="Q32" s="242">
        <f>IF(Q$4&gt;$F$6,0,P31*IF(Q$5&gt;=1,Leadsheet!$D99,Leadsheet!$E99))</f>
        <v>0</v>
      </c>
      <c r="R32" s="242">
        <f>IF(R$4&gt;$F$6,0,Q31*IF(R$5&gt;=1,Leadsheet!$D99,Leadsheet!$E99))</f>
        <v>0.14875539573908436</v>
      </c>
      <c r="S32" s="242">
        <f>IF(S$4&gt;$F$6,0,R31*IF(S$5&gt;=1,Leadsheet!$D99,Leadsheet!$E99))</f>
        <v>0.12997306971918632</v>
      </c>
      <c r="T32" s="242">
        <f>IF(T$4&gt;$F$6,0,S31*IF(T$5&gt;=1,Leadsheet!$D99,Leadsheet!$E99))</f>
        <v>0.12270228960779622</v>
      </c>
      <c r="U32" s="242">
        <f>IF(U$4&gt;$F$6,0,T31*IF(U$5&gt;=1,Leadsheet!$D99,Leadsheet!$E99))</f>
        <v>0</v>
      </c>
      <c r="V32" s="242">
        <f>IF(V$4&gt;$F$6,0,U31*IF(V$5&gt;=1,Leadsheet!$D99,Leadsheet!$E99))</f>
        <v>0</v>
      </c>
      <c r="W32" s="242">
        <f>IF(W$4&gt;$F$6,0,V31*IF(W$5&gt;=1,Leadsheet!$D99,Leadsheet!$E99))</f>
        <v>0</v>
      </c>
      <c r="X32" s="242">
        <f>IF(X$4&gt;$F$6,0,W31*IF(X$5&gt;=1,Leadsheet!$D99,Leadsheet!$E99))</f>
        <v>0</v>
      </c>
      <c r="Y32" s="242">
        <f>IF(Y$4&gt;$F$6,0,X31*IF(Y$5&gt;=1,Leadsheet!$D99,Leadsheet!$E99))</f>
        <v>0</v>
      </c>
      <c r="Z32" s="242">
        <f>IF(Z$4&gt;$F$6,0,Y31*IF(Z$5&gt;=1,Leadsheet!$D99,Leadsheet!$E99))</f>
        <v>0</v>
      </c>
      <c r="AA32" s="242">
        <f>IF(AA$4&gt;$F$6,0,Z31*IF(AA$5&gt;=1,Leadsheet!$D99,Leadsheet!$E99))</f>
        <v>0</v>
      </c>
      <c r="AB32" s="242">
        <f>IF(AB$4&gt;$F$6,0,AA31*IF(AB$5&gt;=1,Leadsheet!$D99,Leadsheet!$E99))</f>
        <v>0</v>
      </c>
      <c r="AC32" s="242">
        <f>IF(AC$4&gt;$F$6,0,AB31*IF(AC$5&gt;=1,Leadsheet!$D99,Leadsheet!$E99))</f>
        <v>0</v>
      </c>
      <c r="AD32" s="241">
        <f>IF(AD$4&gt;$F$6,0,AC31*Leadsheet!$D99)</f>
        <v>0</v>
      </c>
      <c r="AE32" s="241">
        <f>IF(AE$4&gt;$F$6,0,AD31*Leadsheet!$D99)</f>
        <v>0</v>
      </c>
      <c r="AF32" s="241">
        <f>IF(AF$4&gt;$F$6,0,AE31*Leadsheet!$D99)</f>
        <v>0</v>
      </c>
      <c r="AG32" s="241">
        <f>IF(AG$4&gt;$F$6,0,AF31*Leadsheet!$D99)</f>
        <v>0</v>
      </c>
      <c r="AH32" s="241">
        <f>IF(AH$4&gt;$F$6,0,AG31*Leadsheet!$D99)</f>
        <v>0</v>
      </c>
      <c r="AI32" s="241">
        <f>IF(AI$4&gt;$F$6,0,AH31*Leadsheet!$D99)</f>
        <v>0</v>
      </c>
      <c r="AJ32" s="241">
        <f>IF(AJ$4&gt;$F$6,0,AI31*Leadsheet!$D99)</f>
        <v>0</v>
      </c>
      <c r="AK32" s="241">
        <f>IF(AK$4&gt;$F$6,0,AJ31*Leadsheet!$D99)</f>
        <v>0</v>
      </c>
      <c r="AL32" s="241">
        <f>IF(AL$4&gt;$F$6,0,AK31*Leadsheet!$D99)</f>
        <v>0</v>
      </c>
      <c r="AM32" s="241">
        <f>IF(AM$4&gt;$F$6,0,AL31*Leadsheet!$D99)</f>
        <v>0</v>
      </c>
      <c r="AN32" s="241">
        <f>IF(AN$4&gt;$F$6,0,AM31*Leadsheet!$D99)</f>
        <v>0</v>
      </c>
      <c r="AO32" s="241">
        <f>IF(AO$4&gt;$F$6,0,AN31*Leadsheet!$D99)</f>
        <v>0</v>
      </c>
      <c r="AP32" s="241">
        <f>IF(AP$4&gt;$F$6,0,AO31*Leadsheet!$D99)</f>
        <v>0</v>
      </c>
      <c r="AQ32" s="241">
        <f>IF(AQ$4&gt;$F$6,0,AP31*Leadsheet!$D99)</f>
        <v>0</v>
      </c>
      <c r="AR32" s="241">
        <f>IF(AR$4&gt;$F$6,0,AQ31*Leadsheet!$D99)</f>
        <v>0</v>
      </c>
      <c r="AS32" s="241">
        <f>IF(AS$4&gt;$F$6,0,AR31*Leadsheet!$D99)</f>
        <v>0</v>
      </c>
      <c r="AT32" s="241">
        <f>IF(AT$4&gt;$F$6,0,AS31*Leadsheet!$D99)</f>
        <v>0</v>
      </c>
      <c r="AU32" s="241">
        <f>IF(AU$4&gt;$F$6,0,AT31*Leadsheet!$D99)</f>
        <v>0</v>
      </c>
      <c r="AV32" s="241">
        <f>IF(AV$4&gt;$F$6,0,AU31*Leadsheet!$D99)</f>
        <v>0</v>
      </c>
      <c r="AW32" s="241">
        <f>IF(AW$4&gt;$F$6,0,AV31*Leadsheet!$D99)</f>
        <v>0</v>
      </c>
      <c r="AX32" s="241">
        <f>IF(AX$4&gt;$F$6,0,AW31*Leadsheet!$D99)</f>
        <v>0</v>
      </c>
      <c r="AY32" s="241">
        <f>IF(AY$4&gt;$F$6,0,AX31*Leadsheet!$D99)</f>
        <v>0</v>
      </c>
      <c r="AZ32" s="241">
        <f>IF(AZ$4&gt;$F$6,0,AY31*Leadsheet!$D99)</f>
        <v>0</v>
      </c>
      <c r="BA32" s="241">
        <f>IF(BA$4&gt;$F$6,0,AZ31*Leadsheet!$D99)</f>
        <v>0</v>
      </c>
      <c r="BB32" s="241">
        <f>IF(BB$4&gt;$F$6,0,BA31*Leadsheet!$D99)</f>
        <v>0</v>
      </c>
      <c r="BC32" s="241">
        <f>IF(BC$4&gt;$F$6,0,BB31*Leadsheet!$D99)</f>
        <v>0</v>
      </c>
      <c r="BD32" s="241">
        <f>IF(BD$4&gt;$F$6,0,BC31*Leadsheet!$D99)</f>
        <v>0</v>
      </c>
      <c r="BE32" s="241">
        <f>IF(BE$4&gt;$F$6,0,BD31*Leadsheet!$D99)</f>
        <v>0</v>
      </c>
      <c r="BF32" s="241">
        <f>IF(BF$4&gt;$F$6,0,BE31*Leadsheet!$D99)</f>
        <v>0</v>
      </c>
      <c r="BG32" s="241">
        <f>IF(BG$4&gt;$F$6,0,BF31*Leadsheet!$D99)</f>
        <v>0</v>
      </c>
      <c r="BH32" s="241">
        <f>IF(BH$4&gt;$F$6,0,BG31*Leadsheet!$D99)</f>
        <v>0</v>
      </c>
      <c r="BI32" s="241">
        <f>IF(BI$4&gt;$F$6,0,BH31*Leadsheet!$D99)</f>
        <v>0</v>
      </c>
      <c r="BJ32" s="241">
        <f>IF(BJ$4&gt;$F$6,0,BI31*Leadsheet!$D99)</f>
        <v>0</v>
      </c>
      <c r="BK32" s="241">
        <f>IF(BK$4&gt;$F$6,0,BJ31*Leadsheet!$D99)</f>
        <v>0</v>
      </c>
      <c r="BL32" s="241">
        <f>IF(BL$4&gt;$F$6,0,BK31*Leadsheet!$D99)</f>
        <v>0</v>
      </c>
      <c r="BM32" s="241">
        <f>IF(BM$4&gt;$F$6,0,BL31*Leadsheet!$D99)</f>
        <v>0</v>
      </c>
      <c r="BN32" s="148"/>
      <c r="BO32" s="148"/>
      <c r="BP32" s="148"/>
      <c r="BQ32" s="148"/>
      <c r="BR32" s="148"/>
      <c r="BS32" s="148"/>
      <c r="BT32" s="148"/>
      <c r="BU32" s="148"/>
      <c r="BV32" s="148"/>
      <c r="BW32" s="148"/>
      <c r="BX32" s="148"/>
      <c r="BY32" s="148"/>
      <c r="BZ32" s="148"/>
      <c r="CA32" s="148"/>
      <c r="CB32" s="148"/>
      <c r="CC32" s="148"/>
      <c r="CD32" s="148"/>
      <c r="CE32" s="148"/>
      <c r="CF32" s="148"/>
      <c r="CG32" s="148"/>
      <c r="CH32" s="148"/>
      <c r="CI32" s="148"/>
      <c r="CJ32" s="148"/>
      <c r="CK32" s="148"/>
      <c r="CL32" s="148"/>
      <c r="CM32" s="148"/>
      <c r="CN32" s="148"/>
      <c r="CO32" s="148"/>
      <c r="CP32" s="148"/>
      <c r="CQ32" s="148"/>
      <c r="CR32" s="148"/>
      <c r="CS32" s="148"/>
      <c r="CT32" s="148"/>
      <c r="CU32" s="148"/>
      <c r="CV32" s="148"/>
      <c r="CW32" s="148"/>
      <c r="CX32" s="148"/>
      <c r="CY32" s="148"/>
      <c r="CZ32" s="148"/>
      <c r="DA32" s="148"/>
      <c r="DB32" s="148"/>
      <c r="DC32" s="148"/>
      <c r="DD32" s="148"/>
      <c r="DE32" s="148"/>
      <c r="DF32" s="148"/>
      <c r="DG32" s="148"/>
      <c r="DH32" s="148"/>
      <c r="DI32" s="148"/>
      <c r="DJ32" s="148"/>
      <c r="DK32" s="148"/>
      <c r="DL32" s="148"/>
      <c r="DM32" s="148"/>
      <c r="DN32" s="148"/>
      <c r="DO32" s="148"/>
      <c r="DP32" s="148"/>
      <c r="DQ32" s="148"/>
      <c r="DR32" s="148"/>
      <c r="DS32" s="148"/>
      <c r="DT32" s="148"/>
      <c r="DU32" s="148"/>
      <c r="DV32" s="148"/>
      <c r="DW32" s="148"/>
      <c r="DX32" s="148"/>
      <c r="DY32" s="148"/>
      <c r="DZ32" s="148"/>
      <c r="EA32" s="148"/>
      <c r="EB32" s="148"/>
      <c r="EC32" s="148"/>
      <c r="ED32" s="148"/>
      <c r="EE32" s="148"/>
      <c r="EF32" s="148"/>
      <c r="EG32" s="148"/>
      <c r="EH32" s="148"/>
      <c r="EI32" s="148"/>
      <c r="EJ32" s="148"/>
      <c r="EK32" s="148"/>
      <c r="EL32" s="148"/>
      <c r="EM32" s="148"/>
      <c r="EN32" s="148"/>
      <c r="EO32" s="148"/>
      <c r="EP32" s="148"/>
      <c r="EQ32" s="148"/>
      <c r="ER32" s="148"/>
      <c r="ES32" s="148"/>
      <c r="ET32" s="148"/>
      <c r="EU32" s="148"/>
      <c r="EV32" s="148"/>
      <c r="EW32" s="148"/>
      <c r="EX32" s="148"/>
      <c r="EY32" s="148"/>
      <c r="EZ32" s="148"/>
      <c r="FA32" s="148"/>
      <c r="FB32" s="148"/>
      <c r="FC32" s="148"/>
      <c r="FD32" s="148"/>
      <c r="FE32" s="148"/>
      <c r="FF32" s="148"/>
      <c r="FG32" s="148"/>
      <c r="FH32" s="148"/>
      <c r="FI32" s="148"/>
      <c r="FJ32" s="148"/>
      <c r="FK32" s="148"/>
      <c r="FL32" s="148"/>
      <c r="FM32" s="148"/>
      <c r="FN32" s="148"/>
      <c r="FO32" s="148"/>
      <c r="FP32" s="148"/>
      <c r="FQ32" s="148"/>
      <c r="FR32" s="148"/>
      <c r="FS32" s="148"/>
      <c r="FT32" s="148"/>
      <c r="FU32" s="148"/>
      <c r="FV32" s="148"/>
      <c r="FW32" s="148"/>
      <c r="FX32" s="148"/>
      <c r="FY32" s="148"/>
      <c r="FZ32" s="148"/>
      <c r="GA32" s="148"/>
      <c r="GB32" s="148"/>
      <c r="GC32" s="148"/>
      <c r="GD32" s="148"/>
      <c r="GE32" s="148"/>
      <c r="GF32" s="148"/>
      <c r="GG32" s="148"/>
      <c r="GH32" s="148"/>
      <c r="GI32" s="148"/>
      <c r="GJ32" s="148"/>
      <c r="GK32" s="148"/>
      <c r="GL32" s="148"/>
      <c r="GM32" s="148"/>
      <c r="GN32" s="148"/>
      <c r="GO32" s="148"/>
      <c r="GP32" s="148"/>
      <c r="GQ32" s="148"/>
      <c r="GR32" s="148"/>
      <c r="GS32" s="148"/>
      <c r="GT32" s="148"/>
      <c r="GU32" s="148"/>
      <c r="GV32" s="148"/>
      <c r="GW32" s="148"/>
      <c r="GX32" s="148"/>
      <c r="GY32" s="148"/>
      <c r="GZ32" s="148"/>
      <c r="HA32" s="148"/>
      <c r="HB32" s="148"/>
      <c r="HC32" s="148"/>
      <c r="HD32" s="148"/>
      <c r="HE32" s="148"/>
      <c r="HF32" s="148"/>
      <c r="HG32" s="148"/>
      <c r="HH32" s="148"/>
      <c r="HI32" s="148"/>
      <c r="HJ32" s="148"/>
      <c r="HK32" s="148"/>
      <c r="HL32" s="148"/>
      <c r="HM32" s="148"/>
      <c r="HN32" s="148"/>
      <c r="HO32" s="148"/>
      <c r="HP32" s="148"/>
      <c r="HQ32" s="148"/>
      <c r="HR32" s="148"/>
      <c r="HS32" s="148"/>
      <c r="HT32" s="148"/>
      <c r="HU32" s="148"/>
      <c r="HV32" s="148"/>
      <c r="HW32" s="148"/>
      <c r="HX32" s="148"/>
      <c r="HY32" s="148"/>
      <c r="HZ32" s="148"/>
      <c r="IA32" s="148"/>
      <c r="IB32" s="148"/>
      <c r="IC32" s="148"/>
      <c r="ID32" s="148"/>
      <c r="IE32" s="148"/>
      <c r="IF32" s="148"/>
      <c r="IG32" s="148"/>
      <c r="IH32" s="148"/>
      <c r="II32" s="148"/>
      <c r="IJ32" s="148"/>
      <c r="IK32" s="148"/>
      <c r="IL32" s="148"/>
      <c r="IM32" s="148"/>
      <c r="IN32" s="148"/>
      <c r="IO32" s="148"/>
      <c r="IP32" s="148"/>
      <c r="IQ32" s="148"/>
      <c r="IR32" s="148"/>
      <c r="IS32" s="148"/>
      <c r="IT32" s="148"/>
      <c r="IU32" s="148"/>
      <c r="IV32" s="148"/>
      <c r="IW32" s="148"/>
      <c r="IX32" s="148"/>
      <c r="IY32" s="148"/>
      <c r="IZ32" s="148"/>
      <c r="JA32" s="148"/>
      <c r="JB32" s="148"/>
      <c r="JC32" s="148"/>
      <c r="JD32" s="148"/>
      <c r="JE32" s="148"/>
      <c r="JF32" s="148"/>
      <c r="JG32" s="148"/>
      <c r="JH32" s="148"/>
      <c r="JI32" s="148"/>
      <c r="JJ32" s="148"/>
      <c r="JK32" s="148"/>
      <c r="JL32" s="148"/>
      <c r="JM32" s="148"/>
      <c r="JN32" s="148"/>
      <c r="JO32" s="148"/>
      <c r="JP32" s="148"/>
      <c r="JQ32" s="148"/>
      <c r="JR32" s="148"/>
      <c r="JS32" s="148"/>
      <c r="JT32" s="148"/>
      <c r="JU32" s="148"/>
      <c r="JV32" s="148"/>
      <c r="JW32" s="148"/>
      <c r="JX32" s="148"/>
      <c r="JY32" s="148"/>
      <c r="JZ32" s="148"/>
      <c r="KA32" s="148"/>
      <c r="KB32" s="148"/>
      <c r="KC32" s="148"/>
      <c r="KD32" s="148"/>
      <c r="KE32" s="148"/>
      <c r="KF32" s="148"/>
      <c r="KG32" s="148"/>
      <c r="KH32" s="148"/>
      <c r="KI32" s="148"/>
      <c r="KJ32" s="148"/>
      <c r="KK32" s="148"/>
      <c r="KL32" s="148"/>
      <c r="KM32" s="148"/>
      <c r="KN32" s="148"/>
      <c r="KO32" s="148"/>
      <c r="KP32" s="148"/>
      <c r="KQ32" s="148"/>
      <c r="KR32" s="148"/>
      <c r="KS32" s="148"/>
      <c r="KT32" s="148"/>
    </row>
    <row r="33" spans="1:307" x14ac:dyDescent="0.15">
      <c r="A33" s="92" t="s">
        <v>318</v>
      </c>
      <c r="B33" s="92" t="s">
        <v>320</v>
      </c>
      <c r="C33" s="92" t="s">
        <v>321</v>
      </c>
      <c r="E33" s="243"/>
      <c r="F33" s="242">
        <f>IF(F$4&gt;$F$6,0,E32+E33)</f>
        <v>0</v>
      </c>
      <c r="G33" s="242">
        <f t="shared" ref="G33:AC33" si="2">IF(G$4&gt;$F$6,0,F32+F33)</f>
        <v>0</v>
      </c>
      <c r="H33" s="242">
        <f t="shared" si="2"/>
        <v>0</v>
      </c>
      <c r="I33" s="242">
        <f t="shared" si="2"/>
        <v>0</v>
      </c>
      <c r="J33" s="242">
        <f t="shared" si="2"/>
        <v>0</v>
      </c>
      <c r="K33" s="242">
        <f t="shared" si="2"/>
        <v>0</v>
      </c>
      <c r="L33" s="242">
        <f t="shared" si="2"/>
        <v>0</v>
      </c>
      <c r="M33" s="242">
        <f t="shared" si="2"/>
        <v>0</v>
      </c>
      <c r="N33" s="242">
        <f t="shared" si="2"/>
        <v>0</v>
      </c>
      <c r="O33" s="242">
        <f t="shared" si="2"/>
        <v>0</v>
      </c>
      <c r="P33" s="242">
        <f t="shared" si="2"/>
        <v>0</v>
      </c>
      <c r="Q33" s="242">
        <f t="shared" si="2"/>
        <v>0</v>
      </c>
      <c r="R33" s="242">
        <f t="shared" si="2"/>
        <v>0</v>
      </c>
      <c r="S33" s="242">
        <f t="shared" si="2"/>
        <v>0.14875539573908436</v>
      </c>
      <c r="T33" s="242">
        <f t="shared" si="2"/>
        <v>0.27872846545827068</v>
      </c>
      <c r="U33" s="242">
        <f t="shared" si="2"/>
        <v>0</v>
      </c>
      <c r="V33" s="242">
        <f t="shared" si="2"/>
        <v>0</v>
      </c>
      <c r="W33" s="242">
        <f t="shared" si="2"/>
        <v>0</v>
      </c>
      <c r="X33" s="242">
        <f t="shared" si="2"/>
        <v>0</v>
      </c>
      <c r="Y33" s="242">
        <f t="shared" si="2"/>
        <v>0</v>
      </c>
      <c r="Z33" s="242">
        <f t="shared" si="2"/>
        <v>0</v>
      </c>
      <c r="AA33" s="242">
        <f t="shared" si="2"/>
        <v>0</v>
      </c>
      <c r="AB33" s="242">
        <f t="shared" si="2"/>
        <v>0</v>
      </c>
      <c r="AC33" s="242">
        <f t="shared" si="2"/>
        <v>0</v>
      </c>
      <c r="AD33" s="241">
        <f t="shared" ref="AD33:BM33" si="3">IF(AD4&gt;$F$6,0,AC32+AC33)</f>
        <v>0</v>
      </c>
      <c r="AE33" s="241">
        <f t="shared" si="3"/>
        <v>0</v>
      </c>
      <c r="AF33" s="241">
        <f t="shared" si="3"/>
        <v>0</v>
      </c>
      <c r="AG33" s="241">
        <f t="shared" si="3"/>
        <v>0</v>
      </c>
      <c r="AH33" s="241">
        <f t="shared" si="3"/>
        <v>0</v>
      </c>
      <c r="AI33" s="241">
        <f t="shared" si="3"/>
        <v>0</v>
      </c>
      <c r="AJ33" s="241">
        <f t="shared" si="3"/>
        <v>0</v>
      </c>
      <c r="AK33" s="241">
        <f t="shared" si="3"/>
        <v>0</v>
      </c>
      <c r="AL33" s="241">
        <f t="shared" si="3"/>
        <v>0</v>
      </c>
      <c r="AM33" s="241">
        <f t="shared" si="3"/>
        <v>0</v>
      </c>
      <c r="AN33" s="241">
        <f t="shared" si="3"/>
        <v>0</v>
      </c>
      <c r="AO33" s="241">
        <f t="shared" si="3"/>
        <v>0</v>
      </c>
      <c r="AP33" s="241">
        <f t="shared" si="3"/>
        <v>0</v>
      </c>
      <c r="AQ33" s="241">
        <f t="shared" si="3"/>
        <v>0</v>
      </c>
      <c r="AR33" s="241">
        <f t="shared" si="3"/>
        <v>0</v>
      </c>
      <c r="AS33" s="241">
        <f t="shared" si="3"/>
        <v>0</v>
      </c>
      <c r="AT33" s="241">
        <f t="shared" si="3"/>
        <v>0</v>
      </c>
      <c r="AU33" s="241">
        <f t="shared" si="3"/>
        <v>0</v>
      </c>
      <c r="AV33" s="241">
        <f t="shared" si="3"/>
        <v>0</v>
      </c>
      <c r="AW33" s="241">
        <f t="shared" si="3"/>
        <v>0</v>
      </c>
      <c r="AX33" s="241">
        <f t="shared" si="3"/>
        <v>0</v>
      </c>
      <c r="AY33" s="241">
        <f t="shared" si="3"/>
        <v>0</v>
      </c>
      <c r="AZ33" s="241">
        <f t="shared" si="3"/>
        <v>0</v>
      </c>
      <c r="BA33" s="241">
        <f t="shared" si="3"/>
        <v>0</v>
      </c>
      <c r="BB33" s="241">
        <f t="shared" si="3"/>
        <v>0</v>
      </c>
      <c r="BC33" s="241">
        <f t="shared" si="3"/>
        <v>0</v>
      </c>
      <c r="BD33" s="241">
        <f t="shared" si="3"/>
        <v>0</v>
      </c>
      <c r="BE33" s="241">
        <f t="shared" si="3"/>
        <v>0</v>
      </c>
      <c r="BF33" s="241">
        <f t="shared" si="3"/>
        <v>0</v>
      </c>
      <c r="BG33" s="241">
        <f t="shared" si="3"/>
        <v>0</v>
      </c>
      <c r="BH33" s="241">
        <f t="shared" si="3"/>
        <v>0</v>
      </c>
      <c r="BI33" s="241">
        <f t="shared" si="3"/>
        <v>0</v>
      </c>
      <c r="BJ33" s="241">
        <f t="shared" si="3"/>
        <v>0</v>
      </c>
      <c r="BK33" s="241">
        <f t="shared" si="3"/>
        <v>0</v>
      </c>
      <c r="BL33" s="241">
        <f t="shared" si="3"/>
        <v>0</v>
      </c>
      <c r="BM33" s="241">
        <f t="shared" si="3"/>
        <v>0</v>
      </c>
      <c r="BN33" s="148"/>
      <c r="BO33" s="148"/>
      <c r="BP33" s="148"/>
      <c r="BQ33" s="148"/>
      <c r="BR33" s="148"/>
      <c r="BS33" s="148"/>
      <c r="BT33" s="148"/>
      <c r="BU33" s="148"/>
      <c r="BV33" s="148"/>
      <c r="BW33" s="148"/>
      <c r="BX33" s="148"/>
      <c r="BY33" s="148"/>
      <c r="BZ33" s="148"/>
      <c r="CA33" s="148"/>
      <c r="CB33" s="148"/>
      <c r="CC33" s="148"/>
      <c r="CD33" s="148"/>
      <c r="CE33" s="148"/>
      <c r="CF33" s="148"/>
      <c r="CG33" s="148"/>
      <c r="CH33" s="148"/>
      <c r="CI33" s="148"/>
      <c r="CJ33" s="148"/>
      <c r="CK33" s="148"/>
      <c r="CL33" s="148"/>
      <c r="CM33" s="148"/>
      <c r="CN33" s="148"/>
      <c r="CO33" s="148"/>
      <c r="CP33" s="148"/>
      <c r="CQ33" s="148"/>
      <c r="CR33" s="148"/>
      <c r="CS33" s="148"/>
      <c r="CT33" s="148"/>
      <c r="CU33" s="148"/>
      <c r="CV33" s="148"/>
      <c r="CW33" s="148"/>
      <c r="CX33" s="148"/>
      <c r="CY33" s="148"/>
      <c r="CZ33" s="148"/>
      <c r="DA33" s="148"/>
      <c r="DB33" s="148"/>
      <c r="DC33" s="148"/>
      <c r="DD33" s="148"/>
      <c r="DE33" s="148"/>
      <c r="DF33" s="148"/>
      <c r="DG33" s="148"/>
      <c r="DH33" s="148"/>
      <c r="DI33" s="148"/>
      <c r="DJ33" s="148"/>
      <c r="DK33" s="148"/>
      <c r="DL33" s="148"/>
      <c r="DM33" s="148"/>
      <c r="DN33" s="148"/>
      <c r="DO33" s="148"/>
      <c r="DP33" s="148"/>
      <c r="DQ33" s="148"/>
      <c r="DR33" s="148"/>
      <c r="DS33" s="148"/>
      <c r="DT33" s="148"/>
      <c r="DU33" s="148"/>
      <c r="DV33" s="148"/>
      <c r="DW33" s="148"/>
      <c r="DX33" s="148"/>
      <c r="DY33" s="148"/>
      <c r="DZ33" s="148"/>
      <c r="EA33" s="148"/>
      <c r="EB33" s="148"/>
      <c r="EC33" s="148"/>
      <c r="ED33" s="148"/>
      <c r="EE33" s="148"/>
      <c r="EF33" s="148"/>
      <c r="EG33" s="148"/>
      <c r="EH33" s="148"/>
      <c r="EI33" s="148"/>
      <c r="EJ33" s="148"/>
      <c r="EK33" s="148"/>
      <c r="EL33" s="148"/>
      <c r="EM33" s="148"/>
      <c r="EN33" s="148"/>
      <c r="EO33" s="148"/>
      <c r="EP33" s="148"/>
      <c r="EQ33" s="148"/>
      <c r="ER33" s="148"/>
      <c r="ES33" s="148"/>
      <c r="ET33" s="148"/>
      <c r="EU33" s="148"/>
      <c r="EV33" s="148"/>
      <c r="EW33" s="148"/>
      <c r="EX33" s="148"/>
      <c r="EY33" s="148"/>
      <c r="EZ33" s="148"/>
      <c r="FA33" s="148"/>
      <c r="FB33" s="148"/>
      <c r="FC33" s="148"/>
      <c r="FD33" s="148"/>
      <c r="FE33" s="148"/>
      <c r="FF33" s="148"/>
      <c r="FG33" s="148"/>
      <c r="FH33" s="148"/>
      <c r="FI33" s="148"/>
      <c r="FJ33" s="148"/>
      <c r="FK33" s="148"/>
      <c r="FL33" s="148"/>
      <c r="FM33" s="148"/>
      <c r="FN33" s="148"/>
      <c r="FO33" s="148"/>
      <c r="FP33" s="148"/>
      <c r="FQ33" s="148"/>
      <c r="FR33" s="148"/>
      <c r="FS33" s="148"/>
      <c r="FT33" s="148"/>
      <c r="FU33" s="148"/>
      <c r="FV33" s="148"/>
      <c r="FW33" s="148"/>
      <c r="FX33" s="148"/>
      <c r="FY33" s="148"/>
      <c r="FZ33" s="148"/>
      <c r="GA33" s="148"/>
      <c r="GB33" s="148"/>
      <c r="GC33" s="148"/>
      <c r="GD33" s="148"/>
      <c r="GE33" s="148"/>
      <c r="GF33" s="148"/>
      <c r="GG33" s="148"/>
      <c r="GH33" s="148"/>
      <c r="GI33" s="148"/>
      <c r="GJ33" s="148"/>
      <c r="GK33" s="148"/>
      <c r="GL33" s="148"/>
      <c r="GM33" s="148"/>
      <c r="GN33" s="148"/>
      <c r="GO33" s="148"/>
      <c r="GP33" s="148"/>
      <c r="GQ33" s="148"/>
      <c r="GR33" s="148"/>
      <c r="GS33" s="148"/>
      <c r="GT33" s="148"/>
      <c r="GU33" s="148"/>
      <c r="GV33" s="148"/>
      <c r="GW33" s="148"/>
      <c r="GX33" s="148"/>
      <c r="GY33" s="148"/>
      <c r="GZ33" s="148"/>
      <c r="HA33" s="148"/>
      <c r="HB33" s="148"/>
      <c r="HC33" s="148"/>
      <c r="HD33" s="148"/>
      <c r="HE33" s="148"/>
      <c r="HF33" s="148"/>
      <c r="HG33" s="148"/>
      <c r="HH33" s="148"/>
      <c r="HI33" s="148"/>
      <c r="HJ33" s="148"/>
      <c r="HK33" s="148"/>
      <c r="HL33" s="148"/>
      <c r="HM33" s="148"/>
      <c r="HN33" s="148"/>
      <c r="HO33" s="148"/>
      <c r="HP33" s="148"/>
      <c r="HQ33" s="148"/>
      <c r="HR33" s="148"/>
      <c r="HS33" s="148"/>
      <c r="HT33" s="148"/>
      <c r="HU33" s="148"/>
      <c r="HV33" s="148"/>
      <c r="HW33" s="148"/>
      <c r="HX33" s="148"/>
      <c r="HY33" s="148"/>
      <c r="HZ33" s="148"/>
      <c r="IA33" s="148"/>
      <c r="IB33" s="148"/>
      <c r="IC33" s="148"/>
      <c r="ID33" s="148"/>
      <c r="IE33" s="148"/>
      <c r="IF33" s="148"/>
      <c r="IG33" s="148"/>
      <c r="IH33" s="148"/>
      <c r="II33" s="148"/>
      <c r="IJ33" s="148"/>
      <c r="IK33" s="148"/>
      <c r="IL33" s="148"/>
      <c r="IM33" s="148"/>
      <c r="IN33" s="148"/>
      <c r="IO33" s="148"/>
      <c r="IP33" s="148"/>
      <c r="IQ33" s="148"/>
      <c r="IR33" s="148"/>
      <c r="IS33" s="148"/>
      <c r="IT33" s="148"/>
      <c r="IU33" s="148"/>
      <c r="IV33" s="148"/>
      <c r="IW33" s="148"/>
      <c r="IX33" s="148"/>
      <c r="IY33" s="148"/>
      <c r="IZ33" s="148"/>
      <c r="JA33" s="148"/>
      <c r="JB33" s="148"/>
      <c r="JC33" s="148"/>
      <c r="JD33" s="148"/>
      <c r="JE33" s="148"/>
      <c r="JF33" s="148"/>
      <c r="JG33" s="148"/>
      <c r="JH33" s="148"/>
      <c r="JI33" s="148"/>
      <c r="JJ33" s="148"/>
      <c r="JK33" s="148"/>
      <c r="JL33" s="148"/>
      <c r="JM33" s="148"/>
      <c r="JN33" s="148"/>
      <c r="JO33" s="148"/>
      <c r="JP33" s="148"/>
      <c r="JQ33" s="148"/>
      <c r="JR33" s="148"/>
      <c r="JS33" s="148"/>
      <c r="JT33" s="148"/>
      <c r="JU33" s="148"/>
      <c r="JV33" s="148"/>
      <c r="JW33" s="148"/>
      <c r="JX33" s="148"/>
      <c r="JY33" s="148"/>
      <c r="JZ33" s="148"/>
      <c r="KA33" s="148"/>
      <c r="KB33" s="148"/>
      <c r="KC33" s="148"/>
      <c r="KD33" s="148"/>
      <c r="KE33" s="148"/>
      <c r="KF33" s="148"/>
      <c r="KG33" s="148"/>
      <c r="KH33" s="148"/>
      <c r="KI33" s="148"/>
      <c r="KJ33" s="148"/>
      <c r="KK33" s="148"/>
      <c r="KL33" s="148"/>
      <c r="KM33" s="148"/>
      <c r="KN33" s="148"/>
      <c r="KO33" s="148"/>
      <c r="KP33" s="148"/>
      <c r="KQ33" s="148"/>
      <c r="KR33" s="148"/>
      <c r="KS33" s="148"/>
      <c r="KT33" s="148"/>
    </row>
    <row r="34" spans="1:307" x14ac:dyDescent="0.15">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48"/>
      <c r="BF34" s="148"/>
      <c r="BG34" s="148"/>
      <c r="BH34" s="148"/>
      <c r="BI34" s="148"/>
      <c r="BJ34" s="148"/>
      <c r="BK34" s="148"/>
      <c r="BL34" s="148"/>
      <c r="BM34" s="148"/>
      <c r="BN34" s="148"/>
      <c r="BO34" s="148"/>
      <c r="BP34" s="148"/>
      <c r="BQ34" s="148"/>
      <c r="BR34" s="148"/>
      <c r="BS34" s="148"/>
      <c r="BT34" s="148"/>
      <c r="BU34" s="148"/>
      <c r="BV34" s="148"/>
      <c r="BW34" s="148"/>
      <c r="BX34" s="148"/>
      <c r="BY34" s="148"/>
      <c r="BZ34" s="148"/>
      <c r="CA34" s="148"/>
      <c r="CB34" s="148"/>
      <c r="CC34" s="148"/>
      <c r="CD34" s="148"/>
      <c r="CE34" s="148"/>
      <c r="CF34" s="148"/>
      <c r="CG34" s="148"/>
      <c r="CH34" s="148"/>
      <c r="CI34" s="148"/>
      <c r="CJ34" s="148"/>
      <c r="CK34" s="148"/>
      <c r="CL34" s="148"/>
      <c r="CM34" s="148"/>
      <c r="CN34" s="148"/>
      <c r="CO34" s="148"/>
      <c r="CP34" s="148"/>
      <c r="CQ34" s="148"/>
      <c r="CR34" s="148"/>
      <c r="CS34" s="148"/>
      <c r="CT34" s="148"/>
      <c r="CU34" s="148"/>
      <c r="CV34" s="148"/>
      <c r="CW34" s="148"/>
      <c r="CX34" s="148"/>
      <c r="CY34" s="148"/>
      <c r="CZ34" s="148"/>
      <c r="DA34" s="148"/>
      <c r="DB34" s="148"/>
      <c r="DC34" s="148"/>
      <c r="DD34" s="148"/>
      <c r="DE34" s="148"/>
      <c r="DF34" s="148"/>
      <c r="DG34" s="148"/>
      <c r="DH34" s="148"/>
      <c r="DI34" s="148"/>
      <c r="DJ34" s="148"/>
      <c r="DK34" s="148"/>
      <c r="DL34" s="148"/>
      <c r="DM34" s="148"/>
      <c r="DN34" s="148"/>
      <c r="DO34" s="148"/>
      <c r="DP34" s="148"/>
      <c r="DQ34" s="148"/>
      <c r="DR34" s="148"/>
      <c r="DS34" s="148"/>
      <c r="DT34" s="148"/>
      <c r="DU34" s="148"/>
      <c r="DV34" s="148"/>
      <c r="DW34" s="148"/>
      <c r="DX34" s="148"/>
      <c r="DY34" s="148"/>
      <c r="DZ34" s="148"/>
      <c r="EA34" s="148"/>
      <c r="EB34" s="148"/>
      <c r="EC34" s="148"/>
      <c r="ED34" s="148"/>
      <c r="EE34" s="148"/>
      <c r="EF34" s="148"/>
      <c r="EG34" s="148"/>
      <c r="EH34" s="148"/>
      <c r="EI34" s="148"/>
      <c r="EJ34" s="148"/>
      <c r="EK34" s="148"/>
      <c r="EL34" s="148"/>
      <c r="EM34" s="148"/>
      <c r="EN34" s="148"/>
      <c r="EO34" s="148"/>
      <c r="EP34" s="148"/>
      <c r="EQ34" s="148"/>
      <c r="ER34" s="148"/>
      <c r="ES34" s="148"/>
      <c r="ET34" s="148"/>
      <c r="EU34" s="148"/>
      <c r="EV34" s="148"/>
      <c r="EW34" s="148"/>
      <c r="EX34" s="148"/>
      <c r="EY34" s="148"/>
      <c r="EZ34" s="148"/>
      <c r="FA34" s="148"/>
      <c r="FB34" s="148"/>
      <c r="FC34" s="148"/>
      <c r="FD34" s="148"/>
      <c r="FE34" s="148"/>
      <c r="FF34" s="148"/>
      <c r="FG34" s="148"/>
      <c r="FH34" s="148"/>
      <c r="FI34" s="148"/>
      <c r="FJ34" s="148"/>
      <c r="FK34" s="148"/>
      <c r="FL34" s="148"/>
      <c r="FM34" s="148"/>
      <c r="FN34" s="148"/>
      <c r="FO34" s="148"/>
      <c r="FP34" s="148"/>
      <c r="FQ34" s="148"/>
      <c r="FR34" s="148"/>
      <c r="FS34" s="148"/>
      <c r="FT34" s="148"/>
      <c r="FU34" s="148"/>
      <c r="FV34" s="148"/>
      <c r="FW34" s="148"/>
      <c r="FX34" s="148"/>
      <c r="FY34" s="148"/>
      <c r="FZ34" s="148"/>
      <c r="GA34" s="148"/>
      <c r="GB34" s="148"/>
      <c r="GC34" s="148"/>
      <c r="GD34" s="148"/>
      <c r="GE34" s="148"/>
      <c r="GF34" s="148"/>
      <c r="GG34" s="148"/>
      <c r="GH34" s="148"/>
      <c r="GI34" s="148"/>
      <c r="GJ34" s="148"/>
      <c r="GK34" s="148"/>
      <c r="GL34" s="148"/>
      <c r="GM34" s="148"/>
      <c r="GN34" s="148"/>
      <c r="GO34" s="148"/>
      <c r="GP34" s="148"/>
      <c r="GQ34" s="148"/>
      <c r="GR34" s="148"/>
      <c r="GS34" s="148"/>
      <c r="GT34" s="148"/>
      <c r="GU34" s="148"/>
      <c r="GV34" s="148"/>
      <c r="GW34" s="148"/>
      <c r="GX34" s="148"/>
      <c r="GY34" s="148"/>
      <c r="GZ34" s="148"/>
      <c r="HA34" s="148"/>
      <c r="HB34" s="148"/>
      <c r="HC34" s="148"/>
      <c r="HD34" s="148"/>
      <c r="HE34" s="148"/>
      <c r="HF34" s="148"/>
      <c r="HG34" s="148"/>
      <c r="HH34" s="148"/>
      <c r="HI34" s="148"/>
      <c r="HJ34" s="148"/>
      <c r="HK34" s="148"/>
      <c r="HL34" s="148"/>
      <c r="HM34" s="148"/>
      <c r="HN34" s="148"/>
      <c r="HO34" s="148"/>
      <c r="HP34" s="148"/>
      <c r="HQ34" s="148"/>
      <c r="HR34" s="148"/>
      <c r="HS34" s="148"/>
      <c r="HT34" s="148"/>
      <c r="HU34" s="148"/>
      <c r="HV34" s="148"/>
      <c r="HW34" s="148"/>
      <c r="HX34" s="148"/>
      <c r="HY34" s="148"/>
      <c r="HZ34" s="148"/>
      <c r="IA34" s="148"/>
      <c r="IB34" s="148"/>
      <c r="IC34" s="148"/>
      <c r="ID34" s="148"/>
      <c r="IE34" s="148"/>
      <c r="IF34" s="148"/>
      <c r="IG34" s="148"/>
      <c r="IH34" s="148"/>
      <c r="II34" s="148"/>
      <c r="IJ34" s="148"/>
      <c r="IK34" s="148"/>
      <c r="IL34" s="148"/>
      <c r="IM34" s="148"/>
      <c r="IN34" s="148"/>
      <c r="IO34" s="148"/>
      <c r="IP34" s="148"/>
      <c r="IQ34" s="148"/>
      <c r="IR34" s="148"/>
      <c r="IS34" s="148"/>
      <c r="IT34" s="148"/>
      <c r="IU34" s="148"/>
      <c r="IV34" s="148"/>
      <c r="IW34" s="148"/>
      <c r="IX34" s="148"/>
      <c r="IY34" s="148"/>
      <c r="IZ34" s="148"/>
      <c r="JA34" s="148"/>
      <c r="JB34" s="148"/>
      <c r="JC34" s="148"/>
      <c r="JD34" s="148"/>
      <c r="JE34" s="148"/>
      <c r="JF34" s="148"/>
      <c r="JG34" s="148"/>
      <c r="JH34" s="148"/>
      <c r="JI34" s="148"/>
      <c r="JJ34" s="148"/>
      <c r="JK34" s="148"/>
      <c r="JL34" s="148"/>
      <c r="JM34" s="148"/>
      <c r="JN34" s="148"/>
      <c r="JO34" s="148"/>
      <c r="JP34" s="148"/>
      <c r="JQ34" s="148"/>
      <c r="JR34" s="148"/>
      <c r="JS34" s="148"/>
      <c r="JT34" s="148"/>
      <c r="JU34" s="148"/>
      <c r="JV34" s="148"/>
      <c r="JW34" s="148"/>
      <c r="JX34" s="148"/>
      <c r="JY34" s="148"/>
      <c r="JZ34" s="148"/>
      <c r="KA34" s="148"/>
      <c r="KB34" s="148"/>
      <c r="KC34" s="148"/>
      <c r="KD34" s="148"/>
      <c r="KE34" s="148"/>
      <c r="KF34" s="148"/>
      <c r="KG34" s="148"/>
      <c r="KH34" s="148"/>
      <c r="KI34" s="148"/>
      <c r="KJ34" s="148"/>
      <c r="KK34" s="148"/>
      <c r="KL34" s="148"/>
      <c r="KM34" s="148"/>
      <c r="KN34" s="148"/>
      <c r="KO34" s="148"/>
      <c r="KP34" s="148"/>
      <c r="KQ34" s="148"/>
      <c r="KR34" s="148"/>
      <c r="KS34" s="148"/>
      <c r="KT34" s="148"/>
    </row>
    <row r="35" spans="1:307" x14ac:dyDescent="0.15">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48"/>
      <c r="BF35" s="148"/>
      <c r="BG35" s="148"/>
      <c r="BH35" s="148"/>
      <c r="BI35" s="148"/>
      <c r="BJ35" s="148"/>
      <c r="BK35" s="148"/>
      <c r="BL35" s="148"/>
      <c r="BM35" s="148"/>
      <c r="BN35" s="148"/>
      <c r="BO35" s="148"/>
      <c r="BP35" s="148"/>
      <c r="BQ35" s="148"/>
      <c r="BR35" s="148"/>
      <c r="BS35" s="148"/>
      <c r="BT35" s="148"/>
      <c r="BU35" s="148"/>
      <c r="BV35" s="148"/>
      <c r="BW35" s="148"/>
      <c r="BX35" s="148"/>
      <c r="BY35" s="148"/>
      <c r="BZ35" s="148"/>
      <c r="CA35" s="148"/>
      <c r="CB35" s="148"/>
      <c r="CC35" s="148"/>
      <c r="CD35" s="148"/>
      <c r="CE35" s="148"/>
      <c r="CF35" s="148"/>
      <c r="CG35" s="148"/>
      <c r="CH35" s="148"/>
      <c r="CI35" s="148"/>
      <c r="CJ35" s="148"/>
      <c r="CK35" s="148"/>
      <c r="CL35" s="148"/>
      <c r="CM35" s="148"/>
      <c r="CN35" s="148"/>
      <c r="CO35" s="148"/>
      <c r="CP35" s="148"/>
      <c r="CQ35" s="148"/>
      <c r="CR35" s="148"/>
      <c r="CS35" s="148"/>
      <c r="CT35" s="148"/>
      <c r="CU35" s="148"/>
      <c r="CV35" s="148"/>
      <c r="CW35" s="148"/>
      <c r="CX35" s="148"/>
      <c r="CY35" s="148"/>
      <c r="CZ35" s="148"/>
      <c r="DA35" s="148"/>
      <c r="DB35" s="148"/>
      <c r="DC35" s="148"/>
      <c r="DD35" s="148"/>
      <c r="DE35" s="148"/>
      <c r="DF35" s="148"/>
      <c r="DG35" s="148"/>
      <c r="DH35" s="148"/>
      <c r="DI35" s="148"/>
      <c r="DJ35" s="148"/>
      <c r="DK35" s="148"/>
      <c r="DL35" s="148"/>
      <c r="DM35" s="148"/>
      <c r="DN35" s="148"/>
      <c r="DO35" s="148"/>
      <c r="DP35" s="148"/>
      <c r="DQ35" s="148"/>
      <c r="DR35" s="148"/>
      <c r="DS35" s="148"/>
      <c r="DT35" s="148"/>
      <c r="DU35" s="148"/>
      <c r="DV35" s="148"/>
      <c r="DW35" s="148"/>
      <c r="DX35" s="148"/>
      <c r="DY35" s="148"/>
      <c r="DZ35" s="148"/>
      <c r="EA35" s="148"/>
      <c r="EB35" s="148"/>
      <c r="EC35" s="148"/>
      <c r="ED35" s="148"/>
      <c r="EE35" s="148"/>
      <c r="EF35" s="148"/>
      <c r="EG35" s="148"/>
      <c r="EH35" s="148"/>
      <c r="EI35" s="148"/>
      <c r="EJ35" s="148"/>
      <c r="EK35" s="148"/>
      <c r="EL35" s="148"/>
      <c r="EM35" s="148"/>
      <c r="EN35" s="148"/>
      <c r="EO35" s="148"/>
      <c r="EP35" s="148"/>
      <c r="EQ35" s="148"/>
      <c r="ER35" s="148"/>
      <c r="ES35" s="148"/>
      <c r="ET35" s="148"/>
      <c r="EU35" s="148"/>
      <c r="EV35" s="148"/>
      <c r="EW35" s="148"/>
      <c r="EX35" s="148"/>
      <c r="EY35" s="148"/>
      <c r="EZ35" s="148"/>
      <c r="FA35" s="148"/>
      <c r="FB35" s="148"/>
      <c r="FC35" s="148"/>
      <c r="FD35" s="148"/>
      <c r="FE35" s="148"/>
      <c r="FF35" s="148"/>
      <c r="FG35" s="148"/>
      <c r="FH35" s="148"/>
      <c r="FI35" s="148"/>
      <c r="FJ35" s="148"/>
      <c r="FK35" s="148"/>
      <c r="FL35" s="148"/>
      <c r="FM35" s="148"/>
      <c r="FN35" s="148"/>
      <c r="FO35" s="148"/>
      <c r="FP35" s="148"/>
      <c r="FQ35" s="148"/>
      <c r="FR35" s="148"/>
      <c r="FS35" s="148"/>
      <c r="FT35" s="148"/>
      <c r="FU35" s="148"/>
      <c r="FV35" s="148"/>
      <c r="FW35" s="148"/>
      <c r="FX35" s="148"/>
      <c r="FY35" s="148"/>
      <c r="FZ35" s="148"/>
      <c r="GA35" s="148"/>
      <c r="GB35" s="148"/>
      <c r="GC35" s="148"/>
      <c r="GD35" s="148"/>
      <c r="GE35" s="148"/>
      <c r="GF35" s="148"/>
      <c r="GG35" s="148"/>
      <c r="GH35" s="148"/>
      <c r="GI35" s="148"/>
      <c r="GJ35" s="148"/>
      <c r="GK35" s="148"/>
      <c r="GL35" s="148"/>
      <c r="GM35" s="148"/>
      <c r="GN35" s="148"/>
      <c r="GO35" s="148"/>
      <c r="GP35" s="148"/>
      <c r="GQ35" s="148"/>
      <c r="GR35" s="148"/>
      <c r="GS35" s="148"/>
      <c r="GT35" s="148"/>
      <c r="GU35" s="148"/>
      <c r="GV35" s="148"/>
      <c r="GW35" s="148"/>
      <c r="GX35" s="148"/>
      <c r="GY35" s="148"/>
      <c r="GZ35" s="148"/>
      <c r="HA35" s="148"/>
      <c r="HB35" s="148"/>
      <c r="HC35" s="148"/>
      <c r="HD35" s="148"/>
      <c r="HE35" s="148"/>
      <c r="HF35" s="148"/>
      <c r="HG35" s="148"/>
      <c r="HH35" s="148"/>
      <c r="HI35" s="148"/>
      <c r="HJ35" s="148"/>
      <c r="HK35" s="148"/>
      <c r="HL35" s="148"/>
      <c r="HM35" s="148"/>
      <c r="HN35" s="148"/>
      <c r="HO35" s="148"/>
      <c r="HP35" s="148"/>
      <c r="HQ35" s="148"/>
      <c r="HR35" s="148"/>
      <c r="HS35" s="148"/>
      <c r="HT35" s="148"/>
      <c r="HU35" s="148"/>
      <c r="HV35" s="148"/>
      <c r="HW35" s="148"/>
      <c r="HX35" s="148"/>
      <c r="HY35" s="148"/>
      <c r="HZ35" s="148"/>
      <c r="IA35" s="148"/>
      <c r="IB35" s="148"/>
      <c r="IC35" s="148"/>
      <c r="ID35" s="148"/>
      <c r="IE35" s="148"/>
      <c r="IF35" s="148"/>
      <c r="IG35" s="148"/>
      <c r="IH35" s="148"/>
      <c r="II35" s="148"/>
      <c r="IJ35" s="148"/>
      <c r="IK35" s="148"/>
      <c r="IL35" s="148"/>
      <c r="IM35" s="148"/>
      <c r="IN35" s="148"/>
      <c r="IO35" s="148"/>
      <c r="IP35" s="148"/>
      <c r="IQ35" s="148"/>
      <c r="IR35" s="148"/>
      <c r="IS35" s="148"/>
      <c r="IT35" s="148"/>
      <c r="IU35" s="148"/>
      <c r="IV35" s="148"/>
      <c r="IW35" s="148"/>
      <c r="IX35" s="148"/>
      <c r="IY35" s="148"/>
      <c r="IZ35" s="148"/>
      <c r="JA35" s="148"/>
      <c r="JB35" s="148"/>
      <c r="JC35" s="148"/>
      <c r="JD35" s="148"/>
      <c r="JE35" s="148"/>
      <c r="JF35" s="148"/>
      <c r="JG35" s="148"/>
      <c r="JH35" s="148"/>
      <c r="JI35" s="148"/>
      <c r="JJ35" s="148"/>
      <c r="JK35" s="148"/>
      <c r="JL35" s="148"/>
      <c r="JM35" s="148"/>
      <c r="JN35" s="148"/>
      <c r="JO35" s="148"/>
      <c r="JP35" s="148"/>
      <c r="JQ35" s="148"/>
      <c r="JR35" s="148"/>
      <c r="JS35" s="148"/>
      <c r="JT35" s="148"/>
      <c r="JU35" s="148"/>
      <c r="JV35" s="148"/>
      <c r="JW35" s="148"/>
      <c r="JX35" s="148"/>
      <c r="JY35" s="148"/>
      <c r="JZ35" s="148"/>
      <c r="KA35" s="148"/>
      <c r="KB35" s="148"/>
      <c r="KC35" s="148"/>
      <c r="KD35" s="148"/>
      <c r="KE35" s="148"/>
      <c r="KF35" s="148"/>
      <c r="KG35" s="148"/>
      <c r="KH35" s="148"/>
      <c r="KI35" s="148"/>
      <c r="KJ35" s="148"/>
      <c r="KK35" s="148"/>
      <c r="KL35" s="148"/>
      <c r="KM35" s="148"/>
      <c r="KN35" s="148"/>
      <c r="KO35" s="148"/>
      <c r="KP35" s="148"/>
      <c r="KQ35" s="148"/>
      <c r="KR35" s="148"/>
      <c r="KS35" s="148"/>
      <c r="KT35" s="148"/>
    </row>
    <row r="36" spans="1:307" x14ac:dyDescent="0.15">
      <c r="B36" s="157" t="s">
        <v>322</v>
      </c>
      <c r="C36" s="225"/>
      <c r="F36" s="245"/>
      <c r="G36" s="245"/>
      <c r="H36" s="245"/>
      <c r="I36" s="245"/>
      <c r="J36" s="245"/>
      <c r="K36" s="245"/>
      <c r="L36" s="245"/>
      <c r="M36" s="245"/>
      <c r="N36" s="245"/>
      <c r="O36" s="245"/>
      <c r="P36" s="245"/>
      <c r="Q36" s="245"/>
      <c r="R36" s="245"/>
      <c r="S36" s="245"/>
      <c r="T36" s="245"/>
      <c r="U36" s="150"/>
      <c r="V36" s="150"/>
      <c r="W36" s="150"/>
      <c r="X36" s="150"/>
      <c r="Y36" s="150"/>
      <c r="Z36" s="150"/>
      <c r="AA36" s="150"/>
      <c r="AB36" s="150"/>
      <c r="AC36" s="150"/>
    </row>
    <row r="37" spans="1:307" s="148" customFormat="1" x14ac:dyDescent="0.15">
      <c r="C37" s="157" t="s">
        <v>323</v>
      </c>
      <c r="D37" s="240"/>
      <c r="E37" s="239">
        <f>IF(E5&gt;0,Leadsheet!$E$11*SAP_Speadsheet!E16,SUM(E20:E33))</f>
        <v>7.9629454816038727</v>
      </c>
      <c r="F37" s="239">
        <f>IF(F5&gt;0,Leadsheet!$E$11*SAP_Speadsheet!F16,SUM(F20:F33))</f>
        <v>7.1247406940666229</v>
      </c>
      <c r="G37" s="239">
        <f>IF(G5&gt;0,Leadsheet!$E$11*SAP_Speadsheet!G16,SUM(G20:G33))</f>
        <v>6.8732792578054482</v>
      </c>
      <c r="H37" s="239">
        <f>IF(H5&gt;0,Leadsheet!$E$11*SAP_Speadsheet!H16,SUM(H20:H33))</f>
        <v>6.6218178215442727</v>
      </c>
      <c r="I37" s="239">
        <f>IF(I5&gt;0,Leadsheet!$E$11*SAP_Speadsheet!I16,SUM(I20:I33))</f>
        <v>6.370356385283098</v>
      </c>
      <c r="J37" s="239">
        <f>IF(J5&gt;0,Leadsheet!$E$11*SAP_Speadsheet!J16,SUM(J20:J33))</f>
        <v>6.1188949490219224</v>
      </c>
      <c r="K37" s="239">
        <f>IF(K5&gt;0,Leadsheet!$E$11*SAP_Speadsheet!K16,SUM(K20:K33))</f>
        <v>5.8674335127607478</v>
      </c>
      <c r="L37" s="239">
        <f>IF(L5&gt;0,Leadsheet!$E$11*SAP_Speadsheet!L16,SUM(L20:L33))</f>
        <v>5.6159720764995722</v>
      </c>
      <c r="M37" s="239">
        <f>IF(M5&gt;0,Leadsheet!$E$11*SAP_Speadsheet!M16,SUM(M20:M33))</f>
        <v>5.3645106402383966</v>
      </c>
      <c r="N37" s="239">
        <f>IF(N5&gt;0,Leadsheet!$E$11*SAP_Speadsheet!N16,SUM(N20:N33))</f>
        <v>1.7744706513098176</v>
      </c>
      <c r="O37" s="239">
        <f>IF(O5&gt;0,Leadsheet!$E$11*SAP_Speadsheet!O16,SUM(O20:O33))</f>
        <v>1.4956088482429843</v>
      </c>
      <c r="P37" s="239">
        <f>IF(P5&gt;0,Leadsheet!$E$11*SAP_Speadsheet!P16,SUM(P20:P33))</f>
        <v>1.4290862568881111</v>
      </c>
      <c r="Q37" s="239">
        <f>IF(Q5&gt;0,Leadsheet!$E$11*SAP_Speadsheet!Q16,SUM(Q20:Q33))</f>
        <v>1.4001555712713056</v>
      </c>
      <c r="R37" s="239">
        <f>IF(R5&gt;0,Leadsheet!$E$11*SAP_Speadsheet!R16,SUM(R20:R33))</f>
        <v>1.3945580069500951</v>
      </c>
      <c r="S37" s="239">
        <f>IF(S5&gt;0,Leadsheet!$E$11*SAP_Speadsheet!S16,SUM(S20:S33))</f>
        <v>1.3919340303639132</v>
      </c>
      <c r="T37" s="239">
        <f>IF(T5&gt;0,Leadsheet!$E$11*SAP_Speadsheet!T16,SUM(T20:T33))</f>
        <v>1.3919340303639132</v>
      </c>
      <c r="U37" s="239">
        <f>IF(U5&gt;0,Leadsheet!$E$11*SAP_Speadsheet!U16,SUM(U20:U33))</f>
        <v>0</v>
      </c>
      <c r="V37" s="239">
        <f>IF(V5&gt;0,Leadsheet!$E$11*SAP_Speadsheet!V16,SUM(V20:V33))</f>
        <v>0</v>
      </c>
      <c r="W37" s="239">
        <f>IF(W5&gt;0,Leadsheet!$E$11*SAP_Speadsheet!W16,SUM(W20:W33))</f>
        <v>0</v>
      </c>
      <c r="X37" s="239">
        <f>IF(X5&gt;0,Leadsheet!$E$11*SAP_Speadsheet!X16,SUM(X20:X33))</f>
        <v>0</v>
      </c>
      <c r="Y37" s="239">
        <f>IF(Y5&gt;0,Leadsheet!$E$11*SAP_Speadsheet!Y16,SUM(Y20:Y33))</f>
        <v>0</v>
      </c>
      <c r="Z37" s="239">
        <f>IF(Z5&gt;0,Leadsheet!$E$11*SAP_Speadsheet!Z16,SUM(Z20:Z33))</f>
        <v>0</v>
      </c>
      <c r="AA37" s="239">
        <f>IF(AA5&gt;0,Leadsheet!$E$11*SAP_Speadsheet!AA16,SUM(AA20:AA33))</f>
        <v>0</v>
      </c>
      <c r="AB37" s="239">
        <f>IF(AB5&gt;0,Leadsheet!$E$11*SAP_Speadsheet!AB16,SUM(AB20:AB33))</f>
        <v>0</v>
      </c>
      <c r="AC37" s="239">
        <f>IF(AC5&gt;0,Leadsheet!$E$11*SAP_Speadsheet!AC16,SUM(AC20:AC33))</f>
        <v>0</v>
      </c>
      <c r="AD37" s="239">
        <f>IF(AD5&gt;0,Leadsheet!$E$11*SAP_Speadsheet!AD16,SUM(AD20:AD33))</f>
        <v>0</v>
      </c>
      <c r="AE37" s="239">
        <f>IF(AE5&gt;0,Leadsheet!$E$11*SAP_Speadsheet!AE16,SUM(AE20:AE33))</f>
        <v>0</v>
      </c>
      <c r="AF37" s="239">
        <f>IF(AF5&gt;0,Leadsheet!$E$11*SAP_Speadsheet!AF16,SUM(AF20:AF33))</f>
        <v>0</v>
      </c>
      <c r="AG37" s="239">
        <f>IF(AG5&gt;0,Leadsheet!$E$11*SAP_Speadsheet!AG16,SUM(AG20:AG33))</f>
        <v>0</v>
      </c>
      <c r="AH37" s="239">
        <f>IF(AH5&gt;0,Leadsheet!$E$11*SAP_Speadsheet!AH16,SUM(AH20:AH33))</f>
        <v>0</v>
      </c>
      <c r="AI37" s="239">
        <f>IF(AI5&gt;0,Leadsheet!$E$11*SAP_Speadsheet!AI16,SUM(AI20:AI33))</f>
        <v>0</v>
      </c>
      <c r="AJ37" s="239">
        <f>IF(AJ5&gt;0,Leadsheet!$E$11*SAP_Speadsheet!AJ16,SUM(AJ20:AJ33))</f>
        <v>0</v>
      </c>
      <c r="AK37" s="239">
        <f>IF(AK5&gt;0,Leadsheet!$E$11*SAP_Speadsheet!AK16,SUM(AK20:AK33))</f>
        <v>0</v>
      </c>
      <c r="AL37" s="239">
        <f>IF(AL5&gt;0,Leadsheet!$E$11*SAP_Speadsheet!AL16,SUM(AL20:AL33))</f>
        <v>0</v>
      </c>
      <c r="AM37" s="239">
        <f>IF(AM5&gt;0,Leadsheet!$E$11*SAP_Speadsheet!AM16,SUM(AM20:AM33))</f>
        <v>0</v>
      </c>
      <c r="AN37" s="239">
        <f>IF(AN5&gt;0,Leadsheet!$E$11*SAP_Speadsheet!AN16,SUM(AN20:AN33))</f>
        <v>0</v>
      </c>
      <c r="AO37" s="239">
        <f>IF(AO5&gt;0,Leadsheet!$E$11*SAP_Speadsheet!AO16,SUM(AO20:AO33))</f>
        <v>0</v>
      </c>
      <c r="AP37" s="239">
        <f>IF(AP5&gt;0,Leadsheet!$E$11*SAP_Speadsheet!AP16,SUM(AP20:AP33))</f>
        <v>0</v>
      </c>
      <c r="AQ37" s="239">
        <f>IF(AQ5&gt;0,Leadsheet!$E$11*SAP_Speadsheet!AQ16,SUM(AQ20:AQ33))</f>
        <v>0</v>
      </c>
      <c r="AR37" s="239">
        <f>IF(AR5&gt;0,Leadsheet!$E$11*SAP_Speadsheet!AR16,SUM(AR20:AR33))</f>
        <v>0</v>
      </c>
      <c r="AS37" s="239">
        <f>IF(AS5&gt;0,Leadsheet!$E$11*SAP_Speadsheet!AS16,SUM(AS20:AS33))</f>
        <v>0</v>
      </c>
      <c r="AT37" s="239">
        <f>IF(AT5&gt;0,Leadsheet!$E$11*SAP_Speadsheet!AT16,SUM(AT20:AT33))</f>
        <v>0</v>
      </c>
      <c r="AU37" s="239">
        <f>IF(AU5&gt;0,Leadsheet!$E$11*SAP_Speadsheet!AU16,SUM(AU20:AU33))</f>
        <v>0</v>
      </c>
      <c r="AV37" s="239">
        <f>IF(AV5&gt;0,Leadsheet!$E$11*SAP_Speadsheet!AV16,SUM(AV20:AV33))</f>
        <v>0</v>
      </c>
      <c r="AW37" s="239">
        <f>IF(AW5&gt;0,Leadsheet!$E$11*SAP_Speadsheet!AW16,SUM(AW20:AW33))</f>
        <v>0</v>
      </c>
      <c r="AX37" s="239">
        <f>IF(AX5&gt;0,Leadsheet!$E$11*SAP_Speadsheet!AX16,SUM(AX20:AX33))</f>
        <v>0</v>
      </c>
      <c r="AY37" s="239">
        <f>IF(AY5&gt;0,Leadsheet!$E$11*SAP_Speadsheet!AY16,SUM(AY20:AY33))</f>
        <v>0</v>
      </c>
      <c r="AZ37" s="239">
        <f>IF(AZ5&gt;0,Leadsheet!$E$11*SAP_Speadsheet!AZ16,SUM(AZ20:AZ33))</f>
        <v>0</v>
      </c>
      <c r="BA37" s="239">
        <f>IF(BA5&gt;0,Leadsheet!$E$11*SAP_Speadsheet!BA16,SUM(BA20:BA33))</f>
        <v>0</v>
      </c>
      <c r="BB37" s="239">
        <f>IF(BB5&gt;0,Leadsheet!$E$11*SAP_Speadsheet!BB16,SUM(BB20:BB33))</f>
        <v>0</v>
      </c>
      <c r="BC37" s="239">
        <f>IF(BC5&gt;0,Leadsheet!$E$11*SAP_Speadsheet!BC16,SUM(BC20:BC33))</f>
        <v>0</v>
      </c>
      <c r="BD37" s="239">
        <f>IF(BD5&gt;0,Leadsheet!$E$11*SAP_Speadsheet!BD16,SUM(BD20:BD33))</f>
        <v>0</v>
      </c>
      <c r="BE37" s="239">
        <f>IF(BE5&gt;0,Leadsheet!$E$11*SAP_Speadsheet!BE16,SUM(BE20:BE33))</f>
        <v>0</v>
      </c>
      <c r="BF37" s="239">
        <f>IF(BF5&gt;0,Leadsheet!$E$11*SAP_Speadsheet!BF16,SUM(BF20:BF33))</f>
        <v>0</v>
      </c>
      <c r="BG37" s="239">
        <f>IF(BG5&gt;0,Leadsheet!$E$11*SAP_Speadsheet!BG16,SUM(BG20:BG33))</f>
        <v>0</v>
      </c>
      <c r="BH37" s="239">
        <f>IF(BH5&gt;0,Leadsheet!$E$11*SAP_Speadsheet!BH16,SUM(BH20:BH33))</f>
        <v>0</v>
      </c>
      <c r="BI37" s="239">
        <f>IF(BI5&gt;0,Leadsheet!$E$11*SAP_Speadsheet!BI16,SUM(BI20:BI33))</f>
        <v>0</v>
      </c>
      <c r="BJ37" s="239">
        <f>IF(BJ5&gt;0,Leadsheet!$E$11*SAP_Speadsheet!BJ16,SUM(BJ20:BJ33))</f>
        <v>0</v>
      </c>
      <c r="BK37" s="239">
        <f>IF(BK5&gt;0,Leadsheet!$E$11*SAP_Speadsheet!BK16,SUM(BK20:BK33))</f>
        <v>0</v>
      </c>
      <c r="BL37" s="239">
        <f>IF(BL5&gt;0,Leadsheet!$E$11*SAP_Speadsheet!BL16,SUM(BL20:BL33))</f>
        <v>0</v>
      </c>
      <c r="BM37" s="239">
        <f>IF(BM5&gt;0,Leadsheet!$E$11*SAP_Speadsheet!BM16,SUM(BM20:BM33))</f>
        <v>0</v>
      </c>
      <c r="KU37" s="92"/>
    </row>
    <row r="38" spans="1:307" s="157" customFormat="1" x14ac:dyDescent="0.15">
      <c r="C38" s="246" t="s">
        <v>324</v>
      </c>
      <c r="D38" s="225"/>
      <c r="E38" s="148" cm="1">
        <f t="array" ref="E38">IF(E4=$F$6,0,_xlfn.IFS(Leadsheet!$G$5="DPD360+",SUM(SAP_Speadsheet!E19:E32),Leadsheet!$G$5="DPD180+",SUM(SAP_Speadsheet!E19:E26)))</f>
        <v>7.9629454816038727</v>
      </c>
      <c r="F38" s="148" cm="1">
        <f t="array" ref="F38">IF(F4=$F$6,0,_xlfn.IFS(Leadsheet!$G$5="DPD360+",SUM(SAP_Speadsheet!F19:F32),Leadsheet!$G$5="DPD180+",SUM(SAP_Speadsheet!F19:F26)))</f>
        <v>7.1247406940666229</v>
      </c>
      <c r="G38" s="148" cm="1">
        <f t="array" ref="G38">IF(G4=$F$6,0,_xlfn.IFS(Leadsheet!$G$5="DPD360+",SUM(SAP_Speadsheet!G19:G32),Leadsheet!$G$5="DPD180+",SUM(SAP_Speadsheet!G19:G26)))</f>
        <v>6.8732792578054474</v>
      </c>
      <c r="H38" s="148" cm="1">
        <f t="array" ref="H38">IF(H4=$F$6,0,_xlfn.IFS(Leadsheet!$G$5="DPD360+",SUM(SAP_Speadsheet!H19:H32),Leadsheet!$G$5="DPD180+",SUM(SAP_Speadsheet!H19:H26)))</f>
        <v>6.6218178215442727</v>
      </c>
      <c r="I38" s="148" cm="1">
        <f t="array" ref="I38">IF(I4=$F$6,0,_xlfn.IFS(Leadsheet!$G$5="DPD360+",SUM(SAP_Speadsheet!I19:I32),Leadsheet!$G$5="DPD180+",SUM(SAP_Speadsheet!I19:I26)))</f>
        <v>6.370356385283098</v>
      </c>
      <c r="J38" s="148" cm="1">
        <f t="array" ref="J38">IF(J4=$F$6,0,_xlfn.IFS(Leadsheet!$G$5="DPD360+",SUM(SAP_Speadsheet!J19:J32),Leadsheet!$G$5="DPD180+",SUM(SAP_Speadsheet!J19:J26)))</f>
        <v>6.1188949490219224</v>
      </c>
      <c r="K38" s="148" cm="1">
        <f t="array" ref="K38">IF(K4=$F$6,0,_xlfn.IFS(Leadsheet!$G$5="DPD360+",SUM(SAP_Speadsheet!K19:K32),Leadsheet!$G$5="DPD180+",SUM(SAP_Speadsheet!K19:K26)))</f>
        <v>5.8674335127607478</v>
      </c>
      <c r="L38" s="148" cm="1">
        <f t="array" ref="L38">IF(L4=$F$6,0,_xlfn.IFS(Leadsheet!$G$5="DPD360+",SUM(SAP_Speadsheet!L19:L32),Leadsheet!$G$5="DPD180+",SUM(SAP_Speadsheet!L19:L26)))</f>
        <v>5.6159720764995722</v>
      </c>
      <c r="M38" s="148" cm="1">
        <f t="array" ref="M38">IF(M4=$F$6,0,_xlfn.IFS(Leadsheet!$G$5="DPD360+",SUM(SAP_Speadsheet!M19:M32),Leadsheet!$G$5="DPD180+",SUM(SAP_Speadsheet!M19:M26)))</f>
        <v>5.2157552444993129</v>
      </c>
      <c r="N38" s="148" cm="1">
        <f t="array" ref="N38">IF(N4=$F$6,0,_xlfn.IFS(Leadsheet!$G$5="DPD360+",SUM(SAP_Speadsheet!N19:N32),Leadsheet!$G$5="DPD180+",SUM(SAP_Speadsheet!N19:N26)))</f>
        <v>1.4957421858515469</v>
      </c>
      <c r="O38" s="148" cm="1">
        <f t="array" ref="O38">IF(O4=$F$6,0,_xlfn.IFS(Leadsheet!$G$5="DPD360+",SUM(SAP_Speadsheet!O19:O32),Leadsheet!$G$5="DPD180+",SUM(SAP_Speadsheet!O19:O26)))</f>
        <v>1.0941780931769174</v>
      </c>
      <c r="P38" s="148" cm="1">
        <f t="array" ref="P38">IF(P4=$F$6,0,_xlfn.IFS(Leadsheet!$G$5="DPD360+",SUM(SAP_Speadsheet!P19:P32),Leadsheet!$G$5="DPD180+",SUM(SAP_Speadsheet!P19:P26)))</f>
        <v>0.91200199728126985</v>
      </c>
      <c r="Q38" s="148" cm="1">
        <f t="array" ref="Q38">IF(Q4=$F$6,0,_xlfn.IFS(Leadsheet!$G$5="DPD360+",SUM(SAP_Speadsheet!Q19:Q32),Leadsheet!$G$5="DPD180+",SUM(SAP_Speadsheet!Q19:Q26)))</f>
        <v>0.77427987044473146</v>
      </c>
      <c r="R38" s="148" cm="1">
        <f t="array" ref="R38">IF(R4=$F$6,0,_xlfn.IFS(Leadsheet!$G$5="DPD360+",SUM(SAP_Speadsheet!R19:R32),Leadsheet!$G$5="DPD180+",SUM(SAP_Speadsheet!R19:R26)))</f>
        <v>0.66972461602002475</v>
      </c>
      <c r="S38" s="148" cm="1">
        <f t="array" ref="S38">IF(S4=$F$6,0,_xlfn.IFS(Leadsheet!$G$5="DPD360+",SUM(SAP_Speadsheet!S19:S32),Leadsheet!$G$5="DPD180+",SUM(SAP_Speadsheet!S19:S26)))</f>
        <v>0.58119504329793437</v>
      </c>
      <c r="T38" s="148" cm="1">
        <f t="array" ref="T38">IF(T4=$F$6,0,_xlfn.IFS(Leadsheet!$G$5="DPD360+",SUM(SAP_Speadsheet!T19:T32),Leadsheet!$G$5="DPD180+",SUM(SAP_Speadsheet!T19:T26)))</f>
        <v>0</v>
      </c>
      <c r="U38" s="148" cm="1">
        <f t="array" ref="U38">IF(U4=$F$6,0,_xlfn.IFS(Leadsheet!$G$5="DPD360+",SUM(SAP_Speadsheet!U19:U32),Leadsheet!$G$5="DPD180+",SUM(SAP_Speadsheet!U19:U26)))</f>
        <v>0</v>
      </c>
      <c r="V38" s="148" cm="1">
        <f t="array" ref="V38">IF(V4=$F$6,0,_xlfn.IFS(Leadsheet!$G$5="DPD360+",SUM(SAP_Speadsheet!V19:V32),Leadsheet!$G$5="DPD180+",SUM(SAP_Speadsheet!V19:V26)))</f>
        <v>0</v>
      </c>
      <c r="W38" s="148" cm="1">
        <f t="array" ref="W38">IF(W4=$F$6,0,_xlfn.IFS(Leadsheet!$G$5="DPD360+",SUM(SAP_Speadsheet!W19:W32),Leadsheet!$G$5="DPD180+",SUM(SAP_Speadsheet!W19:W26)))</f>
        <v>0</v>
      </c>
      <c r="X38" s="148" cm="1">
        <f t="array" ref="X38">IF(X4=$F$6,0,_xlfn.IFS(Leadsheet!$G$5="DPD360+",SUM(SAP_Speadsheet!X19:X32),Leadsheet!$G$5="DPD180+",SUM(SAP_Speadsheet!X19:X26)))</f>
        <v>0</v>
      </c>
      <c r="Y38" s="148" cm="1">
        <f t="array" ref="Y38">IF(Y4=$F$6,0,_xlfn.IFS(Leadsheet!$G$5="DPD360+",SUM(SAP_Speadsheet!Y19:Y32),Leadsheet!$G$5="DPD180+",SUM(SAP_Speadsheet!Y19:Y26)))</f>
        <v>0</v>
      </c>
      <c r="Z38" s="148" cm="1">
        <f t="array" ref="Z38">IF(Z4=$F$6,0,_xlfn.IFS(Leadsheet!$G$5="DPD360+",SUM(SAP_Speadsheet!Z19:Z32),Leadsheet!$G$5="DPD180+",SUM(SAP_Speadsheet!Z19:Z26)))</f>
        <v>0</v>
      </c>
      <c r="AA38" s="148" cm="1">
        <f t="array" ref="AA38">IF(AA4=$F$6,0,_xlfn.IFS(Leadsheet!$G$5="DPD360+",SUM(SAP_Speadsheet!AA19:AA32),Leadsheet!$G$5="DPD180+",SUM(SAP_Speadsheet!AA19:AA26)))</f>
        <v>0</v>
      </c>
      <c r="AB38" s="148" cm="1">
        <f t="array" ref="AB38">IF(AB4=$F$6,0,_xlfn.IFS(Leadsheet!$G$5="DPD360+",SUM(SAP_Speadsheet!AB19:AB32),Leadsheet!$G$5="DPD180+",SUM(SAP_Speadsheet!AB19:AB26)))</f>
        <v>0</v>
      </c>
      <c r="AC38" s="148" cm="1">
        <f t="array" ref="AC38">IF(AC4=$F$6,0,_xlfn.IFS(Leadsheet!$G$5="DPD360+",SUM(SAP_Speadsheet!AC19:AC32),Leadsheet!$G$5="DPD180+",SUM(SAP_Speadsheet!AC19:AC26)))</f>
        <v>0</v>
      </c>
      <c r="AD38" s="148" cm="1">
        <f t="array" ref="AD38">IF(AD4=$F$6,0,_xlfn.IFS(Leadsheet!$G$5="DPD360+",SUM(SAP_Speadsheet!AD19:AD32),Leadsheet!$G$5="DPD180+",SUM(SAP_Speadsheet!AD19:AD26)))</f>
        <v>0</v>
      </c>
      <c r="AE38" s="148" cm="1">
        <f t="array" ref="AE38">IF(AE4=$F$6,0,_xlfn.IFS(Leadsheet!$G$5="DPD360+",SUM(SAP_Speadsheet!AE19:AE32),Leadsheet!$G$5="DPD180+",SUM(SAP_Speadsheet!AE19:AE26)))</f>
        <v>0</v>
      </c>
      <c r="AF38" s="148" cm="1">
        <f t="array" ref="AF38">IF(AF4=$F$6,0,_xlfn.IFS(Leadsheet!$G$5="DPD360+",SUM(SAP_Speadsheet!AF19:AF32),Leadsheet!$G$5="DPD180+",SUM(SAP_Speadsheet!AF19:AF26)))</f>
        <v>0</v>
      </c>
      <c r="AG38" s="148" cm="1">
        <f t="array" ref="AG38">IF(AG4=$F$6,0,_xlfn.IFS(Leadsheet!$G$5="DPD360+",SUM(SAP_Speadsheet!AG19:AG32),Leadsheet!$G$5="DPD180+",SUM(SAP_Speadsheet!AG19:AG26)))</f>
        <v>0</v>
      </c>
      <c r="AH38" s="148" cm="1">
        <f t="array" ref="AH38">IF(AH4=$F$6,0,_xlfn.IFS(Leadsheet!$G$5="DPD360+",SUM(SAP_Speadsheet!AH19:AH32),Leadsheet!$G$5="DPD180+",SUM(SAP_Speadsheet!AH19:AH26)))</f>
        <v>0</v>
      </c>
      <c r="AI38" s="148" cm="1">
        <f t="array" ref="AI38">IF(AI4=$F$6,0,_xlfn.IFS(Leadsheet!$G$5="DPD360+",SUM(SAP_Speadsheet!AI19:AI32),Leadsheet!$G$5="DPD180+",SUM(SAP_Speadsheet!AI19:AI26)))</f>
        <v>0</v>
      </c>
      <c r="AJ38" s="148" cm="1">
        <f t="array" ref="AJ38">IF(AJ4=$F$6,0,_xlfn.IFS(Leadsheet!$G$5="DPD360+",SUM(SAP_Speadsheet!AJ19:AJ32),Leadsheet!$G$5="DPD180+",SUM(SAP_Speadsheet!AJ19:AJ26)))</f>
        <v>0</v>
      </c>
      <c r="AK38" s="148" cm="1">
        <f t="array" ref="AK38">IF(AK4=$F$6,0,_xlfn.IFS(Leadsheet!$G$5="DPD360+",SUM(SAP_Speadsheet!AK19:AK32),Leadsheet!$G$5="DPD180+",SUM(SAP_Speadsheet!AK19:AK26)))</f>
        <v>0</v>
      </c>
      <c r="AL38" s="148" cm="1">
        <f t="array" ref="AL38">IF(AL4=$F$6,0,_xlfn.IFS(Leadsheet!$G$5="DPD360+",SUM(SAP_Speadsheet!AL19:AL32),Leadsheet!$G$5="DPD180+",SUM(SAP_Speadsheet!AL19:AL26)))</f>
        <v>0</v>
      </c>
      <c r="AM38" s="148" cm="1">
        <f t="array" ref="AM38">IF(AM4=$F$6,0,_xlfn.IFS(Leadsheet!$G$5="DPD360+",SUM(SAP_Speadsheet!AM19:AM32),Leadsheet!$G$5="DPD180+",SUM(SAP_Speadsheet!AM19:AM26)))</f>
        <v>0</v>
      </c>
      <c r="AN38" s="148" cm="1">
        <f t="array" ref="AN38">IF(AN4=$F$6,0,_xlfn.IFS(Leadsheet!$G$5="DPD360+",SUM(SAP_Speadsheet!AN19:AN32),Leadsheet!$G$5="DPD180+",SUM(SAP_Speadsheet!AN19:AN26)))</f>
        <v>0</v>
      </c>
      <c r="AO38" s="148" cm="1">
        <f t="array" ref="AO38">IF(AO4=$F$6,0,_xlfn.IFS(Leadsheet!$G$5="DPD360+",SUM(SAP_Speadsheet!AO19:AO32),Leadsheet!$G$5="DPD180+",SUM(SAP_Speadsheet!AO19:AO26)))</f>
        <v>0</v>
      </c>
      <c r="AP38" s="148" cm="1">
        <f t="array" ref="AP38">IF(AP4=$F$6,0,_xlfn.IFS(Leadsheet!$G$5="DPD360+",SUM(SAP_Speadsheet!AP19:AP32),Leadsheet!$G$5="DPD180+",SUM(SAP_Speadsheet!AP19:AP26)))</f>
        <v>0</v>
      </c>
      <c r="AQ38" s="148" cm="1">
        <f t="array" ref="AQ38">IF(AQ4=$F$6,0,_xlfn.IFS(Leadsheet!$G$5="DPD360+",SUM(SAP_Speadsheet!AQ19:AQ32),Leadsheet!$G$5="DPD180+",SUM(SAP_Speadsheet!AQ19:AQ26)))</f>
        <v>0</v>
      </c>
      <c r="AR38" s="148" cm="1">
        <f t="array" ref="AR38">IF(AR4=$F$6,0,_xlfn.IFS(Leadsheet!$G$5="DPD360+",SUM(SAP_Speadsheet!AR19:AR32),Leadsheet!$G$5="DPD180+",SUM(SAP_Speadsheet!AR19:AR26)))</f>
        <v>0</v>
      </c>
      <c r="AS38" s="148" cm="1">
        <f t="array" ref="AS38">IF(AS4=$F$6,0,_xlfn.IFS(Leadsheet!$G$5="DPD360+",SUM(SAP_Speadsheet!AS19:AS32),Leadsheet!$G$5="DPD180+",SUM(SAP_Speadsheet!AS19:AS26)))</f>
        <v>0</v>
      </c>
      <c r="AT38" s="148" cm="1">
        <f t="array" ref="AT38">IF(AT4=$F$6,0,_xlfn.IFS(Leadsheet!$G$5="DPD360+",SUM(SAP_Speadsheet!AT19:AT32),Leadsheet!$G$5="DPD180+",SUM(SAP_Speadsheet!AT19:AT26)))</f>
        <v>0</v>
      </c>
      <c r="AU38" s="148" cm="1">
        <f t="array" ref="AU38">IF(AU4=$F$6,0,_xlfn.IFS(Leadsheet!$G$5="DPD360+",SUM(SAP_Speadsheet!AU19:AU32),Leadsheet!$G$5="DPD180+",SUM(SAP_Speadsheet!AU19:AU26)))</f>
        <v>0</v>
      </c>
      <c r="AV38" s="148" cm="1">
        <f t="array" ref="AV38">IF(AV4=$F$6,0,_xlfn.IFS(Leadsheet!$G$5="DPD360+",SUM(SAP_Speadsheet!AV19:AV32),Leadsheet!$G$5="DPD180+",SUM(SAP_Speadsheet!AV19:AV26)))</f>
        <v>0</v>
      </c>
      <c r="AW38" s="148" cm="1">
        <f t="array" ref="AW38">IF(AW4=$F$6,0,_xlfn.IFS(Leadsheet!$G$5="DPD360+",SUM(SAP_Speadsheet!AW19:AW32),Leadsheet!$G$5="DPD180+",SUM(SAP_Speadsheet!AW19:AW26)))</f>
        <v>0</v>
      </c>
      <c r="AX38" s="148" cm="1">
        <f t="array" ref="AX38">IF(AX4=$F$6,0,_xlfn.IFS(Leadsheet!$G$5="DPD360+",SUM(SAP_Speadsheet!AX19:AX32),Leadsheet!$G$5="DPD180+",SUM(SAP_Speadsheet!AX19:AX26)))</f>
        <v>0</v>
      </c>
      <c r="AY38" s="148" cm="1">
        <f t="array" ref="AY38">IF(AY4=$F$6,0,_xlfn.IFS(Leadsheet!$G$5="DPD360+",SUM(SAP_Speadsheet!AY19:AY32),Leadsheet!$G$5="DPD180+",SUM(SAP_Speadsheet!AY19:AY26)))</f>
        <v>0</v>
      </c>
      <c r="AZ38" s="148" cm="1">
        <f t="array" ref="AZ38">IF(AZ4=$F$6,0,_xlfn.IFS(Leadsheet!$G$5="DPD360+",SUM(SAP_Speadsheet!AZ19:AZ32),Leadsheet!$G$5="DPD180+",SUM(SAP_Speadsheet!AZ19:AZ26)))</f>
        <v>0</v>
      </c>
      <c r="BA38" s="148" cm="1">
        <f t="array" ref="BA38">IF(BA4=$F$6,0,_xlfn.IFS(Leadsheet!$G$5="DPD360+",SUM(SAP_Speadsheet!BA19:BA32),Leadsheet!$G$5="DPD180+",SUM(SAP_Speadsheet!BA19:BA26)))</f>
        <v>0</v>
      </c>
      <c r="BB38" s="148" cm="1">
        <f t="array" ref="BB38">IF(BB4=$F$6,0,_xlfn.IFS(Leadsheet!$G$5="DPD360+",SUM(SAP_Speadsheet!BB19:BB32),Leadsheet!$G$5="DPD180+",SUM(SAP_Speadsheet!BB19:BB26)))</f>
        <v>0</v>
      </c>
      <c r="BC38" s="148" cm="1">
        <f t="array" ref="BC38">IF(BC4=$F$6,0,_xlfn.IFS(Leadsheet!$G$5="DPD360+",SUM(SAP_Speadsheet!BC19:BC32),Leadsheet!$G$5="DPD180+",SUM(SAP_Speadsheet!BC19:BC26)))</f>
        <v>0</v>
      </c>
      <c r="BD38" s="148" cm="1">
        <f t="array" ref="BD38">IF(BD4=$F$6,0,_xlfn.IFS(Leadsheet!$G$5="DPD360+",SUM(SAP_Speadsheet!BD19:BD32),Leadsheet!$G$5="DPD180+",SUM(SAP_Speadsheet!BD19:BD26)))</f>
        <v>0</v>
      </c>
      <c r="BE38" s="148" cm="1">
        <f t="array" ref="BE38">IF(BE4=$F$6,0,_xlfn.IFS(Leadsheet!$G$5="DPD360+",SUM(SAP_Speadsheet!BE19:BE32),Leadsheet!$G$5="DPD180+",SUM(SAP_Speadsheet!BE19:BE26)))</f>
        <v>0</v>
      </c>
      <c r="BF38" s="148" cm="1">
        <f t="array" ref="BF38">IF(BF4=$F$6,0,_xlfn.IFS(Leadsheet!$G$5="DPD360+",SUM(SAP_Speadsheet!BF19:BF32),Leadsheet!$G$5="DPD180+",SUM(SAP_Speadsheet!BF19:BF26)))</f>
        <v>0</v>
      </c>
      <c r="BG38" s="148" cm="1">
        <f t="array" ref="BG38">IF(BG4=$F$6,0,_xlfn.IFS(Leadsheet!$G$5="DPD360+",SUM(SAP_Speadsheet!BG19:BG32),Leadsheet!$G$5="DPD180+",SUM(SAP_Speadsheet!BG19:BG26)))</f>
        <v>0</v>
      </c>
      <c r="BH38" s="148" cm="1">
        <f t="array" ref="BH38">IF(BH4=$F$6,0,_xlfn.IFS(Leadsheet!$G$5="DPD360+",SUM(SAP_Speadsheet!BH19:BH32),Leadsheet!$G$5="DPD180+",SUM(SAP_Speadsheet!BH19:BH26)))</f>
        <v>0</v>
      </c>
      <c r="BI38" s="148" cm="1">
        <f t="array" ref="BI38">IF(BI4=$F$6,0,_xlfn.IFS(Leadsheet!$G$5="DPD360+",SUM(SAP_Speadsheet!BI19:BI32),Leadsheet!$G$5="DPD180+",SUM(SAP_Speadsheet!BI19:BI26)))</f>
        <v>0</v>
      </c>
      <c r="BJ38" s="148" cm="1">
        <f t="array" ref="BJ38">IF(BJ4=$F$6,0,_xlfn.IFS(Leadsheet!$G$5="DPD360+",SUM(SAP_Speadsheet!BJ19:BJ32),Leadsheet!$G$5="DPD180+",SUM(SAP_Speadsheet!BJ19:BJ26)))</f>
        <v>0</v>
      </c>
      <c r="BK38" s="148" cm="1">
        <f t="array" ref="BK38">IF(BK4=$F$6,0,_xlfn.IFS(Leadsheet!$G$5="DPD360+",SUM(SAP_Speadsheet!BK19:BK32),Leadsheet!$G$5="DPD180+",SUM(SAP_Speadsheet!BK19:BK26)))</f>
        <v>0</v>
      </c>
      <c r="BL38" s="148" cm="1">
        <f t="array" ref="BL38">IF(BL4=$F$6,0,_xlfn.IFS(Leadsheet!$G$5="DPD360+",SUM(SAP_Speadsheet!BL19:BL32),Leadsheet!$G$5="DPD180+",SUM(SAP_Speadsheet!BL19:BL26)))</f>
        <v>0</v>
      </c>
      <c r="BM38" s="148" cm="1">
        <f t="array" ref="BM38">IF(BM4=$F$6,0,_xlfn.IFS(Leadsheet!$G$5="DPD360+",SUM(SAP_Speadsheet!BM19:BM32),Leadsheet!$G$5="DPD180+",SUM(SAP_Speadsheet!BM19:BM26)))</f>
        <v>0</v>
      </c>
      <c r="BN38" s="239"/>
      <c r="BO38" s="239"/>
      <c r="BP38" s="239"/>
      <c r="BQ38" s="239"/>
      <c r="BR38" s="239"/>
      <c r="BS38" s="239"/>
      <c r="BT38" s="239"/>
      <c r="BU38" s="239"/>
      <c r="BV38" s="239"/>
      <c r="BW38" s="239"/>
      <c r="BX38" s="239"/>
      <c r="BY38" s="239"/>
      <c r="BZ38" s="239"/>
      <c r="CA38" s="239"/>
      <c r="CB38" s="239"/>
      <c r="CC38" s="239"/>
      <c r="CD38" s="239"/>
      <c r="CE38" s="239"/>
      <c r="CF38" s="239"/>
      <c r="CG38" s="239"/>
      <c r="CH38" s="239"/>
      <c r="CI38" s="239"/>
      <c r="CJ38" s="239"/>
      <c r="CK38" s="239"/>
      <c r="CL38" s="239"/>
      <c r="CM38" s="239"/>
      <c r="CN38" s="239"/>
      <c r="CO38" s="239"/>
      <c r="CP38" s="239"/>
      <c r="CQ38" s="239"/>
      <c r="CR38" s="239"/>
      <c r="CS38" s="239"/>
      <c r="CT38" s="239"/>
      <c r="CU38" s="239"/>
      <c r="CV38" s="239"/>
      <c r="CW38" s="239"/>
      <c r="CX38" s="239"/>
      <c r="CY38" s="239"/>
      <c r="CZ38" s="239"/>
      <c r="DA38" s="239"/>
      <c r="DB38" s="239"/>
      <c r="DC38" s="239"/>
      <c r="DD38" s="239"/>
      <c r="DE38" s="239"/>
      <c r="DF38" s="239"/>
      <c r="DG38" s="239"/>
      <c r="DH38" s="239"/>
      <c r="DI38" s="239"/>
      <c r="DJ38" s="239"/>
      <c r="DK38" s="239"/>
      <c r="DL38" s="239"/>
      <c r="DM38" s="239"/>
      <c r="DN38" s="239"/>
      <c r="DO38" s="239"/>
      <c r="DP38" s="239"/>
      <c r="DQ38" s="239"/>
      <c r="DR38" s="239"/>
      <c r="DS38" s="239"/>
      <c r="DT38" s="239"/>
      <c r="DU38" s="239"/>
      <c r="DV38" s="239"/>
      <c r="DW38" s="239"/>
      <c r="DX38" s="239"/>
      <c r="DY38" s="239"/>
      <c r="DZ38" s="239"/>
      <c r="EA38" s="239"/>
      <c r="EB38" s="239"/>
      <c r="EC38" s="239"/>
      <c r="ED38" s="239"/>
      <c r="EE38" s="239"/>
      <c r="EF38" s="239"/>
      <c r="EG38" s="239"/>
      <c r="EH38" s="239"/>
      <c r="EI38" s="239"/>
      <c r="EJ38" s="239"/>
      <c r="EK38" s="239"/>
      <c r="EL38" s="239"/>
      <c r="EM38" s="239"/>
      <c r="EN38" s="239"/>
      <c r="EO38" s="239"/>
      <c r="EP38" s="239"/>
      <c r="EQ38" s="239"/>
      <c r="ER38" s="239"/>
      <c r="ES38" s="239"/>
      <c r="ET38" s="239"/>
      <c r="EU38" s="239"/>
      <c r="EV38" s="239"/>
      <c r="EW38" s="239"/>
      <c r="EX38" s="239"/>
      <c r="EY38" s="239"/>
      <c r="EZ38" s="239"/>
      <c r="FA38" s="239"/>
      <c r="FB38" s="239"/>
      <c r="FC38" s="239"/>
      <c r="FD38" s="239"/>
      <c r="FE38" s="239"/>
      <c r="FF38" s="239"/>
      <c r="FG38" s="239"/>
      <c r="FH38" s="239"/>
      <c r="FI38" s="239"/>
      <c r="FJ38" s="239"/>
      <c r="FK38" s="239"/>
      <c r="FL38" s="239"/>
      <c r="FM38" s="239"/>
      <c r="FN38" s="239"/>
      <c r="FO38" s="239"/>
      <c r="FP38" s="239"/>
      <c r="FQ38" s="239"/>
      <c r="FR38" s="239"/>
      <c r="FS38" s="239"/>
      <c r="FT38" s="239"/>
      <c r="FU38" s="239"/>
      <c r="FV38" s="239"/>
      <c r="FW38" s="239"/>
      <c r="FX38" s="239"/>
      <c r="FY38" s="239"/>
      <c r="FZ38" s="239"/>
      <c r="GA38" s="239"/>
      <c r="GB38" s="239"/>
      <c r="GC38" s="239"/>
      <c r="GD38" s="239"/>
      <c r="GE38" s="239"/>
      <c r="GF38" s="239"/>
      <c r="GG38" s="239"/>
      <c r="GH38" s="239"/>
      <c r="GI38" s="239"/>
      <c r="GJ38" s="239"/>
      <c r="GK38" s="239"/>
      <c r="GL38" s="239"/>
      <c r="GM38" s="239"/>
      <c r="GN38" s="239"/>
      <c r="GO38" s="239"/>
      <c r="GP38" s="239"/>
      <c r="GQ38" s="239"/>
      <c r="GR38" s="239"/>
      <c r="GS38" s="239"/>
      <c r="GT38" s="239"/>
      <c r="GU38" s="239"/>
      <c r="GV38" s="239"/>
      <c r="GW38" s="239"/>
      <c r="GX38" s="239"/>
      <c r="GY38" s="239"/>
      <c r="GZ38" s="239"/>
      <c r="HA38" s="239"/>
      <c r="HB38" s="239"/>
      <c r="HC38" s="239"/>
      <c r="HD38" s="239"/>
      <c r="HE38" s="239"/>
      <c r="HF38" s="239"/>
      <c r="HG38" s="239"/>
      <c r="HH38" s="239"/>
      <c r="HI38" s="239"/>
      <c r="HJ38" s="239"/>
      <c r="HK38" s="239"/>
      <c r="HL38" s="239"/>
      <c r="HM38" s="239"/>
      <c r="HN38" s="239"/>
      <c r="HO38" s="239"/>
      <c r="HP38" s="239"/>
      <c r="HQ38" s="239"/>
      <c r="HR38" s="239"/>
      <c r="HS38" s="239"/>
      <c r="HT38" s="239"/>
      <c r="HU38" s="239"/>
      <c r="HV38" s="239"/>
      <c r="HW38" s="239"/>
      <c r="HX38" s="239"/>
      <c r="HY38" s="239"/>
      <c r="HZ38" s="239"/>
      <c r="IA38" s="239"/>
      <c r="IB38" s="239"/>
      <c r="IC38" s="239"/>
      <c r="ID38" s="239"/>
      <c r="IE38" s="239"/>
      <c r="IF38" s="239"/>
      <c r="IG38" s="239"/>
      <c r="IH38" s="239"/>
      <c r="II38" s="239"/>
      <c r="IJ38" s="239"/>
      <c r="IK38" s="239"/>
      <c r="IL38" s="239"/>
      <c r="IM38" s="239"/>
      <c r="IN38" s="239"/>
      <c r="IO38" s="239"/>
      <c r="IP38" s="239"/>
      <c r="IQ38" s="239"/>
      <c r="IR38" s="239"/>
      <c r="IS38" s="239"/>
      <c r="IT38" s="239"/>
      <c r="IU38" s="239"/>
      <c r="IV38" s="239"/>
      <c r="IW38" s="239"/>
      <c r="IX38" s="239"/>
      <c r="IY38" s="239"/>
      <c r="IZ38" s="239"/>
      <c r="JA38" s="239"/>
      <c r="JB38" s="239"/>
      <c r="JC38" s="239"/>
      <c r="JD38" s="239"/>
      <c r="JE38" s="239"/>
      <c r="JF38" s="239"/>
      <c r="JG38" s="239"/>
      <c r="JH38" s="239"/>
      <c r="JI38" s="239"/>
      <c r="JJ38" s="239"/>
      <c r="JK38" s="239"/>
      <c r="JL38" s="239"/>
      <c r="JM38" s="239"/>
      <c r="JN38" s="239"/>
      <c r="JO38" s="239"/>
      <c r="JP38" s="239"/>
      <c r="JQ38" s="239"/>
      <c r="JR38" s="239"/>
      <c r="JS38" s="239"/>
      <c r="JT38" s="239"/>
      <c r="JU38" s="239"/>
      <c r="JV38" s="239"/>
      <c r="JW38" s="239"/>
      <c r="JX38" s="239"/>
      <c r="JY38" s="239"/>
      <c r="JZ38" s="239"/>
      <c r="KA38" s="239"/>
      <c r="KB38" s="239"/>
      <c r="KC38" s="239"/>
      <c r="KD38" s="239"/>
      <c r="KE38" s="239"/>
      <c r="KF38" s="239"/>
      <c r="KG38" s="239"/>
      <c r="KH38" s="239"/>
      <c r="KI38" s="239"/>
      <c r="KJ38" s="239"/>
      <c r="KK38" s="239"/>
      <c r="KL38" s="239"/>
      <c r="KM38" s="239"/>
      <c r="KN38" s="239"/>
      <c r="KO38" s="239"/>
      <c r="KP38" s="239"/>
      <c r="KQ38" s="239"/>
      <c r="KR38" s="239"/>
      <c r="KS38" s="239"/>
      <c r="KT38" s="239"/>
      <c r="KU38" s="92"/>
    </row>
    <row r="39" spans="1:307" s="157" customFormat="1" x14ac:dyDescent="0.15">
      <c r="C39" s="246" t="s">
        <v>325</v>
      </c>
      <c r="D39" s="225"/>
      <c r="E39" s="148">
        <f>E37-E38</f>
        <v>0</v>
      </c>
      <c r="F39" s="148">
        <f t="shared" ref="F39:BM39" si="4">F37-F38</f>
        <v>0</v>
      </c>
      <c r="G39" s="148">
        <f t="shared" si="4"/>
        <v>0</v>
      </c>
      <c r="H39" s="148">
        <f t="shared" si="4"/>
        <v>0</v>
      </c>
      <c r="I39" s="148">
        <f t="shared" si="4"/>
        <v>0</v>
      </c>
      <c r="J39" s="148">
        <f t="shared" si="4"/>
        <v>0</v>
      </c>
      <c r="K39" s="148">
        <f t="shared" si="4"/>
        <v>0</v>
      </c>
      <c r="L39" s="148">
        <f t="shared" si="4"/>
        <v>0</v>
      </c>
      <c r="M39" s="148">
        <f t="shared" si="4"/>
        <v>0.1487553957390837</v>
      </c>
      <c r="N39" s="148">
        <f t="shared" si="4"/>
        <v>0.27872846545827068</v>
      </c>
      <c r="O39" s="148">
        <f t="shared" si="4"/>
        <v>0.40143075506606696</v>
      </c>
      <c r="P39" s="148">
        <f>P37-P38</f>
        <v>0.51708425960684123</v>
      </c>
      <c r="Q39" s="148">
        <f t="shared" si="4"/>
        <v>0.62587570082657418</v>
      </c>
      <c r="R39" s="148">
        <f t="shared" si="4"/>
        <v>0.72483339093007038</v>
      </c>
      <c r="S39" s="148">
        <f t="shared" si="4"/>
        <v>0.8107389870659788</v>
      </c>
      <c r="T39" s="148">
        <f t="shared" si="4"/>
        <v>1.3919340303639132</v>
      </c>
      <c r="U39" s="148">
        <f t="shared" si="4"/>
        <v>0</v>
      </c>
      <c r="V39" s="148">
        <f t="shared" si="4"/>
        <v>0</v>
      </c>
      <c r="W39" s="148">
        <f t="shared" si="4"/>
        <v>0</v>
      </c>
      <c r="X39" s="148">
        <f t="shared" si="4"/>
        <v>0</v>
      </c>
      <c r="Y39" s="148">
        <f t="shared" si="4"/>
        <v>0</v>
      </c>
      <c r="Z39" s="148">
        <f>Z37-Z38</f>
        <v>0</v>
      </c>
      <c r="AA39" s="148">
        <f t="shared" si="4"/>
        <v>0</v>
      </c>
      <c r="AB39" s="148">
        <f t="shared" si="4"/>
        <v>0</v>
      </c>
      <c r="AC39" s="148">
        <f t="shared" si="4"/>
        <v>0</v>
      </c>
      <c r="AD39" s="148">
        <f t="shared" si="4"/>
        <v>0</v>
      </c>
      <c r="AE39" s="148">
        <f t="shared" si="4"/>
        <v>0</v>
      </c>
      <c r="AF39" s="148">
        <f t="shared" si="4"/>
        <v>0</v>
      </c>
      <c r="AG39" s="148">
        <f t="shared" si="4"/>
        <v>0</v>
      </c>
      <c r="AH39" s="148">
        <f t="shared" si="4"/>
        <v>0</v>
      </c>
      <c r="AI39" s="148">
        <f t="shared" si="4"/>
        <v>0</v>
      </c>
      <c r="AJ39" s="148">
        <f t="shared" si="4"/>
        <v>0</v>
      </c>
      <c r="AK39" s="148">
        <f t="shared" si="4"/>
        <v>0</v>
      </c>
      <c r="AL39" s="148">
        <f t="shared" si="4"/>
        <v>0</v>
      </c>
      <c r="AM39" s="148">
        <f t="shared" si="4"/>
        <v>0</v>
      </c>
      <c r="AN39" s="148">
        <f t="shared" si="4"/>
        <v>0</v>
      </c>
      <c r="AO39" s="148">
        <f t="shared" si="4"/>
        <v>0</v>
      </c>
      <c r="AP39" s="148">
        <f t="shared" si="4"/>
        <v>0</v>
      </c>
      <c r="AQ39" s="148">
        <f t="shared" si="4"/>
        <v>0</v>
      </c>
      <c r="AR39" s="148">
        <f t="shared" si="4"/>
        <v>0</v>
      </c>
      <c r="AS39" s="148">
        <f t="shared" si="4"/>
        <v>0</v>
      </c>
      <c r="AT39" s="148">
        <f t="shared" si="4"/>
        <v>0</v>
      </c>
      <c r="AU39" s="148">
        <f t="shared" si="4"/>
        <v>0</v>
      </c>
      <c r="AV39" s="148">
        <f t="shared" si="4"/>
        <v>0</v>
      </c>
      <c r="AW39" s="148">
        <f t="shared" si="4"/>
        <v>0</v>
      </c>
      <c r="AX39" s="148">
        <f t="shared" si="4"/>
        <v>0</v>
      </c>
      <c r="AY39" s="148">
        <f t="shared" si="4"/>
        <v>0</v>
      </c>
      <c r="AZ39" s="148">
        <f t="shared" si="4"/>
        <v>0</v>
      </c>
      <c r="BA39" s="148">
        <f t="shared" si="4"/>
        <v>0</v>
      </c>
      <c r="BB39" s="148">
        <f t="shared" si="4"/>
        <v>0</v>
      </c>
      <c r="BC39" s="148">
        <f t="shared" si="4"/>
        <v>0</v>
      </c>
      <c r="BD39" s="148">
        <f t="shared" si="4"/>
        <v>0</v>
      </c>
      <c r="BE39" s="148">
        <f t="shared" si="4"/>
        <v>0</v>
      </c>
      <c r="BF39" s="148">
        <f t="shared" si="4"/>
        <v>0</v>
      </c>
      <c r="BG39" s="148">
        <f t="shared" si="4"/>
        <v>0</v>
      </c>
      <c r="BH39" s="148">
        <f t="shared" si="4"/>
        <v>0</v>
      </c>
      <c r="BI39" s="148">
        <f t="shared" si="4"/>
        <v>0</v>
      </c>
      <c r="BJ39" s="148">
        <f t="shared" si="4"/>
        <v>0</v>
      </c>
      <c r="BK39" s="148">
        <f t="shared" si="4"/>
        <v>0</v>
      </c>
      <c r="BL39" s="148">
        <f t="shared" si="4"/>
        <v>0</v>
      </c>
      <c r="BM39" s="148">
        <f t="shared" si="4"/>
        <v>0</v>
      </c>
      <c r="BN39" s="239"/>
      <c r="BO39" s="239"/>
      <c r="BP39" s="239"/>
      <c r="BQ39" s="239"/>
      <c r="BR39" s="239"/>
      <c r="BS39" s="239"/>
      <c r="BT39" s="239"/>
      <c r="BU39" s="239"/>
      <c r="BV39" s="239"/>
      <c r="BW39" s="239"/>
      <c r="BX39" s="239"/>
      <c r="BY39" s="239"/>
      <c r="BZ39" s="239"/>
      <c r="CA39" s="239"/>
      <c r="CB39" s="239"/>
      <c r="CC39" s="239"/>
      <c r="CD39" s="239"/>
      <c r="CE39" s="239"/>
      <c r="CF39" s="239"/>
      <c r="CG39" s="239"/>
      <c r="CH39" s="239"/>
      <c r="CI39" s="239"/>
      <c r="CJ39" s="239"/>
      <c r="CK39" s="239"/>
      <c r="CL39" s="239"/>
      <c r="CM39" s="239"/>
      <c r="CN39" s="239"/>
      <c r="CO39" s="239"/>
      <c r="CP39" s="239"/>
      <c r="CQ39" s="239"/>
      <c r="CR39" s="239"/>
      <c r="CS39" s="239"/>
      <c r="CT39" s="239"/>
      <c r="CU39" s="239"/>
      <c r="CV39" s="239"/>
      <c r="CW39" s="239"/>
      <c r="CX39" s="239"/>
      <c r="CY39" s="239"/>
      <c r="CZ39" s="239"/>
      <c r="DA39" s="239"/>
      <c r="DB39" s="239"/>
      <c r="DC39" s="239"/>
      <c r="DD39" s="239"/>
      <c r="DE39" s="239"/>
      <c r="DF39" s="239"/>
      <c r="DG39" s="239"/>
      <c r="DH39" s="239"/>
      <c r="DI39" s="239"/>
      <c r="DJ39" s="239"/>
      <c r="DK39" s="239"/>
      <c r="DL39" s="239"/>
      <c r="DM39" s="239"/>
      <c r="DN39" s="239"/>
      <c r="DO39" s="239"/>
      <c r="DP39" s="239"/>
      <c r="DQ39" s="239"/>
      <c r="DR39" s="239"/>
      <c r="DS39" s="239"/>
      <c r="DT39" s="239"/>
      <c r="DU39" s="239"/>
      <c r="DV39" s="239"/>
      <c r="DW39" s="239"/>
      <c r="DX39" s="239"/>
      <c r="DY39" s="239"/>
      <c r="DZ39" s="239"/>
      <c r="EA39" s="239"/>
      <c r="EB39" s="239"/>
      <c r="EC39" s="239"/>
      <c r="ED39" s="239"/>
      <c r="EE39" s="239"/>
      <c r="EF39" s="239"/>
      <c r="EG39" s="239"/>
      <c r="EH39" s="239"/>
      <c r="EI39" s="239"/>
      <c r="EJ39" s="239"/>
      <c r="EK39" s="239"/>
      <c r="EL39" s="239"/>
      <c r="EM39" s="239"/>
      <c r="EN39" s="239"/>
      <c r="EO39" s="239"/>
      <c r="EP39" s="239"/>
      <c r="EQ39" s="239"/>
      <c r="ER39" s="239"/>
      <c r="ES39" s="239"/>
      <c r="ET39" s="239"/>
      <c r="EU39" s="239"/>
      <c r="EV39" s="239"/>
      <c r="EW39" s="239"/>
      <c r="EX39" s="239"/>
      <c r="EY39" s="239"/>
      <c r="EZ39" s="239"/>
      <c r="FA39" s="239"/>
      <c r="FB39" s="239"/>
      <c r="FC39" s="239"/>
      <c r="FD39" s="239"/>
      <c r="FE39" s="239"/>
      <c r="FF39" s="239"/>
      <c r="FG39" s="239"/>
      <c r="FH39" s="239"/>
      <c r="FI39" s="239"/>
      <c r="FJ39" s="239"/>
      <c r="FK39" s="239"/>
      <c r="FL39" s="239"/>
      <c r="FM39" s="239"/>
      <c r="FN39" s="239"/>
      <c r="FO39" s="239"/>
      <c r="FP39" s="239"/>
      <c r="FQ39" s="239"/>
      <c r="FR39" s="239"/>
      <c r="FS39" s="239"/>
      <c r="FT39" s="239"/>
      <c r="FU39" s="239"/>
      <c r="FV39" s="239"/>
      <c r="FW39" s="239"/>
      <c r="FX39" s="239"/>
      <c r="FY39" s="239"/>
      <c r="FZ39" s="239"/>
      <c r="GA39" s="239"/>
      <c r="GB39" s="239"/>
      <c r="GC39" s="239"/>
      <c r="GD39" s="239"/>
      <c r="GE39" s="239"/>
      <c r="GF39" s="239"/>
      <c r="GG39" s="239"/>
      <c r="GH39" s="239"/>
      <c r="GI39" s="239"/>
      <c r="GJ39" s="239"/>
      <c r="GK39" s="239"/>
      <c r="GL39" s="239"/>
      <c r="GM39" s="239"/>
      <c r="GN39" s="239"/>
      <c r="GO39" s="239"/>
      <c r="GP39" s="239"/>
      <c r="GQ39" s="239"/>
      <c r="GR39" s="239"/>
      <c r="GS39" s="239"/>
      <c r="GT39" s="239"/>
      <c r="GU39" s="239"/>
      <c r="GV39" s="239"/>
      <c r="GW39" s="239"/>
      <c r="GX39" s="239"/>
      <c r="GY39" s="239"/>
      <c r="GZ39" s="239"/>
      <c r="HA39" s="239"/>
      <c r="HB39" s="239"/>
      <c r="HC39" s="239"/>
      <c r="HD39" s="239"/>
      <c r="HE39" s="239"/>
      <c r="HF39" s="239"/>
      <c r="HG39" s="239"/>
      <c r="HH39" s="239"/>
      <c r="HI39" s="239"/>
      <c r="HJ39" s="239"/>
      <c r="HK39" s="239"/>
      <c r="HL39" s="239"/>
      <c r="HM39" s="239"/>
      <c r="HN39" s="239"/>
      <c r="HO39" s="239"/>
      <c r="HP39" s="239"/>
      <c r="HQ39" s="239"/>
      <c r="HR39" s="239"/>
      <c r="HS39" s="239"/>
      <c r="HT39" s="239"/>
      <c r="HU39" s="239"/>
      <c r="HV39" s="239"/>
      <c r="HW39" s="239"/>
      <c r="HX39" s="239"/>
      <c r="HY39" s="239"/>
      <c r="HZ39" s="239"/>
      <c r="IA39" s="239"/>
      <c r="IB39" s="239"/>
      <c r="IC39" s="239"/>
      <c r="ID39" s="239"/>
      <c r="IE39" s="239"/>
      <c r="IF39" s="239"/>
      <c r="IG39" s="239"/>
      <c r="IH39" s="239"/>
      <c r="II39" s="239"/>
      <c r="IJ39" s="239"/>
      <c r="IK39" s="239"/>
      <c r="IL39" s="239"/>
      <c r="IM39" s="239"/>
      <c r="IN39" s="239"/>
      <c r="IO39" s="239"/>
      <c r="IP39" s="239"/>
      <c r="IQ39" s="239"/>
      <c r="IR39" s="239"/>
      <c r="IS39" s="239"/>
      <c r="IT39" s="239"/>
      <c r="IU39" s="239"/>
      <c r="IV39" s="239"/>
      <c r="IW39" s="239"/>
      <c r="IX39" s="239"/>
      <c r="IY39" s="239"/>
      <c r="IZ39" s="239"/>
      <c r="JA39" s="239"/>
      <c r="JB39" s="239"/>
      <c r="JC39" s="239"/>
      <c r="JD39" s="239"/>
      <c r="JE39" s="239"/>
      <c r="JF39" s="239"/>
      <c r="JG39" s="239"/>
      <c r="JH39" s="239"/>
      <c r="JI39" s="239"/>
      <c r="JJ39" s="239"/>
      <c r="JK39" s="239"/>
      <c r="JL39" s="239"/>
      <c r="JM39" s="239"/>
      <c r="JN39" s="239"/>
      <c r="JO39" s="239"/>
      <c r="JP39" s="239"/>
      <c r="JQ39" s="239"/>
      <c r="JR39" s="239"/>
      <c r="JS39" s="239"/>
      <c r="JT39" s="239"/>
      <c r="JU39" s="239"/>
      <c r="JV39" s="239"/>
      <c r="JW39" s="239"/>
      <c r="JX39" s="239"/>
      <c r="JY39" s="239"/>
      <c r="JZ39" s="239"/>
      <c r="KA39" s="239"/>
      <c r="KB39" s="239"/>
      <c r="KC39" s="239"/>
      <c r="KD39" s="239"/>
      <c r="KE39" s="239"/>
      <c r="KF39" s="239"/>
      <c r="KG39" s="239"/>
      <c r="KH39" s="239"/>
      <c r="KI39" s="239"/>
      <c r="KJ39" s="239"/>
      <c r="KK39" s="239"/>
      <c r="KL39" s="239"/>
      <c r="KM39" s="239"/>
      <c r="KN39" s="239"/>
      <c r="KO39" s="239"/>
      <c r="KP39" s="239"/>
      <c r="KQ39" s="239"/>
      <c r="KR39" s="239"/>
      <c r="KS39" s="239"/>
      <c r="KT39" s="239"/>
      <c r="KU39" s="92"/>
    </row>
    <row r="40" spans="1:307" s="157" customFormat="1" x14ac:dyDescent="0.15">
      <c r="C40" s="246" t="s">
        <v>326</v>
      </c>
      <c r="D40" s="225"/>
      <c r="E40" s="247">
        <f>IFERROR(E38/E37,"")</f>
        <v>1</v>
      </c>
      <c r="F40" s="247">
        <f t="shared" ref="F40:BM40" si="5">IFERROR(F38/F37,"")</f>
        <v>1</v>
      </c>
      <c r="G40" s="247">
        <f t="shared" si="5"/>
        <v>0.99999999999999989</v>
      </c>
      <c r="H40" s="247">
        <f t="shared" si="5"/>
        <v>1</v>
      </c>
      <c r="I40" s="247">
        <f t="shared" si="5"/>
        <v>1</v>
      </c>
      <c r="J40" s="247">
        <f t="shared" si="5"/>
        <v>1</v>
      </c>
      <c r="K40" s="247">
        <f t="shared" si="5"/>
        <v>1</v>
      </c>
      <c r="L40" s="247">
        <f t="shared" si="5"/>
        <v>1</v>
      </c>
      <c r="M40" s="247">
        <f t="shared" si="5"/>
        <v>0.97227046310183607</v>
      </c>
      <c r="N40" s="247">
        <f t="shared" si="5"/>
        <v>0.84292303439759431</v>
      </c>
      <c r="O40" s="247">
        <f t="shared" si="5"/>
        <v>0.73159375491950251</v>
      </c>
      <c r="P40" s="247">
        <f t="shared" si="5"/>
        <v>0.638171413996513</v>
      </c>
      <c r="Q40" s="247">
        <f t="shared" si="5"/>
        <v>0.55299560015442073</v>
      </c>
      <c r="R40" s="247">
        <f t="shared" si="5"/>
        <v>0.48024149062448512</v>
      </c>
      <c r="S40" s="247">
        <f t="shared" si="5"/>
        <v>0.41754496306551558</v>
      </c>
      <c r="T40" s="247">
        <f t="shared" si="5"/>
        <v>0</v>
      </c>
      <c r="U40" s="247" t="str">
        <f t="shared" si="5"/>
        <v/>
      </c>
      <c r="V40" s="247" t="str">
        <f t="shared" si="5"/>
        <v/>
      </c>
      <c r="W40" s="247" t="str">
        <f t="shared" si="5"/>
        <v/>
      </c>
      <c r="X40" s="247" t="str">
        <f t="shared" si="5"/>
        <v/>
      </c>
      <c r="Y40" s="247" t="str">
        <f t="shared" si="5"/>
        <v/>
      </c>
      <c r="Z40" s="247" t="str">
        <f t="shared" si="5"/>
        <v/>
      </c>
      <c r="AA40" s="247" t="str">
        <f t="shared" si="5"/>
        <v/>
      </c>
      <c r="AB40" s="247" t="str">
        <f t="shared" si="5"/>
        <v/>
      </c>
      <c r="AC40" s="247" t="str">
        <f t="shared" si="5"/>
        <v/>
      </c>
      <c r="AD40" s="247" t="str">
        <f t="shared" si="5"/>
        <v/>
      </c>
      <c r="AE40" s="247" t="str">
        <f t="shared" si="5"/>
        <v/>
      </c>
      <c r="AF40" s="247" t="str">
        <f t="shared" si="5"/>
        <v/>
      </c>
      <c r="AG40" s="247" t="str">
        <f t="shared" si="5"/>
        <v/>
      </c>
      <c r="AH40" s="247" t="str">
        <f t="shared" si="5"/>
        <v/>
      </c>
      <c r="AI40" s="247" t="str">
        <f t="shared" si="5"/>
        <v/>
      </c>
      <c r="AJ40" s="247" t="str">
        <f t="shared" si="5"/>
        <v/>
      </c>
      <c r="AK40" s="247" t="str">
        <f t="shared" si="5"/>
        <v/>
      </c>
      <c r="AL40" s="247" t="str">
        <f t="shared" si="5"/>
        <v/>
      </c>
      <c r="AM40" s="247" t="str">
        <f t="shared" si="5"/>
        <v/>
      </c>
      <c r="AN40" s="247" t="str">
        <f t="shared" si="5"/>
        <v/>
      </c>
      <c r="AO40" s="247" t="str">
        <f t="shared" si="5"/>
        <v/>
      </c>
      <c r="AP40" s="247" t="str">
        <f t="shared" si="5"/>
        <v/>
      </c>
      <c r="AQ40" s="247" t="str">
        <f t="shared" si="5"/>
        <v/>
      </c>
      <c r="AR40" s="247" t="str">
        <f t="shared" si="5"/>
        <v/>
      </c>
      <c r="AS40" s="247" t="str">
        <f t="shared" si="5"/>
        <v/>
      </c>
      <c r="AT40" s="247" t="str">
        <f t="shared" si="5"/>
        <v/>
      </c>
      <c r="AU40" s="247" t="str">
        <f t="shared" si="5"/>
        <v/>
      </c>
      <c r="AV40" s="247" t="str">
        <f t="shared" si="5"/>
        <v/>
      </c>
      <c r="AW40" s="247" t="str">
        <f t="shared" si="5"/>
        <v/>
      </c>
      <c r="AX40" s="247" t="str">
        <f t="shared" si="5"/>
        <v/>
      </c>
      <c r="AY40" s="247" t="str">
        <f t="shared" si="5"/>
        <v/>
      </c>
      <c r="AZ40" s="247" t="str">
        <f t="shared" si="5"/>
        <v/>
      </c>
      <c r="BA40" s="247" t="str">
        <f t="shared" si="5"/>
        <v/>
      </c>
      <c r="BB40" s="247" t="str">
        <f t="shared" si="5"/>
        <v/>
      </c>
      <c r="BC40" s="247" t="str">
        <f t="shared" si="5"/>
        <v/>
      </c>
      <c r="BD40" s="247" t="str">
        <f t="shared" si="5"/>
        <v/>
      </c>
      <c r="BE40" s="247" t="str">
        <f t="shared" si="5"/>
        <v/>
      </c>
      <c r="BF40" s="247" t="str">
        <f t="shared" si="5"/>
        <v/>
      </c>
      <c r="BG40" s="247" t="str">
        <f t="shared" si="5"/>
        <v/>
      </c>
      <c r="BH40" s="247" t="str">
        <f t="shared" si="5"/>
        <v/>
      </c>
      <c r="BI40" s="247" t="str">
        <f t="shared" si="5"/>
        <v/>
      </c>
      <c r="BJ40" s="247" t="str">
        <f t="shared" si="5"/>
        <v/>
      </c>
      <c r="BK40" s="247" t="str">
        <f t="shared" si="5"/>
        <v/>
      </c>
      <c r="BL40" s="247" t="str">
        <f t="shared" si="5"/>
        <v/>
      </c>
      <c r="BM40" s="247" t="str">
        <f t="shared" si="5"/>
        <v/>
      </c>
      <c r="BN40" s="239"/>
      <c r="BO40" s="239"/>
      <c r="BP40" s="239"/>
      <c r="BQ40" s="239"/>
      <c r="BR40" s="239"/>
      <c r="BS40" s="239"/>
      <c r="BT40" s="239"/>
      <c r="BU40" s="239"/>
      <c r="BV40" s="239"/>
      <c r="BW40" s="239"/>
      <c r="BX40" s="239"/>
      <c r="BY40" s="239"/>
      <c r="BZ40" s="239"/>
      <c r="CA40" s="239"/>
      <c r="CB40" s="239"/>
      <c r="CC40" s="239"/>
      <c r="CD40" s="239"/>
      <c r="CE40" s="239"/>
      <c r="CF40" s="239"/>
      <c r="CG40" s="239"/>
      <c r="CH40" s="239"/>
      <c r="CI40" s="239"/>
      <c r="CJ40" s="239"/>
      <c r="CK40" s="239"/>
      <c r="CL40" s="239"/>
      <c r="CM40" s="239"/>
      <c r="CN40" s="239"/>
      <c r="CO40" s="239"/>
      <c r="CP40" s="239"/>
      <c r="CQ40" s="239"/>
      <c r="CR40" s="239"/>
      <c r="CS40" s="239"/>
      <c r="CT40" s="239"/>
      <c r="CU40" s="239"/>
      <c r="CV40" s="239"/>
      <c r="CW40" s="239"/>
      <c r="CX40" s="239"/>
      <c r="CY40" s="239"/>
      <c r="CZ40" s="239"/>
      <c r="DA40" s="239"/>
      <c r="DB40" s="239"/>
      <c r="DC40" s="239"/>
      <c r="DD40" s="239"/>
      <c r="DE40" s="239"/>
      <c r="DF40" s="239"/>
      <c r="DG40" s="239"/>
      <c r="DH40" s="239"/>
      <c r="DI40" s="239"/>
      <c r="DJ40" s="239"/>
      <c r="DK40" s="239"/>
      <c r="DL40" s="239"/>
      <c r="DM40" s="239"/>
      <c r="DN40" s="239"/>
      <c r="DO40" s="239"/>
      <c r="DP40" s="239"/>
      <c r="DQ40" s="239"/>
      <c r="DR40" s="239"/>
      <c r="DS40" s="239"/>
      <c r="DT40" s="239"/>
      <c r="DU40" s="239"/>
      <c r="DV40" s="239"/>
      <c r="DW40" s="239"/>
      <c r="DX40" s="239"/>
      <c r="DY40" s="239"/>
      <c r="DZ40" s="239"/>
      <c r="EA40" s="239"/>
      <c r="EB40" s="239"/>
      <c r="EC40" s="239"/>
      <c r="ED40" s="239"/>
      <c r="EE40" s="239"/>
      <c r="EF40" s="239"/>
      <c r="EG40" s="239"/>
      <c r="EH40" s="239"/>
      <c r="EI40" s="239"/>
      <c r="EJ40" s="239"/>
      <c r="EK40" s="239"/>
      <c r="EL40" s="239"/>
      <c r="EM40" s="239"/>
      <c r="EN40" s="239"/>
      <c r="EO40" s="239"/>
      <c r="EP40" s="239"/>
      <c r="EQ40" s="239"/>
      <c r="ER40" s="239"/>
      <c r="ES40" s="239"/>
      <c r="ET40" s="239"/>
      <c r="EU40" s="239"/>
      <c r="EV40" s="239"/>
      <c r="EW40" s="239"/>
      <c r="EX40" s="239"/>
      <c r="EY40" s="239"/>
      <c r="EZ40" s="239"/>
      <c r="FA40" s="239"/>
      <c r="FB40" s="239"/>
      <c r="FC40" s="239"/>
      <c r="FD40" s="239"/>
      <c r="FE40" s="239"/>
      <c r="FF40" s="239"/>
      <c r="FG40" s="239"/>
      <c r="FH40" s="239"/>
      <c r="FI40" s="239"/>
      <c r="FJ40" s="239"/>
      <c r="FK40" s="239"/>
      <c r="FL40" s="239"/>
      <c r="FM40" s="239"/>
      <c r="FN40" s="239"/>
      <c r="FO40" s="239"/>
      <c r="FP40" s="239"/>
      <c r="FQ40" s="239"/>
      <c r="FR40" s="239"/>
      <c r="FS40" s="239"/>
      <c r="FT40" s="239"/>
      <c r="FU40" s="239"/>
      <c r="FV40" s="239"/>
      <c r="FW40" s="239"/>
      <c r="FX40" s="239"/>
      <c r="FY40" s="239"/>
      <c r="FZ40" s="239"/>
      <c r="GA40" s="239"/>
      <c r="GB40" s="239"/>
      <c r="GC40" s="239"/>
      <c r="GD40" s="239"/>
      <c r="GE40" s="239"/>
      <c r="GF40" s="239"/>
      <c r="GG40" s="239"/>
      <c r="GH40" s="239"/>
      <c r="GI40" s="239"/>
      <c r="GJ40" s="239"/>
      <c r="GK40" s="239"/>
      <c r="GL40" s="239"/>
      <c r="GM40" s="239"/>
      <c r="GN40" s="239"/>
      <c r="GO40" s="239"/>
      <c r="GP40" s="239"/>
      <c r="GQ40" s="239"/>
      <c r="GR40" s="239"/>
      <c r="GS40" s="239"/>
      <c r="GT40" s="239"/>
      <c r="GU40" s="239"/>
      <c r="GV40" s="239"/>
      <c r="GW40" s="239"/>
      <c r="GX40" s="239"/>
      <c r="GY40" s="239"/>
      <c r="GZ40" s="239"/>
      <c r="HA40" s="239"/>
      <c r="HB40" s="239"/>
      <c r="HC40" s="239"/>
      <c r="HD40" s="239"/>
      <c r="HE40" s="239"/>
      <c r="HF40" s="239"/>
      <c r="HG40" s="239"/>
      <c r="HH40" s="239"/>
      <c r="HI40" s="239"/>
      <c r="HJ40" s="239"/>
      <c r="HK40" s="239"/>
      <c r="HL40" s="239"/>
      <c r="HM40" s="239"/>
      <c r="HN40" s="239"/>
      <c r="HO40" s="239"/>
      <c r="HP40" s="239"/>
      <c r="HQ40" s="239"/>
      <c r="HR40" s="239"/>
      <c r="HS40" s="239"/>
      <c r="HT40" s="239"/>
      <c r="HU40" s="239"/>
      <c r="HV40" s="239"/>
      <c r="HW40" s="239"/>
      <c r="HX40" s="239"/>
      <c r="HY40" s="239"/>
      <c r="HZ40" s="239"/>
      <c r="IA40" s="239"/>
      <c r="IB40" s="239"/>
      <c r="IC40" s="239"/>
      <c r="ID40" s="239"/>
      <c r="IE40" s="239"/>
      <c r="IF40" s="239"/>
      <c r="IG40" s="239"/>
      <c r="IH40" s="239"/>
      <c r="II40" s="239"/>
      <c r="IJ40" s="239"/>
      <c r="IK40" s="239"/>
      <c r="IL40" s="239"/>
      <c r="IM40" s="239"/>
      <c r="IN40" s="239"/>
      <c r="IO40" s="239"/>
      <c r="IP40" s="239"/>
      <c r="IQ40" s="239"/>
      <c r="IR40" s="239"/>
      <c r="IS40" s="239"/>
      <c r="IT40" s="239"/>
      <c r="IU40" s="239"/>
      <c r="IV40" s="239"/>
      <c r="IW40" s="239"/>
      <c r="IX40" s="239"/>
      <c r="IY40" s="239"/>
      <c r="IZ40" s="239"/>
      <c r="JA40" s="239"/>
      <c r="JB40" s="239"/>
      <c r="JC40" s="239"/>
      <c r="JD40" s="239"/>
      <c r="JE40" s="239"/>
      <c r="JF40" s="239"/>
      <c r="JG40" s="239"/>
      <c r="JH40" s="239"/>
      <c r="JI40" s="239"/>
      <c r="JJ40" s="239"/>
      <c r="JK40" s="239"/>
      <c r="JL40" s="239"/>
      <c r="JM40" s="239"/>
      <c r="JN40" s="239"/>
      <c r="JO40" s="239"/>
      <c r="JP40" s="239"/>
      <c r="JQ40" s="239"/>
      <c r="JR40" s="239"/>
      <c r="JS40" s="239"/>
      <c r="JT40" s="239"/>
      <c r="JU40" s="239"/>
      <c r="JV40" s="239"/>
      <c r="JW40" s="239"/>
      <c r="JX40" s="239"/>
      <c r="JY40" s="239"/>
      <c r="JZ40" s="239"/>
      <c r="KA40" s="239"/>
      <c r="KB40" s="239"/>
      <c r="KC40" s="239"/>
      <c r="KD40" s="239"/>
      <c r="KE40" s="239"/>
      <c r="KF40" s="239"/>
      <c r="KG40" s="239"/>
      <c r="KH40" s="239"/>
      <c r="KI40" s="239"/>
      <c r="KJ40" s="239"/>
      <c r="KK40" s="239"/>
      <c r="KL40" s="239"/>
      <c r="KM40" s="239"/>
      <c r="KN40" s="239"/>
      <c r="KO40" s="239"/>
      <c r="KP40" s="239"/>
      <c r="KQ40" s="239"/>
      <c r="KR40" s="239"/>
      <c r="KS40" s="239"/>
      <c r="KT40" s="239"/>
      <c r="KU40" s="92"/>
    </row>
    <row r="41" spans="1:307" s="157" customFormat="1" x14ac:dyDescent="0.15">
      <c r="D41" s="225"/>
      <c r="E41" s="239"/>
      <c r="F41" s="239"/>
      <c r="G41" s="239"/>
      <c r="H41" s="239"/>
      <c r="I41" s="239"/>
      <c r="J41" s="239"/>
      <c r="K41" s="239"/>
      <c r="L41" s="239"/>
      <c r="M41" s="239"/>
      <c r="N41" s="239"/>
      <c r="O41" s="239"/>
      <c r="P41" s="239"/>
      <c r="Q41" s="239"/>
      <c r="R41" s="239"/>
      <c r="S41" s="239"/>
      <c r="T41" s="239"/>
      <c r="U41" s="239"/>
      <c r="V41" s="239"/>
      <c r="W41" s="239"/>
      <c r="X41" s="239"/>
      <c r="Y41" s="239"/>
      <c r="Z41" s="239"/>
      <c r="AA41" s="239"/>
      <c r="AB41" s="239"/>
      <c r="AC41" s="239"/>
      <c r="AD41" s="239"/>
      <c r="AE41" s="239"/>
      <c r="AF41" s="239"/>
      <c r="AG41" s="239"/>
      <c r="AH41" s="239"/>
      <c r="AI41" s="239"/>
      <c r="AJ41" s="239"/>
      <c r="AK41" s="239"/>
      <c r="AL41" s="239"/>
      <c r="AM41" s="239"/>
      <c r="AN41" s="239"/>
      <c r="AO41" s="239"/>
      <c r="AP41" s="239"/>
      <c r="AQ41" s="239"/>
      <c r="AR41" s="239"/>
      <c r="AS41" s="239"/>
      <c r="AT41" s="239"/>
      <c r="AU41" s="239"/>
      <c r="AV41" s="239"/>
      <c r="AW41" s="239"/>
      <c r="AX41" s="239"/>
      <c r="AY41" s="239"/>
      <c r="AZ41" s="239"/>
      <c r="BA41" s="239"/>
      <c r="BB41" s="239"/>
      <c r="BC41" s="239"/>
      <c r="BD41" s="239"/>
      <c r="BE41" s="239"/>
      <c r="BF41" s="239"/>
      <c r="BG41" s="239"/>
      <c r="BH41" s="239"/>
      <c r="BI41" s="239"/>
      <c r="BJ41" s="239"/>
      <c r="BK41" s="239"/>
      <c r="BL41" s="239"/>
      <c r="BM41" s="239"/>
      <c r="BN41" s="239"/>
      <c r="BO41" s="239"/>
      <c r="BP41" s="239"/>
      <c r="BQ41" s="239"/>
      <c r="BR41" s="239"/>
      <c r="BS41" s="239"/>
      <c r="BT41" s="239"/>
      <c r="BU41" s="239"/>
      <c r="BV41" s="239"/>
      <c r="BW41" s="239"/>
      <c r="BX41" s="239"/>
      <c r="BY41" s="239"/>
      <c r="BZ41" s="239"/>
      <c r="CA41" s="239"/>
      <c r="CB41" s="239"/>
      <c r="CC41" s="239"/>
      <c r="CD41" s="239"/>
      <c r="CE41" s="239"/>
      <c r="CF41" s="239"/>
      <c r="CG41" s="239"/>
      <c r="CH41" s="239"/>
      <c r="CI41" s="239"/>
      <c r="CJ41" s="239"/>
      <c r="CK41" s="239"/>
      <c r="CL41" s="239"/>
      <c r="CM41" s="239"/>
      <c r="CN41" s="239"/>
      <c r="CO41" s="239"/>
      <c r="CP41" s="239"/>
      <c r="CQ41" s="239"/>
      <c r="CR41" s="239"/>
      <c r="CS41" s="239"/>
      <c r="CT41" s="239"/>
      <c r="CU41" s="239"/>
      <c r="CV41" s="239"/>
      <c r="CW41" s="239"/>
      <c r="CX41" s="239"/>
      <c r="CY41" s="239"/>
      <c r="CZ41" s="239"/>
      <c r="DA41" s="239"/>
      <c r="DB41" s="239"/>
      <c r="DC41" s="239"/>
      <c r="DD41" s="239"/>
      <c r="DE41" s="239"/>
      <c r="DF41" s="239"/>
      <c r="DG41" s="239"/>
      <c r="DH41" s="239"/>
      <c r="DI41" s="239"/>
      <c r="DJ41" s="239"/>
      <c r="DK41" s="239"/>
      <c r="DL41" s="239"/>
      <c r="DM41" s="239"/>
      <c r="DN41" s="239"/>
      <c r="DO41" s="239"/>
      <c r="DP41" s="239"/>
      <c r="DQ41" s="239"/>
      <c r="DR41" s="239"/>
      <c r="DS41" s="239"/>
      <c r="DT41" s="239"/>
      <c r="DU41" s="239"/>
      <c r="DV41" s="239"/>
      <c r="DW41" s="239"/>
      <c r="DX41" s="239"/>
      <c r="DY41" s="239"/>
      <c r="DZ41" s="239"/>
      <c r="EA41" s="239"/>
      <c r="EB41" s="239"/>
      <c r="EC41" s="239"/>
      <c r="ED41" s="239"/>
      <c r="EE41" s="239"/>
      <c r="EF41" s="239"/>
      <c r="EG41" s="239"/>
      <c r="EH41" s="239"/>
      <c r="EI41" s="239"/>
      <c r="EJ41" s="239"/>
      <c r="EK41" s="239"/>
      <c r="EL41" s="239"/>
      <c r="EM41" s="239"/>
      <c r="EN41" s="239"/>
      <c r="EO41" s="239"/>
      <c r="EP41" s="239"/>
      <c r="EQ41" s="239"/>
      <c r="ER41" s="239"/>
      <c r="ES41" s="239"/>
      <c r="ET41" s="239"/>
      <c r="EU41" s="239"/>
      <c r="EV41" s="239"/>
      <c r="EW41" s="239"/>
      <c r="EX41" s="239"/>
      <c r="EY41" s="239"/>
      <c r="EZ41" s="239"/>
      <c r="FA41" s="239"/>
      <c r="FB41" s="239"/>
      <c r="FC41" s="239"/>
      <c r="FD41" s="239"/>
      <c r="FE41" s="239"/>
      <c r="FF41" s="239"/>
      <c r="FG41" s="239"/>
      <c r="FH41" s="239"/>
      <c r="FI41" s="239"/>
      <c r="FJ41" s="239"/>
      <c r="FK41" s="239"/>
      <c r="FL41" s="239"/>
      <c r="FM41" s="239"/>
      <c r="FN41" s="239"/>
      <c r="FO41" s="239"/>
      <c r="FP41" s="239"/>
      <c r="FQ41" s="239"/>
      <c r="FR41" s="239"/>
      <c r="FS41" s="239"/>
      <c r="FT41" s="239"/>
      <c r="FU41" s="239"/>
      <c r="FV41" s="239"/>
      <c r="FW41" s="239"/>
      <c r="FX41" s="239"/>
      <c r="FY41" s="239"/>
      <c r="FZ41" s="239"/>
      <c r="GA41" s="239"/>
      <c r="GB41" s="239"/>
      <c r="GC41" s="239"/>
      <c r="GD41" s="239"/>
      <c r="GE41" s="239"/>
      <c r="GF41" s="239"/>
      <c r="GG41" s="239"/>
      <c r="GH41" s="239"/>
      <c r="GI41" s="239"/>
      <c r="GJ41" s="239"/>
      <c r="GK41" s="239"/>
      <c r="GL41" s="239"/>
      <c r="GM41" s="239"/>
      <c r="GN41" s="239"/>
      <c r="GO41" s="239"/>
      <c r="GP41" s="239"/>
      <c r="GQ41" s="239"/>
      <c r="GR41" s="239"/>
      <c r="GS41" s="239"/>
      <c r="GT41" s="239"/>
      <c r="GU41" s="239"/>
      <c r="GV41" s="239"/>
      <c r="GW41" s="239"/>
      <c r="GX41" s="239"/>
      <c r="GY41" s="239"/>
      <c r="GZ41" s="239"/>
      <c r="HA41" s="239"/>
      <c r="HB41" s="239"/>
      <c r="HC41" s="239"/>
      <c r="HD41" s="239"/>
      <c r="HE41" s="239"/>
      <c r="HF41" s="239"/>
      <c r="HG41" s="239"/>
      <c r="HH41" s="239"/>
      <c r="HI41" s="239"/>
      <c r="HJ41" s="239"/>
      <c r="HK41" s="239"/>
      <c r="HL41" s="239"/>
      <c r="HM41" s="239"/>
      <c r="HN41" s="239"/>
      <c r="HO41" s="239"/>
      <c r="HP41" s="239"/>
      <c r="HQ41" s="239"/>
      <c r="HR41" s="239"/>
      <c r="HS41" s="239"/>
      <c r="HT41" s="239"/>
      <c r="HU41" s="239"/>
      <c r="HV41" s="239"/>
      <c r="HW41" s="239"/>
      <c r="HX41" s="239"/>
      <c r="HY41" s="239"/>
      <c r="HZ41" s="239"/>
      <c r="IA41" s="239"/>
      <c r="IB41" s="239"/>
      <c r="IC41" s="239"/>
      <c r="ID41" s="239"/>
      <c r="IE41" s="239"/>
      <c r="IF41" s="239"/>
      <c r="IG41" s="239"/>
      <c r="IH41" s="239"/>
      <c r="II41" s="239"/>
      <c r="IJ41" s="239"/>
      <c r="IK41" s="239"/>
      <c r="IL41" s="239"/>
      <c r="IM41" s="239"/>
      <c r="IN41" s="239"/>
      <c r="IO41" s="239"/>
      <c r="IP41" s="239"/>
      <c r="IQ41" s="239"/>
      <c r="IR41" s="239"/>
      <c r="IS41" s="239"/>
      <c r="IT41" s="239"/>
      <c r="IU41" s="239"/>
      <c r="IV41" s="239"/>
      <c r="IW41" s="239"/>
      <c r="IX41" s="239"/>
      <c r="IY41" s="239"/>
      <c r="IZ41" s="239"/>
      <c r="JA41" s="239"/>
      <c r="JB41" s="239"/>
      <c r="JC41" s="239"/>
      <c r="JD41" s="239"/>
      <c r="JE41" s="239"/>
      <c r="JF41" s="239"/>
      <c r="JG41" s="239"/>
      <c r="JH41" s="239"/>
      <c r="JI41" s="239"/>
      <c r="JJ41" s="239"/>
      <c r="JK41" s="239"/>
      <c r="JL41" s="239"/>
      <c r="JM41" s="239"/>
      <c r="JN41" s="239"/>
      <c r="JO41" s="239"/>
      <c r="JP41" s="239"/>
      <c r="JQ41" s="239"/>
      <c r="JR41" s="239"/>
      <c r="JS41" s="239"/>
      <c r="JT41" s="239"/>
      <c r="JU41" s="239"/>
      <c r="JV41" s="239"/>
      <c r="JW41" s="239"/>
      <c r="JX41" s="239"/>
      <c r="JY41" s="239"/>
      <c r="JZ41" s="239"/>
      <c r="KA41" s="239"/>
      <c r="KB41" s="239"/>
      <c r="KC41" s="239"/>
      <c r="KD41" s="239"/>
      <c r="KE41" s="239"/>
      <c r="KF41" s="239"/>
      <c r="KG41" s="239"/>
      <c r="KH41" s="239"/>
      <c r="KI41" s="239"/>
      <c r="KJ41" s="239"/>
      <c r="KK41" s="239"/>
      <c r="KL41" s="239"/>
      <c r="KM41" s="239"/>
      <c r="KN41" s="239"/>
      <c r="KO41" s="239"/>
      <c r="KP41" s="239"/>
      <c r="KQ41" s="239"/>
      <c r="KR41" s="239"/>
      <c r="KS41" s="239"/>
      <c r="KT41" s="239"/>
      <c r="KU41" s="92"/>
    </row>
    <row r="42" spans="1:307" x14ac:dyDescent="0.15">
      <c r="B42" s="157" t="s">
        <v>193</v>
      </c>
      <c r="M42" s="235"/>
    </row>
    <row r="43" spans="1:307" x14ac:dyDescent="0.15">
      <c r="C43" s="92" t="s">
        <v>324</v>
      </c>
      <c r="D43" s="162" t="s">
        <v>327</v>
      </c>
      <c r="E43" s="148"/>
      <c r="F43" s="239">
        <f t="shared" ref="F43:BM43" si="6">IF(F4&gt;$F$6,0,AVERAGE(E37:F37))</f>
        <v>7.5438430878352474</v>
      </c>
      <c r="G43" s="239">
        <f t="shared" si="6"/>
        <v>6.9990099759360351</v>
      </c>
      <c r="H43" s="239">
        <f t="shared" si="6"/>
        <v>6.7475485396748605</v>
      </c>
      <c r="I43" s="239">
        <f t="shared" si="6"/>
        <v>6.4960871034136858</v>
      </c>
      <c r="J43" s="239">
        <f t="shared" si="6"/>
        <v>6.2446256671525102</v>
      </c>
      <c r="K43" s="239">
        <f t="shared" si="6"/>
        <v>5.9931642308913347</v>
      </c>
      <c r="L43" s="239">
        <f t="shared" si="6"/>
        <v>5.74170279463016</v>
      </c>
      <c r="M43" s="239">
        <f t="shared" si="6"/>
        <v>5.4902413583689844</v>
      </c>
      <c r="N43" s="239">
        <f t="shared" si="6"/>
        <v>3.5694906457741071</v>
      </c>
      <c r="O43" s="239">
        <f t="shared" si="6"/>
        <v>1.6350397497764009</v>
      </c>
      <c r="P43" s="239">
        <f t="shared" si="6"/>
        <v>1.4623475525655478</v>
      </c>
      <c r="Q43" s="239">
        <f t="shared" si="6"/>
        <v>1.4146209140797084</v>
      </c>
      <c r="R43" s="239">
        <f t="shared" si="6"/>
        <v>1.3973567891107004</v>
      </c>
      <c r="S43" s="239">
        <f t="shared" si="6"/>
        <v>1.3932460186570041</v>
      </c>
      <c r="T43" s="239">
        <f t="shared" si="6"/>
        <v>1.3919340303639132</v>
      </c>
      <c r="U43" s="239">
        <f t="shared" si="6"/>
        <v>0</v>
      </c>
      <c r="V43" s="239">
        <f t="shared" si="6"/>
        <v>0</v>
      </c>
      <c r="W43" s="239">
        <f t="shared" si="6"/>
        <v>0</v>
      </c>
      <c r="X43" s="239">
        <f t="shared" si="6"/>
        <v>0</v>
      </c>
      <c r="Y43" s="239">
        <f t="shared" si="6"/>
        <v>0</v>
      </c>
      <c r="Z43" s="239">
        <f t="shared" si="6"/>
        <v>0</v>
      </c>
      <c r="AA43" s="239">
        <f t="shared" si="6"/>
        <v>0</v>
      </c>
      <c r="AB43" s="239">
        <f t="shared" si="6"/>
        <v>0</v>
      </c>
      <c r="AC43" s="239">
        <f t="shared" si="6"/>
        <v>0</v>
      </c>
      <c r="AD43" s="239">
        <f t="shared" si="6"/>
        <v>0</v>
      </c>
      <c r="AE43" s="239">
        <f t="shared" si="6"/>
        <v>0</v>
      </c>
      <c r="AF43" s="239">
        <f t="shared" si="6"/>
        <v>0</v>
      </c>
      <c r="AG43" s="239">
        <f t="shared" si="6"/>
        <v>0</v>
      </c>
      <c r="AH43" s="239">
        <f t="shared" si="6"/>
        <v>0</v>
      </c>
      <c r="AI43" s="239">
        <f t="shared" si="6"/>
        <v>0</v>
      </c>
      <c r="AJ43" s="239">
        <f t="shared" si="6"/>
        <v>0</v>
      </c>
      <c r="AK43" s="239">
        <f t="shared" si="6"/>
        <v>0</v>
      </c>
      <c r="AL43" s="239">
        <f t="shared" si="6"/>
        <v>0</v>
      </c>
      <c r="AM43" s="239">
        <f t="shared" si="6"/>
        <v>0</v>
      </c>
      <c r="AN43" s="239">
        <f t="shared" si="6"/>
        <v>0</v>
      </c>
      <c r="AO43" s="239">
        <f t="shared" si="6"/>
        <v>0</v>
      </c>
      <c r="AP43" s="239">
        <f t="shared" si="6"/>
        <v>0</v>
      </c>
      <c r="AQ43" s="239">
        <f t="shared" si="6"/>
        <v>0</v>
      </c>
      <c r="AR43" s="239">
        <f t="shared" si="6"/>
        <v>0</v>
      </c>
      <c r="AS43" s="239">
        <f t="shared" si="6"/>
        <v>0</v>
      </c>
      <c r="AT43" s="239">
        <f t="shared" si="6"/>
        <v>0</v>
      </c>
      <c r="AU43" s="239">
        <f t="shared" si="6"/>
        <v>0</v>
      </c>
      <c r="AV43" s="239">
        <f t="shared" si="6"/>
        <v>0</v>
      </c>
      <c r="AW43" s="239">
        <f t="shared" si="6"/>
        <v>0</v>
      </c>
      <c r="AX43" s="239">
        <f t="shared" si="6"/>
        <v>0</v>
      </c>
      <c r="AY43" s="239">
        <f t="shared" si="6"/>
        <v>0</v>
      </c>
      <c r="AZ43" s="239">
        <f t="shared" si="6"/>
        <v>0</v>
      </c>
      <c r="BA43" s="239">
        <f t="shared" si="6"/>
        <v>0</v>
      </c>
      <c r="BB43" s="239">
        <f t="shared" si="6"/>
        <v>0</v>
      </c>
      <c r="BC43" s="239">
        <f t="shared" si="6"/>
        <v>0</v>
      </c>
      <c r="BD43" s="239">
        <f t="shared" si="6"/>
        <v>0</v>
      </c>
      <c r="BE43" s="239">
        <f t="shared" si="6"/>
        <v>0</v>
      </c>
      <c r="BF43" s="239">
        <f t="shared" si="6"/>
        <v>0</v>
      </c>
      <c r="BG43" s="239">
        <f t="shared" si="6"/>
        <v>0</v>
      </c>
      <c r="BH43" s="239">
        <f t="shared" si="6"/>
        <v>0</v>
      </c>
      <c r="BI43" s="239">
        <f t="shared" si="6"/>
        <v>0</v>
      </c>
      <c r="BJ43" s="239">
        <f t="shared" si="6"/>
        <v>0</v>
      </c>
      <c r="BK43" s="239">
        <f t="shared" si="6"/>
        <v>0</v>
      </c>
      <c r="BL43" s="239">
        <f t="shared" si="6"/>
        <v>0</v>
      </c>
      <c r="BM43" s="239">
        <f t="shared" si="6"/>
        <v>0</v>
      </c>
      <c r="BN43" s="148"/>
      <c r="BO43" s="148"/>
      <c r="BP43" s="148"/>
      <c r="BQ43" s="148"/>
      <c r="BR43" s="148"/>
      <c r="BS43" s="148"/>
      <c r="BT43" s="148"/>
      <c r="BU43" s="148"/>
      <c r="BV43" s="148"/>
      <c r="BW43" s="148"/>
      <c r="BX43" s="148"/>
      <c r="BY43" s="148"/>
      <c r="BZ43" s="148"/>
      <c r="CA43" s="148"/>
      <c r="CB43" s="148"/>
      <c r="CC43" s="148"/>
      <c r="CD43" s="148"/>
      <c r="CE43" s="148"/>
      <c r="CF43" s="148"/>
      <c r="CG43" s="148"/>
      <c r="CH43" s="148"/>
      <c r="CI43" s="148"/>
      <c r="CJ43" s="148"/>
      <c r="CK43" s="148"/>
      <c r="CL43" s="148"/>
      <c r="CM43" s="148"/>
      <c r="CN43" s="148"/>
      <c r="CO43" s="148"/>
      <c r="CP43" s="148"/>
      <c r="CQ43" s="148"/>
      <c r="CR43" s="148"/>
      <c r="CS43" s="148"/>
      <c r="CT43" s="148"/>
      <c r="CU43" s="148"/>
      <c r="CV43" s="148"/>
      <c r="CW43" s="148"/>
      <c r="CX43" s="148"/>
      <c r="CY43" s="148"/>
      <c r="CZ43" s="148"/>
      <c r="DA43" s="148"/>
      <c r="DB43" s="148"/>
      <c r="DC43" s="148"/>
      <c r="DD43" s="148"/>
      <c r="DE43" s="148"/>
      <c r="DF43" s="148"/>
      <c r="DG43" s="148"/>
      <c r="DH43" s="148"/>
      <c r="DI43" s="148"/>
      <c r="DJ43" s="222"/>
      <c r="DK43" s="222"/>
      <c r="DL43" s="222"/>
      <c r="DM43" s="222"/>
      <c r="DN43" s="222"/>
      <c r="DO43" s="222"/>
      <c r="DP43" s="222"/>
      <c r="DQ43" s="222"/>
      <c r="DR43" s="222"/>
      <c r="DS43" s="222"/>
      <c r="DT43" s="222"/>
      <c r="DU43" s="222"/>
      <c r="DV43" s="222"/>
      <c r="DW43" s="222"/>
      <c r="DX43" s="222"/>
      <c r="DY43" s="222"/>
      <c r="DZ43" s="222"/>
      <c r="EA43" s="222"/>
      <c r="EB43" s="222"/>
      <c r="EC43" s="222"/>
      <c r="ED43" s="222"/>
      <c r="EE43" s="222"/>
      <c r="EF43" s="222"/>
      <c r="EG43" s="222"/>
      <c r="EH43" s="222"/>
      <c r="EI43" s="222"/>
      <c r="EJ43" s="222"/>
      <c r="EK43" s="222"/>
      <c r="EL43" s="222"/>
      <c r="EM43" s="222"/>
      <c r="EN43" s="222"/>
      <c r="EO43" s="222"/>
      <c r="EP43" s="222"/>
      <c r="EQ43" s="222"/>
      <c r="ER43" s="222"/>
      <c r="ES43" s="222"/>
      <c r="ET43" s="222"/>
      <c r="EU43" s="222"/>
      <c r="EV43" s="222"/>
      <c r="EW43" s="222"/>
      <c r="EX43" s="222"/>
      <c r="EY43" s="222"/>
      <c r="EZ43" s="222"/>
      <c r="FA43" s="222"/>
      <c r="FB43" s="222"/>
      <c r="FC43" s="222"/>
      <c r="FD43" s="222"/>
      <c r="FE43" s="222"/>
      <c r="FF43" s="222"/>
      <c r="FG43" s="222"/>
      <c r="FH43" s="222"/>
      <c r="FI43" s="222"/>
      <c r="FJ43" s="222"/>
      <c r="FK43" s="222"/>
      <c r="FL43" s="222"/>
      <c r="FM43" s="222"/>
      <c r="FN43" s="222"/>
      <c r="FO43" s="222"/>
      <c r="FP43" s="222"/>
      <c r="FQ43" s="222"/>
      <c r="FR43" s="222"/>
      <c r="FS43" s="222"/>
      <c r="FT43" s="222"/>
      <c r="FU43" s="222"/>
      <c r="FV43" s="222"/>
      <c r="FW43" s="222"/>
      <c r="FX43" s="222"/>
      <c r="FY43" s="222"/>
      <c r="FZ43" s="222"/>
      <c r="GA43" s="222"/>
      <c r="GB43" s="222"/>
      <c r="GC43" s="222"/>
      <c r="GD43" s="222"/>
      <c r="GE43" s="222"/>
      <c r="GF43" s="222"/>
      <c r="GG43" s="222"/>
      <c r="GH43" s="222"/>
      <c r="GI43" s="222"/>
      <c r="GJ43" s="222"/>
      <c r="GK43" s="222"/>
      <c r="GL43" s="222"/>
      <c r="GM43" s="222"/>
      <c r="GN43" s="222"/>
      <c r="GO43" s="222"/>
      <c r="GP43" s="222"/>
      <c r="GQ43" s="222"/>
      <c r="GR43" s="222"/>
      <c r="GS43" s="222"/>
      <c r="GT43" s="222"/>
      <c r="GU43" s="222"/>
      <c r="GV43" s="222"/>
      <c r="GW43" s="222"/>
      <c r="GX43" s="222"/>
      <c r="GY43" s="222"/>
      <c r="GZ43" s="222"/>
      <c r="HA43" s="222"/>
      <c r="HB43" s="222"/>
      <c r="HC43" s="222"/>
      <c r="HD43" s="222"/>
      <c r="HE43" s="222"/>
      <c r="HF43" s="222"/>
      <c r="HG43" s="222"/>
      <c r="HH43" s="222"/>
      <c r="HI43" s="222"/>
      <c r="HJ43" s="222"/>
      <c r="HK43" s="222"/>
      <c r="HL43" s="222"/>
      <c r="HM43" s="222"/>
      <c r="HN43" s="222"/>
      <c r="HO43" s="222"/>
      <c r="HP43" s="222"/>
      <c r="HQ43" s="222"/>
      <c r="HR43" s="222"/>
      <c r="HS43" s="222"/>
      <c r="HT43" s="222"/>
      <c r="HU43" s="222"/>
      <c r="HV43" s="222"/>
      <c r="HW43" s="222"/>
      <c r="HX43" s="222"/>
      <c r="HY43" s="222"/>
      <c r="HZ43" s="222"/>
      <c r="IA43" s="222"/>
      <c r="IB43" s="222"/>
      <c r="IC43" s="222"/>
      <c r="ID43" s="222"/>
      <c r="IE43" s="222"/>
      <c r="IF43" s="222"/>
      <c r="IG43" s="222"/>
      <c r="IH43" s="222"/>
      <c r="II43" s="222"/>
      <c r="IJ43" s="222"/>
      <c r="IK43" s="222"/>
      <c r="IL43" s="222"/>
      <c r="IM43" s="222"/>
      <c r="IN43" s="222"/>
      <c r="IO43" s="222"/>
      <c r="IP43" s="222"/>
      <c r="IQ43" s="222"/>
      <c r="IR43" s="222"/>
      <c r="IS43" s="222"/>
      <c r="IT43" s="222"/>
      <c r="IU43" s="222"/>
      <c r="IV43" s="222"/>
      <c r="IW43" s="222"/>
      <c r="IX43" s="222"/>
      <c r="IY43" s="222"/>
      <c r="IZ43" s="222"/>
      <c r="JA43" s="222"/>
      <c r="JB43" s="222"/>
      <c r="JC43" s="222"/>
      <c r="JD43" s="222"/>
      <c r="JE43" s="222"/>
      <c r="JF43" s="222"/>
      <c r="JG43" s="222"/>
      <c r="JH43" s="222"/>
      <c r="JI43" s="222"/>
      <c r="JJ43" s="222"/>
      <c r="JK43" s="222"/>
      <c r="JL43" s="222"/>
      <c r="JM43" s="222"/>
      <c r="JN43" s="222"/>
      <c r="JO43" s="222"/>
      <c r="JP43" s="222"/>
      <c r="JQ43" s="222"/>
      <c r="JR43" s="222"/>
      <c r="JS43" s="222"/>
      <c r="JT43" s="222"/>
      <c r="JU43" s="222"/>
      <c r="JV43" s="222"/>
      <c r="JW43" s="222"/>
      <c r="JX43" s="222"/>
      <c r="JY43" s="222"/>
      <c r="JZ43" s="222"/>
      <c r="KA43" s="222"/>
      <c r="KB43" s="222"/>
      <c r="KC43" s="222"/>
      <c r="KD43" s="222"/>
      <c r="KE43" s="222"/>
      <c r="KF43" s="222"/>
      <c r="KG43" s="222"/>
      <c r="KH43" s="222"/>
      <c r="KI43" s="222"/>
      <c r="KJ43" s="222"/>
      <c r="KK43" s="222"/>
      <c r="KL43" s="222"/>
      <c r="KM43" s="222"/>
      <c r="KN43" s="222"/>
      <c r="KO43" s="222"/>
      <c r="KP43" s="222"/>
      <c r="KQ43" s="222"/>
      <c r="KR43" s="222"/>
      <c r="KS43" s="222"/>
      <c r="KT43" s="222"/>
    </row>
    <row r="44" spans="1:307" x14ac:dyDescent="0.15">
      <c r="C44" s="92" t="s">
        <v>328</v>
      </c>
      <c r="D44" s="162" t="s">
        <v>329</v>
      </c>
      <c r="E44" s="148"/>
      <c r="F44" s="148">
        <f>E19*(1-Leadsheet!$D$87)+E20*Leadsheet!$E$111</f>
        <v>7.795723626490191</v>
      </c>
      <c r="G44" s="148">
        <f>F19*(1-Leadsheet!$D$87)+F20*Leadsheet!$E$111</f>
        <v>6.8197720360906136</v>
      </c>
      <c r="H44" s="148">
        <f>G19*(1-Leadsheet!$D$87)+G20*Leadsheet!$E$111</f>
        <v>6.4376814720139217</v>
      </c>
      <c r="I44" s="148">
        <f>H19*(1-Leadsheet!$D$87)+H20*Leadsheet!$E$111</f>
        <v>6.0678718817222128</v>
      </c>
      <c r="J44" s="148">
        <f>I19*(1-Leadsheet!$D$87)+I20*Leadsheet!$E$111</f>
        <v>5.7078601696226583</v>
      </c>
      <c r="K44" s="148">
        <f>J19*(1-Leadsheet!$D$87)+J20*Leadsheet!$E$111</f>
        <v>5.3558924173291826</v>
      </c>
      <c r="L44" s="148">
        <f>K19*(1-Leadsheet!$D$87)+K20*Leadsheet!$E$111</f>
        <v>5.0111154966846589</v>
      </c>
      <c r="M44" s="148">
        <f>L19*(1-Leadsheet!$D$87)+L20*Leadsheet!$E$111</f>
        <v>4.6726866527648854</v>
      </c>
      <c r="N44" s="148">
        <f>M19*(1-Leadsheet!$D$87)+M20*Leadsheet!$E$111</f>
        <v>4.3405468099213156</v>
      </c>
      <c r="O44" s="148">
        <f>N19*(1-Leadsheet!$D$87)+N20*Leadsheet!$E$111</f>
        <v>4.4285403511842278E-2</v>
      </c>
      <c r="P44" s="148">
        <f>O19*(1-Leadsheet!$D$87)+O20*Leadsheet!$E$111</f>
        <v>0</v>
      </c>
      <c r="Q44" s="148">
        <f>P19*(1-Leadsheet!$D$87)+P20*Leadsheet!$E$111</f>
        <v>0</v>
      </c>
      <c r="R44" s="148">
        <f>Q19*(1-Leadsheet!$D$87)+Q20*Leadsheet!$E$111</f>
        <v>0</v>
      </c>
      <c r="S44" s="148">
        <f>R19*(1-Leadsheet!$D$87)+R20*Leadsheet!$E$111</f>
        <v>0</v>
      </c>
      <c r="T44" s="148">
        <f>S19*(1-Leadsheet!$D$87)+S20*Leadsheet!$E$111</f>
        <v>0</v>
      </c>
      <c r="U44" s="148">
        <f>T19*(1-Leadsheet!$D$87)+T20*Leadsheet!$E$111</f>
        <v>0</v>
      </c>
      <c r="V44" s="148">
        <f>U19*(1-Leadsheet!$D$87)+U20*Leadsheet!$E$111</f>
        <v>0</v>
      </c>
      <c r="W44" s="148">
        <f>V19*(1-Leadsheet!$D$87)+V20*Leadsheet!$E$111</f>
        <v>0</v>
      </c>
      <c r="X44" s="148">
        <f>W19*(1-Leadsheet!$D$87)+W20*Leadsheet!$E$111</f>
        <v>0</v>
      </c>
      <c r="Y44" s="148">
        <f>X19*(1-Leadsheet!$D$87)+X20*Leadsheet!$E$111</f>
        <v>0</v>
      </c>
      <c r="Z44" s="148">
        <f>Y19*(1-Leadsheet!$D$87)+Y20*Leadsheet!$E$111</f>
        <v>0</v>
      </c>
      <c r="AA44" s="148">
        <f>Z19*(1-Leadsheet!$D$87)+Z20*Leadsheet!$E$111</f>
        <v>0</v>
      </c>
      <c r="AB44" s="148">
        <f>AA19*(1-Leadsheet!$D$87)+AA20*Leadsheet!$E$111</f>
        <v>0</v>
      </c>
      <c r="AC44" s="148">
        <f>AB19*(1-Leadsheet!$D$87)+AB20*Leadsheet!$E$111</f>
        <v>0</v>
      </c>
      <c r="AD44" s="148">
        <f>AC19*(1-Leadsheet!$D$87)+AC20*Leadsheet!$E$111</f>
        <v>0</v>
      </c>
      <c r="AE44" s="148">
        <f>AD19*(1-Leadsheet!$D$87)+AD20*Leadsheet!$E$111</f>
        <v>0</v>
      </c>
      <c r="AF44" s="148">
        <f>AE19*(1-Leadsheet!$D$87)+AE20*Leadsheet!$E$111</f>
        <v>0</v>
      </c>
      <c r="AG44" s="148">
        <f>AF19*(1-Leadsheet!$D$87)+AF20*Leadsheet!$E$111</f>
        <v>0</v>
      </c>
      <c r="AH44" s="148">
        <f>AG19*(1-Leadsheet!$D$87)+AG20*Leadsheet!$E$111</f>
        <v>0</v>
      </c>
      <c r="AI44" s="148">
        <f>AH19*(1-Leadsheet!$D$87)+AH20*Leadsheet!$E$111</f>
        <v>0</v>
      </c>
      <c r="AJ44" s="148">
        <f>AI19*(1-Leadsheet!$D$87)+AI20*Leadsheet!$E$111</f>
        <v>0</v>
      </c>
      <c r="AK44" s="148">
        <f>AJ19*(1-Leadsheet!$D$87)+AJ20*Leadsheet!$E$111</f>
        <v>0</v>
      </c>
      <c r="AL44" s="148">
        <f>AK19*(1-Leadsheet!$D$87)+AK20*Leadsheet!$E$111</f>
        <v>0</v>
      </c>
      <c r="AM44" s="148">
        <f>AL19*(1-Leadsheet!$D$87)+AL20*Leadsheet!$E$111</f>
        <v>0</v>
      </c>
      <c r="AN44" s="148">
        <f>AM19*(1-Leadsheet!$D$87)+AM20*Leadsheet!$E$111</f>
        <v>0</v>
      </c>
      <c r="AO44" s="148">
        <f>AN19*(1-Leadsheet!$D$87)+AN20*Leadsheet!$E$111</f>
        <v>0</v>
      </c>
      <c r="AP44" s="148">
        <f>AO19*(1-Leadsheet!$D$87)+AO20*Leadsheet!$E$111</f>
        <v>0</v>
      </c>
      <c r="AQ44" s="148">
        <f>AP19*(1-Leadsheet!$D$87)+AP20*Leadsheet!$E$111</f>
        <v>0</v>
      </c>
      <c r="AR44" s="148">
        <f>AQ19*(1-Leadsheet!$D$87)+AQ20*Leadsheet!$E$111</f>
        <v>0</v>
      </c>
      <c r="AS44" s="148">
        <f>AR19*(1-Leadsheet!$D$87)+AR20*Leadsheet!$E$111</f>
        <v>0</v>
      </c>
      <c r="AT44" s="148">
        <f>AS19*(1-Leadsheet!$D$87)+AS20*Leadsheet!$E$111</f>
        <v>0</v>
      </c>
      <c r="AU44" s="148">
        <f>AT19*(1-Leadsheet!$D$87)+AT20*Leadsheet!$E$111</f>
        <v>0</v>
      </c>
      <c r="AV44" s="148">
        <f>AU19*(1-Leadsheet!$D$87)+AU20*Leadsheet!$E$111</f>
        <v>0</v>
      </c>
      <c r="AW44" s="148">
        <f>AV19*(1-Leadsheet!$D$87)+AV20*Leadsheet!$E$111</f>
        <v>0</v>
      </c>
      <c r="AX44" s="148">
        <f>AW19*(1-Leadsheet!$D$87)+AW20*Leadsheet!$E$111</f>
        <v>0</v>
      </c>
      <c r="AY44" s="148">
        <f>AX19*(1-Leadsheet!$D$87)+AX20*Leadsheet!$E$111</f>
        <v>0</v>
      </c>
      <c r="AZ44" s="148">
        <f>AY19*(1-Leadsheet!$D$87)+AY20*Leadsheet!$E$111</f>
        <v>0</v>
      </c>
      <c r="BA44" s="148">
        <f>AZ19*(1-Leadsheet!$D$87)+AZ20*Leadsheet!$E$111</f>
        <v>0</v>
      </c>
      <c r="BB44" s="148">
        <f>BA19*(1-Leadsheet!$D$87)+BA20*Leadsheet!$E$111</f>
        <v>0</v>
      </c>
      <c r="BC44" s="148">
        <f>BB19*(1-Leadsheet!$D$87)+BB20*Leadsheet!$E$111</f>
        <v>0</v>
      </c>
      <c r="BD44" s="148">
        <f>BC19*(1-Leadsheet!$D$87)+BC20*Leadsheet!$E$111</f>
        <v>0</v>
      </c>
      <c r="BE44" s="148">
        <f>BD19*(1-Leadsheet!$D$87)+BD20*Leadsheet!$E$111</f>
        <v>0</v>
      </c>
      <c r="BF44" s="148">
        <f>BE19*(1-Leadsheet!$D$87)+BE20*Leadsheet!$E$111</f>
        <v>0</v>
      </c>
      <c r="BG44" s="148">
        <f>BF19*(1-Leadsheet!$D$87)+BF20*Leadsheet!$E$111</f>
        <v>0</v>
      </c>
      <c r="BH44" s="148">
        <f>BG19*(1-Leadsheet!$D$87)+BG20*Leadsheet!$E$111</f>
        <v>0</v>
      </c>
      <c r="BI44" s="148">
        <f>BH19*(1-Leadsheet!$D$87)+BH20*Leadsheet!$E$111</f>
        <v>0</v>
      </c>
      <c r="BJ44" s="148">
        <f>BI19*(1-Leadsheet!$D$87)+BI20*Leadsheet!$E$111</f>
        <v>0</v>
      </c>
      <c r="BK44" s="148">
        <f>BJ19*(1-Leadsheet!$D$87)+BJ20*Leadsheet!$E$111</f>
        <v>0</v>
      </c>
      <c r="BL44" s="148">
        <f>BK19*(1-Leadsheet!$D$87)+BK20*Leadsheet!$E$111</f>
        <v>0</v>
      </c>
      <c r="BM44" s="148">
        <f>BL19*(1-Leadsheet!$D$87)+BL20*Leadsheet!$E$111</f>
        <v>0</v>
      </c>
      <c r="BN44" s="222"/>
      <c r="BO44" s="222"/>
      <c r="BP44" s="222"/>
      <c r="BQ44" s="222"/>
      <c r="BR44" s="222"/>
      <c r="BS44" s="222"/>
      <c r="BT44" s="222"/>
      <c r="BU44" s="222"/>
      <c r="BV44" s="222"/>
      <c r="BW44" s="222"/>
      <c r="BX44" s="222"/>
      <c r="BY44" s="222"/>
      <c r="BZ44" s="222"/>
      <c r="CA44" s="222"/>
      <c r="CB44" s="222"/>
      <c r="CC44" s="222"/>
      <c r="CD44" s="222"/>
      <c r="CE44" s="222"/>
      <c r="CF44" s="222"/>
      <c r="CG44" s="222"/>
      <c r="CH44" s="222"/>
      <c r="CI44" s="222"/>
      <c r="CJ44" s="222"/>
      <c r="CK44" s="222"/>
      <c r="CL44" s="222"/>
      <c r="CM44" s="222"/>
      <c r="CN44" s="222"/>
      <c r="CO44" s="222"/>
      <c r="CP44" s="222"/>
      <c r="CQ44" s="222"/>
      <c r="CR44" s="222"/>
      <c r="CS44" s="222"/>
      <c r="CT44" s="222"/>
      <c r="CU44" s="222"/>
      <c r="CV44" s="222"/>
      <c r="CW44" s="222"/>
      <c r="CX44" s="222"/>
      <c r="CY44" s="222"/>
      <c r="CZ44" s="222"/>
      <c r="DA44" s="222"/>
      <c r="DB44" s="222"/>
      <c r="DC44" s="222"/>
      <c r="DD44" s="222"/>
      <c r="DE44" s="222"/>
      <c r="DF44" s="222"/>
      <c r="DG44" s="222"/>
      <c r="DH44" s="222"/>
      <c r="DI44" s="222"/>
      <c r="DJ44" s="222"/>
      <c r="DK44" s="222"/>
      <c r="DL44" s="222"/>
      <c r="DM44" s="222"/>
      <c r="DN44" s="222"/>
      <c r="DO44" s="222"/>
      <c r="DP44" s="222"/>
      <c r="DQ44" s="222"/>
      <c r="DR44" s="222"/>
      <c r="DS44" s="222"/>
      <c r="DT44" s="222"/>
      <c r="DU44" s="222"/>
      <c r="DV44" s="222"/>
      <c r="DW44" s="222"/>
      <c r="DX44" s="222"/>
      <c r="DY44" s="222"/>
      <c r="DZ44" s="222"/>
      <c r="EA44" s="222"/>
      <c r="EB44" s="222"/>
      <c r="EC44" s="222"/>
      <c r="ED44" s="222"/>
      <c r="EE44" s="222"/>
      <c r="EF44" s="222"/>
      <c r="EG44" s="222"/>
      <c r="EH44" s="222"/>
      <c r="EI44" s="222"/>
      <c r="EJ44" s="222"/>
      <c r="EK44" s="222"/>
      <c r="EL44" s="222"/>
      <c r="EM44" s="222"/>
      <c r="EN44" s="222"/>
      <c r="EO44" s="222"/>
      <c r="EP44" s="222"/>
      <c r="EQ44" s="222"/>
      <c r="ER44" s="222"/>
      <c r="ES44" s="222"/>
      <c r="ET44" s="222"/>
      <c r="EU44" s="222"/>
      <c r="EV44" s="222"/>
      <c r="EW44" s="222"/>
      <c r="EX44" s="222"/>
      <c r="EY44" s="222"/>
      <c r="EZ44" s="222"/>
      <c r="FA44" s="222"/>
      <c r="FB44" s="222"/>
      <c r="FC44" s="222"/>
      <c r="FD44" s="222"/>
      <c r="FE44" s="222"/>
      <c r="FF44" s="222"/>
      <c r="FG44" s="222"/>
      <c r="FH44" s="222"/>
      <c r="FI44" s="222"/>
      <c r="FJ44" s="222"/>
      <c r="FK44" s="222"/>
      <c r="FL44" s="222"/>
      <c r="FM44" s="222"/>
      <c r="FN44" s="222"/>
      <c r="FO44" s="222"/>
      <c r="FP44" s="222"/>
      <c r="FQ44" s="222"/>
      <c r="FR44" s="222"/>
      <c r="FS44" s="222"/>
      <c r="FT44" s="222"/>
      <c r="FU44" s="222"/>
      <c r="FV44" s="222"/>
      <c r="FW44" s="222"/>
      <c r="FX44" s="222"/>
      <c r="FY44" s="222"/>
      <c r="FZ44" s="222"/>
      <c r="GA44" s="222"/>
      <c r="GB44" s="222"/>
      <c r="GC44" s="222"/>
      <c r="GD44" s="222"/>
      <c r="GE44" s="222"/>
      <c r="GF44" s="222"/>
      <c r="GG44" s="222"/>
      <c r="GH44" s="222"/>
      <c r="GI44" s="222"/>
      <c r="GJ44" s="222"/>
      <c r="GK44" s="222"/>
      <c r="GL44" s="222"/>
      <c r="GM44" s="222"/>
      <c r="GN44" s="222"/>
      <c r="GO44" s="222"/>
      <c r="GP44" s="222"/>
      <c r="GQ44" s="222"/>
      <c r="GR44" s="222"/>
      <c r="GS44" s="222"/>
      <c r="GT44" s="222"/>
      <c r="GU44" s="222"/>
      <c r="GV44" s="222"/>
      <c r="GW44" s="222"/>
      <c r="GX44" s="222"/>
      <c r="GY44" s="222"/>
      <c r="GZ44" s="222"/>
      <c r="HA44" s="222"/>
      <c r="HB44" s="222"/>
      <c r="HC44" s="222"/>
      <c r="HD44" s="222"/>
      <c r="HE44" s="222"/>
      <c r="HF44" s="222"/>
      <c r="HG44" s="222"/>
      <c r="HH44" s="222"/>
      <c r="HI44" s="222"/>
      <c r="HJ44" s="222"/>
      <c r="HK44" s="222"/>
      <c r="HL44" s="222"/>
      <c r="HM44" s="222"/>
      <c r="HN44" s="222"/>
      <c r="HO44" s="222"/>
      <c r="HP44" s="222"/>
      <c r="HQ44" s="222"/>
      <c r="HR44" s="222"/>
      <c r="HS44" s="222"/>
      <c r="HT44" s="222"/>
      <c r="HU44" s="222"/>
      <c r="HV44" s="222"/>
      <c r="HW44" s="222"/>
      <c r="HX44" s="222"/>
      <c r="HY44" s="222"/>
      <c r="HZ44" s="222"/>
      <c r="IA44" s="222"/>
      <c r="IB44" s="222"/>
      <c r="IC44" s="222"/>
      <c r="ID44" s="222"/>
      <c r="IE44" s="222"/>
      <c r="IF44" s="222"/>
      <c r="IG44" s="222"/>
      <c r="IH44" s="222"/>
      <c r="II44" s="222"/>
      <c r="IJ44" s="222"/>
      <c r="IK44" s="222"/>
      <c r="IL44" s="222"/>
      <c r="IM44" s="222"/>
      <c r="IN44" s="222"/>
      <c r="IO44" s="222"/>
      <c r="IP44" s="222"/>
      <c r="IQ44" s="222"/>
      <c r="IR44" s="222"/>
      <c r="IS44" s="222"/>
      <c r="IT44" s="222"/>
      <c r="IU44" s="222"/>
      <c r="IV44" s="222"/>
      <c r="IW44" s="222"/>
      <c r="IX44" s="222"/>
      <c r="IY44" s="222"/>
      <c r="IZ44" s="222"/>
      <c r="JA44" s="222"/>
      <c r="JB44" s="222"/>
      <c r="JC44" s="222"/>
      <c r="JD44" s="222"/>
      <c r="JE44" s="222"/>
      <c r="JF44" s="222"/>
      <c r="JG44" s="222"/>
      <c r="JH44" s="222"/>
      <c r="JI44" s="222"/>
      <c r="JJ44" s="222"/>
      <c r="JK44" s="222"/>
      <c r="JL44" s="222"/>
      <c r="JM44" s="222"/>
      <c r="JN44" s="222"/>
      <c r="JO44" s="222"/>
      <c r="JP44" s="222"/>
      <c r="JQ44" s="222"/>
      <c r="JR44" s="222"/>
      <c r="JS44" s="222"/>
      <c r="JT44" s="222"/>
      <c r="JU44" s="222"/>
      <c r="JV44" s="222"/>
      <c r="JW44" s="222"/>
      <c r="JX44" s="222"/>
      <c r="JY44" s="222"/>
      <c r="JZ44" s="222"/>
      <c r="KA44" s="222"/>
      <c r="KB44" s="222"/>
      <c r="KC44" s="222"/>
      <c r="KD44" s="222"/>
      <c r="KE44" s="222"/>
      <c r="KF44" s="222"/>
      <c r="KG44" s="222"/>
      <c r="KH44" s="222"/>
      <c r="KI44" s="222"/>
      <c r="KJ44" s="222"/>
      <c r="KK44" s="222"/>
      <c r="KL44" s="222"/>
      <c r="KM44" s="222"/>
      <c r="KN44" s="222"/>
      <c r="KO44" s="222"/>
      <c r="KP44" s="222"/>
      <c r="KQ44" s="222"/>
      <c r="KR44" s="222"/>
      <c r="KS44" s="222"/>
      <c r="KT44" s="222"/>
    </row>
    <row r="45" spans="1:307" x14ac:dyDescent="0.15">
      <c r="BD45" s="148"/>
      <c r="BE45" s="148"/>
      <c r="BF45" s="148"/>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2"/>
      <c r="CD45" s="222"/>
      <c r="CE45" s="222"/>
      <c r="CF45" s="222"/>
      <c r="CG45" s="222"/>
      <c r="CH45" s="222"/>
      <c r="CI45" s="222"/>
      <c r="CJ45" s="222"/>
      <c r="CK45" s="222"/>
      <c r="CL45" s="222"/>
      <c r="CM45" s="222"/>
      <c r="CN45" s="222"/>
      <c r="CO45" s="222"/>
      <c r="CP45" s="222"/>
      <c r="CQ45" s="222"/>
      <c r="CR45" s="222"/>
      <c r="CS45" s="222"/>
      <c r="CT45" s="222"/>
      <c r="CU45" s="222"/>
      <c r="CV45" s="222"/>
      <c r="CW45" s="222"/>
      <c r="CX45" s="222"/>
      <c r="CY45" s="222"/>
      <c r="CZ45" s="222"/>
      <c r="DA45" s="222"/>
      <c r="DB45" s="222"/>
      <c r="DC45" s="222"/>
      <c r="DD45" s="222"/>
      <c r="DE45" s="222"/>
      <c r="DF45" s="222"/>
      <c r="DG45" s="222"/>
      <c r="DH45" s="222"/>
      <c r="DI45" s="222"/>
      <c r="DJ45" s="222"/>
      <c r="DK45" s="222"/>
      <c r="DL45" s="222"/>
      <c r="DM45" s="222"/>
      <c r="DN45" s="222"/>
      <c r="DO45" s="222"/>
      <c r="DP45" s="222"/>
      <c r="DQ45" s="222"/>
      <c r="DR45" s="222"/>
      <c r="DS45" s="222"/>
      <c r="DT45" s="222"/>
      <c r="DU45" s="222"/>
      <c r="DV45" s="222"/>
      <c r="DW45" s="222"/>
      <c r="DX45" s="222"/>
      <c r="DY45" s="222"/>
      <c r="DZ45" s="222"/>
      <c r="EA45" s="222"/>
      <c r="EB45" s="222"/>
      <c r="EC45" s="222"/>
      <c r="ED45" s="222"/>
      <c r="EE45" s="222"/>
      <c r="EF45" s="222"/>
      <c r="EG45" s="222"/>
      <c r="EH45" s="222"/>
      <c r="EI45" s="222"/>
      <c r="EJ45" s="222"/>
      <c r="EK45" s="222"/>
      <c r="EL45" s="222"/>
      <c r="EM45" s="222"/>
      <c r="EN45" s="222"/>
      <c r="EO45" s="222"/>
      <c r="EP45" s="222"/>
      <c r="EQ45" s="222"/>
      <c r="ER45" s="222"/>
      <c r="ES45" s="222"/>
      <c r="ET45" s="222"/>
      <c r="EU45" s="222"/>
      <c r="EV45" s="222"/>
      <c r="EW45" s="222"/>
      <c r="EX45" s="222"/>
      <c r="EY45" s="222"/>
      <c r="EZ45" s="222"/>
      <c r="FA45" s="222"/>
      <c r="FB45" s="222"/>
      <c r="FC45" s="222"/>
      <c r="FD45" s="222"/>
      <c r="FE45" s="222"/>
      <c r="FF45" s="222"/>
      <c r="FG45" s="222"/>
      <c r="FH45" s="222"/>
      <c r="FI45" s="222"/>
      <c r="FJ45" s="222"/>
      <c r="FK45" s="222"/>
      <c r="FL45" s="222"/>
      <c r="FM45" s="222"/>
      <c r="FN45" s="222"/>
      <c r="FO45" s="222"/>
      <c r="FP45" s="222"/>
      <c r="FQ45" s="222"/>
      <c r="FR45" s="222"/>
      <c r="FS45" s="222"/>
      <c r="FT45" s="222"/>
      <c r="FU45" s="222"/>
      <c r="FV45" s="222"/>
      <c r="FW45" s="222"/>
      <c r="FX45" s="222"/>
      <c r="FY45" s="222"/>
      <c r="FZ45" s="222"/>
      <c r="GA45" s="222"/>
      <c r="GB45" s="222"/>
      <c r="GC45" s="222"/>
      <c r="GD45" s="222"/>
      <c r="GE45" s="222"/>
      <c r="GF45" s="222"/>
      <c r="GG45" s="222"/>
      <c r="GH45" s="222"/>
      <c r="GI45" s="222"/>
      <c r="GJ45" s="222"/>
      <c r="GK45" s="222"/>
      <c r="GL45" s="222"/>
      <c r="GM45" s="222"/>
      <c r="GN45" s="222"/>
      <c r="GO45" s="222"/>
      <c r="GP45" s="222"/>
      <c r="GQ45" s="222"/>
      <c r="GR45" s="222"/>
      <c r="GS45" s="222"/>
      <c r="GT45" s="222"/>
      <c r="GU45" s="222"/>
      <c r="GV45" s="222"/>
      <c r="GW45" s="222"/>
      <c r="GX45" s="222"/>
      <c r="GY45" s="222"/>
      <c r="GZ45" s="222"/>
      <c r="HA45" s="222"/>
      <c r="HB45" s="222"/>
      <c r="HC45" s="222"/>
      <c r="HD45" s="222"/>
      <c r="HE45" s="222"/>
      <c r="HF45" s="222"/>
      <c r="HG45" s="222"/>
      <c r="HH45" s="222"/>
      <c r="HI45" s="222"/>
      <c r="HJ45" s="222"/>
      <c r="HK45" s="222"/>
      <c r="HL45" s="222"/>
      <c r="HM45" s="222"/>
      <c r="HN45" s="222"/>
      <c r="HO45" s="222"/>
      <c r="HP45" s="222"/>
      <c r="HQ45" s="222"/>
      <c r="HR45" s="222"/>
      <c r="HS45" s="222"/>
      <c r="HT45" s="222"/>
      <c r="HU45" s="222"/>
      <c r="HV45" s="222"/>
      <c r="HW45" s="222"/>
      <c r="HX45" s="222"/>
      <c r="HY45" s="222"/>
      <c r="HZ45" s="222"/>
      <c r="IA45" s="222"/>
      <c r="IB45" s="222"/>
      <c r="IC45" s="222"/>
      <c r="ID45" s="222"/>
      <c r="IE45" s="222"/>
      <c r="IF45" s="222"/>
      <c r="IG45" s="222"/>
      <c r="IH45" s="222"/>
      <c r="II45" s="222"/>
      <c r="IJ45" s="222"/>
      <c r="IK45" s="222"/>
      <c r="IL45" s="222"/>
      <c r="IM45" s="222"/>
      <c r="IN45" s="222"/>
      <c r="IO45" s="222"/>
      <c r="IP45" s="222"/>
      <c r="IQ45" s="222"/>
      <c r="IR45" s="222"/>
      <c r="IS45" s="222"/>
      <c r="IT45" s="222"/>
      <c r="IU45" s="222"/>
      <c r="IV45" s="222"/>
      <c r="IW45" s="222"/>
      <c r="IX45" s="222"/>
      <c r="IY45" s="222"/>
      <c r="IZ45" s="222"/>
      <c r="JA45" s="222"/>
      <c r="JB45" s="222"/>
      <c r="JC45" s="222"/>
      <c r="JD45" s="222"/>
      <c r="JE45" s="222"/>
      <c r="JF45" s="222"/>
      <c r="JG45" s="222"/>
      <c r="JH45" s="222"/>
      <c r="JI45" s="222"/>
      <c r="JJ45" s="222"/>
      <c r="JK45" s="222"/>
      <c r="JL45" s="222"/>
      <c r="JM45" s="222"/>
      <c r="JN45" s="222"/>
      <c r="JO45" s="222"/>
      <c r="JP45" s="222"/>
      <c r="JQ45" s="222"/>
      <c r="JR45" s="222"/>
      <c r="JS45" s="222"/>
      <c r="JT45" s="222"/>
      <c r="JU45" s="222"/>
      <c r="JV45" s="222"/>
      <c r="JW45" s="222"/>
      <c r="JX45" s="222"/>
      <c r="JY45" s="222"/>
      <c r="JZ45" s="222"/>
      <c r="KA45" s="222"/>
      <c r="KB45" s="222"/>
      <c r="KC45" s="222"/>
      <c r="KD45" s="222"/>
      <c r="KE45" s="222"/>
      <c r="KF45" s="222"/>
      <c r="KG45" s="222"/>
      <c r="KH45" s="222"/>
      <c r="KI45" s="222"/>
      <c r="KJ45" s="222"/>
      <c r="KK45" s="222"/>
      <c r="KL45" s="222"/>
      <c r="KM45" s="222"/>
      <c r="KN45" s="222"/>
      <c r="KO45" s="222"/>
      <c r="KP45" s="222"/>
      <c r="KQ45" s="222"/>
      <c r="KR45" s="222"/>
      <c r="KS45" s="222"/>
      <c r="KT45" s="222"/>
    </row>
    <row r="46" spans="1:307" ht="13" thickBot="1" x14ac:dyDescent="0.2">
      <c r="A46" s="157"/>
      <c r="B46" s="230" t="s">
        <v>330</v>
      </c>
      <c r="C46" s="231"/>
      <c r="D46" s="232"/>
      <c r="E46" s="233"/>
      <c r="F46" s="234"/>
      <c r="G46" s="233"/>
      <c r="H46" s="233"/>
      <c r="I46" s="233"/>
      <c r="J46" s="233"/>
      <c r="K46" s="233"/>
      <c r="L46" s="233"/>
      <c r="M46" s="233"/>
      <c r="N46" s="233"/>
      <c r="O46" s="233"/>
      <c r="P46" s="233"/>
      <c r="Q46" s="233"/>
      <c r="R46" s="233"/>
      <c r="S46" s="233"/>
      <c r="T46" s="233"/>
      <c r="U46" s="233"/>
      <c r="V46" s="233"/>
      <c r="W46" s="233"/>
      <c r="X46" s="233"/>
      <c r="Y46" s="233"/>
      <c r="Z46" s="233"/>
      <c r="AA46" s="233"/>
      <c r="AB46" s="233"/>
      <c r="AC46" s="233"/>
      <c r="AD46" s="233"/>
      <c r="AE46" s="233"/>
      <c r="AF46" s="233"/>
      <c r="AG46" s="233"/>
      <c r="AH46" s="233"/>
      <c r="AI46" s="233"/>
      <c r="AJ46" s="233"/>
      <c r="AK46" s="233"/>
      <c r="AL46" s="233"/>
      <c r="AM46" s="233"/>
      <c r="AN46" s="233"/>
      <c r="AO46" s="233"/>
      <c r="AP46" s="233"/>
      <c r="AQ46" s="233"/>
      <c r="AR46" s="233"/>
      <c r="AS46" s="233"/>
      <c r="AT46" s="233"/>
      <c r="AU46" s="233"/>
      <c r="AV46" s="233"/>
      <c r="AW46" s="233"/>
      <c r="AX46" s="233"/>
      <c r="AY46" s="233"/>
      <c r="AZ46" s="233"/>
      <c r="BA46" s="233"/>
      <c r="BB46" s="233"/>
      <c r="BC46" s="233"/>
      <c r="BD46" s="233"/>
      <c r="BE46" s="233"/>
      <c r="BF46" s="233"/>
      <c r="BG46" s="233"/>
      <c r="BH46" s="233"/>
      <c r="BI46" s="233"/>
      <c r="BJ46" s="233"/>
      <c r="BK46" s="233"/>
      <c r="BL46" s="233"/>
      <c r="BM46" s="233"/>
    </row>
    <row r="47" spans="1:307" ht="13" thickTop="1" x14ac:dyDescent="0.15">
      <c r="A47" s="157"/>
      <c r="B47" s="248"/>
      <c r="C47" s="157"/>
      <c r="F47" s="249"/>
    </row>
    <row r="48" spans="1:307" x14ac:dyDescent="0.15">
      <c r="B48" s="157" t="s">
        <v>195</v>
      </c>
      <c r="F48" s="250">
        <f>F50+F54+F59</f>
        <v>0.33658124605741335</v>
      </c>
      <c r="G48" s="250">
        <f t="shared" ref="G48:BM48" si="7">G50+G54+G59</f>
        <v>0.15992638357142466</v>
      </c>
      <c r="H48" s="250">
        <f t="shared" si="7"/>
        <v>0.15018830251404935</v>
      </c>
      <c r="I48" s="250">
        <f t="shared" si="7"/>
        <v>0.14080791321781927</v>
      </c>
      <c r="J48" s="250">
        <f t="shared" si="7"/>
        <v>0.13171289382526269</v>
      </c>
      <c r="K48" s="250">
        <f t="shared" si="7"/>
        <v>0.12285216026378051</v>
      </c>
      <c r="L48" s="250">
        <f t="shared" si="7"/>
        <v>0.11420086459229345</v>
      </c>
      <c r="M48" s="250">
        <f t="shared" si="7"/>
        <v>0.10573446099722605</v>
      </c>
      <c r="N48" s="250">
        <f t="shared" si="7"/>
        <v>0.10668230703068744</v>
      </c>
      <c r="O48" s="250">
        <f t="shared" si="7"/>
        <v>-7.7518375002297727E-3</v>
      </c>
      <c r="P48" s="250">
        <f t="shared" si="7"/>
        <v>-8.0867017849818989E-3</v>
      </c>
      <c r="Q48" s="250">
        <f t="shared" si="7"/>
        <v>-7.8227760910129732E-3</v>
      </c>
      <c r="R48" s="250">
        <f t="shared" si="7"/>
        <v>-7.7273064265285657E-3</v>
      </c>
      <c r="S48" s="250">
        <f t="shared" si="7"/>
        <v>-7.704574091313701E-3</v>
      </c>
      <c r="T48" s="250">
        <f t="shared" si="7"/>
        <v>-7.6973188679893964E-3</v>
      </c>
      <c r="U48" s="250">
        <f t="shared" si="7"/>
        <v>0</v>
      </c>
      <c r="V48" s="250">
        <f t="shared" si="7"/>
        <v>0</v>
      </c>
      <c r="W48" s="250">
        <f t="shared" si="7"/>
        <v>0</v>
      </c>
      <c r="X48" s="250">
        <f t="shared" si="7"/>
        <v>0</v>
      </c>
      <c r="Y48" s="250">
        <f t="shared" si="7"/>
        <v>0</v>
      </c>
      <c r="Z48" s="250">
        <f t="shared" si="7"/>
        <v>0</v>
      </c>
      <c r="AA48" s="250">
        <f t="shared" si="7"/>
        <v>0</v>
      </c>
      <c r="AB48" s="250">
        <f t="shared" si="7"/>
        <v>0</v>
      </c>
      <c r="AC48" s="250">
        <f t="shared" si="7"/>
        <v>0</v>
      </c>
      <c r="AD48" s="250">
        <f t="shared" si="7"/>
        <v>0</v>
      </c>
      <c r="AE48" s="250">
        <f t="shared" si="7"/>
        <v>0</v>
      </c>
      <c r="AF48" s="250">
        <f t="shared" si="7"/>
        <v>0</v>
      </c>
      <c r="AG48" s="250">
        <f t="shared" si="7"/>
        <v>0</v>
      </c>
      <c r="AH48" s="250">
        <f t="shared" si="7"/>
        <v>0</v>
      </c>
      <c r="AI48" s="250">
        <f t="shared" si="7"/>
        <v>0</v>
      </c>
      <c r="AJ48" s="250">
        <f t="shared" si="7"/>
        <v>0</v>
      </c>
      <c r="AK48" s="250">
        <f t="shared" si="7"/>
        <v>0</v>
      </c>
      <c r="AL48" s="250">
        <f t="shared" si="7"/>
        <v>0</v>
      </c>
      <c r="AM48" s="250">
        <f t="shared" si="7"/>
        <v>0</v>
      </c>
      <c r="AN48" s="250">
        <f t="shared" si="7"/>
        <v>0</v>
      </c>
      <c r="AO48" s="250">
        <f t="shared" si="7"/>
        <v>0</v>
      </c>
      <c r="AP48" s="250">
        <f t="shared" si="7"/>
        <v>0</v>
      </c>
      <c r="AQ48" s="250">
        <f t="shared" si="7"/>
        <v>0</v>
      </c>
      <c r="AR48" s="250">
        <f t="shared" si="7"/>
        <v>0</v>
      </c>
      <c r="AS48" s="250">
        <f t="shared" si="7"/>
        <v>0</v>
      </c>
      <c r="AT48" s="250">
        <f t="shared" si="7"/>
        <v>0</v>
      </c>
      <c r="AU48" s="250">
        <f t="shared" si="7"/>
        <v>0</v>
      </c>
      <c r="AV48" s="250">
        <f t="shared" si="7"/>
        <v>0</v>
      </c>
      <c r="AW48" s="250">
        <f t="shared" si="7"/>
        <v>0</v>
      </c>
      <c r="AX48" s="250">
        <f t="shared" si="7"/>
        <v>0</v>
      </c>
      <c r="AY48" s="250">
        <f t="shared" si="7"/>
        <v>0</v>
      </c>
      <c r="AZ48" s="250">
        <f t="shared" si="7"/>
        <v>0</v>
      </c>
      <c r="BA48" s="250">
        <f t="shared" si="7"/>
        <v>0</v>
      </c>
      <c r="BB48" s="250">
        <f t="shared" si="7"/>
        <v>0</v>
      </c>
      <c r="BC48" s="250">
        <f t="shared" si="7"/>
        <v>0</v>
      </c>
      <c r="BD48" s="250">
        <f t="shared" si="7"/>
        <v>0</v>
      </c>
      <c r="BE48" s="250">
        <f t="shared" si="7"/>
        <v>0</v>
      </c>
      <c r="BF48" s="250">
        <f t="shared" si="7"/>
        <v>0</v>
      </c>
      <c r="BG48" s="250">
        <f t="shared" si="7"/>
        <v>0</v>
      </c>
      <c r="BH48" s="250">
        <f t="shared" si="7"/>
        <v>0</v>
      </c>
      <c r="BI48" s="250">
        <f t="shared" si="7"/>
        <v>0</v>
      </c>
      <c r="BJ48" s="250">
        <f t="shared" si="7"/>
        <v>0</v>
      </c>
      <c r="BK48" s="250">
        <f t="shared" si="7"/>
        <v>0</v>
      </c>
      <c r="BL48" s="250">
        <f t="shared" si="7"/>
        <v>0</v>
      </c>
      <c r="BM48" s="250">
        <f t="shared" si="7"/>
        <v>0</v>
      </c>
      <c r="BN48" s="150"/>
      <c r="BO48" s="150"/>
      <c r="BP48" s="150"/>
      <c r="BQ48" s="150"/>
      <c r="BR48" s="150"/>
      <c r="BS48" s="150"/>
      <c r="BT48" s="150"/>
      <c r="BU48" s="150"/>
      <c r="BV48" s="150"/>
      <c r="BW48" s="150"/>
      <c r="BX48" s="150"/>
      <c r="BY48" s="150"/>
      <c r="BZ48" s="150"/>
      <c r="CA48" s="150"/>
      <c r="CB48" s="150"/>
      <c r="CC48" s="150"/>
      <c r="CD48" s="150"/>
      <c r="CE48" s="150"/>
      <c r="CF48" s="150"/>
      <c r="CG48" s="150"/>
      <c r="CH48" s="150"/>
      <c r="CI48" s="150"/>
      <c r="CJ48" s="150"/>
      <c r="CK48" s="150"/>
      <c r="CL48" s="150"/>
      <c r="CM48" s="150"/>
      <c r="CN48" s="150"/>
      <c r="CO48" s="150"/>
      <c r="CP48" s="150"/>
      <c r="CQ48" s="150"/>
      <c r="CR48" s="150"/>
      <c r="CS48" s="150"/>
      <c r="CT48" s="150"/>
      <c r="CU48" s="150"/>
      <c r="CV48" s="150"/>
      <c r="CW48" s="150"/>
      <c r="CX48" s="150"/>
      <c r="CY48" s="150"/>
      <c r="CZ48" s="150"/>
      <c r="DA48" s="150"/>
      <c r="DB48" s="150"/>
      <c r="DC48" s="150"/>
      <c r="DD48" s="150"/>
      <c r="DE48" s="150"/>
      <c r="DF48" s="150"/>
      <c r="DG48" s="150"/>
      <c r="DH48" s="150"/>
      <c r="DI48" s="150"/>
      <c r="DJ48" s="150"/>
      <c r="DK48" s="150"/>
      <c r="DL48" s="150"/>
      <c r="DM48" s="150"/>
      <c r="DN48" s="150"/>
      <c r="DO48" s="150"/>
      <c r="DP48" s="150"/>
      <c r="DQ48" s="150"/>
      <c r="DR48" s="150"/>
      <c r="DS48" s="150"/>
      <c r="DT48" s="150"/>
      <c r="DU48" s="150"/>
      <c r="DV48" s="150"/>
      <c r="DW48" s="150"/>
      <c r="DX48" s="150"/>
      <c r="DY48" s="150"/>
      <c r="DZ48" s="150"/>
      <c r="EA48" s="150"/>
      <c r="EB48" s="150"/>
      <c r="EC48" s="150"/>
      <c r="ED48" s="150"/>
      <c r="EE48" s="150"/>
      <c r="EF48" s="150"/>
      <c r="EG48" s="150"/>
      <c r="EH48" s="150"/>
      <c r="EI48" s="150"/>
      <c r="EJ48" s="150"/>
      <c r="EK48" s="150"/>
      <c r="EL48" s="150"/>
      <c r="EM48" s="150"/>
      <c r="EN48" s="150"/>
      <c r="EO48" s="150"/>
      <c r="EP48" s="150"/>
      <c r="EQ48" s="150"/>
      <c r="ER48" s="150"/>
      <c r="ES48" s="150"/>
      <c r="ET48" s="150"/>
      <c r="EU48" s="150"/>
      <c r="EV48" s="150"/>
      <c r="EW48" s="150"/>
      <c r="EX48" s="150"/>
      <c r="EY48" s="150"/>
      <c r="EZ48" s="150"/>
      <c r="FA48" s="150"/>
      <c r="FB48" s="150"/>
      <c r="FC48" s="150"/>
      <c r="FD48" s="150"/>
      <c r="FE48" s="150"/>
      <c r="FF48" s="150"/>
      <c r="FG48" s="150"/>
      <c r="FH48" s="150"/>
      <c r="FI48" s="150"/>
      <c r="FJ48" s="150"/>
      <c r="FK48" s="150"/>
      <c r="FL48" s="150"/>
      <c r="FM48" s="150"/>
      <c r="FN48" s="150"/>
      <c r="FO48" s="150"/>
      <c r="FP48" s="150"/>
      <c r="FQ48" s="150"/>
      <c r="FR48" s="150"/>
      <c r="FS48" s="150"/>
      <c r="FT48" s="150"/>
      <c r="FU48" s="150"/>
      <c r="FV48" s="150"/>
      <c r="FW48" s="150"/>
      <c r="FX48" s="150"/>
      <c r="FY48" s="150"/>
      <c r="FZ48" s="150"/>
      <c r="GA48" s="150"/>
      <c r="GB48" s="150"/>
      <c r="GC48" s="150"/>
      <c r="GD48" s="150"/>
      <c r="GE48" s="150"/>
      <c r="GF48" s="150"/>
      <c r="GG48" s="150"/>
      <c r="GH48" s="150"/>
      <c r="GI48" s="150"/>
      <c r="GJ48" s="150"/>
      <c r="GK48" s="150"/>
      <c r="GL48" s="150"/>
      <c r="GM48" s="150"/>
      <c r="GN48" s="150"/>
      <c r="GO48" s="150"/>
      <c r="GP48" s="150"/>
      <c r="GQ48" s="150"/>
      <c r="GR48" s="150"/>
      <c r="GS48" s="150"/>
      <c r="GT48" s="150"/>
      <c r="GU48" s="150"/>
      <c r="GV48" s="150"/>
      <c r="GW48" s="150"/>
      <c r="GX48" s="150"/>
      <c r="GY48" s="150"/>
      <c r="GZ48" s="150"/>
      <c r="HA48" s="150"/>
      <c r="HB48" s="150"/>
      <c r="HC48" s="150"/>
      <c r="HD48" s="150"/>
      <c r="HE48" s="150"/>
      <c r="HF48" s="150"/>
      <c r="HG48" s="150"/>
      <c r="HH48" s="150"/>
      <c r="HI48" s="150"/>
      <c r="HJ48" s="150"/>
      <c r="HK48" s="150"/>
      <c r="HL48" s="150"/>
      <c r="HM48" s="150"/>
      <c r="HN48" s="150"/>
      <c r="HO48" s="150"/>
      <c r="HP48" s="150"/>
      <c r="HQ48" s="150"/>
      <c r="HR48" s="150"/>
      <c r="HS48" s="150"/>
      <c r="HT48" s="150"/>
      <c r="HU48" s="150"/>
      <c r="HV48" s="150"/>
      <c r="HW48" s="150"/>
      <c r="HX48" s="150"/>
      <c r="HY48" s="150"/>
      <c r="HZ48" s="150"/>
      <c r="IA48" s="150"/>
      <c r="IB48" s="150"/>
      <c r="IC48" s="150"/>
      <c r="ID48" s="150"/>
      <c r="IE48" s="150"/>
      <c r="IF48" s="150"/>
      <c r="IG48" s="150"/>
      <c r="IH48" s="150"/>
      <c r="II48" s="150"/>
      <c r="IJ48" s="150"/>
      <c r="IK48" s="150"/>
      <c r="IL48" s="150"/>
      <c r="IM48" s="150"/>
      <c r="IN48" s="150"/>
      <c r="IO48" s="150"/>
      <c r="IP48" s="150"/>
      <c r="IQ48" s="150"/>
      <c r="IR48" s="150"/>
      <c r="IS48" s="150"/>
      <c r="IT48" s="150"/>
      <c r="IU48" s="150"/>
      <c r="IV48" s="150"/>
      <c r="IW48" s="150"/>
      <c r="IX48" s="150"/>
      <c r="IY48" s="150"/>
      <c r="IZ48" s="150"/>
      <c r="JA48" s="150"/>
      <c r="JB48" s="150"/>
      <c r="JC48" s="150"/>
      <c r="JD48" s="150"/>
      <c r="JE48" s="150"/>
      <c r="JF48" s="150"/>
      <c r="JG48" s="150"/>
      <c r="JH48" s="150"/>
      <c r="JI48" s="150"/>
      <c r="JJ48" s="150"/>
      <c r="JK48" s="150"/>
      <c r="JL48" s="150"/>
      <c r="JM48" s="150"/>
      <c r="JN48" s="150"/>
      <c r="JO48" s="150"/>
      <c r="JP48" s="150"/>
      <c r="JQ48" s="150"/>
      <c r="JR48" s="150"/>
      <c r="JS48" s="150"/>
      <c r="JT48" s="150"/>
      <c r="JU48" s="150"/>
      <c r="JV48" s="150"/>
      <c r="JW48" s="150"/>
      <c r="JX48" s="150"/>
      <c r="JY48" s="150"/>
      <c r="JZ48" s="150"/>
      <c r="KA48" s="150"/>
      <c r="KB48" s="150"/>
      <c r="KC48" s="150"/>
      <c r="KD48" s="150"/>
      <c r="KE48" s="150"/>
      <c r="KF48" s="150"/>
      <c r="KG48" s="150"/>
      <c r="KH48" s="150"/>
      <c r="KI48" s="150"/>
      <c r="KJ48" s="150"/>
      <c r="KK48" s="150"/>
      <c r="KL48" s="150"/>
      <c r="KM48" s="150"/>
      <c r="KN48" s="150"/>
      <c r="KO48" s="150"/>
      <c r="KP48" s="150"/>
      <c r="KQ48" s="150"/>
      <c r="KR48" s="150"/>
      <c r="KS48" s="150"/>
      <c r="KT48" s="150"/>
    </row>
    <row r="49" spans="1:307" x14ac:dyDescent="0.15">
      <c r="F49" s="150"/>
      <c r="G49" s="150"/>
      <c r="H49" s="150"/>
      <c r="I49" s="150"/>
      <c r="J49" s="150"/>
      <c r="K49" s="150"/>
      <c r="L49" s="150"/>
      <c r="M49" s="150"/>
      <c r="N49" s="150"/>
      <c r="O49" s="150"/>
      <c r="P49" s="150"/>
      <c r="Q49" s="150"/>
      <c r="R49" s="150"/>
      <c r="S49" s="150"/>
      <c r="T49" s="150"/>
      <c r="U49" s="150"/>
      <c r="V49" s="150"/>
      <c r="W49" s="150"/>
      <c r="X49" s="150"/>
      <c r="Y49" s="150"/>
      <c r="Z49" s="150"/>
      <c r="AA49" s="150"/>
      <c r="AB49" s="150"/>
      <c r="AC49" s="150"/>
      <c r="AD49" s="150"/>
      <c r="AE49" s="150"/>
      <c r="AF49" s="150"/>
      <c r="AG49" s="150"/>
      <c r="AH49" s="150"/>
      <c r="AI49" s="150"/>
      <c r="AJ49" s="150"/>
      <c r="AK49" s="150"/>
      <c r="AL49" s="150"/>
      <c r="AM49" s="150"/>
      <c r="AN49" s="150"/>
      <c r="AO49" s="150"/>
      <c r="AP49" s="150"/>
      <c r="AQ49" s="150"/>
      <c r="AR49" s="150"/>
      <c r="AS49" s="150"/>
      <c r="AT49" s="150"/>
      <c r="AU49" s="150"/>
      <c r="AV49" s="150"/>
      <c r="AW49" s="150"/>
      <c r="AX49" s="150"/>
      <c r="AY49" s="150"/>
      <c r="AZ49" s="150"/>
      <c r="BA49" s="150"/>
      <c r="BB49" s="150"/>
      <c r="BC49" s="150"/>
      <c r="BD49" s="150"/>
      <c r="BE49" s="150"/>
      <c r="BF49" s="150"/>
      <c r="BG49" s="150"/>
      <c r="BH49" s="150"/>
      <c r="BI49" s="150"/>
      <c r="BJ49" s="150"/>
      <c r="BK49" s="150"/>
      <c r="BL49" s="150"/>
      <c r="BM49" s="150"/>
      <c r="BN49" s="150"/>
      <c r="BO49" s="150"/>
      <c r="BP49" s="150"/>
      <c r="BQ49" s="150"/>
      <c r="BR49" s="150"/>
      <c r="BS49" s="150"/>
      <c r="BT49" s="150"/>
      <c r="BU49" s="150"/>
      <c r="BV49" s="150"/>
      <c r="BW49" s="150"/>
      <c r="BX49" s="150"/>
      <c r="BY49" s="150"/>
      <c r="BZ49" s="150"/>
      <c r="CA49" s="150"/>
      <c r="CB49" s="150"/>
      <c r="CC49" s="150"/>
      <c r="CD49" s="150"/>
      <c r="CE49" s="150"/>
      <c r="CF49" s="150"/>
      <c r="CG49" s="150"/>
      <c r="CH49" s="150"/>
      <c r="CI49" s="150"/>
      <c r="CJ49" s="150"/>
      <c r="CK49" s="150"/>
      <c r="CL49" s="150"/>
      <c r="CM49" s="150"/>
      <c r="CN49" s="150"/>
      <c r="CO49" s="150"/>
      <c r="CP49" s="150"/>
      <c r="CQ49" s="150"/>
      <c r="CR49" s="150"/>
      <c r="CS49" s="150"/>
      <c r="CT49" s="150"/>
      <c r="CU49" s="150"/>
      <c r="CV49" s="150"/>
      <c r="CW49" s="150"/>
      <c r="CX49" s="150"/>
      <c r="CY49" s="150"/>
      <c r="CZ49" s="150"/>
      <c r="DA49" s="150"/>
      <c r="DB49" s="150"/>
      <c r="DC49" s="150"/>
      <c r="DD49" s="150"/>
      <c r="DE49" s="150"/>
      <c r="DF49" s="150"/>
      <c r="DG49" s="150"/>
      <c r="DH49" s="150"/>
      <c r="DI49" s="150"/>
      <c r="DJ49" s="150"/>
      <c r="DK49" s="150"/>
      <c r="DL49" s="150"/>
      <c r="DM49" s="150"/>
      <c r="DN49" s="150"/>
      <c r="DO49" s="150"/>
      <c r="DP49" s="150"/>
      <c r="DQ49" s="150"/>
      <c r="DR49" s="150"/>
      <c r="DS49" s="150"/>
      <c r="DT49" s="150"/>
      <c r="DU49" s="150"/>
      <c r="DV49" s="150"/>
      <c r="DW49" s="150"/>
      <c r="DX49" s="150"/>
      <c r="DY49" s="150"/>
      <c r="DZ49" s="150"/>
      <c r="EA49" s="150"/>
      <c r="EB49" s="150"/>
      <c r="EC49" s="150"/>
      <c r="ED49" s="150"/>
      <c r="EE49" s="150"/>
      <c r="EF49" s="150"/>
      <c r="EG49" s="150"/>
      <c r="EH49" s="150"/>
      <c r="EI49" s="150"/>
      <c r="EJ49" s="150"/>
      <c r="EK49" s="150"/>
      <c r="EL49" s="150"/>
      <c r="EM49" s="150"/>
      <c r="EN49" s="150"/>
      <c r="EO49" s="150"/>
      <c r="EP49" s="150"/>
      <c r="EQ49" s="150"/>
      <c r="ER49" s="150"/>
      <c r="ES49" s="150"/>
      <c r="ET49" s="150"/>
      <c r="EU49" s="150"/>
      <c r="EV49" s="150"/>
      <c r="EW49" s="150"/>
      <c r="EX49" s="150"/>
      <c r="EY49" s="150"/>
      <c r="EZ49" s="150"/>
      <c r="FA49" s="150"/>
      <c r="FB49" s="150"/>
      <c r="FC49" s="150"/>
      <c r="FD49" s="150"/>
      <c r="FE49" s="150"/>
      <c r="FF49" s="150"/>
      <c r="FG49" s="150"/>
      <c r="FH49" s="150"/>
      <c r="FI49" s="150"/>
      <c r="FJ49" s="150"/>
      <c r="FK49" s="150"/>
      <c r="FL49" s="150"/>
      <c r="FM49" s="150"/>
      <c r="FN49" s="150"/>
      <c r="FO49" s="150"/>
      <c r="FP49" s="150"/>
      <c r="FQ49" s="150"/>
      <c r="FR49" s="150"/>
      <c r="FS49" s="150"/>
      <c r="FT49" s="150"/>
      <c r="FU49" s="150"/>
      <c r="FV49" s="150"/>
      <c r="FW49" s="150"/>
      <c r="FX49" s="150"/>
      <c r="FY49" s="150"/>
      <c r="FZ49" s="150"/>
      <c r="GA49" s="150"/>
      <c r="GB49" s="150"/>
      <c r="GC49" s="150"/>
      <c r="GD49" s="150"/>
      <c r="GE49" s="150"/>
      <c r="GF49" s="150"/>
      <c r="GG49" s="150"/>
      <c r="GH49" s="150"/>
      <c r="GI49" s="150"/>
      <c r="GJ49" s="150"/>
      <c r="GK49" s="150"/>
      <c r="GL49" s="150"/>
      <c r="GM49" s="150"/>
      <c r="GN49" s="150"/>
      <c r="GO49" s="150"/>
      <c r="GP49" s="150"/>
      <c r="GQ49" s="150"/>
      <c r="GR49" s="150"/>
      <c r="GS49" s="150"/>
      <c r="GT49" s="150"/>
      <c r="GU49" s="150"/>
      <c r="GV49" s="150"/>
      <c r="GW49" s="150"/>
      <c r="GX49" s="150"/>
      <c r="GY49" s="150"/>
      <c r="GZ49" s="150"/>
      <c r="HA49" s="150"/>
      <c r="HB49" s="150"/>
      <c r="HC49" s="150"/>
      <c r="HD49" s="150"/>
      <c r="HE49" s="150"/>
      <c r="HF49" s="150"/>
      <c r="HG49" s="150"/>
      <c r="HH49" s="150"/>
      <c r="HI49" s="150"/>
      <c r="HJ49" s="150"/>
      <c r="HK49" s="150"/>
      <c r="HL49" s="150"/>
      <c r="HM49" s="150"/>
      <c r="HN49" s="150"/>
      <c r="HO49" s="150"/>
      <c r="HP49" s="150"/>
      <c r="HQ49" s="150"/>
      <c r="HR49" s="150"/>
      <c r="HS49" s="150"/>
      <c r="HT49" s="150"/>
      <c r="HU49" s="150"/>
      <c r="HV49" s="150"/>
      <c r="HW49" s="150"/>
      <c r="HX49" s="150"/>
      <c r="HY49" s="150"/>
      <c r="HZ49" s="150"/>
      <c r="IA49" s="150"/>
      <c r="IB49" s="150"/>
      <c r="IC49" s="150"/>
      <c r="ID49" s="150"/>
      <c r="IE49" s="150"/>
      <c r="IF49" s="150"/>
      <c r="IG49" s="150"/>
      <c r="IH49" s="150"/>
      <c r="II49" s="150"/>
      <c r="IJ49" s="150"/>
      <c r="IK49" s="150"/>
      <c r="IL49" s="150"/>
      <c r="IM49" s="150"/>
      <c r="IN49" s="150"/>
      <c r="IO49" s="150"/>
      <c r="IP49" s="150"/>
      <c r="IQ49" s="150"/>
      <c r="IR49" s="150"/>
      <c r="IS49" s="150"/>
      <c r="IT49" s="150"/>
      <c r="IU49" s="150"/>
      <c r="IV49" s="150"/>
      <c r="IW49" s="150"/>
      <c r="IX49" s="150"/>
      <c r="IY49" s="150"/>
      <c r="IZ49" s="150"/>
      <c r="JA49" s="150"/>
      <c r="JB49" s="150"/>
      <c r="JC49" s="150"/>
      <c r="JD49" s="150"/>
      <c r="JE49" s="150"/>
      <c r="JF49" s="150"/>
      <c r="JG49" s="150"/>
      <c r="JH49" s="150"/>
      <c r="JI49" s="150"/>
      <c r="JJ49" s="150"/>
      <c r="JK49" s="150"/>
      <c r="JL49" s="150"/>
      <c r="JM49" s="150"/>
      <c r="JN49" s="150"/>
      <c r="JO49" s="150"/>
      <c r="JP49" s="150"/>
      <c r="JQ49" s="150"/>
      <c r="JR49" s="150"/>
      <c r="JS49" s="150"/>
      <c r="JT49" s="150"/>
      <c r="JU49" s="150"/>
      <c r="JV49" s="150"/>
      <c r="JW49" s="150"/>
      <c r="JX49" s="150"/>
      <c r="JY49" s="150"/>
      <c r="JZ49" s="150"/>
      <c r="KA49" s="150"/>
      <c r="KB49" s="150"/>
      <c r="KC49" s="150"/>
      <c r="KD49" s="150"/>
      <c r="KE49" s="150"/>
      <c r="KF49" s="150"/>
      <c r="KG49" s="150"/>
      <c r="KH49" s="150"/>
      <c r="KI49" s="150"/>
      <c r="KJ49" s="150"/>
      <c r="KK49" s="150"/>
      <c r="KL49" s="150"/>
      <c r="KM49" s="150"/>
      <c r="KN49" s="150"/>
      <c r="KO49" s="150"/>
      <c r="KP49" s="150"/>
      <c r="KQ49" s="150"/>
      <c r="KR49" s="150"/>
      <c r="KS49" s="150"/>
      <c r="KT49" s="150"/>
    </row>
    <row r="50" spans="1:307" x14ac:dyDescent="0.15">
      <c r="B50" s="157"/>
      <c r="C50" s="157" t="s">
        <v>196</v>
      </c>
      <c r="F50" s="250">
        <f t="shared" ref="F50:BM50" si="8">F51+F52</f>
        <v>0.18533874391516825</v>
      </c>
      <c r="G50" s="250">
        <f t="shared" si="8"/>
        <v>0.15992638357142466</v>
      </c>
      <c r="H50" s="250">
        <f t="shared" si="8"/>
        <v>0.15018830251404935</v>
      </c>
      <c r="I50" s="250">
        <f t="shared" si="8"/>
        <v>0.14080791321781927</v>
      </c>
      <c r="J50" s="250">
        <f t="shared" si="8"/>
        <v>0.13171289382526269</v>
      </c>
      <c r="K50" s="250">
        <f t="shared" si="8"/>
        <v>0.12285216026378051</v>
      </c>
      <c r="L50" s="250">
        <f t="shared" si="8"/>
        <v>0.11420086459229345</v>
      </c>
      <c r="M50" s="250">
        <f t="shared" si="8"/>
        <v>0.10573446099722605</v>
      </c>
      <c r="N50" s="250">
        <f t="shared" si="8"/>
        <v>0.10668230703068744</v>
      </c>
      <c r="O50" s="250">
        <f t="shared" si="8"/>
        <v>-7.7518375002297727E-3</v>
      </c>
      <c r="P50" s="250">
        <f t="shared" si="8"/>
        <v>-8.0867017849818989E-3</v>
      </c>
      <c r="Q50" s="250">
        <f t="shared" si="8"/>
        <v>-7.8227760910129732E-3</v>
      </c>
      <c r="R50" s="250">
        <f t="shared" si="8"/>
        <v>-7.7273064265285657E-3</v>
      </c>
      <c r="S50" s="250">
        <f t="shared" si="8"/>
        <v>-7.704574091313701E-3</v>
      </c>
      <c r="T50" s="250">
        <f t="shared" si="8"/>
        <v>-7.6973188679893964E-3</v>
      </c>
      <c r="U50" s="250">
        <f t="shared" si="8"/>
        <v>0</v>
      </c>
      <c r="V50" s="250">
        <f t="shared" si="8"/>
        <v>0</v>
      </c>
      <c r="W50" s="250">
        <f t="shared" si="8"/>
        <v>0</v>
      </c>
      <c r="X50" s="250">
        <f t="shared" si="8"/>
        <v>0</v>
      </c>
      <c r="Y50" s="250">
        <f t="shared" si="8"/>
        <v>0</v>
      </c>
      <c r="Z50" s="250">
        <f t="shared" si="8"/>
        <v>0</v>
      </c>
      <c r="AA50" s="250">
        <f t="shared" si="8"/>
        <v>0</v>
      </c>
      <c r="AB50" s="250">
        <f t="shared" si="8"/>
        <v>0</v>
      </c>
      <c r="AC50" s="250">
        <f t="shared" si="8"/>
        <v>0</v>
      </c>
      <c r="AD50" s="250">
        <f t="shared" si="8"/>
        <v>0</v>
      </c>
      <c r="AE50" s="250">
        <f t="shared" si="8"/>
        <v>0</v>
      </c>
      <c r="AF50" s="250">
        <f t="shared" si="8"/>
        <v>0</v>
      </c>
      <c r="AG50" s="250">
        <f t="shared" si="8"/>
        <v>0</v>
      </c>
      <c r="AH50" s="250">
        <f t="shared" si="8"/>
        <v>0</v>
      </c>
      <c r="AI50" s="250">
        <f t="shared" si="8"/>
        <v>0</v>
      </c>
      <c r="AJ50" s="250">
        <f t="shared" si="8"/>
        <v>0</v>
      </c>
      <c r="AK50" s="250">
        <f t="shared" si="8"/>
        <v>0</v>
      </c>
      <c r="AL50" s="250">
        <f t="shared" si="8"/>
        <v>0</v>
      </c>
      <c r="AM50" s="250">
        <f t="shared" si="8"/>
        <v>0</v>
      </c>
      <c r="AN50" s="250">
        <f t="shared" si="8"/>
        <v>0</v>
      </c>
      <c r="AO50" s="250">
        <f t="shared" si="8"/>
        <v>0</v>
      </c>
      <c r="AP50" s="250">
        <f t="shared" si="8"/>
        <v>0</v>
      </c>
      <c r="AQ50" s="250">
        <f t="shared" si="8"/>
        <v>0</v>
      </c>
      <c r="AR50" s="250">
        <f t="shared" si="8"/>
        <v>0</v>
      </c>
      <c r="AS50" s="250">
        <f t="shared" si="8"/>
        <v>0</v>
      </c>
      <c r="AT50" s="250">
        <f t="shared" si="8"/>
        <v>0</v>
      </c>
      <c r="AU50" s="250">
        <f t="shared" si="8"/>
        <v>0</v>
      </c>
      <c r="AV50" s="250">
        <f t="shared" si="8"/>
        <v>0</v>
      </c>
      <c r="AW50" s="250">
        <f t="shared" si="8"/>
        <v>0</v>
      </c>
      <c r="AX50" s="250">
        <f t="shared" si="8"/>
        <v>0</v>
      </c>
      <c r="AY50" s="250">
        <f t="shared" si="8"/>
        <v>0</v>
      </c>
      <c r="AZ50" s="250">
        <f t="shared" si="8"/>
        <v>0</v>
      </c>
      <c r="BA50" s="250">
        <f t="shared" si="8"/>
        <v>0</v>
      </c>
      <c r="BB50" s="250">
        <f t="shared" si="8"/>
        <v>0</v>
      </c>
      <c r="BC50" s="250">
        <f t="shared" si="8"/>
        <v>0</v>
      </c>
      <c r="BD50" s="250">
        <f t="shared" si="8"/>
        <v>0</v>
      </c>
      <c r="BE50" s="250">
        <f t="shared" si="8"/>
        <v>0</v>
      </c>
      <c r="BF50" s="250">
        <f t="shared" si="8"/>
        <v>0</v>
      </c>
      <c r="BG50" s="250">
        <f t="shared" si="8"/>
        <v>0</v>
      </c>
      <c r="BH50" s="250">
        <f t="shared" si="8"/>
        <v>0</v>
      </c>
      <c r="BI50" s="250">
        <f t="shared" si="8"/>
        <v>0</v>
      </c>
      <c r="BJ50" s="250">
        <f t="shared" si="8"/>
        <v>0</v>
      </c>
      <c r="BK50" s="250">
        <f t="shared" si="8"/>
        <v>0</v>
      </c>
      <c r="BL50" s="250">
        <f t="shared" si="8"/>
        <v>0</v>
      </c>
      <c r="BM50" s="250">
        <f t="shared" si="8"/>
        <v>0</v>
      </c>
      <c r="BN50" s="150"/>
      <c r="BO50" s="150"/>
      <c r="BP50" s="150"/>
      <c r="BQ50" s="150"/>
      <c r="BR50" s="150"/>
      <c r="BS50" s="150"/>
      <c r="BT50" s="150"/>
      <c r="BU50" s="150"/>
      <c r="BV50" s="150"/>
      <c r="BW50" s="150"/>
      <c r="BX50" s="150"/>
      <c r="BY50" s="150"/>
      <c r="BZ50" s="150"/>
      <c r="CA50" s="150"/>
      <c r="CB50" s="150"/>
      <c r="CC50" s="150"/>
      <c r="CD50" s="150"/>
      <c r="CE50" s="150"/>
      <c r="CF50" s="150"/>
      <c r="CG50" s="150"/>
      <c r="CH50" s="150"/>
      <c r="CI50" s="150"/>
      <c r="CJ50" s="150"/>
      <c r="CK50" s="150"/>
      <c r="CL50" s="150"/>
      <c r="CM50" s="150"/>
      <c r="CN50" s="150"/>
      <c r="CO50" s="150"/>
      <c r="CP50" s="150"/>
      <c r="CQ50" s="150"/>
      <c r="CR50" s="150"/>
      <c r="CS50" s="150"/>
      <c r="CT50" s="150"/>
      <c r="CU50" s="150"/>
      <c r="CV50" s="150"/>
      <c r="CW50" s="150"/>
      <c r="CX50" s="150"/>
      <c r="CY50" s="150"/>
      <c r="CZ50" s="150"/>
      <c r="DA50" s="150"/>
      <c r="DB50" s="150"/>
      <c r="DC50" s="150"/>
      <c r="DD50" s="150"/>
      <c r="DE50" s="150"/>
      <c r="DF50" s="150"/>
      <c r="DG50" s="150"/>
      <c r="DH50" s="150"/>
      <c r="DI50" s="150"/>
      <c r="DJ50" s="150"/>
      <c r="DK50" s="150"/>
      <c r="DL50" s="150"/>
      <c r="DM50" s="150"/>
      <c r="DN50" s="150"/>
      <c r="DO50" s="150"/>
      <c r="DP50" s="150"/>
      <c r="DQ50" s="150"/>
      <c r="DR50" s="150"/>
      <c r="DS50" s="150"/>
      <c r="DT50" s="150"/>
      <c r="DU50" s="150"/>
      <c r="DV50" s="150"/>
      <c r="DW50" s="150"/>
      <c r="DX50" s="150"/>
      <c r="DY50" s="150"/>
      <c r="DZ50" s="150"/>
      <c r="EA50" s="150"/>
      <c r="EB50" s="150"/>
      <c r="EC50" s="150"/>
      <c r="ED50" s="150"/>
      <c r="EE50" s="150"/>
      <c r="EF50" s="150"/>
      <c r="EG50" s="150"/>
      <c r="EH50" s="150"/>
      <c r="EI50" s="150"/>
      <c r="EJ50" s="150"/>
      <c r="EK50" s="150"/>
      <c r="EL50" s="150"/>
      <c r="EM50" s="150"/>
      <c r="EN50" s="150"/>
      <c r="EO50" s="150"/>
      <c r="EP50" s="150"/>
      <c r="EQ50" s="150"/>
      <c r="ER50" s="150"/>
      <c r="ES50" s="150"/>
      <c r="ET50" s="150"/>
      <c r="EU50" s="150"/>
      <c r="EV50" s="150"/>
      <c r="EW50" s="150"/>
      <c r="EX50" s="150"/>
      <c r="EY50" s="150"/>
      <c r="EZ50" s="150"/>
      <c r="FA50" s="150"/>
      <c r="FB50" s="150"/>
      <c r="FC50" s="150"/>
      <c r="FD50" s="150"/>
      <c r="FE50" s="150"/>
      <c r="FF50" s="150"/>
      <c r="FG50" s="150"/>
      <c r="FH50" s="150"/>
      <c r="FI50" s="150"/>
      <c r="FJ50" s="150"/>
      <c r="FK50" s="150"/>
      <c r="FL50" s="150"/>
      <c r="FM50" s="150"/>
      <c r="FN50" s="150"/>
      <c r="FO50" s="150"/>
      <c r="FP50" s="150"/>
      <c r="FQ50" s="150"/>
      <c r="FR50" s="150"/>
      <c r="FS50" s="150"/>
      <c r="FT50" s="150"/>
      <c r="FU50" s="150"/>
      <c r="FV50" s="150"/>
      <c r="FW50" s="150"/>
      <c r="FX50" s="150"/>
      <c r="FY50" s="150"/>
      <c r="FZ50" s="150"/>
      <c r="GA50" s="150"/>
      <c r="GB50" s="150"/>
      <c r="GC50" s="150"/>
      <c r="GD50" s="150"/>
      <c r="GE50" s="150"/>
      <c r="GF50" s="150"/>
      <c r="GG50" s="150"/>
      <c r="GH50" s="150"/>
      <c r="GI50" s="150"/>
      <c r="GJ50" s="150"/>
      <c r="GK50" s="150"/>
      <c r="GL50" s="150"/>
      <c r="GM50" s="150"/>
      <c r="GN50" s="150"/>
      <c r="GO50" s="150"/>
      <c r="GP50" s="150"/>
      <c r="GQ50" s="150"/>
      <c r="GR50" s="150"/>
      <c r="GS50" s="150"/>
      <c r="GT50" s="150"/>
      <c r="GU50" s="150"/>
      <c r="GV50" s="150"/>
      <c r="GW50" s="150"/>
      <c r="GX50" s="150"/>
      <c r="GY50" s="150"/>
      <c r="GZ50" s="150"/>
      <c r="HA50" s="150"/>
      <c r="HB50" s="150"/>
      <c r="HC50" s="150"/>
      <c r="HD50" s="150"/>
      <c r="HE50" s="150"/>
      <c r="HF50" s="150"/>
      <c r="HG50" s="150"/>
      <c r="HH50" s="150"/>
      <c r="HI50" s="150"/>
      <c r="HJ50" s="150"/>
      <c r="HK50" s="150"/>
      <c r="HL50" s="150"/>
      <c r="HM50" s="150"/>
      <c r="HN50" s="150"/>
      <c r="HO50" s="150"/>
      <c r="HP50" s="150"/>
      <c r="HQ50" s="150"/>
      <c r="HR50" s="150"/>
      <c r="HS50" s="150"/>
      <c r="HT50" s="150"/>
      <c r="HU50" s="150"/>
      <c r="HV50" s="150"/>
      <c r="HW50" s="150"/>
      <c r="HX50" s="150"/>
      <c r="HY50" s="150"/>
      <c r="HZ50" s="150"/>
      <c r="IA50" s="150"/>
      <c r="IB50" s="150"/>
      <c r="IC50" s="150"/>
      <c r="ID50" s="150"/>
      <c r="IE50" s="150"/>
      <c r="IF50" s="150"/>
      <c r="IG50" s="150"/>
      <c r="IH50" s="150"/>
      <c r="II50" s="150"/>
      <c r="IJ50" s="150"/>
      <c r="IK50" s="150"/>
      <c r="IL50" s="150"/>
      <c r="IM50" s="150"/>
      <c r="IN50" s="150"/>
      <c r="IO50" s="150"/>
      <c r="IP50" s="150"/>
      <c r="IQ50" s="150"/>
      <c r="IR50" s="150"/>
      <c r="IS50" s="150"/>
      <c r="IT50" s="150"/>
      <c r="IU50" s="150"/>
      <c r="IV50" s="150"/>
      <c r="IW50" s="150"/>
      <c r="IX50" s="150"/>
      <c r="IY50" s="150"/>
      <c r="IZ50" s="150"/>
      <c r="JA50" s="150"/>
      <c r="JB50" s="150"/>
      <c r="JC50" s="150"/>
      <c r="JD50" s="150"/>
      <c r="JE50" s="150"/>
      <c r="JF50" s="150"/>
      <c r="JG50" s="150"/>
      <c r="JH50" s="150"/>
      <c r="JI50" s="150"/>
      <c r="JJ50" s="150"/>
      <c r="JK50" s="150"/>
      <c r="JL50" s="150"/>
      <c r="JM50" s="150"/>
      <c r="JN50" s="150"/>
      <c r="JO50" s="150"/>
      <c r="JP50" s="150"/>
      <c r="JQ50" s="150"/>
      <c r="JR50" s="150"/>
      <c r="JS50" s="150"/>
      <c r="JT50" s="150"/>
      <c r="JU50" s="150"/>
      <c r="JV50" s="150"/>
      <c r="JW50" s="150"/>
      <c r="JX50" s="150"/>
      <c r="JY50" s="150"/>
      <c r="JZ50" s="150"/>
      <c r="KA50" s="150"/>
      <c r="KB50" s="150"/>
      <c r="KC50" s="150"/>
      <c r="KD50" s="150"/>
      <c r="KE50" s="150"/>
      <c r="KF50" s="150"/>
      <c r="KG50" s="150"/>
      <c r="KH50" s="150"/>
      <c r="KI50" s="150"/>
      <c r="KJ50" s="150"/>
      <c r="KK50" s="150"/>
      <c r="KL50" s="150"/>
      <c r="KM50" s="150"/>
      <c r="KN50" s="150"/>
      <c r="KO50" s="150"/>
      <c r="KP50" s="150"/>
      <c r="KQ50" s="150"/>
      <c r="KR50" s="150"/>
      <c r="KS50" s="150"/>
      <c r="KT50" s="150"/>
    </row>
    <row r="51" spans="1:307" s="157" customFormat="1" x14ac:dyDescent="0.15">
      <c r="C51" s="92" t="s">
        <v>218</v>
      </c>
      <c r="D51" s="225"/>
      <c r="E51" s="250"/>
      <c r="F51" s="148">
        <f t="shared" ref="F51:BM51" si="9">IFERROR(F$44*E$10/12,0)</f>
        <v>0.22705578256100425</v>
      </c>
      <c r="G51" s="148">
        <f t="shared" si="9"/>
        <v>0.19863052498172806</v>
      </c>
      <c r="H51" s="148">
        <f t="shared" si="9"/>
        <v>0.18750187596949155</v>
      </c>
      <c r="I51" s="148">
        <f t="shared" si="9"/>
        <v>0.17673091871840027</v>
      </c>
      <c r="J51" s="148">
        <f t="shared" si="9"/>
        <v>0.16624533137098249</v>
      </c>
      <c r="K51" s="148">
        <f t="shared" si="9"/>
        <v>0.15599402985463912</v>
      </c>
      <c r="L51" s="148">
        <f t="shared" si="9"/>
        <v>0.14595216622829085</v>
      </c>
      <c r="M51" s="148">
        <f t="shared" si="9"/>
        <v>0.13609519467836226</v>
      </c>
      <c r="N51" s="148">
        <f t="shared" si="9"/>
        <v>0.12642139458618415</v>
      </c>
      <c r="O51" s="148">
        <f t="shared" si="9"/>
        <v>1.2898426665926197E-3</v>
      </c>
      <c r="P51" s="148">
        <f t="shared" si="9"/>
        <v>0</v>
      </c>
      <c r="Q51" s="148">
        <f t="shared" si="9"/>
        <v>0</v>
      </c>
      <c r="R51" s="148">
        <f t="shared" si="9"/>
        <v>0</v>
      </c>
      <c r="S51" s="148">
        <f t="shared" si="9"/>
        <v>0</v>
      </c>
      <c r="T51" s="148">
        <f t="shared" si="9"/>
        <v>0</v>
      </c>
      <c r="U51" s="148">
        <f t="shared" si="9"/>
        <v>0</v>
      </c>
      <c r="V51" s="148">
        <f t="shared" si="9"/>
        <v>0</v>
      </c>
      <c r="W51" s="148">
        <f t="shared" si="9"/>
        <v>0</v>
      </c>
      <c r="X51" s="148">
        <f t="shared" si="9"/>
        <v>0</v>
      </c>
      <c r="Y51" s="148">
        <f t="shared" si="9"/>
        <v>0</v>
      </c>
      <c r="Z51" s="148">
        <f t="shared" si="9"/>
        <v>0</v>
      </c>
      <c r="AA51" s="148">
        <f t="shared" si="9"/>
        <v>0</v>
      </c>
      <c r="AB51" s="148">
        <f t="shared" si="9"/>
        <v>0</v>
      </c>
      <c r="AC51" s="148">
        <f t="shared" si="9"/>
        <v>0</v>
      </c>
      <c r="AD51" s="148">
        <f t="shared" si="9"/>
        <v>0</v>
      </c>
      <c r="AE51" s="148">
        <f t="shared" si="9"/>
        <v>0</v>
      </c>
      <c r="AF51" s="148">
        <f t="shared" si="9"/>
        <v>0</v>
      </c>
      <c r="AG51" s="148">
        <f t="shared" si="9"/>
        <v>0</v>
      </c>
      <c r="AH51" s="148">
        <f t="shared" si="9"/>
        <v>0</v>
      </c>
      <c r="AI51" s="148">
        <f t="shared" si="9"/>
        <v>0</v>
      </c>
      <c r="AJ51" s="148">
        <f t="shared" si="9"/>
        <v>0</v>
      </c>
      <c r="AK51" s="148">
        <f t="shared" si="9"/>
        <v>0</v>
      </c>
      <c r="AL51" s="148">
        <f t="shared" si="9"/>
        <v>0</v>
      </c>
      <c r="AM51" s="148">
        <f t="shared" si="9"/>
        <v>0</v>
      </c>
      <c r="AN51" s="148">
        <f t="shared" si="9"/>
        <v>0</v>
      </c>
      <c r="AO51" s="148">
        <f t="shared" si="9"/>
        <v>0</v>
      </c>
      <c r="AP51" s="148">
        <f t="shared" si="9"/>
        <v>0</v>
      </c>
      <c r="AQ51" s="148">
        <f t="shared" si="9"/>
        <v>0</v>
      </c>
      <c r="AR51" s="148">
        <f t="shared" si="9"/>
        <v>0</v>
      </c>
      <c r="AS51" s="148">
        <f t="shared" si="9"/>
        <v>0</v>
      </c>
      <c r="AT51" s="148">
        <f t="shared" si="9"/>
        <v>0</v>
      </c>
      <c r="AU51" s="148">
        <f t="shared" si="9"/>
        <v>0</v>
      </c>
      <c r="AV51" s="148">
        <f t="shared" si="9"/>
        <v>0</v>
      </c>
      <c r="AW51" s="148">
        <f t="shared" si="9"/>
        <v>0</v>
      </c>
      <c r="AX51" s="148">
        <f t="shared" si="9"/>
        <v>0</v>
      </c>
      <c r="AY51" s="148">
        <f t="shared" si="9"/>
        <v>0</v>
      </c>
      <c r="AZ51" s="148">
        <f t="shared" si="9"/>
        <v>0</v>
      </c>
      <c r="BA51" s="148">
        <f t="shared" si="9"/>
        <v>0</v>
      </c>
      <c r="BB51" s="148">
        <f t="shared" si="9"/>
        <v>0</v>
      </c>
      <c r="BC51" s="148">
        <f t="shared" si="9"/>
        <v>0</v>
      </c>
      <c r="BD51" s="148">
        <f t="shared" si="9"/>
        <v>0</v>
      </c>
      <c r="BE51" s="148">
        <f t="shared" si="9"/>
        <v>0</v>
      </c>
      <c r="BF51" s="148">
        <f t="shared" si="9"/>
        <v>0</v>
      </c>
      <c r="BG51" s="148">
        <f t="shared" si="9"/>
        <v>0</v>
      </c>
      <c r="BH51" s="148">
        <f t="shared" si="9"/>
        <v>0</v>
      </c>
      <c r="BI51" s="148">
        <f t="shared" si="9"/>
        <v>0</v>
      </c>
      <c r="BJ51" s="148">
        <f t="shared" si="9"/>
        <v>0</v>
      </c>
      <c r="BK51" s="148">
        <f t="shared" si="9"/>
        <v>0</v>
      </c>
      <c r="BL51" s="148">
        <f t="shared" si="9"/>
        <v>0</v>
      </c>
      <c r="BM51" s="148">
        <f t="shared" si="9"/>
        <v>0</v>
      </c>
      <c r="BN51" s="239"/>
      <c r="BO51" s="239"/>
      <c r="BP51" s="239"/>
      <c r="BQ51" s="239"/>
      <c r="BR51" s="239"/>
      <c r="BS51" s="239"/>
      <c r="BT51" s="239"/>
      <c r="BU51" s="239"/>
      <c r="BV51" s="239"/>
      <c r="BW51" s="239"/>
      <c r="BX51" s="239"/>
      <c r="BY51" s="239"/>
      <c r="BZ51" s="239"/>
      <c r="CA51" s="239"/>
      <c r="CB51" s="239"/>
      <c r="CC51" s="239"/>
      <c r="CD51" s="239"/>
      <c r="CE51" s="239"/>
      <c r="CF51" s="239"/>
      <c r="CG51" s="239"/>
      <c r="CH51" s="239"/>
      <c r="CI51" s="239"/>
      <c r="CJ51" s="239"/>
      <c r="CK51" s="239"/>
      <c r="CL51" s="239"/>
      <c r="CM51" s="239"/>
      <c r="CN51" s="239"/>
      <c r="CO51" s="239"/>
      <c r="CP51" s="239"/>
      <c r="CQ51" s="239"/>
      <c r="CR51" s="239"/>
      <c r="CS51" s="239"/>
      <c r="CT51" s="239"/>
      <c r="CU51" s="239"/>
      <c r="CV51" s="239"/>
      <c r="CW51" s="239"/>
      <c r="CX51" s="239"/>
      <c r="CY51" s="239"/>
      <c r="CZ51" s="239"/>
      <c r="DA51" s="239"/>
      <c r="DB51" s="239"/>
      <c r="DC51" s="239"/>
      <c r="DD51" s="239"/>
      <c r="DE51" s="239"/>
      <c r="DF51" s="239"/>
      <c r="DG51" s="239"/>
      <c r="DH51" s="239"/>
      <c r="DI51" s="239"/>
      <c r="DJ51" s="239"/>
      <c r="DK51" s="239"/>
      <c r="DL51" s="239"/>
      <c r="DM51" s="239"/>
      <c r="DN51" s="239"/>
      <c r="DO51" s="239"/>
      <c r="DP51" s="239"/>
      <c r="DQ51" s="239"/>
      <c r="DR51" s="239"/>
      <c r="DS51" s="239"/>
      <c r="DT51" s="239"/>
      <c r="DU51" s="239"/>
      <c r="DV51" s="239"/>
      <c r="DW51" s="239"/>
      <c r="DX51" s="239"/>
      <c r="DY51" s="239"/>
      <c r="DZ51" s="239"/>
      <c r="EA51" s="239"/>
      <c r="EB51" s="239"/>
      <c r="EC51" s="239"/>
      <c r="ED51" s="239"/>
      <c r="EE51" s="239"/>
      <c r="EF51" s="239"/>
      <c r="EG51" s="239"/>
      <c r="EH51" s="239"/>
      <c r="EI51" s="239"/>
      <c r="EJ51" s="239"/>
      <c r="EK51" s="239"/>
      <c r="EL51" s="239"/>
      <c r="EM51" s="239"/>
      <c r="EN51" s="239"/>
      <c r="EO51" s="239"/>
      <c r="EP51" s="239"/>
      <c r="EQ51" s="239"/>
      <c r="ER51" s="239"/>
      <c r="ES51" s="239"/>
      <c r="ET51" s="239"/>
      <c r="EU51" s="239"/>
      <c r="EV51" s="239"/>
      <c r="EW51" s="239"/>
      <c r="EX51" s="239"/>
      <c r="EY51" s="239"/>
      <c r="EZ51" s="239"/>
      <c r="FA51" s="239"/>
      <c r="FB51" s="239"/>
      <c r="FC51" s="239"/>
      <c r="FD51" s="239"/>
      <c r="FE51" s="239"/>
      <c r="FF51" s="239"/>
      <c r="FG51" s="239"/>
      <c r="FH51" s="239"/>
      <c r="FI51" s="239"/>
      <c r="FJ51" s="239"/>
      <c r="FK51" s="239"/>
      <c r="FL51" s="239"/>
      <c r="FM51" s="239"/>
      <c r="FN51" s="239"/>
      <c r="FO51" s="239"/>
      <c r="FP51" s="239"/>
      <c r="FQ51" s="239"/>
      <c r="FR51" s="239"/>
      <c r="FS51" s="239"/>
      <c r="FT51" s="239"/>
      <c r="FU51" s="239"/>
      <c r="FV51" s="239"/>
      <c r="FW51" s="239"/>
      <c r="FX51" s="239"/>
      <c r="FY51" s="239"/>
      <c r="FZ51" s="239"/>
      <c r="GA51" s="239"/>
      <c r="GB51" s="239"/>
      <c r="GC51" s="239"/>
      <c r="GD51" s="239"/>
      <c r="GE51" s="239"/>
      <c r="GF51" s="239"/>
      <c r="GG51" s="239"/>
      <c r="GH51" s="239"/>
      <c r="GI51" s="239"/>
      <c r="GJ51" s="239"/>
      <c r="GK51" s="239"/>
      <c r="GL51" s="239"/>
      <c r="GM51" s="239"/>
      <c r="GN51" s="239"/>
      <c r="GO51" s="239"/>
      <c r="GP51" s="239"/>
      <c r="GQ51" s="239"/>
      <c r="GR51" s="239"/>
      <c r="GS51" s="239"/>
      <c r="GT51" s="239"/>
      <c r="GU51" s="239"/>
      <c r="GV51" s="239"/>
      <c r="GW51" s="239"/>
      <c r="GX51" s="239"/>
      <c r="GY51" s="239"/>
      <c r="GZ51" s="239"/>
      <c r="HA51" s="239"/>
      <c r="HB51" s="239"/>
      <c r="HC51" s="239"/>
      <c r="HD51" s="239"/>
      <c r="HE51" s="239"/>
      <c r="HF51" s="239"/>
      <c r="HG51" s="239"/>
      <c r="HH51" s="239"/>
      <c r="HI51" s="239"/>
      <c r="HJ51" s="239"/>
      <c r="HK51" s="239"/>
      <c r="HL51" s="239"/>
      <c r="HM51" s="239"/>
      <c r="HN51" s="239"/>
      <c r="HO51" s="239"/>
      <c r="HP51" s="239"/>
      <c r="HQ51" s="239"/>
      <c r="HR51" s="239"/>
      <c r="HS51" s="239"/>
      <c r="HT51" s="239"/>
      <c r="HU51" s="239"/>
      <c r="HV51" s="239"/>
      <c r="HW51" s="239"/>
      <c r="HX51" s="239"/>
      <c r="HY51" s="239"/>
      <c r="HZ51" s="239"/>
      <c r="IA51" s="239"/>
      <c r="IB51" s="239"/>
      <c r="IC51" s="239"/>
      <c r="ID51" s="239"/>
      <c r="IE51" s="239"/>
      <c r="IF51" s="239"/>
      <c r="IG51" s="239"/>
      <c r="IH51" s="239"/>
      <c r="II51" s="239"/>
      <c r="IJ51" s="239"/>
      <c r="IK51" s="239"/>
      <c r="IL51" s="239"/>
      <c r="IM51" s="239"/>
      <c r="IN51" s="239"/>
      <c r="IO51" s="239"/>
      <c r="IP51" s="239"/>
      <c r="IQ51" s="239"/>
      <c r="IR51" s="239"/>
      <c r="IS51" s="239"/>
      <c r="IT51" s="239"/>
      <c r="IU51" s="239"/>
      <c r="IV51" s="239"/>
      <c r="IW51" s="239"/>
      <c r="IX51" s="239"/>
      <c r="IY51" s="239"/>
      <c r="IZ51" s="239"/>
      <c r="JA51" s="239"/>
      <c r="JB51" s="239"/>
      <c r="JC51" s="239"/>
      <c r="JD51" s="239"/>
      <c r="JE51" s="239"/>
      <c r="JF51" s="239"/>
      <c r="JG51" s="239"/>
      <c r="JH51" s="239"/>
      <c r="JI51" s="239"/>
      <c r="JJ51" s="239"/>
      <c r="JK51" s="239"/>
      <c r="JL51" s="239"/>
      <c r="JM51" s="239"/>
      <c r="JN51" s="239"/>
      <c r="JO51" s="239"/>
      <c r="JP51" s="239"/>
      <c r="JQ51" s="239"/>
      <c r="JR51" s="239"/>
      <c r="JS51" s="239"/>
      <c r="JT51" s="239"/>
      <c r="JU51" s="239"/>
      <c r="JV51" s="239"/>
      <c r="JW51" s="239"/>
      <c r="JX51" s="239"/>
      <c r="JY51" s="239"/>
      <c r="JZ51" s="239"/>
      <c r="KA51" s="239"/>
      <c r="KB51" s="239"/>
      <c r="KC51" s="239"/>
      <c r="KD51" s="239"/>
      <c r="KE51" s="239"/>
      <c r="KF51" s="239"/>
      <c r="KG51" s="239"/>
      <c r="KH51" s="239"/>
      <c r="KI51" s="239"/>
      <c r="KJ51" s="239"/>
      <c r="KK51" s="239"/>
      <c r="KL51" s="239"/>
      <c r="KM51" s="239"/>
      <c r="KN51" s="239"/>
      <c r="KO51" s="239"/>
      <c r="KP51" s="239"/>
      <c r="KQ51" s="239"/>
      <c r="KR51" s="239"/>
      <c r="KS51" s="239"/>
      <c r="KT51" s="239"/>
      <c r="KU51" s="92"/>
    </row>
    <row r="52" spans="1:307" s="157" customFormat="1" x14ac:dyDescent="0.15">
      <c r="C52" s="173" t="s">
        <v>220</v>
      </c>
      <c r="D52" s="225"/>
      <c r="F52" s="148">
        <f>-IFERROR((F44*F11/12)+((F43-F44)*F12/12),0)</f>
        <v>-4.1717038645836008E-2</v>
      </c>
      <c r="G52" s="148">
        <f t="shared" ref="G52:AC52" si="10">-IFERROR((G44*G11/12)+((G43-G44)*G12/12),0)</f>
        <v>-3.8704141410303407E-2</v>
      </c>
      <c r="H52" s="148">
        <f t="shared" si="10"/>
        <v>-3.7313573455442207E-2</v>
      </c>
      <c r="I52" s="148">
        <f t="shared" si="10"/>
        <v>-3.5923005500581008E-2</v>
      </c>
      <c r="J52" s="148">
        <f t="shared" si="10"/>
        <v>-3.4532437545719802E-2</v>
      </c>
      <c r="K52" s="148">
        <f t="shared" si="10"/>
        <v>-3.3141869590858603E-2</v>
      </c>
      <c r="L52" s="148">
        <f t="shared" si="10"/>
        <v>-3.1751301635997403E-2</v>
      </c>
      <c r="M52" s="148">
        <f t="shared" si="10"/>
        <v>-3.03607336811362E-2</v>
      </c>
      <c r="N52" s="148">
        <f t="shared" si="10"/>
        <v>-1.9739087555496703E-2</v>
      </c>
      <c r="O52" s="148">
        <f t="shared" si="10"/>
        <v>-9.0416801668223926E-3</v>
      </c>
      <c r="P52" s="148">
        <f t="shared" si="10"/>
        <v>-8.0867017849818989E-3</v>
      </c>
      <c r="Q52" s="148">
        <f t="shared" si="10"/>
        <v>-7.8227760910129732E-3</v>
      </c>
      <c r="R52" s="148">
        <f t="shared" si="10"/>
        <v>-7.7273064265285657E-3</v>
      </c>
      <c r="S52" s="148">
        <f t="shared" si="10"/>
        <v>-7.704574091313701E-3</v>
      </c>
      <c r="T52" s="148">
        <f t="shared" si="10"/>
        <v>-7.6973188679893964E-3</v>
      </c>
      <c r="U52" s="148">
        <f t="shared" si="10"/>
        <v>0</v>
      </c>
      <c r="V52" s="148">
        <f t="shared" si="10"/>
        <v>0</v>
      </c>
      <c r="W52" s="148">
        <f t="shared" si="10"/>
        <v>0</v>
      </c>
      <c r="X52" s="148">
        <f t="shared" si="10"/>
        <v>0</v>
      </c>
      <c r="Y52" s="148">
        <f t="shared" si="10"/>
        <v>0</v>
      </c>
      <c r="Z52" s="148">
        <f t="shared" si="10"/>
        <v>0</v>
      </c>
      <c r="AA52" s="148">
        <f t="shared" si="10"/>
        <v>0</v>
      </c>
      <c r="AB52" s="148">
        <f t="shared" si="10"/>
        <v>0</v>
      </c>
      <c r="AC52" s="148">
        <f t="shared" si="10"/>
        <v>0</v>
      </c>
      <c r="AD52" s="148">
        <f t="shared" ref="AD52:BM52" si="11">-IFERROR(AD43*AC11/12,0)</f>
        <v>0</v>
      </c>
      <c r="AE52" s="148">
        <f t="shared" si="11"/>
        <v>0</v>
      </c>
      <c r="AF52" s="148">
        <f t="shared" si="11"/>
        <v>0</v>
      </c>
      <c r="AG52" s="148">
        <f t="shared" si="11"/>
        <v>0</v>
      </c>
      <c r="AH52" s="148">
        <f t="shared" si="11"/>
        <v>0</v>
      </c>
      <c r="AI52" s="148">
        <f t="shared" si="11"/>
        <v>0</v>
      </c>
      <c r="AJ52" s="148">
        <f t="shared" si="11"/>
        <v>0</v>
      </c>
      <c r="AK52" s="148">
        <f t="shared" si="11"/>
        <v>0</v>
      </c>
      <c r="AL52" s="148">
        <f t="shared" si="11"/>
        <v>0</v>
      </c>
      <c r="AM52" s="148">
        <f t="shared" si="11"/>
        <v>0</v>
      </c>
      <c r="AN52" s="148">
        <f t="shared" si="11"/>
        <v>0</v>
      </c>
      <c r="AO52" s="148">
        <f t="shared" si="11"/>
        <v>0</v>
      </c>
      <c r="AP52" s="148">
        <f t="shared" si="11"/>
        <v>0</v>
      </c>
      <c r="AQ52" s="148">
        <f t="shared" si="11"/>
        <v>0</v>
      </c>
      <c r="AR52" s="148">
        <f t="shared" si="11"/>
        <v>0</v>
      </c>
      <c r="AS52" s="148">
        <f t="shared" si="11"/>
        <v>0</v>
      </c>
      <c r="AT52" s="148">
        <f t="shared" si="11"/>
        <v>0</v>
      </c>
      <c r="AU52" s="148">
        <f t="shared" si="11"/>
        <v>0</v>
      </c>
      <c r="AV52" s="148">
        <f t="shared" si="11"/>
        <v>0</v>
      </c>
      <c r="AW52" s="148">
        <f t="shared" si="11"/>
        <v>0</v>
      </c>
      <c r="AX52" s="148">
        <f t="shared" si="11"/>
        <v>0</v>
      </c>
      <c r="AY52" s="148">
        <f t="shared" si="11"/>
        <v>0</v>
      </c>
      <c r="AZ52" s="148">
        <f t="shared" si="11"/>
        <v>0</v>
      </c>
      <c r="BA52" s="148">
        <f t="shared" si="11"/>
        <v>0</v>
      </c>
      <c r="BB52" s="148">
        <f t="shared" si="11"/>
        <v>0</v>
      </c>
      <c r="BC52" s="148">
        <f t="shared" si="11"/>
        <v>0</v>
      </c>
      <c r="BD52" s="148">
        <f t="shared" si="11"/>
        <v>0</v>
      </c>
      <c r="BE52" s="148">
        <f t="shared" si="11"/>
        <v>0</v>
      </c>
      <c r="BF52" s="148">
        <f t="shared" si="11"/>
        <v>0</v>
      </c>
      <c r="BG52" s="148">
        <f t="shared" si="11"/>
        <v>0</v>
      </c>
      <c r="BH52" s="148">
        <f t="shared" si="11"/>
        <v>0</v>
      </c>
      <c r="BI52" s="148">
        <f t="shared" si="11"/>
        <v>0</v>
      </c>
      <c r="BJ52" s="148">
        <f t="shared" si="11"/>
        <v>0</v>
      </c>
      <c r="BK52" s="148">
        <f t="shared" si="11"/>
        <v>0</v>
      </c>
      <c r="BL52" s="148">
        <f t="shared" si="11"/>
        <v>0</v>
      </c>
      <c r="BM52" s="148">
        <f t="shared" si="11"/>
        <v>0</v>
      </c>
      <c r="BN52" s="239"/>
      <c r="BO52" s="239"/>
      <c r="BP52" s="239"/>
      <c r="BQ52" s="239"/>
      <c r="BR52" s="239"/>
      <c r="BS52" s="239"/>
      <c r="BT52" s="239"/>
      <c r="BU52" s="239"/>
      <c r="BV52" s="239"/>
      <c r="BW52" s="239"/>
      <c r="BX52" s="239"/>
      <c r="BY52" s="239"/>
      <c r="BZ52" s="239"/>
      <c r="CA52" s="239"/>
      <c r="CB52" s="239"/>
      <c r="CC52" s="239"/>
      <c r="CD52" s="239"/>
      <c r="CE52" s="239"/>
      <c r="CF52" s="239"/>
      <c r="CG52" s="239"/>
      <c r="CH52" s="239"/>
      <c r="CI52" s="239"/>
      <c r="CJ52" s="239"/>
      <c r="CK52" s="239"/>
      <c r="CL52" s="239"/>
      <c r="CM52" s="239"/>
      <c r="CN52" s="239"/>
      <c r="CO52" s="239"/>
      <c r="CP52" s="239"/>
      <c r="CQ52" s="239"/>
      <c r="CR52" s="239"/>
      <c r="CS52" s="239"/>
      <c r="CT52" s="239"/>
      <c r="CU52" s="239"/>
      <c r="CV52" s="239"/>
      <c r="CW52" s="239"/>
      <c r="CX52" s="239"/>
      <c r="CY52" s="239"/>
      <c r="CZ52" s="239"/>
      <c r="DA52" s="239"/>
      <c r="DB52" s="239"/>
      <c r="DC52" s="239"/>
      <c r="DD52" s="239"/>
      <c r="DE52" s="239"/>
      <c r="DF52" s="239"/>
      <c r="DG52" s="239"/>
      <c r="DH52" s="239"/>
      <c r="DI52" s="239"/>
      <c r="DJ52" s="239"/>
      <c r="DK52" s="239"/>
      <c r="DL52" s="239"/>
      <c r="DM52" s="239"/>
      <c r="DN52" s="239"/>
      <c r="DO52" s="239"/>
      <c r="DP52" s="239"/>
      <c r="DQ52" s="239"/>
      <c r="DR52" s="239"/>
      <c r="DS52" s="239"/>
      <c r="DT52" s="239"/>
      <c r="DU52" s="239"/>
      <c r="DV52" s="239"/>
      <c r="DW52" s="239"/>
      <c r="DX52" s="239"/>
      <c r="DY52" s="239"/>
      <c r="DZ52" s="239"/>
      <c r="EA52" s="239"/>
      <c r="EB52" s="239"/>
      <c r="EC52" s="239"/>
      <c r="ED52" s="239"/>
      <c r="EE52" s="239"/>
      <c r="EF52" s="239"/>
      <c r="EG52" s="239"/>
      <c r="EH52" s="239"/>
      <c r="EI52" s="239"/>
      <c r="EJ52" s="239"/>
      <c r="EK52" s="239"/>
      <c r="EL52" s="239"/>
      <c r="EM52" s="239"/>
      <c r="EN52" s="239"/>
      <c r="EO52" s="239"/>
      <c r="EP52" s="239"/>
      <c r="EQ52" s="239"/>
      <c r="ER52" s="239"/>
      <c r="ES52" s="239"/>
      <c r="ET52" s="239"/>
      <c r="EU52" s="239"/>
      <c r="EV52" s="239"/>
      <c r="EW52" s="239"/>
      <c r="EX52" s="239"/>
      <c r="EY52" s="239"/>
      <c r="EZ52" s="239"/>
      <c r="FA52" s="239"/>
      <c r="FB52" s="239"/>
      <c r="FC52" s="239"/>
      <c r="FD52" s="239"/>
      <c r="FE52" s="239"/>
      <c r="FF52" s="239"/>
      <c r="FG52" s="239"/>
      <c r="FH52" s="239"/>
      <c r="FI52" s="239"/>
      <c r="FJ52" s="239"/>
      <c r="FK52" s="239"/>
      <c r="FL52" s="239"/>
      <c r="FM52" s="239"/>
      <c r="FN52" s="239"/>
      <c r="FO52" s="239"/>
      <c r="FP52" s="239"/>
      <c r="FQ52" s="239"/>
      <c r="FR52" s="239"/>
      <c r="FS52" s="239"/>
      <c r="FT52" s="239"/>
      <c r="FU52" s="239"/>
      <c r="FV52" s="239"/>
      <c r="FW52" s="239"/>
      <c r="FX52" s="239"/>
      <c r="FY52" s="239"/>
      <c r="FZ52" s="239"/>
      <c r="GA52" s="239"/>
      <c r="GB52" s="239"/>
      <c r="GC52" s="239"/>
      <c r="GD52" s="239"/>
      <c r="GE52" s="239"/>
      <c r="GF52" s="239"/>
      <c r="GG52" s="239"/>
      <c r="GH52" s="239"/>
      <c r="GI52" s="239"/>
      <c r="GJ52" s="239"/>
      <c r="GK52" s="239"/>
      <c r="GL52" s="239"/>
      <c r="GM52" s="239"/>
      <c r="GN52" s="239"/>
      <c r="GO52" s="239"/>
      <c r="GP52" s="239"/>
      <c r="GQ52" s="239"/>
      <c r="GR52" s="239"/>
      <c r="GS52" s="239"/>
      <c r="GT52" s="239"/>
      <c r="GU52" s="239"/>
      <c r="GV52" s="239"/>
      <c r="GW52" s="239"/>
      <c r="GX52" s="239"/>
      <c r="GY52" s="239"/>
      <c r="GZ52" s="239"/>
      <c r="HA52" s="239"/>
      <c r="HB52" s="239"/>
      <c r="HC52" s="239"/>
      <c r="HD52" s="239"/>
      <c r="HE52" s="239"/>
      <c r="HF52" s="239"/>
      <c r="HG52" s="239"/>
      <c r="HH52" s="239"/>
      <c r="HI52" s="239"/>
      <c r="HJ52" s="239"/>
      <c r="HK52" s="239"/>
      <c r="HL52" s="239"/>
      <c r="HM52" s="239"/>
      <c r="HN52" s="239"/>
      <c r="HO52" s="239"/>
      <c r="HP52" s="239"/>
      <c r="HQ52" s="239"/>
      <c r="HR52" s="239"/>
      <c r="HS52" s="239"/>
      <c r="HT52" s="239"/>
      <c r="HU52" s="239"/>
      <c r="HV52" s="239"/>
      <c r="HW52" s="239"/>
      <c r="HX52" s="239"/>
      <c r="HY52" s="239"/>
      <c r="HZ52" s="239"/>
      <c r="IA52" s="239"/>
      <c r="IB52" s="239"/>
      <c r="IC52" s="239"/>
      <c r="ID52" s="239"/>
      <c r="IE52" s="239"/>
      <c r="IF52" s="239"/>
      <c r="IG52" s="239"/>
      <c r="IH52" s="239"/>
      <c r="II52" s="239"/>
      <c r="IJ52" s="239"/>
      <c r="IK52" s="239"/>
      <c r="IL52" s="239"/>
      <c r="IM52" s="239"/>
      <c r="IN52" s="239"/>
      <c r="IO52" s="239"/>
      <c r="IP52" s="239"/>
      <c r="IQ52" s="239"/>
      <c r="IR52" s="239"/>
      <c r="IS52" s="239"/>
      <c r="IT52" s="239"/>
      <c r="IU52" s="239"/>
      <c r="IV52" s="239"/>
      <c r="IW52" s="239"/>
      <c r="IX52" s="239"/>
      <c r="IY52" s="239"/>
      <c r="IZ52" s="239"/>
      <c r="JA52" s="239"/>
      <c r="JB52" s="239"/>
      <c r="JC52" s="239"/>
      <c r="JD52" s="239"/>
      <c r="JE52" s="239"/>
      <c r="JF52" s="239"/>
      <c r="JG52" s="239"/>
      <c r="JH52" s="239"/>
      <c r="JI52" s="239"/>
      <c r="JJ52" s="239"/>
      <c r="JK52" s="239"/>
      <c r="JL52" s="239"/>
      <c r="JM52" s="239"/>
      <c r="JN52" s="239"/>
      <c r="JO52" s="239"/>
      <c r="JP52" s="239"/>
      <c r="JQ52" s="239"/>
      <c r="JR52" s="239"/>
      <c r="JS52" s="239"/>
      <c r="JT52" s="239"/>
      <c r="JU52" s="239"/>
      <c r="JV52" s="239"/>
      <c r="JW52" s="239"/>
      <c r="JX52" s="239"/>
      <c r="JY52" s="239"/>
      <c r="JZ52" s="239"/>
      <c r="KA52" s="239"/>
      <c r="KB52" s="239"/>
      <c r="KC52" s="239"/>
      <c r="KD52" s="239"/>
      <c r="KE52" s="239"/>
      <c r="KF52" s="239"/>
      <c r="KG52" s="239"/>
      <c r="KH52" s="239"/>
      <c r="KI52" s="239"/>
      <c r="KJ52" s="239"/>
      <c r="KK52" s="239"/>
      <c r="KL52" s="239"/>
      <c r="KM52" s="239"/>
      <c r="KN52" s="239"/>
      <c r="KO52" s="239"/>
      <c r="KP52" s="239"/>
      <c r="KQ52" s="239"/>
      <c r="KR52" s="239"/>
      <c r="KS52" s="239"/>
      <c r="KT52" s="239"/>
      <c r="KU52" s="92"/>
    </row>
    <row r="54" spans="1:307" x14ac:dyDescent="0.15">
      <c r="B54" s="157"/>
      <c r="C54" s="157" t="s">
        <v>197</v>
      </c>
      <c r="F54" s="250">
        <f>SUM(F55:F57)</f>
        <v>0.15124250214224508</v>
      </c>
      <c r="G54" s="250">
        <f t="shared" ref="G54:BM54" si="12">SUM(G55:G58)</f>
        <v>0</v>
      </c>
      <c r="H54" s="250">
        <f t="shared" si="12"/>
        <v>0</v>
      </c>
      <c r="I54" s="250">
        <f t="shared" si="12"/>
        <v>0</v>
      </c>
      <c r="J54" s="250">
        <f t="shared" si="12"/>
        <v>0</v>
      </c>
      <c r="K54" s="250">
        <f t="shared" si="12"/>
        <v>0</v>
      </c>
      <c r="L54" s="250">
        <f t="shared" si="12"/>
        <v>0</v>
      </c>
      <c r="M54" s="250">
        <f t="shared" si="12"/>
        <v>0</v>
      </c>
      <c r="N54" s="250">
        <f t="shared" si="12"/>
        <v>0</v>
      </c>
      <c r="O54" s="250">
        <f t="shared" si="12"/>
        <v>0</v>
      </c>
      <c r="P54" s="250">
        <f t="shared" si="12"/>
        <v>0</v>
      </c>
      <c r="Q54" s="250">
        <f t="shared" si="12"/>
        <v>0</v>
      </c>
      <c r="R54" s="250">
        <f t="shared" si="12"/>
        <v>0</v>
      </c>
      <c r="S54" s="250">
        <f t="shared" si="12"/>
        <v>0</v>
      </c>
      <c r="T54" s="250">
        <f t="shared" si="12"/>
        <v>0</v>
      </c>
      <c r="U54" s="250">
        <f t="shared" si="12"/>
        <v>0</v>
      </c>
      <c r="V54" s="250">
        <f t="shared" si="12"/>
        <v>0</v>
      </c>
      <c r="W54" s="250">
        <f t="shared" si="12"/>
        <v>0</v>
      </c>
      <c r="X54" s="250">
        <f t="shared" si="12"/>
        <v>0</v>
      </c>
      <c r="Y54" s="250">
        <f t="shared" si="12"/>
        <v>0</v>
      </c>
      <c r="Z54" s="250">
        <f t="shared" si="12"/>
        <v>0</v>
      </c>
      <c r="AA54" s="250">
        <f t="shared" si="12"/>
        <v>0</v>
      </c>
      <c r="AB54" s="250">
        <f t="shared" si="12"/>
        <v>0</v>
      </c>
      <c r="AC54" s="250">
        <f t="shared" si="12"/>
        <v>0</v>
      </c>
      <c r="AD54" s="250">
        <f t="shared" si="12"/>
        <v>0</v>
      </c>
      <c r="AE54" s="250">
        <f t="shared" si="12"/>
        <v>0</v>
      </c>
      <c r="AF54" s="250">
        <f t="shared" si="12"/>
        <v>0</v>
      </c>
      <c r="AG54" s="250">
        <f t="shared" si="12"/>
        <v>0</v>
      </c>
      <c r="AH54" s="250">
        <f t="shared" si="12"/>
        <v>0</v>
      </c>
      <c r="AI54" s="250">
        <f t="shared" si="12"/>
        <v>0</v>
      </c>
      <c r="AJ54" s="250">
        <f t="shared" si="12"/>
        <v>0</v>
      </c>
      <c r="AK54" s="250">
        <f t="shared" si="12"/>
        <v>0</v>
      </c>
      <c r="AL54" s="250">
        <f t="shared" si="12"/>
        <v>0</v>
      </c>
      <c r="AM54" s="250">
        <f t="shared" si="12"/>
        <v>0</v>
      </c>
      <c r="AN54" s="250">
        <f t="shared" si="12"/>
        <v>0</v>
      </c>
      <c r="AO54" s="250">
        <f t="shared" si="12"/>
        <v>0</v>
      </c>
      <c r="AP54" s="250">
        <f t="shared" si="12"/>
        <v>0</v>
      </c>
      <c r="AQ54" s="250">
        <f t="shared" si="12"/>
        <v>0</v>
      </c>
      <c r="AR54" s="250">
        <f t="shared" si="12"/>
        <v>0</v>
      </c>
      <c r="AS54" s="250">
        <f t="shared" si="12"/>
        <v>0</v>
      </c>
      <c r="AT54" s="250">
        <f t="shared" si="12"/>
        <v>0</v>
      </c>
      <c r="AU54" s="250">
        <f t="shared" si="12"/>
        <v>0</v>
      </c>
      <c r="AV54" s="250">
        <f t="shared" si="12"/>
        <v>0</v>
      </c>
      <c r="AW54" s="250">
        <f t="shared" si="12"/>
        <v>0</v>
      </c>
      <c r="AX54" s="250">
        <f t="shared" si="12"/>
        <v>0</v>
      </c>
      <c r="AY54" s="250">
        <f t="shared" si="12"/>
        <v>0</v>
      </c>
      <c r="AZ54" s="250">
        <f t="shared" si="12"/>
        <v>0</v>
      </c>
      <c r="BA54" s="250">
        <f t="shared" si="12"/>
        <v>0</v>
      </c>
      <c r="BB54" s="250">
        <f t="shared" si="12"/>
        <v>0</v>
      </c>
      <c r="BC54" s="250">
        <f t="shared" si="12"/>
        <v>0</v>
      </c>
      <c r="BD54" s="250">
        <f t="shared" si="12"/>
        <v>0</v>
      </c>
      <c r="BE54" s="250">
        <f t="shared" si="12"/>
        <v>0</v>
      </c>
      <c r="BF54" s="250">
        <f t="shared" si="12"/>
        <v>0</v>
      </c>
      <c r="BG54" s="250">
        <f t="shared" si="12"/>
        <v>0</v>
      </c>
      <c r="BH54" s="250">
        <f t="shared" si="12"/>
        <v>0</v>
      </c>
      <c r="BI54" s="250">
        <f t="shared" si="12"/>
        <v>0</v>
      </c>
      <c r="BJ54" s="250">
        <f t="shared" si="12"/>
        <v>0</v>
      </c>
      <c r="BK54" s="250">
        <f t="shared" si="12"/>
        <v>0</v>
      </c>
      <c r="BL54" s="250">
        <f t="shared" si="12"/>
        <v>0</v>
      </c>
      <c r="BM54" s="250">
        <f t="shared" si="12"/>
        <v>0</v>
      </c>
    </row>
    <row r="55" spans="1:307" x14ac:dyDescent="0.15">
      <c r="C55" s="173" t="s">
        <v>221</v>
      </c>
      <c r="D55" s="162" t="s">
        <v>331</v>
      </c>
      <c r="F55" s="148"/>
      <c r="G55" s="148"/>
      <c r="H55" s="148"/>
      <c r="I55" s="148"/>
      <c r="J55" s="148"/>
      <c r="K55" s="148"/>
      <c r="L55" s="148"/>
      <c r="M55" s="148"/>
      <c r="N55" s="148"/>
      <c r="O55" s="148"/>
      <c r="P55" s="148"/>
      <c r="Q55" s="148"/>
      <c r="R55" s="148"/>
      <c r="S55" s="148"/>
      <c r="T55" s="148"/>
      <c r="U55" s="148"/>
      <c r="V55" s="148"/>
      <c r="W55" s="148"/>
      <c r="X55" s="148"/>
      <c r="Y55" s="148"/>
      <c r="Z55" s="148"/>
      <c r="AA55" s="148"/>
      <c r="AB55" s="148"/>
      <c r="AC55" s="148"/>
      <c r="AD55" s="148"/>
      <c r="AE55" s="148"/>
      <c r="AF55" s="148"/>
      <c r="AG55" s="148"/>
      <c r="AH55" s="148"/>
      <c r="AI55" s="148"/>
      <c r="AJ55" s="148"/>
      <c r="AK55" s="148"/>
      <c r="AL55" s="148"/>
      <c r="AM55" s="148"/>
      <c r="AN55" s="148"/>
      <c r="AO55" s="148"/>
      <c r="AP55" s="148"/>
      <c r="AQ55" s="148"/>
      <c r="AR55" s="148"/>
      <c r="AS55" s="148"/>
      <c r="AT55" s="148"/>
      <c r="AU55" s="148"/>
      <c r="AV55" s="148"/>
      <c r="AW55" s="148"/>
      <c r="AX55" s="148"/>
      <c r="AY55" s="148"/>
      <c r="AZ55" s="148"/>
      <c r="BA55" s="148"/>
      <c r="BB55" s="148"/>
      <c r="BC55" s="148"/>
      <c r="BD55" s="148"/>
      <c r="BE55" s="148"/>
      <c r="BF55" s="148"/>
      <c r="BG55" s="148"/>
      <c r="BH55" s="148"/>
      <c r="BI55" s="148"/>
      <c r="BJ55" s="148"/>
      <c r="BK55" s="148"/>
      <c r="BL55" s="148"/>
      <c r="BM55" s="148"/>
      <c r="BN55" s="148"/>
      <c r="BO55" s="148"/>
      <c r="BP55" s="148"/>
      <c r="BQ55" s="148"/>
      <c r="BR55" s="148"/>
      <c r="BS55" s="148"/>
      <c r="BT55" s="148"/>
      <c r="BU55" s="148"/>
      <c r="BV55" s="148"/>
      <c r="BW55" s="148"/>
      <c r="BX55" s="148"/>
      <c r="BY55" s="148"/>
      <c r="BZ55" s="148"/>
      <c r="CA55" s="148"/>
      <c r="CB55" s="148"/>
      <c r="CC55" s="148"/>
      <c r="CD55" s="148"/>
      <c r="CE55" s="148"/>
      <c r="CF55" s="148"/>
      <c r="CG55" s="148"/>
      <c r="CH55" s="148"/>
      <c r="CI55" s="148"/>
      <c r="CJ55" s="148"/>
      <c r="CK55" s="148"/>
      <c r="CL55" s="148"/>
      <c r="CM55" s="148"/>
      <c r="CN55" s="148"/>
      <c r="CO55" s="148"/>
      <c r="CP55" s="148"/>
      <c r="CQ55" s="148"/>
      <c r="CR55" s="148"/>
      <c r="CS55" s="148"/>
      <c r="CT55" s="148"/>
      <c r="CU55" s="148"/>
      <c r="CV55" s="148"/>
      <c r="CW55" s="148"/>
      <c r="CX55" s="148"/>
      <c r="CY55" s="148"/>
      <c r="CZ55" s="148"/>
      <c r="DA55" s="148"/>
      <c r="DB55" s="148"/>
      <c r="DC55" s="148"/>
      <c r="DD55" s="148"/>
      <c r="DE55" s="148"/>
      <c r="DF55" s="148"/>
      <c r="DG55" s="148"/>
      <c r="DH55" s="148"/>
      <c r="DI55" s="148"/>
      <c r="DJ55" s="148"/>
      <c r="DK55" s="148"/>
      <c r="DL55" s="148"/>
      <c r="DM55" s="148"/>
      <c r="DN55" s="148"/>
      <c r="DO55" s="148"/>
      <c r="DP55" s="148"/>
      <c r="DQ55" s="148"/>
      <c r="DR55" s="148"/>
      <c r="DS55" s="148"/>
      <c r="DT55" s="148"/>
      <c r="DU55" s="148"/>
      <c r="DV55" s="148"/>
      <c r="DW55" s="148"/>
      <c r="DX55" s="148"/>
      <c r="DY55" s="148"/>
      <c r="DZ55" s="148"/>
      <c r="EA55" s="148"/>
      <c r="EB55" s="148"/>
      <c r="EC55" s="148"/>
      <c r="ED55" s="148"/>
      <c r="EE55" s="148"/>
      <c r="EF55" s="148"/>
      <c r="EG55" s="148"/>
      <c r="EH55" s="148"/>
      <c r="EI55" s="148"/>
      <c r="EJ55" s="148"/>
      <c r="EK55" s="148"/>
      <c r="EL55" s="148"/>
      <c r="EM55" s="148"/>
      <c r="EN55" s="148"/>
      <c r="EO55" s="148"/>
      <c r="EP55" s="148"/>
      <c r="EQ55" s="148"/>
      <c r="ER55" s="148"/>
      <c r="ES55" s="148"/>
      <c r="ET55" s="148"/>
      <c r="EU55" s="148"/>
      <c r="EV55" s="148"/>
      <c r="EW55" s="148"/>
      <c r="EX55" s="148"/>
      <c r="EY55" s="148"/>
      <c r="EZ55" s="148"/>
      <c r="FA55" s="148"/>
      <c r="FB55" s="148"/>
      <c r="FC55" s="148"/>
      <c r="FD55" s="148"/>
      <c r="FE55" s="148"/>
      <c r="FF55" s="148"/>
      <c r="FG55" s="148"/>
      <c r="FH55" s="148"/>
      <c r="FI55" s="148"/>
      <c r="FJ55" s="148"/>
      <c r="FK55" s="148"/>
      <c r="FL55" s="148"/>
      <c r="FM55" s="148"/>
      <c r="FN55" s="148"/>
      <c r="FO55" s="148"/>
      <c r="FP55" s="148"/>
      <c r="FQ55" s="148"/>
      <c r="FR55" s="148"/>
      <c r="FS55" s="148"/>
      <c r="FT55" s="148"/>
      <c r="FU55" s="148"/>
      <c r="FV55" s="148"/>
      <c r="FW55" s="148"/>
      <c r="FX55" s="148"/>
      <c r="FY55" s="148"/>
      <c r="FZ55" s="148"/>
      <c r="GA55" s="148"/>
      <c r="GB55" s="148"/>
      <c r="GC55" s="148"/>
      <c r="GD55" s="148"/>
      <c r="GE55" s="148"/>
      <c r="GF55" s="148"/>
      <c r="GG55" s="148"/>
      <c r="GH55" s="148"/>
      <c r="GI55" s="148"/>
      <c r="GJ55" s="148"/>
      <c r="GK55" s="148"/>
      <c r="GL55" s="148"/>
      <c r="GM55" s="148"/>
      <c r="GN55" s="148"/>
      <c r="GO55" s="148"/>
      <c r="GP55" s="148"/>
      <c r="GQ55" s="148"/>
      <c r="GR55" s="148"/>
      <c r="GS55" s="148"/>
      <c r="GT55" s="148"/>
      <c r="GU55" s="148"/>
      <c r="GV55" s="148"/>
      <c r="GW55" s="148"/>
      <c r="GX55" s="148"/>
      <c r="GY55" s="148"/>
      <c r="GZ55" s="148"/>
      <c r="HA55" s="148"/>
      <c r="HB55" s="148"/>
      <c r="HC55" s="148"/>
      <c r="HD55" s="148"/>
      <c r="HE55" s="148"/>
      <c r="HF55" s="148"/>
      <c r="HG55" s="148"/>
      <c r="HH55" s="148"/>
      <c r="HI55" s="148"/>
      <c r="HJ55" s="148"/>
      <c r="HK55" s="148"/>
      <c r="HL55" s="148"/>
      <c r="HM55" s="148"/>
      <c r="HN55" s="148"/>
      <c r="HO55" s="148"/>
      <c r="HP55" s="148"/>
      <c r="HQ55" s="148"/>
      <c r="HR55" s="148"/>
      <c r="HS55" s="148"/>
      <c r="HT55" s="148"/>
      <c r="HU55" s="148"/>
      <c r="HV55" s="148"/>
      <c r="HW55" s="148"/>
      <c r="HX55" s="148"/>
      <c r="HY55" s="148"/>
      <c r="HZ55" s="148"/>
      <c r="IA55" s="148"/>
      <c r="IB55" s="148"/>
      <c r="IC55" s="148"/>
      <c r="ID55" s="148"/>
      <c r="IE55" s="148"/>
      <c r="IF55" s="148"/>
      <c r="IG55" s="148"/>
      <c r="IH55" s="148"/>
      <c r="II55" s="148"/>
      <c r="IJ55" s="148"/>
      <c r="IK55" s="148"/>
      <c r="IL55" s="148"/>
      <c r="IM55" s="148"/>
      <c r="IN55" s="148"/>
      <c r="IO55" s="148"/>
      <c r="IP55" s="148"/>
      <c r="IQ55" s="148"/>
      <c r="IR55" s="148"/>
      <c r="IS55" s="148"/>
      <c r="IT55" s="148"/>
      <c r="IU55" s="148"/>
      <c r="IV55" s="148"/>
      <c r="IW55" s="148"/>
      <c r="IX55" s="148"/>
      <c r="IY55" s="148"/>
      <c r="IZ55" s="148"/>
      <c r="JA55" s="148"/>
      <c r="JB55" s="148"/>
      <c r="JC55" s="148"/>
      <c r="JD55" s="148"/>
      <c r="JE55" s="148"/>
      <c r="JF55" s="148"/>
      <c r="JG55" s="148"/>
      <c r="JH55" s="148"/>
      <c r="JI55" s="148"/>
      <c r="JJ55" s="148"/>
      <c r="JK55" s="148"/>
      <c r="JL55" s="148"/>
      <c r="JM55" s="148"/>
      <c r="JN55" s="148"/>
      <c r="JO55" s="148"/>
      <c r="JP55" s="148"/>
      <c r="JQ55" s="148"/>
      <c r="JR55" s="148"/>
      <c r="JS55" s="148"/>
      <c r="JT55" s="148"/>
      <c r="JU55" s="148"/>
      <c r="JV55" s="148"/>
      <c r="JW55" s="148"/>
      <c r="JX55" s="148"/>
      <c r="JY55" s="148"/>
      <c r="JZ55" s="148"/>
      <c r="KA55" s="148"/>
      <c r="KB55" s="148"/>
      <c r="KC55" s="148"/>
      <c r="KD55" s="148"/>
      <c r="KE55" s="148"/>
      <c r="KF55" s="148"/>
      <c r="KG55" s="148"/>
      <c r="KH55" s="148"/>
      <c r="KI55" s="148"/>
      <c r="KJ55" s="148"/>
      <c r="KK55" s="148"/>
      <c r="KL55" s="148"/>
      <c r="KM55" s="148"/>
      <c r="KN55" s="148"/>
      <c r="KO55" s="148"/>
      <c r="KP55" s="148"/>
      <c r="KQ55" s="148"/>
      <c r="KR55" s="148"/>
      <c r="KS55" s="148"/>
      <c r="KT55" s="148"/>
    </row>
    <row r="56" spans="1:307" x14ac:dyDescent="0.15">
      <c r="A56" s="157"/>
      <c r="C56" s="173" t="s">
        <v>63</v>
      </c>
      <c r="F56" s="148">
        <f>AVERAGE(E16:F16)*Leadsheet!$E$33</f>
        <v>0</v>
      </c>
      <c r="G56" s="148">
        <f>AVERAGE(F16:G16)*Leadsheet!$E$33</f>
        <v>0</v>
      </c>
      <c r="H56" s="148">
        <f>AVERAGE(G16:H16)*Leadsheet!$E$33</f>
        <v>0</v>
      </c>
      <c r="I56" s="148">
        <f>AVERAGE(H16:I16)*Leadsheet!$E$33</f>
        <v>0</v>
      </c>
      <c r="J56" s="148">
        <f>AVERAGE(I16:J16)*Leadsheet!$E$33</f>
        <v>0</v>
      </c>
      <c r="K56" s="148">
        <f>AVERAGE(J16:K16)*Leadsheet!$E$33</f>
        <v>0</v>
      </c>
      <c r="L56" s="148">
        <f>AVERAGE(K16:L16)*Leadsheet!$E$33</f>
        <v>0</v>
      </c>
      <c r="M56" s="148">
        <f>AVERAGE(L16:M16)*Leadsheet!$E$33</f>
        <v>0</v>
      </c>
      <c r="N56" s="148">
        <f>AVERAGE(M16:N16)*Leadsheet!$E$33</f>
        <v>0</v>
      </c>
      <c r="O56" s="148">
        <f>AVERAGE(N16:O16)*Leadsheet!$E$33</f>
        <v>0</v>
      </c>
      <c r="P56" s="148">
        <f>AVERAGE(O16:P16)*Leadsheet!$E$33</f>
        <v>0</v>
      </c>
      <c r="Q56" s="148">
        <f>AVERAGE(P16:Q16)*Leadsheet!$E$33</f>
        <v>0</v>
      </c>
      <c r="R56" s="148">
        <f>AVERAGE(Q16:R16)*Leadsheet!$E$33</f>
        <v>0</v>
      </c>
      <c r="S56" s="148">
        <f>AVERAGE(R16:S16)*Leadsheet!$E$33</f>
        <v>0</v>
      </c>
      <c r="T56" s="148">
        <f>AVERAGE(S16:T16)*Leadsheet!$E$33</f>
        <v>0</v>
      </c>
      <c r="U56" s="148">
        <f>AVERAGE(T16:U16)*Leadsheet!$E$33</f>
        <v>0</v>
      </c>
      <c r="V56" s="148">
        <f>AVERAGE(U16:V16)*Leadsheet!$E$33</f>
        <v>0</v>
      </c>
      <c r="W56" s="148">
        <f>AVERAGE(V16:W16)*Leadsheet!$E$33</f>
        <v>0</v>
      </c>
      <c r="X56" s="148">
        <f>AVERAGE(W16:X16)*Leadsheet!$E$33</f>
        <v>0</v>
      </c>
      <c r="Y56" s="148">
        <f>AVERAGE(X16:Y16)*Leadsheet!$E$33</f>
        <v>0</v>
      </c>
      <c r="Z56" s="148">
        <f>AVERAGE(Y16:Z16)*Leadsheet!$E$33</f>
        <v>0</v>
      </c>
      <c r="AA56" s="148">
        <f>AVERAGE(Z16:AA16)*Leadsheet!$E$33</f>
        <v>0</v>
      </c>
      <c r="AB56" s="148">
        <f>AVERAGE(AA16:AB16)*Leadsheet!$E$33</f>
        <v>0</v>
      </c>
      <c r="AC56" s="148">
        <f>AVERAGE(AB16:AC16)*Leadsheet!$E$33</f>
        <v>0</v>
      </c>
      <c r="AD56" s="148">
        <f>AVERAGE(AC16:AD16)*Leadsheet!$E$33</f>
        <v>0</v>
      </c>
      <c r="AE56" s="148">
        <f>AVERAGE(AD16:AE16)*Leadsheet!$E$33</f>
        <v>0</v>
      </c>
      <c r="AF56" s="148">
        <f>AVERAGE(AE16:AF16)*Leadsheet!$E$33</f>
        <v>0</v>
      </c>
      <c r="AG56" s="148">
        <f>AVERAGE(AF16:AG16)*Leadsheet!$E$33</f>
        <v>0</v>
      </c>
      <c r="AH56" s="148">
        <f>AVERAGE(AG16:AH16)*Leadsheet!$E$33</f>
        <v>0</v>
      </c>
      <c r="AI56" s="148">
        <f>AVERAGE(AH16:AI16)*Leadsheet!$E$33</f>
        <v>0</v>
      </c>
      <c r="AJ56" s="148">
        <f>AVERAGE(AI16:AJ16)*Leadsheet!$E$33</f>
        <v>0</v>
      </c>
      <c r="AK56" s="148">
        <f>AVERAGE(AJ16:AK16)*Leadsheet!$E$33</f>
        <v>0</v>
      </c>
      <c r="AL56" s="148">
        <f>AVERAGE(AK16:AL16)*Leadsheet!$E$33</f>
        <v>0</v>
      </c>
      <c r="AM56" s="148">
        <f>AVERAGE(AL16:AM16)*Leadsheet!$E$33</f>
        <v>0</v>
      </c>
      <c r="AN56" s="148">
        <f>AVERAGE(AM16:AN16)*Leadsheet!$E$33</f>
        <v>0</v>
      </c>
      <c r="AO56" s="148">
        <f>AVERAGE(AN16:AO16)*Leadsheet!$E$33</f>
        <v>0</v>
      </c>
      <c r="AP56" s="148">
        <f>AVERAGE(AO16:AP16)*Leadsheet!$E$33</f>
        <v>0</v>
      </c>
      <c r="AQ56" s="148">
        <f>AVERAGE(AP16:AQ16)*Leadsheet!$E$33</f>
        <v>0</v>
      </c>
      <c r="AR56" s="148">
        <f>AVERAGE(AQ16:AR16)*Leadsheet!$E$33</f>
        <v>0</v>
      </c>
      <c r="AS56" s="148">
        <f>AVERAGE(AR16:AS16)*Leadsheet!$E$33</f>
        <v>0</v>
      </c>
      <c r="AT56" s="148">
        <f>AVERAGE(AS16:AT16)*Leadsheet!$E$33</f>
        <v>0</v>
      </c>
      <c r="AU56" s="148">
        <f>AVERAGE(AT16:AU16)*Leadsheet!$E$33</f>
        <v>0</v>
      </c>
      <c r="AV56" s="148">
        <f>AVERAGE(AU16:AV16)*Leadsheet!$E$33</f>
        <v>0</v>
      </c>
      <c r="AW56" s="148">
        <f>AVERAGE(AV16:AW16)*Leadsheet!$E$33</f>
        <v>0</v>
      </c>
      <c r="AX56" s="148">
        <f>AVERAGE(AW16:AX16)*Leadsheet!$E$33</f>
        <v>0</v>
      </c>
      <c r="AY56" s="148">
        <f>AVERAGE(AX16:AY16)*Leadsheet!$E$33</f>
        <v>0</v>
      </c>
      <c r="AZ56" s="148">
        <f>AVERAGE(AY16:AZ16)*Leadsheet!$E$33</f>
        <v>0</v>
      </c>
      <c r="BA56" s="148">
        <f>AVERAGE(AZ16:BA16)*Leadsheet!$E$33</f>
        <v>0</v>
      </c>
      <c r="BB56" s="148">
        <f>AVERAGE(BA16:BB16)*Leadsheet!$E$33</f>
        <v>0</v>
      </c>
      <c r="BC56" s="148">
        <f>AVERAGE(BB16:BC16)*Leadsheet!$E$33</f>
        <v>0</v>
      </c>
      <c r="BD56" s="148">
        <f>AVERAGE(BC16:BD16)*Leadsheet!$E$33</f>
        <v>0</v>
      </c>
      <c r="BE56" s="148">
        <f>AVERAGE(BD16:BE16)*Leadsheet!$E$33</f>
        <v>0</v>
      </c>
      <c r="BF56" s="148">
        <f>AVERAGE(BE16:BF16)*Leadsheet!$E$33</f>
        <v>0</v>
      </c>
      <c r="BG56" s="148">
        <f>AVERAGE(BF16:BG16)*Leadsheet!$E$33</f>
        <v>0</v>
      </c>
      <c r="BH56" s="148">
        <f>AVERAGE(BG16:BH16)*Leadsheet!$E$33</f>
        <v>0</v>
      </c>
      <c r="BI56" s="148">
        <f>AVERAGE(BH16:BI16)*Leadsheet!$E$33</f>
        <v>0</v>
      </c>
      <c r="BJ56" s="148">
        <f>AVERAGE(BI16:BJ16)*Leadsheet!$E$33</f>
        <v>0</v>
      </c>
      <c r="BK56" s="148">
        <f>AVERAGE(BJ16:BK16)*Leadsheet!$E$33</f>
        <v>0</v>
      </c>
      <c r="BL56" s="148">
        <f>AVERAGE(BK16:BL16)*Leadsheet!$E$33</f>
        <v>0</v>
      </c>
      <c r="BM56" s="148">
        <f>AVERAGE(BL16:BM16)*Leadsheet!$E$33</f>
        <v>0</v>
      </c>
    </row>
    <row r="57" spans="1:307" x14ac:dyDescent="0.15">
      <c r="C57" s="92" t="s">
        <v>65</v>
      </c>
      <c r="F57" s="148">
        <f>Leadsheet!E34</f>
        <v>0.15124250214224508</v>
      </c>
      <c r="G57" s="148"/>
      <c r="H57" s="148"/>
      <c r="I57" s="148"/>
      <c r="J57" s="148"/>
      <c r="K57" s="148"/>
      <c r="L57" s="148"/>
      <c r="M57" s="148"/>
      <c r="N57" s="148"/>
      <c r="O57" s="148"/>
      <c r="P57" s="148"/>
      <c r="Q57" s="148"/>
      <c r="R57" s="148"/>
      <c r="S57" s="148"/>
      <c r="T57" s="148"/>
      <c r="U57" s="148"/>
      <c r="V57" s="148"/>
      <c r="W57" s="148"/>
      <c r="X57" s="148"/>
      <c r="Y57" s="148"/>
      <c r="Z57" s="148"/>
      <c r="AA57" s="148"/>
      <c r="AB57" s="148"/>
      <c r="AC57" s="148"/>
      <c r="AD57" s="148"/>
      <c r="AE57" s="148"/>
      <c r="AF57" s="148"/>
      <c r="AG57" s="148"/>
      <c r="AH57" s="148"/>
      <c r="AI57" s="148"/>
      <c r="AJ57" s="148"/>
      <c r="AK57" s="148"/>
      <c r="AL57" s="148"/>
      <c r="AM57" s="148"/>
      <c r="AN57" s="148"/>
      <c r="AO57" s="148"/>
      <c r="AP57" s="148"/>
      <c r="AQ57" s="148"/>
      <c r="AR57" s="148"/>
      <c r="AS57" s="148"/>
      <c r="AT57" s="148"/>
      <c r="AU57" s="148"/>
      <c r="AV57" s="148"/>
      <c r="AW57" s="148"/>
      <c r="AX57" s="148"/>
      <c r="AY57" s="148"/>
      <c r="AZ57" s="148"/>
      <c r="BA57" s="148"/>
      <c r="BB57" s="148"/>
      <c r="BC57" s="148"/>
      <c r="BD57" s="148"/>
      <c r="BE57" s="148"/>
      <c r="BF57" s="148"/>
      <c r="BG57" s="148"/>
      <c r="BH57" s="148"/>
      <c r="BI57" s="148"/>
      <c r="BJ57" s="148"/>
      <c r="BK57" s="148"/>
      <c r="BL57" s="148"/>
      <c r="BM57" s="148"/>
    </row>
    <row r="58" spans="1:307" x14ac:dyDescent="0.15">
      <c r="C58" s="168"/>
      <c r="F58" s="148"/>
      <c r="G58" s="251"/>
      <c r="H58" s="251"/>
      <c r="I58" s="251"/>
      <c r="J58" s="251"/>
      <c r="K58" s="251"/>
      <c r="L58" s="251"/>
      <c r="M58" s="251"/>
      <c r="N58" s="251"/>
      <c r="O58" s="251"/>
      <c r="P58" s="251"/>
      <c r="Q58" s="251"/>
      <c r="R58" s="251"/>
      <c r="S58" s="251"/>
      <c r="T58" s="251"/>
      <c r="U58" s="251"/>
      <c r="V58" s="251"/>
      <c r="W58" s="251"/>
      <c r="X58" s="251"/>
      <c r="Y58" s="251"/>
      <c r="Z58" s="251"/>
      <c r="AA58" s="251"/>
      <c r="AB58" s="251"/>
      <c r="AC58" s="251"/>
      <c r="AD58" s="251"/>
      <c r="AE58" s="251"/>
      <c r="AF58" s="251"/>
      <c r="AG58" s="251"/>
      <c r="AH58" s="251"/>
      <c r="AI58" s="251"/>
      <c r="AJ58" s="251"/>
      <c r="AK58" s="251"/>
      <c r="AL58" s="251"/>
      <c r="AM58" s="251"/>
      <c r="AN58" s="251"/>
      <c r="AO58" s="251"/>
      <c r="AP58" s="251"/>
      <c r="AQ58" s="251"/>
      <c r="AR58" s="251"/>
      <c r="AS58" s="251"/>
      <c r="AT58" s="251"/>
      <c r="AU58" s="251"/>
      <c r="AV58" s="251"/>
      <c r="AW58" s="251"/>
      <c r="AX58" s="251"/>
      <c r="AY58" s="251"/>
      <c r="AZ58" s="251"/>
      <c r="BA58" s="251"/>
      <c r="BB58" s="251"/>
      <c r="BC58" s="251"/>
      <c r="BD58" s="251"/>
      <c r="BE58" s="251"/>
      <c r="BF58" s="251"/>
      <c r="BG58" s="251"/>
      <c r="BH58" s="251"/>
      <c r="BI58" s="251"/>
      <c r="BJ58" s="251"/>
      <c r="BK58" s="251"/>
      <c r="BL58" s="251"/>
      <c r="BM58" s="251"/>
      <c r="BN58" s="251"/>
      <c r="BO58" s="251"/>
      <c r="BP58" s="251"/>
      <c r="BQ58" s="251"/>
      <c r="BR58" s="251"/>
      <c r="BS58" s="251"/>
      <c r="BT58" s="251"/>
      <c r="BU58" s="251"/>
      <c r="BV58" s="251"/>
      <c r="BW58" s="251"/>
      <c r="BX58" s="251"/>
      <c r="BY58" s="251"/>
      <c r="BZ58" s="251"/>
      <c r="CA58" s="251"/>
      <c r="CB58" s="251"/>
      <c r="CC58" s="251"/>
      <c r="CD58" s="251"/>
      <c r="CE58" s="251"/>
      <c r="CF58" s="251"/>
      <c r="CG58" s="251"/>
      <c r="CH58" s="251"/>
      <c r="CI58" s="251"/>
      <c r="CJ58" s="251"/>
      <c r="CK58" s="251"/>
      <c r="CL58" s="251"/>
      <c r="CM58" s="251"/>
      <c r="CN58" s="251"/>
      <c r="CO58" s="251"/>
      <c r="CP58" s="251"/>
      <c r="CQ58" s="251"/>
      <c r="CR58" s="251"/>
      <c r="CS58" s="251"/>
      <c r="CT58" s="251"/>
      <c r="CU58" s="251"/>
      <c r="CV58" s="251"/>
      <c r="CW58" s="251"/>
      <c r="CX58" s="251"/>
      <c r="CY58" s="251"/>
      <c r="CZ58" s="251"/>
      <c r="DA58" s="251"/>
      <c r="DB58" s="251"/>
      <c r="DC58" s="251"/>
      <c r="DD58" s="251"/>
      <c r="DE58" s="251"/>
      <c r="DF58" s="251"/>
      <c r="DG58" s="251"/>
      <c r="DH58" s="251"/>
      <c r="DI58" s="251"/>
      <c r="DJ58" s="251"/>
      <c r="DK58" s="251"/>
      <c r="DL58" s="251"/>
      <c r="DM58" s="251"/>
      <c r="DN58" s="251"/>
      <c r="DO58" s="251"/>
      <c r="DP58" s="251"/>
      <c r="DQ58" s="251"/>
      <c r="DR58" s="251"/>
      <c r="DS58" s="251"/>
      <c r="DT58" s="251"/>
      <c r="DU58" s="251"/>
      <c r="DV58" s="251"/>
      <c r="DW58" s="251"/>
      <c r="DX58" s="251"/>
      <c r="DY58" s="251"/>
      <c r="DZ58" s="251"/>
      <c r="EA58" s="251"/>
      <c r="EB58" s="251"/>
      <c r="EC58" s="251"/>
      <c r="ED58" s="251"/>
      <c r="EE58" s="251"/>
      <c r="EF58" s="251"/>
      <c r="EG58" s="251"/>
      <c r="EH58" s="251"/>
      <c r="EI58" s="251"/>
      <c r="EJ58" s="251"/>
      <c r="EK58" s="251"/>
      <c r="EL58" s="251"/>
      <c r="EM58" s="251"/>
      <c r="EN58" s="251"/>
      <c r="EO58" s="251"/>
      <c r="EP58" s="251"/>
      <c r="EQ58" s="251"/>
      <c r="ER58" s="251"/>
      <c r="ES58" s="251"/>
      <c r="ET58" s="251"/>
      <c r="EU58" s="251"/>
      <c r="EV58" s="251"/>
      <c r="EW58" s="251"/>
      <c r="EX58" s="251"/>
      <c r="EY58" s="251"/>
      <c r="EZ58" s="251"/>
      <c r="FA58" s="251"/>
      <c r="FB58" s="251"/>
      <c r="FC58" s="251"/>
      <c r="FD58" s="251"/>
      <c r="FE58" s="251"/>
      <c r="FF58" s="251"/>
      <c r="FG58" s="251"/>
      <c r="FH58" s="251"/>
      <c r="FI58" s="251"/>
      <c r="FJ58" s="251"/>
      <c r="FK58" s="251"/>
      <c r="FL58" s="251"/>
      <c r="FM58" s="251"/>
      <c r="FN58" s="251"/>
      <c r="FO58" s="251"/>
      <c r="FP58" s="251"/>
      <c r="FQ58" s="251"/>
      <c r="FR58" s="251"/>
      <c r="FS58" s="251"/>
      <c r="FT58" s="251"/>
      <c r="FU58" s="251"/>
      <c r="FV58" s="251"/>
      <c r="FW58" s="251"/>
      <c r="FX58" s="251"/>
      <c r="FY58" s="251"/>
      <c r="FZ58" s="251"/>
      <c r="GA58" s="251"/>
      <c r="GB58" s="251"/>
      <c r="GC58" s="251"/>
      <c r="GD58" s="251"/>
      <c r="GE58" s="251"/>
      <c r="GF58" s="251"/>
      <c r="GG58" s="251"/>
      <c r="GH58" s="251"/>
      <c r="GI58" s="251"/>
      <c r="GJ58" s="251"/>
      <c r="GK58" s="251"/>
      <c r="GL58" s="251"/>
      <c r="GM58" s="251"/>
      <c r="GN58" s="251"/>
      <c r="GO58" s="251"/>
      <c r="GP58" s="251"/>
      <c r="GQ58" s="251"/>
      <c r="GR58" s="251"/>
      <c r="GS58" s="251"/>
      <c r="GT58" s="251"/>
      <c r="GU58" s="251"/>
      <c r="GV58" s="251"/>
      <c r="GW58" s="251"/>
      <c r="GX58" s="251"/>
      <c r="GY58" s="251"/>
      <c r="GZ58" s="251"/>
      <c r="HA58" s="251"/>
      <c r="HB58" s="251"/>
      <c r="HC58" s="251"/>
      <c r="HD58" s="251"/>
      <c r="HE58" s="251"/>
      <c r="HF58" s="251"/>
      <c r="HG58" s="251"/>
      <c r="HH58" s="251"/>
      <c r="HI58" s="251"/>
      <c r="HJ58" s="251"/>
      <c r="HK58" s="251"/>
      <c r="HL58" s="251"/>
      <c r="HM58" s="251"/>
      <c r="HN58" s="251"/>
      <c r="HO58" s="251"/>
      <c r="HP58" s="251"/>
      <c r="HQ58" s="251"/>
      <c r="HR58" s="251"/>
      <c r="HS58" s="251"/>
      <c r="HT58" s="251"/>
      <c r="HU58" s="251"/>
      <c r="HV58" s="251"/>
      <c r="HW58" s="251"/>
      <c r="HX58" s="251"/>
      <c r="HY58" s="251"/>
      <c r="HZ58" s="251"/>
      <c r="IA58" s="251"/>
      <c r="IB58" s="251"/>
      <c r="IC58" s="251"/>
      <c r="ID58" s="251"/>
      <c r="IE58" s="251"/>
      <c r="IF58" s="251"/>
      <c r="IG58" s="251"/>
      <c r="IH58" s="251"/>
      <c r="II58" s="251"/>
      <c r="IJ58" s="251"/>
      <c r="IK58" s="251"/>
      <c r="IL58" s="251"/>
      <c r="IM58" s="251"/>
      <c r="IN58" s="251"/>
      <c r="IO58" s="251"/>
      <c r="IP58" s="251"/>
      <c r="IQ58" s="251"/>
      <c r="IR58" s="251"/>
      <c r="IS58" s="251"/>
      <c r="IT58" s="251"/>
      <c r="IU58" s="251"/>
      <c r="IV58" s="251"/>
      <c r="IW58" s="251"/>
      <c r="IX58" s="251"/>
      <c r="IY58" s="251"/>
      <c r="IZ58" s="251"/>
      <c r="JA58" s="251"/>
      <c r="JB58" s="251"/>
      <c r="JC58" s="251"/>
      <c r="JD58" s="251"/>
      <c r="JE58" s="251"/>
      <c r="JF58" s="251"/>
      <c r="JG58" s="251"/>
      <c r="JH58" s="251"/>
      <c r="JI58" s="251"/>
      <c r="JJ58" s="251"/>
      <c r="JK58" s="251"/>
      <c r="JL58" s="251"/>
      <c r="JM58" s="251"/>
      <c r="JN58" s="251"/>
      <c r="JO58" s="251"/>
      <c r="JP58" s="251"/>
      <c r="JQ58" s="251"/>
      <c r="JR58" s="251"/>
      <c r="JS58" s="251"/>
      <c r="JT58" s="251"/>
      <c r="JU58" s="251"/>
      <c r="JV58" s="251"/>
      <c r="JW58" s="251"/>
      <c r="JX58" s="251"/>
      <c r="JY58" s="251"/>
      <c r="JZ58" s="251"/>
      <c r="KA58" s="251"/>
      <c r="KB58" s="251"/>
      <c r="KC58" s="251"/>
      <c r="KD58" s="251"/>
      <c r="KE58" s="251"/>
      <c r="KF58" s="251"/>
      <c r="KG58" s="251"/>
      <c r="KH58" s="251"/>
      <c r="KI58" s="251"/>
      <c r="KJ58" s="251"/>
      <c r="KK58" s="251"/>
      <c r="KL58" s="251"/>
      <c r="KM58" s="251"/>
      <c r="KN58" s="251"/>
      <c r="KO58" s="251"/>
      <c r="KP58" s="251"/>
      <c r="KQ58" s="251"/>
      <c r="KR58" s="251"/>
      <c r="KS58" s="251"/>
      <c r="KT58" s="251"/>
    </row>
    <row r="59" spans="1:307" x14ac:dyDescent="0.15">
      <c r="B59" s="157" t="s">
        <v>332</v>
      </c>
      <c r="F59" s="148">
        <f>IF(F4=Leadsheet!$E$15,IF(Leadsheet!$G$4="VAS",SAP_Speadsheet!F168-SAP_Speadsheet!F133,0),0)</f>
        <v>0</v>
      </c>
      <c r="G59" s="148">
        <f>IF(G4=Leadsheet!$E$15,IF(Leadsheet!$G$4="VAS",SAP_Speadsheet!G168-SAP_Speadsheet!G133,0),0)</f>
        <v>0</v>
      </c>
      <c r="H59" s="148">
        <f>IF(H4=Leadsheet!$E$15,IF(Leadsheet!$G$4="VAS",SAP_Speadsheet!H168-SAP_Speadsheet!H133,0),0)</f>
        <v>0</v>
      </c>
      <c r="I59" s="148">
        <f>IF(I4=Leadsheet!$E$15,IF(Leadsheet!$G$4="VAS",SAP_Speadsheet!I168-SAP_Speadsheet!I133,0),0)</f>
        <v>0</v>
      </c>
      <c r="J59" s="148">
        <f>IF(J4=Leadsheet!$E$15,IF(Leadsheet!$G$4="VAS",SAP_Speadsheet!J168-SAP_Speadsheet!J133,0),0)</f>
        <v>0</v>
      </c>
      <c r="K59" s="148">
        <f>IF(K4=Leadsheet!$E$15,IF(Leadsheet!$G$4="VAS",SAP_Speadsheet!K168-SAP_Speadsheet!K133,0),0)</f>
        <v>0</v>
      </c>
      <c r="L59" s="148">
        <f>IF(L4=Leadsheet!$E$15,IF(Leadsheet!$G$4="VAS",SAP_Speadsheet!L168-SAP_Speadsheet!L133,0),0)</f>
        <v>0</v>
      </c>
      <c r="M59" s="148">
        <f>IF(M4=Leadsheet!$E$15,IF(Leadsheet!$G$4="VAS",SAP_Speadsheet!M168-SAP_Speadsheet!M133,0),0)</f>
        <v>0</v>
      </c>
      <c r="N59" s="148">
        <f>IF(N4=Leadsheet!$E$15,IF(Leadsheet!$G$4="VAS",SAP_Speadsheet!N168-SAP_Speadsheet!N133,0),0)</f>
        <v>0</v>
      </c>
      <c r="O59" s="148">
        <f>IF(O4=Leadsheet!$E$15,IF(Leadsheet!$G$4="VAS",SAP_Speadsheet!O168-SAP_Speadsheet!O133,0),0)</f>
        <v>0</v>
      </c>
      <c r="P59" s="148">
        <f>IF(P4=Leadsheet!$E$15,IF(Leadsheet!$G$4="VAS",SAP_Speadsheet!P168-SAP_Speadsheet!P133,0),0)</f>
        <v>0</v>
      </c>
      <c r="Q59" s="148">
        <f>IF(Q4=Leadsheet!$E$15,IF(Leadsheet!$G$4="VAS",SAP_Speadsheet!Q168-SAP_Speadsheet!Q133,0),0)</f>
        <v>0</v>
      </c>
      <c r="R59" s="148">
        <f>IF(R4=Leadsheet!$E$15,IF(Leadsheet!$G$4="VAS",SAP_Speadsheet!R168-SAP_Speadsheet!R133,0),0)</f>
        <v>0</v>
      </c>
      <c r="S59" s="148">
        <f>IF(S4=Leadsheet!$E$15,IF(Leadsheet!$G$4="VAS",SAP_Speadsheet!S168-SAP_Speadsheet!S133,0),0)</f>
        <v>0</v>
      </c>
      <c r="T59" s="148">
        <f>IF(T4=Leadsheet!$E$15,IF(Leadsheet!$G$4="VAS",SAP_Speadsheet!T168-SAP_Speadsheet!T133,0),0)</f>
        <v>0</v>
      </c>
      <c r="U59" s="148">
        <f>IF(U4=Leadsheet!$E$15,IF(Leadsheet!$G$4="VAS",SAP_Speadsheet!U168-SAP_Speadsheet!U133,0),0)</f>
        <v>0</v>
      </c>
      <c r="V59" s="148">
        <f>IF(V4=Leadsheet!$E$15,IF(Leadsheet!$G$4="VAS",SAP_Speadsheet!V168-SAP_Speadsheet!V133,0),0)</f>
        <v>0</v>
      </c>
      <c r="W59" s="148">
        <f>IF(W4=Leadsheet!$E$15,IF(Leadsheet!$G$4="VAS",SAP_Speadsheet!W168-SAP_Speadsheet!W133,0),0)</f>
        <v>0</v>
      </c>
      <c r="X59" s="148">
        <f>IF(X4=Leadsheet!$E$15,IF(Leadsheet!$G$4="VAS",SAP_Speadsheet!X168-SAP_Speadsheet!X133,0),0)</f>
        <v>0</v>
      </c>
      <c r="Y59" s="148">
        <f>IF(Y4=Leadsheet!$E$15,IF(Leadsheet!$G$4="VAS",SAP_Speadsheet!Y168-SAP_Speadsheet!Y133,0),0)</f>
        <v>0</v>
      </c>
      <c r="Z59" s="148">
        <f>IF(Z4=Leadsheet!$E$15,IF(Leadsheet!$G$4="VAS",SAP_Speadsheet!Z168-SAP_Speadsheet!Z133,0),0)</f>
        <v>0</v>
      </c>
      <c r="AA59" s="148">
        <f>IF(AA4=Leadsheet!$E$15,IF(Leadsheet!$G$4="VAS",SAP_Speadsheet!AA168-SAP_Speadsheet!AA133,0),0)</f>
        <v>0</v>
      </c>
      <c r="AB59" s="148">
        <f>IF(AB4=Leadsheet!$E$15,IF(Leadsheet!$G$4="VAS",SAP_Speadsheet!AB168-SAP_Speadsheet!AB133,0),0)</f>
        <v>0</v>
      </c>
      <c r="AC59" s="148">
        <f>IF(AC4=Leadsheet!$E$15,IF(Leadsheet!$G$4="VAS",SAP_Speadsheet!AC168-SAP_Speadsheet!AC133,0),0)</f>
        <v>0</v>
      </c>
      <c r="AD59" s="148">
        <f>IF(AD4&gt;$F$6,0,IF(Leadsheet!$G$5="DPD180+",SUM(SAP_Speadsheet!AC27:AC31)-SUM(SAP_Speadsheet!AD28:AD32),0))</f>
        <v>0</v>
      </c>
      <c r="AE59" s="148">
        <f>IF(AE4&gt;$F$6,0,IF(Leadsheet!$G$5="DPD180+",SUM(SAP_Speadsheet!AD27:AD31)-SUM(SAP_Speadsheet!AE28:AE32),0))</f>
        <v>0</v>
      </c>
      <c r="AF59" s="148">
        <f>IF(AF4&gt;$F$6,0,IF(Leadsheet!$G$5="DPD180+",SUM(SAP_Speadsheet!AE27:AE31)-SUM(SAP_Speadsheet!AF28:AF32),0))</f>
        <v>0</v>
      </c>
      <c r="AG59" s="148">
        <f>IF(AG4&gt;$F$6,0,IF(Leadsheet!$G$5="DPD180+",SUM(SAP_Speadsheet!AF27:AF31)-SUM(SAP_Speadsheet!AG28:AG32),0))</f>
        <v>0</v>
      </c>
      <c r="AH59" s="148">
        <f>IF(AH4&gt;$F$6,0,IF(Leadsheet!$G$5="DPD180+",SUM(SAP_Speadsheet!AG27:AG31)-SUM(SAP_Speadsheet!AH28:AH32),0))</f>
        <v>0</v>
      </c>
      <c r="AI59" s="148">
        <f>IF(AI4&gt;$F$6,0,IF(Leadsheet!$G$5="DPD180+",SUM(SAP_Speadsheet!AH27:AH31)-SUM(SAP_Speadsheet!AI28:AI32),0))</f>
        <v>0</v>
      </c>
      <c r="AJ59" s="148">
        <f>IF(AJ4&gt;$F$6,0,IF(Leadsheet!$G$5="DPD180+",SUM(SAP_Speadsheet!AI27:AI31)-SUM(SAP_Speadsheet!AJ28:AJ32),0))</f>
        <v>0</v>
      </c>
      <c r="AK59" s="148">
        <f>IF(AK4&gt;$F$6,0,IF(Leadsheet!$G$5="DPD180+",SUM(SAP_Speadsheet!AJ27:AJ31)-SUM(SAP_Speadsheet!AK28:AK32),0))</f>
        <v>0</v>
      </c>
      <c r="AL59" s="148">
        <f>IF(AL4&gt;$F$6,0,IF(Leadsheet!$G$5="DPD180+",SUM(SAP_Speadsheet!AK27:AK31)-SUM(SAP_Speadsheet!AL28:AL32),0))</f>
        <v>0</v>
      </c>
      <c r="AM59" s="148">
        <f>IF(AM4&gt;$F$6,0,IF(Leadsheet!$G$5="DPD180+",SUM(SAP_Speadsheet!AL27:AL31)-SUM(SAP_Speadsheet!AM28:AM32),0))</f>
        <v>0</v>
      </c>
      <c r="AN59" s="148">
        <f>IF(AN4&gt;$F$6,0,IF(Leadsheet!$G$5="DPD180+",SUM(SAP_Speadsheet!AM27:AM31)-SUM(SAP_Speadsheet!AN28:AN32),0))</f>
        <v>0</v>
      </c>
      <c r="AO59" s="148">
        <f>IF(AO4&gt;$F$6,0,IF(Leadsheet!$G$5="DPD180+",SUM(SAP_Speadsheet!AN27:AN31)-SUM(SAP_Speadsheet!AO28:AO32),0))</f>
        <v>0</v>
      </c>
      <c r="AP59" s="148">
        <f>IF(AP4&gt;$F$6,0,IF(Leadsheet!$G$5="DPD180+",SUM(SAP_Speadsheet!AO27:AO31)-SUM(SAP_Speadsheet!AP28:AP32),0))</f>
        <v>0</v>
      </c>
      <c r="AQ59" s="148">
        <f>IF(AQ4&gt;$F$6,0,IF(Leadsheet!$G$5="DPD180+",SUM(SAP_Speadsheet!AP27:AP31)-SUM(SAP_Speadsheet!AQ28:AQ32),0))</f>
        <v>0</v>
      </c>
      <c r="AR59" s="148">
        <f>IF(AR4&gt;$F$6,0,IF(Leadsheet!$G$5="DPD180+",SUM(SAP_Speadsheet!AQ27:AQ31)-SUM(SAP_Speadsheet!AR28:AR32),0))</f>
        <v>0</v>
      </c>
      <c r="AS59" s="148">
        <f>IF(AS4&gt;$F$6,0,IF(Leadsheet!$G$5="DPD180+",SUM(SAP_Speadsheet!AR27:AR31)-SUM(SAP_Speadsheet!AS28:AS32),0))</f>
        <v>0</v>
      </c>
      <c r="AT59" s="148">
        <f>IF(AT4&gt;$F$6,0,IF(Leadsheet!$G$5="DPD180+",SUM(SAP_Speadsheet!AS27:AS31)-SUM(SAP_Speadsheet!AT28:AT32),0))</f>
        <v>0</v>
      </c>
      <c r="AU59" s="148">
        <f>IF(AU4&gt;$F$6,0,IF(Leadsheet!$G$5="DPD180+",SUM(SAP_Speadsheet!AT27:AT31)-SUM(SAP_Speadsheet!AU28:AU32),0))</f>
        <v>0</v>
      </c>
      <c r="AV59" s="148">
        <f>IF(AV4&gt;$F$6,0,IF(Leadsheet!$G$5="DPD180+",SUM(SAP_Speadsheet!AU27:AU31)-SUM(SAP_Speadsheet!AV28:AV32),0))</f>
        <v>0</v>
      </c>
      <c r="AW59" s="148">
        <f>IF(AW4&gt;$F$6,0,IF(Leadsheet!$G$5="DPD180+",SUM(SAP_Speadsheet!AV27:AV31)-SUM(SAP_Speadsheet!AW28:AW32),0))</f>
        <v>0</v>
      </c>
      <c r="AX59" s="148">
        <f>IF(AX4&gt;$F$6,0,IF(Leadsheet!$G$5="DPD180+",SUM(SAP_Speadsheet!AW27:AW31)-SUM(SAP_Speadsheet!AX28:AX32),0))</f>
        <v>0</v>
      </c>
      <c r="AY59" s="148">
        <f>IF(AY4&gt;$F$6,0,IF(Leadsheet!$G$5="DPD180+",SUM(SAP_Speadsheet!AX27:AX31)-SUM(SAP_Speadsheet!AY28:AY32),0))</f>
        <v>0</v>
      </c>
      <c r="AZ59" s="148">
        <f>IF(AZ4&gt;$F$6,0,IF(Leadsheet!$G$5="DPD180+",SUM(SAP_Speadsheet!AY27:AY31)-SUM(SAP_Speadsheet!AZ28:AZ32),0))</f>
        <v>0</v>
      </c>
      <c r="BA59" s="148">
        <f>IF(BA4&gt;$F$6,0,IF(Leadsheet!$G$5="DPD180+",SUM(SAP_Speadsheet!AZ27:AZ31)-SUM(SAP_Speadsheet!BA28:BA32),0))</f>
        <v>0</v>
      </c>
      <c r="BB59" s="148">
        <f>IF(BB4&gt;$F$6,0,IF(Leadsheet!$G$5="DPD180+",SUM(SAP_Speadsheet!BA27:BA31)-SUM(SAP_Speadsheet!BB28:BB32),0))</f>
        <v>0</v>
      </c>
      <c r="BC59" s="148">
        <f>IF(BC4&gt;$F$6,0,IF(Leadsheet!$G$5="DPD180+",SUM(SAP_Speadsheet!BB27:BB31)-SUM(SAP_Speadsheet!BC28:BC32),0))</f>
        <v>0</v>
      </c>
      <c r="BD59" s="148">
        <f>IF(BD4&gt;$F$6,0,IF(Leadsheet!$G$5="DPD180+",SUM(SAP_Speadsheet!BC27:BC31)-SUM(SAP_Speadsheet!BD28:BD32),0))</f>
        <v>0</v>
      </c>
      <c r="BE59" s="148">
        <f>IF(BE4&gt;$F$6,0,IF(Leadsheet!$G$5="DPD180+",SUM(SAP_Speadsheet!BD27:BD31)-SUM(SAP_Speadsheet!BE28:BE32),0))</f>
        <v>0</v>
      </c>
      <c r="BF59" s="148">
        <f>IF(BF4&gt;$F$6,0,IF(Leadsheet!$G$5="DPD180+",SUM(SAP_Speadsheet!BE27:BE31)-SUM(SAP_Speadsheet!BF28:BF32),0))</f>
        <v>0</v>
      </c>
      <c r="BG59" s="148">
        <f>IF(BG4&gt;$F$6,0,IF(Leadsheet!$G$5="DPD180+",SUM(SAP_Speadsheet!BF27:BF31)-SUM(SAP_Speadsheet!BG28:BG32),0))</f>
        <v>0</v>
      </c>
      <c r="BH59" s="148">
        <f>IF(BH4&gt;$F$6,0,IF(Leadsheet!$G$5="DPD180+",SUM(SAP_Speadsheet!BG27:BG31)-SUM(SAP_Speadsheet!BH28:BH32),0))</f>
        <v>0</v>
      </c>
      <c r="BI59" s="148">
        <f>IF(BI4&gt;$F$6,0,IF(Leadsheet!$G$5="DPD180+",SUM(SAP_Speadsheet!BH27:BH31)-SUM(SAP_Speadsheet!BI28:BI32),0))</f>
        <v>0</v>
      </c>
      <c r="BJ59" s="148">
        <f>IF(BJ4&gt;$F$6,0,IF(Leadsheet!$G$5="DPD180+",SUM(SAP_Speadsheet!BI27:BI31)-SUM(SAP_Speadsheet!BJ28:BJ32),0))</f>
        <v>0</v>
      </c>
      <c r="BK59" s="148">
        <f>IF(BK4&gt;$F$6,0,IF(Leadsheet!$G$5="DPD180+",SUM(SAP_Speadsheet!BJ27:BJ31)-SUM(SAP_Speadsheet!BK28:BK32),0))</f>
        <v>0</v>
      </c>
      <c r="BL59" s="148">
        <f>IF(BL4&gt;$F$6,0,IF(Leadsheet!$G$5="DPD180+",SUM(SAP_Speadsheet!BK27:BK31)-SUM(SAP_Speadsheet!BL28:BL32),0))</f>
        <v>0</v>
      </c>
      <c r="BM59" s="148">
        <f>IF(BM4&gt;$F$6,0,IF(Leadsheet!$G$5="DPD180+",SUM(SAP_Speadsheet!BL27:BL31)-SUM(SAP_Speadsheet!BM28:BM32),0))</f>
        <v>0</v>
      </c>
    </row>
    <row r="60" spans="1:307" x14ac:dyDescent="0.15">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c r="AM60" s="148"/>
      <c r="AN60" s="148"/>
      <c r="AO60" s="148"/>
      <c r="AP60" s="148"/>
      <c r="AQ60" s="148"/>
      <c r="AR60" s="148"/>
      <c r="AS60" s="148"/>
      <c r="AT60" s="148"/>
      <c r="AU60" s="148"/>
      <c r="AV60" s="148"/>
      <c r="AW60" s="148"/>
      <c r="AX60" s="148"/>
      <c r="AY60" s="148"/>
      <c r="AZ60" s="148"/>
      <c r="BA60" s="148"/>
      <c r="BB60" s="148"/>
      <c r="BC60" s="148"/>
      <c r="BD60" s="148"/>
      <c r="BE60" s="148"/>
      <c r="BF60" s="148"/>
      <c r="BG60" s="148"/>
      <c r="BH60" s="148"/>
      <c r="BI60" s="148"/>
      <c r="BJ60" s="148"/>
      <c r="BK60" s="148"/>
      <c r="BL60" s="148"/>
      <c r="BM60" s="148"/>
    </row>
    <row r="62" spans="1:307" x14ac:dyDescent="0.15">
      <c r="B62" s="157" t="s">
        <v>333</v>
      </c>
      <c r="F62" s="250">
        <f t="shared" ref="F62:BM62" si="13">F63+F73+F76+F83+F87</f>
        <v>-1.8693926686976576E-2</v>
      </c>
      <c r="G62" s="250">
        <f t="shared" si="13"/>
        <v>-3.436933391688417E-3</v>
      </c>
      <c r="H62" s="250">
        <f t="shared" si="13"/>
        <v>-3.3156217568259803E-3</v>
      </c>
      <c r="I62" s="250">
        <f t="shared" si="13"/>
        <v>-3.194310121963544E-3</v>
      </c>
      <c r="J62" s="250">
        <f t="shared" si="13"/>
        <v>-3.0729984871011072E-3</v>
      </c>
      <c r="K62" s="250">
        <f t="shared" si="13"/>
        <v>-2.9516868522386714E-3</v>
      </c>
      <c r="L62" s="250">
        <f t="shared" si="13"/>
        <v>-2.8303752173762346E-3</v>
      </c>
      <c r="M62" s="250">
        <f t="shared" si="13"/>
        <v>-2.7090635825137979E-3</v>
      </c>
      <c r="N62" s="250">
        <f t="shared" si="13"/>
        <v>-2.5879815437319744E-3</v>
      </c>
      <c r="O62" s="250">
        <f t="shared" si="13"/>
        <v>-7.5805855586041546E-4</v>
      </c>
      <c r="P62" s="250">
        <f t="shared" si="13"/>
        <v>-7.2434117073407725E-4</v>
      </c>
      <c r="Q62" s="250">
        <f t="shared" si="13"/>
        <v>-7.345161861607209E-4</v>
      </c>
      <c r="R62" s="250">
        <f t="shared" si="13"/>
        <v>-7.315797256120752E-4</v>
      </c>
      <c r="S62" s="250">
        <f t="shared" si="13"/>
        <v>-7.3020319766460757E-4</v>
      </c>
      <c r="T62" s="250">
        <f t="shared" si="13"/>
        <v>-7.3020319766460757E-4</v>
      </c>
      <c r="U62" s="250">
        <f t="shared" si="13"/>
        <v>0</v>
      </c>
      <c r="V62" s="250">
        <f t="shared" si="13"/>
        <v>0</v>
      </c>
      <c r="W62" s="250">
        <f t="shared" si="13"/>
        <v>0</v>
      </c>
      <c r="X62" s="250">
        <f t="shared" si="13"/>
        <v>0</v>
      </c>
      <c r="Y62" s="250">
        <f t="shared" si="13"/>
        <v>0</v>
      </c>
      <c r="Z62" s="250">
        <f t="shared" si="13"/>
        <v>0</v>
      </c>
      <c r="AA62" s="250">
        <f t="shared" si="13"/>
        <v>0</v>
      </c>
      <c r="AB62" s="250">
        <f t="shared" si="13"/>
        <v>0</v>
      </c>
      <c r="AC62" s="250">
        <f t="shared" si="13"/>
        <v>0</v>
      </c>
      <c r="AD62" s="250">
        <f t="shared" si="13"/>
        <v>0</v>
      </c>
      <c r="AE62" s="250">
        <f t="shared" si="13"/>
        <v>0</v>
      </c>
      <c r="AF62" s="250">
        <f t="shared" si="13"/>
        <v>0</v>
      </c>
      <c r="AG62" s="250">
        <f t="shared" si="13"/>
        <v>0</v>
      </c>
      <c r="AH62" s="250">
        <f t="shared" si="13"/>
        <v>0</v>
      </c>
      <c r="AI62" s="250">
        <f t="shared" si="13"/>
        <v>0</v>
      </c>
      <c r="AJ62" s="250">
        <f t="shared" si="13"/>
        <v>0</v>
      </c>
      <c r="AK62" s="250">
        <f t="shared" si="13"/>
        <v>0</v>
      </c>
      <c r="AL62" s="250">
        <f t="shared" si="13"/>
        <v>0</v>
      </c>
      <c r="AM62" s="250">
        <f t="shared" si="13"/>
        <v>0</v>
      </c>
      <c r="AN62" s="250">
        <f t="shared" si="13"/>
        <v>0</v>
      </c>
      <c r="AO62" s="250">
        <f t="shared" si="13"/>
        <v>0</v>
      </c>
      <c r="AP62" s="250">
        <f t="shared" si="13"/>
        <v>0</v>
      </c>
      <c r="AQ62" s="250">
        <f t="shared" si="13"/>
        <v>0</v>
      </c>
      <c r="AR62" s="250">
        <f t="shared" si="13"/>
        <v>0</v>
      </c>
      <c r="AS62" s="250">
        <f t="shared" si="13"/>
        <v>0</v>
      </c>
      <c r="AT62" s="250">
        <f t="shared" si="13"/>
        <v>0</v>
      </c>
      <c r="AU62" s="250">
        <f t="shared" si="13"/>
        <v>0</v>
      </c>
      <c r="AV62" s="250">
        <f t="shared" si="13"/>
        <v>0</v>
      </c>
      <c r="AW62" s="250">
        <f t="shared" si="13"/>
        <v>0</v>
      </c>
      <c r="AX62" s="250">
        <f t="shared" si="13"/>
        <v>0</v>
      </c>
      <c r="AY62" s="250">
        <f t="shared" si="13"/>
        <v>0</v>
      </c>
      <c r="AZ62" s="250">
        <f t="shared" si="13"/>
        <v>0</v>
      </c>
      <c r="BA62" s="250">
        <f t="shared" si="13"/>
        <v>0</v>
      </c>
      <c r="BB62" s="250">
        <f t="shared" si="13"/>
        <v>0</v>
      </c>
      <c r="BC62" s="250">
        <f t="shared" si="13"/>
        <v>0</v>
      </c>
      <c r="BD62" s="250">
        <f t="shared" si="13"/>
        <v>0</v>
      </c>
      <c r="BE62" s="250">
        <f t="shared" si="13"/>
        <v>0</v>
      </c>
      <c r="BF62" s="250">
        <f t="shared" si="13"/>
        <v>0</v>
      </c>
      <c r="BG62" s="250">
        <f t="shared" si="13"/>
        <v>0</v>
      </c>
      <c r="BH62" s="250">
        <f t="shared" si="13"/>
        <v>0</v>
      </c>
      <c r="BI62" s="250">
        <f t="shared" si="13"/>
        <v>0</v>
      </c>
      <c r="BJ62" s="250">
        <f t="shared" si="13"/>
        <v>0</v>
      </c>
      <c r="BK62" s="250">
        <f t="shared" si="13"/>
        <v>0</v>
      </c>
      <c r="BL62" s="250">
        <f t="shared" si="13"/>
        <v>0</v>
      </c>
      <c r="BM62" s="250">
        <f t="shared" si="13"/>
        <v>0</v>
      </c>
      <c r="BN62" s="150"/>
      <c r="BO62" s="150"/>
      <c r="BP62" s="150"/>
      <c r="BQ62" s="150"/>
      <c r="BR62" s="150"/>
      <c r="BS62" s="150"/>
      <c r="BT62" s="150"/>
      <c r="BU62" s="150"/>
      <c r="BV62" s="150"/>
      <c r="BW62" s="150"/>
      <c r="BX62" s="150"/>
      <c r="BY62" s="150"/>
      <c r="BZ62" s="150"/>
      <c r="CA62" s="150"/>
      <c r="CB62" s="150"/>
      <c r="CC62" s="150"/>
      <c r="CD62" s="150"/>
      <c r="CE62" s="150"/>
      <c r="CF62" s="150"/>
      <c r="CG62" s="150"/>
      <c r="CH62" s="150"/>
      <c r="CI62" s="150"/>
      <c r="CJ62" s="150"/>
      <c r="CK62" s="150"/>
      <c r="CL62" s="150"/>
      <c r="CM62" s="150"/>
      <c r="CN62" s="150"/>
      <c r="CO62" s="150"/>
      <c r="CP62" s="150"/>
      <c r="CQ62" s="150"/>
      <c r="CR62" s="150"/>
      <c r="CS62" s="150"/>
      <c r="CT62" s="150"/>
      <c r="CU62" s="150"/>
      <c r="CV62" s="150"/>
      <c r="CW62" s="150"/>
      <c r="CX62" s="150"/>
      <c r="CY62" s="150"/>
      <c r="CZ62" s="150"/>
      <c r="DA62" s="150"/>
      <c r="DB62" s="150"/>
      <c r="DC62" s="150"/>
      <c r="DD62" s="150"/>
      <c r="DE62" s="150"/>
      <c r="DF62" s="150"/>
      <c r="DG62" s="150"/>
      <c r="DH62" s="150"/>
      <c r="DI62" s="150"/>
      <c r="DJ62" s="150"/>
      <c r="DK62" s="150"/>
      <c r="DL62" s="150"/>
      <c r="DM62" s="150"/>
      <c r="DN62" s="150"/>
      <c r="DO62" s="150"/>
      <c r="DP62" s="150"/>
      <c r="DQ62" s="150"/>
      <c r="DR62" s="150"/>
      <c r="DS62" s="150"/>
      <c r="DT62" s="150"/>
      <c r="DU62" s="150"/>
      <c r="DV62" s="150"/>
      <c r="DW62" s="150"/>
      <c r="DX62" s="150"/>
      <c r="DY62" s="150"/>
      <c r="DZ62" s="150"/>
      <c r="EA62" s="150"/>
      <c r="EB62" s="150"/>
      <c r="EC62" s="150"/>
      <c r="ED62" s="150"/>
      <c r="EE62" s="150"/>
      <c r="EF62" s="150"/>
      <c r="EG62" s="150"/>
      <c r="EH62" s="150"/>
      <c r="EI62" s="150"/>
      <c r="EJ62" s="150"/>
      <c r="EK62" s="150"/>
      <c r="EL62" s="150"/>
      <c r="EM62" s="150"/>
      <c r="EN62" s="150"/>
      <c r="EO62" s="150"/>
      <c r="EP62" s="150"/>
      <c r="EQ62" s="150"/>
      <c r="ER62" s="150"/>
      <c r="ES62" s="150"/>
      <c r="ET62" s="150"/>
      <c r="EU62" s="150"/>
      <c r="EV62" s="150"/>
      <c r="EW62" s="150"/>
      <c r="EX62" s="150"/>
      <c r="EY62" s="150"/>
      <c r="EZ62" s="150"/>
      <c r="FA62" s="150"/>
      <c r="FB62" s="150"/>
      <c r="FC62" s="150"/>
      <c r="FD62" s="150"/>
      <c r="FE62" s="150"/>
      <c r="FF62" s="150"/>
      <c r="FG62" s="150"/>
      <c r="FH62" s="150"/>
      <c r="FI62" s="150"/>
      <c r="FJ62" s="150"/>
      <c r="FK62" s="150"/>
      <c r="FL62" s="150"/>
      <c r="FM62" s="150"/>
      <c r="FN62" s="150"/>
      <c r="FO62" s="150"/>
      <c r="FP62" s="150"/>
      <c r="FQ62" s="150"/>
      <c r="FR62" s="150"/>
      <c r="FS62" s="150"/>
      <c r="FT62" s="150"/>
      <c r="FU62" s="150"/>
      <c r="FV62" s="150"/>
      <c r="FW62" s="150"/>
      <c r="FX62" s="150"/>
      <c r="FY62" s="150"/>
      <c r="FZ62" s="150"/>
      <c r="GA62" s="150"/>
      <c r="GB62" s="150"/>
      <c r="GC62" s="150"/>
      <c r="GD62" s="150"/>
      <c r="GE62" s="150"/>
      <c r="GF62" s="150"/>
      <c r="GG62" s="150"/>
      <c r="GH62" s="150"/>
      <c r="GI62" s="150"/>
      <c r="GJ62" s="150"/>
      <c r="GK62" s="150"/>
      <c r="GL62" s="150"/>
      <c r="GM62" s="150"/>
      <c r="GN62" s="150"/>
      <c r="GO62" s="150"/>
      <c r="GP62" s="150"/>
      <c r="GQ62" s="150"/>
      <c r="GR62" s="150"/>
      <c r="GS62" s="150"/>
      <c r="GT62" s="150"/>
      <c r="GU62" s="150"/>
      <c r="GV62" s="150"/>
      <c r="GW62" s="150"/>
      <c r="GX62" s="150"/>
      <c r="GY62" s="150"/>
      <c r="GZ62" s="150"/>
      <c r="HA62" s="150"/>
      <c r="HB62" s="150"/>
      <c r="HC62" s="150"/>
      <c r="HD62" s="150"/>
      <c r="HE62" s="150"/>
      <c r="HF62" s="150"/>
      <c r="HG62" s="150"/>
      <c r="HH62" s="150"/>
      <c r="HI62" s="150"/>
      <c r="HJ62" s="150"/>
      <c r="HK62" s="150"/>
      <c r="HL62" s="150"/>
      <c r="HM62" s="150"/>
      <c r="HN62" s="150"/>
      <c r="HO62" s="150"/>
      <c r="HP62" s="150"/>
      <c r="HQ62" s="150"/>
      <c r="HR62" s="150"/>
      <c r="HS62" s="150"/>
      <c r="HT62" s="150"/>
      <c r="HU62" s="150"/>
      <c r="HV62" s="150"/>
      <c r="HW62" s="150"/>
      <c r="HX62" s="150"/>
      <c r="HY62" s="150"/>
      <c r="HZ62" s="150"/>
      <c r="IA62" s="150"/>
      <c r="IB62" s="150"/>
      <c r="IC62" s="150"/>
      <c r="ID62" s="150"/>
      <c r="IE62" s="150"/>
      <c r="IF62" s="150"/>
      <c r="IG62" s="150"/>
      <c r="IH62" s="150"/>
      <c r="II62" s="150"/>
      <c r="IJ62" s="150"/>
      <c r="IK62" s="150"/>
      <c r="IL62" s="150"/>
      <c r="IM62" s="150"/>
      <c r="IN62" s="150"/>
      <c r="IO62" s="150"/>
      <c r="IP62" s="150"/>
      <c r="IQ62" s="150"/>
      <c r="IR62" s="150"/>
      <c r="IS62" s="150"/>
      <c r="IT62" s="150"/>
      <c r="IU62" s="150"/>
      <c r="IV62" s="150"/>
      <c r="IW62" s="150"/>
      <c r="IX62" s="150"/>
      <c r="IY62" s="150"/>
      <c r="IZ62" s="150"/>
      <c r="JA62" s="150"/>
      <c r="JB62" s="150"/>
      <c r="JC62" s="150"/>
      <c r="JD62" s="150"/>
      <c r="JE62" s="150"/>
      <c r="JF62" s="150"/>
      <c r="JG62" s="150"/>
      <c r="JH62" s="150"/>
      <c r="JI62" s="150"/>
      <c r="JJ62" s="150"/>
      <c r="JK62" s="150"/>
      <c r="JL62" s="150"/>
      <c r="JM62" s="150"/>
      <c r="JN62" s="150"/>
      <c r="JO62" s="150"/>
      <c r="JP62" s="150"/>
      <c r="JQ62" s="150"/>
      <c r="JR62" s="150"/>
      <c r="JS62" s="150"/>
      <c r="JT62" s="150"/>
      <c r="JU62" s="150"/>
      <c r="JV62" s="150"/>
      <c r="JW62" s="150"/>
      <c r="JX62" s="150"/>
      <c r="JY62" s="150"/>
      <c r="JZ62" s="150"/>
      <c r="KA62" s="150"/>
      <c r="KB62" s="150"/>
      <c r="KC62" s="150"/>
      <c r="KD62" s="150"/>
      <c r="KE62" s="150"/>
      <c r="KF62" s="150"/>
      <c r="KG62" s="150"/>
      <c r="KH62" s="150"/>
      <c r="KI62" s="150"/>
      <c r="KJ62" s="150"/>
      <c r="KK62" s="150"/>
      <c r="KL62" s="150"/>
      <c r="KM62" s="150"/>
      <c r="KN62" s="150"/>
      <c r="KO62" s="150"/>
      <c r="KP62" s="150"/>
      <c r="KQ62" s="150"/>
      <c r="KR62" s="150"/>
      <c r="KS62" s="150"/>
      <c r="KT62" s="150"/>
    </row>
    <row r="63" spans="1:307" x14ac:dyDescent="0.15">
      <c r="B63" s="157" t="s">
        <v>72</v>
      </c>
      <c r="C63" s="157"/>
      <c r="D63" s="225"/>
      <c r="E63" s="157"/>
      <c r="F63" s="239">
        <f>F64+F65</f>
        <v>0</v>
      </c>
      <c r="G63" s="239">
        <f t="shared" ref="G63:BM63" si="14">G64+G65</f>
        <v>0</v>
      </c>
      <c r="H63" s="239">
        <f t="shared" si="14"/>
        <v>0</v>
      </c>
      <c r="I63" s="239">
        <f t="shared" si="14"/>
        <v>0</v>
      </c>
      <c r="J63" s="239">
        <f t="shared" si="14"/>
        <v>0</v>
      </c>
      <c r="K63" s="239">
        <f t="shared" si="14"/>
        <v>0</v>
      </c>
      <c r="L63" s="239">
        <f t="shared" si="14"/>
        <v>0</v>
      </c>
      <c r="M63" s="239">
        <f t="shared" si="14"/>
        <v>0</v>
      </c>
      <c r="N63" s="239">
        <f t="shared" si="14"/>
        <v>0</v>
      </c>
      <c r="O63" s="239">
        <f t="shared" si="14"/>
        <v>0</v>
      </c>
      <c r="P63" s="239">
        <f t="shared" si="14"/>
        <v>0</v>
      </c>
      <c r="Q63" s="239">
        <f t="shared" si="14"/>
        <v>0</v>
      </c>
      <c r="R63" s="239">
        <f t="shared" si="14"/>
        <v>0</v>
      </c>
      <c r="S63" s="239">
        <f t="shared" si="14"/>
        <v>0</v>
      </c>
      <c r="T63" s="239">
        <f t="shared" si="14"/>
        <v>0</v>
      </c>
      <c r="U63" s="239">
        <f t="shared" si="14"/>
        <v>0</v>
      </c>
      <c r="V63" s="239">
        <f t="shared" si="14"/>
        <v>0</v>
      </c>
      <c r="W63" s="239">
        <f t="shared" si="14"/>
        <v>0</v>
      </c>
      <c r="X63" s="239">
        <f t="shared" si="14"/>
        <v>0</v>
      </c>
      <c r="Y63" s="239">
        <f t="shared" si="14"/>
        <v>0</v>
      </c>
      <c r="Z63" s="239">
        <f t="shared" si="14"/>
        <v>0</v>
      </c>
      <c r="AA63" s="239">
        <f t="shared" si="14"/>
        <v>0</v>
      </c>
      <c r="AB63" s="239">
        <f t="shared" si="14"/>
        <v>0</v>
      </c>
      <c r="AC63" s="239">
        <f t="shared" si="14"/>
        <v>0</v>
      </c>
      <c r="AD63" s="239">
        <f t="shared" si="14"/>
        <v>0</v>
      </c>
      <c r="AE63" s="239">
        <f t="shared" si="14"/>
        <v>0</v>
      </c>
      <c r="AF63" s="239">
        <f t="shared" si="14"/>
        <v>0</v>
      </c>
      <c r="AG63" s="239">
        <f t="shared" si="14"/>
        <v>0</v>
      </c>
      <c r="AH63" s="239">
        <f t="shared" si="14"/>
        <v>0</v>
      </c>
      <c r="AI63" s="239">
        <f t="shared" si="14"/>
        <v>0</v>
      </c>
      <c r="AJ63" s="239">
        <f t="shared" si="14"/>
        <v>0</v>
      </c>
      <c r="AK63" s="239">
        <f t="shared" si="14"/>
        <v>0</v>
      </c>
      <c r="AL63" s="239">
        <f t="shared" si="14"/>
        <v>0</v>
      </c>
      <c r="AM63" s="239">
        <f t="shared" si="14"/>
        <v>0</v>
      </c>
      <c r="AN63" s="239">
        <f t="shared" si="14"/>
        <v>0</v>
      </c>
      <c r="AO63" s="239">
        <f t="shared" si="14"/>
        <v>0</v>
      </c>
      <c r="AP63" s="239">
        <f t="shared" si="14"/>
        <v>0</v>
      </c>
      <c r="AQ63" s="239">
        <f t="shared" si="14"/>
        <v>0</v>
      </c>
      <c r="AR63" s="239">
        <f t="shared" si="14"/>
        <v>0</v>
      </c>
      <c r="AS63" s="239">
        <f t="shared" si="14"/>
        <v>0</v>
      </c>
      <c r="AT63" s="239">
        <f t="shared" si="14"/>
        <v>0</v>
      </c>
      <c r="AU63" s="239">
        <f t="shared" si="14"/>
        <v>0</v>
      </c>
      <c r="AV63" s="239">
        <f t="shared" si="14"/>
        <v>0</v>
      </c>
      <c r="AW63" s="239">
        <f t="shared" si="14"/>
        <v>0</v>
      </c>
      <c r="AX63" s="239">
        <f t="shared" si="14"/>
        <v>0</v>
      </c>
      <c r="AY63" s="239">
        <f t="shared" si="14"/>
        <v>0</v>
      </c>
      <c r="AZ63" s="239">
        <f t="shared" si="14"/>
        <v>0</v>
      </c>
      <c r="BA63" s="239">
        <f t="shared" si="14"/>
        <v>0</v>
      </c>
      <c r="BB63" s="239">
        <f t="shared" si="14"/>
        <v>0</v>
      </c>
      <c r="BC63" s="239">
        <f t="shared" si="14"/>
        <v>0</v>
      </c>
      <c r="BD63" s="239">
        <f t="shared" si="14"/>
        <v>0</v>
      </c>
      <c r="BE63" s="239">
        <f t="shared" si="14"/>
        <v>0</v>
      </c>
      <c r="BF63" s="239">
        <f t="shared" si="14"/>
        <v>0</v>
      </c>
      <c r="BG63" s="239">
        <f t="shared" si="14"/>
        <v>0</v>
      </c>
      <c r="BH63" s="239">
        <f t="shared" si="14"/>
        <v>0</v>
      </c>
      <c r="BI63" s="239">
        <f t="shared" si="14"/>
        <v>0</v>
      </c>
      <c r="BJ63" s="239">
        <f t="shared" si="14"/>
        <v>0</v>
      </c>
      <c r="BK63" s="239">
        <f t="shared" si="14"/>
        <v>0</v>
      </c>
      <c r="BL63" s="239">
        <f t="shared" si="14"/>
        <v>0</v>
      </c>
      <c r="BM63" s="239">
        <f t="shared" si="14"/>
        <v>0</v>
      </c>
    </row>
    <row r="64" spans="1:307" s="162" customFormat="1" x14ac:dyDescent="0.15">
      <c r="C64" s="92" t="s">
        <v>334</v>
      </c>
      <c r="F64" s="148">
        <f>-Leadsheet!E51-Leadsheet!E52*Leadsheet!E11</f>
        <v>0</v>
      </c>
    </row>
    <row r="65" spans="2:65" x14ac:dyDescent="0.15">
      <c r="C65" s="157" t="s">
        <v>335</v>
      </c>
      <c r="F65" s="239">
        <f>SUM(F66:F72)</f>
        <v>0</v>
      </c>
      <c r="G65" s="239">
        <f>SUM(G66:G72)</f>
        <v>0</v>
      </c>
      <c r="H65" s="239">
        <f t="shared" ref="H65:BM65" si="15">SUM(H66:H72)</f>
        <v>0</v>
      </c>
      <c r="I65" s="239">
        <f t="shared" si="15"/>
        <v>0</v>
      </c>
      <c r="J65" s="239">
        <f t="shared" si="15"/>
        <v>0</v>
      </c>
      <c r="K65" s="239">
        <f t="shared" si="15"/>
        <v>0</v>
      </c>
      <c r="L65" s="239">
        <f t="shared" si="15"/>
        <v>0</v>
      </c>
      <c r="M65" s="239">
        <f t="shared" si="15"/>
        <v>0</v>
      </c>
      <c r="N65" s="239">
        <f t="shared" si="15"/>
        <v>0</v>
      </c>
      <c r="O65" s="239">
        <f t="shared" si="15"/>
        <v>0</v>
      </c>
      <c r="P65" s="239">
        <f t="shared" si="15"/>
        <v>0</v>
      </c>
      <c r="Q65" s="239">
        <f t="shared" si="15"/>
        <v>0</v>
      </c>
      <c r="R65" s="239">
        <f t="shared" si="15"/>
        <v>0</v>
      </c>
      <c r="S65" s="239">
        <f t="shared" si="15"/>
        <v>0</v>
      </c>
      <c r="T65" s="239">
        <f t="shared" si="15"/>
        <v>0</v>
      </c>
      <c r="U65" s="239">
        <f t="shared" si="15"/>
        <v>0</v>
      </c>
      <c r="V65" s="239">
        <f t="shared" si="15"/>
        <v>0</v>
      </c>
      <c r="W65" s="239">
        <f t="shared" si="15"/>
        <v>0</v>
      </c>
      <c r="X65" s="239">
        <f t="shared" si="15"/>
        <v>0</v>
      </c>
      <c r="Y65" s="239">
        <f t="shared" si="15"/>
        <v>0</v>
      </c>
      <c r="Z65" s="239">
        <f t="shared" si="15"/>
        <v>0</v>
      </c>
      <c r="AA65" s="239">
        <f t="shared" si="15"/>
        <v>0</v>
      </c>
      <c r="AB65" s="239">
        <f t="shared" si="15"/>
        <v>0</v>
      </c>
      <c r="AC65" s="239">
        <f t="shared" si="15"/>
        <v>0</v>
      </c>
      <c r="AD65" s="239">
        <f t="shared" si="15"/>
        <v>0</v>
      </c>
      <c r="AE65" s="239">
        <f t="shared" si="15"/>
        <v>0</v>
      </c>
      <c r="AF65" s="239">
        <f t="shared" si="15"/>
        <v>0</v>
      </c>
      <c r="AG65" s="239">
        <f t="shared" si="15"/>
        <v>0</v>
      </c>
      <c r="AH65" s="239">
        <f t="shared" si="15"/>
        <v>0</v>
      </c>
      <c r="AI65" s="239">
        <f t="shared" si="15"/>
        <v>0</v>
      </c>
      <c r="AJ65" s="239">
        <f t="shared" si="15"/>
        <v>0</v>
      </c>
      <c r="AK65" s="239">
        <f t="shared" si="15"/>
        <v>0</v>
      </c>
      <c r="AL65" s="239">
        <f t="shared" si="15"/>
        <v>0</v>
      </c>
      <c r="AM65" s="239">
        <f t="shared" si="15"/>
        <v>0</v>
      </c>
      <c r="AN65" s="239">
        <f t="shared" si="15"/>
        <v>0</v>
      </c>
      <c r="AO65" s="239">
        <f t="shared" si="15"/>
        <v>0</v>
      </c>
      <c r="AP65" s="239">
        <f t="shared" si="15"/>
        <v>0</v>
      </c>
      <c r="AQ65" s="239">
        <f t="shared" si="15"/>
        <v>0</v>
      </c>
      <c r="AR65" s="239">
        <f t="shared" si="15"/>
        <v>0</v>
      </c>
      <c r="AS65" s="239">
        <f t="shared" si="15"/>
        <v>0</v>
      </c>
      <c r="AT65" s="239">
        <f t="shared" si="15"/>
        <v>0</v>
      </c>
      <c r="AU65" s="239">
        <f t="shared" si="15"/>
        <v>0</v>
      </c>
      <c r="AV65" s="239">
        <f t="shared" si="15"/>
        <v>0</v>
      </c>
      <c r="AW65" s="239">
        <f t="shared" si="15"/>
        <v>0</v>
      </c>
      <c r="AX65" s="239">
        <f t="shared" si="15"/>
        <v>0</v>
      </c>
      <c r="AY65" s="239">
        <f t="shared" si="15"/>
        <v>0</v>
      </c>
      <c r="AZ65" s="239">
        <f t="shared" si="15"/>
        <v>0</v>
      </c>
      <c r="BA65" s="239">
        <f t="shared" si="15"/>
        <v>0</v>
      </c>
      <c r="BB65" s="239">
        <f t="shared" si="15"/>
        <v>0</v>
      </c>
      <c r="BC65" s="239">
        <f t="shared" si="15"/>
        <v>0</v>
      </c>
      <c r="BD65" s="239">
        <f t="shared" si="15"/>
        <v>0</v>
      </c>
      <c r="BE65" s="239">
        <f t="shared" si="15"/>
        <v>0</v>
      </c>
      <c r="BF65" s="239">
        <f t="shared" si="15"/>
        <v>0</v>
      </c>
      <c r="BG65" s="239">
        <f t="shared" si="15"/>
        <v>0</v>
      </c>
      <c r="BH65" s="239">
        <f t="shared" si="15"/>
        <v>0</v>
      </c>
      <c r="BI65" s="239">
        <f t="shared" si="15"/>
        <v>0</v>
      </c>
      <c r="BJ65" s="239">
        <f t="shared" si="15"/>
        <v>0</v>
      </c>
      <c r="BK65" s="239">
        <f t="shared" si="15"/>
        <v>0</v>
      </c>
      <c r="BL65" s="239">
        <f t="shared" si="15"/>
        <v>0</v>
      </c>
      <c r="BM65" s="239">
        <f t="shared" si="15"/>
        <v>0</v>
      </c>
    </row>
    <row r="66" spans="2:65" x14ac:dyDescent="0.15">
      <c r="C66" s="164" t="s">
        <v>79</v>
      </c>
      <c r="F66" s="148">
        <f>-SUM(F51:F51)*Leadsheet!$E$45</f>
        <v>0</v>
      </c>
      <c r="G66" s="148">
        <f>-SUM(G51:G51)*Leadsheet!$E$45</f>
        <v>0</v>
      </c>
      <c r="H66" s="148">
        <f>-SUM(H51:H51)*Leadsheet!$E$45</f>
        <v>0</v>
      </c>
      <c r="I66" s="148">
        <f>-SUM(I51:I51)*Leadsheet!$E$45</f>
        <v>0</v>
      </c>
      <c r="J66" s="148">
        <f>-SUM(J51:J51)*Leadsheet!$E$45</f>
        <v>0</v>
      </c>
      <c r="K66" s="148">
        <f>-SUM(K51:K51)*Leadsheet!$E$45</f>
        <v>0</v>
      </c>
      <c r="L66" s="148">
        <f>-SUM(L51:L51)*Leadsheet!$E$45</f>
        <v>0</v>
      </c>
      <c r="M66" s="148">
        <f>-SUM(M51:M51)*Leadsheet!$E$45</f>
        <v>0</v>
      </c>
      <c r="N66" s="148">
        <f>-SUM(N51:N51)*Leadsheet!$E$45</f>
        <v>0</v>
      </c>
      <c r="O66" s="148">
        <f>-SUM(O51:O51)*Leadsheet!$E$45</f>
        <v>0</v>
      </c>
      <c r="P66" s="148">
        <f>-SUM(P51:P51)*Leadsheet!$E$45</f>
        <v>0</v>
      </c>
      <c r="Q66" s="148">
        <f>-SUM(Q51:Q51)*Leadsheet!$E$45</f>
        <v>0</v>
      </c>
      <c r="R66" s="148">
        <f>-SUM(R51:R51)*Leadsheet!$E$45</f>
        <v>0</v>
      </c>
      <c r="S66" s="148">
        <f>-SUM(S51:S51)*Leadsheet!$E$45</f>
        <v>0</v>
      </c>
      <c r="T66" s="148">
        <f>-SUM(T51:T51)*Leadsheet!$E$45</f>
        <v>0</v>
      </c>
      <c r="U66" s="148">
        <f>-SUM(U51:U51)*Leadsheet!$E$45</f>
        <v>0</v>
      </c>
      <c r="V66" s="148">
        <f>-SUM(V51:V51)*Leadsheet!$E$45</f>
        <v>0</v>
      </c>
      <c r="W66" s="148">
        <f>-SUM(W51:W51)*Leadsheet!$E$45</f>
        <v>0</v>
      </c>
      <c r="X66" s="148">
        <f>-SUM(X51:X51)*Leadsheet!$E$45</f>
        <v>0</v>
      </c>
      <c r="Y66" s="148">
        <f>-SUM(Y51:Y51)*Leadsheet!$E$45</f>
        <v>0</v>
      </c>
      <c r="Z66" s="148">
        <f>-SUM(Z51:Z51)*Leadsheet!$E$45</f>
        <v>0</v>
      </c>
      <c r="AA66" s="148">
        <f>-SUM(AA51:AA51)*Leadsheet!$E$45</f>
        <v>0</v>
      </c>
      <c r="AB66" s="148">
        <f>-SUM(AB51:AB51)*Leadsheet!$E$45</f>
        <v>0</v>
      </c>
      <c r="AC66" s="148">
        <f>-SUM(AC51:AC51)*Leadsheet!$E$45</f>
        <v>0</v>
      </c>
      <c r="AD66" s="148">
        <f>-SUM(AD51:AD51)*Leadsheet!$E$45</f>
        <v>0</v>
      </c>
      <c r="AE66" s="148">
        <f>-SUM(AE51:AE51)*Leadsheet!$E$45</f>
        <v>0</v>
      </c>
      <c r="AF66" s="148">
        <f>-SUM(AF51:AF51)*Leadsheet!$E$45</f>
        <v>0</v>
      </c>
      <c r="AG66" s="148">
        <f>-SUM(AG51:AG51)*Leadsheet!$E$45</f>
        <v>0</v>
      </c>
      <c r="AH66" s="148">
        <f>-SUM(AH51:AH51)*Leadsheet!$E$45</f>
        <v>0</v>
      </c>
      <c r="AI66" s="148">
        <f>-SUM(AI51:AI51)*Leadsheet!$E$45</f>
        <v>0</v>
      </c>
      <c r="AJ66" s="148">
        <f>-SUM(AJ51:AJ51)*Leadsheet!$E$45</f>
        <v>0</v>
      </c>
      <c r="AK66" s="148">
        <f>-SUM(AK51:AK51)*Leadsheet!$E$45</f>
        <v>0</v>
      </c>
      <c r="AL66" s="148">
        <f>-SUM(AL51:AL51)*Leadsheet!$E$45</f>
        <v>0</v>
      </c>
      <c r="AM66" s="148">
        <f>-SUM(AM51:AM51)*Leadsheet!$E$45</f>
        <v>0</v>
      </c>
      <c r="AN66" s="148">
        <f>-SUM(AN51:AN51)*Leadsheet!$E$45</f>
        <v>0</v>
      </c>
      <c r="AO66" s="148">
        <f>-SUM(AO51:AO51)*Leadsheet!$E$45</f>
        <v>0</v>
      </c>
      <c r="AP66" s="148">
        <f>-SUM(AP51:AP51)*Leadsheet!$E$45</f>
        <v>0</v>
      </c>
      <c r="AQ66" s="148">
        <f>-SUM(AQ51:AQ51)*Leadsheet!$E$45</f>
        <v>0</v>
      </c>
      <c r="AR66" s="148">
        <f>-SUM(AR51:AR51)*Leadsheet!$E$45</f>
        <v>0</v>
      </c>
      <c r="AS66" s="148">
        <f>-SUM(AS51:AS51)*Leadsheet!$E$45</f>
        <v>0</v>
      </c>
      <c r="AT66" s="148">
        <f>-SUM(AT51:AT51)*Leadsheet!$E$45</f>
        <v>0</v>
      </c>
      <c r="AU66" s="148">
        <f>-SUM(AU51:AU51)*Leadsheet!$E$45</f>
        <v>0</v>
      </c>
      <c r="AV66" s="148">
        <f>-SUM(AV51:AV51)*Leadsheet!$E$45</f>
        <v>0</v>
      </c>
      <c r="AW66" s="148">
        <f>-SUM(AW51:AW51)*Leadsheet!$E$45</f>
        <v>0</v>
      </c>
      <c r="AX66" s="148">
        <f>-SUM(AX51:AX51)*Leadsheet!$E$45</f>
        <v>0</v>
      </c>
      <c r="AY66" s="148">
        <f>-SUM(AY51:AY51)*Leadsheet!$E$45</f>
        <v>0</v>
      </c>
      <c r="AZ66" s="148">
        <f>-SUM(AZ51:AZ51)*Leadsheet!$E$45</f>
        <v>0</v>
      </c>
      <c r="BA66" s="148">
        <f>-SUM(BA51:BA51)*Leadsheet!$E$45</f>
        <v>0</v>
      </c>
      <c r="BB66" s="148">
        <f>-SUM(BB51:BB51)*Leadsheet!$E$45</f>
        <v>0</v>
      </c>
      <c r="BC66" s="148">
        <f>-SUM(BC51:BC51)*Leadsheet!$E$45</f>
        <v>0</v>
      </c>
      <c r="BD66" s="148">
        <f>-SUM(BD51:BD51)*Leadsheet!$E$45</f>
        <v>0</v>
      </c>
      <c r="BE66" s="148">
        <f>-SUM(BE51:BE51)*Leadsheet!$E$45</f>
        <v>0</v>
      </c>
      <c r="BF66" s="148">
        <f>-SUM(BF51:BF51)*Leadsheet!$E$45</f>
        <v>0</v>
      </c>
      <c r="BG66" s="148">
        <f>-SUM(BG51:BG51)*Leadsheet!$E$45</f>
        <v>0</v>
      </c>
      <c r="BH66" s="148">
        <f>-SUM(BH51:BH51)*Leadsheet!$E$45</f>
        <v>0</v>
      </c>
      <c r="BI66" s="148">
        <f>-SUM(BI51:BI51)*Leadsheet!$E$45</f>
        <v>0</v>
      </c>
      <c r="BJ66" s="148">
        <f>-SUM(BJ51:BJ51)*Leadsheet!$E$45</f>
        <v>0</v>
      </c>
      <c r="BK66" s="148">
        <f>-SUM(BK51:BK51)*Leadsheet!$E$45</f>
        <v>0</v>
      </c>
      <c r="BL66" s="148">
        <f>-SUM(BL51:BL51)*Leadsheet!$E$45</f>
        <v>0</v>
      </c>
      <c r="BM66" s="148">
        <f>-SUM(BM51:BM51)*Leadsheet!$E$45</f>
        <v>0</v>
      </c>
    </row>
    <row r="67" spans="2:65" x14ac:dyDescent="0.15">
      <c r="C67" s="164" t="s">
        <v>81</v>
      </c>
      <c r="F67" s="148">
        <f>-F52*Leadsheet!$E$46</f>
        <v>0</v>
      </c>
      <c r="G67" s="148">
        <f>-G52*Leadsheet!$E$46</f>
        <v>0</v>
      </c>
      <c r="H67" s="148">
        <f>-H52*Leadsheet!$E$46</f>
        <v>0</v>
      </c>
      <c r="I67" s="148">
        <f>-I52*Leadsheet!$E$46</f>
        <v>0</v>
      </c>
      <c r="J67" s="148">
        <f>-J52*Leadsheet!$E$46</f>
        <v>0</v>
      </c>
      <c r="K67" s="148">
        <f>-K52*Leadsheet!$E$46</f>
        <v>0</v>
      </c>
      <c r="L67" s="148">
        <f>-L52*Leadsheet!$E$46</f>
        <v>0</v>
      </c>
      <c r="M67" s="148">
        <f>-M52*Leadsheet!$E$46</f>
        <v>0</v>
      </c>
      <c r="N67" s="148">
        <f>-N52*Leadsheet!$E$46</f>
        <v>0</v>
      </c>
      <c r="O67" s="148">
        <f>-O52*Leadsheet!$E$46</f>
        <v>0</v>
      </c>
      <c r="P67" s="148">
        <f>-P52*Leadsheet!$E$46</f>
        <v>0</v>
      </c>
      <c r="Q67" s="148">
        <f>-Q52*Leadsheet!$E$46</f>
        <v>0</v>
      </c>
      <c r="R67" s="148">
        <f>-R52*Leadsheet!$E$46</f>
        <v>0</v>
      </c>
      <c r="S67" s="148">
        <f>-S52*Leadsheet!$E$46</f>
        <v>0</v>
      </c>
      <c r="T67" s="148">
        <f>-T52*Leadsheet!$E$46</f>
        <v>0</v>
      </c>
      <c r="U67" s="148">
        <f>-U52*Leadsheet!$E$46</f>
        <v>0</v>
      </c>
      <c r="V67" s="148">
        <f>-V52*Leadsheet!$E$46</f>
        <v>0</v>
      </c>
      <c r="W67" s="148">
        <f>-W52*Leadsheet!$E$46</f>
        <v>0</v>
      </c>
      <c r="X67" s="148">
        <f>-X52*Leadsheet!$E$46</f>
        <v>0</v>
      </c>
      <c r="Y67" s="148">
        <f>-Y52*Leadsheet!$E$46</f>
        <v>0</v>
      </c>
      <c r="Z67" s="148">
        <f>-Z52*Leadsheet!$E$46</f>
        <v>0</v>
      </c>
      <c r="AA67" s="148">
        <f>-AA52*Leadsheet!$E$46</f>
        <v>0</v>
      </c>
      <c r="AB67" s="148">
        <f>-AB52*Leadsheet!$E$46</f>
        <v>0</v>
      </c>
      <c r="AC67" s="148">
        <f>-AC52*Leadsheet!$E$46</f>
        <v>0</v>
      </c>
      <c r="AD67" s="148">
        <f>-AD52*Leadsheet!$E$46</f>
        <v>0</v>
      </c>
      <c r="AE67" s="148">
        <f>-AE52*Leadsheet!$E$46</f>
        <v>0</v>
      </c>
      <c r="AF67" s="148">
        <f>-AF52*Leadsheet!$E$46</f>
        <v>0</v>
      </c>
      <c r="AG67" s="148">
        <f>-AG52*Leadsheet!$E$46</f>
        <v>0</v>
      </c>
      <c r="AH67" s="148">
        <f>-AH52*Leadsheet!$E$46</f>
        <v>0</v>
      </c>
      <c r="AI67" s="148">
        <f>-AI52*Leadsheet!$E$46</f>
        <v>0</v>
      </c>
      <c r="AJ67" s="148">
        <f>-AJ52*Leadsheet!$E$46</f>
        <v>0</v>
      </c>
      <c r="AK67" s="148">
        <f>-AK52*Leadsheet!$E$46</f>
        <v>0</v>
      </c>
      <c r="AL67" s="148">
        <f>-AL52*Leadsheet!$E$46</f>
        <v>0</v>
      </c>
      <c r="AM67" s="148">
        <f>-AM52*Leadsheet!$E$46</f>
        <v>0</v>
      </c>
      <c r="AN67" s="148">
        <f>-AN52*Leadsheet!$E$46</f>
        <v>0</v>
      </c>
      <c r="AO67" s="148">
        <f>-AO52*Leadsheet!$E$46</f>
        <v>0</v>
      </c>
      <c r="AP67" s="148">
        <f>-AP52*Leadsheet!$E$46</f>
        <v>0</v>
      </c>
      <c r="AQ67" s="148">
        <f>-AQ52*Leadsheet!$E$46</f>
        <v>0</v>
      </c>
      <c r="AR67" s="148">
        <f>-AR52*Leadsheet!$E$46</f>
        <v>0</v>
      </c>
      <c r="AS67" s="148">
        <f>-AS52*Leadsheet!$E$46</f>
        <v>0</v>
      </c>
      <c r="AT67" s="148">
        <f>-AT52*Leadsheet!$E$46</f>
        <v>0</v>
      </c>
      <c r="AU67" s="148">
        <f>-AU52*Leadsheet!$E$46</f>
        <v>0</v>
      </c>
      <c r="AV67" s="148">
        <f>-AV52*Leadsheet!$E$46</f>
        <v>0</v>
      </c>
      <c r="AW67" s="148">
        <f>-AW52*Leadsheet!$E$46</f>
        <v>0</v>
      </c>
      <c r="AX67" s="148">
        <f>-AX52*Leadsheet!$E$46</f>
        <v>0</v>
      </c>
      <c r="AY67" s="148">
        <f>-AY52*Leadsheet!$E$46</f>
        <v>0</v>
      </c>
      <c r="AZ67" s="148">
        <f>-AZ52*Leadsheet!$E$46</f>
        <v>0</v>
      </c>
      <c r="BA67" s="148">
        <f>-BA52*Leadsheet!$E$46</f>
        <v>0</v>
      </c>
      <c r="BB67" s="148">
        <f>-BB52*Leadsheet!$E$46</f>
        <v>0</v>
      </c>
      <c r="BC67" s="148">
        <f>-BC52*Leadsheet!$E$46</f>
        <v>0</v>
      </c>
      <c r="BD67" s="148">
        <f>-BD52*Leadsheet!$E$46</f>
        <v>0</v>
      </c>
      <c r="BE67" s="148">
        <f>-BE52*Leadsheet!$E$46</f>
        <v>0</v>
      </c>
      <c r="BF67" s="148">
        <f>-BF52*Leadsheet!$E$46</f>
        <v>0</v>
      </c>
      <c r="BG67" s="148">
        <f>-BG52*Leadsheet!$E$46</f>
        <v>0</v>
      </c>
      <c r="BH67" s="148">
        <f>-BH52*Leadsheet!$E$46</f>
        <v>0</v>
      </c>
      <c r="BI67" s="148">
        <f>-BI52*Leadsheet!$E$46</f>
        <v>0</v>
      </c>
      <c r="BJ67" s="148">
        <f>-BJ52*Leadsheet!$E$46</f>
        <v>0</v>
      </c>
      <c r="BK67" s="148">
        <f>-BK52*Leadsheet!$E$46</f>
        <v>0</v>
      </c>
      <c r="BL67" s="148">
        <f>-BL52*Leadsheet!$E$46</f>
        <v>0</v>
      </c>
      <c r="BM67" s="148">
        <f>-BM52*Leadsheet!$E$46</f>
        <v>0</v>
      </c>
    </row>
    <row r="68" spans="2:65" x14ac:dyDescent="0.15">
      <c r="C68" s="164" t="s">
        <v>83</v>
      </c>
      <c r="F68" s="148">
        <f>-F54*Leadsheet!$E$47</f>
        <v>0</v>
      </c>
      <c r="G68" s="148">
        <f>-G54*Leadsheet!$E$47</f>
        <v>0</v>
      </c>
      <c r="H68" s="148">
        <f>-H54*Leadsheet!$E$47</f>
        <v>0</v>
      </c>
      <c r="I68" s="148">
        <f>-I54*Leadsheet!$E$47</f>
        <v>0</v>
      </c>
      <c r="J68" s="148">
        <f>-J54*Leadsheet!$E$47</f>
        <v>0</v>
      </c>
      <c r="K68" s="148">
        <f>-K54*Leadsheet!$E$47</f>
        <v>0</v>
      </c>
      <c r="L68" s="148">
        <f>-L54*Leadsheet!$E$47</f>
        <v>0</v>
      </c>
      <c r="M68" s="148">
        <f>-M54*Leadsheet!$E$47</f>
        <v>0</v>
      </c>
      <c r="N68" s="148">
        <f>-N54*Leadsheet!$E$47</f>
        <v>0</v>
      </c>
      <c r="O68" s="148">
        <f>-O54*Leadsheet!$E$47</f>
        <v>0</v>
      </c>
      <c r="P68" s="148">
        <f>-P54*Leadsheet!$E$47</f>
        <v>0</v>
      </c>
      <c r="Q68" s="148">
        <f>-Q54*Leadsheet!$E$47</f>
        <v>0</v>
      </c>
      <c r="R68" s="148">
        <f>-R54*Leadsheet!$E$47</f>
        <v>0</v>
      </c>
      <c r="S68" s="148">
        <f>-S54*Leadsheet!$E$47</f>
        <v>0</v>
      </c>
      <c r="T68" s="148">
        <f>-T54*Leadsheet!$E$47</f>
        <v>0</v>
      </c>
      <c r="U68" s="148">
        <f>-U54*Leadsheet!$E$47</f>
        <v>0</v>
      </c>
      <c r="V68" s="148">
        <f>-V54*Leadsheet!$E$47</f>
        <v>0</v>
      </c>
      <c r="W68" s="148">
        <f>-W54*Leadsheet!$E$47</f>
        <v>0</v>
      </c>
      <c r="X68" s="148">
        <f>-X54*Leadsheet!$E$47</f>
        <v>0</v>
      </c>
      <c r="Y68" s="148">
        <f>-Y54*Leadsheet!$E$47</f>
        <v>0</v>
      </c>
      <c r="Z68" s="148">
        <f>-Z54*Leadsheet!$E$47</f>
        <v>0</v>
      </c>
      <c r="AA68" s="148">
        <f>-AA54*Leadsheet!$E$47</f>
        <v>0</v>
      </c>
      <c r="AB68" s="148">
        <f>-AB54*Leadsheet!$E$47</f>
        <v>0</v>
      </c>
      <c r="AC68" s="148">
        <f>-AC54*Leadsheet!$E$47</f>
        <v>0</v>
      </c>
      <c r="AD68" s="148">
        <f>-AD54*Leadsheet!$E$47</f>
        <v>0</v>
      </c>
      <c r="AE68" s="148">
        <f>-AE54*Leadsheet!$E$47</f>
        <v>0</v>
      </c>
      <c r="AF68" s="148">
        <f>-AF54*Leadsheet!$E$47</f>
        <v>0</v>
      </c>
      <c r="AG68" s="148">
        <f>-AG54*Leadsheet!$E$47</f>
        <v>0</v>
      </c>
      <c r="AH68" s="148">
        <f>-AH54*Leadsheet!$E$47</f>
        <v>0</v>
      </c>
      <c r="AI68" s="148">
        <f>-AI54*Leadsheet!$E$47</f>
        <v>0</v>
      </c>
      <c r="AJ68" s="148">
        <f>-AJ54*Leadsheet!$E$47</f>
        <v>0</v>
      </c>
      <c r="AK68" s="148">
        <f>-AK54*Leadsheet!$E$47</f>
        <v>0</v>
      </c>
      <c r="AL68" s="148">
        <f>-AL54*Leadsheet!$E$47</f>
        <v>0</v>
      </c>
      <c r="AM68" s="148">
        <f>-AM54*Leadsheet!$E$47</f>
        <v>0</v>
      </c>
      <c r="AN68" s="148">
        <f>-AN54*Leadsheet!$E$47</f>
        <v>0</v>
      </c>
      <c r="AO68" s="148">
        <f>-AO54*Leadsheet!$E$47</f>
        <v>0</v>
      </c>
      <c r="AP68" s="148">
        <f>-AP54*Leadsheet!$E$47</f>
        <v>0</v>
      </c>
      <c r="AQ68" s="148">
        <f>-AQ54*Leadsheet!$E$47</f>
        <v>0</v>
      </c>
      <c r="AR68" s="148">
        <f>-AR54*Leadsheet!$E$47</f>
        <v>0</v>
      </c>
      <c r="AS68" s="148">
        <f>-AS54*Leadsheet!$E$47</f>
        <v>0</v>
      </c>
      <c r="AT68" s="148">
        <f>-AT54*Leadsheet!$E$47</f>
        <v>0</v>
      </c>
      <c r="AU68" s="148">
        <f>-AU54*Leadsheet!$E$47</f>
        <v>0</v>
      </c>
      <c r="AV68" s="148">
        <f>-AV54*Leadsheet!$E$47</f>
        <v>0</v>
      </c>
      <c r="AW68" s="148">
        <f>-AW54*Leadsheet!$E$47</f>
        <v>0</v>
      </c>
      <c r="AX68" s="148">
        <f>-AX54*Leadsheet!$E$47</f>
        <v>0</v>
      </c>
      <c r="AY68" s="148">
        <f>-AY54*Leadsheet!$E$47</f>
        <v>0</v>
      </c>
      <c r="AZ68" s="148">
        <f>-AZ54*Leadsheet!$E$47</f>
        <v>0</v>
      </c>
      <c r="BA68" s="148">
        <f>-BA54*Leadsheet!$E$47</f>
        <v>0</v>
      </c>
      <c r="BB68" s="148">
        <f>-BB54*Leadsheet!$E$47</f>
        <v>0</v>
      </c>
      <c r="BC68" s="148">
        <f>-BC54*Leadsheet!$E$47</f>
        <v>0</v>
      </c>
      <c r="BD68" s="148">
        <f>-BD54*Leadsheet!$E$47</f>
        <v>0</v>
      </c>
      <c r="BE68" s="148">
        <f>-BE54*Leadsheet!$E$47</f>
        <v>0</v>
      </c>
      <c r="BF68" s="148">
        <f>-BF54*Leadsheet!$E$47</f>
        <v>0</v>
      </c>
      <c r="BG68" s="148">
        <f>-BG54*Leadsheet!$E$47</f>
        <v>0</v>
      </c>
      <c r="BH68" s="148">
        <f>-BH54*Leadsheet!$E$47</f>
        <v>0</v>
      </c>
      <c r="BI68" s="148">
        <f>-BI54*Leadsheet!$E$47</f>
        <v>0</v>
      </c>
      <c r="BJ68" s="148">
        <f>-BJ54*Leadsheet!$E$47</f>
        <v>0</v>
      </c>
      <c r="BK68" s="148">
        <f>-BK54*Leadsheet!$E$47</f>
        <v>0</v>
      </c>
      <c r="BL68" s="148">
        <f>-BL54*Leadsheet!$E$47</f>
        <v>0</v>
      </c>
      <c r="BM68" s="148">
        <f>-BM54*Leadsheet!$E$47</f>
        <v>0</v>
      </c>
    </row>
    <row r="69" spans="2:65" x14ac:dyDescent="0.15">
      <c r="C69" s="164" t="s">
        <v>85</v>
      </c>
      <c r="F69" s="148">
        <f>IF(F4&gt;$F$6,0,Leadsheet!$E$48*(F23-SUM(E23:E31)+SUM(F24:F32)))</f>
        <v>0</v>
      </c>
      <c r="G69" s="148">
        <f>IF(G4&gt;$F$6,0,Leadsheet!$E$48*(G23-SUM(F23:F31)+SUM(G24:G32)))</f>
        <v>0</v>
      </c>
      <c r="H69" s="148">
        <f>IF(H4&gt;$F$6,0,Leadsheet!$E$48*(H23-SUM(G23:G31)+SUM(H24:H32)))</f>
        <v>0</v>
      </c>
      <c r="I69" s="148">
        <f>IF(I4&gt;$F$6,0,Leadsheet!$E$48*(I23-SUM(H23:H31)+SUM(I24:I32)))</f>
        <v>0</v>
      </c>
      <c r="J69" s="148">
        <f>IF(J4&gt;$F$6,0,Leadsheet!$E$48*(J23-SUM(I23:I31)+SUM(J24:J32)))</f>
        <v>0</v>
      </c>
      <c r="K69" s="148">
        <f>IF(K4&gt;$F$6,0,Leadsheet!$E$48*(K23-SUM(J23:J31)+SUM(K24:K32)))</f>
        <v>0</v>
      </c>
      <c r="L69" s="148">
        <f>IF(L4&gt;$F$6,0,Leadsheet!$E$48*(L23-SUM(K23:K31)+SUM(L24:L32)))</f>
        <v>0</v>
      </c>
      <c r="M69" s="148">
        <f>IF(M4&gt;$F$6,0,Leadsheet!$E$48*(M23-SUM(L23:L31)+SUM(M24:M32)))</f>
        <v>0</v>
      </c>
      <c r="N69" s="148">
        <f>IF(N4&gt;$F$6,0,Leadsheet!$E$48*(N23-SUM(M23:M31)+SUM(N24:N32)))</f>
        <v>0</v>
      </c>
      <c r="O69" s="148">
        <f>IF(O4&gt;$F$6,0,Leadsheet!$E$48*(O23-SUM(N23:N31)+SUM(O24:O32)))</f>
        <v>0</v>
      </c>
      <c r="P69" s="148">
        <f>IF(P4&gt;$F$6,0,Leadsheet!$E$48*(P23-SUM(O23:O31)+SUM(P24:P32)))</f>
        <v>0</v>
      </c>
      <c r="Q69" s="148">
        <f>IF(Q4&gt;$F$6,0,Leadsheet!$E$48*(Q23-SUM(P23:P31)+SUM(Q24:Q32)))</f>
        <v>0</v>
      </c>
      <c r="R69" s="148">
        <f>IF(R4&gt;$F$6,0,Leadsheet!$E$48*(R23-SUM(Q23:Q31)+SUM(R24:R32)))</f>
        <v>0</v>
      </c>
      <c r="S69" s="148">
        <f>IF(S4&gt;$F$6,0,Leadsheet!$E$48*(S23-SUM(R23:R31)+SUM(S24:S32)))</f>
        <v>0</v>
      </c>
      <c r="T69" s="148">
        <f>IF(T4&gt;$F$6,0,Leadsheet!$E$48*(T23-SUM(S23:S31)+SUM(T24:T32)))</f>
        <v>0</v>
      </c>
      <c r="U69" s="148">
        <f>IF(U4&gt;$F$6,0,Leadsheet!$E$48*(U23-SUM(T23:T31)+SUM(U24:U32)))</f>
        <v>0</v>
      </c>
      <c r="V69" s="148">
        <f>IF(V4&gt;$F$6,0,Leadsheet!$E$48*(V23-SUM(U23:U31)+SUM(V24:V32)))</f>
        <v>0</v>
      </c>
      <c r="W69" s="148">
        <f>IF(W4&gt;$F$6,0,Leadsheet!$E$48*(W23-SUM(V23:V31)+SUM(W24:W32)))</f>
        <v>0</v>
      </c>
      <c r="X69" s="148">
        <f>IF(X4&gt;$F$6,0,Leadsheet!$E$48*(X23-SUM(W23:W31)+SUM(X24:X32)))</f>
        <v>0</v>
      </c>
      <c r="Y69" s="148">
        <f>IF(Y4&gt;$F$6,0,Leadsheet!$E$48*(Y23-SUM(X23:X31)+SUM(Y24:Y32)))</f>
        <v>0</v>
      </c>
      <c r="Z69" s="148">
        <f>IF(Z4&gt;$F$6,0,Leadsheet!$E$48*(Z23-SUM(Y23:Y31)+SUM(Z24:Z32)))</f>
        <v>0</v>
      </c>
      <c r="AA69" s="148">
        <f>IF(AA4&gt;$F$6,0,Leadsheet!$E$48*(AA23-SUM(Z23:Z31)+SUM(AA24:AA32)))</f>
        <v>0</v>
      </c>
      <c r="AB69" s="148">
        <f>IF(AB4&gt;$F$6,0,Leadsheet!$E$48*(AB23-SUM(AA23:AA31)+SUM(AB24:AB32)))</f>
        <v>0</v>
      </c>
      <c r="AC69" s="148">
        <f>IF(AC4&gt;$F$6,0,Leadsheet!$E$48*(AC23-SUM(AB23:AB31)+SUM(AC24:AC32)))</f>
        <v>0</v>
      </c>
      <c r="AD69" s="148">
        <f>IF(AD4&gt;$F$6,0,Leadsheet!$E$48*(AD23-SUM(AC23:AC31)+SUM(AD24:AD32)))</f>
        <v>0</v>
      </c>
      <c r="AE69" s="148">
        <f>IF(AE4&gt;$F$6,0,Leadsheet!$E$48*(AE23-SUM(AD23:AD31)+SUM(AE24:AE32)))</f>
        <v>0</v>
      </c>
      <c r="AF69" s="148">
        <f>IF(AF4&gt;$F$6,0,Leadsheet!$E$48*(AF23-SUM(AE23:AE31)+SUM(AF24:AF32)))</f>
        <v>0</v>
      </c>
      <c r="AG69" s="148">
        <f>IF(AG4&gt;$F$6,0,Leadsheet!$E$48*(AG23-SUM(AF23:AF31)+SUM(AG24:AG32)))</f>
        <v>0</v>
      </c>
      <c r="AH69" s="148">
        <f>IF(AH4&gt;$F$6,0,Leadsheet!$E$48*(AH23-SUM(AG23:AG31)+SUM(AH24:AH32)))</f>
        <v>0</v>
      </c>
      <c r="AI69" s="148">
        <f>IF(AI4&gt;$F$6,0,Leadsheet!$E$48*(AI23-SUM(AH23:AH31)+SUM(AI24:AI32)))</f>
        <v>0</v>
      </c>
      <c r="AJ69" s="148">
        <f>IF(AJ4&gt;$F$6,0,Leadsheet!$E$48*(AJ23-SUM(AI23:AI31)+SUM(AJ24:AJ32)))</f>
        <v>0</v>
      </c>
      <c r="AK69" s="148">
        <f>IF(AK4&gt;$F$6,0,Leadsheet!$E$48*(AK23-SUM(AJ23:AJ31)+SUM(AK24:AK32)))</f>
        <v>0</v>
      </c>
      <c r="AL69" s="148">
        <f>IF(AL4&gt;$F$6,0,Leadsheet!$E$48*(AL23-SUM(AK23:AK31)+SUM(AL24:AL32)))</f>
        <v>0</v>
      </c>
      <c r="AM69" s="148">
        <f>IF(AM4&gt;$F$6,0,Leadsheet!$E$48*(AM23-SUM(AL23:AL31)+SUM(AM24:AM32)))</f>
        <v>0</v>
      </c>
      <c r="AN69" s="148">
        <f>IF(AN4&gt;$F$6,0,Leadsheet!$E$48*(AN23-SUM(AM23:AM31)+SUM(AN24:AN32)))</f>
        <v>0</v>
      </c>
      <c r="AO69" s="148">
        <f>IF(AO4&gt;$F$6,0,Leadsheet!$E$48*(AO23-SUM(AN23:AN31)+SUM(AO24:AO32)))</f>
        <v>0</v>
      </c>
      <c r="AP69" s="148">
        <f>IF(AP4&gt;$F$6,0,Leadsheet!$E$48*(AP23-SUM(AO23:AO31)+SUM(AP24:AP32)))</f>
        <v>0</v>
      </c>
      <c r="AQ69" s="148">
        <f>IF(AQ4&gt;$F$6,0,Leadsheet!$E$48*(AQ23-SUM(AP23:AP31)+SUM(AQ24:AQ32)))</f>
        <v>0</v>
      </c>
      <c r="AR69" s="148">
        <f>IF(AR4&gt;$F$6,0,Leadsheet!$E$48*(AR23-SUM(AQ23:AQ31)+SUM(AR24:AR32)))</f>
        <v>0</v>
      </c>
      <c r="AS69" s="148">
        <f>IF(AS4&gt;$F$6,0,Leadsheet!$E$48*(AS23-SUM(AR23:AR31)+SUM(AS24:AS32)))</f>
        <v>0</v>
      </c>
      <c r="AT69" s="148">
        <f>IF(AT4&gt;$F$6,0,Leadsheet!$E$48*(AT23-SUM(AS23:AS31)+SUM(AT24:AT32)))</f>
        <v>0</v>
      </c>
      <c r="AU69" s="148">
        <f>IF(AU4&gt;$F$6,0,Leadsheet!$E$48*(AU23-SUM(AT23:AT31)+SUM(AU24:AU32)))</f>
        <v>0</v>
      </c>
      <c r="AV69" s="148">
        <f>IF(AV4&gt;$F$6,0,Leadsheet!$E$48*(AV23-SUM(AU23:AU31)+SUM(AV24:AV32)))</f>
        <v>0</v>
      </c>
      <c r="AW69" s="148">
        <f>IF(AW4&gt;$F$6,0,Leadsheet!$E$48*(AW23-SUM(AV23:AV31)+SUM(AW24:AW32)))</f>
        <v>0</v>
      </c>
      <c r="AX69" s="148">
        <f>IF(AX4&gt;$F$6,0,Leadsheet!$E$48*(AX23-SUM(AW23:AW31)+SUM(AX24:AX32)))</f>
        <v>0</v>
      </c>
      <c r="AY69" s="148">
        <f>IF(AY4&gt;$F$6,0,Leadsheet!$E$48*(AY23-SUM(AX23:AX31)+SUM(AY24:AY32)))</f>
        <v>0</v>
      </c>
      <c r="AZ69" s="148">
        <f>IF(AZ4&gt;$F$6,0,Leadsheet!$E$48*(AZ23-SUM(AY23:AY31)+SUM(AZ24:AZ32)))</f>
        <v>0</v>
      </c>
      <c r="BA69" s="148">
        <f>IF(BA4&gt;$F$6,0,Leadsheet!$E$48*(BA23-SUM(AZ23:AZ31)+SUM(BA24:BA32)))</f>
        <v>0</v>
      </c>
      <c r="BB69" s="148">
        <f>IF(BB4&gt;$F$6,0,Leadsheet!$E$48*(BB23-SUM(BA23:BA31)+SUM(BB24:BB32)))</f>
        <v>0</v>
      </c>
      <c r="BC69" s="148">
        <f>IF(BC4&gt;$F$6,0,Leadsheet!$E$48*(BC23-SUM(BB23:BB31)+SUM(BC24:BC32)))</f>
        <v>0</v>
      </c>
      <c r="BD69" s="148">
        <f>IF(BD4&gt;$F$6,0,Leadsheet!$E$48*(BD23-SUM(BC23:BC31)+SUM(BD24:BD32)))</f>
        <v>0</v>
      </c>
      <c r="BE69" s="148">
        <f>IF(BE4&gt;$F$6,0,Leadsheet!$E$48*(BE23-SUM(BD23:BD31)+SUM(BE24:BE32)))</f>
        <v>0</v>
      </c>
      <c r="BF69" s="148">
        <f>IF(BF4&gt;$F$6,0,Leadsheet!$E$48*(BF23-SUM(BE23:BE31)+SUM(BF24:BF32)))</f>
        <v>0</v>
      </c>
      <c r="BG69" s="148">
        <f>IF(BG4&gt;$F$6,0,Leadsheet!$E$48*(BG23-SUM(BF23:BF31)+SUM(BG24:BG32)))</f>
        <v>0</v>
      </c>
      <c r="BH69" s="148">
        <f>IF(BH4&gt;$F$6,0,Leadsheet!$E$48*(BH23-SUM(BG23:BG31)+SUM(BH24:BH32)))</f>
        <v>0</v>
      </c>
      <c r="BI69" s="148">
        <f>IF(BI4&gt;$F$6,0,Leadsheet!$E$48*(BI23-SUM(BH23:BH31)+SUM(BI24:BI32)))</f>
        <v>0</v>
      </c>
      <c r="BJ69" s="148">
        <f>IF(BJ4&gt;$F$6,0,Leadsheet!$E$48*(BJ23-SUM(BI23:BI31)+SUM(BJ24:BJ32)))</f>
        <v>0</v>
      </c>
      <c r="BK69" s="148">
        <f>IF(BK4&gt;$F$6,0,Leadsheet!$E$48*(BK23-SUM(BJ23:BJ31)+SUM(BK24:BK32)))</f>
        <v>0</v>
      </c>
      <c r="BL69" s="148">
        <f>IF(BL4&gt;$F$6,0,Leadsheet!$E$48*(BL23-SUM(BK23:BK31)+SUM(BL24:BL32)))</f>
        <v>0</v>
      </c>
      <c r="BM69" s="148">
        <f>IF(BM4&gt;$F$6,0,Leadsheet!$E$48*(BM23-SUM(BL23:BL31)+SUM(BM24:BM32)))</f>
        <v>0</v>
      </c>
    </row>
    <row r="70" spans="2:65" x14ac:dyDescent="0.15">
      <c r="C70" s="164" t="s">
        <v>87</v>
      </c>
      <c r="F70" s="148">
        <f>IF(F4&gt;$F$6,0,Leadsheet!$E$49*(F26+SUM(E26:E31)-SUM(F27:F32)))</f>
        <v>0</v>
      </c>
      <c r="G70" s="148">
        <f>IF(G4&gt;$F$6,0,Leadsheet!$E$49*(G26+SUM(F26:F31)-SUM(G27:G32)))</f>
        <v>0</v>
      </c>
      <c r="H70" s="148">
        <f>IF(H4&gt;$F$6,0,Leadsheet!$E$49*(H26+SUM(G26:G31)-SUM(H27:H32)))</f>
        <v>0</v>
      </c>
      <c r="I70" s="148">
        <f>IF(I4&gt;$F$6,0,Leadsheet!$E$49*(I26+SUM(H26:H31)-SUM(I27:I32)))</f>
        <v>0</v>
      </c>
      <c r="J70" s="148">
        <f>IF(J4&gt;$F$6,0,Leadsheet!$E$49*(J26+SUM(I26:I31)-SUM(J27:J32)))</f>
        <v>0</v>
      </c>
      <c r="K70" s="148">
        <f>IF(K4&gt;$F$6,0,Leadsheet!$E$49*(K26+SUM(J26:J31)-SUM(K27:K32)))</f>
        <v>0</v>
      </c>
      <c r="L70" s="148">
        <f>IF(L4&gt;$F$6,0,Leadsheet!$E$49*(L26+SUM(K26:K31)-SUM(L27:L32)))</f>
        <v>0</v>
      </c>
      <c r="M70" s="148">
        <f>IF(M4&gt;$F$6,0,Leadsheet!$E$49*(M26+SUM(L26:L31)-SUM(M27:M32)))</f>
        <v>0</v>
      </c>
      <c r="N70" s="148">
        <f>IF(N4&gt;$F$6,0,Leadsheet!$E$49*(N26+SUM(M26:M31)-SUM(N27:N32)))</f>
        <v>0</v>
      </c>
      <c r="O70" s="148">
        <f>IF(O4&gt;$F$6,0,Leadsheet!$E$49*(O26+SUM(N26:N31)-SUM(O27:O32)))</f>
        <v>0</v>
      </c>
      <c r="P70" s="148">
        <f>IF(P4&gt;$F$6,0,Leadsheet!$E$49*(P26+SUM(O26:O31)-SUM(P27:P32)))</f>
        <v>0</v>
      </c>
      <c r="Q70" s="148">
        <f>IF(Q4&gt;$F$6,0,Leadsheet!$E$49*(Q26+SUM(P26:P31)-SUM(Q27:Q32)))</f>
        <v>0</v>
      </c>
      <c r="R70" s="148">
        <f>IF(R4&gt;$F$6,0,Leadsheet!$E$49*(R26+SUM(Q26:Q31)-SUM(R27:R32)))</f>
        <v>0</v>
      </c>
      <c r="S70" s="148">
        <f>IF(S4&gt;$F$6,0,Leadsheet!$E$49*(S26+SUM(R26:R31)-SUM(S27:S32)))</f>
        <v>0</v>
      </c>
      <c r="T70" s="148">
        <f>IF(T4&gt;$F$6,0,Leadsheet!$E$49*(T26+SUM(S26:S31)-SUM(T27:T32)))</f>
        <v>0</v>
      </c>
      <c r="U70" s="148">
        <f>IF(U4&gt;$F$6,0,Leadsheet!$E$49*(U26+SUM(T26:T31)-SUM(U27:U32)))</f>
        <v>0</v>
      </c>
      <c r="V70" s="148">
        <f>IF(V4&gt;$F$6,0,Leadsheet!$E$49*(V26+SUM(U26:U31)-SUM(V27:V32)))</f>
        <v>0</v>
      </c>
      <c r="W70" s="148">
        <f>IF(W4&gt;$F$6,0,Leadsheet!$E$49*(W26+SUM(V26:V31)-SUM(W27:W32)))</f>
        <v>0</v>
      </c>
      <c r="X70" s="148">
        <f>IF(X4&gt;$F$6,0,Leadsheet!$E$49*(X26+SUM(W26:W31)-SUM(X27:X32)))</f>
        <v>0</v>
      </c>
      <c r="Y70" s="148">
        <f>IF(Y4&gt;$F$6,0,Leadsheet!$E$49*(Y26+SUM(X26:X31)-SUM(Y27:Y32)))</f>
        <v>0</v>
      </c>
      <c r="Z70" s="148">
        <f>IF(Z4&gt;$F$6,0,Leadsheet!$E$49*(Z26+SUM(Y26:Y31)-SUM(Z27:Z32)))</f>
        <v>0</v>
      </c>
      <c r="AA70" s="148">
        <f>IF(AA4&gt;$F$6,0,Leadsheet!$E$49*(AA26+SUM(Z26:Z31)-SUM(AA27:AA32)))</f>
        <v>0</v>
      </c>
      <c r="AB70" s="148">
        <f>IF(AB4&gt;$F$6,0,Leadsheet!$E$49*(AB26+SUM(AA26:AA31)-SUM(AB27:AB32)))</f>
        <v>0</v>
      </c>
      <c r="AC70" s="148">
        <f>IF(AC4&gt;$F$6,0,Leadsheet!$E$49*(AC26+SUM(AB26:AB31)-SUM(AC27:AC32)))</f>
        <v>0</v>
      </c>
      <c r="AD70" s="148">
        <f>IF(AD4&gt;$F$6,0,Leadsheet!$E$49*(AD26+SUM(AC26:AC31)-SUM(AD27:AD32)))</f>
        <v>0</v>
      </c>
      <c r="AE70" s="148">
        <f>IF(AE4&gt;$F$6,0,Leadsheet!$E$49*(AE26+SUM(AD26:AD31)-SUM(AE27:AE32)))</f>
        <v>0</v>
      </c>
      <c r="AF70" s="148">
        <f>IF(AF4&gt;$F$6,0,Leadsheet!$E$49*(AF26+SUM(AE26:AE31)-SUM(AF27:AF32)))</f>
        <v>0</v>
      </c>
      <c r="AG70" s="148">
        <f>IF(AG4&gt;$F$6,0,Leadsheet!$E$49*(AG26+SUM(AF26:AF31)-SUM(AG27:AG32)))</f>
        <v>0</v>
      </c>
      <c r="AH70" s="148">
        <f>IF(AH4&gt;$F$6,0,Leadsheet!$E$49*(AH26+SUM(AG26:AG31)-SUM(AH27:AH32)))</f>
        <v>0</v>
      </c>
      <c r="AI70" s="148">
        <f>IF(AI4&gt;$F$6,0,Leadsheet!$E$49*(AI26+SUM(AH26:AH31)-SUM(AI27:AI32)))</f>
        <v>0</v>
      </c>
      <c r="AJ70" s="148">
        <f>IF(AJ4&gt;$F$6,0,Leadsheet!$E$49*(AJ26+SUM(AI26:AI31)-SUM(AJ27:AJ32)))</f>
        <v>0</v>
      </c>
      <c r="AK70" s="148">
        <f>IF(AK4&gt;$F$6,0,Leadsheet!$E$49*(AK26+SUM(AJ26:AJ31)-SUM(AK27:AK32)))</f>
        <v>0</v>
      </c>
      <c r="AL70" s="148">
        <f>IF(AL4&gt;$F$6,0,Leadsheet!$E$49*(AL26+SUM(AK26:AK31)-SUM(AL27:AL32)))</f>
        <v>0</v>
      </c>
      <c r="AM70" s="148">
        <f>IF(AM4&gt;$F$6,0,Leadsheet!$E$49*(AM26+SUM(AL26:AL31)-SUM(AM27:AM32)))</f>
        <v>0</v>
      </c>
      <c r="AN70" s="148">
        <f>IF(AN4&gt;$F$6,0,Leadsheet!$E$49*(AN26+SUM(AM26:AM31)-SUM(AN27:AN32)))</f>
        <v>0</v>
      </c>
      <c r="AO70" s="148">
        <f>IF(AO4&gt;$F$6,0,Leadsheet!$E$49*(AO26+SUM(AN26:AN31)-SUM(AO27:AO32)))</f>
        <v>0</v>
      </c>
      <c r="AP70" s="148">
        <f>IF(AP4&gt;$F$6,0,Leadsheet!$E$49*(AP26+SUM(AO26:AO31)-SUM(AP27:AP32)))</f>
        <v>0</v>
      </c>
      <c r="AQ70" s="148">
        <f>IF(AQ4&gt;$F$6,0,Leadsheet!$E$49*(AQ26+SUM(AP26:AP31)-SUM(AQ27:AQ32)))</f>
        <v>0</v>
      </c>
      <c r="AR70" s="148">
        <f>IF(AR4&gt;$F$6,0,Leadsheet!$E$49*(AR26+SUM(AQ26:AQ31)-SUM(AR27:AR32)))</f>
        <v>0</v>
      </c>
      <c r="AS70" s="148">
        <f>IF(AS4&gt;$F$6,0,Leadsheet!$E$49*(AS26+SUM(AR26:AR31)-SUM(AS27:AS32)))</f>
        <v>0</v>
      </c>
      <c r="AT70" s="148">
        <f>IF(AT4&gt;$F$6,0,Leadsheet!$E$49*(AT26+SUM(AS26:AS31)-SUM(AT27:AT32)))</f>
        <v>0</v>
      </c>
      <c r="AU70" s="148">
        <f>IF(AU4&gt;$F$6,0,Leadsheet!$E$49*(AU26+SUM(AT26:AT31)-SUM(AU27:AU32)))</f>
        <v>0</v>
      </c>
      <c r="AV70" s="148">
        <f>IF(AV4&gt;$F$6,0,Leadsheet!$E$49*(AV26+SUM(AU26:AU31)-SUM(AV27:AV32)))</f>
        <v>0</v>
      </c>
      <c r="AW70" s="148">
        <f>IF(AW4&gt;$F$6,0,Leadsheet!$E$49*(AW26+SUM(AV26:AV31)-SUM(AW27:AW32)))</f>
        <v>0</v>
      </c>
      <c r="AX70" s="148">
        <f>IF(AX4&gt;$F$6,0,Leadsheet!$E$49*(AX26+SUM(AW26:AW31)-SUM(AX27:AX32)))</f>
        <v>0</v>
      </c>
      <c r="AY70" s="148">
        <f>IF(AY4&gt;$F$6,0,Leadsheet!$E$49*(AY26+SUM(AX26:AX31)-SUM(AY27:AY32)))</f>
        <v>0</v>
      </c>
      <c r="AZ70" s="148">
        <f>IF(AZ4&gt;$F$6,0,Leadsheet!$E$49*(AZ26+SUM(AY26:AY31)-SUM(AZ27:AZ32)))</f>
        <v>0</v>
      </c>
      <c r="BA70" s="148">
        <f>IF(BA4&gt;$F$6,0,Leadsheet!$E$49*(BA26+SUM(AZ26:AZ31)-SUM(BA27:BA32)))</f>
        <v>0</v>
      </c>
      <c r="BB70" s="148">
        <f>IF(BB4&gt;$F$6,0,Leadsheet!$E$49*(BB26+SUM(BA26:BA31)-SUM(BB27:BB32)))</f>
        <v>0</v>
      </c>
      <c r="BC70" s="148">
        <f>IF(BC4&gt;$F$6,0,Leadsheet!$E$49*(BC26+SUM(BB26:BB31)-SUM(BC27:BC32)))</f>
        <v>0</v>
      </c>
      <c r="BD70" s="148">
        <f>IF(BD4&gt;$F$6,0,Leadsheet!$E$49*(BD26+SUM(BC26:BC31)-SUM(BD27:BD32)))</f>
        <v>0</v>
      </c>
      <c r="BE70" s="148">
        <f>IF(BE4&gt;$F$6,0,Leadsheet!$E$49*(BE26+SUM(BD26:BD31)-SUM(BE27:BE32)))</f>
        <v>0</v>
      </c>
      <c r="BF70" s="148">
        <f>IF(BF4&gt;$F$6,0,Leadsheet!$E$49*(BF26+SUM(BE26:BE31)-SUM(BF27:BF32)))</f>
        <v>0</v>
      </c>
      <c r="BG70" s="148">
        <f>IF(BG4&gt;$F$6,0,Leadsheet!$E$49*(BG26+SUM(BF26:BF31)-SUM(BG27:BG32)))</f>
        <v>0</v>
      </c>
      <c r="BH70" s="148">
        <f>IF(BH4&gt;$F$6,0,Leadsheet!$E$49*(BH26+SUM(BG26:BG31)-SUM(BH27:BH32)))</f>
        <v>0</v>
      </c>
      <c r="BI70" s="148">
        <f>IF(BI4&gt;$F$6,0,Leadsheet!$E$49*(BI26+SUM(BH26:BH31)-SUM(BI27:BI32)))</f>
        <v>0</v>
      </c>
      <c r="BJ70" s="148">
        <f>IF(BJ4&gt;$F$6,0,Leadsheet!$E$49*(BJ26+SUM(BI26:BI31)-SUM(BJ27:BJ32)))</f>
        <v>0</v>
      </c>
      <c r="BK70" s="148">
        <f>IF(BK4&gt;$F$6,0,Leadsheet!$E$49*(BK26+SUM(BJ26:BJ31)-SUM(BK27:BK32)))</f>
        <v>0</v>
      </c>
      <c r="BL70" s="148">
        <f>IF(BL4&gt;$F$6,0,Leadsheet!$E$49*(BL26+SUM(BK26:BK31)-SUM(BL27:BL32)))</f>
        <v>0</v>
      </c>
      <c r="BM70" s="148">
        <f>IF(BM4&gt;$F$6,0,Leadsheet!$E$49*(BM26+SUM(BL26:BL31)-SUM(BM27:BM32)))</f>
        <v>0</v>
      </c>
    </row>
    <row r="71" spans="2:65" x14ac:dyDescent="0.15">
      <c r="C71" s="252" t="s">
        <v>336</v>
      </c>
      <c r="F71" s="148">
        <f>IF(F4&gt;$F$6,0,Leadsheet!$E$42*(-F48+F23-SUM(E23:E31)+SUM(F24:F32)))</f>
        <v>0</v>
      </c>
      <c r="G71" s="148">
        <f>IF(G4&gt;$F$6,0,Leadsheet!$E$42*(-G48+G23-SUM(F23:F31)+SUM(G24:G32)))</f>
        <v>0</v>
      </c>
      <c r="H71" s="148">
        <f>IF(H4&gt;$F$6,0,Leadsheet!$E$42*(-H48+H23-SUM(G23:G31)+SUM(H24:H32)))</f>
        <v>0</v>
      </c>
      <c r="I71" s="148">
        <f>IF(I4&gt;$F$6,0,Leadsheet!$E$42*(-I48+I23-SUM(H23:H31)+SUM(I24:I32)))</f>
        <v>0</v>
      </c>
      <c r="J71" s="148">
        <f>IF(J4&gt;$F$6,0,Leadsheet!$E$42*(-J48+J23-SUM(I23:I31)+SUM(J24:J32)))</f>
        <v>0</v>
      </c>
      <c r="K71" s="148">
        <f>IF(K4&gt;$F$6,0,Leadsheet!$E$42*(-K48+K23-SUM(J23:J31)+SUM(K24:K32)))</f>
        <v>0</v>
      </c>
      <c r="L71" s="148">
        <f>IF(L4&gt;$F$6,0,Leadsheet!$E$42*(-L48+L23-SUM(K23:K31)+SUM(L24:L32)))</f>
        <v>0</v>
      </c>
      <c r="M71" s="148">
        <f>IF(M4&gt;$F$6,0,Leadsheet!$E$42*(-M48+M23-SUM(L23:L31)+SUM(M24:M32)))</f>
        <v>0</v>
      </c>
      <c r="N71" s="148">
        <f>IF(N4&gt;$F$6,0,Leadsheet!$E$42*(-N48+N23-SUM(M23:M31)+SUM(N24:N32)))</f>
        <v>0</v>
      </c>
      <c r="O71" s="148">
        <f>IF(O4&gt;$F$6,0,Leadsheet!$E$42*(-O48+O23-SUM(N23:N31)+SUM(O24:O32)))</f>
        <v>0</v>
      </c>
      <c r="P71" s="148">
        <f>IF(P4&gt;$F$6,0,Leadsheet!$E$42*(-P48+P23-SUM(O23:O31)+SUM(P24:P32)))</f>
        <v>0</v>
      </c>
      <c r="Q71" s="148">
        <f>IF(Q4&gt;$F$6,0,Leadsheet!$E$42*(-Q48+Q23-SUM(P23:P31)+SUM(Q24:Q32)))</f>
        <v>0</v>
      </c>
      <c r="R71" s="148">
        <f>IF(R4&gt;$F$6,0,Leadsheet!$E$42*(-R48+R23-SUM(Q23:Q31)+SUM(R24:R32)))</f>
        <v>0</v>
      </c>
      <c r="S71" s="148">
        <f>IF(S4&gt;$F$6,0,Leadsheet!$E$42*(-S48+S23-SUM(R23:R31)+SUM(S24:S32)))</f>
        <v>0</v>
      </c>
      <c r="T71" s="148">
        <f>IF(T4&gt;$F$6,0,Leadsheet!$E$42*(-T48+T23-SUM(S23:S31)+SUM(T24:T32)))</f>
        <v>0</v>
      </c>
      <c r="U71" s="148">
        <f>IF(U4&gt;$F$6,0,Leadsheet!$E$42*(-U48+U23-SUM(T23:T31)+SUM(U24:U32)))</f>
        <v>0</v>
      </c>
      <c r="V71" s="148">
        <f>IF(V4&gt;$F$6,0,Leadsheet!$E$42*(-V48+V23-SUM(U23:U31)+SUM(V24:V32)))</f>
        <v>0</v>
      </c>
      <c r="W71" s="148">
        <f>IF(W4&gt;$F$6,0,Leadsheet!$E$42*(-W48+W23-SUM(V23:V31)+SUM(W24:W32)))</f>
        <v>0</v>
      </c>
      <c r="X71" s="148">
        <f>IF(X4&gt;$F$6,0,Leadsheet!$E$42*(-X48+X23-SUM(W23:W31)+SUM(X24:X32)))</f>
        <v>0</v>
      </c>
      <c r="Y71" s="148">
        <f>IF(Y4&gt;$F$6,0,Leadsheet!$E$42*(-Y48+Y23-SUM(X23:X31)+SUM(Y24:Y32)))</f>
        <v>0</v>
      </c>
      <c r="Z71" s="148">
        <f>IF(Z4&gt;$F$6,0,Leadsheet!$E$42*(-Z48+Z23-SUM(Y23:Y31)+SUM(Z24:Z32)))</f>
        <v>0</v>
      </c>
      <c r="AA71" s="148">
        <f>IF(AA4&gt;$F$6,0,Leadsheet!$E$42*(-AA48+AA23-SUM(Z23:Z31)+SUM(AA24:AA32)))</f>
        <v>0</v>
      </c>
      <c r="AB71" s="148">
        <f>IF(AB4&gt;$F$6,0,Leadsheet!$E$42*(-AB48+AB23-SUM(AA23:AA31)+SUM(AB24:AB32)))</f>
        <v>0</v>
      </c>
      <c r="AC71" s="148">
        <f>IF(AC4&gt;$F$6,0,Leadsheet!$E$42*(-AC48+AC23-SUM(AB23:AB31)+SUM(AC24:AC32)))</f>
        <v>0</v>
      </c>
      <c r="AD71" s="148">
        <f>IF(AD4&gt;$F$6,0,Leadsheet!$E$42*(-AD48+AD23-SUM(AC23:AC31)+SUM(AD24:AD32)))</f>
        <v>0</v>
      </c>
      <c r="AE71" s="148">
        <f>IF(AE4&gt;$F$6,0,Leadsheet!$E$42*(-AE48+AE23-SUM(AD23:AD31)+SUM(AE24:AE32)))</f>
        <v>0</v>
      </c>
      <c r="AF71" s="148">
        <f>IF(AF4&gt;$F$6,0,Leadsheet!$E$42*(-AF48+AF23-SUM(AE23:AE31)+SUM(AF24:AF32)))</f>
        <v>0</v>
      </c>
      <c r="AG71" s="148">
        <f>IF(AG4&gt;$F$6,0,Leadsheet!$E$42*(-AG48+AG23-SUM(AF23:AF31)+SUM(AG24:AG32)))</f>
        <v>0</v>
      </c>
      <c r="AH71" s="148">
        <f>IF(AH4&gt;$F$6,0,Leadsheet!$E$42*(-AH48+AH23-SUM(AG23:AG31)+SUM(AH24:AH32)))</f>
        <v>0</v>
      </c>
      <c r="AI71" s="148">
        <f>IF(AI4&gt;$F$6,0,Leadsheet!$E$42*(-AI48+AI23-SUM(AH23:AH31)+SUM(AI24:AI32)))</f>
        <v>0</v>
      </c>
      <c r="AJ71" s="148">
        <f>IF(AJ4&gt;$F$6,0,Leadsheet!$E$42*(-AJ48+AJ23-SUM(AI23:AI31)+SUM(AJ24:AJ32)))</f>
        <v>0</v>
      </c>
      <c r="AK71" s="148">
        <f>IF(AK4&gt;$F$6,0,Leadsheet!$E$42*(-AK48+AK23-SUM(AJ23:AJ31)+SUM(AK24:AK32)))</f>
        <v>0</v>
      </c>
      <c r="AL71" s="148">
        <f>IF(AL4&gt;$F$6,0,Leadsheet!$E$42*(-AL48+AL23-SUM(AK23:AK31)+SUM(AL24:AL32)))</f>
        <v>0</v>
      </c>
      <c r="AM71" s="148">
        <f>IF(AM4&gt;$F$6,0,Leadsheet!$E$42*(-AM48+AM23-SUM(AL23:AL31)+SUM(AM24:AM32)))</f>
        <v>0</v>
      </c>
      <c r="AN71" s="148">
        <f>IF(AN4&gt;$F$6,0,Leadsheet!$E$42*(-AN48+AN23-SUM(AM23:AM31)+SUM(AN24:AN32)))</f>
        <v>0</v>
      </c>
      <c r="AO71" s="148">
        <f>IF(AO4&gt;$F$6,0,Leadsheet!$E$42*(-AO48+AO23-SUM(AN23:AN31)+SUM(AO24:AO32)))</f>
        <v>0</v>
      </c>
      <c r="AP71" s="148">
        <f>IF(AP4&gt;$F$6,0,Leadsheet!$E$42*(-AP48+AP23-SUM(AO23:AO31)+SUM(AP24:AP32)))</f>
        <v>0</v>
      </c>
      <c r="AQ71" s="148">
        <f>IF(AQ4&gt;$F$6,0,Leadsheet!$E$42*(-AQ48+AQ23-SUM(AP23:AP31)+SUM(AQ24:AQ32)))</f>
        <v>0</v>
      </c>
      <c r="AR71" s="148">
        <f>IF(AR4&gt;$F$6,0,Leadsheet!$E$42*(-AR48+AR23-SUM(AQ23:AQ31)+SUM(AR24:AR32)))</f>
        <v>0</v>
      </c>
      <c r="AS71" s="148">
        <f>IF(AS4&gt;$F$6,0,Leadsheet!$E$42*(-AS48+AS23-SUM(AR23:AR31)+SUM(AS24:AS32)))</f>
        <v>0</v>
      </c>
      <c r="AT71" s="148">
        <f>IF(AT4&gt;$F$6,0,Leadsheet!$E$42*(-AT48+AT23-SUM(AS23:AS31)+SUM(AT24:AT32)))</f>
        <v>0</v>
      </c>
      <c r="AU71" s="148">
        <f>IF(AU4&gt;$F$6,0,Leadsheet!$E$42*(-AU48+AU23-SUM(AT23:AT31)+SUM(AU24:AU32)))</f>
        <v>0</v>
      </c>
      <c r="AV71" s="148">
        <f>IF(AV4&gt;$F$6,0,Leadsheet!$E$42*(-AV48+AV23-SUM(AU23:AU31)+SUM(AV24:AV32)))</f>
        <v>0</v>
      </c>
      <c r="AW71" s="148">
        <f>IF(AW4&gt;$F$6,0,Leadsheet!$E$42*(-AW48+AW23-SUM(AV23:AV31)+SUM(AW24:AW32)))</f>
        <v>0</v>
      </c>
      <c r="AX71" s="148">
        <f>IF(AX4&gt;$F$6,0,Leadsheet!$E$42*(-AX48+AX23-SUM(AW23:AW31)+SUM(AX24:AX32)))</f>
        <v>0</v>
      </c>
      <c r="AY71" s="148">
        <f>IF(AY4&gt;$F$6,0,Leadsheet!$E$42*(-AY48+AY23-SUM(AX23:AX31)+SUM(AY24:AY32)))</f>
        <v>0</v>
      </c>
      <c r="AZ71" s="148">
        <f>IF(AZ4&gt;$F$6,0,Leadsheet!$E$42*(-AZ48+AZ23-SUM(AY23:AY31)+SUM(AZ24:AZ32)))</f>
        <v>0</v>
      </c>
      <c r="BA71" s="148">
        <f>IF(BA4&gt;$F$6,0,Leadsheet!$E$42*(-BA48+BA23-SUM(AZ23:AZ31)+SUM(BA24:BA32)))</f>
        <v>0</v>
      </c>
      <c r="BB71" s="148">
        <f>IF(BB4&gt;$F$6,0,Leadsheet!$E$42*(-BB48+BB23-SUM(BA23:BA31)+SUM(BB24:BB32)))</f>
        <v>0</v>
      </c>
      <c r="BC71" s="148">
        <f>IF(BC4&gt;$F$6,0,Leadsheet!$E$42*(-BC48+BC23-SUM(BB23:BB31)+SUM(BC24:BC32)))</f>
        <v>0</v>
      </c>
      <c r="BD71" s="148">
        <f>IF(BD4&gt;$F$6,0,Leadsheet!$E$42*(-BD48+BD23-SUM(BC23:BC31)+SUM(BD24:BD32)))</f>
        <v>0</v>
      </c>
      <c r="BE71" s="148">
        <f>IF(BE4&gt;$F$6,0,Leadsheet!$E$42*(-BE48+BE23-SUM(BD23:BD31)+SUM(BE24:BE32)))</f>
        <v>0</v>
      </c>
      <c r="BF71" s="148">
        <f>IF(BF4&gt;$F$6,0,Leadsheet!$E$42*(-BF48+BF23-SUM(BE23:BE31)+SUM(BF24:BF32)))</f>
        <v>0</v>
      </c>
      <c r="BG71" s="148">
        <f>IF(BG4&gt;$F$6,0,Leadsheet!$E$42*(-BG48+BG23-SUM(BF23:BF31)+SUM(BG24:BG32)))</f>
        <v>0</v>
      </c>
      <c r="BH71" s="148">
        <f>IF(BH4&gt;$F$6,0,Leadsheet!$E$42*(-BH48+BH23-SUM(BG23:BG31)+SUM(BH24:BH32)))</f>
        <v>0</v>
      </c>
      <c r="BI71" s="148">
        <f>IF(BI4&gt;$F$6,0,Leadsheet!$E$42*(-BI48+BI23-SUM(BH23:BH31)+SUM(BI24:BI32)))</f>
        <v>0</v>
      </c>
      <c r="BJ71" s="148">
        <f>IF(BJ4&gt;$F$6,0,Leadsheet!$E$42*(-BJ48+BJ23-SUM(BI23:BI31)+SUM(BJ24:BJ32)))</f>
        <v>0</v>
      </c>
      <c r="BK71" s="148">
        <f>IF(BK4&gt;$F$6,0,Leadsheet!$E$42*(-BK48+BK23-SUM(BJ23:BJ31)+SUM(BK24:BK32)))</f>
        <v>0</v>
      </c>
      <c r="BL71" s="148">
        <f>IF(BL4&gt;$F$6,0,Leadsheet!$E$42*(-BL48+BL23-SUM(BK23:BK31)+SUM(BL24:BL32)))</f>
        <v>0</v>
      </c>
      <c r="BM71" s="148">
        <f>IF(BM4&gt;$F$6,0,Leadsheet!$E$42*(-BM48+BM23-SUM(BL23:BL31)+SUM(BM24:BM32)))</f>
        <v>0</v>
      </c>
    </row>
    <row r="72" spans="2:65" x14ac:dyDescent="0.15">
      <c r="C72" s="252" t="s">
        <v>337</v>
      </c>
      <c r="F72" s="148">
        <f>IF(F4&gt;$F$6,0,Leadsheet!$E$49*(-F48+F26+SUM(E26:E31)-SUM(F27:F32)))</f>
        <v>0</v>
      </c>
      <c r="G72" s="148">
        <f>IF(G4&gt;$F$6,0,Leadsheet!$E$49*(-G48+G26+SUM(F26:F31)-SUM(G27:G32)))</f>
        <v>0</v>
      </c>
      <c r="H72" s="148">
        <f>IF(H4&gt;$F$6,0,Leadsheet!$E$49*(-H48+H26+SUM(G26:G31)-SUM(H27:H32)))</f>
        <v>0</v>
      </c>
      <c r="I72" s="148">
        <f>IF(I4&gt;$F$6,0,Leadsheet!$E$49*(-I48+I26+SUM(H26:H31)-SUM(I27:I32)))</f>
        <v>0</v>
      </c>
      <c r="J72" s="148">
        <f>IF(J4&gt;$F$6,0,Leadsheet!$E$49*(-J48+J26+SUM(I26:I31)-SUM(J27:J32)))</f>
        <v>0</v>
      </c>
      <c r="K72" s="148">
        <f>IF(K4&gt;$F$6,0,Leadsheet!$E$49*(-K48+K26+SUM(J26:J31)-SUM(K27:K32)))</f>
        <v>0</v>
      </c>
      <c r="L72" s="148">
        <f>IF(L4&gt;$F$6,0,Leadsheet!$E$49*(-L48+L26+SUM(K26:K31)-SUM(L27:L32)))</f>
        <v>0</v>
      </c>
      <c r="M72" s="148">
        <f>IF(M4&gt;$F$6,0,Leadsheet!$E$49*(-M48+M26+SUM(L26:L31)-SUM(M27:M32)))</f>
        <v>0</v>
      </c>
      <c r="N72" s="148">
        <f>IF(N4&gt;$F$6,0,Leadsheet!$E$49*(-N48+N26+SUM(M26:M31)-SUM(N27:N32)))</f>
        <v>0</v>
      </c>
      <c r="O72" s="148">
        <f>IF(O4&gt;$F$6,0,Leadsheet!$E$49*(-O48+O26+SUM(N26:N31)-SUM(O27:O32)))</f>
        <v>0</v>
      </c>
      <c r="P72" s="148">
        <f>IF(P4&gt;$F$6,0,Leadsheet!$E$49*(-P48+P26+SUM(O26:O31)-SUM(P27:P32)))</f>
        <v>0</v>
      </c>
      <c r="Q72" s="148">
        <f>IF(Q4&gt;$F$6,0,Leadsheet!$E$49*(-Q48+Q26+SUM(P26:P31)-SUM(Q27:Q32)))</f>
        <v>0</v>
      </c>
      <c r="R72" s="148">
        <f>IF(R4&gt;$F$6,0,Leadsheet!$E$49*(-R48+R26+SUM(Q26:Q31)-SUM(R27:R32)))</f>
        <v>0</v>
      </c>
      <c r="S72" s="148">
        <f>IF(S4&gt;$F$6,0,Leadsheet!$E$49*(-S48+S26+SUM(R26:R31)-SUM(S27:S32)))</f>
        <v>0</v>
      </c>
      <c r="T72" s="148">
        <f>IF(T4&gt;$F$6,0,Leadsheet!$E$49*(-T48+T26+SUM(S26:S31)-SUM(T27:T32)))</f>
        <v>0</v>
      </c>
      <c r="U72" s="148">
        <f>IF(U4&gt;$F$6,0,Leadsheet!$E$49*(-U48+U26+SUM(T26:T31)-SUM(U27:U32)))</f>
        <v>0</v>
      </c>
      <c r="V72" s="148">
        <f>IF(V4&gt;$F$6,0,Leadsheet!$E$49*(-V48+V26+SUM(U26:U31)-SUM(V27:V32)))</f>
        <v>0</v>
      </c>
      <c r="W72" s="148">
        <f>IF(W4&gt;$F$6,0,Leadsheet!$E$49*(-W48+W26+SUM(V26:V31)-SUM(W27:W32)))</f>
        <v>0</v>
      </c>
      <c r="X72" s="148">
        <f>IF(X4&gt;$F$6,0,Leadsheet!$E$49*(-X48+X26+SUM(W26:W31)-SUM(X27:X32)))</f>
        <v>0</v>
      </c>
      <c r="Y72" s="148">
        <f>IF(Y4&gt;$F$6,0,Leadsheet!$E$49*(-Y48+Y26+SUM(X26:X31)-SUM(Y27:Y32)))</f>
        <v>0</v>
      </c>
      <c r="Z72" s="148">
        <f>IF(Z4&gt;$F$6,0,Leadsheet!$E$49*(-Z48+Z26+SUM(Y26:Y31)-SUM(Z27:Z32)))</f>
        <v>0</v>
      </c>
      <c r="AA72" s="148">
        <f>IF(AA4&gt;$F$6,0,Leadsheet!$E$49*(-AA48+AA26+SUM(Z26:Z31)-SUM(AA27:AA32)))</f>
        <v>0</v>
      </c>
      <c r="AB72" s="148">
        <f>IF(AB4&gt;$F$6,0,Leadsheet!$E$49*(-AB48+AB26+SUM(AA26:AA31)-SUM(AB27:AB32)))</f>
        <v>0</v>
      </c>
      <c r="AC72" s="148">
        <f>IF(AC4&gt;$F$6,0,Leadsheet!$E$49*(-AC48+AC26+SUM(AB26:AB31)-SUM(AC27:AC32)))</f>
        <v>0</v>
      </c>
      <c r="AD72" s="148">
        <f>IF(AD4&gt;$F$6,0,Leadsheet!$E$49*(-AD48+AD26+SUM(AC26:AC31)-SUM(AD27:AD32)))</f>
        <v>0</v>
      </c>
      <c r="AE72" s="148">
        <f>IF(AE4&gt;$F$6,0,Leadsheet!$E$49*(-AE48+AE26+SUM(AD26:AD31)-SUM(AE27:AE32)))</f>
        <v>0</v>
      </c>
      <c r="AF72" s="148">
        <f>IF(AF4&gt;$F$6,0,Leadsheet!$E$49*(-AF48+AF26+SUM(AE26:AE31)-SUM(AF27:AF32)))</f>
        <v>0</v>
      </c>
      <c r="AG72" s="148">
        <f>IF(AG4&gt;$F$6,0,Leadsheet!$E$49*(-AG48+AG26+SUM(AF26:AF31)-SUM(AG27:AG32)))</f>
        <v>0</v>
      </c>
      <c r="AH72" s="148">
        <f>IF(AH4&gt;$F$6,0,Leadsheet!$E$49*(-AH48+AH26+SUM(AG26:AG31)-SUM(AH27:AH32)))</f>
        <v>0</v>
      </c>
      <c r="AI72" s="148">
        <f>IF(AI4&gt;$F$6,0,Leadsheet!$E$49*(-AI48+AI26+SUM(AH26:AH31)-SUM(AI27:AI32)))</f>
        <v>0</v>
      </c>
      <c r="AJ72" s="148">
        <f>IF(AJ4&gt;$F$6,0,Leadsheet!$E$49*(-AJ48+AJ26+SUM(AI26:AI31)-SUM(AJ27:AJ32)))</f>
        <v>0</v>
      </c>
      <c r="AK72" s="148">
        <f>IF(AK4&gt;$F$6,0,Leadsheet!$E$49*(-AK48+AK26+SUM(AJ26:AJ31)-SUM(AK27:AK32)))</f>
        <v>0</v>
      </c>
      <c r="AL72" s="148">
        <f>IF(AL4&gt;$F$6,0,Leadsheet!$E$49*(-AL48+AL26+SUM(AK26:AK31)-SUM(AL27:AL32)))</f>
        <v>0</v>
      </c>
      <c r="AM72" s="148">
        <f>IF(AM4&gt;$F$6,0,Leadsheet!$E$49*(-AM48+AM26+SUM(AL26:AL31)-SUM(AM27:AM32)))</f>
        <v>0</v>
      </c>
      <c r="AN72" s="148">
        <f>IF(AN4&gt;$F$6,0,Leadsheet!$E$49*(-AN48+AN26+SUM(AM26:AM31)-SUM(AN27:AN32)))</f>
        <v>0</v>
      </c>
      <c r="AO72" s="148">
        <f>IF(AO4&gt;$F$6,0,Leadsheet!$E$49*(-AO48+AO26+SUM(AN26:AN31)-SUM(AO27:AO32)))</f>
        <v>0</v>
      </c>
      <c r="AP72" s="148">
        <f>IF(AP4&gt;$F$6,0,Leadsheet!$E$49*(-AP48+AP26+SUM(AO26:AO31)-SUM(AP27:AP32)))</f>
        <v>0</v>
      </c>
      <c r="AQ72" s="148">
        <f>IF(AQ4&gt;$F$6,0,Leadsheet!$E$49*(-AQ48+AQ26+SUM(AP26:AP31)-SUM(AQ27:AQ32)))</f>
        <v>0</v>
      </c>
      <c r="AR72" s="148">
        <f>IF(AR4&gt;$F$6,0,Leadsheet!$E$49*(-AR48+AR26+SUM(AQ26:AQ31)-SUM(AR27:AR32)))</f>
        <v>0</v>
      </c>
      <c r="AS72" s="148">
        <f>IF(AS4&gt;$F$6,0,Leadsheet!$E$49*(-AS48+AS26+SUM(AR26:AR31)-SUM(AS27:AS32)))</f>
        <v>0</v>
      </c>
      <c r="AT72" s="148">
        <f>IF(AT4&gt;$F$6,0,Leadsheet!$E$49*(-AT48+AT26+SUM(AS26:AS31)-SUM(AT27:AT32)))</f>
        <v>0</v>
      </c>
      <c r="AU72" s="148">
        <f>IF(AU4&gt;$F$6,0,Leadsheet!$E$49*(-AU48+AU26+SUM(AT26:AT31)-SUM(AU27:AU32)))</f>
        <v>0</v>
      </c>
      <c r="AV72" s="148">
        <f>IF(AV4&gt;$F$6,0,Leadsheet!$E$49*(-AV48+AV26+SUM(AU26:AU31)-SUM(AV27:AV32)))</f>
        <v>0</v>
      </c>
      <c r="AW72" s="148">
        <f>IF(AW4&gt;$F$6,0,Leadsheet!$E$49*(-AW48+AW26+SUM(AV26:AV31)-SUM(AW27:AW32)))</f>
        <v>0</v>
      </c>
      <c r="AX72" s="148">
        <f>IF(AX4&gt;$F$6,0,Leadsheet!$E$49*(-AX48+AX26+SUM(AW26:AW31)-SUM(AX27:AX32)))</f>
        <v>0</v>
      </c>
      <c r="AY72" s="148">
        <f>IF(AY4&gt;$F$6,0,Leadsheet!$E$49*(-AY48+AY26+SUM(AX26:AX31)-SUM(AY27:AY32)))</f>
        <v>0</v>
      </c>
      <c r="AZ72" s="148">
        <f>IF(AZ4&gt;$F$6,0,Leadsheet!$E$49*(-AZ48+AZ26+SUM(AY26:AY31)-SUM(AZ27:AZ32)))</f>
        <v>0</v>
      </c>
      <c r="BA72" s="148">
        <f>IF(BA4&gt;$F$6,0,Leadsheet!$E$49*(-BA48+BA26+SUM(AZ26:AZ31)-SUM(BA27:BA32)))</f>
        <v>0</v>
      </c>
      <c r="BB72" s="148">
        <f>IF(BB4&gt;$F$6,0,Leadsheet!$E$49*(-BB48+BB26+SUM(BA26:BA31)-SUM(BB27:BB32)))</f>
        <v>0</v>
      </c>
      <c r="BC72" s="148">
        <f>IF(BC4&gt;$F$6,0,Leadsheet!$E$49*(-BC48+BC26+SUM(BB26:BB31)-SUM(BC27:BC32)))</f>
        <v>0</v>
      </c>
      <c r="BD72" s="148">
        <f>IF(BD4&gt;$F$6,0,Leadsheet!$E$49*(-BD48+BD26+SUM(BC26:BC31)-SUM(BD27:BD32)))</f>
        <v>0</v>
      </c>
      <c r="BE72" s="148">
        <f>IF(BE4&gt;$F$6,0,Leadsheet!$E$49*(-BE48+BE26+SUM(BD26:BD31)-SUM(BE27:BE32)))</f>
        <v>0</v>
      </c>
      <c r="BF72" s="148">
        <f>IF(BF4&gt;$F$6,0,Leadsheet!$E$49*(-BF48+BF26+SUM(BE26:BE31)-SUM(BF27:BF32)))</f>
        <v>0</v>
      </c>
      <c r="BG72" s="148">
        <f>IF(BG4&gt;$F$6,0,Leadsheet!$E$49*(-BG48+BG26+SUM(BF26:BF31)-SUM(BG27:BG32)))</f>
        <v>0</v>
      </c>
      <c r="BH72" s="148">
        <f>IF(BH4&gt;$F$6,0,Leadsheet!$E$49*(-BH48+BH26+SUM(BG26:BG31)-SUM(BH27:BH32)))</f>
        <v>0</v>
      </c>
      <c r="BI72" s="148">
        <f>IF(BI4&gt;$F$6,0,Leadsheet!$E$49*(-BI48+BI26+SUM(BH26:BH31)-SUM(BI27:BI32)))</f>
        <v>0</v>
      </c>
      <c r="BJ72" s="148">
        <f>IF(BJ4&gt;$F$6,0,Leadsheet!$E$49*(-BJ48+BJ26+SUM(BI26:BI31)-SUM(BJ27:BJ32)))</f>
        <v>0</v>
      </c>
      <c r="BK72" s="148">
        <f>IF(BK4&gt;$F$6,0,Leadsheet!$E$49*(-BK48+BK26+SUM(BJ26:BJ31)-SUM(BK27:BK32)))</f>
        <v>0</v>
      </c>
      <c r="BL72" s="148">
        <f>IF(BL4&gt;$F$6,0,Leadsheet!$E$49*(-BL48+BL26+SUM(BK26:BK31)-SUM(BL27:BL32)))</f>
        <v>0</v>
      </c>
      <c r="BM72" s="148">
        <f>IF(BM4&gt;$F$6,0,Leadsheet!$E$49*(-BM48+BM26+SUM(BL26:BL31)-SUM(BM27:BM32)))</f>
        <v>0</v>
      </c>
    </row>
    <row r="73" spans="2:65" x14ac:dyDescent="0.15">
      <c r="B73" s="157" t="s">
        <v>228</v>
      </c>
      <c r="C73" s="252"/>
      <c r="F73" s="239">
        <f>F74+F58</f>
        <v>0</v>
      </c>
      <c r="G73" s="148"/>
      <c r="H73" s="148"/>
      <c r="I73" s="148"/>
      <c r="J73" s="148"/>
      <c r="K73" s="148"/>
      <c r="L73" s="148"/>
      <c r="M73" s="148"/>
      <c r="N73" s="148"/>
      <c r="O73" s="148"/>
      <c r="P73" s="148"/>
      <c r="Q73" s="148"/>
      <c r="R73" s="148"/>
      <c r="S73" s="148"/>
      <c r="T73" s="148"/>
      <c r="U73" s="148"/>
      <c r="V73" s="148"/>
      <c r="W73" s="148"/>
      <c r="X73" s="148"/>
      <c r="Y73" s="148"/>
      <c r="Z73" s="148"/>
      <c r="AA73" s="148"/>
      <c r="AB73" s="148"/>
      <c r="AC73" s="148"/>
      <c r="AD73" s="148"/>
      <c r="AE73" s="148"/>
      <c r="AF73" s="148"/>
      <c r="AG73" s="148"/>
      <c r="AH73" s="148"/>
      <c r="AI73" s="148"/>
      <c r="AJ73" s="148"/>
      <c r="AK73" s="148"/>
      <c r="AL73" s="148"/>
      <c r="AM73" s="148"/>
      <c r="AN73" s="148"/>
      <c r="AO73" s="148"/>
      <c r="AP73" s="148"/>
      <c r="AQ73" s="148"/>
      <c r="AR73" s="148"/>
      <c r="AS73" s="148"/>
      <c r="AT73" s="148"/>
      <c r="AU73" s="148"/>
      <c r="AV73" s="148"/>
      <c r="AW73" s="148"/>
      <c r="AX73" s="148"/>
      <c r="AY73" s="148"/>
      <c r="AZ73" s="148"/>
      <c r="BA73" s="148"/>
      <c r="BB73" s="148"/>
      <c r="BC73" s="148"/>
      <c r="BD73" s="148"/>
      <c r="BE73" s="148"/>
      <c r="BF73" s="148"/>
      <c r="BG73" s="148"/>
      <c r="BH73" s="148"/>
      <c r="BI73" s="148"/>
      <c r="BJ73" s="148"/>
      <c r="BK73" s="148"/>
      <c r="BL73" s="148"/>
      <c r="BM73" s="148"/>
    </row>
    <row r="74" spans="2:65" x14ac:dyDescent="0.15">
      <c r="C74" s="92" t="s">
        <v>338</v>
      </c>
      <c r="F74" s="148">
        <f>-Leadsheet!E56</f>
        <v>0</v>
      </c>
    </row>
    <row r="76" spans="2:65" x14ac:dyDescent="0.15">
      <c r="B76" s="176" t="s">
        <v>205</v>
      </c>
      <c r="C76" s="157"/>
      <c r="D76" s="225"/>
      <c r="E76" s="157"/>
      <c r="F76" s="239">
        <f>F77+F78+F79</f>
        <v>-1.4853156903268133E-2</v>
      </c>
      <c r="G76" s="253"/>
      <c r="H76" s="253"/>
      <c r="I76" s="253"/>
      <c r="J76" s="253"/>
      <c r="K76" s="253"/>
      <c r="L76" s="253"/>
      <c r="M76" s="253"/>
      <c r="N76" s="253"/>
      <c r="O76" s="253"/>
      <c r="P76" s="253"/>
      <c r="Q76" s="253"/>
      <c r="R76" s="253"/>
      <c r="S76" s="253"/>
      <c r="T76" s="253"/>
      <c r="U76" s="253"/>
      <c r="V76" s="253"/>
      <c r="W76" s="253"/>
      <c r="X76" s="253"/>
      <c r="Y76" s="253"/>
      <c r="Z76" s="253"/>
      <c r="AA76" s="253"/>
      <c r="AB76" s="253"/>
      <c r="AC76" s="253"/>
      <c r="AD76" s="253"/>
      <c r="AE76" s="253"/>
      <c r="AF76" s="253"/>
      <c r="AG76" s="253"/>
      <c r="AH76" s="253"/>
      <c r="AI76" s="253"/>
      <c r="AJ76" s="253"/>
      <c r="AK76" s="253"/>
      <c r="AL76" s="253"/>
      <c r="AM76" s="253"/>
      <c r="AN76" s="253"/>
      <c r="AO76" s="253"/>
      <c r="AP76" s="253"/>
      <c r="AQ76" s="253"/>
      <c r="AR76" s="253"/>
      <c r="AS76" s="253"/>
      <c r="AT76" s="253"/>
      <c r="AU76" s="253"/>
      <c r="AV76" s="253"/>
      <c r="AW76" s="253"/>
      <c r="AX76" s="253"/>
      <c r="AY76" s="253"/>
      <c r="AZ76" s="253"/>
      <c r="BA76" s="253"/>
      <c r="BB76" s="253"/>
      <c r="BC76" s="253"/>
      <c r="BD76" s="253"/>
    </row>
    <row r="77" spans="2:65" x14ac:dyDescent="0.15">
      <c r="C77" s="92" t="s">
        <v>339</v>
      </c>
      <c r="F77" s="148">
        <f>-Leadsheet!E58/Leadsheet!E61/Leadsheet!E62-Leadsheet!E59</f>
        <v>-1.402694182186282E-2</v>
      </c>
    </row>
    <row r="78" spans="2:65" x14ac:dyDescent="0.15">
      <c r="C78" s="92" t="s">
        <v>101</v>
      </c>
      <c r="F78" s="148">
        <f>-Leadsheet!E60</f>
        <v>-8.2621508140531276E-4</v>
      </c>
    </row>
    <row r="79" spans="2:65" x14ac:dyDescent="0.15">
      <c r="C79" s="92" t="s">
        <v>99</v>
      </c>
      <c r="F79" s="148">
        <f>-Leadsheet!E59</f>
        <v>0</v>
      </c>
      <c r="G79" s="148"/>
      <c r="H79" s="148"/>
      <c r="I79" s="148"/>
      <c r="J79" s="148"/>
      <c r="K79" s="148"/>
      <c r="L79" s="148"/>
      <c r="M79" s="148"/>
      <c r="N79" s="148"/>
      <c r="O79" s="148"/>
      <c r="P79" s="148"/>
      <c r="Q79" s="148"/>
      <c r="R79" s="148"/>
      <c r="S79" s="148"/>
      <c r="T79" s="148"/>
      <c r="U79" s="148"/>
      <c r="V79" s="148"/>
      <c r="W79" s="148"/>
      <c r="X79" s="148"/>
      <c r="Y79" s="148"/>
      <c r="Z79" s="148"/>
      <c r="AA79" s="148"/>
      <c r="AB79" s="148"/>
      <c r="AC79" s="148"/>
      <c r="AD79" s="148"/>
      <c r="AE79" s="148"/>
      <c r="AF79" s="148"/>
      <c r="AG79" s="148"/>
      <c r="AH79" s="148"/>
      <c r="AI79" s="148"/>
      <c r="AJ79" s="148"/>
      <c r="AK79" s="148"/>
      <c r="AL79" s="148"/>
      <c r="AM79" s="148"/>
      <c r="AN79" s="148"/>
      <c r="AO79" s="148"/>
      <c r="AP79" s="148"/>
      <c r="AQ79" s="148"/>
      <c r="AR79" s="148"/>
      <c r="AS79" s="148"/>
      <c r="AT79" s="148"/>
      <c r="AU79" s="148"/>
      <c r="AV79" s="148"/>
      <c r="AW79" s="148"/>
      <c r="AX79" s="148"/>
      <c r="AY79" s="148"/>
      <c r="AZ79" s="148"/>
      <c r="BA79" s="148"/>
      <c r="BB79" s="148"/>
      <c r="BC79" s="148"/>
      <c r="BD79" s="148"/>
    </row>
    <row r="80" spans="2:65" x14ac:dyDescent="0.15">
      <c r="G80" s="148"/>
      <c r="H80" s="148"/>
      <c r="I80" s="148"/>
      <c r="J80" s="148"/>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48"/>
      <c r="AH80" s="148"/>
      <c r="AI80" s="148"/>
      <c r="AJ80" s="148"/>
      <c r="AK80" s="148"/>
      <c r="AL80" s="148"/>
      <c r="AM80" s="148"/>
      <c r="AN80" s="148"/>
      <c r="AO80" s="148"/>
      <c r="AP80" s="148"/>
      <c r="AQ80" s="148"/>
      <c r="AR80" s="148"/>
      <c r="AS80" s="148"/>
      <c r="AT80" s="148"/>
      <c r="AU80" s="148"/>
      <c r="AV80" s="148"/>
      <c r="AW80" s="148"/>
      <c r="AX80" s="148"/>
      <c r="AY80" s="148"/>
      <c r="AZ80" s="148"/>
      <c r="BA80" s="148"/>
      <c r="BB80" s="148"/>
      <c r="BC80" s="148"/>
      <c r="BD80" s="148"/>
    </row>
    <row r="81" spans="2:307" x14ac:dyDescent="0.15">
      <c r="C81" s="254" t="s">
        <v>340</v>
      </c>
      <c r="D81" s="255"/>
      <c r="E81" s="254"/>
      <c r="F81" s="256">
        <v>1</v>
      </c>
      <c r="G81" s="256">
        <f>IF(G$4&gt;$F$6,0,IF(G$4&lt;12,1,(1+Leadsheet!$E$38)^(ROUNDDOWN(G$4/12,0))))</f>
        <v>1</v>
      </c>
      <c r="H81" s="256">
        <f>IF(H$4&gt;$F$6,0,IF(H$4&lt;12,1,(1+Leadsheet!$E$38)^(ROUNDDOWN(H$4/12,0))))</f>
        <v>1</v>
      </c>
      <c r="I81" s="256">
        <f>IF(I$4&gt;$F$6,0,IF(I$4&lt;12,1,(1+Leadsheet!$E$38)^(ROUNDDOWN(I$4/12,0))))</f>
        <v>1</v>
      </c>
      <c r="J81" s="256">
        <f>IF(J$4&gt;$F$6,0,IF(J$4&lt;12,1,(1+Leadsheet!$E$38)^(ROUNDDOWN(J$4/12,0))))</f>
        <v>1</v>
      </c>
      <c r="K81" s="256">
        <f>IF(K$4&gt;$F$6,0,IF(K$4&lt;12,1,(1+Leadsheet!$E$38)^(ROUNDDOWN(K$4/12,0))))</f>
        <v>1</v>
      </c>
      <c r="L81" s="256">
        <f>IF(L$4&gt;$F$6,0,IF(L$4&lt;12,1,(1+Leadsheet!$E$38)^(ROUNDDOWN(L$4/12,0))))</f>
        <v>1</v>
      </c>
      <c r="M81" s="256">
        <f>IF(M$4&gt;$F$6,0,IF(M$4&lt;12,1,(1+Leadsheet!$E$38)^(ROUNDDOWN(M$4/12,0))))</f>
        <v>1</v>
      </c>
      <c r="N81" s="256">
        <f>IF(N$4&gt;$F$6,0,IF(N$4&lt;12,1,(1+Leadsheet!$E$38)^(ROUNDDOWN(N$4/12,0))))</f>
        <v>1</v>
      </c>
      <c r="O81" s="256">
        <f>IF(O$4&gt;$F$6,0,IF(O$4&lt;12,1,(1+Leadsheet!$E$38)^(ROUNDDOWN(O$4/12,0))))</f>
        <v>1</v>
      </c>
      <c r="P81" s="256">
        <f>IF(P$4&gt;$F$6,0,IF(P$4&lt;12,1,(1+Leadsheet!$E$38)^(ROUNDDOWN(P$4/12,0))))</f>
        <v>1</v>
      </c>
      <c r="Q81" s="256">
        <f>IF(Q$4&gt;$F$6,0,IF(Q$4&lt;12,1,(1+Leadsheet!$E$38)^(ROUNDDOWN(Q$4/12,0))))</f>
        <v>1.0349999999999999</v>
      </c>
      <c r="R81" s="256">
        <f>IF(R$4&gt;$F$6,0,IF(R$4&lt;12,1,(1+Leadsheet!$E$38)^(ROUNDDOWN(R$4/12,0))))</f>
        <v>1.0349999999999999</v>
      </c>
      <c r="S81" s="256">
        <f>IF(S$4&gt;$F$6,0,IF(S$4&lt;12,1,(1+Leadsheet!$E$38)^(ROUNDDOWN(S$4/12,0))))</f>
        <v>1.0349999999999999</v>
      </c>
      <c r="T81" s="256">
        <f>IF(T$4&gt;$F$6,0,IF(T$4&lt;12,1,(1+Leadsheet!$E$38)^(ROUNDDOWN(T$4/12,0))))</f>
        <v>1.0349999999999999</v>
      </c>
      <c r="U81" s="256">
        <f>IF(U$4&gt;$F$6,0,IF(U$4&lt;12,1,(1+Leadsheet!$E$38)^(ROUNDDOWN(U$4/12,0))))</f>
        <v>0</v>
      </c>
      <c r="V81" s="256">
        <f>IF(V$4&gt;$F$6,0,IF(V$4&lt;12,1,(1+Leadsheet!$E$38)^(ROUNDDOWN(V$4/12,0))))</f>
        <v>0</v>
      </c>
      <c r="W81" s="256">
        <f>IF(W$4&gt;$F$6,0,IF(W$4&lt;12,1,(1+Leadsheet!$E$38)^(ROUNDDOWN(W$4/12,0))))</f>
        <v>0</v>
      </c>
      <c r="X81" s="256">
        <f>IF(X$4&gt;$F$6,0,IF(X$4&lt;12,1,(1+Leadsheet!$E$38)^(ROUNDDOWN(X$4/12,0))))</f>
        <v>0</v>
      </c>
      <c r="Y81" s="256">
        <f>IF(Y$4&gt;$F$6,0,IF(Y$4&lt;12,1,(1+Leadsheet!$E$38)^(ROUNDDOWN(Y$4/12,0))))</f>
        <v>0</v>
      </c>
      <c r="Z81" s="256">
        <f>IF(Z$4&gt;$F$6,0,IF(Z$4&lt;12,1,(1+Leadsheet!$E$38)^(ROUNDDOWN(Z$4/12,0))))</f>
        <v>0</v>
      </c>
      <c r="AA81" s="256">
        <f>IF(AA$4&gt;$F$6,0,IF(AA$4&lt;12,1,(1+Leadsheet!$E$38)^(ROUNDDOWN(AA$4/12,0))))</f>
        <v>0</v>
      </c>
      <c r="AB81" s="256">
        <f>IF(AB$4&gt;$F$6,0,IF(AB$4&lt;12,1,(1+Leadsheet!$E$38)^(ROUNDDOWN(AB$4/12,0))))</f>
        <v>0</v>
      </c>
      <c r="AC81" s="256">
        <f>IF(AC$4&gt;$F$6,0,IF(AC$4&lt;12,1,(1+Leadsheet!$E$38)^(ROUNDDOWN(AC$4/12,0))))</f>
        <v>0</v>
      </c>
      <c r="AD81" s="256">
        <f>IF(AD$4&gt;$F$6,0,IF(AD$4&lt;12,1,(1+Leadsheet!$E$38)^(ROUNDDOWN(AD$4/12,0))))</f>
        <v>0</v>
      </c>
      <c r="AE81" s="256">
        <f>IF(AE$4&gt;$F$6,0,IF(AE$4&lt;12,1,(1+Leadsheet!$E$38)^(ROUNDDOWN(AE$4/12,0))))</f>
        <v>0</v>
      </c>
      <c r="AF81" s="256">
        <f>IF(AF$4&gt;$F$6,0,IF(AF$4&lt;12,1,(1+Leadsheet!$E$38)^(ROUNDDOWN(AF$4/12,0))))</f>
        <v>0</v>
      </c>
      <c r="AG81" s="256">
        <f>IF(AG$4&gt;$F$6,0,IF(AG$4&lt;12,1,(1+Leadsheet!$E$38)^(ROUNDDOWN(AG$4/12,0))))</f>
        <v>0</v>
      </c>
      <c r="AH81" s="256">
        <f>IF(AH$4&gt;$F$6,0,IF(AH$4&lt;12,1,(1+Leadsheet!$E$38)^(ROUNDDOWN(AH$4/12,0))))</f>
        <v>0</v>
      </c>
      <c r="AI81" s="256">
        <f>IF(AI$4&gt;$F$6,0,IF(AI$4&lt;12,1,(1+Leadsheet!$E$38)^(ROUNDDOWN(AI$4/12,0))))</f>
        <v>0</v>
      </c>
      <c r="AJ81" s="256">
        <f>IF(AJ$4&gt;$F$6,0,IF(AJ$4&lt;12,1,(1+Leadsheet!$E$38)^(ROUNDDOWN(AJ$4/12,0))))</f>
        <v>0</v>
      </c>
      <c r="AK81" s="256">
        <f>IF(AK$4&gt;$F$6,0,IF(AK$4&lt;12,1,(1+Leadsheet!$E$38)^(ROUNDDOWN(AK$4/12,0))))</f>
        <v>0</v>
      </c>
      <c r="AL81" s="256">
        <f>IF(AL$4&gt;$F$6,0,IF(AL$4&lt;12,1,(1+Leadsheet!$E$38)^(ROUNDDOWN(AL$4/12,0))))</f>
        <v>0</v>
      </c>
      <c r="AM81" s="256">
        <f>IF(AM$4&gt;$F$6,0,IF(AM$4&lt;12,1,(1+Leadsheet!$E$38)^(ROUNDDOWN(AM$4/12,0))))</f>
        <v>0</v>
      </c>
      <c r="AN81" s="256">
        <f>IF(AN$4&gt;$F$6,0,IF(AN$4&lt;12,1,(1+Leadsheet!$E$38)^(ROUNDDOWN(AN$4/12,0))))</f>
        <v>0</v>
      </c>
      <c r="AO81" s="256">
        <f>IF(AO$4&gt;$F$6,0,IF(AO$4&lt;12,1,(1+Leadsheet!$E$38)^(ROUNDDOWN(AO$4/12,0))))</f>
        <v>0</v>
      </c>
      <c r="AP81" s="256">
        <f>IF(AP$4&gt;$F$6,0,IF(AP$4&lt;12,1,(1+Leadsheet!$E$38)^(ROUNDDOWN(AP$4/12,0))))</f>
        <v>0</v>
      </c>
      <c r="AQ81" s="256">
        <f>IF(AQ$4&gt;$F$6,0,IF(AQ$4&lt;12,1,(1+Leadsheet!$E$38)^(ROUNDDOWN(AQ$4/12,0))))</f>
        <v>0</v>
      </c>
      <c r="AR81" s="256">
        <f>IF(AR$4&gt;$F$6,0,IF(AR$4&lt;12,1,(1+Leadsheet!$E$38)^(ROUNDDOWN(AR$4/12,0))))</f>
        <v>0</v>
      </c>
      <c r="AS81" s="256">
        <f>IF(AS$4&gt;$F$6,0,IF(AS$4&lt;12,1,(1+Leadsheet!$E$38)^(ROUNDDOWN(AS$4/12,0))))</f>
        <v>0</v>
      </c>
      <c r="AT81" s="256">
        <f>IF(AT$4&gt;$F$6,0,IF(AT$4&lt;12,1,(1+Leadsheet!$E$38)^(ROUNDDOWN(AT$4/12,0))))</f>
        <v>0</v>
      </c>
      <c r="AU81" s="256">
        <f>IF(AU$4&gt;$F$6,0,IF(AU$4&lt;12,1,(1+Leadsheet!$E$38)^(ROUNDDOWN(AU$4/12,0))))</f>
        <v>0</v>
      </c>
      <c r="AV81" s="256">
        <f>IF(AV$4&gt;$F$6,0,IF(AV$4&lt;12,1,(1+Leadsheet!$E$38)^(ROUNDDOWN(AV$4/12,0))))</f>
        <v>0</v>
      </c>
      <c r="AW81" s="256">
        <f>IF(AW$4&gt;$F$6,0,IF(AW$4&lt;12,1,(1+Leadsheet!$E$38)^(ROUNDDOWN(AW$4/12,0))))</f>
        <v>0</v>
      </c>
      <c r="AX81" s="256">
        <f>IF(AX$4&gt;$F$6,0,IF(AX$4&lt;12,1,(1+Leadsheet!$E$38)^(ROUNDDOWN(AX$4/12,0))))</f>
        <v>0</v>
      </c>
      <c r="AY81" s="256">
        <f>IF(AY$4&gt;$F$6,0,IF(AY$4&lt;12,1,(1+Leadsheet!$E$38)^(ROUNDDOWN(AY$4/12,0))))</f>
        <v>0</v>
      </c>
      <c r="AZ81" s="256">
        <f>IF(AZ$4&gt;$F$6,0,IF(AZ$4&lt;12,1,(1+Leadsheet!$E$38)^(ROUNDDOWN(AZ$4/12,0))))</f>
        <v>0</v>
      </c>
      <c r="BA81" s="256">
        <f>IF(BA$4&gt;$F$6,0,IF(BA$4&lt;12,1,(1+Leadsheet!$E$38)^(ROUNDDOWN(BA$4/12,0))))</f>
        <v>0</v>
      </c>
      <c r="BB81" s="256">
        <f>IF(BB$4&gt;$F$6,0,IF(BB$4&lt;12,1,(1+Leadsheet!$E$38)^(ROUNDDOWN(BB$4/12,0))))</f>
        <v>0</v>
      </c>
      <c r="BC81" s="256">
        <f>IF(BC$4&gt;$F$6,0,IF(BC$4&lt;12,1,(1+Leadsheet!$E$38)^(ROUNDDOWN(BC$4/12,0))))</f>
        <v>0</v>
      </c>
      <c r="BD81" s="256">
        <f>IF(BD$4&gt;$F$6,0,IF(BD$4&lt;12,1,(1+Leadsheet!$E$38)^(ROUNDDOWN(BD$4/12,0))))</f>
        <v>0</v>
      </c>
      <c r="BE81" s="256">
        <f>IF(BE$4&gt;$F$6,0,IF(BE$4&lt;12,1,(1+Leadsheet!$E$38)^(ROUNDDOWN(BE$4/12,0))))</f>
        <v>0</v>
      </c>
      <c r="BF81" s="256">
        <f>IF(BF$4&gt;$F$6,0,IF(BF$4&lt;12,1,(1+Leadsheet!$E$38)^(ROUNDDOWN(BF$4/12,0))))</f>
        <v>0</v>
      </c>
      <c r="BG81" s="256">
        <f>IF(BG$4&gt;$F$6,0,IF(BG$4&lt;12,1,(1+Leadsheet!$E$38)^(ROUNDDOWN(BG$4/12,0))))</f>
        <v>0</v>
      </c>
      <c r="BH81" s="256">
        <f>IF(BH$4&gt;$F$6,0,IF(BH$4&lt;12,1,(1+Leadsheet!$E$38)^(ROUNDDOWN(BH$4/12,0))))</f>
        <v>0</v>
      </c>
      <c r="BI81" s="256">
        <f>IF(BI$4&gt;$F$6,0,IF(BI$4&lt;12,1,(1+Leadsheet!$E$38)^(ROUNDDOWN(BI$4/12,0))))</f>
        <v>0</v>
      </c>
      <c r="BJ81" s="256">
        <f>IF(BJ$4&gt;$F$6,0,IF(BJ$4&lt;12,1,(1+Leadsheet!$E$38)^(ROUNDDOWN(BJ$4/12,0))))</f>
        <v>0</v>
      </c>
      <c r="BK81" s="256">
        <f>IF(BK$4&gt;$F$6,0,IF(BK$4&lt;12,1,(1+Leadsheet!$E$38)^(ROUNDDOWN(BK$4/12,0))))</f>
        <v>0</v>
      </c>
      <c r="BL81" s="256">
        <f>IF(BL$4&gt;$F$6,0,IF(BL$4&lt;12,1,(1+Leadsheet!$E$38)^(ROUNDDOWN(BL$4/12,0))))</f>
        <v>0</v>
      </c>
      <c r="BM81" s="256">
        <f>IF(BM$4&gt;$F$6,0,IF(BM$4&lt;12,1,(1+Leadsheet!$E$38)^(ROUNDDOWN(BM$4/12,0))))</f>
        <v>0</v>
      </c>
      <c r="BN81" s="148"/>
      <c r="BO81" s="148"/>
      <c r="BP81" s="148"/>
      <c r="BQ81" s="148"/>
      <c r="BR81" s="148"/>
      <c r="BS81" s="148"/>
      <c r="BT81" s="148"/>
      <c r="BU81" s="148"/>
      <c r="BV81" s="148"/>
      <c r="BW81" s="148"/>
      <c r="BX81" s="148"/>
      <c r="BY81" s="148"/>
      <c r="BZ81" s="148"/>
      <c r="CA81" s="148"/>
      <c r="CB81" s="148"/>
      <c r="CC81" s="148"/>
      <c r="CD81" s="148"/>
      <c r="CE81" s="148"/>
      <c r="CF81" s="148"/>
      <c r="CG81" s="148"/>
      <c r="CH81" s="148"/>
      <c r="CI81" s="148"/>
      <c r="CJ81" s="148"/>
      <c r="CK81" s="148"/>
      <c r="CL81" s="148"/>
      <c r="CM81" s="148"/>
      <c r="CN81" s="148"/>
      <c r="CO81" s="148"/>
      <c r="CP81" s="148"/>
      <c r="CQ81" s="148"/>
      <c r="CR81" s="148"/>
      <c r="CS81" s="148"/>
      <c r="CT81" s="148"/>
      <c r="CU81" s="148"/>
      <c r="CV81" s="148"/>
      <c r="CW81" s="148"/>
      <c r="CX81" s="148"/>
      <c r="CY81" s="148"/>
      <c r="CZ81" s="148"/>
      <c r="DA81" s="148"/>
      <c r="DB81" s="148"/>
      <c r="DC81" s="148"/>
      <c r="DD81" s="148"/>
      <c r="DE81" s="148"/>
      <c r="DF81" s="148"/>
      <c r="DG81" s="148"/>
      <c r="DH81" s="148"/>
      <c r="DI81" s="148"/>
      <c r="DJ81" s="148"/>
      <c r="DK81" s="148"/>
      <c r="DL81" s="148"/>
      <c r="DM81" s="148"/>
      <c r="DN81" s="148"/>
      <c r="DO81" s="148"/>
      <c r="DP81" s="148"/>
      <c r="DQ81" s="148"/>
      <c r="DR81" s="148"/>
      <c r="DS81" s="148"/>
      <c r="DT81" s="148"/>
      <c r="DU81" s="148"/>
      <c r="DV81" s="148"/>
      <c r="DW81" s="148"/>
      <c r="DX81" s="148"/>
      <c r="DY81" s="148"/>
      <c r="DZ81" s="148"/>
      <c r="EA81" s="148"/>
      <c r="EB81" s="148"/>
      <c r="EC81" s="148"/>
      <c r="ED81" s="148"/>
      <c r="EE81" s="148"/>
      <c r="EF81" s="148"/>
      <c r="EG81" s="148"/>
      <c r="EH81" s="148"/>
      <c r="EI81" s="148"/>
      <c r="EJ81" s="148"/>
      <c r="EK81" s="148"/>
      <c r="EL81" s="148"/>
      <c r="EM81" s="148"/>
      <c r="EN81" s="148"/>
      <c r="EO81" s="148"/>
      <c r="EP81" s="148"/>
      <c r="EQ81" s="148"/>
      <c r="ER81" s="148"/>
      <c r="ES81" s="148"/>
      <c r="ET81" s="148"/>
      <c r="EU81" s="148"/>
      <c r="EV81" s="148"/>
      <c r="EW81" s="148"/>
      <c r="EX81" s="148"/>
      <c r="EY81" s="148"/>
      <c r="EZ81" s="148"/>
      <c r="FA81" s="148"/>
      <c r="FB81" s="148"/>
      <c r="FC81" s="148"/>
      <c r="FD81" s="148"/>
      <c r="FE81" s="148"/>
      <c r="FF81" s="148"/>
      <c r="FG81" s="148"/>
      <c r="FH81" s="148"/>
      <c r="FI81" s="148"/>
      <c r="FJ81" s="148"/>
      <c r="FK81" s="148"/>
      <c r="FL81" s="148"/>
      <c r="FM81" s="148"/>
      <c r="FN81" s="148"/>
      <c r="FO81" s="148"/>
      <c r="FP81" s="148"/>
      <c r="FQ81" s="148"/>
      <c r="FR81" s="148"/>
      <c r="FS81" s="148"/>
      <c r="FT81" s="148"/>
      <c r="FU81" s="148"/>
      <c r="FV81" s="148"/>
      <c r="FW81" s="148"/>
      <c r="FX81" s="148"/>
      <c r="FY81" s="148"/>
      <c r="FZ81" s="148"/>
      <c r="GA81" s="148"/>
      <c r="GB81" s="148"/>
      <c r="GC81" s="148"/>
      <c r="GD81" s="148"/>
      <c r="GE81" s="148"/>
      <c r="GF81" s="148"/>
      <c r="GG81" s="148"/>
      <c r="GH81" s="148"/>
      <c r="GI81" s="148"/>
      <c r="GJ81" s="148"/>
      <c r="GK81" s="148"/>
      <c r="GL81" s="148"/>
      <c r="GM81" s="148"/>
      <c r="GN81" s="148"/>
      <c r="GO81" s="148"/>
      <c r="GP81" s="148"/>
      <c r="GQ81" s="148"/>
      <c r="GR81" s="148"/>
      <c r="GS81" s="148"/>
      <c r="GT81" s="148"/>
      <c r="GU81" s="148"/>
      <c r="GV81" s="148"/>
      <c r="GW81" s="148"/>
      <c r="GX81" s="148"/>
      <c r="GY81" s="148"/>
      <c r="GZ81" s="148"/>
      <c r="HA81" s="148"/>
      <c r="HB81" s="148"/>
      <c r="HC81" s="148"/>
      <c r="HD81" s="148"/>
      <c r="HE81" s="148"/>
      <c r="HF81" s="148"/>
      <c r="HG81" s="148"/>
      <c r="HH81" s="148"/>
      <c r="HI81" s="148"/>
      <c r="HJ81" s="148"/>
      <c r="HK81" s="148"/>
      <c r="HL81" s="148"/>
      <c r="HM81" s="148"/>
      <c r="HN81" s="148"/>
      <c r="HO81" s="148"/>
      <c r="HP81" s="148"/>
      <c r="HQ81" s="148"/>
      <c r="HR81" s="148"/>
      <c r="HS81" s="148"/>
      <c r="HT81" s="148"/>
      <c r="HU81" s="148"/>
      <c r="HV81" s="148"/>
      <c r="HW81" s="148"/>
      <c r="HX81" s="148"/>
      <c r="HY81" s="148"/>
      <c r="HZ81" s="148"/>
      <c r="IA81" s="148"/>
      <c r="IB81" s="148"/>
      <c r="IC81" s="148"/>
      <c r="ID81" s="148"/>
      <c r="IE81" s="148"/>
      <c r="IF81" s="148"/>
      <c r="IG81" s="148"/>
      <c r="IH81" s="148"/>
      <c r="II81" s="148"/>
      <c r="IJ81" s="148"/>
      <c r="IK81" s="148"/>
      <c r="IL81" s="148"/>
      <c r="IM81" s="148"/>
      <c r="IN81" s="148"/>
      <c r="IO81" s="148"/>
      <c r="IP81" s="148"/>
      <c r="IQ81" s="148"/>
      <c r="IR81" s="148"/>
      <c r="IS81" s="148"/>
      <c r="IT81" s="148"/>
      <c r="IU81" s="148"/>
      <c r="IV81" s="148"/>
      <c r="IW81" s="148"/>
      <c r="IX81" s="148"/>
      <c r="IY81" s="148"/>
      <c r="IZ81" s="148"/>
      <c r="JA81" s="148"/>
      <c r="JB81" s="148"/>
      <c r="JC81" s="148"/>
      <c r="JD81" s="148"/>
      <c r="JE81" s="148"/>
      <c r="JF81" s="148"/>
      <c r="JG81" s="148"/>
      <c r="JH81" s="148"/>
      <c r="JI81" s="148"/>
      <c r="JJ81" s="148"/>
      <c r="JK81" s="148"/>
      <c r="JL81" s="148"/>
      <c r="JM81" s="148"/>
      <c r="JN81" s="148"/>
      <c r="JO81" s="148"/>
      <c r="JP81" s="148"/>
      <c r="JQ81" s="148"/>
      <c r="JR81" s="148"/>
      <c r="JS81" s="148"/>
      <c r="JT81" s="148"/>
      <c r="JU81" s="148"/>
      <c r="JV81" s="148"/>
      <c r="JW81" s="148"/>
      <c r="JX81" s="148"/>
      <c r="JY81" s="148"/>
      <c r="JZ81" s="148"/>
      <c r="KA81" s="148"/>
      <c r="KB81" s="148"/>
      <c r="KC81" s="148"/>
      <c r="KD81" s="148"/>
      <c r="KE81" s="148"/>
      <c r="KF81" s="148"/>
      <c r="KG81" s="148"/>
      <c r="KH81" s="148"/>
      <c r="KI81" s="148"/>
      <c r="KJ81" s="148"/>
      <c r="KK81" s="148"/>
      <c r="KL81" s="148"/>
      <c r="KM81" s="148"/>
      <c r="KN81" s="148"/>
      <c r="KO81" s="148"/>
      <c r="KP81" s="148"/>
      <c r="KQ81" s="148"/>
      <c r="KR81" s="148"/>
      <c r="KS81" s="148"/>
      <c r="KT81" s="148"/>
    </row>
    <row r="83" spans="2:307" s="157" customFormat="1" x14ac:dyDescent="0.15">
      <c r="B83" s="157" t="s">
        <v>109</v>
      </c>
      <c r="D83" s="225"/>
      <c r="F83" s="250">
        <f>SUM(F84:F85)</f>
        <v>-3.8342645614244143E-3</v>
      </c>
      <c r="G83" s="250">
        <f t="shared" ref="G83:BM83" si="16">SUM(G84:G85)</f>
        <v>-3.4306577654850024E-3</v>
      </c>
      <c r="H83" s="250">
        <f t="shared" si="16"/>
        <v>-3.3095757267031785E-3</v>
      </c>
      <c r="I83" s="250">
        <f t="shared" si="16"/>
        <v>-3.188493687921355E-3</v>
      </c>
      <c r="J83" s="250">
        <f t="shared" si="16"/>
        <v>-3.0674116491395311E-3</v>
      </c>
      <c r="K83" s="250">
        <f t="shared" si="16"/>
        <v>-2.9463296103577077E-3</v>
      </c>
      <c r="L83" s="250">
        <f t="shared" si="16"/>
        <v>-2.8252475715758838E-3</v>
      </c>
      <c r="M83" s="250">
        <f t="shared" si="16"/>
        <v>-2.7041655327940599E-3</v>
      </c>
      <c r="N83" s="250">
        <f t="shared" si="16"/>
        <v>-2.5830834940122364E-3</v>
      </c>
      <c r="O83" s="250">
        <f t="shared" si="16"/>
        <v>-7.5805855586041546E-4</v>
      </c>
      <c r="P83" s="250">
        <f t="shared" si="16"/>
        <v>-7.2434117073407725E-4</v>
      </c>
      <c r="Q83" s="250">
        <f t="shared" si="16"/>
        <v>-7.345161861607209E-4</v>
      </c>
      <c r="R83" s="250">
        <f t="shared" si="16"/>
        <v>-7.315797256120752E-4</v>
      </c>
      <c r="S83" s="250">
        <f t="shared" si="16"/>
        <v>-7.3020319766460757E-4</v>
      </c>
      <c r="T83" s="250">
        <f t="shared" si="16"/>
        <v>-7.3020319766460757E-4</v>
      </c>
      <c r="U83" s="250">
        <f t="shared" si="16"/>
        <v>0</v>
      </c>
      <c r="V83" s="250">
        <f t="shared" si="16"/>
        <v>0</v>
      </c>
      <c r="W83" s="250">
        <f t="shared" si="16"/>
        <v>0</v>
      </c>
      <c r="X83" s="250">
        <f t="shared" si="16"/>
        <v>0</v>
      </c>
      <c r="Y83" s="250">
        <f t="shared" si="16"/>
        <v>0</v>
      </c>
      <c r="Z83" s="250">
        <f t="shared" si="16"/>
        <v>0</v>
      </c>
      <c r="AA83" s="250">
        <f t="shared" si="16"/>
        <v>0</v>
      </c>
      <c r="AB83" s="250">
        <f t="shared" si="16"/>
        <v>0</v>
      </c>
      <c r="AC83" s="250">
        <f t="shared" si="16"/>
        <v>0</v>
      </c>
      <c r="AD83" s="250">
        <f t="shared" si="16"/>
        <v>0</v>
      </c>
      <c r="AE83" s="250">
        <f t="shared" si="16"/>
        <v>0</v>
      </c>
      <c r="AF83" s="250">
        <f t="shared" si="16"/>
        <v>0</v>
      </c>
      <c r="AG83" s="250">
        <f t="shared" si="16"/>
        <v>0</v>
      </c>
      <c r="AH83" s="250">
        <f t="shared" si="16"/>
        <v>0</v>
      </c>
      <c r="AI83" s="250">
        <f t="shared" si="16"/>
        <v>0</v>
      </c>
      <c r="AJ83" s="250">
        <f t="shared" si="16"/>
        <v>0</v>
      </c>
      <c r="AK83" s="250">
        <f t="shared" si="16"/>
        <v>0</v>
      </c>
      <c r="AL83" s="250">
        <f t="shared" si="16"/>
        <v>0</v>
      </c>
      <c r="AM83" s="250">
        <f t="shared" si="16"/>
        <v>0</v>
      </c>
      <c r="AN83" s="250">
        <f t="shared" si="16"/>
        <v>0</v>
      </c>
      <c r="AO83" s="250">
        <f t="shared" si="16"/>
        <v>0</v>
      </c>
      <c r="AP83" s="250">
        <f t="shared" si="16"/>
        <v>0</v>
      </c>
      <c r="AQ83" s="250">
        <f t="shared" si="16"/>
        <v>0</v>
      </c>
      <c r="AR83" s="250">
        <f t="shared" si="16"/>
        <v>0</v>
      </c>
      <c r="AS83" s="250">
        <f t="shared" si="16"/>
        <v>0</v>
      </c>
      <c r="AT83" s="250">
        <f t="shared" si="16"/>
        <v>0</v>
      </c>
      <c r="AU83" s="250">
        <f t="shared" si="16"/>
        <v>0</v>
      </c>
      <c r="AV83" s="250">
        <f t="shared" si="16"/>
        <v>0</v>
      </c>
      <c r="AW83" s="250">
        <f t="shared" si="16"/>
        <v>0</v>
      </c>
      <c r="AX83" s="250">
        <f t="shared" si="16"/>
        <v>0</v>
      </c>
      <c r="AY83" s="250">
        <f t="shared" si="16"/>
        <v>0</v>
      </c>
      <c r="AZ83" s="250">
        <f t="shared" si="16"/>
        <v>0</v>
      </c>
      <c r="BA83" s="250">
        <f t="shared" si="16"/>
        <v>0</v>
      </c>
      <c r="BB83" s="250">
        <f t="shared" si="16"/>
        <v>0</v>
      </c>
      <c r="BC83" s="250">
        <f t="shared" si="16"/>
        <v>0</v>
      </c>
      <c r="BD83" s="250">
        <f t="shared" si="16"/>
        <v>0</v>
      </c>
      <c r="BE83" s="250">
        <f t="shared" si="16"/>
        <v>0</v>
      </c>
      <c r="BF83" s="250">
        <f t="shared" si="16"/>
        <v>0</v>
      </c>
      <c r="BG83" s="250">
        <f t="shared" si="16"/>
        <v>0</v>
      </c>
      <c r="BH83" s="250">
        <f t="shared" si="16"/>
        <v>0</v>
      </c>
      <c r="BI83" s="250">
        <f t="shared" si="16"/>
        <v>0</v>
      </c>
      <c r="BJ83" s="250">
        <f t="shared" si="16"/>
        <v>0</v>
      </c>
      <c r="BK83" s="250">
        <f t="shared" si="16"/>
        <v>0</v>
      </c>
      <c r="BL83" s="250">
        <f t="shared" si="16"/>
        <v>0</v>
      </c>
      <c r="BM83" s="250">
        <f t="shared" si="16"/>
        <v>0</v>
      </c>
      <c r="BN83" s="250"/>
      <c r="BO83" s="250"/>
      <c r="BP83" s="250"/>
      <c r="BQ83" s="250"/>
      <c r="BR83" s="250"/>
      <c r="BS83" s="250"/>
      <c r="BT83" s="250"/>
      <c r="BU83" s="250"/>
      <c r="BV83" s="250"/>
      <c r="BW83" s="250"/>
      <c r="BX83" s="250"/>
      <c r="BY83" s="250"/>
      <c r="BZ83" s="250"/>
      <c r="CA83" s="250"/>
      <c r="CB83" s="250"/>
      <c r="CC83" s="250"/>
      <c r="CD83" s="250"/>
      <c r="CE83" s="250"/>
      <c r="CF83" s="250"/>
      <c r="CG83" s="250"/>
      <c r="CH83" s="250"/>
      <c r="CI83" s="250"/>
      <c r="CJ83" s="250"/>
      <c r="CK83" s="250"/>
      <c r="CL83" s="250"/>
      <c r="CM83" s="250"/>
      <c r="CN83" s="250"/>
      <c r="CO83" s="250"/>
      <c r="CP83" s="250"/>
      <c r="CQ83" s="250"/>
      <c r="CR83" s="250"/>
      <c r="CS83" s="250"/>
      <c r="CT83" s="250"/>
      <c r="CU83" s="250"/>
      <c r="CV83" s="250"/>
      <c r="CW83" s="250"/>
      <c r="CX83" s="250"/>
      <c r="CY83" s="250"/>
      <c r="CZ83" s="250"/>
      <c r="DA83" s="250"/>
      <c r="DB83" s="250"/>
      <c r="DC83" s="250"/>
      <c r="DD83" s="250"/>
      <c r="DE83" s="250"/>
      <c r="DF83" s="250"/>
      <c r="DG83" s="250"/>
      <c r="DH83" s="250"/>
      <c r="DI83" s="250"/>
      <c r="DJ83" s="250"/>
      <c r="DK83" s="250"/>
      <c r="DL83" s="250"/>
      <c r="DM83" s="250"/>
      <c r="DN83" s="250"/>
      <c r="DO83" s="250"/>
      <c r="DP83" s="250"/>
      <c r="DQ83" s="250"/>
      <c r="DR83" s="250"/>
      <c r="DS83" s="250"/>
      <c r="DT83" s="250"/>
      <c r="DU83" s="250"/>
      <c r="DV83" s="250"/>
      <c r="DW83" s="250"/>
      <c r="DX83" s="250"/>
      <c r="DY83" s="250"/>
      <c r="DZ83" s="250"/>
      <c r="EA83" s="250"/>
      <c r="EB83" s="250"/>
      <c r="EC83" s="250"/>
      <c r="ED83" s="250"/>
      <c r="EE83" s="250"/>
      <c r="EF83" s="250"/>
      <c r="EG83" s="250"/>
      <c r="EH83" s="250"/>
      <c r="EI83" s="250"/>
      <c r="EJ83" s="250"/>
      <c r="EK83" s="250"/>
      <c r="EL83" s="250"/>
      <c r="EM83" s="250"/>
      <c r="EN83" s="250"/>
      <c r="EO83" s="250"/>
      <c r="EP83" s="250"/>
      <c r="EQ83" s="250"/>
      <c r="ER83" s="250"/>
      <c r="ES83" s="250"/>
      <c r="ET83" s="250"/>
      <c r="EU83" s="250"/>
      <c r="EV83" s="250"/>
      <c r="EW83" s="250"/>
      <c r="EX83" s="250"/>
      <c r="EY83" s="250"/>
      <c r="EZ83" s="250"/>
      <c r="FA83" s="250"/>
      <c r="FB83" s="250"/>
      <c r="FC83" s="250"/>
      <c r="FD83" s="250"/>
      <c r="FE83" s="250"/>
      <c r="FF83" s="250"/>
      <c r="FG83" s="250"/>
      <c r="FH83" s="250"/>
      <c r="FI83" s="250"/>
      <c r="FJ83" s="250"/>
      <c r="FK83" s="250"/>
      <c r="FL83" s="250"/>
      <c r="FM83" s="250"/>
      <c r="FN83" s="250"/>
      <c r="FO83" s="250"/>
      <c r="FP83" s="250"/>
      <c r="FQ83" s="250"/>
      <c r="FR83" s="250"/>
      <c r="FS83" s="250"/>
      <c r="FT83" s="250"/>
      <c r="FU83" s="250"/>
      <c r="FV83" s="250"/>
      <c r="FW83" s="250"/>
      <c r="FX83" s="250"/>
      <c r="FY83" s="250"/>
      <c r="FZ83" s="250"/>
      <c r="GA83" s="250"/>
      <c r="GB83" s="250"/>
      <c r="GC83" s="250"/>
      <c r="GD83" s="250"/>
      <c r="GE83" s="250"/>
      <c r="GF83" s="250"/>
      <c r="GG83" s="250"/>
      <c r="GH83" s="250"/>
      <c r="GI83" s="250"/>
      <c r="GJ83" s="250"/>
      <c r="GK83" s="250"/>
      <c r="GL83" s="250"/>
      <c r="GM83" s="250"/>
      <c r="GN83" s="250"/>
      <c r="GO83" s="250"/>
      <c r="GP83" s="250"/>
      <c r="GQ83" s="250"/>
      <c r="GR83" s="250"/>
      <c r="GS83" s="250"/>
      <c r="GT83" s="250"/>
      <c r="GU83" s="250"/>
      <c r="GV83" s="250"/>
      <c r="GW83" s="250"/>
      <c r="GX83" s="250"/>
      <c r="GY83" s="250"/>
      <c r="GZ83" s="250"/>
      <c r="HA83" s="250"/>
      <c r="HB83" s="250"/>
      <c r="HC83" s="250"/>
      <c r="HD83" s="250"/>
      <c r="HE83" s="250"/>
      <c r="HF83" s="250"/>
      <c r="HG83" s="250"/>
      <c r="HH83" s="250"/>
      <c r="HI83" s="250"/>
      <c r="HJ83" s="250"/>
      <c r="HK83" s="250"/>
      <c r="HL83" s="250"/>
      <c r="HM83" s="250"/>
      <c r="HN83" s="250"/>
      <c r="HO83" s="250"/>
      <c r="HP83" s="250"/>
      <c r="HQ83" s="250"/>
      <c r="HR83" s="250"/>
      <c r="HS83" s="250"/>
      <c r="HT83" s="250"/>
      <c r="HU83" s="250"/>
      <c r="HV83" s="250"/>
      <c r="HW83" s="250"/>
      <c r="HX83" s="250"/>
      <c r="HY83" s="250"/>
      <c r="HZ83" s="250"/>
      <c r="IA83" s="250"/>
      <c r="IB83" s="250"/>
      <c r="IC83" s="250"/>
      <c r="ID83" s="250"/>
      <c r="IE83" s="250"/>
      <c r="IF83" s="250"/>
      <c r="IG83" s="250"/>
      <c r="IH83" s="250"/>
      <c r="II83" s="250"/>
      <c r="IJ83" s="250"/>
      <c r="IK83" s="250"/>
      <c r="IL83" s="250"/>
      <c r="IM83" s="250"/>
      <c r="IN83" s="250"/>
      <c r="IO83" s="250"/>
      <c r="IP83" s="250"/>
      <c r="IQ83" s="250"/>
      <c r="IR83" s="250"/>
      <c r="IS83" s="250"/>
      <c r="IT83" s="250"/>
      <c r="IU83" s="250"/>
      <c r="IV83" s="250"/>
      <c r="IW83" s="250"/>
      <c r="IX83" s="250"/>
      <c r="IY83" s="250"/>
      <c r="IZ83" s="250"/>
      <c r="JA83" s="250"/>
      <c r="JB83" s="250"/>
      <c r="JC83" s="250"/>
      <c r="JD83" s="250"/>
      <c r="JE83" s="250"/>
      <c r="JF83" s="250"/>
      <c r="JG83" s="250"/>
      <c r="JH83" s="250"/>
      <c r="JI83" s="250"/>
      <c r="JJ83" s="250"/>
      <c r="JK83" s="250"/>
      <c r="JL83" s="250"/>
      <c r="JM83" s="250"/>
      <c r="JN83" s="250"/>
      <c r="JO83" s="250"/>
      <c r="JP83" s="250"/>
      <c r="JQ83" s="250"/>
      <c r="JR83" s="250"/>
      <c r="JS83" s="250"/>
      <c r="JT83" s="250"/>
      <c r="JU83" s="250"/>
      <c r="JV83" s="250"/>
      <c r="JW83" s="250"/>
      <c r="JX83" s="250"/>
      <c r="JY83" s="250"/>
      <c r="JZ83" s="250"/>
      <c r="KA83" s="250"/>
      <c r="KB83" s="250"/>
      <c r="KC83" s="250"/>
      <c r="KD83" s="250"/>
      <c r="KE83" s="250"/>
      <c r="KF83" s="250"/>
      <c r="KG83" s="250"/>
      <c r="KH83" s="250"/>
      <c r="KI83" s="250"/>
      <c r="KJ83" s="250"/>
      <c r="KK83" s="250"/>
      <c r="KL83" s="250"/>
      <c r="KM83" s="250"/>
      <c r="KN83" s="250"/>
      <c r="KO83" s="250"/>
      <c r="KP83" s="250"/>
      <c r="KQ83" s="250"/>
      <c r="KR83" s="250"/>
      <c r="KS83" s="250"/>
      <c r="KT83" s="250"/>
      <c r="KU83" s="92"/>
    </row>
    <row r="84" spans="2:307" s="257" customFormat="1" x14ac:dyDescent="0.15">
      <c r="C84" s="258" t="s">
        <v>232</v>
      </c>
      <c r="D84" s="259"/>
      <c r="F84" s="257">
        <f>-IF(F4&gt;Leadsheet!$E$13,Leadsheet!$E$66*F$81*F37/$E$37,Leadsheet!$E$66*F$81*E16)</f>
        <v>-3.8342645614244143E-3</v>
      </c>
      <c r="G84" s="257">
        <f>-IF(G4&gt;Leadsheet!$E$13,Leadsheet!$E$66*G$81*G37/$E$37,Leadsheet!$E$66*G$81*F16)</f>
        <v>-3.4306577654850024E-3</v>
      </c>
      <c r="H84" s="257">
        <f>-IF(H4&gt;Leadsheet!$E$13,Leadsheet!$E$66*H$81*H37/$E$37,Leadsheet!$E$66*H$81*G16)</f>
        <v>-3.3095757267031785E-3</v>
      </c>
      <c r="I84" s="257">
        <f>-IF(I4&gt;Leadsheet!$E$13,Leadsheet!$E$66*I$81*I37/$E$37,Leadsheet!$E$66*I$81*H16)</f>
        <v>-3.188493687921355E-3</v>
      </c>
      <c r="J84" s="257">
        <f>-IF(J4&gt;Leadsheet!$E$13,Leadsheet!$E$66*J$81*J37/$E$37,Leadsheet!$E$66*J$81*I16)</f>
        <v>-3.0674116491395311E-3</v>
      </c>
      <c r="K84" s="257">
        <f>-IF(K4&gt;Leadsheet!$E$13,Leadsheet!$E$66*K$81*K37/$E$37,Leadsheet!$E$66*K$81*J16)</f>
        <v>-2.9463296103577077E-3</v>
      </c>
      <c r="L84" s="257">
        <f>-IF(L4&gt;Leadsheet!$E$13,Leadsheet!$E$66*L$81*L37/$E$37,Leadsheet!$E$66*L$81*K16)</f>
        <v>-2.8252475715758838E-3</v>
      </c>
      <c r="M84" s="257">
        <f>-IF(M4&gt;Leadsheet!$E$13,Leadsheet!$E$66*M$81*M37/$E$37,Leadsheet!$E$66*M$81*L16)</f>
        <v>-2.7041655327940599E-3</v>
      </c>
      <c r="N84" s="257">
        <f>-IF(N4&gt;Leadsheet!$E$13,Leadsheet!$E$66*N$81*N37/$E$37,Leadsheet!$E$66*N$81*M16)</f>
        <v>-2.5830834940122364E-3</v>
      </c>
      <c r="O84" s="257">
        <f>-IF(O4&gt;Leadsheet!$E$13,Leadsheet!$E$66*O$81*O37/$E$37,Leadsheet!$E$66*O$81*N16)</f>
        <v>-7.5805855586041546E-4</v>
      </c>
      <c r="P84" s="257">
        <f>-IF(P4&gt;Leadsheet!$E$13,Leadsheet!$E$66*P$81*P37/$E$37,Leadsheet!$E$66*P$81*O16)</f>
        <v>-7.2434117073407725E-4</v>
      </c>
      <c r="Q84" s="257">
        <f>-IF(Q4&gt;Leadsheet!$E$13,Leadsheet!$E$66*Q$81*Q37/$E$37,Leadsheet!$E$66*Q$81*P16)</f>
        <v>-7.345161861607209E-4</v>
      </c>
      <c r="R84" s="257">
        <f>-IF(R4&gt;Leadsheet!$E$13,Leadsheet!$E$66*R$81*R37/$E$37,Leadsheet!$E$66*R$81*Q16)</f>
        <v>-7.315797256120752E-4</v>
      </c>
      <c r="S84" s="257">
        <f>-IF(S4&gt;Leadsheet!$E$13,Leadsheet!$E$66*S$81*S37/$E$37,Leadsheet!$E$66*S$81*R16)</f>
        <v>-7.3020319766460757E-4</v>
      </c>
      <c r="T84" s="257">
        <f>-IF(T4&gt;Leadsheet!$E$13,Leadsheet!$E$66*T$81*T37/$E$37,Leadsheet!$E$66*T$81*S16)</f>
        <v>-7.3020319766460757E-4</v>
      </c>
      <c r="U84" s="257">
        <f>-IF(U4&gt;Leadsheet!$E$13,Leadsheet!$E$66*U$81*U37/$E$37,Leadsheet!$E$66*U$81*T16)</f>
        <v>0</v>
      </c>
      <c r="V84" s="257">
        <f>-IF(V4&gt;Leadsheet!$E$13,Leadsheet!$E$66*V$81*V37/$E$37,Leadsheet!$E$66*V$81*U16)</f>
        <v>0</v>
      </c>
      <c r="W84" s="257">
        <f>-IF(W4&gt;Leadsheet!$E$13,Leadsheet!$E$66*W$81*W37/$E$37,Leadsheet!$E$66*W$81*V16)</f>
        <v>0</v>
      </c>
      <c r="X84" s="257">
        <f>-IF(X4&gt;Leadsheet!$E$13,Leadsheet!$E$66*X$81*X37/$E$37,Leadsheet!$E$66*X$81*W16)</f>
        <v>0</v>
      </c>
      <c r="Y84" s="257">
        <f>-IF(Y4&gt;Leadsheet!$E$13,Leadsheet!$E$66*Y$81*Y37/$E$37,Leadsheet!$E$66*Y$81*X16)</f>
        <v>0</v>
      </c>
      <c r="Z84" s="257">
        <f>-IF(Z4&gt;Leadsheet!$E$13,Leadsheet!$E$66*Z$81*Z37/$E$37,Leadsheet!$E$66*Z$81*Y16)</f>
        <v>0</v>
      </c>
      <c r="AA84" s="257">
        <f>-IF(AA4&gt;Leadsheet!$E$13,Leadsheet!$E$66*AA$81*AA37/$E$37,Leadsheet!$E$66*AA$81*Z16)</f>
        <v>0</v>
      </c>
      <c r="AB84" s="257">
        <f>-IF(AB4&gt;Leadsheet!$E$13,Leadsheet!$E$66*AB$81*AB37/$E$37,Leadsheet!$E$66*AB$81*AA16)</f>
        <v>0</v>
      </c>
      <c r="AC84" s="257">
        <f>-IF(AC4&gt;Leadsheet!$E$13,Leadsheet!$E$66*AC$81*AC37/$E$37,Leadsheet!$E$66*AC$81*AB16)</f>
        <v>0</v>
      </c>
      <c r="AD84" s="257">
        <f>-IF(AD4&gt;Leadsheet!$E$13,Leadsheet!$E$66*AD$81*AD37/$E$37,Leadsheet!$E$66*AD$81*AC16)</f>
        <v>0</v>
      </c>
      <c r="AE84" s="257">
        <f>-IF(AE4&gt;Leadsheet!$E$13,Leadsheet!$E$66*AE$81*AE37/$E$37,Leadsheet!$E$66*AE$81*AD16)</f>
        <v>0</v>
      </c>
      <c r="AF84" s="257">
        <f>-IF(AF4&gt;Leadsheet!$E$13,Leadsheet!$E$66*AF$81*AF37/$E$37,Leadsheet!$E$66*AF$81*AE16)</f>
        <v>0</v>
      </c>
      <c r="AG84" s="257">
        <f>-IF(AG4&gt;Leadsheet!$E$13,Leadsheet!$E$66*AG$81*AG37/$E$37,Leadsheet!$E$66*AG$81*AF16)</f>
        <v>0</v>
      </c>
      <c r="AH84" s="257">
        <f>-IF(AH4&gt;Leadsheet!$E$13,Leadsheet!$E$66*AH$81*AH37/$E$37,Leadsheet!$E$66*AH$81*AG16)</f>
        <v>0</v>
      </c>
      <c r="AI84" s="257">
        <f>-IF(AI4&gt;Leadsheet!$E$13,Leadsheet!$E$66*AI$81*AI37/$E$37,Leadsheet!$E$66*AI$81*AH16)</f>
        <v>0</v>
      </c>
      <c r="AJ84" s="257">
        <f>-IF(AJ4&gt;Leadsheet!$E$13,Leadsheet!$E$66*AJ$81*AJ37/$E$37,Leadsheet!$E$66*AJ$81*AI16)</f>
        <v>0</v>
      </c>
      <c r="AK84" s="257">
        <f>-IF(AK4&gt;Leadsheet!$E$13,Leadsheet!$E$66*AK$81*AK37/$E$37,Leadsheet!$E$66*AK$81*AJ16)</f>
        <v>0</v>
      </c>
      <c r="AL84" s="257">
        <f>-IF(AL4&gt;Leadsheet!$E$13,Leadsheet!$E$66*AL$81*AL37/$E$37,Leadsheet!$E$66*AL$81*AK16)</f>
        <v>0</v>
      </c>
      <c r="AM84" s="257">
        <f>-IF(AM4&gt;Leadsheet!$E$13,Leadsheet!$E$66*AM$81*AM37/$E$37,Leadsheet!$E$66*AM$81*AL16)</f>
        <v>0</v>
      </c>
      <c r="AN84" s="257">
        <f>-IF(AN4&gt;Leadsheet!$E$13,Leadsheet!$E$66*AN$81*AN37/$E$37,Leadsheet!$E$66*AN$81*AM16)</f>
        <v>0</v>
      </c>
      <c r="AO84" s="257">
        <f>-IF(AO4&gt;Leadsheet!$E$13,Leadsheet!$E$66*AO$81*AO37/$E$37,Leadsheet!$E$66*AO$81*AN16)</f>
        <v>0</v>
      </c>
      <c r="AP84" s="257">
        <f>-IF(AP4&gt;Leadsheet!$E$13,Leadsheet!$E$66*AP$81*AP37/$E$37,Leadsheet!$E$66*AP$81*AO16)</f>
        <v>0</v>
      </c>
      <c r="AQ84" s="257">
        <f>-IF(AQ4&gt;Leadsheet!$E$13,Leadsheet!$E$66*AQ$81*AQ37/$E$37,Leadsheet!$E$66*AQ$81*AP16)</f>
        <v>0</v>
      </c>
      <c r="AR84" s="257">
        <f>-IF(AR4&gt;Leadsheet!$E$13,Leadsheet!$E$66*AR$81*AR37/$E$37,Leadsheet!$E$66*AR$81*AQ16)</f>
        <v>0</v>
      </c>
      <c r="AS84" s="257">
        <f>-IF(AS4&gt;Leadsheet!$E$13,Leadsheet!$E$66*AS$81*AS37/$E$37,Leadsheet!$E$66*AS$81*AR16)</f>
        <v>0</v>
      </c>
      <c r="AT84" s="257">
        <f>-IF(AT4&gt;Leadsheet!$E$13,Leadsheet!$E$66*AT$81*AT37/$E$37,Leadsheet!$E$66*AT$81*AS16)</f>
        <v>0</v>
      </c>
      <c r="AU84" s="257">
        <f>-IF(AU4&gt;Leadsheet!$E$13,Leadsheet!$E$66*AU$81*AU37/$E$37,Leadsheet!$E$66*AU$81*AT16)</f>
        <v>0</v>
      </c>
      <c r="AV84" s="257">
        <f>-IF(AV4&gt;Leadsheet!$E$13,Leadsheet!$E$66*AV$81*AV37/$E$37,Leadsheet!$E$66*AV$81*AU16)</f>
        <v>0</v>
      </c>
      <c r="AW84" s="257">
        <f>-IF(AW4&gt;Leadsheet!$E$13,Leadsheet!$E$66*AW$81*AW37/$E$37,Leadsheet!$E$66*AW$81*AV16)</f>
        <v>0</v>
      </c>
      <c r="AX84" s="257">
        <f>-IF(AX4&gt;Leadsheet!$E$13,Leadsheet!$E$66*AX$81*AX37/$E$37,Leadsheet!$E$66*AX$81*AW16)</f>
        <v>0</v>
      </c>
      <c r="AY84" s="257">
        <f>-IF(AY4&gt;Leadsheet!$E$13,Leadsheet!$E$66*AY$81*AY37/$E$37,Leadsheet!$E$66*AY$81*AX16)</f>
        <v>0</v>
      </c>
      <c r="AZ84" s="257">
        <f>-IF(AZ4&gt;Leadsheet!$E$13,Leadsheet!$E$66*AZ$81*AZ37/$E$37,Leadsheet!$E$66*AZ$81*AY16)</f>
        <v>0</v>
      </c>
      <c r="BA84" s="257">
        <f>-IF(BA4&gt;Leadsheet!$E$13,Leadsheet!$E$66*BA$81*BA37/$E$37,Leadsheet!$E$66*BA$81*AZ16)</f>
        <v>0</v>
      </c>
      <c r="BB84" s="257">
        <f>-IF(BB4&gt;Leadsheet!$E$13,Leadsheet!$E$66*BB$81*BB37/$E$37,Leadsheet!$E$66*BB$81*BA16)</f>
        <v>0</v>
      </c>
      <c r="BC84" s="257">
        <f>-IF(BC4&gt;Leadsheet!$E$13,Leadsheet!$E$66*BC$81*BC37/$E$37,Leadsheet!$E$66*BC$81*BB16)</f>
        <v>0</v>
      </c>
      <c r="BD84" s="257">
        <f>-IF(BD4&gt;Leadsheet!$E$13,Leadsheet!$E$66*BD$81*BD37/$E$37,Leadsheet!$E$66*BD$81*BC16)</f>
        <v>0</v>
      </c>
      <c r="BE84" s="257">
        <f>-IF(BE4&gt;Leadsheet!$E$13,Leadsheet!$E$66*BE$81*BE37/$E$37,Leadsheet!$E$66*BE$81*BD16)</f>
        <v>0</v>
      </c>
      <c r="BF84" s="257">
        <f>-IF(BF4&gt;Leadsheet!$E$13,Leadsheet!$E$66*BF$81*BF37/$E$37,Leadsheet!$E$66*BF$81*BE16)</f>
        <v>0</v>
      </c>
      <c r="BG84" s="257">
        <f>-IF(BG4&gt;Leadsheet!$E$13,Leadsheet!$E$66*BG$81*BG37/$E$37,Leadsheet!$E$66*BG$81*BF16)</f>
        <v>0</v>
      </c>
      <c r="BH84" s="257">
        <f>-IF(BH4&gt;Leadsheet!$E$13,Leadsheet!$E$66*BH$81*BH37/$E$37,Leadsheet!$E$66*BH$81*BG16)</f>
        <v>0</v>
      </c>
      <c r="BI84" s="257">
        <f>-IF(BI4&gt;Leadsheet!$E$13,Leadsheet!$E$66*BI$81*BI37/$E$37,Leadsheet!$E$66*BI$81*BH16)</f>
        <v>0</v>
      </c>
      <c r="BJ84" s="257">
        <f>-IF(BJ4&gt;Leadsheet!$E$13,Leadsheet!$E$66*BJ$81*BJ37/$E$37,Leadsheet!$E$66*BJ$81*BI16)</f>
        <v>0</v>
      </c>
      <c r="BK84" s="257">
        <f>-IF(BK4&gt;Leadsheet!$E$13,Leadsheet!$E$66*BK$81*BK37/$E$37,Leadsheet!$E$66*BK$81*BJ16)</f>
        <v>0</v>
      </c>
      <c r="BL84" s="257">
        <f>-IF(BL4&gt;Leadsheet!$E$13,Leadsheet!$E$66*BL$81*BL37/$E$37,Leadsheet!$E$66*BL$81*BK16)</f>
        <v>0</v>
      </c>
      <c r="BM84" s="257">
        <f>-IF(BM4&gt;Leadsheet!$E$13,Leadsheet!$E$66*BM$81*BM37/$E$37,Leadsheet!$E$66*BM$81*BL16)</f>
        <v>0</v>
      </c>
      <c r="KU84" s="258"/>
    </row>
    <row r="85" spans="2:307" x14ac:dyDescent="0.15">
      <c r="C85" s="168" t="s">
        <v>233</v>
      </c>
      <c r="F85" s="148"/>
      <c r="G85" s="148"/>
      <c r="H85" s="148"/>
      <c r="I85" s="148"/>
      <c r="J85" s="148"/>
      <c r="K85" s="148"/>
      <c r="L85" s="148"/>
      <c r="M85" s="148"/>
      <c r="N85" s="148"/>
      <c r="O85" s="148"/>
      <c r="P85" s="148"/>
      <c r="Q85" s="148"/>
      <c r="R85" s="148"/>
      <c r="S85" s="148"/>
      <c r="T85" s="148"/>
      <c r="U85" s="148"/>
      <c r="V85" s="148"/>
      <c r="W85" s="148"/>
      <c r="X85" s="148"/>
      <c r="Y85" s="148"/>
      <c r="Z85" s="148"/>
      <c r="AA85" s="148"/>
      <c r="AB85" s="148"/>
      <c r="AC85" s="148"/>
      <c r="AD85" s="148"/>
      <c r="AE85" s="148"/>
      <c r="AF85" s="148"/>
      <c r="AG85" s="148"/>
      <c r="AH85" s="148"/>
      <c r="AI85" s="148"/>
      <c r="AJ85" s="148"/>
      <c r="AK85" s="148"/>
      <c r="AL85" s="148"/>
      <c r="AM85" s="148"/>
      <c r="AN85" s="148"/>
      <c r="AO85" s="148"/>
      <c r="AP85" s="148"/>
      <c r="AQ85" s="148"/>
      <c r="AR85" s="148"/>
      <c r="AS85" s="148"/>
      <c r="AT85" s="148"/>
      <c r="AU85" s="148"/>
      <c r="AV85" s="148"/>
      <c r="AW85" s="148"/>
      <c r="AX85" s="148"/>
      <c r="AY85" s="148"/>
      <c r="AZ85" s="148"/>
      <c r="BA85" s="148"/>
      <c r="BB85" s="148"/>
      <c r="BC85" s="148"/>
      <c r="BD85" s="148"/>
      <c r="BE85" s="148"/>
      <c r="BF85" s="148"/>
      <c r="BG85" s="148"/>
      <c r="BH85" s="148"/>
      <c r="BI85" s="148"/>
      <c r="BJ85" s="148"/>
      <c r="BK85" s="148"/>
      <c r="BL85" s="148"/>
      <c r="BM85" s="148"/>
      <c r="BN85" s="148"/>
      <c r="BO85" s="148"/>
      <c r="BP85" s="148"/>
      <c r="BQ85" s="148"/>
      <c r="BR85" s="148"/>
      <c r="BS85" s="148"/>
      <c r="BT85" s="148"/>
      <c r="BU85" s="148"/>
      <c r="BV85" s="148"/>
      <c r="BW85" s="148"/>
      <c r="BX85" s="148"/>
      <c r="BY85" s="148"/>
      <c r="BZ85" s="148"/>
      <c r="CA85" s="148"/>
      <c r="CB85" s="148"/>
      <c r="CC85" s="148"/>
      <c r="CD85" s="148"/>
      <c r="CE85" s="148"/>
      <c r="CF85" s="148"/>
      <c r="CG85" s="148"/>
      <c r="CH85" s="148"/>
      <c r="CI85" s="148"/>
      <c r="CJ85" s="148"/>
      <c r="CK85" s="148"/>
      <c r="CL85" s="148"/>
      <c r="CM85" s="148"/>
      <c r="CN85" s="148"/>
      <c r="CO85" s="148"/>
      <c r="CP85" s="148"/>
      <c r="CQ85" s="148"/>
      <c r="CR85" s="148"/>
      <c r="CS85" s="148"/>
      <c r="CT85" s="148"/>
      <c r="CU85" s="148"/>
      <c r="CV85" s="148"/>
      <c r="CW85" s="148"/>
      <c r="CX85" s="148"/>
      <c r="CY85" s="148"/>
      <c r="CZ85" s="148"/>
      <c r="DA85" s="148"/>
      <c r="DB85" s="148"/>
      <c r="DC85" s="148"/>
      <c r="DD85" s="148"/>
      <c r="DE85" s="148"/>
      <c r="DF85" s="148"/>
      <c r="DG85" s="148"/>
      <c r="DH85" s="148"/>
      <c r="DI85" s="148"/>
      <c r="DJ85" s="148"/>
      <c r="DK85" s="148"/>
      <c r="DL85" s="148"/>
      <c r="DM85" s="148"/>
      <c r="DN85" s="148"/>
      <c r="DO85" s="148"/>
      <c r="DP85" s="148"/>
      <c r="DQ85" s="148"/>
      <c r="DR85" s="148"/>
      <c r="DS85" s="148"/>
      <c r="DT85" s="148"/>
      <c r="DU85" s="148"/>
      <c r="DV85" s="148"/>
      <c r="DW85" s="148"/>
      <c r="DX85" s="148"/>
      <c r="DY85" s="148"/>
      <c r="DZ85" s="148"/>
      <c r="EA85" s="148"/>
      <c r="EB85" s="148"/>
      <c r="EC85" s="148"/>
      <c r="ED85" s="148"/>
      <c r="EE85" s="148"/>
      <c r="EF85" s="148"/>
      <c r="EG85" s="148"/>
      <c r="EH85" s="148"/>
      <c r="EI85" s="148"/>
      <c r="EJ85" s="148"/>
      <c r="EK85" s="148"/>
      <c r="EL85" s="148"/>
      <c r="EM85" s="148"/>
      <c r="EN85" s="148"/>
      <c r="EO85" s="148"/>
      <c r="EP85" s="148"/>
      <c r="EQ85" s="148"/>
      <c r="ER85" s="148"/>
      <c r="ES85" s="148"/>
      <c r="ET85" s="148"/>
      <c r="EU85" s="148"/>
      <c r="EV85" s="148"/>
      <c r="EW85" s="148"/>
      <c r="EX85" s="148"/>
      <c r="EY85" s="148"/>
      <c r="EZ85" s="148"/>
      <c r="FA85" s="148"/>
      <c r="FB85" s="148"/>
      <c r="FC85" s="148"/>
      <c r="FD85" s="148"/>
      <c r="FE85" s="148"/>
      <c r="FF85" s="148"/>
      <c r="FG85" s="148"/>
      <c r="FH85" s="148"/>
      <c r="FI85" s="148"/>
      <c r="FJ85" s="148"/>
      <c r="FK85" s="148"/>
      <c r="FL85" s="148"/>
      <c r="FM85" s="148"/>
      <c r="FN85" s="148"/>
      <c r="FO85" s="148"/>
      <c r="FP85" s="148"/>
      <c r="FQ85" s="148"/>
      <c r="FR85" s="148"/>
      <c r="FS85" s="148"/>
      <c r="FT85" s="148"/>
      <c r="FU85" s="148"/>
      <c r="FV85" s="148"/>
      <c r="FW85" s="148"/>
      <c r="FX85" s="148"/>
      <c r="FY85" s="148"/>
      <c r="FZ85" s="148"/>
      <c r="GA85" s="148"/>
      <c r="GB85" s="148"/>
      <c r="GC85" s="148"/>
      <c r="GD85" s="148"/>
      <c r="GE85" s="148"/>
      <c r="GF85" s="148"/>
      <c r="GG85" s="148"/>
      <c r="GH85" s="148"/>
      <c r="GI85" s="148"/>
      <c r="GJ85" s="148"/>
      <c r="GK85" s="148"/>
      <c r="GL85" s="148"/>
      <c r="GM85" s="148"/>
      <c r="GN85" s="148"/>
      <c r="GO85" s="148"/>
      <c r="GP85" s="148"/>
      <c r="GQ85" s="148"/>
      <c r="GR85" s="148"/>
      <c r="GS85" s="148"/>
      <c r="GT85" s="148"/>
      <c r="GU85" s="148"/>
      <c r="GV85" s="148"/>
      <c r="GW85" s="148"/>
      <c r="GX85" s="148"/>
      <c r="GY85" s="148"/>
      <c r="GZ85" s="148"/>
      <c r="HA85" s="148"/>
      <c r="HB85" s="148"/>
      <c r="HC85" s="148"/>
      <c r="HD85" s="148"/>
      <c r="HE85" s="148"/>
      <c r="HF85" s="148"/>
      <c r="HG85" s="148"/>
      <c r="HH85" s="148"/>
      <c r="HI85" s="148"/>
      <c r="HJ85" s="148"/>
      <c r="HK85" s="148"/>
      <c r="HL85" s="148"/>
      <c r="HM85" s="148"/>
      <c r="HN85" s="148"/>
      <c r="HO85" s="148"/>
      <c r="HP85" s="148"/>
      <c r="HQ85" s="148"/>
      <c r="HR85" s="148"/>
      <c r="HS85" s="148"/>
      <c r="HT85" s="148"/>
      <c r="HU85" s="148"/>
      <c r="HV85" s="148"/>
      <c r="HW85" s="148"/>
      <c r="HX85" s="148"/>
      <c r="HY85" s="148"/>
      <c r="HZ85" s="148"/>
      <c r="IA85" s="148"/>
      <c r="IB85" s="148"/>
      <c r="IC85" s="148"/>
      <c r="ID85" s="148"/>
      <c r="IE85" s="148"/>
      <c r="IF85" s="148"/>
      <c r="IG85" s="148"/>
      <c r="IH85" s="148"/>
      <c r="II85" s="148"/>
      <c r="IJ85" s="148"/>
      <c r="IK85" s="148"/>
      <c r="IL85" s="148"/>
      <c r="IM85" s="148"/>
      <c r="IN85" s="148"/>
      <c r="IO85" s="148"/>
      <c r="IP85" s="148"/>
      <c r="IQ85" s="148"/>
      <c r="IR85" s="148"/>
      <c r="IS85" s="148"/>
      <c r="IT85" s="148"/>
      <c r="IU85" s="148"/>
      <c r="IV85" s="148"/>
      <c r="IW85" s="148"/>
      <c r="IX85" s="148"/>
      <c r="IY85" s="148"/>
      <c r="IZ85" s="148"/>
      <c r="JA85" s="148"/>
      <c r="JB85" s="148"/>
      <c r="JC85" s="148"/>
      <c r="JD85" s="148"/>
      <c r="JE85" s="148"/>
      <c r="JF85" s="148"/>
      <c r="JG85" s="148"/>
      <c r="JH85" s="148"/>
      <c r="JI85" s="148"/>
      <c r="JJ85" s="148"/>
      <c r="JK85" s="148"/>
      <c r="JL85" s="148"/>
      <c r="JM85" s="148"/>
      <c r="JN85" s="148"/>
      <c r="JO85" s="148"/>
      <c r="JP85" s="148"/>
      <c r="JQ85" s="148"/>
      <c r="JR85" s="148"/>
      <c r="JS85" s="148"/>
      <c r="JT85" s="148"/>
      <c r="JU85" s="148"/>
      <c r="JV85" s="148"/>
      <c r="JW85" s="148"/>
      <c r="JX85" s="148"/>
      <c r="JY85" s="148"/>
      <c r="JZ85" s="148"/>
      <c r="KA85" s="148"/>
      <c r="KB85" s="148"/>
      <c r="KC85" s="148"/>
      <c r="KD85" s="148"/>
      <c r="KE85" s="148"/>
      <c r="KF85" s="148"/>
      <c r="KG85" s="148"/>
      <c r="KH85" s="148"/>
      <c r="KI85" s="148"/>
      <c r="KJ85" s="148"/>
      <c r="KK85" s="148"/>
      <c r="KL85" s="148"/>
      <c r="KM85" s="148"/>
      <c r="KN85" s="148"/>
      <c r="KO85" s="148"/>
      <c r="KP85" s="148"/>
      <c r="KQ85" s="148"/>
      <c r="KR85" s="148"/>
      <c r="KS85" s="148"/>
      <c r="KT85" s="148"/>
    </row>
    <row r="86" spans="2:307" x14ac:dyDescent="0.15">
      <c r="F86" s="148"/>
      <c r="G86" s="148"/>
      <c r="H86" s="148"/>
      <c r="I86" s="148"/>
      <c r="J86" s="148"/>
      <c r="K86" s="148"/>
      <c r="L86" s="148"/>
      <c r="M86" s="148"/>
      <c r="N86" s="148"/>
      <c r="O86" s="148"/>
      <c r="P86" s="148"/>
      <c r="Q86" s="148"/>
      <c r="R86" s="148"/>
      <c r="S86" s="148"/>
      <c r="T86" s="148"/>
      <c r="U86" s="148"/>
      <c r="V86" s="148"/>
      <c r="W86" s="148"/>
      <c r="X86" s="148"/>
      <c r="Y86" s="148"/>
      <c r="Z86" s="148"/>
      <c r="AA86" s="148"/>
      <c r="AB86" s="148"/>
      <c r="AC86" s="148"/>
      <c r="AD86" s="148"/>
      <c r="AE86" s="148"/>
      <c r="AF86" s="148"/>
      <c r="AG86" s="148"/>
      <c r="AH86" s="148"/>
      <c r="AI86" s="148"/>
      <c r="AJ86" s="148"/>
      <c r="AK86" s="148"/>
      <c r="AL86" s="148"/>
      <c r="AM86" s="148"/>
      <c r="AN86" s="148"/>
      <c r="AO86" s="148"/>
      <c r="AP86" s="148"/>
      <c r="AQ86" s="148"/>
      <c r="AR86" s="148"/>
      <c r="AS86" s="148"/>
      <c r="AT86" s="148"/>
      <c r="AU86" s="148"/>
      <c r="AV86" s="148"/>
      <c r="AW86" s="148"/>
      <c r="AX86" s="148"/>
      <c r="AY86" s="148"/>
      <c r="AZ86" s="148"/>
      <c r="BA86" s="148"/>
      <c r="BB86" s="148"/>
      <c r="BC86" s="148"/>
      <c r="BD86" s="148"/>
      <c r="BE86" s="148"/>
      <c r="BF86" s="148"/>
      <c r="BG86" s="148"/>
      <c r="BH86" s="148"/>
      <c r="BI86" s="148"/>
      <c r="BJ86" s="148"/>
      <c r="BK86" s="148"/>
      <c r="BL86" s="148"/>
      <c r="BM86" s="148"/>
      <c r="BN86" s="148"/>
      <c r="BO86" s="148"/>
      <c r="BP86" s="148"/>
      <c r="BQ86" s="148"/>
      <c r="BR86" s="148"/>
      <c r="BS86" s="148"/>
      <c r="BT86" s="148"/>
      <c r="BU86" s="148"/>
      <c r="BV86" s="148"/>
      <c r="BW86" s="148"/>
      <c r="BX86" s="148"/>
      <c r="BY86" s="148"/>
      <c r="BZ86" s="148"/>
      <c r="CA86" s="148"/>
      <c r="CB86" s="148"/>
      <c r="CC86" s="148"/>
      <c r="CD86" s="148"/>
      <c r="CE86" s="148"/>
      <c r="CF86" s="148"/>
      <c r="CG86" s="148"/>
      <c r="CH86" s="148"/>
      <c r="CI86" s="148"/>
      <c r="CJ86" s="148"/>
      <c r="CK86" s="148"/>
      <c r="CL86" s="148"/>
      <c r="CM86" s="148"/>
      <c r="CN86" s="148"/>
      <c r="CO86" s="148"/>
      <c r="CP86" s="148"/>
      <c r="CQ86" s="148"/>
      <c r="CR86" s="148"/>
      <c r="CS86" s="148"/>
      <c r="CT86" s="148"/>
      <c r="CU86" s="148"/>
      <c r="CV86" s="148"/>
      <c r="CW86" s="148"/>
      <c r="CX86" s="148"/>
      <c r="CY86" s="148"/>
      <c r="CZ86" s="148"/>
      <c r="DA86" s="148"/>
      <c r="DB86" s="148"/>
      <c r="DC86" s="148"/>
      <c r="DD86" s="148"/>
      <c r="DE86" s="148"/>
      <c r="DF86" s="148"/>
      <c r="DG86" s="148"/>
      <c r="DH86" s="148"/>
      <c r="DI86" s="148"/>
      <c r="DJ86" s="148"/>
      <c r="DK86" s="148"/>
      <c r="DL86" s="148"/>
      <c r="DM86" s="148"/>
      <c r="DN86" s="148"/>
      <c r="DO86" s="148"/>
      <c r="DP86" s="148"/>
      <c r="DQ86" s="148"/>
      <c r="DR86" s="148"/>
      <c r="DS86" s="148"/>
      <c r="DT86" s="148"/>
      <c r="DU86" s="148"/>
      <c r="DV86" s="148"/>
      <c r="DW86" s="148"/>
      <c r="DX86" s="148"/>
      <c r="DY86" s="148"/>
      <c r="DZ86" s="148"/>
      <c r="EA86" s="148"/>
      <c r="EB86" s="148"/>
      <c r="EC86" s="148"/>
      <c r="ED86" s="148"/>
      <c r="EE86" s="148"/>
      <c r="EF86" s="148"/>
      <c r="EG86" s="148"/>
      <c r="EH86" s="148"/>
      <c r="EI86" s="148"/>
      <c r="EJ86" s="148"/>
      <c r="EK86" s="148"/>
      <c r="EL86" s="148"/>
      <c r="EM86" s="148"/>
      <c r="EN86" s="148"/>
      <c r="EO86" s="148"/>
      <c r="EP86" s="148"/>
      <c r="EQ86" s="148"/>
      <c r="ER86" s="148"/>
      <c r="ES86" s="148"/>
      <c r="ET86" s="148"/>
      <c r="EU86" s="148"/>
      <c r="EV86" s="148"/>
      <c r="EW86" s="148"/>
      <c r="EX86" s="148"/>
      <c r="EY86" s="148"/>
      <c r="EZ86" s="148"/>
      <c r="FA86" s="148"/>
      <c r="FB86" s="148"/>
      <c r="FC86" s="148"/>
      <c r="FD86" s="148"/>
      <c r="FE86" s="148"/>
      <c r="FF86" s="148"/>
      <c r="FG86" s="148"/>
      <c r="FH86" s="148"/>
      <c r="FI86" s="148"/>
      <c r="FJ86" s="148"/>
      <c r="FK86" s="148"/>
      <c r="FL86" s="148"/>
      <c r="FM86" s="148"/>
      <c r="FN86" s="148"/>
      <c r="FO86" s="148"/>
      <c r="FP86" s="148"/>
      <c r="FQ86" s="148"/>
      <c r="FR86" s="148"/>
      <c r="FS86" s="148"/>
      <c r="FT86" s="148"/>
      <c r="FU86" s="148"/>
      <c r="FV86" s="148"/>
      <c r="FW86" s="148"/>
      <c r="FX86" s="148"/>
      <c r="FY86" s="148"/>
      <c r="FZ86" s="148"/>
      <c r="GA86" s="148"/>
      <c r="GB86" s="148"/>
      <c r="GC86" s="148"/>
      <c r="GD86" s="148"/>
      <c r="GE86" s="148"/>
      <c r="GF86" s="148"/>
      <c r="GG86" s="148"/>
      <c r="GH86" s="148"/>
      <c r="GI86" s="148"/>
      <c r="GJ86" s="148"/>
      <c r="GK86" s="148"/>
      <c r="GL86" s="148"/>
      <c r="GM86" s="148"/>
      <c r="GN86" s="148"/>
      <c r="GO86" s="148"/>
      <c r="GP86" s="148"/>
      <c r="GQ86" s="148"/>
      <c r="GR86" s="148"/>
      <c r="GS86" s="148"/>
      <c r="GT86" s="148"/>
      <c r="GU86" s="148"/>
      <c r="GV86" s="148"/>
      <c r="GW86" s="148"/>
      <c r="GX86" s="148"/>
      <c r="GY86" s="148"/>
      <c r="GZ86" s="148"/>
      <c r="HA86" s="148"/>
      <c r="HB86" s="148"/>
      <c r="HC86" s="148"/>
      <c r="HD86" s="148"/>
      <c r="HE86" s="148"/>
      <c r="HF86" s="148"/>
      <c r="HG86" s="148"/>
      <c r="HH86" s="148"/>
      <c r="HI86" s="148"/>
      <c r="HJ86" s="148"/>
      <c r="HK86" s="148"/>
      <c r="HL86" s="148"/>
      <c r="HM86" s="148"/>
      <c r="HN86" s="148"/>
      <c r="HO86" s="148"/>
      <c r="HP86" s="148"/>
      <c r="HQ86" s="148"/>
      <c r="HR86" s="148"/>
      <c r="HS86" s="148"/>
      <c r="HT86" s="148"/>
      <c r="HU86" s="148"/>
      <c r="HV86" s="148"/>
      <c r="HW86" s="148"/>
      <c r="HX86" s="148"/>
      <c r="HY86" s="148"/>
      <c r="HZ86" s="148"/>
      <c r="IA86" s="148"/>
      <c r="IB86" s="148"/>
      <c r="IC86" s="148"/>
      <c r="ID86" s="148"/>
      <c r="IE86" s="148"/>
      <c r="IF86" s="148"/>
      <c r="IG86" s="148"/>
      <c r="IH86" s="148"/>
      <c r="II86" s="148"/>
      <c r="IJ86" s="148"/>
      <c r="IK86" s="148"/>
      <c r="IL86" s="148"/>
      <c r="IM86" s="148"/>
      <c r="IN86" s="148"/>
      <c r="IO86" s="148"/>
      <c r="IP86" s="148"/>
      <c r="IQ86" s="148"/>
      <c r="IR86" s="148"/>
      <c r="IS86" s="148"/>
      <c r="IT86" s="148"/>
      <c r="IU86" s="148"/>
      <c r="IV86" s="148"/>
      <c r="IW86" s="148"/>
      <c r="IX86" s="148"/>
      <c r="IY86" s="148"/>
      <c r="IZ86" s="148"/>
      <c r="JA86" s="148"/>
      <c r="JB86" s="148"/>
      <c r="JC86" s="148"/>
      <c r="JD86" s="148"/>
      <c r="JE86" s="148"/>
      <c r="JF86" s="148"/>
      <c r="JG86" s="148"/>
      <c r="JH86" s="148"/>
      <c r="JI86" s="148"/>
      <c r="JJ86" s="148"/>
      <c r="JK86" s="148"/>
      <c r="JL86" s="148"/>
      <c r="JM86" s="148"/>
      <c r="JN86" s="148"/>
      <c r="JO86" s="148"/>
      <c r="JP86" s="148"/>
      <c r="JQ86" s="148"/>
      <c r="JR86" s="148"/>
      <c r="JS86" s="148"/>
      <c r="JT86" s="148"/>
      <c r="JU86" s="148"/>
      <c r="JV86" s="148"/>
      <c r="JW86" s="148"/>
      <c r="JX86" s="148"/>
      <c r="JY86" s="148"/>
      <c r="JZ86" s="148"/>
      <c r="KA86" s="148"/>
      <c r="KB86" s="148"/>
      <c r="KC86" s="148"/>
      <c r="KD86" s="148"/>
      <c r="KE86" s="148"/>
      <c r="KF86" s="148"/>
      <c r="KG86" s="148"/>
      <c r="KH86" s="148"/>
      <c r="KI86" s="148"/>
      <c r="KJ86" s="148"/>
      <c r="KK86" s="148"/>
      <c r="KL86" s="148"/>
      <c r="KM86" s="148"/>
      <c r="KN86" s="148"/>
      <c r="KO86" s="148"/>
      <c r="KP86" s="148"/>
      <c r="KQ86" s="148"/>
      <c r="KR86" s="148"/>
      <c r="KS86" s="148"/>
      <c r="KT86" s="148"/>
    </row>
    <row r="87" spans="2:307" x14ac:dyDescent="0.15">
      <c r="B87" s="157" t="s">
        <v>341</v>
      </c>
      <c r="F87" s="239">
        <f>SUM(F88:F89)</f>
        <v>-6.5052222840272126E-6</v>
      </c>
      <c r="G87" s="239">
        <f t="shared" ref="G87:BM87" si="17">SUM(G88:G89)</f>
        <v>-6.2756262034144871E-6</v>
      </c>
      <c r="H87" s="239">
        <f t="shared" si="17"/>
        <v>-6.0460301228017616E-6</v>
      </c>
      <c r="I87" s="239">
        <f t="shared" si="17"/>
        <v>-5.8164340421890361E-6</v>
      </c>
      <c r="J87" s="239">
        <f t="shared" si="17"/>
        <v>-5.5868379615763106E-6</v>
      </c>
      <c r="K87" s="239">
        <f t="shared" si="17"/>
        <v>-5.357241880963586E-6</v>
      </c>
      <c r="L87" s="239">
        <f t="shared" si="17"/>
        <v>-5.1276458003508605E-6</v>
      </c>
      <c r="M87" s="239">
        <f t="shared" si="17"/>
        <v>-4.898049719738135E-6</v>
      </c>
      <c r="N87" s="239">
        <f t="shared" si="17"/>
        <v>-4.898049719738135E-6</v>
      </c>
      <c r="O87" s="239">
        <f t="shared" si="17"/>
        <v>0</v>
      </c>
      <c r="P87" s="239">
        <f t="shared" si="17"/>
        <v>0</v>
      </c>
      <c r="Q87" s="239">
        <f t="shared" si="17"/>
        <v>0</v>
      </c>
      <c r="R87" s="239">
        <f t="shared" si="17"/>
        <v>0</v>
      </c>
      <c r="S87" s="239">
        <f t="shared" si="17"/>
        <v>0</v>
      </c>
      <c r="T87" s="239">
        <f t="shared" si="17"/>
        <v>0</v>
      </c>
      <c r="U87" s="239">
        <f t="shared" si="17"/>
        <v>0</v>
      </c>
      <c r="V87" s="239">
        <f t="shared" si="17"/>
        <v>0</v>
      </c>
      <c r="W87" s="239">
        <f t="shared" si="17"/>
        <v>0</v>
      </c>
      <c r="X87" s="239">
        <f t="shared" si="17"/>
        <v>0</v>
      </c>
      <c r="Y87" s="239">
        <f t="shared" si="17"/>
        <v>0</v>
      </c>
      <c r="Z87" s="239">
        <f t="shared" si="17"/>
        <v>0</v>
      </c>
      <c r="AA87" s="239">
        <f t="shared" si="17"/>
        <v>0</v>
      </c>
      <c r="AB87" s="239">
        <f t="shared" si="17"/>
        <v>0</v>
      </c>
      <c r="AC87" s="239">
        <f t="shared" si="17"/>
        <v>0</v>
      </c>
      <c r="AD87" s="239">
        <f t="shared" si="17"/>
        <v>0</v>
      </c>
      <c r="AE87" s="239">
        <f t="shared" si="17"/>
        <v>0</v>
      </c>
      <c r="AF87" s="239">
        <f t="shared" si="17"/>
        <v>0</v>
      </c>
      <c r="AG87" s="239">
        <f t="shared" si="17"/>
        <v>0</v>
      </c>
      <c r="AH87" s="239">
        <f t="shared" si="17"/>
        <v>0</v>
      </c>
      <c r="AI87" s="239">
        <f t="shared" si="17"/>
        <v>0</v>
      </c>
      <c r="AJ87" s="239">
        <f t="shared" si="17"/>
        <v>0</v>
      </c>
      <c r="AK87" s="239">
        <f t="shared" si="17"/>
        <v>0</v>
      </c>
      <c r="AL87" s="239">
        <f t="shared" si="17"/>
        <v>0</v>
      </c>
      <c r="AM87" s="239">
        <f t="shared" si="17"/>
        <v>0</v>
      </c>
      <c r="AN87" s="239">
        <f t="shared" si="17"/>
        <v>0</v>
      </c>
      <c r="AO87" s="239">
        <f t="shared" si="17"/>
        <v>0</v>
      </c>
      <c r="AP87" s="239">
        <f t="shared" si="17"/>
        <v>0</v>
      </c>
      <c r="AQ87" s="239">
        <f t="shared" si="17"/>
        <v>0</v>
      </c>
      <c r="AR87" s="239">
        <f t="shared" si="17"/>
        <v>0</v>
      </c>
      <c r="AS87" s="239">
        <f t="shared" si="17"/>
        <v>0</v>
      </c>
      <c r="AT87" s="239">
        <f t="shared" si="17"/>
        <v>0</v>
      </c>
      <c r="AU87" s="239">
        <f t="shared" si="17"/>
        <v>0</v>
      </c>
      <c r="AV87" s="239">
        <f t="shared" si="17"/>
        <v>0</v>
      </c>
      <c r="AW87" s="239">
        <f t="shared" si="17"/>
        <v>0</v>
      </c>
      <c r="AX87" s="239">
        <f t="shared" si="17"/>
        <v>0</v>
      </c>
      <c r="AY87" s="239">
        <f t="shared" si="17"/>
        <v>0</v>
      </c>
      <c r="AZ87" s="239">
        <f t="shared" si="17"/>
        <v>0</v>
      </c>
      <c r="BA87" s="239">
        <f t="shared" si="17"/>
        <v>0</v>
      </c>
      <c r="BB87" s="239">
        <f t="shared" si="17"/>
        <v>0</v>
      </c>
      <c r="BC87" s="239">
        <f t="shared" si="17"/>
        <v>0</v>
      </c>
      <c r="BD87" s="239">
        <f t="shared" si="17"/>
        <v>0</v>
      </c>
      <c r="BE87" s="239">
        <f t="shared" si="17"/>
        <v>0</v>
      </c>
      <c r="BF87" s="239">
        <f t="shared" si="17"/>
        <v>0</v>
      </c>
      <c r="BG87" s="239">
        <f t="shared" si="17"/>
        <v>0</v>
      </c>
      <c r="BH87" s="239">
        <f t="shared" si="17"/>
        <v>0</v>
      </c>
      <c r="BI87" s="239">
        <f t="shared" si="17"/>
        <v>0</v>
      </c>
      <c r="BJ87" s="239">
        <f t="shared" si="17"/>
        <v>0</v>
      </c>
      <c r="BK87" s="239">
        <f t="shared" si="17"/>
        <v>0</v>
      </c>
      <c r="BL87" s="239">
        <f t="shared" si="17"/>
        <v>0</v>
      </c>
      <c r="BM87" s="239">
        <f t="shared" si="17"/>
        <v>0</v>
      </c>
    </row>
    <row r="88" spans="2:307" x14ac:dyDescent="0.15">
      <c r="B88" s="157"/>
      <c r="C88" s="92" t="s">
        <v>342</v>
      </c>
      <c r="F88" s="148">
        <f>IF(F4&gt;Leadsheet!$E$13,0,-F16*Leadsheet!$E$73)</f>
        <v>-6.5052222840272126E-6</v>
      </c>
      <c r="G88" s="148">
        <f>IF(G4&gt;Leadsheet!$E$13,0,-G16*Leadsheet!$E$73)</f>
        <v>-6.2756262034144871E-6</v>
      </c>
      <c r="H88" s="148">
        <f>IF(H4&gt;Leadsheet!$E$13,0,-H16*Leadsheet!$E$73)</f>
        <v>-6.0460301228017616E-6</v>
      </c>
      <c r="I88" s="148">
        <f>IF(I4&gt;Leadsheet!$E$13,0,-I16*Leadsheet!$E$73)</f>
        <v>-5.8164340421890361E-6</v>
      </c>
      <c r="J88" s="148">
        <f>IF(J4&gt;Leadsheet!$E$13,0,-J16*Leadsheet!$E$73)</f>
        <v>-5.5868379615763106E-6</v>
      </c>
      <c r="K88" s="148">
        <f>IF(K4&gt;Leadsheet!$E$13,0,-K16*Leadsheet!$E$73)</f>
        <v>-5.357241880963586E-6</v>
      </c>
      <c r="L88" s="148">
        <f>IF(L4&gt;Leadsheet!$E$13,0,-L16*Leadsheet!$E$73)</f>
        <v>-5.1276458003508605E-6</v>
      </c>
      <c r="M88" s="148">
        <f>IF(M4&gt;Leadsheet!$E$13,0,-M16*Leadsheet!$E$73)</f>
        <v>-4.898049719738135E-6</v>
      </c>
      <c r="N88" s="148">
        <f>IF(N4&gt;Leadsheet!$E$13,0,-N16*Leadsheet!$E$73)</f>
        <v>-4.898049719738135E-6</v>
      </c>
      <c r="O88" s="148">
        <f>IF(O4&gt;Leadsheet!$E$13,0,-O16*Leadsheet!$E$73)</f>
        <v>0</v>
      </c>
      <c r="P88" s="148">
        <f>IF(P4&gt;Leadsheet!$E$13,0,-P16*Leadsheet!$E$73)</f>
        <v>0</v>
      </c>
      <c r="Q88" s="148">
        <f>IF(Q4&gt;Leadsheet!$E$13,0,-Q16*Leadsheet!$E$73)</f>
        <v>0</v>
      </c>
      <c r="R88" s="148">
        <f>IF(R4&gt;Leadsheet!$E$13,0,-R16*Leadsheet!$E$73)</f>
        <v>0</v>
      </c>
      <c r="S88" s="148">
        <f>IF(S4&gt;Leadsheet!$E$13,0,-S16*Leadsheet!$E$73)</f>
        <v>0</v>
      </c>
      <c r="T88" s="148">
        <f>IF(T4&gt;Leadsheet!$E$13,0,-T16*Leadsheet!$E$73)</f>
        <v>0</v>
      </c>
      <c r="U88" s="148">
        <f>IF(U4&gt;Leadsheet!$E$13,0,-U16*Leadsheet!$E$73)</f>
        <v>0</v>
      </c>
      <c r="V88" s="148">
        <f>IF(V4&gt;Leadsheet!$E$13,0,-V16*Leadsheet!$E$73)</f>
        <v>0</v>
      </c>
      <c r="W88" s="148">
        <f>IF(W4&gt;Leadsheet!$E$13,0,-W16*Leadsheet!$E$73)</f>
        <v>0</v>
      </c>
      <c r="X88" s="148">
        <f>IF(X4&gt;Leadsheet!$E$13,0,-X16*Leadsheet!$E$73)</f>
        <v>0</v>
      </c>
      <c r="Y88" s="148">
        <f>IF(Y4&gt;Leadsheet!$E$13,0,-Y16*Leadsheet!$E$73)</f>
        <v>0</v>
      </c>
      <c r="Z88" s="148">
        <f>IF(Z4&gt;Leadsheet!$E$13,0,-Z16*Leadsheet!$E$73)</f>
        <v>0</v>
      </c>
      <c r="AA88" s="148">
        <f>IF(AA4&gt;Leadsheet!$E$13,0,-AA16*Leadsheet!$E$73)</f>
        <v>0</v>
      </c>
      <c r="AB88" s="148">
        <f>IF(AB4&gt;Leadsheet!$E$13,0,-AB16*Leadsheet!$E$73)</f>
        <v>0</v>
      </c>
      <c r="AC88" s="148">
        <f>IF(AC4&gt;Leadsheet!$E$13,0,-AC16*Leadsheet!$E$73)</f>
        <v>0</v>
      </c>
      <c r="AD88" s="148">
        <f>IF(AD4&gt;Leadsheet!$E$13,0,-AD16*Leadsheet!$E$73)</f>
        <v>0</v>
      </c>
      <c r="AE88" s="148">
        <f>IF(AE4&gt;Leadsheet!$E$13,0,-AE16*Leadsheet!$E$73)</f>
        <v>0</v>
      </c>
      <c r="AF88" s="148">
        <f>IF(AF4&gt;Leadsheet!$E$13,0,-AF16*Leadsheet!$E$73)</f>
        <v>0</v>
      </c>
      <c r="AG88" s="148">
        <f>IF(AG4&gt;Leadsheet!$E$13,0,-AG16*Leadsheet!$E$73)</f>
        <v>0</v>
      </c>
      <c r="AH88" s="148">
        <f>IF(AH4&gt;Leadsheet!$E$13,0,-AH16*Leadsheet!$E$73)</f>
        <v>0</v>
      </c>
      <c r="AI88" s="148">
        <f>IF(AI4&gt;Leadsheet!$E$13,0,-AI16*Leadsheet!$E$73)</f>
        <v>0</v>
      </c>
      <c r="AJ88" s="148">
        <f>IF(AJ4&gt;Leadsheet!$E$13,0,-AJ16*Leadsheet!$E$73)</f>
        <v>0</v>
      </c>
      <c r="AK88" s="148">
        <f>IF(AK4&gt;Leadsheet!$E$13,0,-AK16*Leadsheet!$E$73)</f>
        <v>0</v>
      </c>
      <c r="AL88" s="148">
        <f>IF(AL4&gt;Leadsheet!$E$13,0,-AL16*Leadsheet!$E$73)</f>
        <v>0</v>
      </c>
      <c r="AM88" s="148">
        <f>IF(AM4&gt;Leadsheet!$E$13,0,-AM16*Leadsheet!$E$73)</f>
        <v>0</v>
      </c>
      <c r="AN88" s="148">
        <f>IF(AN4&gt;Leadsheet!$E$13,0,-AN16*Leadsheet!$E$73)</f>
        <v>0</v>
      </c>
      <c r="AO88" s="148">
        <f>IF(AO4&gt;Leadsheet!$E$13,0,-AO16*Leadsheet!$E$73)</f>
        <v>0</v>
      </c>
      <c r="AP88" s="148">
        <f>IF(AP4&gt;Leadsheet!$E$13,0,-AP16*Leadsheet!$E$73)</f>
        <v>0</v>
      </c>
      <c r="AQ88" s="148">
        <f>IF(AQ4&gt;Leadsheet!$E$13,0,-AQ16*Leadsheet!$E$73)</f>
        <v>0</v>
      </c>
      <c r="AR88" s="148">
        <f>IF(AR4&gt;Leadsheet!$E$13,0,-AR16*Leadsheet!$E$73)</f>
        <v>0</v>
      </c>
      <c r="AS88" s="148">
        <f>IF(AS4&gt;Leadsheet!$E$13,0,-AS16*Leadsheet!$E$73)</f>
        <v>0</v>
      </c>
      <c r="AT88" s="148">
        <f>IF(AT4&gt;Leadsheet!$E$13,0,-AT16*Leadsheet!$E$73)</f>
        <v>0</v>
      </c>
      <c r="AU88" s="148">
        <f>IF(AU4&gt;Leadsheet!$E$13,0,-AU16*Leadsheet!$E$73)</f>
        <v>0</v>
      </c>
      <c r="AV88" s="148">
        <f>IF(AV4&gt;Leadsheet!$E$13,0,-AV16*Leadsheet!$E$73)</f>
        <v>0</v>
      </c>
      <c r="AW88" s="148">
        <f>IF(AW4&gt;Leadsheet!$E$13,0,-AW16*Leadsheet!$E$73)</f>
        <v>0</v>
      </c>
      <c r="AX88" s="148">
        <f>IF(AX4&gt;Leadsheet!$E$13,0,-AX16*Leadsheet!$E$73)</f>
        <v>0</v>
      </c>
      <c r="AY88" s="148">
        <f>IF(AY4&gt;Leadsheet!$E$13,0,-AY16*Leadsheet!$E$73)</f>
        <v>0</v>
      </c>
      <c r="AZ88" s="148">
        <f>IF(AZ4&gt;Leadsheet!$E$13,0,-AZ16*Leadsheet!$E$73)</f>
        <v>0</v>
      </c>
      <c r="BA88" s="148">
        <f>IF(BA4&gt;Leadsheet!$E$13,0,-BA16*Leadsheet!$E$73)</f>
        <v>0</v>
      </c>
      <c r="BB88" s="148">
        <f>IF(BB4&gt;Leadsheet!$E$13,0,-BB16*Leadsheet!$E$73)</f>
        <v>0</v>
      </c>
      <c r="BC88" s="148">
        <f>IF(BC4&gt;Leadsheet!$E$13,0,-BC16*Leadsheet!$E$73)</f>
        <v>0</v>
      </c>
      <c r="BD88" s="148">
        <f>IF(BD4&gt;Leadsheet!$E$13,0,-BD16*Leadsheet!$E$73)</f>
        <v>0</v>
      </c>
      <c r="BE88" s="148">
        <f>IF(BE4&gt;Leadsheet!$E$13,0,-BE16*Leadsheet!$E$73)</f>
        <v>0</v>
      </c>
      <c r="BF88" s="148">
        <f>IF(BF4&gt;Leadsheet!$E$13,0,-BF16*Leadsheet!$E$73)</f>
        <v>0</v>
      </c>
      <c r="BG88" s="148">
        <f>IF(BG4&gt;Leadsheet!$E$13,0,-BG16*Leadsheet!$E$73)</f>
        <v>0</v>
      </c>
      <c r="BH88" s="148">
        <f>IF(BH4&gt;Leadsheet!$E$13,0,-BH16*Leadsheet!$E$73)</f>
        <v>0</v>
      </c>
      <c r="BI88" s="148">
        <f>IF(BI4&gt;Leadsheet!$E$13,0,-BI16*Leadsheet!$E$73)</f>
        <v>0</v>
      </c>
      <c r="BJ88" s="148">
        <f>IF(BJ4&gt;Leadsheet!$E$13,0,-BJ16*Leadsheet!$E$73)</f>
        <v>0</v>
      </c>
      <c r="BK88" s="148">
        <f>IF(BK4&gt;Leadsheet!$E$13,0,-BK16*Leadsheet!$E$73)</f>
        <v>0</v>
      </c>
      <c r="BL88" s="148">
        <f>IF(BL4&gt;Leadsheet!$E$13,0,-BL16*Leadsheet!$E$73)</f>
        <v>0</v>
      </c>
      <c r="BM88" s="148">
        <f>IF(BM4&gt;Leadsheet!$E$13,0,-BM16*Leadsheet!$E$73)</f>
        <v>0</v>
      </c>
    </row>
    <row r="89" spans="2:307" x14ac:dyDescent="0.15">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c r="AD89" s="150"/>
      <c r="AE89" s="150"/>
      <c r="AF89" s="150"/>
      <c r="AG89" s="150"/>
      <c r="AH89" s="150"/>
      <c r="AI89" s="150"/>
      <c r="AJ89" s="150"/>
      <c r="AK89" s="150"/>
      <c r="AL89" s="150"/>
      <c r="AM89" s="150"/>
      <c r="AN89" s="150"/>
      <c r="AO89" s="150"/>
      <c r="AP89" s="150"/>
      <c r="AQ89" s="150"/>
      <c r="AR89" s="150"/>
      <c r="AS89" s="150"/>
      <c r="AT89" s="150"/>
      <c r="AU89" s="150"/>
      <c r="AV89" s="150"/>
      <c r="AW89" s="150"/>
      <c r="AX89" s="150"/>
      <c r="AY89" s="150"/>
      <c r="AZ89" s="150"/>
      <c r="BA89" s="150"/>
      <c r="BB89" s="150"/>
      <c r="BC89" s="150"/>
      <c r="BD89" s="150"/>
      <c r="BE89" s="150"/>
      <c r="BF89" s="150"/>
      <c r="BG89" s="150"/>
      <c r="BH89" s="150"/>
      <c r="BI89" s="150"/>
      <c r="BJ89" s="150"/>
      <c r="BK89" s="150"/>
      <c r="BL89" s="150"/>
      <c r="BM89" s="150"/>
      <c r="BN89" s="150"/>
      <c r="BO89" s="150"/>
      <c r="BP89" s="150"/>
      <c r="BQ89" s="150"/>
      <c r="BR89" s="150"/>
      <c r="BS89" s="150"/>
      <c r="BT89" s="150"/>
      <c r="BU89" s="150"/>
      <c r="BV89" s="150"/>
      <c r="BW89" s="150"/>
      <c r="BX89" s="150"/>
      <c r="BY89" s="150"/>
      <c r="BZ89" s="150"/>
      <c r="CA89" s="150"/>
      <c r="CB89" s="150"/>
      <c r="CC89" s="150"/>
      <c r="CD89" s="150"/>
      <c r="CE89" s="150"/>
      <c r="CF89" s="150"/>
      <c r="CG89" s="150"/>
      <c r="CH89" s="150"/>
      <c r="CI89" s="150"/>
      <c r="CJ89" s="150"/>
      <c r="CK89" s="150"/>
      <c r="CL89" s="150"/>
      <c r="CM89" s="150"/>
      <c r="CN89" s="150"/>
      <c r="CO89" s="150"/>
      <c r="CP89" s="150"/>
      <c r="CQ89" s="150"/>
      <c r="CR89" s="150"/>
      <c r="CS89" s="150"/>
      <c r="CT89" s="150"/>
      <c r="CU89" s="150"/>
      <c r="CV89" s="150"/>
      <c r="CW89" s="150"/>
      <c r="CX89" s="150"/>
      <c r="CY89" s="150"/>
      <c r="CZ89" s="150"/>
      <c r="DA89" s="150"/>
      <c r="DB89" s="150"/>
      <c r="DC89" s="150"/>
      <c r="DD89" s="150"/>
      <c r="DE89" s="150"/>
      <c r="DF89" s="150"/>
      <c r="DG89" s="150"/>
      <c r="DH89" s="150"/>
      <c r="DI89" s="150"/>
      <c r="DJ89" s="150"/>
      <c r="DK89" s="150"/>
      <c r="DL89" s="150"/>
      <c r="DM89" s="150"/>
      <c r="DN89" s="150"/>
      <c r="DO89" s="150"/>
      <c r="DP89" s="150"/>
      <c r="DQ89" s="150"/>
      <c r="DR89" s="150"/>
      <c r="DS89" s="150"/>
      <c r="DT89" s="150"/>
      <c r="DU89" s="150"/>
      <c r="DV89" s="150"/>
      <c r="DW89" s="150"/>
      <c r="DX89" s="150"/>
      <c r="DY89" s="150"/>
      <c r="DZ89" s="150"/>
      <c r="EA89" s="150"/>
      <c r="EB89" s="150"/>
      <c r="EC89" s="150"/>
      <c r="ED89" s="150"/>
      <c r="EE89" s="150"/>
      <c r="EF89" s="150"/>
      <c r="EG89" s="150"/>
      <c r="EH89" s="150"/>
      <c r="EI89" s="150"/>
      <c r="EJ89" s="150"/>
      <c r="EK89" s="150"/>
      <c r="EL89" s="150"/>
      <c r="EM89" s="150"/>
      <c r="EN89" s="150"/>
      <c r="EO89" s="150"/>
      <c r="EP89" s="150"/>
      <c r="EQ89" s="150"/>
      <c r="ER89" s="150"/>
      <c r="ES89" s="150"/>
      <c r="ET89" s="150"/>
      <c r="EU89" s="150"/>
      <c r="EV89" s="150"/>
      <c r="EW89" s="150"/>
      <c r="EX89" s="150"/>
      <c r="EY89" s="150"/>
      <c r="EZ89" s="150"/>
      <c r="FA89" s="150"/>
      <c r="FB89" s="150"/>
      <c r="FC89" s="150"/>
      <c r="FD89" s="150"/>
      <c r="FE89" s="150"/>
      <c r="FF89" s="150"/>
      <c r="FG89" s="150"/>
      <c r="FH89" s="150"/>
      <c r="FI89" s="150"/>
      <c r="FJ89" s="150"/>
      <c r="FK89" s="150"/>
      <c r="FL89" s="150"/>
      <c r="FM89" s="150"/>
      <c r="FN89" s="150"/>
      <c r="FO89" s="150"/>
      <c r="FP89" s="150"/>
      <c r="FQ89" s="150"/>
      <c r="FR89" s="150"/>
      <c r="FS89" s="150"/>
      <c r="FT89" s="150"/>
      <c r="FU89" s="150"/>
      <c r="FV89" s="150"/>
      <c r="FW89" s="150"/>
      <c r="FX89" s="150"/>
      <c r="FY89" s="150"/>
      <c r="FZ89" s="150"/>
      <c r="GA89" s="150"/>
      <c r="GB89" s="150"/>
      <c r="GC89" s="150"/>
      <c r="GD89" s="150"/>
      <c r="GE89" s="150"/>
      <c r="GF89" s="150"/>
      <c r="GG89" s="150"/>
      <c r="GH89" s="150"/>
      <c r="GI89" s="150"/>
      <c r="GJ89" s="150"/>
      <c r="GK89" s="150"/>
      <c r="GL89" s="150"/>
      <c r="GM89" s="150"/>
      <c r="GN89" s="150"/>
      <c r="GO89" s="150"/>
      <c r="GP89" s="150"/>
      <c r="GQ89" s="150"/>
      <c r="GR89" s="150"/>
      <c r="GS89" s="150"/>
      <c r="GT89" s="150"/>
      <c r="GU89" s="150"/>
      <c r="GV89" s="150"/>
      <c r="GW89" s="150"/>
      <c r="GX89" s="150"/>
      <c r="GY89" s="150"/>
      <c r="GZ89" s="150"/>
      <c r="HA89" s="150"/>
      <c r="HB89" s="150"/>
      <c r="HC89" s="150"/>
      <c r="HD89" s="150"/>
      <c r="HE89" s="150"/>
      <c r="HF89" s="150"/>
      <c r="HG89" s="150"/>
      <c r="HH89" s="150"/>
      <c r="HI89" s="150"/>
      <c r="HJ89" s="150"/>
      <c r="HK89" s="150"/>
      <c r="HL89" s="150"/>
      <c r="HM89" s="150"/>
      <c r="HN89" s="150"/>
      <c r="HO89" s="150"/>
      <c r="HP89" s="150"/>
      <c r="HQ89" s="150"/>
      <c r="HR89" s="150"/>
      <c r="HS89" s="150"/>
      <c r="HT89" s="150"/>
      <c r="HU89" s="150"/>
      <c r="HV89" s="150"/>
      <c r="HW89" s="150"/>
      <c r="HX89" s="150"/>
      <c r="HY89" s="150"/>
      <c r="HZ89" s="150"/>
      <c r="IA89" s="150"/>
      <c r="IB89" s="150"/>
      <c r="IC89" s="150"/>
      <c r="ID89" s="150"/>
      <c r="IE89" s="150"/>
      <c r="IF89" s="150"/>
      <c r="IG89" s="150"/>
      <c r="IH89" s="150"/>
      <c r="II89" s="150"/>
      <c r="IJ89" s="150"/>
      <c r="IK89" s="150"/>
      <c r="IL89" s="150"/>
      <c r="IM89" s="150"/>
      <c r="IN89" s="150"/>
      <c r="IO89" s="150"/>
      <c r="IP89" s="150"/>
      <c r="IQ89" s="150"/>
      <c r="IR89" s="150"/>
      <c r="IS89" s="150"/>
      <c r="IT89" s="150"/>
      <c r="IU89" s="150"/>
      <c r="IV89" s="150"/>
      <c r="IW89" s="150"/>
      <c r="IX89" s="150"/>
      <c r="IY89" s="150"/>
      <c r="IZ89" s="150"/>
      <c r="JA89" s="150"/>
      <c r="JB89" s="150"/>
      <c r="JC89" s="150"/>
      <c r="JD89" s="150"/>
      <c r="JE89" s="150"/>
      <c r="JF89" s="150"/>
      <c r="JG89" s="150"/>
      <c r="JH89" s="150"/>
      <c r="JI89" s="150"/>
      <c r="JJ89" s="150"/>
      <c r="JK89" s="150"/>
      <c r="JL89" s="150"/>
      <c r="JM89" s="150"/>
      <c r="JN89" s="150"/>
      <c r="JO89" s="150"/>
      <c r="JP89" s="150"/>
      <c r="JQ89" s="150"/>
      <c r="JR89" s="150"/>
      <c r="JS89" s="150"/>
      <c r="JT89" s="150"/>
      <c r="JU89" s="150"/>
      <c r="JV89" s="150"/>
      <c r="JW89" s="150"/>
      <c r="JX89" s="150"/>
      <c r="JY89" s="150"/>
      <c r="JZ89" s="150"/>
      <c r="KA89" s="150"/>
      <c r="KB89" s="150"/>
      <c r="KC89" s="150"/>
      <c r="KD89" s="150"/>
      <c r="KE89" s="150"/>
      <c r="KF89" s="150"/>
      <c r="KG89" s="150"/>
      <c r="KH89" s="150"/>
      <c r="KI89" s="150"/>
      <c r="KJ89" s="150"/>
      <c r="KK89" s="150"/>
      <c r="KL89" s="150"/>
      <c r="KM89" s="150"/>
      <c r="KN89" s="150"/>
      <c r="KO89" s="150"/>
      <c r="KP89" s="150"/>
      <c r="KQ89" s="150"/>
      <c r="KR89" s="150"/>
      <c r="KS89" s="150"/>
      <c r="KT89" s="150"/>
    </row>
    <row r="90" spans="2:307" x14ac:dyDescent="0.15">
      <c r="F90" s="150"/>
      <c r="G90" s="150"/>
      <c r="H90" s="150"/>
      <c r="I90" s="150"/>
      <c r="J90" s="150"/>
      <c r="K90" s="150"/>
      <c r="L90" s="150"/>
      <c r="M90" s="150"/>
      <c r="N90" s="150"/>
      <c r="O90" s="150"/>
      <c r="P90" s="150"/>
      <c r="Q90" s="150"/>
      <c r="R90" s="150"/>
      <c r="S90" s="150"/>
      <c r="T90" s="150"/>
      <c r="U90" s="150"/>
      <c r="V90" s="150"/>
      <c r="W90" s="150"/>
      <c r="X90" s="150"/>
      <c r="Y90" s="150"/>
      <c r="Z90" s="150"/>
      <c r="AA90" s="150"/>
      <c r="AB90" s="150"/>
      <c r="AC90" s="150"/>
      <c r="AD90" s="150"/>
      <c r="AE90" s="150"/>
      <c r="AF90" s="150"/>
      <c r="AG90" s="150"/>
      <c r="AH90" s="150"/>
      <c r="AI90" s="150"/>
      <c r="AJ90" s="150"/>
      <c r="AK90" s="150"/>
      <c r="AL90" s="150"/>
      <c r="AM90" s="150"/>
      <c r="AN90" s="150"/>
      <c r="AO90" s="150"/>
      <c r="AP90" s="150"/>
      <c r="AQ90" s="150"/>
      <c r="AR90" s="150"/>
      <c r="AS90" s="150"/>
      <c r="AT90" s="150"/>
      <c r="AU90" s="150"/>
      <c r="AV90" s="150"/>
      <c r="AW90" s="150"/>
      <c r="AX90" s="150"/>
      <c r="AY90" s="150"/>
      <c r="AZ90" s="150"/>
      <c r="BA90" s="150"/>
      <c r="BB90" s="150"/>
      <c r="BC90" s="150"/>
      <c r="BD90" s="150"/>
      <c r="BE90" s="150"/>
      <c r="BF90" s="150"/>
      <c r="BG90" s="150"/>
      <c r="BH90" s="150"/>
      <c r="BI90" s="150"/>
      <c r="BJ90" s="150"/>
      <c r="BK90" s="150"/>
      <c r="BL90" s="150"/>
      <c r="BM90" s="150"/>
      <c r="BN90" s="150"/>
      <c r="BO90" s="150"/>
      <c r="BP90" s="150"/>
      <c r="BQ90" s="150"/>
      <c r="BR90" s="150"/>
      <c r="BS90" s="150"/>
      <c r="BT90" s="150"/>
      <c r="BU90" s="150"/>
      <c r="BV90" s="150"/>
      <c r="BW90" s="150"/>
      <c r="BX90" s="150"/>
      <c r="BY90" s="150"/>
      <c r="BZ90" s="150"/>
      <c r="CA90" s="150"/>
      <c r="CB90" s="150"/>
      <c r="CC90" s="150"/>
      <c r="CD90" s="150"/>
      <c r="CE90" s="150"/>
      <c r="CF90" s="150"/>
      <c r="CG90" s="150"/>
      <c r="CH90" s="150"/>
      <c r="CI90" s="150"/>
      <c r="CJ90" s="150"/>
      <c r="CK90" s="150"/>
      <c r="CL90" s="150"/>
      <c r="CM90" s="150"/>
      <c r="CN90" s="150"/>
      <c r="CO90" s="150"/>
      <c r="CP90" s="150"/>
      <c r="CQ90" s="150"/>
      <c r="CR90" s="150"/>
      <c r="CS90" s="150"/>
      <c r="CT90" s="150"/>
      <c r="CU90" s="150"/>
      <c r="CV90" s="150"/>
      <c r="CW90" s="150"/>
      <c r="CX90" s="150"/>
      <c r="CY90" s="150"/>
      <c r="CZ90" s="150"/>
      <c r="DA90" s="150"/>
      <c r="DB90" s="150"/>
      <c r="DC90" s="150"/>
      <c r="DD90" s="150"/>
      <c r="DE90" s="150"/>
      <c r="DF90" s="150"/>
      <c r="DG90" s="150"/>
      <c r="DH90" s="150"/>
      <c r="DI90" s="150"/>
      <c r="DJ90" s="150"/>
      <c r="DK90" s="150"/>
      <c r="DL90" s="150"/>
      <c r="DM90" s="150"/>
      <c r="DN90" s="150"/>
      <c r="DO90" s="150"/>
      <c r="DP90" s="150"/>
      <c r="DQ90" s="150"/>
      <c r="DR90" s="150"/>
      <c r="DS90" s="150"/>
      <c r="DT90" s="150"/>
      <c r="DU90" s="150"/>
      <c r="DV90" s="150"/>
      <c r="DW90" s="150"/>
      <c r="DX90" s="150"/>
      <c r="DY90" s="150"/>
      <c r="DZ90" s="150"/>
      <c r="EA90" s="150"/>
      <c r="EB90" s="150"/>
      <c r="EC90" s="150"/>
      <c r="ED90" s="150"/>
      <c r="EE90" s="150"/>
      <c r="EF90" s="150"/>
      <c r="EG90" s="150"/>
      <c r="EH90" s="150"/>
      <c r="EI90" s="150"/>
      <c r="EJ90" s="150"/>
      <c r="EK90" s="150"/>
      <c r="EL90" s="150"/>
      <c r="EM90" s="150"/>
      <c r="EN90" s="150"/>
      <c r="EO90" s="150"/>
      <c r="EP90" s="150"/>
      <c r="EQ90" s="150"/>
      <c r="ER90" s="150"/>
      <c r="ES90" s="150"/>
      <c r="ET90" s="150"/>
      <c r="EU90" s="150"/>
      <c r="EV90" s="150"/>
      <c r="EW90" s="150"/>
      <c r="EX90" s="150"/>
      <c r="EY90" s="150"/>
      <c r="EZ90" s="150"/>
      <c r="FA90" s="150"/>
      <c r="FB90" s="150"/>
      <c r="FC90" s="150"/>
      <c r="FD90" s="150"/>
      <c r="FE90" s="150"/>
      <c r="FF90" s="150"/>
      <c r="FG90" s="150"/>
      <c r="FH90" s="150"/>
      <c r="FI90" s="150"/>
      <c r="FJ90" s="150"/>
      <c r="FK90" s="150"/>
      <c r="FL90" s="150"/>
      <c r="FM90" s="150"/>
      <c r="FN90" s="150"/>
      <c r="FO90" s="150"/>
      <c r="FP90" s="150"/>
      <c r="FQ90" s="150"/>
      <c r="FR90" s="150"/>
      <c r="FS90" s="150"/>
      <c r="FT90" s="150"/>
      <c r="FU90" s="150"/>
      <c r="FV90" s="150"/>
      <c r="FW90" s="150"/>
      <c r="FX90" s="150"/>
      <c r="FY90" s="150"/>
      <c r="FZ90" s="150"/>
      <c r="GA90" s="150"/>
      <c r="GB90" s="150"/>
      <c r="GC90" s="150"/>
      <c r="GD90" s="150"/>
      <c r="GE90" s="150"/>
      <c r="GF90" s="150"/>
      <c r="GG90" s="150"/>
      <c r="GH90" s="150"/>
      <c r="GI90" s="150"/>
      <c r="GJ90" s="150"/>
      <c r="GK90" s="150"/>
      <c r="GL90" s="150"/>
      <c r="GM90" s="150"/>
      <c r="GN90" s="150"/>
      <c r="GO90" s="150"/>
      <c r="GP90" s="150"/>
      <c r="GQ90" s="150"/>
      <c r="GR90" s="150"/>
      <c r="GS90" s="150"/>
      <c r="GT90" s="150"/>
      <c r="GU90" s="150"/>
      <c r="GV90" s="150"/>
      <c r="GW90" s="150"/>
      <c r="GX90" s="150"/>
      <c r="GY90" s="150"/>
      <c r="GZ90" s="150"/>
      <c r="HA90" s="150"/>
      <c r="HB90" s="150"/>
      <c r="HC90" s="150"/>
      <c r="HD90" s="150"/>
      <c r="HE90" s="150"/>
      <c r="HF90" s="150"/>
      <c r="HG90" s="150"/>
      <c r="HH90" s="150"/>
      <c r="HI90" s="150"/>
      <c r="HJ90" s="150"/>
      <c r="HK90" s="150"/>
      <c r="HL90" s="150"/>
      <c r="HM90" s="150"/>
      <c r="HN90" s="150"/>
      <c r="HO90" s="150"/>
      <c r="HP90" s="150"/>
      <c r="HQ90" s="150"/>
      <c r="HR90" s="150"/>
      <c r="HS90" s="150"/>
      <c r="HT90" s="150"/>
      <c r="HU90" s="150"/>
      <c r="HV90" s="150"/>
      <c r="HW90" s="150"/>
      <c r="HX90" s="150"/>
      <c r="HY90" s="150"/>
      <c r="HZ90" s="150"/>
      <c r="IA90" s="150"/>
      <c r="IB90" s="150"/>
      <c r="IC90" s="150"/>
      <c r="ID90" s="150"/>
      <c r="IE90" s="150"/>
      <c r="IF90" s="150"/>
      <c r="IG90" s="150"/>
      <c r="IH90" s="150"/>
      <c r="II90" s="150"/>
      <c r="IJ90" s="150"/>
      <c r="IK90" s="150"/>
      <c r="IL90" s="150"/>
      <c r="IM90" s="150"/>
      <c r="IN90" s="150"/>
      <c r="IO90" s="150"/>
      <c r="IP90" s="150"/>
      <c r="IQ90" s="150"/>
      <c r="IR90" s="150"/>
      <c r="IS90" s="150"/>
      <c r="IT90" s="150"/>
      <c r="IU90" s="150"/>
      <c r="IV90" s="150"/>
      <c r="IW90" s="150"/>
      <c r="IX90" s="150"/>
      <c r="IY90" s="150"/>
      <c r="IZ90" s="150"/>
      <c r="JA90" s="150"/>
      <c r="JB90" s="150"/>
      <c r="JC90" s="150"/>
      <c r="JD90" s="150"/>
      <c r="JE90" s="150"/>
      <c r="JF90" s="150"/>
      <c r="JG90" s="150"/>
      <c r="JH90" s="150"/>
      <c r="JI90" s="150"/>
      <c r="JJ90" s="150"/>
      <c r="JK90" s="150"/>
      <c r="JL90" s="150"/>
      <c r="JM90" s="150"/>
      <c r="JN90" s="150"/>
      <c r="JO90" s="150"/>
      <c r="JP90" s="150"/>
      <c r="JQ90" s="150"/>
      <c r="JR90" s="150"/>
      <c r="JS90" s="150"/>
      <c r="JT90" s="150"/>
      <c r="JU90" s="150"/>
      <c r="JV90" s="150"/>
      <c r="JW90" s="150"/>
      <c r="JX90" s="150"/>
      <c r="JY90" s="150"/>
      <c r="JZ90" s="150"/>
      <c r="KA90" s="150"/>
      <c r="KB90" s="150"/>
      <c r="KC90" s="150"/>
      <c r="KD90" s="150"/>
      <c r="KE90" s="150"/>
      <c r="KF90" s="150"/>
      <c r="KG90" s="150"/>
      <c r="KH90" s="150"/>
      <c r="KI90" s="150"/>
      <c r="KJ90" s="150"/>
      <c r="KK90" s="150"/>
      <c r="KL90" s="150"/>
      <c r="KM90" s="150"/>
      <c r="KN90" s="150"/>
      <c r="KO90" s="150"/>
      <c r="KP90" s="150"/>
      <c r="KQ90" s="150"/>
      <c r="KR90" s="150"/>
      <c r="KS90" s="150"/>
      <c r="KT90" s="150"/>
    </row>
    <row r="91" spans="2:307" s="157" customFormat="1" x14ac:dyDescent="0.15">
      <c r="B91" s="157" t="s">
        <v>343</v>
      </c>
      <c r="D91" s="225"/>
      <c r="F91" s="239">
        <f>SUM(F92:F95)</f>
        <v>-3.6481576441586484E-2</v>
      </c>
      <c r="G91" s="239">
        <f t="shared" ref="G91:BM91" si="18">SUM(G92:G95)</f>
        <v>-3.5193991390706961E-2</v>
      </c>
      <c r="H91" s="239">
        <f t="shared" si="18"/>
        <v>-3.3906406339827437E-2</v>
      </c>
      <c r="I91" s="239">
        <f t="shared" si="18"/>
        <v>-3.2618821288947913E-2</v>
      </c>
      <c r="J91" s="239">
        <f t="shared" si="18"/>
        <v>-3.133123623806839E-2</v>
      </c>
      <c r="K91" s="239">
        <f t="shared" si="18"/>
        <v>-3.0043651187188866E-2</v>
      </c>
      <c r="L91" s="239">
        <f t="shared" si="18"/>
        <v>-2.8756066136309343E-2</v>
      </c>
      <c r="M91" s="239">
        <f t="shared" si="18"/>
        <v>-2.7468481085429819E-2</v>
      </c>
      <c r="N91" s="239">
        <f t="shared" si="18"/>
        <v>-2.7468481085429819E-2</v>
      </c>
      <c r="O91" s="239">
        <f t="shared" si="18"/>
        <v>0</v>
      </c>
      <c r="P91" s="239">
        <f t="shared" si="18"/>
        <v>0</v>
      </c>
      <c r="Q91" s="239">
        <f t="shared" si="18"/>
        <v>0</v>
      </c>
      <c r="R91" s="239">
        <f t="shared" si="18"/>
        <v>0</v>
      </c>
      <c r="S91" s="239">
        <f t="shared" si="18"/>
        <v>0</v>
      </c>
      <c r="T91" s="239">
        <f t="shared" si="18"/>
        <v>0</v>
      </c>
      <c r="U91" s="239">
        <f t="shared" si="18"/>
        <v>0</v>
      </c>
      <c r="V91" s="239">
        <f t="shared" si="18"/>
        <v>0</v>
      </c>
      <c r="W91" s="239">
        <f t="shared" si="18"/>
        <v>0</v>
      </c>
      <c r="X91" s="239">
        <f t="shared" si="18"/>
        <v>0</v>
      </c>
      <c r="Y91" s="239">
        <f t="shared" si="18"/>
        <v>0</v>
      </c>
      <c r="Z91" s="239">
        <f t="shared" si="18"/>
        <v>0</v>
      </c>
      <c r="AA91" s="239">
        <f t="shared" si="18"/>
        <v>0</v>
      </c>
      <c r="AB91" s="239">
        <f t="shared" si="18"/>
        <v>0</v>
      </c>
      <c r="AC91" s="239">
        <f t="shared" si="18"/>
        <v>0</v>
      </c>
      <c r="AD91" s="239">
        <f t="shared" si="18"/>
        <v>0</v>
      </c>
      <c r="AE91" s="239">
        <f t="shared" si="18"/>
        <v>0</v>
      </c>
      <c r="AF91" s="239">
        <f t="shared" si="18"/>
        <v>0</v>
      </c>
      <c r="AG91" s="239">
        <f t="shared" si="18"/>
        <v>0</v>
      </c>
      <c r="AH91" s="239">
        <f t="shared" si="18"/>
        <v>0</v>
      </c>
      <c r="AI91" s="239">
        <f t="shared" si="18"/>
        <v>0</v>
      </c>
      <c r="AJ91" s="239">
        <f t="shared" si="18"/>
        <v>0</v>
      </c>
      <c r="AK91" s="239">
        <f t="shared" si="18"/>
        <v>0</v>
      </c>
      <c r="AL91" s="239">
        <f t="shared" si="18"/>
        <v>0</v>
      </c>
      <c r="AM91" s="239">
        <f t="shared" si="18"/>
        <v>0</v>
      </c>
      <c r="AN91" s="239">
        <f t="shared" si="18"/>
        <v>0</v>
      </c>
      <c r="AO91" s="239">
        <f t="shared" si="18"/>
        <v>0</v>
      </c>
      <c r="AP91" s="239">
        <f t="shared" si="18"/>
        <v>0</v>
      </c>
      <c r="AQ91" s="239">
        <f t="shared" si="18"/>
        <v>0</v>
      </c>
      <c r="AR91" s="239">
        <f t="shared" si="18"/>
        <v>0</v>
      </c>
      <c r="AS91" s="239">
        <f t="shared" si="18"/>
        <v>0</v>
      </c>
      <c r="AT91" s="239">
        <f t="shared" si="18"/>
        <v>0</v>
      </c>
      <c r="AU91" s="239">
        <f t="shared" si="18"/>
        <v>0</v>
      </c>
      <c r="AV91" s="239">
        <f t="shared" si="18"/>
        <v>0</v>
      </c>
      <c r="AW91" s="239">
        <f t="shared" si="18"/>
        <v>0</v>
      </c>
      <c r="AX91" s="239">
        <f t="shared" si="18"/>
        <v>0</v>
      </c>
      <c r="AY91" s="239">
        <f t="shared" si="18"/>
        <v>0</v>
      </c>
      <c r="AZ91" s="239">
        <f t="shared" si="18"/>
        <v>0</v>
      </c>
      <c r="BA91" s="239">
        <f t="shared" si="18"/>
        <v>0</v>
      </c>
      <c r="BB91" s="239">
        <f t="shared" si="18"/>
        <v>0</v>
      </c>
      <c r="BC91" s="239">
        <f t="shared" si="18"/>
        <v>0</v>
      </c>
      <c r="BD91" s="239">
        <f t="shared" si="18"/>
        <v>0</v>
      </c>
      <c r="BE91" s="239">
        <f t="shared" si="18"/>
        <v>0</v>
      </c>
      <c r="BF91" s="239">
        <f t="shared" si="18"/>
        <v>0</v>
      </c>
      <c r="BG91" s="239">
        <f t="shared" si="18"/>
        <v>0</v>
      </c>
      <c r="BH91" s="239">
        <f t="shared" si="18"/>
        <v>0</v>
      </c>
      <c r="BI91" s="239">
        <f t="shared" si="18"/>
        <v>0</v>
      </c>
      <c r="BJ91" s="239">
        <f t="shared" si="18"/>
        <v>0</v>
      </c>
      <c r="BK91" s="239">
        <f t="shared" si="18"/>
        <v>0</v>
      </c>
      <c r="BL91" s="239">
        <f t="shared" si="18"/>
        <v>0</v>
      </c>
      <c r="BM91" s="239">
        <f t="shared" si="18"/>
        <v>0</v>
      </c>
      <c r="BN91" s="239"/>
      <c r="BO91" s="239"/>
      <c r="BP91" s="239"/>
      <c r="BQ91" s="239"/>
      <c r="BR91" s="239"/>
      <c r="BS91" s="239"/>
      <c r="BT91" s="239"/>
      <c r="BU91" s="239"/>
      <c r="BV91" s="239"/>
      <c r="BW91" s="239"/>
      <c r="BX91" s="239"/>
      <c r="BY91" s="239"/>
      <c r="BZ91" s="239"/>
      <c r="CA91" s="239"/>
      <c r="CB91" s="239"/>
      <c r="CC91" s="239"/>
      <c r="CD91" s="239"/>
      <c r="CE91" s="239"/>
      <c r="CF91" s="239"/>
      <c r="CG91" s="239"/>
      <c r="CH91" s="239"/>
      <c r="CI91" s="239"/>
      <c r="CJ91" s="239"/>
      <c r="CK91" s="239"/>
      <c r="CL91" s="239"/>
      <c r="CM91" s="239"/>
      <c r="CN91" s="239"/>
      <c r="CO91" s="239"/>
      <c r="CP91" s="239"/>
      <c r="CQ91" s="239"/>
      <c r="CR91" s="239"/>
      <c r="CS91" s="239"/>
      <c r="CT91" s="239"/>
      <c r="CU91" s="239"/>
      <c r="CV91" s="239"/>
      <c r="CW91" s="239"/>
      <c r="CX91" s="239"/>
      <c r="CY91" s="239"/>
      <c r="CZ91" s="239"/>
      <c r="DA91" s="239"/>
      <c r="DB91" s="239"/>
      <c r="DC91" s="239"/>
      <c r="DD91" s="239"/>
      <c r="DE91" s="239"/>
      <c r="DF91" s="239"/>
      <c r="DG91" s="239"/>
      <c r="DH91" s="239"/>
      <c r="DI91" s="239"/>
      <c r="DJ91" s="239"/>
      <c r="DK91" s="239"/>
      <c r="DL91" s="239"/>
      <c r="DM91" s="239"/>
      <c r="DN91" s="239"/>
      <c r="DO91" s="239"/>
      <c r="DP91" s="239"/>
      <c r="DQ91" s="239"/>
      <c r="DR91" s="239"/>
      <c r="DS91" s="239"/>
      <c r="DT91" s="239"/>
      <c r="DU91" s="239"/>
      <c r="DV91" s="239"/>
      <c r="DW91" s="239"/>
      <c r="DX91" s="239"/>
      <c r="DY91" s="239"/>
      <c r="DZ91" s="239"/>
      <c r="EA91" s="239"/>
      <c r="EB91" s="239"/>
      <c r="EC91" s="239"/>
      <c r="ED91" s="239"/>
      <c r="EE91" s="239"/>
      <c r="EF91" s="239"/>
      <c r="EG91" s="239"/>
      <c r="EH91" s="239"/>
      <c r="EI91" s="239"/>
      <c r="EJ91" s="239"/>
      <c r="EK91" s="239"/>
      <c r="EL91" s="239"/>
      <c r="EM91" s="239"/>
      <c r="EN91" s="239"/>
      <c r="EO91" s="239"/>
      <c r="EP91" s="239"/>
      <c r="EQ91" s="239"/>
      <c r="ER91" s="239"/>
      <c r="ES91" s="239"/>
      <c r="ET91" s="239"/>
      <c r="EU91" s="239"/>
      <c r="EV91" s="239"/>
      <c r="EW91" s="239"/>
      <c r="EX91" s="239"/>
      <c r="EY91" s="239"/>
      <c r="EZ91" s="239"/>
      <c r="FA91" s="239"/>
      <c r="FB91" s="239"/>
      <c r="FC91" s="239"/>
      <c r="FD91" s="239"/>
      <c r="FE91" s="239"/>
      <c r="FF91" s="239"/>
      <c r="FG91" s="239"/>
      <c r="FH91" s="239"/>
      <c r="FI91" s="239"/>
      <c r="FJ91" s="239"/>
      <c r="FK91" s="239"/>
      <c r="FL91" s="239"/>
      <c r="FM91" s="239"/>
      <c r="FN91" s="239"/>
      <c r="FO91" s="239"/>
      <c r="FP91" s="239"/>
      <c r="FQ91" s="239"/>
      <c r="FR91" s="239"/>
      <c r="FS91" s="239"/>
      <c r="FT91" s="239"/>
      <c r="FU91" s="239"/>
      <c r="FV91" s="239"/>
      <c r="FW91" s="239"/>
      <c r="FX91" s="239"/>
      <c r="FY91" s="239"/>
      <c r="FZ91" s="239"/>
      <c r="GA91" s="239"/>
      <c r="GB91" s="239"/>
      <c r="GC91" s="239"/>
      <c r="GD91" s="239"/>
      <c r="GE91" s="239"/>
      <c r="GF91" s="239"/>
      <c r="GG91" s="239"/>
      <c r="GH91" s="239"/>
      <c r="GI91" s="239"/>
      <c r="GJ91" s="239"/>
      <c r="GK91" s="239"/>
      <c r="GL91" s="239"/>
      <c r="GM91" s="239"/>
      <c r="GN91" s="239"/>
      <c r="GO91" s="239"/>
      <c r="GP91" s="239"/>
      <c r="GQ91" s="239"/>
      <c r="GR91" s="239"/>
      <c r="GS91" s="239"/>
      <c r="GT91" s="239"/>
      <c r="GU91" s="239"/>
      <c r="GV91" s="239"/>
      <c r="GW91" s="239"/>
      <c r="GX91" s="239"/>
      <c r="GY91" s="239"/>
      <c r="GZ91" s="239"/>
      <c r="HA91" s="239"/>
      <c r="HB91" s="239"/>
      <c r="HC91" s="239"/>
      <c r="HD91" s="239"/>
      <c r="HE91" s="239"/>
      <c r="HF91" s="239"/>
      <c r="HG91" s="239"/>
      <c r="HH91" s="239"/>
      <c r="HI91" s="239"/>
      <c r="HJ91" s="239"/>
      <c r="HK91" s="239"/>
      <c r="HL91" s="239"/>
      <c r="HM91" s="239"/>
      <c r="HN91" s="239"/>
      <c r="HO91" s="239"/>
      <c r="HP91" s="239"/>
      <c r="HQ91" s="239"/>
      <c r="HR91" s="239"/>
      <c r="HS91" s="239"/>
      <c r="HT91" s="239"/>
      <c r="HU91" s="239"/>
      <c r="HV91" s="239"/>
      <c r="HW91" s="239"/>
      <c r="HX91" s="239"/>
      <c r="HY91" s="239"/>
      <c r="HZ91" s="239"/>
      <c r="IA91" s="239"/>
      <c r="IB91" s="239"/>
      <c r="IC91" s="239"/>
      <c r="ID91" s="239"/>
      <c r="IE91" s="239"/>
      <c r="IF91" s="239"/>
      <c r="IG91" s="239"/>
      <c r="IH91" s="239"/>
      <c r="II91" s="239"/>
      <c r="IJ91" s="239"/>
      <c r="IK91" s="239"/>
      <c r="IL91" s="239"/>
      <c r="IM91" s="239"/>
      <c r="IN91" s="239"/>
      <c r="IO91" s="239"/>
      <c r="IP91" s="239"/>
      <c r="IQ91" s="239"/>
      <c r="IR91" s="239"/>
      <c r="IS91" s="239"/>
      <c r="IT91" s="239"/>
      <c r="IU91" s="239"/>
      <c r="IV91" s="239"/>
      <c r="IW91" s="239"/>
      <c r="IX91" s="239"/>
      <c r="IY91" s="239"/>
      <c r="IZ91" s="239"/>
      <c r="JA91" s="239"/>
      <c r="JB91" s="239"/>
      <c r="JC91" s="239"/>
      <c r="JD91" s="239"/>
      <c r="JE91" s="239"/>
      <c r="JF91" s="239"/>
      <c r="JG91" s="239"/>
      <c r="JH91" s="239"/>
      <c r="JI91" s="239"/>
      <c r="JJ91" s="239"/>
      <c r="JK91" s="239"/>
      <c r="JL91" s="239"/>
      <c r="JM91" s="239"/>
      <c r="JN91" s="239"/>
      <c r="JO91" s="239"/>
      <c r="JP91" s="239"/>
      <c r="JQ91" s="239"/>
      <c r="JR91" s="239"/>
      <c r="JS91" s="239"/>
      <c r="JT91" s="239"/>
      <c r="JU91" s="239"/>
      <c r="JV91" s="239"/>
      <c r="JW91" s="239"/>
      <c r="JX91" s="239"/>
      <c r="JY91" s="239"/>
      <c r="JZ91" s="239"/>
      <c r="KA91" s="239"/>
      <c r="KB91" s="239"/>
      <c r="KC91" s="239"/>
      <c r="KD91" s="239"/>
      <c r="KE91" s="239"/>
      <c r="KF91" s="239"/>
      <c r="KG91" s="239"/>
      <c r="KH91" s="239"/>
      <c r="KI91" s="239"/>
      <c r="KJ91" s="239"/>
      <c r="KK91" s="239"/>
      <c r="KL91" s="239"/>
      <c r="KM91" s="239"/>
      <c r="KN91" s="239"/>
      <c r="KO91" s="239"/>
      <c r="KP91" s="239"/>
      <c r="KQ91" s="239"/>
      <c r="KR91" s="239"/>
      <c r="KS91" s="239"/>
      <c r="KT91" s="239"/>
      <c r="KU91" s="92"/>
    </row>
    <row r="92" spans="2:307" x14ac:dyDescent="0.15">
      <c r="C92" s="92" t="s">
        <v>117</v>
      </c>
      <c r="F92" s="148">
        <f>-IF(F$4&gt;Leadsheet!$E$13,0,Leadsheet!$E76*SAP_Speadsheet!F$81*F$16)</f>
        <v>-6.4543771114007002E-3</v>
      </c>
      <c r="G92" s="148">
        <f>-IF(G$4&gt;Leadsheet!$E$13,0,Leadsheet!$E76*SAP_Speadsheet!G$81*G$16)</f>
        <v>-6.2265755662924407E-3</v>
      </c>
      <c r="H92" s="148">
        <f>-IF(H$4&gt;Leadsheet!$E$13,0,Leadsheet!$E76*SAP_Speadsheet!H$81*H$16)</f>
        <v>-5.9987740211841804E-3</v>
      </c>
      <c r="I92" s="148">
        <f>-IF(I$4&gt;Leadsheet!$E$13,0,Leadsheet!$E76*SAP_Speadsheet!I$81*I$16)</f>
        <v>-5.7709724760759201E-3</v>
      </c>
      <c r="J92" s="148">
        <f>-IF(J$4&gt;Leadsheet!$E$13,0,Leadsheet!$E76*SAP_Speadsheet!J$81*J$16)</f>
        <v>-5.5431709309676598E-3</v>
      </c>
      <c r="K92" s="148">
        <f>-IF(K$4&gt;Leadsheet!$E$13,0,Leadsheet!$E76*SAP_Speadsheet!K$81*K$16)</f>
        <v>-5.3153693858593995E-3</v>
      </c>
      <c r="L92" s="148">
        <f>-IF(L$4&gt;Leadsheet!$E$13,0,Leadsheet!$E76*SAP_Speadsheet!L$81*L$16)</f>
        <v>-5.0875678407511392E-3</v>
      </c>
      <c r="M92" s="148">
        <f>-IF(M$4&gt;Leadsheet!$E$13,0,Leadsheet!$E76*SAP_Speadsheet!M$81*M$16)</f>
        <v>-4.8597662956428788E-3</v>
      </c>
      <c r="N92" s="148">
        <f>-IF(N$4&gt;Leadsheet!$E$13,0,Leadsheet!$E76*SAP_Speadsheet!N$81*N$16)</f>
        <v>-4.8597662956428788E-3</v>
      </c>
      <c r="O92" s="148">
        <f>-IF(O$4&gt;Leadsheet!$E$13,0,Leadsheet!$E76*SAP_Speadsheet!O$81*O$16)</f>
        <v>0</v>
      </c>
      <c r="P92" s="148">
        <f>-IF(P$4&gt;Leadsheet!$E$13,0,Leadsheet!$E76*SAP_Speadsheet!P$81*P$16)</f>
        <v>0</v>
      </c>
      <c r="Q92" s="148">
        <f>-IF(Q$4&gt;Leadsheet!$E$13,0,Leadsheet!$E76*SAP_Speadsheet!Q$81*Q$16)</f>
        <v>0</v>
      </c>
      <c r="R92" s="148">
        <f>-IF(R$4&gt;Leadsheet!$E$13,0,Leadsheet!$E76*SAP_Speadsheet!R$81*R$16)</f>
        <v>0</v>
      </c>
      <c r="S92" s="148">
        <f>-IF(S$4&gt;Leadsheet!$E$13,0,Leadsheet!$E76*SAP_Speadsheet!S$81*S$16)</f>
        <v>0</v>
      </c>
      <c r="T92" s="148">
        <f>-IF(T$4&gt;Leadsheet!$E$13,0,Leadsheet!$E76*SAP_Speadsheet!T$81*T$16)</f>
        <v>0</v>
      </c>
      <c r="U92" s="148">
        <f>-IF(U$4&gt;Leadsheet!$E$13,0,Leadsheet!$E76*SAP_Speadsheet!U$81*U$16)</f>
        <v>0</v>
      </c>
      <c r="V92" s="148">
        <f>-IF(V$4&gt;Leadsheet!$E$13,0,Leadsheet!$E76*SAP_Speadsheet!V$81*V$16)</f>
        <v>0</v>
      </c>
      <c r="W92" s="148">
        <f>-IF(W$4&gt;Leadsheet!$E$13,0,Leadsheet!$E76*SAP_Speadsheet!W$81*W$16)</f>
        <v>0</v>
      </c>
      <c r="X92" s="148">
        <f>-IF(X$4&gt;Leadsheet!$E$13,0,Leadsheet!$E76*SAP_Speadsheet!X$81*X$16)</f>
        <v>0</v>
      </c>
      <c r="Y92" s="148">
        <f>-IF(Y$4&gt;Leadsheet!$E$13,0,Leadsheet!$E76*SAP_Speadsheet!Y$81*Y$16)</f>
        <v>0</v>
      </c>
      <c r="Z92" s="148">
        <f>-IF(Z$4&gt;Leadsheet!$E$13,0,Leadsheet!$E76*SAP_Speadsheet!Z$81*Z$16)</f>
        <v>0</v>
      </c>
      <c r="AA92" s="148">
        <f>-IF(AA$4&gt;Leadsheet!$E$13,0,Leadsheet!$E76*SAP_Speadsheet!AA$81*AA$16)</f>
        <v>0</v>
      </c>
      <c r="AB92" s="148">
        <f>-IF(AB$4&gt;Leadsheet!$E$13,0,Leadsheet!$E76*SAP_Speadsheet!AB$81*AB$16)</f>
        <v>0</v>
      </c>
      <c r="AC92" s="148">
        <f>-IF(AC$4&gt;Leadsheet!$E$13,0,Leadsheet!$E76*SAP_Speadsheet!AC$81*AC$16)</f>
        <v>0</v>
      </c>
      <c r="AD92" s="148">
        <f>-IF(AD$4&gt;Leadsheet!$E$13,0,Leadsheet!$E76*SAP_Speadsheet!AD$81*AD$16)</f>
        <v>0</v>
      </c>
      <c r="AE92" s="148">
        <f>-IF(AE$4&gt;Leadsheet!$E$13,0,Leadsheet!$E76*SAP_Speadsheet!AE$81*AE$16)</f>
        <v>0</v>
      </c>
      <c r="AF92" s="148">
        <f>-IF(AF$4&gt;Leadsheet!$E$13,0,Leadsheet!$E76*SAP_Speadsheet!AF$81*AF$16)</f>
        <v>0</v>
      </c>
      <c r="AG92" s="148">
        <f>-IF(AG$4&gt;Leadsheet!$E$13,0,Leadsheet!$E76*SAP_Speadsheet!AG$81*AG$16)</f>
        <v>0</v>
      </c>
      <c r="AH92" s="148">
        <f>-IF(AH$4&gt;Leadsheet!$E$13,0,Leadsheet!$E76*SAP_Speadsheet!AH$81*AH$16)</f>
        <v>0</v>
      </c>
      <c r="AI92" s="148">
        <f>-IF(AI$4&gt;Leadsheet!$E$13,0,Leadsheet!$E76*SAP_Speadsheet!AI$81*AI$16)</f>
        <v>0</v>
      </c>
      <c r="AJ92" s="148">
        <f>-IF(AJ$4&gt;Leadsheet!$E$13,0,Leadsheet!$E76*SAP_Speadsheet!AJ$81*AJ$16)</f>
        <v>0</v>
      </c>
      <c r="AK92" s="148">
        <f>-IF(AK$4&gt;Leadsheet!$E$13,0,Leadsheet!$E76*SAP_Speadsheet!AK$81*AK$16)</f>
        <v>0</v>
      </c>
      <c r="AL92" s="148">
        <f>-IF(AL$4&gt;Leadsheet!$E$13,0,Leadsheet!$E76*SAP_Speadsheet!AL$81*AL$16)</f>
        <v>0</v>
      </c>
      <c r="AM92" s="148">
        <f>-IF(AM$4&gt;Leadsheet!$E$13,0,Leadsheet!$E76*SAP_Speadsheet!AM$81*AM$16)</f>
        <v>0</v>
      </c>
      <c r="AN92" s="148">
        <f>-IF(AN$4&gt;Leadsheet!$E$13,0,Leadsheet!$E76*SAP_Speadsheet!AN$81*AN$16)</f>
        <v>0</v>
      </c>
      <c r="AO92" s="148">
        <f>-IF(AO$4&gt;Leadsheet!$E$13,0,Leadsheet!$E76*SAP_Speadsheet!AO$81*AO$16)</f>
        <v>0</v>
      </c>
      <c r="AP92" s="148">
        <f>-IF(AP$4&gt;Leadsheet!$E$13,0,Leadsheet!$E76*SAP_Speadsheet!AP$81*AP$16)</f>
        <v>0</v>
      </c>
      <c r="AQ92" s="148">
        <f>-IF(AQ$4&gt;Leadsheet!$E$13,0,Leadsheet!$E76*SAP_Speadsheet!AQ$81*AQ$16)</f>
        <v>0</v>
      </c>
      <c r="AR92" s="148">
        <f>-IF(AR$4&gt;Leadsheet!$E$13,0,Leadsheet!$E76*SAP_Speadsheet!AR$81*AR$16)</f>
        <v>0</v>
      </c>
      <c r="AS92" s="148">
        <f>-IF(AS$4&gt;Leadsheet!$E$13,0,Leadsheet!$E76*SAP_Speadsheet!AS$81*AS$16)</f>
        <v>0</v>
      </c>
      <c r="AT92" s="148">
        <f>-IF(AT$4&gt;Leadsheet!$E$13,0,Leadsheet!$E76*SAP_Speadsheet!AT$81*AT$16)</f>
        <v>0</v>
      </c>
      <c r="AU92" s="148">
        <f>-IF(AU$4&gt;Leadsheet!$E$13,0,Leadsheet!$E76*SAP_Speadsheet!AU$81*AU$16)</f>
        <v>0</v>
      </c>
      <c r="AV92" s="148">
        <f>-IF(AV$4&gt;Leadsheet!$E$13,0,Leadsheet!$E76*SAP_Speadsheet!AV$81*AV$16)</f>
        <v>0</v>
      </c>
      <c r="AW92" s="148">
        <f>-IF(AW$4&gt;Leadsheet!$E$13,0,Leadsheet!$E76*SAP_Speadsheet!AW$81*AW$16)</f>
        <v>0</v>
      </c>
      <c r="AX92" s="148">
        <f>-IF(AX$4&gt;Leadsheet!$E$13,0,Leadsheet!$E76*SAP_Speadsheet!AX$81*AX$16)</f>
        <v>0</v>
      </c>
      <c r="AY92" s="148">
        <f>-IF(AY$4&gt;Leadsheet!$E$13,0,Leadsheet!$E76*SAP_Speadsheet!AY$81*AY$16)</f>
        <v>0</v>
      </c>
      <c r="AZ92" s="148">
        <f>-IF(AZ$4&gt;Leadsheet!$E$13,0,Leadsheet!$E76*SAP_Speadsheet!AZ$81*AZ$16)</f>
        <v>0</v>
      </c>
      <c r="BA92" s="148">
        <f>-IF(BA$4&gt;Leadsheet!$E$13,0,Leadsheet!$E76*SAP_Speadsheet!BA$81*BA$16)</f>
        <v>0</v>
      </c>
      <c r="BB92" s="148">
        <f>-IF(BB$4&gt;Leadsheet!$E$13,0,Leadsheet!$E76*SAP_Speadsheet!BB$81*BB$16)</f>
        <v>0</v>
      </c>
      <c r="BC92" s="148">
        <f>-IF(BC$4&gt;Leadsheet!$E$13,0,Leadsheet!$E76*SAP_Speadsheet!BC$81*BC$16)</f>
        <v>0</v>
      </c>
      <c r="BD92" s="148">
        <f>-IF(BD$4&gt;Leadsheet!$E$13,0,Leadsheet!$E76*SAP_Speadsheet!BD$81*BD$16)</f>
        <v>0</v>
      </c>
      <c r="BE92" s="148">
        <f>-IF(BE$4&gt;Leadsheet!$E$13,0,Leadsheet!$E76*SAP_Speadsheet!BE$81*BE$16)</f>
        <v>0</v>
      </c>
      <c r="BF92" s="148">
        <f>-IF(BF$4&gt;Leadsheet!$E$13,0,Leadsheet!$E76*SAP_Speadsheet!BF$81*BF$16)</f>
        <v>0</v>
      </c>
      <c r="BG92" s="148">
        <f>-IF(BG$4&gt;Leadsheet!$E$13,0,Leadsheet!$E76*SAP_Speadsheet!BG$81*BG$16)</f>
        <v>0</v>
      </c>
      <c r="BH92" s="148">
        <f>-IF(BH$4&gt;Leadsheet!$E$13,0,Leadsheet!$E76*SAP_Speadsheet!BH$81*BH$16)</f>
        <v>0</v>
      </c>
      <c r="BI92" s="148">
        <f>-IF(BI$4&gt;Leadsheet!$E$13,0,Leadsheet!$E76*SAP_Speadsheet!BI$81*BI$16)</f>
        <v>0</v>
      </c>
      <c r="BJ92" s="148">
        <f>-IF(BJ$4&gt;Leadsheet!$E$13,0,Leadsheet!$E76*SAP_Speadsheet!BJ$81*BJ$16)</f>
        <v>0</v>
      </c>
      <c r="BK92" s="148">
        <f>-IF(BK$4&gt;Leadsheet!$E$13,0,Leadsheet!$E76*SAP_Speadsheet!BK$81*BK$16)</f>
        <v>0</v>
      </c>
      <c r="BL92" s="148">
        <f>-IF(BL$4&gt;Leadsheet!$E$13,0,Leadsheet!$E76*SAP_Speadsheet!BL$81*BL$16)</f>
        <v>0</v>
      </c>
      <c r="BM92" s="148">
        <f>-IF(BM$4&gt;Leadsheet!$E$13,0,Leadsheet!$E76*SAP_Speadsheet!BM$81*BM$16)</f>
        <v>0</v>
      </c>
      <c r="BN92" s="148"/>
      <c r="BO92" s="148"/>
      <c r="BP92" s="148"/>
      <c r="BQ92" s="148"/>
      <c r="BR92" s="148"/>
      <c r="BS92" s="148"/>
      <c r="BT92" s="148"/>
      <c r="BU92" s="148"/>
      <c r="BV92" s="148"/>
      <c r="BW92" s="148"/>
      <c r="BX92" s="148"/>
      <c r="BY92" s="148"/>
      <c r="BZ92" s="148"/>
      <c r="CA92" s="148"/>
      <c r="CB92" s="148"/>
      <c r="CC92" s="148"/>
      <c r="CD92" s="148"/>
      <c r="CE92" s="148"/>
      <c r="CF92" s="148"/>
      <c r="CG92" s="148"/>
      <c r="CH92" s="148"/>
      <c r="CI92" s="148"/>
      <c r="CJ92" s="148"/>
      <c r="CK92" s="148"/>
      <c r="CL92" s="148"/>
      <c r="CM92" s="148"/>
      <c r="CN92" s="148"/>
      <c r="CO92" s="148"/>
      <c r="CP92" s="148"/>
      <c r="CQ92" s="148"/>
      <c r="CR92" s="148"/>
      <c r="CS92" s="148"/>
      <c r="CT92" s="148"/>
      <c r="CU92" s="148"/>
      <c r="CV92" s="148"/>
      <c r="CW92" s="148"/>
      <c r="CX92" s="148"/>
      <c r="CY92" s="148"/>
      <c r="CZ92" s="148"/>
      <c r="DA92" s="148"/>
      <c r="DB92" s="148"/>
      <c r="DC92" s="148"/>
      <c r="DD92" s="148"/>
      <c r="DE92" s="148"/>
      <c r="DF92" s="148"/>
      <c r="DG92" s="148"/>
      <c r="DH92" s="148"/>
      <c r="DI92" s="148"/>
      <c r="DJ92" s="148"/>
      <c r="DK92" s="148"/>
      <c r="DL92" s="148"/>
      <c r="DM92" s="148"/>
      <c r="DN92" s="148"/>
      <c r="DO92" s="148"/>
      <c r="DP92" s="148"/>
      <c r="DQ92" s="148"/>
      <c r="DR92" s="148"/>
      <c r="DS92" s="148"/>
      <c r="DT92" s="148"/>
      <c r="DU92" s="148"/>
      <c r="DV92" s="148"/>
      <c r="DW92" s="148"/>
      <c r="DX92" s="148"/>
      <c r="DY92" s="148"/>
      <c r="DZ92" s="148"/>
      <c r="EA92" s="148"/>
      <c r="EB92" s="148"/>
      <c r="EC92" s="148"/>
      <c r="ED92" s="148"/>
      <c r="EE92" s="148"/>
      <c r="EF92" s="148"/>
      <c r="EG92" s="148"/>
      <c r="EH92" s="148"/>
      <c r="EI92" s="148"/>
      <c r="EJ92" s="148"/>
      <c r="EK92" s="148"/>
      <c r="EL92" s="148"/>
      <c r="EM92" s="148"/>
      <c r="EN92" s="148"/>
      <c r="EO92" s="148"/>
      <c r="EP92" s="148"/>
      <c r="EQ92" s="148"/>
      <c r="ER92" s="148"/>
      <c r="ES92" s="148"/>
      <c r="ET92" s="148"/>
      <c r="EU92" s="148"/>
      <c r="EV92" s="148"/>
      <c r="EW92" s="148"/>
      <c r="EX92" s="148"/>
      <c r="EY92" s="148"/>
      <c r="EZ92" s="148"/>
      <c r="FA92" s="148"/>
      <c r="FB92" s="148"/>
      <c r="FC92" s="148"/>
      <c r="FD92" s="148"/>
      <c r="FE92" s="148"/>
      <c r="FF92" s="148"/>
      <c r="FG92" s="148"/>
      <c r="FH92" s="148"/>
      <c r="FI92" s="148"/>
      <c r="FJ92" s="148"/>
      <c r="FK92" s="148"/>
      <c r="FL92" s="148"/>
      <c r="FM92" s="148"/>
      <c r="FN92" s="148"/>
      <c r="FO92" s="148"/>
      <c r="FP92" s="148"/>
      <c r="FQ92" s="148"/>
      <c r="FR92" s="148"/>
      <c r="FS92" s="148"/>
      <c r="FT92" s="148"/>
      <c r="FU92" s="148"/>
      <c r="FV92" s="148"/>
      <c r="FW92" s="148"/>
      <c r="FX92" s="148"/>
      <c r="FY92" s="148"/>
      <c r="FZ92" s="148"/>
      <c r="GA92" s="148"/>
      <c r="GB92" s="148"/>
      <c r="GC92" s="148"/>
      <c r="GD92" s="148"/>
      <c r="GE92" s="148"/>
      <c r="GF92" s="148"/>
      <c r="GG92" s="148"/>
      <c r="GH92" s="148"/>
      <c r="GI92" s="148"/>
      <c r="GJ92" s="148"/>
      <c r="GK92" s="148"/>
      <c r="GL92" s="148"/>
      <c r="GM92" s="148"/>
      <c r="GN92" s="148"/>
      <c r="GO92" s="148"/>
      <c r="GP92" s="148"/>
      <c r="GQ92" s="148"/>
      <c r="GR92" s="148"/>
      <c r="GS92" s="148"/>
      <c r="GT92" s="148"/>
      <c r="GU92" s="148"/>
      <c r="GV92" s="148"/>
      <c r="GW92" s="148"/>
      <c r="GX92" s="148"/>
      <c r="GY92" s="148"/>
      <c r="GZ92" s="148"/>
      <c r="HA92" s="148"/>
      <c r="HB92" s="148"/>
      <c r="HC92" s="148"/>
      <c r="HD92" s="148"/>
      <c r="HE92" s="148"/>
      <c r="HF92" s="148"/>
      <c r="HG92" s="148"/>
      <c r="HH92" s="148"/>
      <c r="HI92" s="148"/>
      <c r="HJ92" s="148"/>
      <c r="HK92" s="148"/>
      <c r="HL92" s="148"/>
      <c r="HM92" s="148"/>
      <c r="HN92" s="148"/>
      <c r="HO92" s="148"/>
      <c r="HP92" s="148"/>
      <c r="HQ92" s="148"/>
      <c r="HR92" s="148"/>
      <c r="HS92" s="148"/>
      <c r="HT92" s="148"/>
      <c r="HU92" s="148"/>
      <c r="HV92" s="148"/>
      <c r="HW92" s="148"/>
      <c r="HX92" s="148"/>
      <c r="HY92" s="148"/>
      <c r="HZ92" s="148"/>
      <c r="IA92" s="148"/>
      <c r="IB92" s="148"/>
      <c r="IC92" s="148"/>
      <c r="ID92" s="148"/>
      <c r="IE92" s="148"/>
      <c r="IF92" s="148"/>
      <c r="IG92" s="148"/>
      <c r="IH92" s="148"/>
      <c r="II92" s="148"/>
      <c r="IJ92" s="148"/>
      <c r="IK92" s="148"/>
      <c r="IL92" s="148"/>
      <c r="IM92" s="148"/>
      <c r="IN92" s="148"/>
      <c r="IO92" s="148"/>
      <c r="IP92" s="148"/>
      <c r="IQ92" s="148"/>
      <c r="IR92" s="148"/>
      <c r="IS92" s="148"/>
      <c r="IT92" s="148"/>
      <c r="IU92" s="148"/>
      <c r="IV92" s="148"/>
      <c r="IW92" s="148"/>
      <c r="IX92" s="148"/>
      <c r="IY92" s="148"/>
      <c r="IZ92" s="148"/>
      <c r="JA92" s="148"/>
      <c r="JB92" s="148"/>
      <c r="JC92" s="148"/>
      <c r="JD92" s="148"/>
      <c r="JE92" s="148"/>
      <c r="JF92" s="148"/>
      <c r="JG92" s="148"/>
      <c r="JH92" s="148"/>
      <c r="JI92" s="148"/>
      <c r="JJ92" s="148"/>
      <c r="JK92" s="148"/>
      <c r="JL92" s="148"/>
      <c r="JM92" s="148"/>
      <c r="JN92" s="148"/>
      <c r="JO92" s="148"/>
      <c r="JP92" s="148"/>
      <c r="JQ92" s="148"/>
      <c r="JR92" s="148"/>
      <c r="JS92" s="148"/>
      <c r="JT92" s="148"/>
      <c r="JU92" s="148"/>
      <c r="JV92" s="148"/>
      <c r="JW92" s="148"/>
      <c r="JX92" s="148"/>
      <c r="JY92" s="148"/>
      <c r="JZ92" s="148"/>
      <c r="KA92" s="148"/>
      <c r="KB92" s="148"/>
      <c r="KC92" s="148"/>
      <c r="KD92" s="148"/>
      <c r="KE92" s="148"/>
      <c r="KF92" s="148"/>
      <c r="KG92" s="148"/>
      <c r="KH92" s="148"/>
      <c r="KI92" s="148"/>
      <c r="KJ92" s="148"/>
      <c r="KK92" s="148"/>
      <c r="KL92" s="148"/>
      <c r="KM92" s="148"/>
      <c r="KN92" s="148"/>
      <c r="KO92" s="148"/>
      <c r="KP92" s="148"/>
      <c r="KQ92" s="148"/>
      <c r="KR92" s="148"/>
      <c r="KS92" s="148"/>
      <c r="KT92" s="148"/>
    </row>
    <row r="93" spans="2:307" x14ac:dyDescent="0.15">
      <c r="C93" s="92" t="s">
        <v>119</v>
      </c>
      <c r="F93" s="148">
        <f>-IF(F$4&gt;Leadsheet!$E$13,0,Leadsheet!$E77*SAP_Speadsheet!F$81*F$16)</f>
        <v>-1.5327635797777696E-2</v>
      </c>
      <c r="G93" s="148">
        <f>-IF(G$4&gt;Leadsheet!$E$13,0,Leadsheet!$E77*SAP_Speadsheet!G$81*G$16)</f>
        <v>-1.478666041667966E-2</v>
      </c>
      <c r="H93" s="148">
        <f>-IF(H$4&gt;Leadsheet!$E$13,0,Leadsheet!$E77*SAP_Speadsheet!H$81*H$16)</f>
        <v>-1.4245685035581622E-2</v>
      </c>
      <c r="I93" s="148">
        <f>-IF(I$4&gt;Leadsheet!$E$13,0,Leadsheet!$E77*SAP_Speadsheet!I$81*I$16)</f>
        <v>-1.3704709654483586E-2</v>
      </c>
      <c r="J93" s="148">
        <f>-IF(J$4&gt;Leadsheet!$E$13,0,Leadsheet!$E77*SAP_Speadsheet!J$81*J$16)</f>
        <v>-1.3163734273385548E-2</v>
      </c>
      <c r="K93" s="148">
        <f>-IF(K$4&gt;Leadsheet!$E$13,0,Leadsheet!$E77*SAP_Speadsheet!K$81*K$16)</f>
        <v>-1.2622758892287513E-2</v>
      </c>
      <c r="L93" s="148">
        <f>-IF(L$4&gt;Leadsheet!$E$13,0,Leadsheet!$E77*SAP_Speadsheet!L$81*L$16)</f>
        <v>-1.2081783511189475E-2</v>
      </c>
      <c r="M93" s="148">
        <f>-IF(M$4&gt;Leadsheet!$E$13,0,Leadsheet!$E77*SAP_Speadsheet!M$81*M$16)</f>
        <v>-1.1540808130091439E-2</v>
      </c>
      <c r="N93" s="148">
        <f>-IF(N$4&gt;Leadsheet!$E$13,0,Leadsheet!$E77*SAP_Speadsheet!N$81*N$16)</f>
        <v>-1.1540808130091439E-2</v>
      </c>
      <c r="O93" s="148">
        <f>-IF(O$4&gt;Leadsheet!$E$13,0,Leadsheet!$E77*SAP_Speadsheet!O$81*O$16)</f>
        <v>0</v>
      </c>
      <c r="P93" s="148">
        <f>-IF(P$4&gt;Leadsheet!$E$13,0,Leadsheet!$E77*SAP_Speadsheet!P$81*P$16)</f>
        <v>0</v>
      </c>
      <c r="Q93" s="148">
        <f>-IF(Q$4&gt;Leadsheet!$E$13,0,Leadsheet!$E77*SAP_Speadsheet!Q$81*Q$16)</f>
        <v>0</v>
      </c>
      <c r="R93" s="148">
        <f>-IF(R$4&gt;Leadsheet!$E$13,0,Leadsheet!$E77*SAP_Speadsheet!R$81*R$16)</f>
        <v>0</v>
      </c>
      <c r="S93" s="148">
        <f>-IF(S$4&gt;Leadsheet!$E$13,0,Leadsheet!$E77*SAP_Speadsheet!S$81*S$16)</f>
        <v>0</v>
      </c>
      <c r="T93" s="148">
        <f>-IF(T$4&gt;Leadsheet!$E$13,0,Leadsheet!$E77*SAP_Speadsheet!T$81*T$16)</f>
        <v>0</v>
      </c>
      <c r="U93" s="148">
        <f>-IF(U$4&gt;Leadsheet!$E$13,0,Leadsheet!$E77*SAP_Speadsheet!U$81*U$16)</f>
        <v>0</v>
      </c>
      <c r="V93" s="148">
        <f>-IF(V$4&gt;Leadsheet!$E$13,0,Leadsheet!$E77*SAP_Speadsheet!V$81*V$16)</f>
        <v>0</v>
      </c>
      <c r="W93" s="148">
        <f>-IF(W$4&gt;Leadsheet!$E$13,0,Leadsheet!$E77*SAP_Speadsheet!W$81*W$16)</f>
        <v>0</v>
      </c>
      <c r="X93" s="148">
        <f>-IF(X$4&gt;Leadsheet!$E$13,0,Leadsheet!$E77*SAP_Speadsheet!X$81*X$16)</f>
        <v>0</v>
      </c>
      <c r="Y93" s="148">
        <f>-IF(Y$4&gt;Leadsheet!$E$13,0,Leadsheet!$E77*SAP_Speadsheet!Y$81*Y$16)</f>
        <v>0</v>
      </c>
      <c r="Z93" s="148">
        <f>-IF(Z$4&gt;Leadsheet!$E$13,0,Leadsheet!$E77*SAP_Speadsheet!Z$81*Z$16)</f>
        <v>0</v>
      </c>
      <c r="AA93" s="148">
        <f>-IF(AA$4&gt;Leadsheet!$E$13,0,Leadsheet!$E77*SAP_Speadsheet!AA$81*AA$16)</f>
        <v>0</v>
      </c>
      <c r="AB93" s="148">
        <f>-IF(AB$4&gt;Leadsheet!$E$13,0,Leadsheet!$E77*SAP_Speadsheet!AB$81*AB$16)</f>
        <v>0</v>
      </c>
      <c r="AC93" s="148">
        <f>-IF(AC$4&gt;Leadsheet!$E$13,0,Leadsheet!$E77*SAP_Speadsheet!AC$81*AC$16)</f>
        <v>0</v>
      </c>
      <c r="AD93" s="148">
        <f>-IF(AD$4&gt;Leadsheet!$E$13,0,Leadsheet!$E77*SAP_Speadsheet!AD$81*AD$16)</f>
        <v>0</v>
      </c>
      <c r="AE93" s="148">
        <f>-IF(AE$4&gt;Leadsheet!$E$13,0,Leadsheet!$E77*SAP_Speadsheet!AE$81*AE$16)</f>
        <v>0</v>
      </c>
      <c r="AF93" s="148">
        <f>-IF(AF$4&gt;Leadsheet!$E$13,0,Leadsheet!$E77*SAP_Speadsheet!AF$81*AF$16)</f>
        <v>0</v>
      </c>
      <c r="AG93" s="148">
        <f>-IF(AG$4&gt;Leadsheet!$E$13,0,Leadsheet!$E77*SAP_Speadsheet!AG$81*AG$16)</f>
        <v>0</v>
      </c>
      <c r="AH93" s="148">
        <f>-IF(AH$4&gt;Leadsheet!$E$13,0,Leadsheet!$E77*SAP_Speadsheet!AH$81*AH$16)</f>
        <v>0</v>
      </c>
      <c r="AI93" s="148">
        <f>-IF(AI$4&gt;Leadsheet!$E$13,0,Leadsheet!$E77*SAP_Speadsheet!AI$81*AI$16)</f>
        <v>0</v>
      </c>
      <c r="AJ93" s="148">
        <f>-IF(AJ$4&gt;Leadsheet!$E$13,0,Leadsheet!$E77*SAP_Speadsheet!AJ$81*AJ$16)</f>
        <v>0</v>
      </c>
      <c r="AK93" s="148">
        <f>-IF(AK$4&gt;Leadsheet!$E$13,0,Leadsheet!$E77*SAP_Speadsheet!AK$81*AK$16)</f>
        <v>0</v>
      </c>
      <c r="AL93" s="148">
        <f>-IF(AL$4&gt;Leadsheet!$E$13,0,Leadsheet!$E77*SAP_Speadsheet!AL$81*AL$16)</f>
        <v>0</v>
      </c>
      <c r="AM93" s="148">
        <f>-IF(AM$4&gt;Leadsheet!$E$13,0,Leadsheet!$E77*SAP_Speadsheet!AM$81*AM$16)</f>
        <v>0</v>
      </c>
      <c r="AN93" s="148">
        <f>-IF(AN$4&gt;Leadsheet!$E$13,0,Leadsheet!$E77*SAP_Speadsheet!AN$81*AN$16)</f>
        <v>0</v>
      </c>
      <c r="AO93" s="148">
        <f>-IF(AO$4&gt;Leadsheet!$E$13,0,Leadsheet!$E77*SAP_Speadsheet!AO$81*AO$16)</f>
        <v>0</v>
      </c>
      <c r="AP93" s="148">
        <f>-IF(AP$4&gt;Leadsheet!$E$13,0,Leadsheet!$E77*SAP_Speadsheet!AP$81*AP$16)</f>
        <v>0</v>
      </c>
      <c r="AQ93" s="148">
        <f>-IF(AQ$4&gt;Leadsheet!$E$13,0,Leadsheet!$E77*SAP_Speadsheet!AQ$81*AQ$16)</f>
        <v>0</v>
      </c>
      <c r="AR93" s="148">
        <f>-IF(AR$4&gt;Leadsheet!$E$13,0,Leadsheet!$E77*SAP_Speadsheet!AR$81*AR$16)</f>
        <v>0</v>
      </c>
      <c r="AS93" s="148">
        <f>-IF(AS$4&gt;Leadsheet!$E$13,0,Leadsheet!$E77*SAP_Speadsheet!AS$81*AS$16)</f>
        <v>0</v>
      </c>
      <c r="AT93" s="148">
        <f>-IF(AT$4&gt;Leadsheet!$E$13,0,Leadsheet!$E77*SAP_Speadsheet!AT$81*AT$16)</f>
        <v>0</v>
      </c>
      <c r="AU93" s="148">
        <f>-IF(AU$4&gt;Leadsheet!$E$13,0,Leadsheet!$E77*SAP_Speadsheet!AU$81*AU$16)</f>
        <v>0</v>
      </c>
      <c r="AV93" s="148">
        <f>-IF(AV$4&gt;Leadsheet!$E$13,0,Leadsheet!$E77*SAP_Speadsheet!AV$81*AV$16)</f>
        <v>0</v>
      </c>
      <c r="AW93" s="148">
        <f>-IF(AW$4&gt;Leadsheet!$E$13,0,Leadsheet!$E77*SAP_Speadsheet!AW$81*AW$16)</f>
        <v>0</v>
      </c>
      <c r="AX93" s="148">
        <f>-IF(AX$4&gt;Leadsheet!$E$13,0,Leadsheet!$E77*SAP_Speadsheet!AX$81*AX$16)</f>
        <v>0</v>
      </c>
      <c r="AY93" s="148">
        <f>-IF(AY$4&gt;Leadsheet!$E$13,0,Leadsheet!$E77*SAP_Speadsheet!AY$81*AY$16)</f>
        <v>0</v>
      </c>
      <c r="AZ93" s="148">
        <f>-IF(AZ$4&gt;Leadsheet!$E$13,0,Leadsheet!$E77*SAP_Speadsheet!AZ$81*AZ$16)</f>
        <v>0</v>
      </c>
      <c r="BA93" s="148">
        <f>-IF(BA$4&gt;Leadsheet!$E$13,0,Leadsheet!$E77*SAP_Speadsheet!BA$81*BA$16)</f>
        <v>0</v>
      </c>
      <c r="BB93" s="148">
        <f>-IF(BB$4&gt;Leadsheet!$E$13,0,Leadsheet!$E77*SAP_Speadsheet!BB$81*BB$16)</f>
        <v>0</v>
      </c>
      <c r="BC93" s="148">
        <f>-IF(BC$4&gt;Leadsheet!$E$13,0,Leadsheet!$E77*SAP_Speadsheet!BC$81*BC$16)</f>
        <v>0</v>
      </c>
      <c r="BD93" s="148">
        <f>-IF(BD$4&gt;Leadsheet!$E$13,0,Leadsheet!$E77*SAP_Speadsheet!BD$81*BD$16)</f>
        <v>0</v>
      </c>
      <c r="BE93" s="148">
        <f>-IF(BE$4&gt;Leadsheet!$E$13,0,Leadsheet!$E77*SAP_Speadsheet!BE$81*BE$16)</f>
        <v>0</v>
      </c>
      <c r="BF93" s="148">
        <f>-IF(BF$4&gt;Leadsheet!$E$13,0,Leadsheet!$E77*SAP_Speadsheet!BF$81*BF$16)</f>
        <v>0</v>
      </c>
      <c r="BG93" s="148">
        <f>-IF(BG$4&gt;Leadsheet!$E$13,0,Leadsheet!$E77*SAP_Speadsheet!BG$81*BG$16)</f>
        <v>0</v>
      </c>
      <c r="BH93" s="148">
        <f>-IF(BH$4&gt;Leadsheet!$E$13,0,Leadsheet!$E77*SAP_Speadsheet!BH$81*BH$16)</f>
        <v>0</v>
      </c>
      <c r="BI93" s="148">
        <f>-IF(BI$4&gt;Leadsheet!$E$13,0,Leadsheet!$E77*SAP_Speadsheet!BI$81*BI$16)</f>
        <v>0</v>
      </c>
      <c r="BJ93" s="148">
        <f>-IF(BJ$4&gt;Leadsheet!$E$13,0,Leadsheet!$E77*SAP_Speadsheet!BJ$81*BJ$16)</f>
        <v>0</v>
      </c>
      <c r="BK93" s="148">
        <f>-IF(BK$4&gt;Leadsheet!$E$13,0,Leadsheet!$E77*SAP_Speadsheet!BK$81*BK$16)</f>
        <v>0</v>
      </c>
      <c r="BL93" s="148">
        <f>-IF(BL$4&gt;Leadsheet!$E$13,0,Leadsheet!$E77*SAP_Speadsheet!BL$81*BL$16)</f>
        <v>0</v>
      </c>
      <c r="BM93" s="148">
        <f>-IF(BM$4&gt;Leadsheet!$E$13,0,Leadsheet!$E77*SAP_Speadsheet!BM$81*BM$16)</f>
        <v>0</v>
      </c>
      <c r="BN93" s="148"/>
      <c r="BO93" s="148"/>
      <c r="BP93" s="148"/>
      <c r="BQ93" s="148"/>
      <c r="BR93" s="148"/>
      <c r="BS93" s="148"/>
      <c r="BT93" s="148"/>
      <c r="BU93" s="148"/>
      <c r="BV93" s="148"/>
      <c r="BW93" s="148"/>
      <c r="BX93" s="148"/>
      <c r="BY93" s="148"/>
      <c r="BZ93" s="148"/>
      <c r="CA93" s="148"/>
      <c r="CB93" s="148"/>
      <c r="CC93" s="148"/>
      <c r="CD93" s="148"/>
      <c r="CE93" s="148"/>
      <c r="CF93" s="148"/>
      <c r="CG93" s="148"/>
      <c r="CH93" s="148"/>
      <c r="CI93" s="148"/>
      <c r="CJ93" s="148"/>
      <c r="CK93" s="148"/>
      <c r="CL93" s="148"/>
      <c r="CM93" s="148"/>
      <c r="CN93" s="148"/>
      <c r="CO93" s="148"/>
      <c r="CP93" s="148"/>
      <c r="CQ93" s="148"/>
      <c r="CR93" s="148"/>
      <c r="CS93" s="148"/>
      <c r="CT93" s="148"/>
      <c r="CU93" s="148"/>
      <c r="CV93" s="148"/>
      <c r="CW93" s="148"/>
      <c r="CX93" s="148"/>
      <c r="CY93" s="148"/>
      <c r="CZ93" s="148"/>
      <c r="DA93" s="148"/>
      <c r="DB93" s="148"/>
      <c r="DC93" s="148"/>
      <c r="DD93" s="148"/>
      <c r="DE93" s="148"/>
      <c r="DF93" s="148"/>
      <c r="DG93" s="148"/>
      <c r="DH93" s="148"/>
      <c r="DI93" s="148"/>
      <c r="DJ93" s="148"/>
      <c r="DK93" s="148"/>
      <c r="DL93" s="148"/>
      <c r="DM93" s="148"/>
      <c r="DN93" s="148"/>
      <c r="DO93" s="148"/>
      <c r="DP93" s="148"/>
      <c r="DQ93" s="148"/>
      <c r="DR93" s="148"/>
      <c r="DS93" s="148"/>
      <c r="DT93" s="148"/>
      <c r="DU93" s="148"/>
      <c r="DV93" s="148"/>
      <c r="DW93" s="148"/>
      <c r="DX93" s="148"/>
      <c r="DY93" s="148"/>
      <c r="DZ93" s="148"/>
      <c r="EA93" s="148"/>
      <c r="EB93" s="148"/>
      <c r="EC93" s="148"/>
      <c r="ED93" s="148"/>
      <c r="EE93" s="148"/>
      <c r="EF93" s="148"/>
      <c r="EG93" s="148"/>
      <c r="EH93" s="148"/>
      <c r="EI93" s="148"/>
      <c r="EJ93" s="148"/>
      <c r="EK93" s="148"/>
      <c r="EL93" s="148"/>
      <c r="EM93" s="148"/>
      <c r="EN93" s="148"/>
      <c r="EO93" s="148"/>
      <c r="EP93" s="148"/>
      <c r="EQ93" s="148"/>
      <c r="ER93" s="148"/>
      <c r="ES93" s="148"/>
      <c r="ET93" s="148"/>
      <c r="EU93" s="148"/>
      <c r="EV93" s="148"/>
      <c r="EW93" s="148"/>
      <c r="EX93" s="148"/>
      <c r="EY93" s="148"/>
      <c r="EZ93" s="148"/>
      <c r="FA93" s="148"/>
      <c r="FB93" s="148"/>
      <c r="FC93" s="148"/>
      <c r="FD93" s="148"/>
      <c r="FE93" s="148"/>
      <c r="FF93" s="148"/>
      <c r="FG93" s="148"/>
      <c r="FH93" s="148"/>
      <c r="FI93" s="148"/>
      <c r="FJ93" s="148"/>
      <c r="FK93" s="148"/>
      <c r="FL93" s="148"/>
      <c r="FM93" s="148"/>
      <c r="FN93" s="148"/>
      <c r="FO93" s="148"/>
      <c r="FP93" s="148"/>
      <c r="FQ93" s="148"/>
      <c r="FR93" s="148"/>
      <c r="FS93" s="148"/>
      <c r="FT93" s="148"/>
      <c r="FU93" s="148"/>
      <c r="FV93" s="148"/>
      <c r="FW93" s="148"/>
      <c r="FX93" s="148"/>
      <c r="FY93" s="148"/>
      <c r="FZ93" s="148"/>
      <c r="GA93" s="148"/>
      <c r="GB93" s="148"/>
      <c r="GC93" s="148"/>
      <c r="GD93" s="148"/>
      <c r="GE93" s="148"/>
      <c r="GF93" s="148"/>
      <c r="GG93" s="148"/>
      <c r="GH93" s="148"/>
      <c r="GI93" s="148"/>
      <c r="GJ93" s="148"/>
      <c r="GK93" s="148"/>
      <c r="GL93" s="148"/>
      <c r="GM93" s="148"/>
      <c r="GN93" s="148"/>
      <c r="GO93" s="148"/>
      <c r="GP93" s="148"/>
      <c r="GQ93" s="148"/>
      <c r="GR93" s="148"/>
      <c r="GS93" s="148"/>
      <c r="GT93" s="148"/>
      <c r="GU93" s="148"/>
      <c r="GV93" s="148"/>
      <c r="GW93" s="148"/>
      <c r="GX93" s="148"/>
      <c r="GY93" s="148"/>
      <c r="GZ93" s="148"/>
      <c r="HA93" s="148"/>
      <c r="HB93" s="148"/>
      <c r="HC93" s="148"/>
      <c r="HD93" s="148"/>
      <c r="HE93" s="148"/>
      <c r="HF93" s="148"/>
      <c r="HG93" s="148"/>
      <c r="HH93" s="148"/>
      <c r="HI93" s="148"/>
      <c r="HJ93" s="148"/>
      <c r="HK93" s="148"/>
      <c r="HL93" s="148"/>
      <c r="HM93" s="148"/>
      <c r="HN93" s="148"/>
      <c r="HO93" s="148"/>
      <c r="HP93" s="148"/>
      <c r="HQ93" s="148"/>
      <c r="HR93" s="148"/>
      <c r="HS93" s="148"/>
      <c r="HT93" s="148"/>
      <c r="HU93" s="148"/>
      <c r="HV93" s="148"/>
      <c r="HW93" s="148"/>
      <c r="HX93" s="148"/>
      <c r="HY93" s="148"/>
      <c r="HZ93" s="148"/>
      <c r="IA93" s="148"/>
      <c r="IB93" s="148"/>
      <c r="IC93" s="148"/>
      <c r="ID93" s="148"/>
      <c r="IE93" s="148"/>
      <c r="IF93" s="148"/>
      <c r="IG93" s="148"/>
      <c r="IH93" s="148"/>
      <c r="II93" s="148"/>
      <c r="IJ93" s="148"/>
      <c r="IK93" s="148"/>
      <c r="IL93" s="148"/>
      <c r="IM93" s="148"/>
      <c r="IN93" s="148"/>
      <c r="IO93" s="148"/>
      <c r="IP93" s="148"/>
      <c r="IQ93" s="148"/>
      <c r="IR93" s="148"/>
      <c r="IS93" s="148"/>
      <c r="IT93" s="148"/>
      <c r="IU93" s="148"/>
      <c r="IV93" s="148"/>
      <c r="IW93" s="148"/>
      <c r="IX93" s="148"/>
      <c r="IY93" s="148"/>
      <c r="IZ93" s="148"/>
      <c r="JA93" s="148"/>
      <c r="JB93" s="148"/>
      <c r="JC93" s="148"/>
      <c r="JD93" s="148"/>
      <c r="JE93" s="148"/>
      <c r="JF93" s="148"/>
      <c r="JG93" s="148"/>
      <c r="JH93" s="148"/>
      <c r="JI93" s="148"/>
      <c r="JJ93" s="148"/>
      <c r="JK93" s="148"/>
      <c r="JL93" s="148"/>
      <c r="JM93" s="148"/>
      <c r="JN93" s="148"/>
      <c r="JO93" s="148"/>
      <c r="JP93" s="148"/>
      <c r="JQ93" s="148"/>
      <c r="JR93" s="148"/>
      <c r="JS93" s="148"/>
      <c r="JT93" s="148"/>
      <c r="JU93" s="148"/>
      <c r="JV93" s="148"/>
      <c r="JW93" s="148"/>
      <c r="JX93" s="148"/>
      <c r="JY93" s="148"/>
      <c r="JZ93" s="148"/>
      <c r="KA93" s="148"/>
      <c r="KB93" s="148"/>
      <c r="KC93" s="148"/>
      <c r="KD93" s="148"/>
      <c r="KE93" s="148"/>
      <c r="KF93" s="148"/>
      <c r="KG93" s="148"/>
      <c r="KH93" s="148"/>
      <c r="KI93" s="148"/>
      <c r="KJ93" s="148"/>
      <c r="KK93" s="148"/>
      <c r="KL93" s="148"/>
      <c r="KM93" s="148"/>
      <c r="KN93" s="148"/>
      <c r="KO93" s="148"/>
      <c r="KP93" s="148"/>
      <c r="KQ93" s="148"/>
      <c r="KR93" s="148"/>
      <c r="KS93" s="148"/>
      <c r="KT93" s="148"/>
    </row>
    <row r="94" spans="2:307" x14ac:dyDescent="0.15">
      <c r="C94" s="92" t="s">
        <v>121</v>
      </c>
      <c r="F94" s="148">
        <f>-IF(F$4&gt;Leadsheet!$E$13,0,Leadsheet!$E78*SAP_Speadsheet!F$81*F$16)</f>
        <v>-8.4600067224912708E-3</v>
      </c>
      <c r="G94" s="148">
        <f>-IF(G$4&gt;Leadsheet!$E$13,0,Leadsheet!$E78*SAP_Speadsheet!G$81*G$16)</f>
        <v>-8.1614182499327552E-3</v>
      </c>
      <c r="H94" s="148">
        <f>-IF(H$4&gt;Leadsheet!$E$13,0,Leadsheet!$E78*SAP_Speadsheet!H$81*H$16)</f>
        <v>-7.8628297773742396E-3</v>
      </c>
      <c r="I94" s="148">
        <f>-IF(I$4&gt;Leadsheet!$E$13,0,Leadsheet!$E78*SAP_Speadsheet!I$81*I$16)</f>
        <v>-7.5642413048157241E-3</v>
      </c>
      <c r="J94" s="148">
        <f>-IF(J$4&gt;Leadsheet!$E$13,0,Leadsheet!$E78*SAP_Speadsheet!J$81*J$16)</f>
        <v>-7.2656528322572085E-3</v>
      </c>
      <c r="K94" s="148">
        <f>-IF(K$4&gt;Leadsheet!$E$13,0,Leadsheet!$E78*SAP_Speadsheet!K$81*K$16)</f>
        <v>-6.9670643596986921E-3</v>
      </c>
      <c r="L94" s="148">
        <f>-IF(L$4&gt;Leadsheet!$E$13,0,Leadsheet!$E78*SAP_Speadsheet!L$81*L$16)</f>
        <v>-6.6684758871401765E-3</v>
      </c>
      <c r="M94" s="148">
        <f>-IF(M$4&gt;Leadsheet!$E$13,0,Leadsheet!$E78*SAP_Speadsheet!M$81*M$16)</f>
        <v>-6.369887414581661E-3</v>
      </c>
      <c r="N94" s="148">
        <f>-IF(N$4&gt;Leadsheet!$E$13,0,Leadsheet!$E78*SAP_Speadsheet!N$81*N$16)</f>
        <v>-6.369887414581661E-3</v>
      </c>
      <c r="O94" s="148">
        <f>-IF(O$4&gt;Leadsheet!$E$13,0,Leadsheet!$E78*SAP_Speadsheet!O$81*O$16)</f>
        <v>0</v>
      </c>
      <c r="P94" s="148">
        <f>-IF(P$4&gt;Leadsheet!$E$13,0,Leadsheet!$E78*SAP_Speadsheet!P$81*P$16)</f>
        <v>0</v>
      </c>
      <c r="Q94" s="148">
        <f>-IF(Q$4&gt;Leadsheet!$E$13,0,Leadsheet!$E78*SAP_Speadsheet!Q$81*Q$16)</f>
        <v>0</v>
      </c>
      <c r="R94" s="148">
        <f>-IF(R$4&gt;Leadsheet!$E$13,0,Leadsheet!$E78*SAP_Speadsheet!R$81*R$16)</f>
        <v>0</v>
      </c>
      <c r="S94" s="148">
        <f>-IF(S$4&gt;Leadsheet!$E$13,0,Leadsheet!$E78*SAP_Speadsheet!S$81*S$16)</f>
        <v>0</v>
      </c>
      <c r="T94" s="148">
        <f>-IF(T$4&gt;Leadsheet!$E$13,0,Leadsheet!$E78*SAP_Speadsheet!T$81*T$16)</f>
        <v>0</v>
      </c>
      <c r="U94" s="148">
        <f>-IF(U$4&gt;Leadsheet!$E$13,0,Leadsheet!$E78*SAP_Speadsheet!U$81*U$16)</f>
        <v>0</v>
      </c>
      <c r="V94" s="148">
        <f>-IF(V$4&gt;Leadsheet!$E$13,0,Leadsheet!$E78*SAP_Speadsheet!V$81*V$16)</f>
        <v>0</v>
      </c>
      <c r="W94" s="148">
        <f>-IF(W$4&gt;Leadsheet!$E$13,0,Leadsheet!$E78*SAP_Speadsheet!W$81*W$16)</f>
        <v>0</v>
      </c>
      <c r="X94" s="148">
        <f>-IF(X$4&gt;Leadsheet!$E$13,0,Leadsheet!$E78*SAP_Speadsheet!X$81*X$16)</f>
        <v>0</v>
      </c>
      <c r="Y94" s="148">
        <f>-IF(Y$4&gt;Leadsheet!$E$13,0,Leadsheet!$E78*SAP_Speadsheet!Y$81*Y$16)</f>
        <v>0</v>
      </c>
      <c r="Z94" s="148">
        <f>-IF(Z$4&gt;Leadsheet!$E$13,0,Leadsheet!$E78*SAP_Speadsheet!Z$81*Z$16)</f>
        <v>0</v>
      </c>
      <c r="AA94" s="148">
        <f>-IF(AA$4&gt;Leadsheet!$E$13,0,Leadsheet!$E78*SAP_Speadsheet!AA$81*AA$16)</f>
        <v>0</v>
      </c>
      <c r="AB94" s="148">
        <f>-IF(AB$4&gt;Leadsheet!$E$13,0,Leadsheet!$E78*SAP_Speadsheet!AB$81*AB$16)</f>
        <v>0</v>
      </c>
      <c r="AC94" s="148">
        <f>-IF(AC$4&gt;Leadsheet!$E$13,0,Leadsheet!$E78*SAP_Speadsheet!AC$81*AC$16)</f>
        <v>0</v>
      </c>
      <c r="AD94" s="148">
        <f>-IF(AD$4&gt;Leadsheet!$E$13,0,Leadsheet!$E78*SAP_Speadsheet!AD$81*AD$16)</f>
        <v>0</v>
      </c>
      <c r="AE94" s="148">
        <f>-IF(AE$4&gt;Leadsheet!$E$13,0,Leadsheet!$E78*SAP_Speadsheet!AE$81*AE$16)</f>
        <v>0</v>
      </c>
      <c r="AF94" s="148">
        <f>-IF(AF$4&gt;Leadsheet!$E$13,0,Leadsheet!$E78*SAP_Speadsheet!AF$81*AF$16)</f>
        <v>0</v>
      </c>
      <c r="AG94" s="148">
        <f>-IF(AG$4&gt;Leadsheet!$E$13,0,Leadsheet!$E78*SAP_Speadsheet!AG$81*AG$16)</f>
        <v>0</v>
      </c>
      <c r="AH94" s="148">
        <f>-IF(AH$4&gt;Leadsheet!$E$13,0,Leadsheet!$E78*SAP_Speadsheet!AH$81*AH$16)</f>
        <v>0</v>
      </c>
      <c r="AI94" s="148">
        <f>-IF(AI$4&gt;Leadsheet!$E$13,0,Leadsheet!$E78*SAP_Speadsheet!AI$81*AI$16)</f>
        <v>0</v>
      </c>
      <c r="AJ94" s="148">
        <f>-IF(AJ$4&gt;Leadsheet!$E$13,0,Leadsheet!$E78*SAP_Speadsheet!AJ$81*AJ$16)</f>
        <v>0</v>
      </c>
      <c r="AK94" s="148">
        <f>-IF(AK$4&gt;Leadsheet!$E$13,0,Leadsheet!$E78*SAP_Speadsheet!AK$81*AK$16)</f>
        <v>0</v>
      </c>
      <c r="AL94" s="148">
        <f>-IF(AL$4&gt;Leadsheet!$E$13,0,Leadsheet!$E78*SAP_Speadsheet!AL$81*AL$16)</f>
        <v>0</v>
      </c>
      <c r="AM94" s="148">
        <f>-IF(AM$4&gt;Leadsheet!$E$13,0,Leadsheet!$E78*SAP_Speadsheet!AM$81*AM$16)</f>
        <v>0</v>
      </c>
      <c r="AN94" s="148">
        <f>-IF(AN$4&gt;Leadsheet!$E$13,0,Leadsheet!$E78*SAP_Speadsheet!AN$81*AN$16)</f>
        <v>0</v>
      </c>
      <c r="AO94" s="148">
        <f>-IF(AO$4&gt;Leadsheet!$E$13,0,Leadsheet!$E78*SAP_Speadsheet!AO$81*AO$16)</f>
        <v>0</v>
      </c>
      <c r="AP94" s="148">
        <f>-IF(AP$4&gt;Leadsheet!$E$13,0,Leadsheet!$E78*SAP_Speadsheet!AP$81*AP$16)</f>
        <v>0</v>
      </c>
      <c r="AQ94" s="148">
        <f>-IF(AQ$4&gt;Leadsheet!$E$13,0,Leadsheet!$E78*SAP_Speadsheet!AQ$81*AQ$16)</f>
        <v>0</v>
      </c>
      <c r="AR94" s="148">
        <f>-IF(AR$4&gt;Leadsheet!$E$13,0,Leadsheet!$E78*SAP_Speadsheet!AR$81*AR$16)</f>
        <v>0</v>
      </c>
      <c r="AS94" s="148">
        <f>-IF(AS$4&gt;Leadsheet!$E$13,0,Leadsheet!$E78*SAP_Speadsheet!AS$81*AS$16)</f>
        <v>0</v>
      </c>
      <c r="AT94" s="148">
        <f>-IF(AT$4&gt;Leadsheet!$E$13,0,Leadsheet!$E78*SAP_Speadsheet!AT$81*AT$16)</f>
        <v>0</v>
      </c>
      <c r="AU94" s="148">
        <f>-IF(AU$4&gt;Leadsheet!$E$13,0,Leadsheet!$E78*SAP_Speadsheet!AU$81*AU$16)</f>
        <v>0</v>
      </c>
      <c r="AV94" s="148">
        <f>-IF(AV$4&gt;Leadsheet!$E$13,0,Leadsheet!$E78*SAP_Speadsheet!AV$81*AV$16)</f>
        <v>0</v>
      </c>
      <c r="AW94" s="148">
        <f>-IF(AW$4&gt;Leadsheet!$E$13,0,Leadsheet!$E78*SAP_Speadsheet!AW$81*AW$16)</f>
        <v>0</v>
      </c>
      <c r="AX94" s="148">
        <f>-IF(AX$4&gt;Leadsheet!$E$13,0,Leadsheet!$E78*SAP_Speadsheet!AX$81*AX$16)</f>
        <v>0</v>
      </c>
      <c r="AY94" s="148">
        <f>-IF(AY$4&gt;Leadsheet!$E$13,0,Leadsheet!$E78*SAP_Speadsheet!AY$81*AY$16)</f>
        <v>0</v>
      </c>
      <c r="AZ94" s="148">
        <f>-IF(AZ$4&gt;Leadsheet!$E$13,0,Leadsheet!$E78*SAP_Speadsheet!AZ$81*AZ$16)</f>
        <v>0</v>
      </c>
      <c r="BA94" s="148">
        <f>-IF(BA$4&gt;Leadsheet!$E$13,0,Leadsheet!$E78*SAP_Speadsheet!BA$81*BA$16)</f>
        <v>0</v>
      </c>
      <c r="BB94" s="148">
        <f>-IF(BB$4&gt;Leadsheet!$E$13,0,Leadsheet!$E78*SAP_Speadsheet!BB$81*BB$16)</f>
        <v>0</v>
      </c>
      <c r="BC94" s="148">
        <f>-IF(BC$4&gt;Leadsheet!$E$13,0,Leadsheet!$E78*SAP_Speadsheet!BC$81*BC$16)</f>
        <v>0</v>
      </c>
      <c r="BD94" s="148">
        <f>-IF(BD$4&gt;Leadsheet!$E$13,0,Leadsheet!$E78*SAP_Speadsheet!BD$81*BD$16)</f>
        <v>0</v>
      </c>
      <c r="BE94" s="148">
        <f>-IF(BE$4&gt;Leadsheet!$E$13,0,Leadsheet!$E78*SAP_Speadsheet!BE$81*BE$16)</f>
        <v>0</v>
      </c>
      <c r="BF94" s="148">
        <f>-IF(BF$4&gt;Leadsheet!$E$13,0,Leadsheet!$E78*SAP_Speadsheet!BF$81*BF$16)</f>
        <v>0</v>
      </c>
      <c r="BG94" s="148">
        <f>-IF(BG$4&gt;Leadsheet!$E$13,0,Leadsheet!$E78*SAP_Speadsheet!BG$81*BG$16)</f>
        <v>0</v>
      </c>
      <c r="BH94" s="148">
        <f>-IF(BH$4&gt;Leadsheet!$E$13,0,Leadsheet!$E78*SAP_Speadsheet!BH$81*BH$16)</f>
        <v>0</v>
      </c>
      <c r="BI94" s="148">
        <f>-IF(BI$4&gt;Leadsheet!$E$13,0,Leadsheet!$E78*SAP_Speadsheet!BI$81*BI$16)</f>
        <v>0</v>
      </c>
      <c r="BJ94" s="148">
        <f>-IF(BJ$4&gt;Leadsheet!$E$13,0,Leadsheet!$E78*SAP_Speadsheet!BJ$81*BJ$16)</f>
        <v>0</v>
      </c>
      <c r="BK94" s="148">
        <f>-IF(BK$4&gt;Leadsheet!$E$13,0,Leadsheet!$E78*SAP_Speadsheet!BK$81*BK$16)</f>
        <v>0</v>
      </c>
      <c r="BL94" s="148">
        <f>-IF(BL$4&gt;Leadsheet!$E$13,0,Leadsheet!$E78*SAP_Speadsheet!BL$81*BL$16)</f>
        <v>0</v>
      </c>
      <c r="BM94" s="148">
        <f>-IF(BM$4&gt;Leadsheet!$E$13,0,Leadsheet!$E78*SAP_Speadsheet!BM$81*BM$16)</f>
        <v>0</v>
      </c>
      <c r="BN94" s="148"/>
      <c r="BO94" s="148"/>
      <c r="BP94" s="148"/>
      <c r="BQ94" s="148"/>
      <c r="BR94" s="148"/>
      <c r="BS94" s="148"/>
      <c r="BT94" s="148"/>
      <c r="BU94" s="148"/>
      <c r="BV94" s="148"/>
      <c r="BW94" s="148"/>
      <c r="BX94" s="148"/>
      <c r="BY94" s="148"/>
      <c r="BZ94" s="148"/>
      <c r="CA94" s="148"/>
      <c r="CB94" s="148"/>
      <c r="CC94" s="148"/>
      <c r="CD94" s="148"/>
      <c r="CE94" s="148"/>
      <c r="CF94" s="148"/>
      <c r="CG94" s="148"/>
      <c r="CH94" s="148"/>
      <c r="CI94" s="148"/>
      <c r="CJ94" s="148"/>
      <c r="CK94" s="148"/>
      <c r="CL94" s="148"/>
      <c r="CM94" s="148"/>
      <c r="CN94" s="148"/>
      <c r="CO94" s="148"/>
      <c r="CP94" s="148"/>
      <c r="CQ94" s="148"/>
      <c r="CR94" s="148"/>
      <c r="CS94" s="148"/>
      <c r="CT94" s="148"/>
      <c r="CU94" s="148"/>
      <c r="CV94" s="148"/>
      <c r="CW94" s="148"/>
      <c r="CX94" s="148"/>
      <c r="CY94" s="148"/>
      <c r="CZ94" s="148"/>
      <c r="DA94" s="148"/>
      <c r="DB94" s="148"/>
      <c r="DC94" s="148"/>
      <c r="DD94" s="148"/>
      <c r="DE94" s="148"/>
      <c r="DF94" s="148"/>
      <c r="DG94" s="148"/>
      <c r="DH94" s="148"/>
      <c r="DI94" s="148"/>
      <c r="DJ94" s="148"/>
      <c r="DK94" s="148"/>
      <c r="DL94" s="148"/>
      <c r="DM94" s="148"/>
      <c r="DN94" s="148"/>
      <c r="DO94" s="148"/>
      <c r="DP94" s="148"/>
      <c r="DQ94" s="148"/>
      <c r="DR94" s="148"/>
      <c r="DS94" s="148"/>
      <c r="DT94" s="148"/>
      <c r="DU94" s="148"/>
      <c r="DV94" s="148"/>
      <c r="DW94" s="148"/>
      <c r="DX94" s="148"/>
      <c r="DY94" s="148"/>
      <c r="DZ94" s="148"/>
      <c r="EA94" s="148"/>
      <c r="EB94" s="148"/>
      <c r="EC94" s="148"/>
      <c r="ED94" s="148"/>
      <c r="EE94" s="148"/>
      <c r="EF94" s="148"/>
      <c r="EG94" s="148"/>
      <c r="EH94" s="148"/>
      <c r="EI94" s="148"/>
      <c r="EJ94" s="148"/>
      <c r="EK94" s="148"/>
      <c r="EL94" s="148"/>
      <c r="EM94" s="148"/>
      <c r="EN94" s="148"/>
      <c r="EO94" s="148"/>
      <c r="EP94" s="148"/>
      <c r="EQ94" s="148"/>
      <c r="ER94" s="148"/>
      <c r="ES94" s="148"/>
      <c r="ET94" s="148"/>
      <c r="EU94" s="148"/>
      <c r="EV94" s="148"/>
      <c r="EW94" s="148"/>
      <c r="EX94" s="148"/>
      <c r="EY94" s="148"/>
      <c r="EZ94" s="148"/>
      <c r="FA94" s="148"/>
      <c r="FB94" s="148"/>
      <c r="FC94" s="148"/>
      <c r="FD94" s="148"/>
      <c r="FE94" s="148"/>
      <c r="FF94" s="148"/>
      <c r="FG94" s="148"/>
      <c r="FH94" s="148"/>
      <c r="FI94" s="148"/>
      <c r="FJ94" s="148"/>
      <c r="FK94" s="148"/>
      <c r="FL94" s="148"/>
      <c r="FM94" s="148"/>
      <c r="FN94" s="148"/>
      <c r="FO94" s="148"/>
      <c r="FP94" s="148"/>
      <c r="FQ94" s="148"/>
      <c r="FR94" s="148"/>
      <c r="FS94" s="148"/>
      <c r="FT94" s="148"/>
      <c r="FU94" s="148"/>
      <c r="FV94" s="148"/>
      <c r="FW94" s="148"/>
      <c r="FX94" s="148"/>
      <c r="FY94" s="148"/>
      <c r="FZ94" s="148"/>
      <c r="GA94" s="148"/>
      <c r="GB94" s="148"/>
      <c r="GC94" s="148"/>
      <c r="GD94" s="148"/>
      <c r="GE94" s="148"/>
      <c r="GF94" s="148"/>
      <c r="GG94" s="148"/>
      <c r="GH94" s="148"/>
      <c r="GI94" s="148"/>
      <c r="GJ94" s="148"/>
      <c r="GK94" s="148"/>
      <c r="GL94" s="148"/>
      <c r="GM94" s="148"/>
      <c r="GN94" s="148"/>
      <c r="GO94" s="148"/>
      <c r="GP94" s="148"/>
      <c r="GQ94" s="148"/>
      <c r="GR94" s="148"/>
      <c r="GS94" s="148"/>
      <c r="GT94" s="148"/>
      <c r="GU94" s="148"/>
      <c r="GV94" s="148"/>
      <c r="GW94" s="148"/>
      <c r="GX94" s="148"/>
      <c r="GY94" s="148"/>
      <c r="GZ94" s="148"/>
      <c r="HA94" s="148"/>
      <c r="HB94" s="148"/>
      <c r="HC94" s="148"/>
      <c r="HD94" s="148"/>
      <c r="HE94" s="148"/>
      <c r="HF94" s="148"/>
      <c r="HG94" s="148"/>
      <c r="HH94" s="148"/>
      <c r="HI94" s="148"/>
      <c r="HJ94" s="148"/>
      <c r="HK94" s="148"/>
      <c r="HL94" s="148"/>
      <c r="HM94" s="148"/>
      <c r="HN94" s="148"/>
      <c r="HO94" s="148"/>
      <c r="HP94" s="148"/>
      <c r="HQ94" s="148"/>
      <c r="HR94" s="148"/>
      <c r="HS94" s="148"/>
      <c r="HT94" s="148"/>
      <c r="HU94" s="148"/>
      <c r="HV94" s="148"/>
      <c r="HW94" s="148"/>
      <c r="HX94" s="148"/>
      <c r="HY94" s="148"/>
      <c r="HZ94" s="148"/>
      <c r="IA94" s="148"/>
      <c r="IB94" s="148"/>
      <c r="IC94" s="148"/>
      <c r="ID94" s="148"/>
      <c r="IE94" s="148"/>
      <c r="IF94" s="148"/>
      <c r="IG94" s="148"/>
      <c r="IH94" s="148"/>
      <c r="II94" s="148"/>
      <c r="IJ94" s="148"/>
      <c r="IK94" s="148"/>
      <c r="IL94" s="148"/>
      <c r="IM94" s="148"/>
      <c r="IN94" s="148"/>
      <c r="IO94" s="148"/>
      <c r="IP94" s="148"/>
      <c r="IQ94" s="148"/>
      <c r="IR94" s="148"/>
      <c r="IS94" s="148"/>
      <c r="IT94" s="148"/>
      <c r="IU94" s="148"/>
      <c r="IV94" s="148"/>
      <c r="IW94" s="148"/>
      <c r="IX94" s="148"/>
      <c r="IY94" s="148"/>
      <c r="IZ94" s="148"/>
      <c r="JA94" s="148"/>
      <c r="JB94" s="148"/>
      <c r="JC94" s="148"/>
      <c r="JD94" s="148"/>
      <c r="JE94" s="148"/>
      <c r="JF94" s="148"/>
      <c r="JG94" s="148"/>
      <c r="JH94" s="148"/>
      <c r="JI94" s="148"/>
      <c r="JJ94" s="148"/>
      <c r="JK94" s="148"/>
      <c r="JL94" s="148"/>
      <c r="JM94" s="148"/>
      <c r="JN94" s="148"/>
      <c r="JO94" s="148"/>
      <c r="JP94" s="148"/>
      <c r="JQ94" s="148"/>
      <c r="JR94" s="148"/>
      <c r="JS94" s="148"/>
      <c r="JT94" s="148"/>
      <c r="JU94" s="148"/>
      <c r="JV94" s="148"/>
      <c r="JW94" s="148"/>
      <c r="JX94" s="148"/>
      <c r="JY94" s="148"/>
      <c r="JZ94" s="148"/>
      <c r="KA94" s="148"/>
      <c r="KB94" s="148"/>
      <c r="KC94" s="148"/>
      <c r="KD94" s="148"/>
      <c r="KE94" s="148"/>
      <c r="KF94" s="148"/>
      <c r="KG94" s="148"/>
      <c r="KH94" s="148"/>
      <c r="KI94" s="148"/>
      <c r="KJ94" s="148"/>
      <c r="KK94" s="148"/>
      <c r="KL94" s="148"/>
      <c r="KM94" s="148"/>
      <c r="KN94" s="148"/>
      <c r="KO94" s="148"/>
      <c r="KP94" s="148"/>
      <c r="KQ94" s="148"/>
      <c r="KR94" s="148"/>
      <c r="KS94" s="148"/>
      <c r="KT94" s="148"/>
    </row>
    <row r="95" spans="2:307" x14ac:dyDescent="0.15">
      <c r="C95" s="92" t="s">
        <v>237</v>
      </c>
      <c r="F95" s="148">
        <f>-IF(F$4&gt;Leadsheet!$E$13,0,Leadsheet!$E79*SAP_Speadsheet!F$81*F$16)</f>
        <v>-6.2395568099168196E-3</v>
      </c>
      <c r="G95" s="148">
        <f>-IF(G$4&gt;Leadsheet!$E$13,0,Leadsheet!$E79*SAP_Speadsheet!G$81*G$16)</f>
        <v>-6.0193371578021078E-3</v>
      </c>
      <c r="H95" s="148">
        <f>-IF(H$4&gt;Leadsheet!$E$13,0,Leadsheet!$E79*SAP_Speadsheet!H$81*H$16)</f>
        <v>-5.7991175056873968E-3</v>
      </c>
      <c r="I95" s="148">
        <f>-IF(I$4&gt;Leadsheet!$E$13,0,Leadsheet!$E79*SAP_Speadsheet!I$81*I$16)</f>
        <v>-5.578897853572685E-3</v>
      </c>
      <c r="J95" s="148">
        <f>-IF(J$4&gt;Leadsheet!$E$13,0,Leadsheet!$E79*SAP_Speadsheet!J$81*J$16)</f>
        <v>-5.358678201457974E-3</v>
      </c>
      <c r="K95" s="148">
        <f>-IF(K$4&gt;Leadsheet!$E$13,0,Leadsheet!$E79*SAP_Speadsheet!K$81*K$16)</f>
        <v>-5.1384585493432621E-3</v>
      </c>
      <c r="L95" s="148">
        <f>-IF(L$4&gt;Leadsheet!$E$13,0,Leadsheet!$E79*SAP_Speadsheet!L$81*L$16)</f>
        <v>-4.9182388972285511E-3</v>
      </c>
      <c r="M95" s="148">
        <f>-IF(M$4&gt;Leadsheet!$E$13,0,Leadsheet!$E79*SAP_Speadsheet!M$81*M$16)</f>
        <v>-4.6980192451138393E-3</v>
      </c>
      <c r="N95" s="148">
        <f>-IF(N$4&gt;Leadsheet!$E$13,0,Leadsheet!$E79*SAP_Speadsheet!N$81*N$16)</f>
        <v>-4.6980192451138393E-3</v>
      </c>
      <c r="O95" s="148">
        <f>-IF(O$4&gt;Leadsheet!$E$13,0,Leadsheet!$E79*SAP_Speadsheet!O$81*O$16)</f>
        <v>0</v>
      </c>
      <c r="P95" s="148">
        <f>-IF(P$4&gt;Leadsheet!$E$13,0,Leadsheet!$E79*SAP_Speadsheet!P$81*P$16)</f>
        <v>0</v>
      </c>
      <c r="Q95" s="148">
        <f>-IF(Q$4&gt;Leadsheet!$E$13,0,Leadsheet!$E79*SAP_Speadsheet!Q$81*Q$16)</f>
        <v>0</v>
      </c>
      <c r="R95" s="148">
        <f>-IF(R$4&gt;Leadsheet!$E$13,0,Leadsheet!$E79*SAP_Speadsheet!R$81*R$16)</f>
        <v>0</v>
      </c>
      <c r="S95" s="148">
        <f>-IF(S$4&gt;Leadsheet!$E$13,0,Leadsheet!$E79*SAP_Speadsheet!S$81*S$16)</f>
        <v>0</v>
      </c>
      <c r="T95" s="148">
        <f>-IF(T$4&gt;Leadsheet!$E$13,0,Leadsheet!$E79*SAP_Speadsheet!T$81*T$16)</f>
        <v>0</v>
      </c>
      <c r="U95" s="148">
        <f>-IF(U$4&gt;Leadsheet!$E$13,0,Leadsheet!$E79*SAP_Speadsheet!U$81*U$16)</f>
        <v>0</v>
      </c>
      <c r="V95" s="148">
        <f>-IF(V$4&gt;Leadsheet!$E$13,0,Leadsheet!$E79*SAP_Speadsheet!V$81*V$16)</f>
        <v>0</v>
      </c>
      <c r="W95" s="148">
        <f>-IF(W$4&gt;Leadsheet!$E$13,0,Leadsheet!$E79*SAP_Speadsheet!W$81*W$16)</f>
        <v>0</v>
      </c>
      <c r="X95" s="148">
        <f>-IF(X$4&gt;Leadsheet!$E$13,0,Leadsheet!$E79*SAP_Speadsheet!X$81*X$16)</f>
        <v>0</v>
      </c>
      <c r="Y95" s="148">
        <f>-IF(Y$4&gt;Leadsheet!$E$13,0,Leadsheet!$E79*SAP_Speadsheet!Y$81*Y$16)</f>
        <v>0</v>
      </c>
      <c r="Z95" s="148">
        <f>-IF(Z$4&gt;Leadsheet!$E$13,0,Leadsheet!$E79*SAP_Speadsheet!Z$81*Z$16)</f>
        <v>0</v>
      </c>
      <c r="AA95" s="148">
        <f>-IF(AA$4&gt;Leadsheet!$E$13,0,Leadsheet!$E79*SAP_Speadsheet!AA$81*AA$16)</f>
        <v>0</v>
      </c>
      <c r="AB95" s="148">
        <f>-IF(AB$4&gt;Leadsheet!$E$13,0,Leadsheet!$E79*SAP_Speadsheet!AB$81*AB$16)</f>
        <v>0</v>
      </c>
      <c r="AC95" s="148">
        <f>-IF(AC$4&gt;Leadsheet!$E$13,0,Leadsheet!$E79*SAP_Speadsheet!AC$81*AC$16)</f>
        <v>0</v>
      </c>
      <c r="AD95" s="148">
        <f>-IF(AD$4&gt;Leadsheet!$E$13,0,Leadsheet!$E79*SAP_Speadsheet!AD$81*AD$16)</f>
        <v>0</v>
      </c>
      <c r="AE95" s="148">
        <f>-IF(AE$4&gt;Leadsheet!$E$13,0,Leadsheet!$E79*SAP_Speadsheet!AE$81*AE$16)</f>
        <v>0</v>
      </c>
      <c r="AF95" s="148">
        <f>-IF(AF$4&gt;Leadsheet!$E$13,0,Leadsheet!$E79*SAP_Speadsheet!AF$81*AF$16)</f>
        <v>0</v>
      </c>
      <c r="AG95" s="148">
        <f>-IF(AG$4&gt;Leadsheet!$E$13,0,Leadsheet!$E79*SAP_Speadsheet!AG$81*AG$16)</f>
        <v>0</v>
      </c>
      <c r="AH95" s="148">
        <f>-IF(AH$4&gt;Leadsheet!$E$13,0,Leadsheet!$E79*SAP_Speadsheet!AH$81*AH$16)</f>
        <v>0</v>
      </c>
      <c r="AI95" s="148">
        <f>-IF(AI$4&gt;Leadsheet!$E$13,0,Leadsheet!$E79*SAP_Speadsheet!AI$81*AI$16)</f>
        <v>0</v>
      </c>
      <c r="AJ95" s="148">
        <f>-IF(AJ$4&gt;Leadsheet!$E$13,0,Leadsheet!$E79*SAP_Speadsheet!AJ$81*AJ$16)</f>
        <v>0</v>
      </c>
      <c r="AK95" s="148">
        <f>-IF(AK$4&gt;Leadsheet!$E$13,0,Leadsheet!$E79*SAP_Speadsheet!AK$81*AK$16)</f>
        <v>0</v>
      </c>
      <c r="AL95" s="148">
        <f>-IF(AL$4&gt;Leadsheet!$E$13,0,Leadsheet!$E79*SAP_Speadsheet!AL$81*AL$16)</f>
        <v>0</v>
      </c>
      <c r="AM95" s="148">
        <f>-IF(AM$4&gt;Leadsheet!$E$13,0,Leadsheet!$E79*SAP_Speadsheet!AM$81*AM$16)</f>
        <v>0</v>
      </c>
      <c r="AN95" s="148">
        <f>-IF(AN$4&gt;Leadsheet!$E$13,0,Leadsheet!$E79*SAP_Speadsheet!AN$81*AN$16)</f>
        <v>0</v>
      </c>
      <c r="AO95" s="148">
        <f>-IF(AO$4&gt;Leadsheet!$E$13,0,Leadsheet!$E79*SAP_Speadsheet!AO$81*AO$16)</f>
        <v>0</v>
      </c>
      <c r="AP95" s="148">
        <f>-IF(AP$4&gt;Leadsheet!$E$13,0,Leadsheet!$E79*SAP_Speadsheet!AP$81*AP$16)</f>
        <v>0</v>
      </c>
      <c r="AQ95" s="148">
        <f>-IF(AQ$4&gt;Leadsheet!$E$13,0,Leadsheet!$E79*SAP_Speadsheet!AQ$81*AQ$16)</f>
        <v>0</v>
      </c>
      <c r="AR95" s="148">
        <f>-IF(AR$4&gt;Leadsheet!$E$13,0,Leadsheet!$E79*SAP_Speadsheet!AR$81*AR$16)</f>
        <v>0</v>
      </c>
      <c r="AS95" s="148">
        <f>-IF(AS$4&gt;Leadsheet!$E$13,0,Leadsheet!$E79*SAP_Speadsheet!AS$81*AS$16)</f>
        <v>0</v>
      </c>
      <c r="AT95" s="148">
        <f>-IF(AT$4&gt;Leadsheet!$E$13,0,Leadsheet!$E79*SAP_Speadsheet!AT$81*AT$16)</f>
        <v>0</v>
      </c>
      <c r="AU95" s="148">
        <f>-IF(AU$4&gt;Leadsheet!$E$13,0,Leadsheet!$E79*SAP_Speadsheet!AU$81*AU$16)</f>
        <v>0</v>
      </c>
      <c r="AV95" s="148">
        <f>-IF(AV$4&gt;Leadsheet!$E$13,0,Leadsheet!$E79*SAP_Speadsheet!AV$81*AV$16)</f>
        <v>0</v>
      </c>
      <c r="AW95" s="148">
        <f>-IF(AW$4&gt;Leadsheet!$E$13,0,Leadsheet!$E79*SAP_Speadsheet!AW$81*AW$16)</f>
        <v>0</v>
      </c>
      <c r="AX95" s="148">
        <f>-IF(AX$4&gt;Leadsheet!$E$13,0,Leadsheet!$E79*SAP_Speadsheet!AX$81*AX$16)</f>
        <v>0</v>
      </c>
      <c r="AY95" s="148">
        <f>-IF(AY$4&gt;Leadsheet!$E$13,0,Leadsheet!$E79*SAP_Speadsheet!AY$81*AY$16)</f>
        <v>0</v>
      </c>
      <c r="AZ95" s="148">
        <f>-IF(AZ$4&gt;Leadsheet!$E$13,0,Leadsheet!$E79*SAP_Speadsheet!AZ$81*AZ$16)</f>
        <v>0</v>
      </c>
      <c r="BA95" s="148">
        <f>-IF(BA$4&gt;Leadsheet!$E$13,0,Leadsheet!$E79*SAP_Speadsheet!BA$81*BA$16)</f>
        <v>0</v>
      </c>
      <c r="BB95" s="148">
        <f>-IF(BB$4&gt;Leadsheet!$E$13,0,Leadsheet!$E79*SAP_Speadsheet!BB$81*BB$16)</f>
        <v>0</v>
      </c>
      <c r="BC95" s="148">
        <f>-IF(BC$4&gt;Leadsheet!$E$13,0,Leadsheet!$E79*SAP_Speadsheet!BC$81*BC$16)</f>
        <v>0</v>
      </c>
      <c r="BD95" s="148">
        <f>-IF(BD$4&gt;Leadsheet!$E$13,0,Leadsheet!$E79*SAP_Speadsheet!BD$81*BD$16)</f>
        <v>0</v>
      </c>
      <c r="BE95" s="148">
        <f>-IF(BE$4&gt;Leadsheet!$E$13,0,Leadsheet!$E79*SAP_Speadsheet!BE$81*BE$16)</f>
        <v>0</v>
      </c>
      <c r="BF95" s="148">
        <f>-IF(BF$4&gt;Leadsheet!$E$13,0,Leadsheet!$E79*SAP_Speadsheet!BF$81*BF$16)</f>
        <v>0</v>
      </c>
      <c r="BG95" s="148">
        <f>-IF(BG$4&gt;Leadsheet!$E$13,0,Leadsheet!$E79*SAP_Speadsheet!BG$81*BG$16)</f>
        <v>0</v>
      </c>
      <c r="BH95" s="148">
        <f>-IF(BH$4&gt;Leadsheet!$E$13,0,Leadsheet!$E79*SAP_Speadsheet!BH$81*BH$16)</f>
        <v>0</v>
      </c>
      <c r="BI95" s="148">
        <f>-IF(BI$4&gt;Leadsheet!$E$13,0,Leadsheet!$E79*SAP_Speadsheet!BI$81*BI$16)</f>
        <v>0</v>
      </c>
      <c r="BJ95" s="148">
        <f>-IF(BJ$4&gt;Leadsheet!$E$13,0,Leadsheet!$E79*SAP_Speadsheet!BJ$81*BJ$16)</f>
        <v>0</v>
      </c>
      <c r="BK95" s="148">
        <f>-IF(BK$4&gt;Leadsheet!$E$13,0,Leadsheet!$E79*SAP_Speadsheet!BK$81*BK$16)</f>
        <v>0</v>
      </c>
      <c r="BL95" s="148">
        <f>-IF(BL$4&gt;Leadsheet!$E$13,0,Leadsheet!$E79*SAP_Speadsheet!BL$81*BL$16)</f>
        <v>0</v>
      </c>
      <c r="BM95" s="148">
        <f>-IF(BM$4&gt;Leadsheet!$E$13,0,Leadsheet!$E79*SAP_Speadsheet!BM$81*BM$16)</f>
        <v>0</v>
      </c>
      <c r="BN95" s="148"/>
      <c r="BO95" s="148"/>
      <c r="BP95" s="148"/>
      <c r="BQ95" s="148"/>
      <c r="BR95" s="148"/>
      <c r="BS95" s="148"/>
      <c r="BT95" s="148"/>
      <c r="BU95" s="148"/>
      <c r="BV95" s="148"/>
      <c r="BW95" s="148"/>
      <c r="BX95" s="148"/>
      <c r="BY95" s="148"/>
      <c r="BZ95" s="148"/>
      <c r="CA95" s="148"/>
      <c r="CB95" s="148"/>
      <c r="CC95" s="148"/>
      <c r="CD95" s="148"/>
      <c r="CE95" s="148"/>
      <c r="CF95" s="148"/>
      <c r="CG95" s="148"/>
      <c r="CH95" s="148"/>
      <c r="CI95" s="148"/>
      <c r="CJ95" s="148"/>
      <c r="CK95" s="148"/>
      <c r="CL95" s="148"/>
      <c r="CM95" s="148"/>
      <c r="CN95" s="148"/>
      <c r="CO95" s="148"/>
      <c r="CP95" s="148"/>
      <c r="CQ95" s="148"/>
      <c r="CR95" s="148"/>
      <c r="CS95" s="148"/>
      <c r="CT95" s="148"/>
      <c r="CU95" s="148"/>
      <c r="CV95" s="148"/>
      <c r="CW95" s="148"/>
      <c r="CX95" s="148"/>
      <c r="CY95" s="148"/>
      <c r="CZ95" s="148"/>
      <c r="DA95" s="148"/>
      <c r="DB95" s="148"/>
      <c r="DC95" s="148"/>
      <c r="DD95" s="148"/>
      <c r="DE95" s="148"/>
      <c r="DF95" s="148"/>
      <c r="DG95" s="148"/>
      <c r="DH95" s="148"/>
      <c r="DI95" s="148"/>
      <c r="DJ95" s="148"/>
      <c r="DK95" s="148"/>
      <c r="DL95" s="148"/>
      <c r="DM95" s="148"/>
      <c r="DN95" s="148"/>
      <c r="DO95" s="148"/>
      <c r="DP95" s="148"/>
      <c r="DQ95" s="148"/>
      <c r="DR95" s="148"/>
      <c r="DS95" s="148"/>
      <c r="DT95" s="148"/>
      <c r="DU95" s="148"/>
      <c r="DV95" s="148"/>
      <c r="DW95" s="148"/>
      <c r="DX95" s="148"/>
      <c r="DY95" s="148"/>
      <c r="DZ95" s="148"/>
      <c r="EA95" s="148"/>
      <c r="EB95" s="148"/>
      <c r="EC95" s="148"/>
      <c r="ED95" s="148"/>
      <c r="EE95" s="148"/>
      <c r="EF95" s="148"/>
      <c r="EG95" s="148"/>
      <c r="EH95" s="148"/>
      <c r="EI95" s="148"/>
      <c r="EJ95" s="148"/>
      <c r="EK95" s="148"/>
      <c r="EL95" s="148"/>
      <c r="EM95" s="148"/>
      <c r="EN95" s="148"/>
      <c r="EO95" s="148"/>
      <c r="EP95" s="148"/>
      <c r="EQ95" s="148"/>
      <c r="ER95" s="148"/>
      <c r="ES95" s="148"/>
      <c r="ET95" s="148"/>
      <c r="EU95" s="148"/>
      <c r="EV95" s="148"/>
      <c r="EW95" s="148"/>
      <c r="EX95" s="148"/>
      <c r="EY95" s="148"/>
      <c r="EZ95" s="148"/>
      <c r="FA95" s="148"/>
      <c r="FB95" s="148"/>
      <c r="FC95" s="148"/>
      <c r="FD95" s="148"/>
      <c r="FE95" s="148"/>
      <c r="FF95" s="148"/>
      <c r="FG95" s="148"/>
      <c r="FH95" s="148"/>
      <c r="FI95" s="148"/>
      <c r="FJ95" s="148"/>
      <c r="FK95" s="148"/>
      <c r="FL95" s="148"/>
      <c r="FM95" s="148"/>
      <c r="FN95" s="148"/>
      <c r="FO95" s="148"/>
      <c r="FP95" s="148"/>
      <c r="FQ95" s="148"/>
      <c r="FR95" s="148"/>
      <c r="FS95" s="148"/>
      <c r="FT95" s="148"/>
      <c r="FU95" s="148"/>
      <c r="FV95" s="148"/>
      <c r="FW95" s="148"/>
      <c r="FX95" s="148"/>
      <c r="FY95" s="148"/>
      <c r="FZ95" s="148"/>
      <c r="GA95" s="148"/>
      <c r="GB95" s="148"/>
      <c r="GC95" s="148"/>
      <c r="GD95" s="148"/>
      <c r="GE95" s="148"/>
      <c r="GF95" s="148"/>
      <c r="GG95" s="148"/>
      <c r="GH95" s="148"/>
      <c r="GI95" s="148"/>
      <c r="GJ95" s="148"/>
      <c r="GK95" s="148"/>
      <c r="GL95" s="148"/>
      <c r="GM95" s="148"/>
      <c r="GN95" s="148"/>
      <c r="GO95" s="148"/>
      <c r="GP95" s="148"/>
      <c r="GQ95" s="148"/>
      <c r="GR95" s="148"/>
      <c r="GS95" s="148"/>
      <c r="GT95" s="148"/>
      <c r="GU95" s="148"/>
      <c r="GV95" s="148"/>
      <c r="GW95" s="148"/>
      <c r="GX95" s="148"/>
      <c r="GY95" s="148"/>
      <c r="GZ95" s="148"/>
      <c r="HA95" s="148"/>
      <c r="HB95" s="148"/>
      <c r="HC95" s="148"/>
      <c r="HD95" s="148"/>
      <c r="HE95" s="148"/>
      <c r="HF95" s="148"/>
      <c r="HG95" s="148"/>
      <c r="HH95" s="148"/>
      <c r="HI95" s="148"/>
      <c r="HJ95" s="148"/>
      <c r="HK95" s="148"/>
      <c r="HL95" s="148"/>
      <c r="HM95" s="148"/>
      <c r="HN95" s="148"/>
      <c r="HO95" s="148"/>
      <c r="HP95" s="148"/>
      <c r="HQ95" s="148"/>
      <c r="HR95" s="148"/>
      <c r="HS95" s="148"/>
      <c r="HT95" s="148"/>
      <c r="HU95" s="148"/>
      <c r="HV95" s="148"/>
      <c r="HW95" s="148"/>
      <c r="HX95" s="148"/>
      <c r="HY95" s="148"/>
      <c r="HZ95" s="148"/>
      <c r="IA95" s="148"/>
      <c r="IB95" s="148"/>
      <c r="IC95" s="148"/>
      <c r="ID95" s="148"/>
      <c r="IE95" s="148"/>
      <c r="IF95" s="148"/>
      <c r="IG95" s="148"/>
      <c r="IH95" s="148"/>
      <c r="II95" s="148"/>
      <c r="IJ95" s="148"/>
      <c r="IK95" s="148"/>
      <c r="IL95" s="148"/>
      <c r="IM95" s="148"/>
      <c r="IN95" s="148"/>
      <c r="IO95" s="148"/>
      <c r="IP95" s="148"/>
      <c r="IQ95" s="148"/>
      <c r="IR95" s="148"/>
      <c r="IS95" s="148"/>
      <c r="IT95" s="148"/>
      <c r="IU95" s="148"/>
      <c r="IV95" s="148"/>
      <c r="IW95" s="148"/>
      <c r="IX95" s="148"/>
      <c r="IY95" s="148"/>
      <c r="IZ95" s="148"/>
      <c r="JA95" s="148"/>
      <c r="JB95" s="148"/>
      <c r="JC95" s="148"/>
      <c r="JD95" s="148"/>
      <c r="JE95" s="148"/>
      <c r="JF95" s="148"/>
      <c r="JG95" s="148"/>
      <c r="JH95" s="148"/>
      <c r="JI95" s="148"/>
      <c r="JJ95" s="148"/>
      <c r="JK95" s="148"/>
      <c r="JL95" s="148"/>
      <c r="JM95" s="148"/>
      <c r="JN95" s="148"/>
      <c r="JO95" s="148"/>
      <c r="JP95" s="148"/>
      <c r="JQ95" s="148"/>
      <c r="JR95" s="148"/>
      <c r="JS95" s="148"/>
      <c r="JT95" s="148"/>
      <c r="JU95" s="148"/>
      <c r="JV95" s="148"/>
      <c r="JW95" s="148"/>
      <c r="JX95" s="148"/>
      <c r="JY95" s="148"/>
      <c r="JZ95" s="148"/>
      <c r="KA95" s="148"/>
      <c r="KB95" s="148"/>
      <c r="KC95" s="148"/>
      <c r="KD95" s="148"/>
      <c r="KE95" s="148"/>
      <c r="KF95" s="148"/>
      <c r="KG95" s="148"/>
      <c r="KH95" s="148"/>
      <c r="KI95" s="148"/>
      <c r="KJ95" s="148"/>
      <c r="KK95" s="148"/>
      <c r="KL95" s="148"/>
      <c r="KM95" s="148"/>
      <c r="KN95" s="148"/>
      <c r="KO95" s="148"/>
      <c r="KP95" s="148"/>
      <c r="KQ95" s="148"/>
      <c r="KR95" s="148"/>
      <c r="KS95" s="148"/>
      <c r="KT95" s="148"/>
    </row>
    <row r="96" spans="2:307" s="225" customFormat="1" x14ac:dyDescent="0.15">
      <c r="C96" s="162"/>
      <c r="E96" s="157"/>
      <c r="F96" s="260"/>
      <c r="G96" s="260"/>
      <c r="H96" s="260"/>
      <c r="I96" s="260"/>
      <c r="J96" s="260"/>
      <c r="K96" s="260"/>
      <c r="L96" s="260"/>
      <c r="M96" s="260"/>
      <c r="N96" s="260"/>
      <c r="O96" s="260"/>
      <c r="P96" s="260"/>
      <c r="Q96" s="260"/>
      <c r="R96" s="260"/>
      <c r="S96" s="260"/>
      <c r="T96" s="260"/>
      <c r="U96" s="260"/>
      <c r="V96" s="260"/>
      <c r="W96" s="260"/>
      <c r="X96" s="260"/>
      <c r="Y96" s="260"/>
      <c r="Z96" s="260"/>
      <c r="AA96" s="260"/>
      <c r="AB96" s="260"/>
      <c r="AC96" s="260"/>
      <c r="AD96" s="260"/>
      <c r="AE96" s="260"/>
      <c r="AF96" s="260"/>
      <c r="AG96" s="260"/>
      <c r="AH96" s="260"/>
      <c r="AI96" s="260"/>
      <c r="AJ96" s="260"/>
      <c r="AK96" s="260"/>
      <c r="AL96" s="260"/>
      <c r="AM96" s="260"/>
      <c r="AN96" s="260"/>
      <c r="AO96" s="260"/>
      <c r="AP96" s="260"/>
      <c r="AQ96" s="260"/>
      <c r="AR96" s="260"/>
      <c r="AS96" s="260"/>
      <c r="AT96" s="260"/>
      <c r="AU96" s="260"/>
      <c r="AV96" s="260"/>
      <c r="AW96" s="260"/>
      <c r="AX96" s="260"/>
      <c r="AY96" s="260"/>
      <c r="AZ96" s="260"/>
      <c r="BA96" s="260"/>
      <c r="BB96" s="260"/>
      <c r="BC96" s="260"/>
      <c r="BD96" s="260"/>
      <c r="BE96" s="260"/>
      <c r="BF96" s="260"/>
      <c r="BG96" s="260"/>
      <c r="BH96" s="260"/>
      <c r="BI96" s="260"/>
      <c r="BJ96" s="260"/>
      <c r="BK96" s="260"/>
      <c r="BL96" s="260"/>
      <c r="BM96" s="260"/>
      <c r="BN96" s="260"/>
      <c r="BO96" s="260"/>
      <c r="BP96" s="260"/>
      <c r="BQ96" s="260"/>
      <c r="BR96" s="260"/>
      <c r="BS96" s="260"/>
      <c r="BT96" s="260"/>
      <c r="BU96" s="260"/>
      <c r="BV96" s="260"/>
      <c r="BW96" s="260"/>
      <c r="BX96" s="260"/>
      <c r="BY96" s="260"/>
      <c r="BZ96" s="260"/>
      <c r="CA96" s="260"/>
      <c r="CB96" s="260"/>
      <c r="CC96" s="260"/>
      <c r="CD96" s="260"/>
      <c r="CE96" s="260"/>
      <c r="CF96" s="260"/>
      <c r="CG96" s="260"/>
      <c r="CH96" s="260"/>
      <c r="CI96" s="260"/>
      <c r="CJ96" s="260"/>
      <c r="CK96" s="260"/>
      <c r="CL96" s="260"/>
      <c r="CM96" s="260"/>
      <c r="CN96" s="260"/>
      <c r="CO96" s="260"/>
      <c r="CP96" s="260"/>
      <c r="CQ96" s="260"/>
      <c r="CR96" s="260"/>
      <c r="CS96" s="260"/>
      <c r="CT96" s="260"/>
      <c r="CU96" s="260"/>
      <c r="CV96" s="260"/>
      <c r="CW96" s="260"/>
      <c r="CX96" s="260"/>
      <c r="CY96" s="260"/>
      <c r="CZ96" s="260"/>
      <c r="DA96" s="260"/>
      <c r="DB96" s="260"/>
      <c r="DC96" s="260"/>
      <c r="DD96" s="260"/>
      <c r="DE96" s="260"/>
      <c r="DF96" s="260"/>
      <c r="DG96" s="260"/>
      <c r="DH96" s="260"/>
      <c r="DI96" s="260"/>
      <c r="DJ96" s="260"/>
      <c r="DK96" s="260"/>
      <c r="DL96" s="260"/>
      <c r="DM96" s="260"/>
      <c r="DN96" s="260"/>
      <c r="DO96" s="260"/>
      <c r="DP96" s="260"/>
      <c r="DQ96" s="260"/>
      <c r="DR96" s="260"/>
      <c r="DS96" s="260"/>
      <c r="DT96" s="260"/>
      <c r="DU96" s="260"/>
      <c r="DV96" s="260"/>
      <c r="DW96" s="260"/>
      <c r="DX96" s="260"/>
      <c r="DY96" s="260"/>
      <c r="DZ96" s="260"/>
      <c r="EA96" s="260"/>
      <c r="EB96" s="260"/>
      <c r="EC96" s="260"/>
      <c r="ED96" s="260"/>
      <c r="EE96" s="260"/>
      <c r="EF96" s="260"/>
      <c r="EG96" s="260"/>
      <c r="EH96" s="260"/>
      <c r="EI96" s="260"/>
      <c r="EJ96" s="260"/>
      <c r="EK96" s="260"/>
      <c r="EL96" s="260"/>
      <c r="EM96" s="260"/>
      <c r="EN96" s="260"/>
      <c r="EO96" s="260"/>
      <c r="EP96" s="260"/>
      <c r="EQ96" s="260"/>
      <c r="ER96" s="260"/>
      <c r="ES96" s="260"/>
      <c r="ET96" s="260"/>
      <c r="EU96" s="260"/>
      <c r="EV96" s="260"/>
      <c r="EW96" s="260"/>
      <c r="EX96" s="260"/>
      <c r="EY96" s="260"/>
      <c r="EZ96" s="260"/>
      <c r="FA96" s="260"/>
      <c r="FB96" s="260"/>
      <c r="FC96" s="260"/>
      <c r="FD96" s="260"/>
      <c r="FE96" s="260"/>
      <c r="FF96" s="260"/>
      <c r="FG96" s="260"/>
      <c r="FH96" s="260"/>
      <c r="FI96" s="260"/>
      <c r="FJ96" s="260"/>
      <c r="FK96" s="260"/>
      <c r="FL96" s="260"/>
      <c r="FM96" s="260"/>
      <c r="FN96" s="260"/>
      <c r="FO96" s="260"/>
      <c r="FP96" s="260"/>
      <c r="FQ96" s="260"/>
      <c r="FR96" s="260"/>
      <c r="FS96" s="260"/>
      <c r="FT96" s="260"/>
      <c r="FU96" s="260"/>
      <c r="FV96" s="260"/>
      <c r="FW96" s="260"/>
      <c r="FX96" s="260"/>
      <c r="FY96" s="260"/>
      <c r="FZ96" s="260"/>
      <c r="GA96" s="260"/>
      <c r="GB96" s="260"/>
      <c r="GC96" s="260"/>
      <c r="GD96" s="260"/>
      <c r="GE96" s="260"/>
      <c r="GF96" s="260"/>
      <c r="GG96" s="260"/>
      <c r="GH96" s="260"/>
      <c r="GI96" s="260"/>
      <c r="GJ96" s="260"/>
      <c r="GK96" s="260"/>
      <c r="GL96" s="260"/>
      <c r="GM96" s="260"/>
      <c r="GN96" s="260"/>
      <c r="GO96" s="260"/>
      <c r="GP96" s="260"/>
      <c r="GQ96" s="260"/>
      <c r="GR96" s="260"/>
      <c r="GS96" s="260"/>
      <c r="GT96" s="260"/>
      <c r="GU96" s="260"/>
      <c r="GV96" s="260"/>
      <c r="GW96" s="260"/>
      <c r="GX96" s="260"/>
      <c r="GY96" s="260"/>
      <c r="GZ96" s="260"/>
      <c r="HA96" s="260"/>
      <c r="HB96" s="260"/>
      <c r="HC96" s="260"/>
      <c r="HD96" s="260"/>
      <c r="HE96" s="260"/>
      <c r="HF96" s="260"/>
      <c r="HG96" s="260"/>
      <c r="HH96" s="260"/>
      <c r="HI96" s="260"/>
      <c r="HJ96" s="260"/>
      <c r="HK96" s="260"/>
      <c r="HL96" s="260"/>
      <c r="HM96" s="260"/>
      <c r="HN96" s="260"/>
      <c r="HO96" s="260"/>
      <c r="HP96" s="260"/>
      <c r="HQ96" s="260"/>
      <c r="HR96" s="260"/>
      <c r="HS96" s="260"/>
      <c r="HT96" s="260"/>
      <c r="HU96" s="260"/>
      <c r="HV96" s="260"/>
      <c r="HW96" s="260"/>
      <c r="HX96" s="260"/>
      <c r="HY96" s="260"/>
      <c r="HZ96" s="260"/>
      <c r="IA96" s="260"/>
      <c r="IB96" s="260"/>
      <c r="IC96" s="260"/>
      <c r="ID96" s="260"/>
      <c r="IE96" s="260"/>
      <c r="IF96" s="260"/>
      <c r="IG96" s="260"/>
      <c r="IH96" s="260"/>
      <c r="II96" s="260"/>
      <c r="IJ96" s="260"/>
      <c r="IK96" s="260"/>
      <c r="IL96" s="260"/>
      <c r="IM96" s="260"/>
      <c r="IN96" s="260"/>
      <c r="IO96" s="260"/>
      <c r="IP96" s="260"/>
      <c r="IQ96" s="260"/>
      <c r="IR96" s="260"/>
      <c r="IS96" s="260"/>
      <c r="IT96" s="260"/>
      <c r="IU96" s="260"/>
      <c r="IV96" s="260"/>
      <c r="IW96" s="260"/>
      <c r="IX96" s="260"/>
      <c r="IY96" s="260"/>
      <c r="IZ96" s="260"/>
      <c r="JA96" s="260"/>
      <c r="JB96" s="260"/>
      <c r="JC96" s="260"/>
      <c r="JD96" s="260"/>
      <c r="JE96" s="260"/>
      <c r="JF96" s="260"/>
      <c r="JG96" s="260"/>
      <c r="JH96" s="260"/>
      <c r="JI96" s="260"/>
      <c r="JJ96" s="260"/>
      <c r="JK96" s="260"/>
      <c r="JL96" s="260"/>
      <c r="JM96" s="260"/>
      <c r="JN96" s="260"/>
      <c r="JO96" s="260"/>
      <c r="JP96" s="260"/>
      <c r="JQ96" s="260"/>
      <c r="JR96" s="260"/>
      <c r="JS96" s="260"/>
      <c r="JT96" s="260"/>
      <c r="JU96" s="260"/>
      <c r="JV96" s="260"/>
      <c r="JW96" s="260"/>
      <c r="JX96" s="260"/>
      <c r="JY96" s="260"/>
      <c r="JZ96" s="260"/>
      <c r="KA96" s="260"/>
      <c r="KB96" s="260"/>
      <c r="KC96" s="260"/>
      <c r="KD96" s="260"/>
      <c r="KE96" s="260"/>
      <c r="KF96" s="260"/>
      <c r="KG96" s="260"/>
      <c r="KH96" s="260"/>
      <c r="KI96" s="260"/>
      <c r="KJ96" s="260"/>
      <c r="KK96" s="260"/>
      <c r="KL96" s="260"/>
      <c r="KM96" s="260"/>
      <c r="KN96" s="260"/>
      <c r="KO96" s="260"/>
      <c r="KP96" s="260"/>
      <c r="KQ96" s="260"/>
      <c r="KR96" s="260"/>
      <c r="KS96" s="260"/>
      <c r="KT96" s="260"/>
      <c r="KU96" s="92"/>
    </row>
    <row r="97" spans="1:65" x14ac:dyDescent="0.15">
      <c r="G97" s="148"/>
      <c r="H97" s="148"/>
      <c r="I97" s="148"/>
      <c r="J97" s="148"/>
      <c r="K97" s="148"/>
      <c r="L97" s="148"/>
      <c r="M97" s="148"/>
      <c r="N97" s="148"/>
      <c r="O97" s="148"/>
      <c r="P97" s="148"/>
      <c r="Q97" s="148"/>
      <c r="R97" s="148"/>
      <c r="S97" s="148"/>
      <c r="T97" s="148"/>
      <c r="U97" s="148"/>
      <c r="V97" s="148"/>
      <c r="W97" s="148"/>
      <c r="X97" s="148"/>
      <c r="Y97" s="148"/>
      <c r="Z97" s="148"/>
      <c r="AA97" s="148"/>
      <c r="AB97" s="148"/>
      <c r="AC97" s="148"/>
      <c r="AD97" s="148"/>
      <c r="AE97" s="148"/>
      <c r="AF97" s="148"/>
      <c r="AG97" s="148"/>
      <c r="AH97" s="148"/>
      <c r="AI97" s="148"/>
      <c r="AJ97" s="148"/>
      <c r="AK97" s="148"/>
      <c r="AL97" s="148"/>
      <c r="AM97" s="148"/>
      <c r="AN97" s="148"/>
      <c r="AO97" s="148"/>
      <c r="AP97" s="148"/>
      <c r="AQ97" s="148"/>
      <c r="AR97" s="148"/>
      <c r="AS97" s="148"/>
      <c r="AT97" s="148"/>
      <c r="AU97" s="148"/>
      <c r="AV97" s="148"/>
      <c r="AW97" s="148"/>
      <c r="AX97" s="148"/>
      <c r="AY97" s="148"/>
      <c r="AZ97" s="148"/>
      <c r="BA97" s="148"/>
      <c r="BB97" s="148"/>
      <c r="BC97" s="148"/>
      <c r="BD97" s="148"/>
    </row>
    <row r="98" spans="1:65" ht="13" thickBot="1" x14ac:dyDescent="0.2">
      <c r="A98" s="157"/>
      <c r="B98" s="230" t="s">
        <v>344</v>
      </c>
      <c r="C98" s="231"/>
      <c r="D98" s="232"/>
      <c r="E98" s="233"/>
      <c r="F98" s="234"/>
      <c r="G98" s="233"/>
      <c r="H98" s="233"/>
      <c r="I98" s="233"/>
      <c r="J98" s="233"/>
      <c r="K98" s="233"/>
      <c r="L98" s="233"/>
      <c r="M98" s="233"/>
      <c r="N98" s="233"/>
      <c r="O98" s="233"/>
      <c r="P98" s="233"/>
      <c r="Q98" s="233"/>
      <c r="R98" s="233"/>
      <c r="S98" s="233"/>
      <c r="T98" s="233"/>
      <c r="U98" s="233"/>
      <c r="V98" s="233"/>
      <c r="W98" s="233"/>
      <c r="X98" s="233"/>
      <c r="Y98" s="233"/>
      <c r="Z98" s="233"/>
      <c r="AA98" s="233"/>
      <c r="AB98" s="233"/>
      <c r="AC98" s="233"/>
      <c r="AD98" s="233"/>
      <c r="AE98" s="233"/>
      <c r="AF98" s="233"/>
      <c r="AG98" s="233"/>
      <c r="AH98" s="233"/>
      <c r="AI98" s="233"/>
      <c r="AJ98" s="233"/>
      <c r="AK98" s="233"/>
      <c r="AL98" s="233"/>
      <c r="AM98" s="233"/>
      <c r="AN98" s="233"/>
      <c r="AO98" s="233"/>
      <c r="AP98" s="233"/>
      <c r="AQ98" s="233"/>
      <c r="AR98" s="233"/>
      <c r="AS98" s="233"/>
      <c r="AT98" s="233"/>
      <c r="AU98" s="233"/>
      <c r="AV98" s="233"/>
      <c r="AW98" s="233"/>
      <c r="AX98" s="233"/>
      <c r="AY98" s="233"/>
      <c r="AZ98" s="233"/>
      <c r="BA98" s="233"/>
      <c r="BB98" s="233"/>
      <c r="BC98" s="233"/>
      <c r="BD98" s="233"/>
      <c r="BE98" s="233"/>
      <c r="BF98" s="233"/>
      <c r="BG98" s="233"/>
      <c r="BH98" s="233"/>
      <c r="BI98" s="233"/>
      <c r="BJ98" s="233"/>
      <c r="BK98" s="233"/>
      <c r="BL98" s="233"/>
      <c r="BM98" s="233"/>
    </row>
    <row r="99" spans="1:65" ht="12" thickTop="1" x14ac:dyDescent="0.15">
      <c r="C99" s="261" t="s">
        <v>345</v>
      </c>
      <c r="F99" s="92" t="s">
        <v>138</v>
      </c>
      <c r="K99" s="92" t="s">
        <v>346</v>
      </c>
      <c r="L99" s="92" t="s">
        <v>347</v>
      </c>
    </row>
    <row r="100" spans="1:65" x14ac:dyDescent="0.15">
      <c r="C100" s="92" t="s">
        <v>302</v>
      </c>
      <c r="F100" s="235">
        <f>Leadsheet!J87</f>
        <v>1.7406538178919916E-2</v>
      </c>
      <c r="G100" s="235">
        <f>Leadsheet!K87</f>
        <v>0.1098666411461388</v>
      </c>
      <c r="K100" s="235">
        <v>7.4999999999999997E-3</v>
      </c>
      <c r="L100" s="262">
        <v>7.4999999999999997E-3</v>
      </c>
    </row>
    <row r="101" spans="1:65" x14ac:dyDescent="0.15">
      <c r="C101" s="92" t="s">
        <v>304</v>
      </c>
      <c r="F101" s="235">
        <f>Leadsheet!J88</f>
        <v>0.82888277042475822</v>
      </c>
      <c r="G101" s="235">
        <f>Leadsheet!K88</f>
        <v>0.54933320573069389</v>
      </c>
      <c r="K101" s="235">
        <v>5.7500000000000002E-2</v>
      </c>
      <c r="L101" s="262">
        <v>5.7500000000000002E-2</v>
      </c>
    </row>
    <row r="102" spans="1:65" x14ac:dyDescent="0.15">
      <c r="C102" s="92" t="s">
        <v>305</v>
      </c>
      <c r="F102" s="235">
        <f>Leadsheet!J89</f>
        <v>0.87250817939448233</v>
      </c>
      <c r="G102" s="235">
        <f>Leadsheet!K89</f>
        <v>0.78476172247241982</v>
      </c>
      <c r="K102" s="235">
        <v>5.7500000000000002E-2</v>
      </c>
      <c r="L102" s="262">
        <v>5.7500000000000002E-2</v>
      </c>
    </row>
    <row r="103" spans="1:65" x14ac:dyDescent="0.15">
      <c r="C103" s="92" t="s">
        <v>306</v>
      </c>
      <c r="F103" s="235">
        <f>Leadsheet!J90</f>
        <v>0.89949296844791993</v>
      </c>
      <c r="G103" s="235">
        <f>Leadsheet!K90</f>
        <v>0.87195746941379992</v>
      </c>
      <c r="K103" s="235">
        <v>5.7500000000000002E-2</v>
      </c>
      <c r="L103" s="262">
        <v>5.7500000000000002E-2</v>
      </c>
    </row>
    <row r="104" spans="1:65" x14ac:dyDescent="0.15">
      <c r="C104" s="92" t="s">
        <v>308</v>
      </c>
      <c r="F104" s="235">
        <f>Leadsheet!J91</f>
        <v>0.91784996780400008</v>
      </c>
      <c r="G104" s="235">
        <f>Leadsheet!K91</f>
        <v>0.91784996780400008</v>
      </c>
      <c r="K104" s="235">
        <v>0.20749999999999999</v>
      </c>
      <c r="L104" s="262">
        <v>0.20749999999999999</v>
      </c>
    </row>
    <row r="105" spans="1:65" x14ac:dyDescent="0.15">
      <c r="C105" s="92" t="s">
        <v>309</v>
      </c>
      <c r="F105" s="235">
        <f>Leadsheet!J92</f>
        <v>0.92712117959999996</v>
      </c>
      <c r="G105" s="235">
        <f>Leadsheet!K92</f>
        <v>0.92712117959999996</v>
      </c>
      <c r="K105" s="235">
        <v>0.20749999999999999</v>
      </c>
      <c r="L105" s="262">
        <v>0.20749999999999999</v>
      </c>
    </row>
    <row r="106" spans="1:65" x14ac:dyDescent="0.15">
      <c r="C106" s="92" t="s">
        <v>310</v>
      </c>
      <c r="F106" s="235">
        <f>Leadsheet!J93</f>
        <v>0.9317800799999999</v>
      </c>
      <c r="G106" s="235">
        <f>Leadsheet!K93</f>
        <v>0.9317800799999999</v>
      </c>
      <c r="K106" s="235">
        <v>0.20749999999999999</v>
      </c>
      <c r="L106" s="262">
        <v>0.20749999999999999</v>
      </c>
    </row>
    <row r="107" spans="1:65" x14ac:dyDescent="0.15">
      <c r="C107" s="92" t="s">
        <v>312</v>
      </c>
      <c r="F107" s="235">
        <f>Leadsheet!J94</f>
        <v>0.9317800799999999</v>
      </c>
      <c r="G107" s="235">
        <f>Leadsheet!K94</f>
        <v>0.9317800799999999</v>
      </c>
      <c r="K107" s="235">
        <v>0.50749999999999995</v>
      </c>
      <c r="L107" s="262">
        <v>0.50749999999999995</v>
      </c>
    </row>
    <row r="108" spans="1:65" x14ac:dyDescent="0.15">
      <c r="C108" s="92" t="s">
        <v>313</v>
      </c>
      <c r="F108" s="235">
        <f>Leadsheet!J95</f>
        <v>0.95079599999999986</v>
      </c>
      <c r="G108" s="235">
        <f>Leadsheet!K95</f>
        <v>0.95079599999999986</v>
      </c>
      <c r="K108" s="235">
        <v>0.50749999999999995</v>
      </c>
      <c r="L108" s="262">
        <v>1</v>
      </c>
    </row>
    <row r="109" spans="1:65" x14ac:dyDescent="0.15">
      <c r="C109" s="92" t="s">
        <v>314</v>
      </c>
      <c r="F109" s="235">
        <f>Leadsheet!J96</f>
        <v>0.95079599999999986</v>
      </c>
      <c r="G109" s="235">
        <f>Leadsheet!K96</f>
        <v>0.95079599999999986</v>
      </c>
      <c r="K109" s="235">
        <v>0.50749999999999995</v>
      </c>
    </row>
    <row r="110" spans="1:65" x14ac:dyDescent="0.15">
      <c r="C110" s="92" t="s">
        <v>315</v>
      </c>
      <c r="F110" s="235">
        <f>Leadsheet!J97</f>
        <v>0.95079599999999986</v>
      </c>
      <c r="G110" s="235">
        <f>Leadsheet!K97</f>
        <v>0.95079599999999986</v>
      </c>
      <c r="K110" s="235">
        <v>0.50749999999999995</v>
      </c>
    </row>
    <row r="111" spans="1:65" x14ac:dyDescent="0.15">
      <c r="C111" s="92" t="s">
        <v>316</v>
      </c>
      <c r="F111" s="235">
        <f>Leadsheet!J98</f>
        <v>0.95079599999999986</v>
      </c>
      <c r="G111" s="235">
        <f>Leadsheet!K98</f>
        <v>0.95079599999999986</v>
      </c>
      <c r="K111" s="235">
        <v>0.50749999999999995</v>
      </c>
    </row>
    <row r="112" spans="1:65" x14ac:dyDescent="0.15">
      <c r="C112" s="92" t="s">
        <v>317</v>
      </c>
      <c r="F112" s="235">
        <f>Leadsheet!J99</f>
        <v>0.95079599999999986</v>
      </c>
      <c r="G112" s="235">
        <f>Leadsheet!K99</f>
        <v>0.95079599999999986</v>
      </c>
      <c r="K112" s="235">
        <v>0.50749999999999995</v>
      </c>
    </row>
    <row r="113" spans="2:307" x14ac:dyDescent="0.15">
      <c r="C113" s="92" t="s">
        <v>319</v>
      </c>
      <c r="F113" s="235">
        <f>Leadsheet!J100</f>
        <v>0.95079599999999986</v>
      </c>
      <c r="G113" s="235">
        <f>Leadsheet!K100</f>
        <v>0.95079599999999986</v>
      </c>
      <c r="K113" s="235">
        <v>1</v>
      </c>
    </row>
    <row r="114" spans="2:307" x14ac:dyDescent="0.15">
      <c r="C114" s="92" t="s">
        <v>321</v>
      </c>
      <c r="F114" s="235">
        <f>Leadsheet!J101</f>
        <v>0.97019999999999995</v>
      </c>
      <c r="G114" s="235">
        <f>Leadsheet!K101</f>
        <v>0.97019999999999995</v>
      </c>
      <c r="K114" s="235">
        <v>1</v>
      </c>
    </row>
    <row r="116" spans="2:307" x14ac:dyDescent="0.15">
      <c r="B116" s="157" t="s">
        <v>138</v>
      </c>
    </row>
    <row r="117" spans="2:307" s="157" customFormat="1" x14ac:dyDescent="0.15">
      <c r="C117" s="157" t="s">
        <v>348</v>
      </c>
      <c r="D117" s="225"/>
      <c r="KU117" s="92"/>
    </row>
    <row r="118" spans="2:307" s="157" customFormat="1" x14ac:dyDescent="0.15">
      <c r="C118" s="92" t="s">
        <v>302</v>
      </c>
      <c r="D118" s="225"/>
      <c r="F118" s="150">
        <f t="shared" ref="F118:AC128" si="19">IF(F$4&gt;$F$6,0,F19*IF(F$5&gt;=1,$F100,$G100))</f>
        <v>0.12110631730078894</v>
      </c>
      <c r="G118" s="150">
        <f t="shared" si="19"/>
        <v>0.1143315492269355</v>
      </c>
      <c r="H118" s="150">
        <f t="shared" si="19"/>
        <v>0.107763631713283</v>
      </c>
      <c r="I118" s="150">
        <f t="shared" si="19"/>
        <v>0.10136969780303796</v>
      </c>
      <c r="J118" s="150">
        <f t="shared" si="19"/>
        <v>9.5118598224448334E-2</v>
      </c>
      <c r="K118" s="150">
        <f t="shared" si="19"/>
        <v>8.8995197838491399E-2</v>
      </c>
      <c r="L118" s="150">
        <f t="shared" si="19"/>
        <v>8.2984528765833593E-2</v>
      </c>
      <c r="M118" s="150">
        <f t="shared" si="19"/>
        <v>7.7085556699775612E-2</v>
      </c>
      <c r="N118" s="150">
        <f t="shared" si="19"/>
        <v>0</v>
      </c>
      <c r="O118" s="150">
        <f t="shared" si="19"/>
        <v>0</v>
      </c>
      <c r="P118" s="150">
        <f t="shared" si="19"/>
        <v>0</v>
      </c>
      <c r="Q118" s="150">
        <f t="shared" si="19"/>
        <v>0</v>
      </c>
      <c r="R118" s="150">
        <f t="shared" si="19"/>
        <v>0</v>
      </c>
      <c r="S118" s="150">
        <f t="shared" si="19"/>
        <v>0</v>
      </c>
      <c r="T118" s="150">
        <f t="shared" si="19"/>
        <v>0</v>
      </c>
      <c r="U118" s="150">
        <f t="shared" si="19"/>
        <v>0</v>
      </c>
      <c r="V118" s="150">
        <f t="shared" si="19"/>
        <v>0</v>
      </c>
      <c r="W118" s="150">
        <f t="shared" si="19"/>
        <v>0</v>
      </c>
      <c r="X118" s="150">
        <f t="shared" si="19"/>
        <v>0</v>
      </c>
      <c r="Y118" s="150">
        <f t="shared" si="19"/>
        <v>0</v>
      </c>
      <c r="Z118" s="150">
        <f t="shared" si="19"/>
        <v>0</v>
      </c>
      <c r="AA118" s="150">
        <f t="shared" si="19"/>
        <v>0</v>
      </c>
      <c r="AB118" s="150">
        <f t="shared" si="19"/>
        <v>0</v>
      </c>
      <c r="AC118" s="150">
        <f t="shared" si="19"/>
        <v>0</v>
      </c>
      <c r="AD118" s="150">
        <f t="shared" ref="AD118:BM125" si="20">IF(AD$4&gt;$F$6,0,AD19*$F100)</f>
        <v>0</v>
      </c>
      <c r="AE118" s="150">
        <f t="shared" si="20"/>
        <v>0</v>
      </c>
      <c r="AF118" s="150">
        <f t="shared" si="20"/>
        <v>0</v>
      </c>
      <c r="AG118" s="150">
        <f t="shared" si="20"/>
        <v>0</v>
      </c>
      <c r="AH118" s="150">
        <f t="shared" si="20"/>
        <v>0</v>
      </c>
      <c r="AI118" s="150">
        <f t="shared" si="20"/>
        <v>0</v>
      </c>
      <c r="AJ118" s="150">
        <f t="shared" si="20"/>
        <v>0</v>
      </c>
      <c r="AK118" s="150">
        <f t="shared" si="20"/>
        <v>0</v>
      </c>
      <c r="AL118" s="150">
        <f t="shared" si="20"/>
        <v>0</v>
      </c>
      <c r="AM118" s="150">
        <f t="shared" si="20"/>
        <v>0</v>
      </c>
      <c r="AN118" s="150">
        <f t="shared" si="20"/>
        <v>0</v>
      </c>
      <c r="AO118" s="150">
        <f t="shared" si="20"/>
        <v>0</v>
      </c>
      <c r="AP118" s="150">
        <f t="shared" si="20"/>
        <v>0</v>
      </c>
      <c r="AQ118" s="150">
        <f t="shared" si="20"/>
        <v>0</v>
      </c>
      <c r="AR118" s="150">
        <f t="shared" si="20"/>
        <v>0</v>
      </c>
      <c r="AS118" s="150">
        <f t="shared" si="20"/>
        <v>0</v>
      </c>
      <c r="AT118" s="150">
        <f t="shared" si="20"/>
        <v>0</v>
      </c>
      <c r="AU118" s="150">
        <f t="shared" si="20"/>
        <v>0</v>
      </c>
      <c r="AV118" s="150">
        <f t="shared" si="20"/>
        <v>0</v>
      </c>
      <c r="AW118" s="150">
        <f t="shared" si="20"/>
        <v>0</v>
      </c>
      <c r="AX118" s="150">
        <f t="shared" si="20"/>
        <v>0</v>
      </c>
      <c r="AY118" s="150">
        <f t="shared" si="20"/>
        <v>0</v>
      </c>
      <c r="AZ118" s="150">
        <f t="shared" si="20"/>
        <v>0</v>
      </c>
      <c r="BA118" s="150">
        <f t="shared" si="20"/>
        <v>0</v>
      </c>
      <c r="BB118" s="150">
        <f t="shared" si="20"/>
        <v>0</v>
      </c>
      <c r="BC118" s="150">
        <f t="shared" si="20"/>
        <v>0</v>
      </c>
      <c r="BD118" s="150">
        <f t="shared" si="20"/>
        <v>0</v>
      </c>
      <c r="BE118" s="150">
        <f t="shared" si="20"/>
        <v>0</v>
      </c>
      <c r="BF118" s="150">
        <f t="shared" si="20"/>
        <v>0</v>
      </c>
      <c r="BG118" s="150">
        <f t="shared" si="20"/>
        <v>0</v>
      </c>
      <c r="BH118" s="150">
        <f t="shared" si="20"/>
        <v>0</v>
      </c>
      <c r="BI118" s="150">
        <f t="shared" si="20"/>
        <v>0</v>
      </c>
      <c r="BJ118" s="150">
        <f t="shared" si="20"/>
        <v>0</v>
      </c>
      <c r="BK118" s="150">
        <f t="shared" si="20"/>
        <v>0</v>
      </c>
      <c r="BL118" s="150">
        <f t="shared" si="20"/>
        <v>0</v>
      </c>
      <c r="BM118" s="150">
        <f t="shared" si="20"/>
        <v>0</v>
      </c>
      <c r="BN118" s="150"/>
      <c r="BO118" s="150"/>
      <c r="BP118" s="150"/>
      <c r="BQ118" s="150"/>
      <c r="BR118" s="150"/>
      <c r="BS118" s="150"/>
      <c r="BT118" s="150"/>
      <c r="BU118" s="150"/>
      <c r="BV118" s="150"/>
      <c r="BW118" s="150"/>
      <c r="BX118" s="150"/>
      <c r="BY118" s="150"/>
      <c r="BZ118" s="150"/>
      <c r="CA118" s="150"/>
      <c r="CB118" s="150"/>
      <c r="CC118" s="150"/>
      <c r="CD118" s="150"/>
      <c r="CE118" s="150"/>
      <c r="CF118" s="150"/>
      <c r="CG118" s="150"/>
      <c r="CH118" s="150"/>
      <c r="CI118" s="150"/>
      <c r="CJ118" s="150"/>
      <c r="CK118" s="150"/>
      <c r="CL118" s="150"/>
      <c r="CM118" s="150"/>
      <c r="CN118" s="150"/>
      <c r="CO118" s="150"/>
      <c r="CP118" s="150"/>
      <c r="CQ118" s="150"/>
      <c r="CR118" s="150"/>
      <c r="CS118" s="150"/>
      <c r="CT118" s="150"/>
      <c r="CU118" s="150"/>
      <c r="CV118" s="150"/>
      <c r="CW118" s="150"/>
      <c r="CX118" s="150"/>
      <c r="CY118" s="150"/>
      <c r="CZ118" s="150"/>
      <c r="DA118" s="150"/>
      <c r="DB118" s="150"/>
      <c r="DC118" s="150"/>
      <c r="DD118" s="150"/>
      <c r="DE118" s="150"/>
      <c r="DF118" s="150"/>
      <c r="DG118" s="150"/>
      <c r="DH118" s="150"/>
      <c r="DI118" s="150"/>
      <c r="DJ118" s="150"/>
      <c r="DK118" s="150"/>
      <c r="DL118" s="150"/>
      <c r="DM118" s="150"/>
      <c r="DN118" s="150"/>
      <c r="DO118" s="150"/>
      <c r="DP118" s="150"/>
      <c r="DQ118" s="150"/>
      <c r="DR118" s="150"/>
      <c r="DS118" s="150"/>
      <c r="DT118" s="150"/>
      <c r="DU118" s="150"/>
      <c r="DV118" s="150"/>
      <c r="DW118" s="150"/>
      <c r="DX118" s="150"/>
      <c r="DY118" s="150"/>
      <c r="DZ118" s="150"/>
      <c r="EA118" s="150"/>
      <c r="EB118" s="150"/>
      <c r="EC118" s="150"/>
      <c r="ED118" s="150"/>
      <c r="EE118" s="150"/>
      <c r="EF118" s="150"/>
      <c r="EG118" s="150"/>
      <c r="EH118" s="150"/>
      <c r="EI118" s="150"/>
      <c r="EJ118" s="150"/>
      <c r="EK118" s="150"/>
      <c r="EL118" s="150"/>
      <c r="EM118" s="150"/>
      <c r="EN118" s="150"/>
      <c r="EO118" s="150"/>
      <c r="EP118" s="150"/>
      <c r="EQ118" s="150"/>
      <c r="ER118" s="150"/>
      <c r="ES118" s="150"/>
      <c r="ET118" s="150"/>
      <c r="EU118" s="150"/>
      <c r="EV118" s="150"/>
      <c r="EW118" s="150"/>
      <c r="EX118" s="150"/>
      <c r="EY118" s="150"/>
      <c r="EZ118" s="150"/>
      <c r="FA118" s="150"/>
      <c r="FB118" s="150"/>
      <c r="FC118" s="150"/>
      <c r="FD118" s="150"/>
      <c r="FE118" s="150"/>
      <c r="FF118" s="150"/>
      <c r="FG118" s="150"/>
      <c r="FH118" s="150"/>
      <c r="FI118" s="150"/>
      <c r="FJ118" s="150"/>
      <c r="FK118" s="150"/>
      <c r="FL118" s="150"/>
      <c r="FM118" s="150"/>
      <c r="FN118" s="150"/>
      <c r="FO118" s="150"/>
      <c r="FP118" s="150"/>
      <c r="FQ118" s="150"/>
      <c r="FR118" s="150"/>
      <c r="FS118" s="150"/>
      <c r="FT118" s="150"/>
      <c r="FU118" s="150"/>
      <c r="FV118" s="150"/>
      <c r="FW118" s="150"/>
      <c r="FX118" s="150"/>
      <c r="FY118" s="150"/>
      <c r="FZ118" s="150"/>
      <c r="GA118" s="150"/>
      <c r="GB118" s="150"/>
      <c r="GC118" s="150"/>
      <c r="GD118" s="150"/>
      <c r="GE118" s="150"/>
      <c r="GF118" s="150"/>
      <c r="GG118" s="150"/>
      <c r="GH118" s="150"/>
      <c r="GI118" s="150"/>
      <c r="GJ118" s="150"/>
      <c r="GK118" s="150"/>
      <c r="GL118" s="150"/>
      <c r="GM118" s="150"/>
      <c r="GN118" s="150"/>
      <c r="GO118" s="150"/>
      <c r="GP118" s="150"/>
      <c r="GQ118" s="150"/>
      <c r="GR118" s="150"/>
      <c r="GS118" s="150"/>
      <c r="GT118" s="150"/>
      <c r="GU118" s="150"/>
      <c r="GV118" s="150"/>
      <c r="GW118" s="150"/>
      <c r="GX118" s="150"/>
      <c r="GY118" s="150"/>
      <c r="GZ118" s="150"/>
      <c r="HA118" s="150"/>
      <c r="HB118" s="150"/>
      <c r="HC118" s="150"/>
      <c r="HD118" s="150"/>
      <c r="HE118" s="150"/>
      <c r="HF118" s="150"/>
      <c r="HG118" s="150"/>
      <c r="HH118" s="150"/>
      <c r="HI118" s="150"/>
      <c r="HJ118" s="150"/>
      <c r="HK118" s="150"/>
      <c r="HL118" s="150"/>
      <c r="HM118" s="150"/>
      <c r="HN118" s="150"/>
      <c r="HO118" s="150"/>
      <c r="HP118" s="150"/>
      <c r="HQ118" s="150"/>
      <c r="HR118" s="150"/>
      <c r="HS118" s="150"/>
      <c r="HT118" s="150"/>
      <c r="HU118" s="150"/>
      <c r="HV118" s="150"/>
      <c r="HW118" s="150"/>
      <c r="HX118" s="150"/>
      <c r="HY118" s="150"/>
      <c r="HZ118" s="150"/>
      <c r="IA118" s="150"/>
      <c r="IB118" s="150"/>
      <c r="IC118" s="150"/>
      <c r="ID118" s="150"/>
      <c r="IE118" s="150"/>
      <c r="IF118" s="150"/>
      <c r="IG118" s="150"/>
      <c r="IH118" s="150"/>
      <c r="II118" s="150"/>
      <c r="IJ118" s="150"/>
      <c r="IK118" s="150"/>
      <c r="IL118" s="150"/>
      <c r="IM118" s="150"/>
      <c r="IN118" s="150"/>
      <c r="IO118" s="150"/>
      <c r="IP118" s="150"/>
      <c r="IQ118" s="150"/>
      <c r="IR118" s="150"/>
      <c r="IS118" s="150"/>
      <c r="IT118" s="150"/>
      <c r="IU118" s="150"/>
      <c r="IV118" s="150"/>
      <c r="IW118" s="150"/>
      <c r="IX118" s="150"/>
      <c r="IY118" s="150"/>
      <c r="IZ118" s="150"/>
      <c r="JA118" s="150"/>
      <c r="JB118" s="150"/>
      <c r="JC118" s="150"/>
      <c r="JD118" s="150"/>
      <c r="JE118" s="150"/>
      <c r="JF118" s="150"/>
      <c r="JG118" s="150"/>
      <c r="JH118" s="150"/>
      <c r="JI118" s="150"/>
      <c r="JJ118" s="150"/>
      <c r="JK118" s="150"/>
      <c r="JL118" s="150"/>
      <c r="JM118" s="150"/>
      <c r="JN118" s="150"/>
      <c r="JO118" s="150"/>
      <c r="JP118" s="150"/>
      <c r="JQ118" s="150"/>
      <c r="JR118" s="150"/>
      <c r="JS118" s="150"/>
      <c r="JT118" s="150"/>
      <c r="JU118" s="150"/>
      <c r="JV118" s="150"/>
      <c r="JW118" s="150"/>
      <c r="JX118" s="150"/>
      <c r="JY118" s="150"/>
      <c r="JZ118" s="150"/>
      <c r="KA118" s="150"/>
      <c r="KB118" s="150"/>
      <c r="KC118" s="150"/>
      <c r="KD118" s="150"/>
      <c r="KE118" s="150"/>
      <c r="KF118" s="150"/>
      <c r="KG118" s="150"/>
      <c r="KH118" s="150"/>
      <c r="KI118" s="150"/>
      <c r="KJ118" s="150"/>
      <c r="KK118" s="150"/>
      <c r="KL118" s="150"/>
      <c r="KM118" s="150"/>
      <c r="KN118" s="150"/>
      <c r="KO118" s="150"/>
      <c r="KP118" s="150"/>
      <c r="KQ118" s="150"/>
      <c r="KR118" s="150"/>
      <c r="KS118" s="150"/>
      <c r="KT118" s="150"/>
      <c r="KU118" s="92"/>
    </row>
    <row r="119" spans="2:307" s="157" customFormat="1" x14ac:dyDescent="0.15">
      <c r="C119" s="92" t="s">
        <v>304</v>
      </c>
      <c r="D119" s="225"/>
      <c r="F119" s="150">
        <f t="shared" si="19"/>
        <v>0.13860731454219571</v>
      </c>
      <c r="G119" s="150">
        <f t="shared" si="19"/>
        <v>0.12110631730078898</v>
      </c>
      <c r="H119" s="150">
        <f t="shared" si="19"/>
        <v>0.11433154922693556</v>
      </c>
      <c r="I119" s="150">
        <f t="shared" si="19"/>
        <v>0.10776363171328306</v>
      </c>
      <c r="J119" s="150">
        <f t="shared" si="19"/>
        <v>0.10136969780303799</v>
      </c>
      <c r="K119" s="150">
        <f t="shared" si="19"/>
        <v>9.5118598224448361E-2</v>
      </c>
      <c r="L119" s="150">
        <f t="shared" si="19"/>
        <v>8.8995197838491427E-2</v>
      </c>
      <c r="M119" s="150">
        <f t="shared" si="19"/>
        <v>8.2984528765833621E-2</v>
      </c>
      <c r="N119" s="150">
        <f t="shared" si="19"/>
        <v>0.48654885356475258</v>
      </c>
      <c r="O119" s="150">
        <f t="shared" si="19"/>
        <v>0</v>
      </c>
      <c r="P119" s="150">
        <f t="shared" si="19"/>
        <v>0</v>
      </c>
      <c r="Q119" s="150">
        <f t="shared" si="19"/>
        <v>0</v>
      </c>
      <c r="R119" s="150">
        <f t="shared" si="19"/>
        <v>0</v>
      </c>
      <c r="S119" s="150">
        <f t="shared" si="19"/>
        <v>0</v>
      </c>
      <c r="T119" s="150">
        <f t="shared" si="19"/>
        <v>0</v>
      </c>
      <c r="U119" s="150">
        <f t="shared" si="19"/>
        <v>0</v>
      </c>
      <c r="V119" s="150">
        <f t="shared" si="19"/>
        <v>0</v>
      </c>
      <c r="W119" s="150">
        <f t="shared" si="19"/>
        <v>0</v>
      </c>
      <c r="X119" s="150">
        <f t="shared" si="19"/>
        <v>0</v>
      </c>
      <c r="Y119" s="150">
        <f t="shared" si="19"/>
        <v>0</v>
      </c>
      <c r="Z119" s="150">
        <f t="shared" si="19"/>
        <v>0</v>
      </c>
      <c r="AA119" s="150">
        <f t="shared" si="19"/>
        <v>0</v>
      </c>
      <c r="AB119" s="150">
        <f t="shared" si="19"/>
        <v>0</v>
      </c>
      <c r="AC119" s="150">
        <f t="shared" si="19"/>
        <v>0</v>
      </c>
      <c r="AD119" s="150">
        <f t="shared" si="20"/>
        <v>0</v>
      </c>
      <c r="AE119" s="150">
        <f t="shared" si="20"/>
        <v>0</v>
      </c>
      <c r="AF119" s="150">
        <f t="shared" si="20"/>
        <v>0</v>
      </c>
      <c r="AG119" s="150">
        <f t="shared" si="20"/>
        <v>0</v>
      </c>
      <c r="AH119" s="150">
        <f t="shared" si="20"/>
        <v>0</v>
      </c>
      <c r="AI119" s="150">
        <f t="shared" si="20"/>
        <v>0</v>
      </c>
      <c r="AJ119" s="150">
        <f t="shared" si="20"/>
        <v>0</v>
      </c>
      <c r="AK119" s="150">
        <f t="shared" si="20"/>
        <v>0</v>
      </c>
      <c r="AL119" s="150">
        <f t="shared" si="20"/>
        <v>0</v>
      </c>
      <c r="AM119" s="150">
        <f t="shared" si="20"/>
        <v>0</v>
      </c>
      <c r="AN119" s="150">
        <f t="shared" si="20"/>
        <v>0</v>
      </c>
      <c r="AO119" s="150">
        <f t="shared" si="20"/>
        <v>0</v>
      </c>
      <c r="AP119" s="150">
        <f t="shared" si="20"/>
        <v>0</v>
      </c>
      <c r="AQ119" s="150">
        <f t="shared" si="20"/>
        <v>0</v>
      </c>
      <c r="AR119" s="150">
        <f t="shared" si="20"/>
        <v>0</v>
      </c>
      <c r="AS119" s="150">
        <f t="shared" si="20"/>
        <v>0</v>
      </c>
      <c r="AT119" s="150">
        <f t="shared" si="20"/>
        <v>0</v>
      </c>
      <c r="AU119" s="150">
        <f t="shared" si="20"/>
        <v>0</v>
      </c>
      <c r="AV119" s="150">
        <f t="shared" si="20"/>
        <v>0</v>
      </c>
      <c r="AW119" s="150">
        <f t="shared" si="20"/>
        <v>0</v>
      </c>
      <c r="AX119" s="150">
        <f t="shared" si="20"/>
        <v>0</v>
      </c>
      <c r="AY119" s="150">
        <f t="shared" si="20"/>
        <v>0</v>
      </c>
      <c r="AZ119" s="150">
        <f t="shared" si="20"/>
        <v>0</v>
      </c>
      <c r="BA119" s="150">
        <f t="shared" si="20"/>
        <v>0</v>
      </c>
      <c r="BB119" s="150">
        <f t="shared" si="20"/>
        <v>0</v>
      </c>
      <c r="BC119" s="150">
        <f t="shared" si="20"/>
        <v>0</v>
      </c>
      <c r="BD119" s="150">
        <f t="shared" si="20"/>
        <v>0</v>
      </c>
      <c r="BE119" s="150">
        <f t="shared" si="20"/>
        <v>0</v>
      </c>
      <c r="BF119" s="150">
        <f t="shared" si="20"/>
        <v>0</v>
      </c>
      <c r="BG119" s="150">
        <f t="shared" si="20"/>
        <v>0</v>
      </c>
      <c r="BH119" s="150">
        <f t="shared" si="20"/>
        <v>0</v>
      </c>
      <c r="BI119" s="150">
        <f t="shared" si="20"/>
        <v>0</v>
      </c>
      <c r="BJ119" s="150">
        <f t="shared" si="20"/>
        <v>0</v>
      </c>
      <c r="BK119" s="150">
        <f t="shared" si="20"/>
        <v>0</v>
      </c>
      <c r="BL119" s="150">
        <f t="shared" si="20"/>
        <v>0</v>
      </c>
      <c r="BM119" s="150">
        <f t="shared" si="20"/>
        <v>0</v>
      </c>
      <c r="BN119" s="150"/>
      <c r="BO119" s="150"/>
      <c r="BP119" s="150"/>
      <c r="BQ119" s="150"/>
      <c r="BR119" s="150"/>
      <c r="BS119" s="150"/>
      <c r="BT119" s="150"/>
      <c r="BU119" s="150"/>
      <c r="BV119" s="150"/>
      <c r="BW119" s="150"/>
      <c r="BX119" s="150"/>
      <c r="BY119" s="150"/>
      <c r="BZ119" s="150"/>
      <c r="CA119" s="150"/>
      <c r="CB119" s="150"/>
      <c r="CC119" s="150"/>
      <c r="CD119" s="150"/>
      <c r="CE119" s="150"/>
      <c r="CF119" s="150"/>
      <c r="CG119" s="150"/>
      <c r="CH119" s="150"/>
      <c r="CI119" s="150"/>
      <c r="CJ119" s="150"/>
      <c r="CK119" s="150"/>
      <c r="CL119" s="150"/>
      <c r="CM119" s="150"/>
      <c r="CN119" s="150"/>
      <c r="CO119" s="150"/>
      <c r="CP119" s="150"/>
      <c r="CQ119" s="150"/>
      <c r="CR119" s="150"/>
      <c r="CS119" s="150"/>
      <c r="CT119" s="150"/>
      <c r="CU119" s="150"/>
      <c r="CV119" s="150"/>
      <c r="CW119" s="150"/>
      <c r="CX119" s="150"/>
      <c r="CY119" s="150"/>
      <c r="CZ119" s="150"/>
      <c r="DA119" s="150"/>
      <c r="DB119" s="150"/>
      <c r="DC119" s="150"/>
      <c r="DD119" s="150"/>
      <c r="DE119" s="150"/>
      <c r="DF119" s="150"/>
      <c r="DG119" s="150"/>
      <c r="DH119" s="150"/>
      <c r="DI119" s="150"/>
      <c r="DJ119" s="150"/>
      <c r="DK119" s="150"/>
      <c r="DL119" s="150"/>
      <c r="DM119" s="150"/>
      <c r="DN119" s="150"/>
      <c r="DO119" s="150"/>
      <c r="DP119" s="150"/>
      <c r="DQ119" s="150"/>
      <c r="DR119" s="150"/>
      <c r="DS119" s="150"/>
      <c r="DT119" s="150"/>
      <c r="DU119" s="150"/>
      <c r="DV119" s="150"/>
      <c r="DW119" s="150"/>
      <c r="DX119" s="150"/>
      <c r="DY119" s="150"/>
      <c r="DZ119" s="150"/>
      <c r="EA119" s="150"/>
      <c r="EB119" s="150"/>
      <c r="EC119" s="150"/>
      <c r="ED119" s="150"/>
      <c r="EE119" s="150"/>
      <c r="EF119" s="150"/>
      <c r="EG119" s="150"/>
      <c r="EH119" s="150"/>
      <c r="EI119" s="150"/>
      <c r="EJ119" s="150"/>
      <c r="EK119" s="150"/>
      <c r="EL119" s="150"/>
      <c r="EM119" s="150"/>
      <c r="EN119" s="150"/>
      <c r="EO119" s="150"/>
      <c r="EP119" s="150"/>
      <c r="EQ119" s="150"/>
      <c r="ER119" s="150"/>
      <c r="ES119" s="150"/>
      <c r="ET119" s="150"/>
      <c r="EU119" s="150"/>
      <c r="EV119" s="150"/>
      <c r="EW119" s="150"/>
      <c r="EX119" s="150"/>
      <c r="EY119" s="150"/>
      <c r="EZ119" s="150"/>
      <c r="FA119" s="150"/>
      <c r="FB119" s="150"/>
      <c r="FC119" s="150"/>
      <c r="FD119" s="150"/>
      <c r="FE119" s="150"/>
      <c r="FF119" s="150"/>
      <c r="FG119" s="150"/>
      <c r="FH119" s="150"/>
      <c r="FI119" s="150"/>
      <c r="FJ119" s="150"/>
      <c r="FK119" s="150"/>
      <c r="FL119" s="150"/>
      <c r="FM119" s="150"/>
      <c r="FN119" s="150"/>
      <c r="FO119" s="150"/>
      <c r="FP119" s="150"/>
      <c r="FQ119" s="150"/>
      <c r="FR119" s="150"/>
      <c r="FS119" s="150"/>
      <c r="FT119" s="150"/>
      <c r="FU119" s="150"/>
      <c r="FV119" s="150"/>
      <c r="FW119" s="150"/>
      <c r="FX119" s="150"/>
      <c r="FY119" s="150"/>
      <c r="FZ119" s="150"/>
      <c r="GA119" s="150"/>
      <c r="GB119" s="150"/>
      <c r="GC119" s="150"/>
      <c r="GD119" s="150"/>
      <c r="GE119" s="150"/>
      <c r="GF119" s="150"/>
      <c r="GG119" s="150"/>
      <c r="GH119" s="150"/>
      <c r="GI119" s="150"/>
      <c r="GJ119" s="150"/>
      <c r="GK119" s="150"/>
      <c r="GL119" s="150"/>
      <c r="GM119" s="150"/>
      <c r="GN119" s="150"/>
      <c r="GO119" s="150"/>
      <c r="GP119" s="150"/>
      <c r="GQ119" s="150"/>
      <c r="GR119" s="150"/>
      <c r="GS119" s="150"/>
      <c r="GT119" s="150"/>
      <c r="GU119" s="150"/>
      <c r="GV119" s="150"/>
      <c r="GW119" s="150"/>
      <c r="GX119" s="150"/>
      <c r="GY119" s="150"/>
      <c r="GZ119" s="150"/>
      <c r="HA119" s="150"/>
      <c r="HB119" s="150"/>
      <c r="HC119" s="150"/>
      <c r="HD119" s="150"/>
      <c r="HE119" s="150"/>
      <c r="HF119" s="150"/>
      <c r="HG119" s="150"/>
      <c r="HH119" s="150"/>
      <c r="HI119" s="150"/>
      <c r="HJ119" s="150"/>
      <c r="HK119" s="150"/>
      <c r="HL119" s="150"/>
      <c r="HM119" s="150"/>
      <c r="HN119" s="150"/>
      <c r="HO119" s="150"/>
      <c r="HP119" s="150"/>
      <c r="HQ119" s="150"/>
      <c r="HR119" s="150"/>
      <c r="HS119" s="150"/>
      <c r="HT119" s="150"/>
      <c r="HU119" s="150"/>
      <c r="HV119" s="150"/>
      <c r="HW119" s="150"/>
      <c r="HX119" s="150"/>
      <c r="HY119" s="150"/>
      <c r="HZ119" s="150"/>
      <c r="IA119" s="150"/>
      <c r="IB119" s="150"/>
      <c r="IC119" s="150"/>
      <c r="ID119" s="150"/>
      <c r="IE119" s="150"/>
      <c r="IF119" s="150"/>
      <c r="IG119" s="150"/>
      <c r="IH119" s="150"/>
      <c r="II119" s="150"/>
      <c r="IJ119" s="150"/>
      <c r="IK119" s="150"/>
      <c r="IL119" s="150"/>
      <c r="IM119" s="150"/>
      <c r="IN119" s="150"/>
      <c r="IO119" s="150"/>
      <c r="IP119" s="150"/>
      <c r="IQ119" s="150"/>
      <c r="IR119" s="150"/>
      <c r="IS119" s="150"/>
      <c r="IT119" s="150"/>
      <c r="IU119" s="150"/>
      <c r="IV119" s="150"/>
      <c r="IW119" s="150"/>
      <c r="IX119" s="150"/>
      <c r="IY119" s="150"/>
      <c r="IZ119" s="150"/>
      <c r="JA119" s="150"/>
      <c r="JB119" s="150"/>
      <c r="JC119" s="150"/>
      <c r="JD119" s="150"/>
      <c r="JE119" s="150"/>
      <c r="JF119" s="150"/>
      <c r="JG119" s="150"/>
      <c r="JH119" s="150"/>
      <c r="JI119" s="150"/>
      <c r="JJ119" s="150"/>
      <c r="JK119" s="150"/>
      <c r="JL119" s="150"/>
      <c r="JM119" s="150"/>
      <c r="JN119" s="150"/>
      <c r="JO119" s="150"/>
      <c r="JP119" s="150"/>
      <c r="JQ119" s="150"/>
      <c r="JR119" s="150"/>
      <c r="JS119" s="150"/>
      <c r="JT119" s="150"/>
      <c r="JU119" s="150"/>
      <c r="JV119" s="150"/>
      <c r="JW119" s="150"/>
      <c r="JX119" s="150"/>
      <c r="JY119" s="150"/>
      <c r="JZ119" s="150"/>
      <c r="KA119" s="150"/>
      <c r="KB119" s="150"/>
      <c r="KC119" s="150"/>
      <c r="KD119" s="150"/>
      <c r="KE119" s="150"/>
      <c r="KF119" s="150"/>
      <c r="KG119" s="150"/>
      <c r="KH119" s="150"/>
      <c r="KI119" s="150"/>
      <c r="KJ119" s="150"/>
      <c r="KK119" s="150"/>
      <c r="KL119" s="150"/>
      <c r="KM119" s="150"/>
      <c r="KN119" s="150"/>
      <c r="KO119" s="150"/>
      <c r="KP119" s="150"/>
      <c r="KQ119" s="150"/>
      <c r="KR119" s="150"/>
      <c r="KS119" s="150"/>
      <c r="KT119" s="150"/>
      <c r="KU119" s="92"/>
    </row>
    <row r="120" spans="2:307" s="157" customFormat="1" x14ac:dyDescent="0.15">
      <c r="C120" s="92" t="s">
        <v>305</v>
      </c>
      <c r="D120" s="225"/>
      <c r="F120" s="150">
        <f t="shared" si="19"/>
        <v>0</v>
      </c>
      <c r="G120" s="150">
        <f t="shared" si="19"/>
        <v>0.13860731454219569</v>
      </c>
      <c r="H120" s="150">
        <f t="shared" si="19"/>
        <v>0.12110631730078898</v>
      </c>
      <c r="I120" s="150">
        <f t="shared" si="19"/>
        <v>0.11433154922693554</v>
      </c>
      <c r="J120" s="150">
        <f t="shared" si="19"/>
        <v>0.10776363171328304</v>
      </c>
      <c r="K120" s="150">
        <f t="shared" si="19"/>
        <v>0.10136969780303799</v>
      </c>
      <c r="L120" s="150">
        <f t="shared" si="19"/>
        <v>9.5118598224448361E-2</v>
      </c>
      <c r="M120" s="150">
        <f t="shared" si="19"/>
        <v>8.8995197838491427E-2</v>
      </c>
      <c r="N120" s="150">
        <f t="shared" si="19"/>
        <v>5.4997110375000186E-2</v>
      </c>
      <c r="O120" s="150">
        <f t="shared" si="19"/>
        <v>0.48654885356475247</v>
      </c>
      <c r="P120" s="150">
        <f t="shared" si="19"/>
        <v>0</v>
      </c>
      <c r="Q120" s="150">
        <f t="shared" si="19"/>
        <v>0</v>
      </c>
      <c r="R120" s="150">
        <f t="shared" si="19"/>
        <v>0</v>
      </c>
      <c r="S120" s="150">
        <f t="shared" si="19"/>
        <v>0</v>
      </c>
      <c r="T120" s="150">
        <f t="shared" si="19"/>
        <v>0</v>
      </c>
      <c r="U120" s="150">
        <f t="shared" si="19"/>
        <v>0</v>
      </c>
      <c r="V120" s="150">
        <f t="shared" si="19"/>
        <v>0</v>
      </c>
      <c r="W120" s="150">
        <f t="shared" si="19"/>
        <v>0</v>
      </c>
      <c r="X120" s="150">
        <f t="shared" si="19"/>
        <v>0</v>
      </c>
      <c r="Y120" s="150">
        <f t="shared" si="19"/>
        <v>0</v>
      </c>
      <c r="Z120" s="150">
        <f t="shared" si="19"/>
        <v>0</v>
      </c>
      <c r="AA120" s="150">
        <f t="shared" si="19"/>
        <v>0</v>
      </c>
      <c r="AB120" s="150">
        <f t="shared" si="19"/>
        <v>0</v>
      </c>
      <c r="AC120" s="150">
        <f t="shared" si="19"/>
        <v>0</v>
      </c>
      <c r="AD120" s="150">
        <f t="shared" si="20"/>
        <v>0</v>
      </c>
      <c r="AE120" s="150">
        <f t="shared" si="20"/>
        <v>0</v>
      </c>
      <c r="AF120" s="150">
        <f t="shared" si="20"/>
        <v>0</v>
      </c>
      <c r="AG120" s="150">
        <f t="shared" si="20"/>
        <v>0</v>
      </c>
      <c r="AH120" s="150">
        <f t="shared" si="20"/>
        <v>0</v>
      </c>
      <c r="AI120" s="150">
        <f t="shared" si="20"/>
        <v>0</v>
      </c>
      <c r="AJ120" s="150">
        <f t="shared" si="20"/>
        <v>0</v>
      </c>
      <c r="AK120" s="150">
        <f t="shared" si="20"/>
        <v>0</v>
      </c>
      <c r="AL120" s="150">
        <f t="shared" si="20"/>
        <v>0</v>
      </c>
      <c r="AM120" s="150">
        <f t="shared" si="20"/>
        <v>0</v>
      </c>
      <c r="AN120" s="150">
        <f t="shared" si="20"/>
        <v>0</v>
      </c>
      <c r="AO120" s="150">
        <f t="shared" si="20"/>
        <v>0</v>
      </c>
      <c r="AP120" s="150">
        <f t="shared" si="20"/>
        <v>0</v>
      </c>
      <c r="AQ120" s="150">
        <f t="shared" si="20"/>
        <v>0</v>
      </c>
      <c r="AR120" s="150">
        <f t="shared" si="20"/>
        <v>0</v>
      </c>
      <c r="AS120" s="150">
        <f t="shared" si="20"/>
        <v>0</v>
      </c>
      <c r="AT120" s="150">
        <f t="shared" si="20"/>
        <v>0</v>
      </c>
      <c r="AU120" s="150">
        <f t="shared" si="20"/>
        <v>0</v>
      </c>
      <c r="AV120" s="150">
        <f t="shared" si="20"/>
        <v>0</v>
      </c>
      <c r="AW120" s="150">
        <f t="shared" si="20"/>
        <v>0</v>
      </c>
      <c r="AX120" s="150">
        <f t="shared" si="20"/>
        <v>0</v>
      </c>
      <c r="AY120" s="150">
        <f t="shared" si="20"/>
        <v>0</v>
      </c>
      <c r="AZ120" s="150">
        <f t="shared" si="20"/>
        <v>0</v>
      </c>
      <c r="BA120" s="150">
        <f t="shared" si="20"/>
        <v>0</v>
      </c>
      <c r="BB120" s="150">
        <f t="shared" si="20"/>
        <v>0</v>
      </c>
      <c r="BC120" s="150">
        <f t="shared" si="20"/>
        <v>0</v>
      </c>
      <c r="BD120" s="150">
        <f t="shared" si="20"/>
        <v>0</v>
      </c>
      <c r="BE120" s="150">
        <f t="shared" si="20"/>
        <v>0</v>
      </c>
      <c r="BF120" s="150">
        <f t="shared" si="20"/>
        <v>0</v>
      </c>
      <c r="BG120" s="150">
        <f t="shared" si="20"/>
        <v>0</v>
      </c>
      <c r="BH120" s="150">
        <f t="shared" si="20"/>
        <v>0</v>
      </c>
      <c r="BI120" s="150">
        <f t="shared" si="20"/>
        <v>0</v>
      </c>
      <c r="BJ120" s="150">
        <f t="shared" si="20"/>
        <v>0</v>
      </c>
      <c r="BK120" s="150">
        <f t="shared" si="20"/>
        <v>0</v>
      </c>
      <c r="BL120" s="150">
        <f t="shared" si="20"/>
        <v>0</v>
      </c>
      <c r="BM120" s="150">
        <f t="shared" si="20"/>
        <v>0</v>
      </c>
      <c r="BN120" s="150"/>
      <c r="BO120" s="150"/>
      <c r="BP120" s="150"/>
      <c r="BQ120" s="150"/>
      <c r="BR120" s="150"/>
      <c r="BS120" s="150"/>
      <c r="BT120" s="150"/>
      <c r="BU120" s="150"/>
      <c r="BV120" s="150"/>
      <c r="BW120" s="150"/>
      <c r="BX120" s="150"/>
      <c r="BY120" s="150"/>
      <c r="BZ120" s="150"/>
      <c r="CA120" s="150"/>
      <c r="CB120" s="150"/>
      <c r="CC120" s="150"/>
      <c r="CD120" s="150"/>
      <c r="CE120" s="150"/>
      <c r="CF120" s="150"/>
      <c r="CG120" s="150"/>
      <c r="CH120" s="150"/>
      <c r="CI120" s="150"/>
      <c r="CJ120" s="150"/>
      <c r="CK120" s="150"/>
      <c r="CL120" s="150"/>
      <c r="CM120" s="150"/>
      <c r="CN120" s="150"/>
      <c r="CO120" s="150"/>
      <c r="CP120" s="150"/>
      <c r="CQ120" s="150"/>
      <c r="CR120" s="150"/>
      <c r="CS120" s="150"/>
      <c r="CT120" s="150"/>
      <c r="CU120" s="150"/>
      <c r="CV120" s="150"/>
      <c r="CW120" s="150"/>
      <c r="CX120" s="150"/>
      <c r="CY120" s="150"/>
      <c r="CZ120" s="150"/>
      <c r="DA120" s="150"/>
      <c r="DB120" s="150"/>
      <c r="DC120" s="150"/>
      <c r="DD120" s="150"/>
      <c r="DE120" s="150"/>
      <c r="DF120" s="150"/>
      <c r="DG120" s="150"/>
      <c r="DH120" s="150"/>
      <c r="DI120" s="150"/>
      <c r="DJ120" s="150"/>
      <c r="DK120" s="150"/>
      <c r="DL120" s="150"/>
      <c r="DM120" s="150"/>
      <c r="DN120" s="150"/>
      <c r="DO120" s="150"/>
      <c r="DP120" s="150"/>
      <c r="DQ120" s="150"/>
      <c r="DR120" s="150"/>
      <c r="DS120" s="150"/>
      <c r="DT120" s="150"/>
      <c r="DU120" s="150"/>
      <c r="DV120" s="150"/>
      <c r="DW120" s="150"/>
      <c r="DX120" s="150"/>
      <c r="DY120" s="150"/>
      <c r="DZ120" s="150"/>
      <c r="EA120" s="150"/>
      <c r="EB120" s="150"/>
      <c r="EC120" s="150"/>
      <c r="ED120" s="150"/>
      <c r="EE120" s="150"/>
      <c r="EF120" s="150"/>
      <c r="EG120" s="150"/>
      <c r="EH120" s="150"/>
      <c r="EI120" s="150"/>
      <c r="EJ120" s="150"/>
      <c r="EK120" s="150"/>
      <c r="EL120" s="150"/>
      <c r="EM120" s="150"/>
      <c r="EN120" s="150"/>
      <c r="EO120" s="150"/>
      <c r="EP120" s="150"/>
      <c r="EQ120" s="150"/>
      <c r="ER120" s="150"/>
      <c r="ES120" s="150"/>
      <c r="ET120" s="150"/>
      <c r="EU120" s="150"/>
      <c r="EV120" s="150"/>
      <c r="EW120" s="150"/>
      <c r="EX120" s="150"/>
      <c r="EY120" s="150"/>
      <c r="EZ120" s="150"/>
      <c r="FA120" s="150"/>
      <c r="FB120" s="150"/>
      <c r="FC120" s="150"/>
      <c r="FD120" s="150"/>
      <c r="FE120" s="150"/>
      <c r="FF120" s="150"/>
      <c r="FG120" s="150"/>
      <c r="FH120" s="150"/>
      <c r="FI120" s="150"/>
      <c r="FJ120" s="150"/>
      <c r="FK120" s="150"/>
      <c r="FL120" s="150"/>
      <c r="FM120" s="150"/>
      <c r="FN120" s="150"/>
      <c r="FO120" s="150"/>
      <c r="FP120" s="150"/>
      <c r="FQ120" s="150"/>
      <c r="FR120" s="150"/>
      <c r="FS120" s="150"/>
      <c r="FT120" s="150"/>
      <c r="FU120" s="150"/>
      <c r="FV120" s="150"/>
      <c r="FW120" s="150"/>
      <c r="FX120" s="150"/>
      <c r="FY120" s="150"/>
      <c r="FZ120" s="150"/>
      <c r="GA120" s="150"/>
      <c r="GB120" s="150"/>
      <c r="GC120" s="150"/>
      <c r="GD120" s="150"/>
      <c r="GE120" s="150"/>
      <c r="GF120" s="150"/>
      <c r="GG120" s="150"/>
      <c r="GH120" s="150"/>
      <c r="GI120" s="150"/>
      <c r="GJ120" s="150"/>
      <c r="GK120" s="150"/>
      <c r="GL120" s="150"/>
      <c r="GM120" s="150"/>
      <c r="GN120" s="150"/>
      <c r="GO120" s="150"/>
      <c r="GP120" s="150"/>
      <c r="GQ120" s="150"/>
      <c r="GR120" s="150"/>
      <c r="GS120" s="150"/>
      <c r="GT120" s="150"/>
      <c r="GU120" s="150"/>
      <c r="GV120" s="150"/>
      <c r="GW120" s="150"/>
      <c r="GX120" s="150"/>
      <c r="GY120" s="150"/>
      <c r="GZ120" s="150"/>
      <c r="HA120" s="150"/>
      <c r="HB120" s="150"/>
      <c r="HC120" s="150"/>
      <c r="HD120" s="150"/>
      <c r="HE120" s="150"/>
      <c r="HF120" s="150"/>
      <c r="HG120" s="150"/>
      <c r="HH120" s="150"/>
      <c r="HI120" s="150"/>
      <c r="HJ120" s="150"/>
      <c r="HK120" s="150"/>
      <c r="HL120" s="150"/>
      <c r="HM120" s="150"/>
      <c r="HN120" s="150"/>
      <c r="HO120" s="150"/>
      <c r="HP120" s="150"/>
      <c r="HQ120" s="150"/>
      <c r="HR120" s="150"/>
      <c r="HS120" s="150"/>
      <c r="HT120" s="150"/>
      <c r="HU120" s="150"/>
      <c r="HV120" s="150"/>
      <c r="HW120" s="150"/>
      <c r="HX120" s="150"/>
      <c r="HY120" s="150"/>
      <c r="HZ120" s="150"/>
      <c r="IA120" s="150"/>
      <c r="IB120" s="150"/>
      <c r="IC120" s="150"/>
      <c r="ID120" s="150"/>
      <c r="IE120" s="150"/>
      <c r="IF120" s="150"/>
      <c r="IG120" s="150"/>
      <c r="IH120" s="150"/>
      <c r="II120" s="150"/>
      <c r="IJ120" s="150"/>
      <c r="IK120" s="150"/>
      <c r="IL120" s="150"/>
      <c r="IM120" s="150"/>
      <c r="IN120" s="150"/>
      <c r="IO120" s="150"/>
      <c r="IP120" s="150"/>
      <c r="IQ120" s="150"/>
      <c r="IR120" s="150"/>
      <c r="IS120" s="150"/>
      <c r="IT120" s="150"/>
      <c r="IU120" s="150"/>
      <c r="IV120" s="150"/>
      <c r="IW120" s="150"/>
      <c r="IX120" s="150"/>
      <c r="IY120" s="150"/>
      <c r="IZ120" s="150"/>
      <c r="JA120" s="150"/>
      <c r="JB120" s="150"/>
      <c r="JC120" s="150"/>
      <c r="JD120" s="150"/>
      <c r="JE120" s="150"/>
      <c r="JF120" s="150"/>
      <c r="JG120" s="150"/>
      <c r="JH120" s="150"/>
      <c r="JI120" s="150"/>
      <c r="JJ120" s="150"/>
      <c r="JK120" s="150"/>
      <c r="JL120" s="150"/>
      <c r="JM120" s="150"/>
      <c r="JN120" s="150"/>
      <c r="JO120" s="150"/>
      <c r="JP120" s="150"/>
      <c r="JQ120" s="150"/>
      <c r="JR120" s="150"/>
      <c r="JS120" s="150"/>
      <c r="JT120" s="150"/>
      <c r="JU120" s="150"/>
      <c r="JV120" s="150"/>
      <c r="JW120" s="150"/>
      <c r="JX120" s="150"/>
      <c r="JY120" s="150"/>
      <c r="JZ120" s="150"/>
      <c r="KA120" s="150"/>
      <c r="KB120" s="150"/>
      <c r="KC120" s="150"/>
      <c r="KD120" s="150"/>
      <c r="KE120" s="150"/>
      <c r="KF120" s="150"/>
      <c r="KG120" s="150"/>
      <c r="KH120" s="150"/>
      <c r="KI120" s="150"/>
      <c r="KJ120" s="150"/>
      <c r="KK120" s="150"/>
      <c r="KL120" s="150"/>
      <c r="KM120" s="150"/>
      <c r="KN120" s="150"/>
      <c r="KO120" s="150"/>
      <c r="KP120" s="150"/>
      <c r="KQ120" s="150"/>
      <c r="KR120" s="150"/>
      <c r="KS120" s="150"/>
      <c r="KT120" s="150"/>
      <c r="KU120" s="92"/>
    </row>
    <row r="121" spans="2:307" s="157" customFormat="1" x14ac:dyDescent="0.15">
      <c r="C121" s="92" t="s">
        <v>306</v>
      </c>
      <c r="D121" s="225"/>
      <c r="F121" s="150">
        <f t="shared" si="19"/>
        <v>0</v>
      </c>
      <c r="G121" s="150">
        <f t="shared" si="19"/>
        <v>0</v>
      </c>
      <c r="H121" s="150">
        <f t="shared" si="19"/>
        <v>0.13860731454219569</v>
      </c>
      <c r="I121" s="150">
        <f t="shared" si="19"/>
        <v>0.12110631730078898</v>
      </c>
      <c r="J121" s="150">
        <f t="shared" si="19"/>
        <v>0.11433154922693553</v>
      </c>
      <c r="K121" s="150">
        <f t="shared" si="19"/>
        <v>0.10776363171328304</v>
      </c>
      <c r="L121" s="150">
        <f t="shared" si="19"/>
        <v>0.10136969780303799</v>
      </c>
      <c r="M121" s="150">
        <f t="shared" si="19"/>
        <v>9.5118598224448361E-2</v>
      </c>
      <c r="N121" s="150">
        <f t="shared" si="19"/>
        <v>8.0045123239964405E-2</v>
      </c>
      <c r="O121" s="150">
        <f t="shared" si="19"/>
        <v>5.4997110375000199E-2</v>
      </c>
      <c r="P121" s="150">
        <f t="shared" si="19"/>
        <v>0.48654885356475258</v>
      </c>
      <c r="Q121" s="150">
        <f t="shared" si="19"/>
        <v>0</v>
      </c>
      <c r="R121" s="150">
        <f t="shared" si="19"/>
        <v>0</v>
      </c>
      <c r="S121" s="150">
        <f t="shared" si="19"/>
        <v>0</v>
      </c>
      <c r="T121" s="150">
        <f t="shared" si="19"/>
        <v>0</v>
      </c>
      <c r="U121" s="150">
        <f t="shared" si="19"/>
        <v>0</v>
      </c>
      <c r="V121" s="150">
        <f t="shared" si="19"/>
        <v>0</v>
      </c>
      <c r="W121" s="150">
        <f t="shared" si="19"/>
        <v>0</v>
      </c>
      <c r="X121" s="150">
        <f t="shared" si="19"/>
        <v>0</v>
      </c>
      <c r="Y121" s="150">
        <f t="shared" si="19"/>
        <v>0</v>
      </c>
      <c r="Z121" s="150">
        <f t="shared" si="19"/>
        <v>0</v>
      </c>
      <c r="AA121" s="150">
        <f t="shared" si="19"/>
        <v>0</v>
      </c>
      <c r="AB121" s="150">
        <f t="shared" si="19"/>
        <v>0</v>
      </c>
      <c r="AC121" s="150">
        <f t="shared" si="19"/>
        <v>0</v>
      </c>
      <c r="AD121" s="150">
        <f t="shared" si="20"/>
        <v>0</v>
      </c>
      <c r="AE121" s="150">
        <f t="shared" si="20"/>
        <v>0</v>
      </c>
      <c r="AF121" s="150">
        <f t="shared" si="20"/>
        <v>0</v>
      </c>
      <c r="AG121" s="150">
        <f t="shared" si="20"/>
        <v>0</v>
      </c>
      <c r="AH121" s="150">
        <f t="shared" si="20"/>
        <v>0</v>
      </c>
      <c r="AI121" s="150">
        <f t="shared" si="20"/>
        <v>0</v>
      </c>
      <c r="AJ121" s="150">
        <f t="shared" si="20"/>
        <v>0</v>
      </c>
      <c r="AK121" s="150">
        <f t="shared" si="20"/>
        <v>0</v>
      </c>
      <c r="AL121" s="150">
        <f t="shared" si="20"/>
        <v>0</v>
      </c>
      <c r="AM121" s="150">
        <f t="shared" si="20"/>
        <v>0</v>
      </c>
      <c r="AN121" s="150">
        <f t="shared" si="20"/>
        <v>0</v>
      </c>
      <c r="AO121" s="150">
        <f t="shared" si="20"/>
        <v>0</v>
      </c>
      <c r="AP121" s="150">
        <f t="shared" si="20"/>
        <v>0</v>
      </c>
      <c r="AQ121" s="150">
        <f t="shared" si="20"/>
        <v>0</v>
      </c>
      <c r="AR121" s="150">
        <f t="shared" si="20"/>
        <v>0</v>
      </c>
      <c r="AS121" s="150">
        <f t="shared" si="20"/>
        <v>0</v>
      </c>
      <c r="AT121" s="150">
        <f t="shared" si="20"/>
        <v>0</v>
      </c>
      <c r="AU121" s="150">
        <f t="shared" si="20"/>
        <v>0</v>
      </c>
      <c r="AV121" s="150">
        <f t="shared" si="20"/>
        <v>0</v>
      </c>
      <c r="AW121" s="150">
        <f t="shared" si="20"/>
        <v>0</v>
      </c>
      <c r="AX121" s="150">
        <f t="shared" si="20"/>
        <v>0</v>
      </c>
      <c r="AY121" s="150">
        <f t="shared" si="20"/>
        <v>0</v>
      </c>
      <c r="AZ121" s="150">
        <f t="shared" si="20"/>
        <v>0</v>
      </c>
      <c r="BA121" s="150">
        <f t="shared" si="20"/>
        <v>0</v>
      </c>
      <c r="BB121" s="150">
        <f t="shared" si="20"/>
        <v>0</v>
      </c>
      <c r="BC121" s="150">
        <f t="shared" si="20"/>
        <v>0</v>
      </c>
      <c r="BD121" s="150">
        <f t="shared" si="20"/>
        <v>0</v>
      </c>
      <c r="BE121" s="150">
        <f t="shared" si="20"/>
        <v>0</v>
      </c>
      <c r="BF121" s="150">
        <f t="shared" si="20"/>
        <v>0</v>
      </c>
      <c r="BG121" s="150">
        <f t="shared" si="20"/>
        <v>0</v>
      </c>
      <c r="BH121" s="150">
        <f t="shared" si="20"/>
        <v>0</v>
      </c>
      <c r="BI121" s="150">
        <f t="shared" si="20"/>
        <v>0</v>
      </c>
      <c r="BJ121" s="150">
        <f t="shared" si="20"/>
        <v>0</v>
      </c>
      <c r="BK121" s="150">
        <f t="shared" si="20"/>
        <v>0</v>
      </c>
      <c r="BL121" s="150">
        <f t="shared" si="20"/>
        <v>0</v>
      </c>
      <c r="BM121" s="150">
        <f t="shared" si="20"/>
        <v>0</v>
      </c>
      <c r="BN121" s="150"/>
      <c r="BO121" s="150"/>
      <c r="BP121" s="150"/>
      <c r="BQ121" s="150"/>
      <c r="BR121" s="150"/>
      <c r="BS121" s="150"/>
      <c r="BT121" s="150"/>
      <c r="BU121" s="150"/>
      <c r="BV121" s="150"/>
      <c r="BW121" s="150"/>
      <c r="BX121" s="150"/>
      <c r="BY121" s="150"/>
      <c r="BZ121" s="150"/>
      <c r="CA121" s="150"/>
      <c r="CB121" s="150"/>
      <c r="CC121" s="150"/>
      <c r="CD121" s="150"/>
      <c r="CE121" s="150"/>
      <c r="CF121" s="150"/>
      <c r="CG121" s="150"/>
      <c r="CH121" s="150"/>
      <c r="CI121" s="150"/>
      <c r="CJ121" s="150"/>
      <c r="CK121" s="150"/>
      <c r="CL121" s="150"/>
      <c r="CM121" s="150"/>
      <c r="CN121" s="150"/>
      <c r="CO121" s="150"/>
      <c r="CP121" s="150"/>
      <c r="CQ121" s="150"/>
      <c r="CR121" s="150"/>
      <c r="CS121" s="150"/>
      <c r="CT121" s="150"/>
      <c r="CU121" s="150"/>
      <c r="CV121" s="150"/>
      <c r="CW121" s="150"/>
      <c r="CX121" s="150"/>
      <c r="CY121" s="150"/>
      <c r="CZ121" s="150"/>
      <c r="DA121" s="150"/>
      <c r="DB121" s="150"/>
      <c r="DC121" s="150"/>
      <c r="DD121" s="150"/>
      <c r="DE121" s="150"/>
      <c r="DF121" s="150"/>
      <c r="DG121" s="150"/>
      <c r="DH121" s="150"/>
      <c r="DI121" s="150"/>
      <c r="DJ121" s="150"/>
      <c r="DK121" s="150"/>
      <c r="DL121" s="150"/>
      <c r="DM121" s="150"/>
      <c r="DN121" s="150"/>
      <c r="DO121" s="150"/>
      <c r="DP121" s="150"/>
      <c r="DQ121" s="150"/>
      <c r="DR121" s="150"/>
      <c r="DS121" s="150"/>
      <c r="DT121" s="150"/>
      <c r="DU121" s="150"/>
      <c r="DV121" s="150"/>
      <c r="DW121" s="150"/>
      <c r="DX121" s="150"/>
      <c r="DY121" s="150"/>
      <c r="DZ121" s="150"/>
      <c r="EA121" s="150"/>
      <c r="EB121" s="150"/>
      <c r="EC121" s="150"/>
      <c r="ED121" s="150"/>
      <c r="EE121" s="150"/>
      <c r="EF121" s="150"/>
      <c r="EG121" s="150"/>
      <c r="EH121" s="150"/>
      <c r="EI121" s="150"/>
      <c r="EJ121" s="150"/>
      <c r="EK121" s="150"/>
      <c r="EL121" s="150"/>
      <c r="EM121" s="150"/>
      <c r="EN121" s="150"/>
      <c r="EO121" s="150"/>
      <c r="EP121" s="150"/>
      <c r="EQ121" s="150"/>
      <c r="ER121" s="150"/>
      <c r="ES121" s="150"/>
      <c r="ET121" s="150"/>
      <c r="EU121" s="150"/>
      <c r="EV121" s="150"/>
      <c r="EW121" s="150"/>
      <c r="EX121" s="150"/>
      <c r="EY121" s="150"/>
      <c r="EZ121" s="150"/>
      <c r="FA121" s="150"/>
      <c r="FB121" s="150"/>
      <c r="FC121" s="150"/>
      <c r="FD121" s="150"/>
      <c r="FE121" s="150"/>
      <c r="FF121" s="150"/>
      <c r="FG121" s="150"/>
      <c r="FH121" s="150"/>
      <c r="FI121" s="150"/>
      <c r="FJ121" s="150"/>
      <c r="FK121" s="150"/>
      <c r="FL121" s="150"/>
      <c r="FM121" s="150"/>
      <c r="FN121" s="150"/>
      <c r="FO121" s="150"/>
      <c r="FP121" s="150"/>
      <c r="FQ121" s="150"/>
      <c r="FR121" s="150"/>
      <c r="FS121" s="150"/>
      <c r="FT121" s="150"/>
      <c r="FU121" s="150"/>
      <c r="FV121" s="150"/>
      <c r="FW121" s="150"/>
      <c r="FX121" s="150"/>
      <c r="FY121" s="150"/>
      <c r="FZ121" s="150"/>
      <c r="GA121" s="150"/>
      <c r="GB121" s="150"/>
      <c r="GC121" s="150"/>
      <c r="GD121" s="150"/>
      <c r="GE121" s="150"/>
      <c r="GF121" s="150"/>
      <c r="GG121" s="150"/>
      <c r="GH121" s="150"/>
      <c r="GI121" s="150"/>
      <c r="GJ121" s="150"/>
      <c r="GK121" s="150"/>
      <c r="GL121" s="150"/>
      <c r="GM121" s="150"/>
      <c r="GN121" s="150"/>
      <c r="GO121" s="150"/>
      <c r="GP121" s="150"/>
      <c r="GQ121" s="150"/>
      <c r="GR121" s="150"/>
      <c r="GS121" s="150"/>
      <c r="GT121" s="150"/>
      <c r="GU121" s="150"/>
      <c r="GV121" s="150"/>
      <c r="GW121" s="150"/>
      <c r="GX121" s="150"/>
      <c r="GY121" s="150"/>
      <c r="GZ121" s="150"/>
      <c r="HA121" s="150"/>
      <c r="HB121" s="150"/>
      <c r="HC121" s="150"/>
      <c r="HD121" s="150"/>
      <c r="HE121" s="150"/>
      <c r="HF121" s="150"/>
      <c r="HG121" s="150"/>
      <c r="HH121" s="150"/>
      <c r="HI121" s="150"/>
      <c r="HJ121" s="150"/>
      <c r="HK121" s="150"/>
      <c r="HL121" s="150"/>
      <c r="HM121" s="150"/>
      <c r="HN121" s="150"/>
      <c r="HO121" s="150"/>
      <c r="HP121" s="150"/>
      <c r="HQ121" s="150"/>
      <c r="HR121" s="150"/>
      <c r="HS121" s="150"/>
      <c r="HT121" s="150"/>
      <c r="HU121" s="150"/>
      <c r="HV121" s="150"/>
      <c r="HW121" s="150"/>
      <c r="HX121" s="150"/>
      <c r="HY121" s="150"/>
      <c r="HZ121" s="150"/>
      <c r="IA121" s="150"/>
      <c r="IB121" s="150"/>
      <c r="IC121" s="150"/>
      <c r="ID121" s="150"/>
      <c r="IE121" s="150"/>
      <c r="IF121" s="150"/>
      <c r="IG121" s="150"/>
      <c r="IH121" s="150"/>
      <c r="II121" s="150"/>
      <c r="IJ121" s="150"/>
      <c r="IK121" s="150"/>
      <c r="IL121" s="150"/>
      <c r="IM121" s="150"/>
      <c r="IN121" s="150"/>
      <c r="IO121" s="150"/>
      <c r="IP121" s="150"/>
      <c r="IQ121" s="150"/>
      <c r="IR121" s="150"/>
      <c r="IS121" s="150"/>
      <c r="IT121" s="150"/>
      <c r="IU121" s="150"/>
      <c r="IV121" s="150"/>
      <c r="IW121" s="150"/>
      <c r="IX121" s="150"/>
      <c r="IY121" s="150"/>
      <c r="IZ121" s="150"/>
      <c r="JA121" s="150"/>
      <c r="JB121" s="150"/>
      <c r="JC121" s="150"/>
      <c r="JD121" s="150"/>
      <c r="JE121" s="150"/>
      <c r="JF121" s="150"/>
      <c r="JG121" s="150"/>
      <c r="JH121" s="150"/>
      <c r="JI121" s="150"/>
      <c r="JJ121" s="150"/>
      <c r="JK121" s="150"/>
      <c r="JL121" s="150"/>
      <c r="JM121" s="150"/>
      <c r="JN121" s="150"/>
      <c r="JO121" s="150"/>
      <c r="JP121" s="150"/>
      <c r="JQ121" s="150"/>
      <c r="JR121" s="150"/>
      <c r="JS121" s="150"/>
      <c r="JT121" s="150"/>
      <c r="JU121" s="150"/>
      <c r="JV121" s="150"/>
      <c r="JW121" s="150"/>
      <c r="JX121" s="150"/>
      <c r="JY121" s="150"/>
      <c r="JZ121" s="150"/>
      <c r="KA121" s="150"/>
      <c r="KB121" s="150"/>
      <c r="KC121" s="150"/>
      <c r="KD121" s="150"/>
      <c r="KE121" s="150"/>
      <c r="KF121" s="150"/>
      <c r="KG121" s="150"/>
      <c r="KH121" s="150"/>
      <c r="KI121" s="150"/>
      <c r="KJ121" s="150"/>
      <c r="KK121" s="150"/>
      <c r="KL121" s="150"/>
      <c r="KM121" s="150"/>
      <c r="KN121" s="150"/>
      <c r="KO121" s="150"/>
      <c r="KP121" s="150"/>
      <c r="KQ121" s="150"/>
      <c r="KR121" s="150"/>
      <c r="KS121" s="150"/>
      <c r="KT121" s="150"/>
      <c r="KU121" s="92"/>
    </row>
    <row r="122" spans="2:307" s="157" customFormat="1" x14ac:dyDescent="0.15">
      <c r="C122" s="92" t="s">
        <v>308</v>
      </c>
      <c r="D122" s="225"/>
      <c r="F122" s="150">
        <f t="shared" si="19"/>
        <v>0</v>
      </c>
      <c r="G122" s="150">
        <f t="shared" si="19"/>
        <v>0</v>
      </c>
      <c r="H122" s="150">
        <f t="shared" si="19"/>
        <v>0</v>
      </c>
      <c r="I122" s="150">
        <f t="shared" si="19"/>
        <v>0.13860731454219571</v>
      </c>
      <c r="J122" s="150">
        <f t="shared" si="19"/>
        <v>0.121106317300789</v>
      </c>
      <c r="K122" s="150">
        <f t="shared" si="19"/>
        <v>0.11433154922693554</v>
      </c>
      <c r="L122" s="150">
        <f t="shared" si="19"/>
        <v>0.10776363171328306</v>
      </c>
      <c r="M122" s="150">
        <f t="shared" si="19"/>
        <v>0.10136969780303801</v>
      </c>
      <c r="N122" s="150">
        <f t="shared" si="19"/>
        <v>9.2206804401250966E-2</v>
      </c>
      <c r="O122" s="150">
        <f t="shared" si="19"/>
        <v>8.0045123239964419E-2</v>
      </c>
      <c r="P122" s="150">
        <f t="shared" si="19"/>
        <v>5.4997110375000206E-2</v>
      </c>
      <c r="Q122" s="150">
        <f t="shared" si="19"/>
        <v>0.48654885356475264</v>
      </c>
      <c r="R122" s="150">
        <f t="shared" si="19"/>
        <v>0</v>
      </c>
      <c r="S122" s="150">
        <f t="shared" si="19"/>
        <v>0</v>
      </c>
      <c r="T122" s="150">
        <f t="shared" si="19"/>
        <v>0</v>
      </c>
      <c r="U122" s="150">
        <f t="shared" si="19"/>
        <v>0</v>
      </c>
      <c r="V122" s="150">
        <f t="shared" si="19"/>
        <v>0</v>
      </c>
      <c r="W122" s="150">
        <f t="shared" si="19"/>
        <v>0</v>
      </c>
      <c r="X122" s="150">
        <f t="shared" si="19"/>
        <v>0</v>
      </c>
      <c r="Y122" s="150">
        <f t="shared" si="19"/>
        <v>0</v>
      </c>
      <c r="Z122" s="150">
        <f t="shared" si="19"/>
        <v>0</v>
      </c>
      <c r="AA122" s="150">
        <f t="shared" si="19"/>
        <v>0</v>
      </c>
      <c r="AB122" s="150">
        <f t="shared" si="19"/>
        <v>0</v>
      </c>
      <c r="AC122" s="150">
        <f t="shared" si="19"/>
        <v>0</v>
      </c>
      <c r="AD122" s="150">
        <f t="shared" si="20"/>
        <v>0</v>
      </c>
      <c r="AE122" s="150">
        <f t="shared" si="20"/>
        <v>0</v>
      </c>
      <c r="AF122" s="150">
        <f t="shared" si="20"/>
        <v>0</v>
      </c>
      <c r="AG122" s="150">
        <f t="shared" si="20"/>
        <v>0</v>
      </c>
      <c r="AH122" s="150">
        <f t="shared" si="20"/>
        <v>0</v>
      </c>
      <c r="AI122" s="150">
        <f t="shared" si="20"/>
        <v>0</v>
      </c>
      <c r="AJ122" s="150">
        <f t="shared" si="20"/>
        <v>0</v>
      </c>
      <c r="AK122" s="150">
        <f t="shared" si="20"/>
        <v>0</v>
      </c>
      <c r="AL122" s="150">
        <f t="shared" si="20"/>
        <v>0</v>
      </c>
      <c r="AM122" s="150">
        <f t="shared" si="20"/>
        <v>0</v>
      </c>
      <c r="AN122" s="150">
        <f t="shared" si="20"/>
        <v>0</v>
      </c>
      <c r="AO122" s="150">
        <f t="shared" si="20"/>
        <v>0</v>
      </c>
      <c r="AP122" s="150">
        <f t="shared" si="20"/>
        <v>0</v>
      </c>
      <c r="AQ122" s="150">
        <f t="shared" si="20"/>
        <v>0</v>
      </c>
      <c r="AR122" s="150">
        <f t="shared" si="20"/>
        <v>0</v>
      </c>
      <c r="AS122" s="150">
        <f t="shared" si="20"/>
        <v>0</v>
      </c>
      <c r="AT122" s="150">
        <f t="shared" si="20"/>
        <v>0</v>
      </c>
      <c r="AU122" s="150">
        <f t="shared" si="20"/>
        <v>0</v>
      </c>
      <c r="AV122" s="150">
        <f t="shared" si="20"/>
        <v>0</v>
      </c>
      <c r="AW122" s="150">
        <f t="shared" si="20"/>
        <v>0</v>
      </c>
      <c r="AX122" s="150">
        <f t="shared" si="20"/>
        <v>0</v>
      </c>
      <c r="AY122" s="150">
        <f t="shared" si="20"/>
        <v>0</v>
      </c>
      <c r="AZ122" s="150">
        <f t="shared" si="20"/>
        <v>0</v>
      </c>
      <c r="BA122" s="150">
        <f t="shared" si="20"/>
        <v>0</v>
      </c>
      <c r="BB122" s="150">
        <f t="shared" si="20"/>
        <v>0</v>
      </c>
      <c r="BC122" s="150">
        <f t="shared" si="20"/>
        <v>0</v>
      </c>
      <c r="BD122" s="150">
        <f t="shared" si="20"/>
        <v>0</v>
      </c>
      <c r="BE122" s="150">
        <f t="shared" si="20"/>
        <v>0</v>
      </c>
      <c r="BF122" s="150">
        <f t="shared" si="20"/>
        <v>0</v>
      </c>
      <c r="BG122" s="150">
        <f t="shared" si="20"/>
        <v>0</v>
      </c>
      <c r="BH122" s="150">
        <f t="shared" si="20"/>
        <v>0</v>
      </c>
      <c r="BI122" s="150">
        <f t="shared" si="20"/>
        <v>0</v>
      </c>
      <c r="BJ122" s="150">
        <f t="shared" si="20"/>
        <v>0</v>
      </c>
      <c r="BK122" s="150">
        <f t="shared" si="20"/>
        <v>0</v>
      </c>
      <c r="BL122" s="150">
        <f t="shared" si="20"/>
        <v>0</v>
      </c>
      <c r="BM122" s="150">
        <f t="shared" si="20"/>
        <v>0</v>
      </c>
      <c r="BN122" s="150"/>
      <c r="BO122" s="150"/>
      <c r="BP122" s="150"/>
      <c r="BQ122" s="150"/>
      <c r="BR122" s="150"/>
      <c r="BS122" s="150"/>
      <c r="BT122" s="150"/>
      <c r="BU122" s="150"/>
      <c r="BV122" s="150"/>
      <c r="BW122" s="150"/>
      <c r="BX122" s="150"/>
      <c r="BY122" s="150"/>
      <c r="BZ122" s="150"/>
      <c r="CA122" s="150"/>
      <c r="CB122" s="150"/>
      <c r="CC122" s="150"/>
      <c r="CD122" s="150"/>
      <c r="CE122" s="150"/>
      <c r="CF122" s="150"/>
      <c r="CG122" s="150"/>
      <c r="CH122" s="150"/>
      <c r="CI122" s="150"/>
      <c r="CJ122" s="150"/>
      <c r="CK122" s="150"/>
      <c r="CL122" s="150"/>
      <c r="CM122" s="150"/>
      <c r="CN122" s="150"/>
      <c r="CO122" s="150"/>
      <c r="CP122" s="150"/>
      <c r="CQ122" s="150"/>
      <c r="CR122" s="150"/>
      <c r="CS122" s="150"/>
      <c r="CT122" s="150"/>
      <c r="CU122" s="150"/>
      <c r="CV122" s="150"/>
      <c r="CW122" s="150"/>
      <c r="CX122" s="150"/>
      <c r="CY122" s="150"/>
      <c r="CZ122" s="150"/>
      <c r="DA122" s="150"/>
      <c r="DB122" s="150"/>
      <c r="DC122" s="150"/>
      <c r="DD122" s="150"/>
      <c r="DE122" s="150"/>
      <c r="DF122" s="150"/>
      <c r="DG122" s="150"/>
      <c r="DH122" s="150"/>
      <c r="DI122" s="150"/>
      <c r="DJ122" s="150"/>
      <c r="DK122" s="150"/>
      <c r="DL122" s="150"/>
      <c r="DM122" s="150"/>
      <c r="DN122" s="150"/>
      <c r="DO122" s="150"/>
      <c r="DP122" s="150"/>
      <c r="DQ122" s="150"/>
      <c r="DR122" s="150"/>
      <c r="DS122" s="150"/>
      <c r="DT122" s="150"/>
      <c r="DU122" s="150"/>
      <c r="DV122" s="150"/>
      <c r="DW122" s="150"/>
      <c r="DX122" s="150"/>
      <c r="DY122" s="150"/>
      <c r="DZ122" s="150"/>
      <c r="EA122" s="150"/>
      <c r="EB122" s="150"/>
      <c r="EC122" s="150"/>
      <c r="ED122" s="150"/>
      <c r="EE122" s="150"/>
      <c r="EF122" s="150"/>
      <c r="EG122" s="150"/>
      <c r="EH122" s="150"/>
      <c r="EI122" s="150"/>
      <c r="EJ122" s="150"/>
      <c r="EK122" s="150"/>
      <c r="EL122" s="150"/>
      <c r="EM122" s="150"/>
      <c r="EN122" s="150"/>
      <c r="EO122" s="150"/>
      <c r="EP122" s="150"/>
      <c r="EQ122" s="150"/>
      <c r="ER122" s="150"/>
      <c r="ES122" s="150"/>
      <c r="ET122" s="150"/>
      <c r="EU122" s="150"/>
      <c r="EV122" s="150"/>
      <c r="EW122" s="150"/>
      <c r="EX122" s="150"/>
      <c r="EY122" s="150"/>
      <c r="EZ122" s="150"/>
      <c r="FA122" s="150"/>
      <c r="FB122" s="150"/>
      <c r="FC122" s="150"/>
      <c r="FD122" s="150"/>
      <c r="FE122" s="150"/>
      <c r="FF122" s="150"/>
      <c r="FG122" s="150"/>
      <c r="FH122" s="150"/>
      <c r="FI122" s="150"/>
      <c r="FJ122" s="150"/>
      <c r="FK122" s="150"/>
      <c r="FL122" s="150"/>
      <c r="FM122" s="150"/>
      <c r="FN122" s="150"/>
      <c r="FO122" s="150"/>
      <c r="FP122" s="150"/>
      <c r="FQ122" s="150"/>
      <c r="FR122" s="150"/>
      <c r="FS122" s="150"/>
      <c r="FT122" s="150"/>
      <c r="FU122" s="150"/>
      <c r="FV122" s="150"/>
      <c r="FW122" s="150"/>
      <c r="FX122" s="150"/>
      <c r="FY122" s="150"/>
      <c r="FZ122" s="150"/>
      <c r="GA122" s="150"/>
      <c r="GB122" s="150"/>
      <c r="GC122" s="150"/>
      <c r="GD122" s="150"/>
      <c r="GE122" s="150"/>
      <c r="GF122" s="150"/>
      <c r="GG122" s="150"/>
      <c r="GH122" s="150"/>
      <c r="GI122" s="150"/>
      <c r="GJ122" s="150"/>
      <c r="GK122" s="150"/>
      <c r="GL122" s="150"/>
      <c r="GM122" s="150"/>
      <c r="GN122" s="150"/>
      <c r="GO122" s="150"/>
      <c r="GP122" s="150"/>
      <c r="GQ122" s="150"/>
      <c r="GR122" s="150"/>
      <c r="GS122" s="150"/>
      <c r="GT122" s="150"/>
      <c r="GU122" s="150"/>
      <c r="GV122" s="150"/>
      <c r="GW122" s="150"/>
      <c r="GX122" s="150"/>
      <c r="GY122" s="150"/>
      <c r="GZ122" s="150"/>
      <c r="HA122" s="150"/>
      <c r="HB122" s="150"/>
      <c r="HC122" s="150"/>
      <c r="HD122" s="150"/>
      <c r="HE122" s="150"/>
      <c r="HF122" s="150"/>
      <c r="HG122" s="150"/>
      <c r="HH122" s="150"/>
      <c r="HI122" s="150"/>
      <c r="HJ122" s="150"/>
      <c r="HK122" s="150"/>
      <c r="HL122" s="150"/>
      <c r="HM122" s="150"/>
      <c r="HN122" s="150"/>
      <c r="HO122" s="150"/>
      <c r="HP122" s="150"/>
      <c r="HQ122" s="150"/>
      <c r="HR122" s="150"/>
      <c r="HS122" s="150"/>
      <c r="HT122" s="150"/>
      <c r="HU122" s="150"/>
      <c r="HV122" s="150"/>
      <c r="HW122" s="150"/>
      <c r="HX122" s="150"/>
      <c r="HY122" s="150"/>
      <c r="HZ122" s="150"/>
      <c r="IA122" s="150"/>
      <c r="IB122" s="150"/>
      <c r="IC122" s="150"/>
      <c r="ID122" s="150"/>
      <c r="IE122" s="150"/>
      <c r="IF122" s="150"/>
      <c r="IG122" s="150"/>
      <c r="IH122" s="150"/>
      <c r="II122" s="150"/>
      <c r="IJ122" s="150"/>
      <c r="IK122" s="150"/>
      <c r="IL122" s="150"/>
      <c r="IM122" s="150"/>
      <c r="IN122" s="150"/>
      <c r="IO122" s="150"/>
      <c r="IP122" s="150"/>
      <c r="IQ122" s="150"/>
      <c r="IR122" s="150"/>
      <c r="IS122" s="150"/>
      <c r="IT122" s="150"/>
      <c r="IU122" s="150"/>
      <c r="IV122" s="150"/>
      <c r="IW122" s="150"/>
      <c r="IX122" s="150"/>
      <c r="IY122" s="150"/>
      <c r="IZ122" s="150"/>
      <c r="JA122" s="150"/>
      <c r="JB122" s="150"/>
      <c r="JC122" s="150"/>
      <c r="JD122" s="150"/>
      <c r="JE122" s="150"/>
      <c r="JF122" s="150"/>
      <c r="JG122" s="150"/>
      <c r="JH122" s="150"/>
      <c r="JI122" s="150"/>
      <c r="JJ122" s="150"/>
      <c r="JK122" s="150"/>
      <c r="JL122" s="150"/>
      <c r="JM122" s="150"/>
      <c r="JN122" s="150"/>
      <c r="JO122" s="150"/>
      <c r="JP122" s="150"/>
      <c r="JQ122" s="150"/>
      <c r="JR122" s="150"/>
      <c r="JS122" s="150"/>
      <c r="JT122" s="150"/>
      <c r="JU122" s="150"/>
      <c r="JV122" s="150"/>
      <c r="JW122" s="150"/>
      <c r="JX122" s="150"/>
      <c r="JY122" s="150"/>
      <c r="JZ122" s="150"/>
      <c r="KA122" s="150"/>
      <c r="KB122" s="150"/>
      <c r="KC122" s="150"/>
      <c r="KD122" s="150"/>
      <c r="KE122" s="150"/>
      <c r="KF122" s="150"/>
      <c r="KG122" s="150"/>
      <c r="KH122" s="150"/>
      <c r="KI122" s="150"/>
      <c r="KJ122" s="150"/>
      <c r="KK122" s="150"/>
      <c r="KL122" s="150"/>
      <c r="KM122" s="150"/>
      <c r="KN122" s="150"/>
      <c r="KO122" s="150"/>
      <c r="KP122" s="150"/>
      <c r="KQ122" s="150"/>
      <c r="KR122" s="150"/>
      <c r="KS122" s="150"/>
      <c r="KT122" s="150"/>
      <c r="KU122" s="92"/>
    </row>
    <row r="123" spans="2:307" s="157" customFormat="1" x14ac:dyDescent="0.15">
      <c r="C123" s="92" t="s">
        <v>309</v>
      </c>
      <c r="D123" s="225"/>
      <c r="F123" s="150">
        <f t="shared" si="19"/>
        <v>0</v>
      </c>
      <c r="G123" s="150">
        <f t="shared" si="19"/>
        <v>0</v>
      </c>
      <c r="H123" s="150">
        <f t="shared" si="19"/>
        <v>0</v>
      </c>
      <c r="I123" s="150">
        <f t="shared" si="19"/>
        <v>0</v>
      </c>
      <c r="J123" s="150">
        <f t="shared" si="19"/>
        <v>0.13860731454219569</v>
      </c>
      <c r="K123" s="150">
        <f t="shared" si="19"/>
        <v>0.121106317300789</v>
      </c>
      <c r="L123" s="150">
        <f t="shared" si="19"/>
        <v>0.11433154922693553</v>
      </c>
      <c r="M123" s="150">
        <f t="shared" si="19"/>
        <v>0.10776363171328304</v>
      </c>
      <c r="N123" s="150">
        <f t="shared" si="19"/>
        <v>0.10136969780303799</v>
      </c>
      <c r="O123" s="150">
        <f t="shared" si="19"/>
        <v>9.2206804401250952E-2</v>
      </c>
      <c r="P123" s="150">
        <f t="shared" si="19"/>
        <v>8.0045123239964405E-2</v>
      </c>
      <c r="Q123" s="150">
        <f t="shared" si="19"/>
        <v>5.4997110375000192E-2</v>
      </c>
      <c r="R123" s="150">
        <f t="shared" si="19"/>
        <v>0.48654885356475258</v>
      </c>
      <c r="S123" s="150">
        <f t="shared" si="19"/>
        <v>0</v>
      </c>
      <c r="T123" s="150">
        <f t="shared" si="19"/>
        <v>0</v>
      </c>
      <c r="U123" s="150">
        <f t="shared" si="19"/>
        <v>0</v>
      </c>
      <c r="V123" s="150">
        <f t="shared" si="19"/>
        <v>0</v>
      </c>
      <c r="W123" s="150">
        <f t="shared" si="19"/>
        <v>0</v>
      </c>
      <c r="X123" s="150">
        <f t="shared" si="19"/>
        <v>0</v>
      </c>
      <c r="Y123" s="150">
        <f t="shared" si="19"/>
        <v>0</v>
      </c>
      <c r="Z123" s="150">
        <f t="shared" si="19"/>
        <v>0</v>
      </c>
      <c r="AA123" s="150">
        <f t="shared" si="19"/>
        <v>0</v>
      </c>
      <c r="AB123" s="150">
        <f t="shared" si="19"/>
        <v>0</v>
      </c>
      <c r="AC123" s="150">
        <f t="shared" si="19"/>
        <v>0</v>
      </c>
      <c r="AD123" s="150">
        <f t="shared" si="20"/>
        <v>0</v>
      </c>
      <c r="AE123" s="150">
        <f t="shared" si="20"/>
        <v>0</v>
      </c>
      <c r="AF123" s="150">
        <f t="shared" si="20"/>
        <v>0</v>
      </c>
      <c r="AG123" s="150">
        <f t="shared" si="20"/>
        <v>0</v>
      </c>
      <c r="AH123" s="150">
        <f t="shared" si="20"/>
        <v>0</v>
      </c>
      <c r="AI123" s="150">
        <f t="shared" si="20"/>
        <v>0</v>
      </c>
      <c r="AJ123" s="150">
        <f t="shared" si="20"/>
        <v>0</v>
      </c>
      <c r="AK123" s="150">
        <f t="shared" si="20"/>
        <v>0</v>
      </c>
      <c r="AL123" s="150">
        <f t="shared" si="20"/>
        <v>0</v>
      </c>
      <c r="AM123" s="150">
        <f t="shared" si="20"/>
        <v>0</v>
      </c>
      <c r="AN123" s="150">
        <f t="shared" si="20"/>
        <v>0</v>
      </c>
      <c r="AO123" s="150">
        <f t="shared" si="20"/>
        <v>0</v>
      </c>
      <c r="AP123" s="150">
        <f t="shared" si="20"/>
        <v>0</v>
      </c>
      <c r="AQ123" s="150">
        <f t="shared" si="20"/>
        <v>0</v>
      </c>
      <c r="AR123" s="150">
        <f t="shared" si="20"/>
        <v>0</v>
      </c>
      <c r="AS123" s="150">
        <f t="shared" si="20"/>
        <v>0</v>
      </c>
      <c r="AT123" s="150">
        <f t="shared" si="20"/>
        <v>0</v>
      </c>
      <c r="AU123" s="150">
        <f t="shared" si="20"/>
        <v>0</v>
      </c>
      <c r="AV123" s="150">
        <f t="shared" si="20"/>
        <v>0</v>
      </c>
      <c r="AW123" s="150">
        <f t="shared" si="20"/>
        <v>0</v>
      </c>
      <c r="AX123" s="150">
        <f t="shared" si="20"/>
        <v>0</v>
      </c>
      <c r="AY123" s="150">
        <f t="shared" si="20"/>
        <v>0</v>
      </c>
      <c r="AZ123" s="150">
        <f t="shared" si="20"/>
        <v>0</v>
      </c>
      <c r="BA123" s="150">
        <f t="shared" si="20"/>
        <v>0</v>
      </c>
      <c r="BB123" s="150">
        <f t="shared" si="20"/>
        <v>0</v>
      </c>
      <c r="BC123" s="150">
        <f t="shared" si="20"/>
        <v>0</v>
      </c>
      <c r="BD123" s="150">
        <f t="shared" si="20"/>
        <v>0</v>
      </c>
      <c r="BE123" s="150">
        <f t="shared" si="20"/>
        <v>0</v>
      </c>
      <c r="BF123" s="150">
        <f t="shared" si="20"/>
        <v>0</v>
      </c>
      <c r="BG123" s="150">
        <f t="shared" si="20"/>
        <v>0</v>
      </c>
      <c r="BH123" s="150">
        <f t="shared" si="20"/>
        <v>0</v>
      </c>
      <c r="BI123" s="150">
        <f t="shared" si="20"/>
        <v>0</v>
      </c>
      <c r="BJ123" s="150">
        <f t="shared" si="20"/>
        <v>0</v>
      </c>
      <c r="BK123" s="150">
        <f t="shared" si="20"/>
        <v>0</v>
      </c>
      <c r="BL123" s="150">
        <f t="shared" si="20"/>
        <v>0</v>
      </c>
      <c r="BM123" s="150">
        <f t="shared" si="20"/>
        <v>0</v>
      </c>
      <c r="BN123" s="150"/>
      <c r="BO123" s="150"/>
      <c r="BP123" s="150"/>
      <c r="BQ123" s="150"/>
      <c r="BR123" s="150"/>
      <c r="BS123" s="150"/>
      <c r="BT123" s="150"/>
      <c r="BU123" s="150"/>
      <c r="BV123" s="150"/>
      <c r="BW123" s="150"/>
      <c r="BX123" s="150"/>
      <c r="BY123" s="150"/>
      <c r="BZ123" s="150"/>
      <c r="CA123" s="150"/>
      <c r="CB123" s="150"/>
      <c r="CC123" s="150"/>
      <c r="CD123" s="150"/>
      <c r="CE123" s="150"/>
      <c r="CF123" s="150"/>
      <c r="CG123" s="150"/>
      <c r="CH123" s="150"/>
      <c r="CI123" s="150"/>
      <c r="CJ123" s="150"/>
      <c r="CK123" s="150"/>
      <c r="CL123" s="150"/>
      <c r="CM123" s="150"/>
      <c r="CN123" s="150"/>
      <c r="CO123" s="150"/>
      <c r="CP123" s="150"/>
      <c r="CQ123" s="150"/>
      <c r="CR123" s="150"/>
      <c r="CS123" s="150"/>
      <c r="CT123" s="150"/>
      <c r="CU123" s="150"/>
      <c r="CV123" s="150"/>
      <c r="CW123" s="150"/>
      <c r="CX123" s="150"/>
      <c r="CY123" s="150"/>
      <c r="CZ123" s="150"/>
      <c r="DA123" s="150"/>
      <c r="DB123" s="150"/>
      <c r="DC123" s="150"/>
      <c r="DD123" s="150"/>
      <c r="DE123" s="150"/>
      <c r="DF123" s="150"/>
      <c r="DG123" s="150"/>
      <c r="DH123" s="150"/>
      <c r="DI123" s="150"/>
      <c r="DJ123" s="150"/>
      <c r="DK123" s="150"/>
      <c r="DL123" s="150"/>
      <c r="DM123" s="150"/>
      <c r="DN123" s="150"/>
      <c r="DO123" s="150"/>
      <c r="DP123" s="150"/>
      <c r="DQ123" s="150"/>
      <c r="DR123" s="150"/>
      <c r="DS123" s="150"/>
      <c r="DT123" s="150"/>
      <c r="DU123" s="150"/>
      <c r="DV123" s="150"/>
      <c r="DW123" s="150"/>
      <c r="DX123" s="150"/>
      <c r="DY123" s="150"/>
      <c r="DZ123" s="150"/>
      <c r="EA123" s="150"/>
      <c r="EB123" s="150"/>
      <c r="EC123" s="150"/>
      <c r="ED123" s="150"/>
      <c r="EE123" s="150"/>
      <c r="EF123" s="150"/>
      <c r="EG123" s="150"/>
      <c r="EH123" s="150"/>
      <c r="EI123" s="150"/>
      <c r="EJ123" s="150"/>
      <c r="EK123" s="150"/>
      <c r="EL123" s="150"/>
      <c r="EM123" s="150"/>
      <c r="EN123" s="150"/>
      <c r="EO123" s="150"/>
      <c r="EP123" s="150"/>
      <c r="EQ123" s="150"/>
      <c r="ER123" s="150"/>
      <c r="ES123" s="150"/>
      <c r="ET123" s="150"/>
      <c r="EU123" s="150"/>
      <c r="EV123" s="150"/>
      <c r="EW123" s="150"/>
      <c r="EX123" s="150"/>
      <c r="EY123" s="150"/>
      <c r="EZ123" s="150"/>
      <c r="FA123" s="150"/>
      <c r="FB123" s="150"/>
      <c r="FC123" s="150"/>
      <c r="FD123" s="150"/>
      <c r="FE123" s="150"/>
      <c r="FF123" s="150"/>
      <c r="FG123" s="150"/>
      <c r="FH123" s="150"/>
      <c r="FI123" s="150"/>
      <c r="FJ123" s="150"/>
      <c r="FK123" s="150"/>
      <c r="FL123" s="150"/>
      <c r="FM123" s="150"/>
      <c r="FN123" s="150"/>
      <c r="FO123" s="150"/>
      <c r="FP123" s="150"/>
      <c r="FQ123" s="150"/>
      <c r="FR123" s="150"/>
      <c r="FS123" s="150"/>
      <c r="FT123" s="150"/>
      <c r="FU123" s="150"/>
      <c r="FV123" s="150"/>
      <c r="FW123" s="150"/>
      <c r="FX123" s="150"/>
      <c r="FY123" s="150"/>
      <c r="FZ123" s="150"/>
      <c r="GA123" s="150"/>
      <c r="GB123" s="150"/>
      <c r="GC123" s="150"/>
      <c r="GD123" s="150"/>
      <c r="GE123" s="150"/>
      <c r="GF123" s="150"/>
      <c r="GG123" s="150"/>
      <c r="GH123" s="150"/>
      <c r="GI123" s="150"/>
      <c r="GJ123" s="150"/>
      <c r="GK123" s="150"/>
      <c r="GL123" s="150"/>
      <c r="GM123" s="150"/>
      <c r="GN123" s="150"/>
      <c r="GO123" s="150"/>
      <c r="GP123" s="150"/>
      <c r="GQ123" s="150"/>
      <c r="GR123" s="150"/>
      <c r="GS123" s="150"/>
      <c r="GT123" s="150"/>
      <c r="GU123" s="150"/>
      <c r="GV123" s="150"/>
      <c r="GW123" s="150"/>
      <c r="GX123" s="150"/>
      <c r="GY123" s="150"/>
      <c r="GZ123" s="150"/>
      <c r="HA123" s="150"/>
      <c r="HB123" s="150"/>
      <c r="HC123" s="150"/>
      <c r="HD123" s="150"/>
      <c r="HE123" s="150"/>
      <c r="HF123" s="150"/>
      <c r="HG123" s="150"/>
      <c r="HH123" s="150"/>
      <c r="HI123" s="150"/>
      <c r="HJ123" s="150"/>
      <c r="HK123" s="150"/>
      <c r="HL123" s="150"/>
      <c r="HM123" s="150"/>
      <c r="HN123" s="150"/>
      <c r="HO123" s="150"/>
      <c r="HP123" s="150"/>
      <c r="HQ123" s="150"/>
      <c r="HR123" s="150"/>
      <c r="HS123" s="150"/>
      <c r="HT123" s="150"/>
      <c r="HU123" s="150"/>
      <c r="HV123" s="150"/>
      <c r="HW123" s="150"/>
      <c r="HX123" s="150"/>
      <c r="HY123" s="150"/>
      <c r="HZ123" s="150"/>
      <c r="IA123" s="150"/>
      <c r="IB123" s="150"/>
      <c r="IC123" s="150"/>
      <c r="ID123" s="150"/>
      <c r="IE123" s="150"/>
      <c r="IF123" s="150"/>
      <c r="IG123" s="150"/>
      <c r="IH123" s="150"/>
      <c r="II123" s="150"/>
      <c r="IJ123" s="150"/>
      <c r="IK123" s="150"/>
      <c r="IL123" s="150"/>
      <c r="IM123" s="150"/>
      <c r="IN123" s="150"/>
      <c r="IO123" s="150"/>
      <c r="IP123" s="150"/>
      <c r="IQ123" s="150"/>
      <c r="IR123" s="150"/>
      <c r="IS123" s="150"/>
      <c r="IT123" s="150"/>
      <c r="IU123" s="150"/>
      <c r="IV123" s="150"/>
      <c r="IW123" s="150"/>
      <c r="IX123" s="150"/>
      <c r="IY123" s="150"/>
      <c r="IZ123" s="150"/>
      <c r="JA123" s="150"/>
      <c r="JB123" s="150"/>
      <c r="JC123" s="150"/>
      <c r="JD123" s="150"/>
      <c r="JE123" s="150"/>
      <c r="JF123" s="150"/>
      <c r="JG123" s="150"/>
      <c r="JH123" s="150"/>
      <c r="JI123" s="150"/>
      <c r="JJ123" s="150"/>
      <c r="JK123" s="150"/>
      <c r="JL123" s="150"/>
      <c r="JM123" s="150"/>
      <c r="JN123" s="150"/>
      <c r="JO123" s="150"/>
      <c r="JP123" s="150"/>
      <c r="JQ123" s="150"/>
      <c r="JR123" s="150"/>
      <c r="JS123" s="150"/>
      <c r="JT123" s="150"/>
      <c r="JU123" s="150"/>
      <c r="JV123" s="150"/>
      <c r="JW123" s="150"/>
      <c r="JX123" s="150"/>
      <c r="JY123" s="150"/>
      <c r="JZ123" s="150"/>
      <c r="KA123" s="150"/>
      <c r="KB123" s="150"/>
      <c r="KC123" s="150"/>
      <c r="KD123" s="150"/>
      <c r="KE123" s="150"/>
      <c r="KF123" s="150"/>
      <c r="KG123" s="150"/>
      <c r="KH123" s="150"/>
      <c r="KI123" s="150"/>
      <c r="KJ123" s="150"/>
      <c r="KK123" s="150"/>
      <c r="KL123" s="150"/>
      <c r="KM123" s="150"/>
      <c r="KN123" s="150"/>
      <c r="KO123" s="150"/>
      <c r="KP123" s="150"/>
      <c r="KQ123" s="150"/>
      <c r="KR123" s="150"/>
      <c r="KS123" s="150"/>
      <c r="KT123" s="150"/>
      <c r="KU123" s="92"/>
    </row>
    <row r="124" spans="2:307" s="157" customFormat="1" x14ac:dyDescent="0.15">
      <c r="C124" s="92" t="s">
        <v>310</v>
      </c>
      <c r="D124" s="225"/>
      <c r="F124" s="150">
        <f t="shared" si="19"/>
        <v>0</v>
      </c>
      <c r="G124" s="150">
        <f t="shared" si="19"/>
        <v>0</v>
      </c>
      <c r="H124" s="150">
        <f t="shared" si="19"/>
        <v>0</v>
      </c>
      <c r="I124" s="150">
        <f t="shared" si="19"/>
        <v>0</v>
      </c>
      <c r="J124" s="150">
        <f t="shared" si="19"/>
        <v>0</v>
      </c>
      <c r="K124" s="150">
        <f t="shared" si="19"/>
        <v>0.13860731454219566</v>
      </c>
      <c r="L124" s="150">
        <f t="shared" si="19"/>
        <v>0.121106317300789</v>
      </c>
      <c r="M124" s="150">
        <f t="shared" si="19"/>
        <v>0.11433154922693552</v>
      </c>
      <c r="N124" s="150">
        <f t="shared" si="19"/>
        <v>0.10776363171328303</v>
      </c>
      <c r="O124" s="150">
        <f t="shared" si="19"/>
        <v>0.10136969780303799</v>
      </c>
      <c r="P124" s="150">
        <f t="shared" si="19"/>
        <v>9.2206804401250952E-2</v>
      </c>
      <c r="Q124" s="150">
        <f t="shared" si="19"/>
        <v>8.0045123239964391E-2</v>
      </c>
      <c r="R124" s="150">
        <f t="shared" si="19"/>
        <v>5.4997110375000192E-2</v>
      </c>
      <c r="S124" s="150">
        <f t="shared" si="19"/>
        <v>0.48654885356475253</v>
      </c>
      <c r="T124" s="150">
        <f t="shared" si="19"/>
        <v>0</v>
      </c>
      <c r="U124" s="150">
        <f t="shared" si="19"/>
        <v>0</v>
      </c>
      <c r="V124" s="150">
        <f t="shared" si="19"/>
        <v>0</v>
      </c>
      <c r="W124" s="150">
        <f t="shared" si="19"/>
        <v>0</v>
      </c>
      <c r="X124" s="150">
        <f t="shared" si="19"/>
        <v>0</v>
      </c>
      <c r="Y124" s="150">
        <f t="shared" si="19"/>
        <v>0</v>
      </c>
      <c r="Z124" s="150">
        <f t="shared" si="19"/>
        <v>0</v>
      </c>
      <c r="AA124" s="150">
        <f t="shared" si="19"/>
        <v>0</v>
      </c>
      <c r="AB124" s="150">
        <f t="shared" si="19"/>
        <v>0</v>
      </c>
      <c r="AC124" s="150">
        <f t="shared" si="19"/>
        <v>0</v>
      </c>
      <c r="AD124" s="150">
        <f t="shared" si="20"/>
        <v>0</v>
      </c>
      <c r="AE124" s="150">
        <f t="shared" si="20"/>
        <v>0</v>
      </c>
      <c r="AF124" s="150">
        <f t="shared" si="20"/>
        <v>0</v>
      </c>
      <c r="AG124" s="150">
        <f t="shared" si="20"/>
        <v>0</v>
      </c>
      <c r="AH124" s="150">
        <f t="shared" si="20"/>
        <v>0</v>
      </c>
      <c r="AI124" s="150">
        <f t="shared" si="20"/>
        <v>0</v>
      </c>
      <c r="AJ124" s="150">
        <f t="shared" si="20"/>
        <v>0</v>
      </c>
      <c r="AK124" s="150">
        <f t="shared" si="20"/>
        <v>0</v>
      </c>
      <c r="AL124" s="150">
        <f t="shared" si="20"/>
        <v>0</v>
      </c>
      <c r="AM124" s="150">
        <f t="shared" si="20"/>
        <v>0</v>
      </c>
      <c r="AN124" s="150">
        <f t="shared" si="20"/>
        <v>0</v>
      </c>
      <c r="AO124" s="150">
        <f t="shared" si="20"/>
        <v>0</v>
      </c>
      <c r="AP124" s="150">
        <f t="shared" si="20"/>
        <v>0</v>
      </c>
      <c r="AQ124" s="150">
        <f t="shared" si="20"/>
        <v>0</v>
      </c>
      <c r="AR124" s="150">
        <f t="shared" si="20"/>
        <v>0</v>
      </c>
      <c r="AS124" s="150">
        <f t="shared" si="20"/>
        <v>0</v>
      </c>
      <c r="AT124" s="150">
        <f t="shared" si="20"/>
        <v>0</v>
      </c>
      <c r="AU124" s="150">
        <f t="shared" si="20"/>
        <v>0</v>
      </c>
      <c r="AV124" s="150">
        <f t="shared" si="20"/>
        <v>0</v>
      </c>
      <c r="AW124" s="150">
        <f t="shared" si="20"/>
        <v>0</v>
      </c>
      <c r="AX124" s="150">
        <f t="shared" si="20"/>
        <v>0</v>
      </c>
      <c r="AY124" s="150">
        <f t="shared" si="20"/>
        <v>0</v>
      </c>
      <c r="AZ124" s="150">
        <f t="shared" si="20"/>
        <v>0</v>
      </c>
      <c r="BA124" s="150">
        <f t="shared" si="20"/>
        <v>0</v>
      </c>
      <c r="BB124" s="150">
        <f t="shared" si="20"/>
        <v>0</v>
      </c>
      <c r="BC124" s="150">
        <f t="shared" si="20"/>
        <v>0</v>
      </c>
      <c r="BD124" s="150">
        <f t="shared" si="20"/>
        <v>0</v>
      </c>
      <c r="BE124" s="150">
        <f t="shared" si="20"/>
        <v>0</v>
      </c>
      <c r="BF124" s="150">
        <f t="shared" si="20"/>
        <v>0</v>
      </c>
      <c r="BG124" s="150">
        <f t="shared" si="20"/>
        <v>0</v>
      </c>
      <c r="BH124" s="150">
        <f t="shared" si="20"/>
        <v>0</v>
      </c>
      <c r="BI124" s="150">
        <f t="shared" si="20"/>
        <v>0</v>
      </c>
      <c r="BJ124" s="150">
        <f t="shared" si="20"/>
        <v>0</v>
      </c>
      <c r="BK124" s="150">
        <f t="shared" si="20"/>
        <v>0</v>
      </c>
      <c r="BL124" s="150">
        <f t="shared" si="20"/>
        <v>0</v>
      </c>
      <c r="BM124" s="150">
        <f t="shared" si="20"/>
        <v>0</v>
      </c>
      <c r="BN124" s="150"/>
      <c r="BO124" s="150"/>
      <c r="BP124" s="150"/>
      <c r="BQ124" s="150"/>
      <c r="BR124" s="150"/>
      <c r="BS124" s="150"/>
      <c r="BT124" s="150"/>
      <c r="BU124" s="150"/>
      <c r="BV124" s="150"/>
      <c r="BW124" s="150"/>
      <c r="BX124" s="150"/>
      <c r="BY124" s="150"/>
      <c r="BZ124" s="150"/>
      <c r="CA124" s="150"/>
      <c r="CB124" s="150"/>
      <c r="CC124" s="150"/>
      <c r="CD124" s="150"/>
      <c r="CE124" s="150"/>
      <c r="CF124" s="150"/>
      <c r="CG124" s="150"/>
      <c r="CH124" s="150"/>
      <c r="CI124" s="150"/>
      <c r="CJ124" s="150"/>
      <c r="CK124" s="150"/>
      <c r="CL124" s="150"/>
      <c r="CM124" s="150"/>
      <c r="CN124" s="150"/>
      <c r="CO124" s="150"/>
      <c r="CP124" s="150"/>
      <c r="CQ124" s="150"/>
      <c r="CR124" s="150"/>
      <c r="CS124" s="150"/>
      <c r="CT124" s="150"/>
      <c r="CU124" s="150"/>
      <c r="CV124" s="150"/>
      <c r="CW124" s="150"/>
      <c r="CX124" s="150"/>
      <c r="CY124" s="150"/>
      <c r="CZ124" s="150"/>
      <c r="DA124" s="150"/>
      <c r="DB124" s="150"/>
      <c r="DC124" s="150"/>
      <c r="DD124" s="150"/>
      <c r="DE124" s="150"/>
      <c r="DF124" s="150"/>
      <c r="DG124" s="150"/>
      <c r="DH124" s="150"/>
      <c r="DI124" s="150"/>
      <c r="DJ124" s="150"/>
      <c r="DK124" s="150"/>
      <c r="DL124" s="150"/>
      <c r="DM124" s="150"/>
      <c r="DN124" s="150"/>
      <c r="DO124" s="150"/>
      <c r="DP124" s="150"/>
      <c r="DQ124" s="150"/>
      <c r="DR124" s="150"/>
      <c r="DS124" s="150"/>
      <c r="DT124" s="150"/>
      <c r="DU124" s="150"/>
      <c r="DV124" s="150"/>
      <c r="DW124" s="150"/>
      <c r="DX124" s="150"/>
      <c r="DY124" s="150"/>
      <c r="DZ124" s="150"/>
      <c r="EA124" s="150"/>
      <c r="EB124" s="150"/>
      <c r="EC124" s="150"/>
      <c r="ED124" s="150"/>
      <c r="EE124" s="150"/>
      <c r="EF124" s="150"/>
      <c r="EG124" s="150"/>
      <c r="EH124" s="150"/>
      <c r="EI124" s="150"/>
      <c r="EJ124" s="150"/>
      <c r="EK124" s="150"/>
      <c r="EL124" s="150"/>
      <c r="EM124" s="150"/>
      <c r="EN124" s="150"/>
      <c r="EO124" s="150"/>
      <c r="EP124" s="150"/>
      <c r="EQ124" s="150"/>
      <c r="ER124" s="150"/>
      <c r="ES124" s="150"/>
      <c r="ET124" s="150"/>
      <c r="EU124" s="150"/>
      <c r="EV124" s="150"/>
      <c r="EW124" s="150"/>
      <c r="EX124" s="150"/>
      <c r="EY124" s="150"/>
      <c r="EZ124" s="150"/>
      <c r="FA124" s="150"/>
      <c r="FB124" s="150"/>
      <c r="FC124" s="150"/>
      <c r="FD124" s="150"/>
      <c r="FE124" s="150"/>
      <c r="FF124" s="150"/>
      <c r="FG124" s="150"/>
      <c r="FH124" s="150"/>
      <c r="FI124" s="150"/>
      <c r="FJ124" s="150"/>
      <c r="FK124" s="150"/>
      <c r="FL124" s="150"/>
      <c r="FM124" s="150"/>
      <c r="FN124" s="150"/>
      <c r="FO124" s="150"/>
      <c r="FP124" s="150"/>
      <c r="FQ124" s="150"/>
      <c r="FR124" s="150"/>
      <c r="FS124" s="150"/>
      <c r="FT124" s="150"/>
      <c r="FU124" s="150"/>
      <c r="FV124" s="150"/>
      <c r="FW124" s="150"/>
      <c r="FX124" s="150"/>
      <c r="FY124" s="150"/>
      <c r="FZ124" s="150"/>
      <c r="GA124" s="150"/>
      <c r="GB124" s="150"/>
      <c r="GC124" s="150"/>
      <c r="GD124" s="150"/>
      <c r="GE124" s="150"/>
      <c r="GF124" s="150"/>
      <c r="GG124" s="150"/>
      <c r="GH124" s="150"/>
      <c r="GI124" s="150"/>
      <c r="GJ124" s="150"/>
      <c r="GK124" s="150"/>
      <c r="GL124" s="150"/>
      <c r="GM124" s="150"/>
      <c r="GN124" s="150"/>
      <c r="GO124" s="150"/>
      <c r="GP124" s="150"/>
      <c r="GQ124" s="150"/>
      <c r="GR124" s="150"/>
      <c r="GS124" s="150"/>
      <c r="GT124" s="150"/>
      <c r="GU124" s="150"/>
      <c r="GV124" s="150"/>
      <c r="GW124" s="150"/>
      <c r="GX124" s="150"/>
      <c r="GY124" s="150"/>
      <c r="GZ124" s="150"/>
      <c r="HA124" s="150"/>
      <c r="HB124" s="150"/>
      <c r="HC124" s="150"/>
      <c r="HD124" s="150"/>
      <c r="HE124" s="150"/>
      <c r="HF124" s="150"/>
      <c r="HG124" s="150"/>
      <c r="HH124" s="150"/>
      <c r="HI124" s="150"/>
      <c r="HJ124" s="150"/>
      <c r="HK124" s="150"/>
      <c r="HL124" s="150"/>
      <c r="HM124" s="150"/>
      <c r="HN124" s="150"/>
      <c r="HO124" s="150"/>
      <c r="HP124" s="150"/>
      <c r="HQ124" s="150"/>
      <c r="HR124" s="150"/>
      <c r="HS124" s="150"/>
      <c r="HT124" s="150"/>
      <c r="HU124" s="150"/>
      <c r="HV124" s="150"/>
      <c r="HW124" s="150"/>
      <c r="HX124" s="150"/>
      <c r="HY124" s="150"/>
      <c r="HZ124" s="150"/>
      <c r="IA124" s="150"/>
      <c r="IB124" s="150"/>
      <c r="IC124" s="150"/>
      <c r="ID124" s="150"/>
      <c r="IE124" s="150"/>
      <c r="IF124" s="150"/>
      <c r="IG124" s="150"/>
      <c r="IH124" s="150"/>
      <c r="II124" s="150"/>
      <c r="IJ124" s="150"/>
      <c r="IK124" s="150"/>
      <c r="IL124" s="150"/>
      <c r="IM124" s="150"/>
      <c r="IN124" s="150"/>
      <c r="IO124" s="150"/>
      <c r="IP124" s="150"/>
      <c r="IQ124" s="150"/>
      <c r="IR124" s="150"/>
      <c r="IS124" s="150"/>
      <c r="IT124" s="150"/>
      <c r="IU124" s="150"/>
      <c r="IV124" s="150"/>
      <c r="IW124" s="150"/>
      <c r="IX124" s="150"/>
      <c r="IY124" s="150"/>
      <c r="IZ124" s="150"/>
      <c r="JA124" s="150"/>
      <c r="JB124" s="150"/>
      <c r="JC124" s="150"/>
      <c r="JD124" s="150"/>
      <c r="JE124" s="150"/>
      <c r="JF124" s="150"/>
      <c r="JG124" s="150"/>
      <c r="JH124" s="150"/>
      <c r="JI124" s="150"/>
      <c r="JJ124" s="150"/>
      <c r="JK124" s="150"/>
      <c r="JL124" s="150"/>
      <c r="JM124" s="150"/>
      <c r="JN124" s="150"/>
      <c r="JO124" s="150"/>
      <c r="JP124" s="150"/>
      <c r="JQ124" s="150"/>
      <c r="JR124" s="150"/>
      <c r="JS124" s="150"/>
      <c r="JT124" s="150"/>
      <c r="JU124" s="150"/>
      <c r="JV124" s="150"/>
      <c r="JW124" s="150"/>
      <c r="JX124" s="150"/>
      <c r="JY124" s="150"/>
      <c r="JZ124" s="150"/>
      <c r="KA124" s="150"/>
      <c r="KB124" s="150"/>
      <c r="KC124" s="150"/>
      <c r="KD124" s="150"/>
      <c r="KE124" s="150"/>
      <c r="KF124" s="150"/>
      <c r="KG124" s="150"/>
      <c r="KH124" s="150"/>
      <c r="KI124" s="150"/>
      <c r="KJ124" s="150"/>
      <c r="KK124" s="150"/>
      <c r="KL124" s="150"/>
      <c r="KM124" s="150"/>
      <c r="KN124" s="150"/>
      <c r="KO124" s="150"/>
      <c r="KP124" s="150"/>
      <c r="KQ124" s="150"/>
      <c r="KR124" s="150"/>
      <c r="KS124" s="150"/>
      <c r="KT124" s="150"/>
      <c r="KU124" s="92"/>
    </row>
    <row r="125" spans="2:307" s="157" customFormat="1" x14ac:dyDescent="0.15">
      <c r="C125" s="92" t="s">
        <v>312</v>
      </c>
      <c r="D125" s="225"/>
      <c r="F125" s="150">
        <f t="shared" si="19"/>
        <v>0</v>
      </c>
      <c r="G125" s="150">
        <f t="shared" si="19"/>
        <v>0</v>
      </c>
      <c r="H125" s="150">
        <f t="shared" si="19"/>
        <v>0</v>
      </c>
      <c r="I125" s="150">
        <f t="shared" si="19"/>
        <v>0</v>
      </c>
      <c r="J125" s="150">
        <f t="shared" si="19"/>
        <v>0</v>
      </c>
      <c r="K125" s="150">
        <f t="shared" si="19"/>
        <v>0</v>
      </c>
      <c r="L125" s="150">
        <f t="shared" si="19"/>
        <v>0.13860731454219566</v>
      </c>
      <c r="M125" s="150">
        <f t="shared" si="19"/>
        <v>0.121106317300789</v>
      </c>
      <c r="N125" s="150">
        <f t="shared" si="19"/>
        <v>0.11433154922693552</v>
      </c>
      <c r="O125" s="150">
        <f t="shared" si="19"/>
        <v>0.10776363171328303</v>
      </c>
      <c r="P125" s="150">
        <f t="shared" si="19"/>
        <v>0.10136969780303799</v>
      </c>
      <c r="Q125" s="150">
        <f t="shared" si="19"/>
        <v>9.2206804401250952E-2</v>
      </c>
      <c r="R125" s="150">
        <f t="shared" si="19"/>
        <v>8.0045123239964391E-2</v>
      </c>
      <c r="S125" s="150">
        <f t="shared" si="19"/>
        <v>5.4997110375000192E-2</v>
      </c>
      <c r="T125" s="150">
        <f t="shared" si="19"/>
        <v>0.48654885356475253</v>
      </c>
      <c r="U125" s="150">
        <f t="shared" si="19"/>
        <v>0</v>
      </c>
      <c r="V125" s="150">
        <f t="shared" si="19"/>
        <v>0</v>
      </c>
      <c r="W125" s="150">
        <f t="shared" si="19"/>
        <v>0</v>
      </c>
      <c r="X125" s="150">
        <f t="shared" si="19"/>
        <v>0</v>
      </c>
      <c r="Y125" s="150">
        <f t="shared" si="19"/>
        <v>0</v>
      </c>
      <c r="Z125" s="150">
        <f t="shared" si="19"/>
        <v>0</v>
      </c>
      <c r="AA125" s="150">
        <f t="shared" si="19"/>
        <v>0</v>
      </c>
      <c r="AB125" s="150">
        <f t="shared" si="19"/>
        <v>0</v>
      </c>
      <c r="AC125" s="150">
        <f t="shared" si="19"/>
        <v>0</v>
      </c>
      <c r="AD125" s="150">
        <f t="shared" si="20"/>
        <v>0</v>
      </c>
      <c r="AE125" s="150">
        <f t="shared" si="20"/>
        <v>0</v>
      </c>
      <c r="AF125" s="150">
        <f t="shared" si="20"/>
        <v>0</v>
      </c>
      <c r="AG125" s="150">
        <f t="shared" ref="AD125:BM132" si="21">IF(AG$4&gt;$F$6,0,AG26*$F107)</f>
        <v>0</v>
      </c>
      <c r="AH125" s="150">
        <f t="shared" si="21"/>
        <v>0</v>
      </c>
      <c r="AI125" s="150">
        <f t="shared" si="21"/>
        <v>0</v>
      </c>
      <c r="AJ125" s="150">
        <f t="shared" si="21"/>
        <v>0</v>
      </c>
      <c r="AK125" s="150">
        <f t="shared" si="21"/>
        <v>0</v>
      </c>
      <c r="AL125" s="150">
        <f t="shared" si="21"/>
        <v>0</v>
      </c>
      <c r="AM125" s="150">
        <f t="shared" si="21"/>
        <v>0</v>
      </c>
      <c r="AN125" s="150">
        <f t="shared" si="21"/>
        <v>0</v>
      </c>
      <c r="AO125" s="150">
        <f t="shared" si="21"/>
        <v>0</v>
      </c>
      <c r="AP125" s="150">
        <f t="shared" si="21"/>
        <v>0</v>
      </c>
      <c r="AQ125" s="150">
        <f t="shared" si="21"/>
        <v>0</v>
      </c>
      <c r="AR125" s="150">
        <f t="shared" si="21"/>
        <v>0</v>
      </c>
      <c r="AS125" s="150">
        <f t="shared" si="21"/>
        <v>0</v>
      </c>
      <c r="AT125" s="150">
        <f t="shared" si="21"/>
        <v>0</v>
      </c>
      <c r="AU125" s="150">
        <f t="shared" si="21"/>
        <v>0</v>
      </c>
      <c r="AV125" s="150">
        <f t="shared" si="21"/>
        <v>0</v>
      </c>
      <c r="AW125" s="150">
        <f t="shared" si="21"/>
        <v>0</v>
      </c>
      <c r="AX125" s="150">
        <f t="shared" si="21"/>
        <v>0</v>
      </c>
      <c r="AY125" s="150">
        <f t="shared" si="21"/>
        <v>0</v>
      </c>
      <c r="AZ125" s="150">
        <f t="shared" si="21"/>
        <v>0</v>
      </c>
      <c r="BA125" s="150">
        <f t="shared" si="21"/>
        <v>0</v>
      </c>
      <c r="BB125" s="150">
        <f t="shared" si="21"/>
        <v>0</v>
      </c>
      <c r="BC125" s="150">
        <f t="shared" si="21"/>
        <v>0</v>
      </c>
      <c r="BD125" s="150">
        <f t="shared" si="21"/>
        <v>0</v>
      </c>
      <c r="BE125" s="150">
        <f t="shared" si="21"/>
        <v>0</v>
      </c>
      <c r="BF125" s="150">
        <f t="shared" si="21"/>
        <v>0</v>
      </c>
      <c r="BG125" s="150">
        <f t="shared" si="21"/>
        <v>0</v>
      </c>
      <c r="BH125" s="150">
        <f t="shared" si="21"/>
        <v>0</v>
      </c>
      <c r="BI125" s="150">
        <f t="shared" si="21"/>
        <v>0</v>
      </c>
      <c r="BJ125" s="150">
        <f t="shared" si="21"/>
        <v>0</v>
      </c>
      <c r="BK125" s="150">
        <f t="shared" si="21"/>
        <v>0</v>
      </c>
      <c r="BL125" s="150">
        <f t="shared" si="21"/>
        <v>0</v>
      </c>
      <c r="BM125" s="150">
        <f t="shared" si="21"/>
        <v>0</v>
      </c>
      <c r="BN125" s="150"/>
      <c r="BO125" s="150"/>
      <c r="BP125" s="150"/>
      <c r="BQ125" s="150"/>
      <c r="BR125" s="150"/>
      <c r="BS125" s="150"/>
      <c r="BT125" s="150"/>
      <c r="BU125" s="150"/>
      <c r="BV125" s="150"/>
      <c r="BW125" s="150"/>
      <c r="BX125" s="150"/>
      <c r="BY125" s="150"/>
      <c r="BZ125" s="150"/>
      <c r="CA125" s="150"/>
      <c r="CB125" s="150"/>
      <c r="CC125" s="150"/>
      <c r="CD125" s="150"/>
      <c r="CE125" s="150"/>
      <c r="CF125" s="150"/>
      <c r="CG125" s="150"/>
      <c r="CH125" s="150"/>
      <c r="CI125" s="150"/>
      <c r="CJ125" s="150"/>
      <c r="CK125" s="150"/>
      <c r="CL125" s="150"/>
      <c r="CM125" s="150"/>
      <c r="CN125" s="150"/>
      <c r="CO125" s="150"/>
      <c r="CP125" s="150"/>
      <c r="CQ125" s="150"/>
      <c r="CR125" s="150"/>
      <c r="CS125" s="150"/>
      <c r="CT125" s="150"/>
      <c r="CU125" s="150"/>
      <c r="CV125" s="150"/>
      <c r="CW125" s="150"/>
      <c r="CX125" s="150"/>
      <c r="CY125" s="150"/>
      <c r="CZ125" s="150"/>
      <c r="DA125" s="150"/>
      <c r="DB125" s="150"/>
      <c r="DC125" s="150"/>
      <c r="DD125" s="150"/>
      <c r="DE125" s="150"/>
      <c r="DF125" s="150"/>
      <c r="DG125" s="150"/>
      <c r="DH125" s="150"/>
      <c r="DI125" s="150"/>
      <c r="DJ125" s="150"/>
      <c r="DK125" s="150"/>
      <c r="DL125" s="150"/>
      <c r="DM125" s="150"/>
      <c r="DN125" s="150"/>
      <c r="DO125" s="150"/>
      <c r="DP125" s="150"/>
      <c r="DQ125" s="150"/>
      <c r="DR125" s="150"/>
      <c r="DS125" s="150"/>
      <c r="DT125" s="150"/>
      <c r="DU125" s="150"/>
      <c r="DV125" s="150"/>
      <c r="DW125" s="150"/>
      <c r="DX125" s="150"/>
      <c r="DY125" s="150"/>
      <c r="DZ125" s="150"/>
      <c r="EA125" s="150"/>
      <c r="EB125" s="150"/>
      <c r="EC125" s="150"/>
      <c r="ED125" s="150"/>
      <c r="EE125" s="150"/>
      <c r="EF125" s="150"/>
      <c r="EG125" s="150"/>
      <c r="EH125" s="150"/>
      <c r="EI125" s="150"/>
      <c r="EJ125" s="150"/>
      <c r="EK125" s="150"/>
      <c r="EL125" s="150"/>
      <c r="EM125" s="150"/>
      <c r="EN125" s="150"/>
      <c r="EO125" s="150"/>
      <c r="EP125" s="150"/>
      <c r="EQ125" s="150"/>
      <c r="ER125" s="150"/>
      <c r="ES125" s="150"/>
      <c r="ET125" s="150"/>
      <c r="EU125" s="150"/>
      <c r="EV125" s="150"/>
      <c r="EW125" s="150"/>
      <c r="EX125" s="150"/>
      <c r="EY125" s="150"/>
      <c r="EZ125" s="150"/>
      <c r="FA125" s="150"/>
      <c r="FB125" s="150"/>
      <c r="FC125" s="150"/>
      <c r="FD125" s="150"/>
      <c r="FE125" s="150"/>
      <c r="FF125" s="150"/>
      <c r="FG125" s="150"/>
      <c r="FH125" s="150"/>
      <c r="FI125" s="150"/>
      <c r="FJ125" s="150"/>
      <c r="FK125" s="150"/>
      <c r="FL125" s="150"/>
      <c r="FM125" s="150"/>
      <c r="FN125" s="150"/>
      <c r="FO125" s="150"/>
      <c r="FP125" s="150"/>
      <c r="FQ125" s="150"/>
      <c r="FR125" s="150"/>
      <c r="FS125" s="150"/>
      <c r="FT125" s="150"/>
      <c r="FU125" s="150"/>
      <c r="FV125" s="150"/>
      <c r="FW125" s="150"/>
      <c r="FX125" s="150"/>
      <c r="FY125" s="150"/>
      <c r="FZ125" s="150"/>
      <c r="GA125" s="150"/>
      <c r="GB125" s="150"/>
      <c r="GC125" s="150"/>
      <c r="GD125" s="150"/>
      <c r="GE125" s="150"/>
      <c r="GF125" s="150"/>
      <c r="GG125" s="150"/>
      <c r="GH125" s="150"/>
      <c r="GI125" s="150"/>
      <c r="GJ125" s="150"/>
      <c r="GK125" s="150"/>
      <c r="GL125" s="150"/>
      <c r="GM125" s="150"/>
      <c r="GN125" s="150"/>
      <c r="GO125" s="150"/>
      <c r="GP125" s="150"/>
      <c r="GQ125" s="150"/>
      <c r="GR125" s="150"/>
      <c r="GS125" s="150"/>
      <c r="GT125" s="150"/>
      <c r="GU125" s="150"/>
      <c r="GV125" s="150"/>
      <c r="GW125" s="150"/>
      <c r="GX125" s="150"/>
      <c r="GY125" s="150"/>
      <c r="GZ125" s="150"/>
      <c r="HA125" s="150"/>
      <c r="HB125" s="150"/>
      <c r="HC125" s="150"/>
      <c r="HD125" s="150"/>
      <c r="HE125" s="150"/>
      <c r="HF125" s="150"/>
      <c r="HG125" s="150"/>
      <c r="HH125" s="150"/>
      <c r="HI125" s="150"/>
      <c r="HJ125" s="150"/>
      <c r="HK125" s="150"/>
      <c r="HL125" s="150"/>
      <c r="HM125" s="150"/>
      <c r="HN125" s="150"/>
      <c r="HO125" s="150"/>
      <c r="HP125" s="150"/>
      <c r="HQ125" s="150"/>
      <c r="HR125" s="150"/>
      <c r="HS125" s="150"/>
      <c r="HT125" s="150"/>
      <c r="HU125" s="150"/>
      <c r="HV125" s="150"/>
      <c r="HW125" s="150"/>
      <c r="HX125" s="150"/>
      <c r="HY125" s="150"/>
      <c r="HZ125" s="150"/>
      <c r="IA125" s="150"/>
      <c r="IB125" s="150"/>
      <c r="IC125" s="150"/>
      <c r="ID125" s="150"/>
      <c r="IE125" s="150"/>
      <c r="IF125" s="150"/>
      <c r="IG125" s="150"/>
      <c r="IH125" s="150"/>
      <c r="II125" s="150"/>
      <c r="IJ125" s="150"/>
      <c r="IK125" s="150"/>
      <c r="IL125" s="150"/>
      <c r="IM125" s="150"/>
      <c r="IN125" s="150"/>
      <c r="IO125" s="150"/>
      <c r="IP125" s="150"/>
      <c r="IQ125" s="150"/>
      <c r="IR125" s="150"/>
      <c r="IS125" s="150"/>
      <c r="IT125" s="150"/>
      <c r="IU125" s="150"/>
      <c r="IV125" s="150"/>
      <c r="IW125" s="150"/>
      <c r="IX125" s="150"/>
      <c r="IY125" s="150"/>
      <c r="IZ125" s="150"/>
      <c r="JA125" s="150"/>
      <c r="JB125" s="150"/>
      <c r="JC125" s="150"/>
      <c r="JD125" s="150"/>
      <c r="JE125" s="150"/>
      <c r="JF125" s="150"/>
      <c r="JG125" s="150"/>
      <c r="JH125" s="150"/>
      <c r="JI125" s="150"/>
      <c r="JJ125" s="150"/>
      <c r="JK125" s="150"/>
      <c r="JL125" s="150"/>
      <c r="JM125" s="150"/>
      <c r="JN125" s="150"/>
      <c r="JO125" s="150"/>
      <c r="JP125" s="150"/>
      <c r="JQ125" s="150"/>
      <c r="JR125" s="150"/>
      <c r="JS125" s="150"/>
      <c r="JT125" s="150"/>
      <c r="JU125" s="150"/>
      <c r="JV125" s="150"/>
      <c r="JW125" s="150"/>
      <c r="JX125" s="150"/>
      <c r="JY125" s="150"/>
      <c r="JZ125" s="150"/>
      <c r="KA125" s="150"/>
      <c r="KB125" s="150"/>
      <c r="KC125" s="150"/>
      <c r="KD125" s="150"/>
      <c r="KE125" s="150"/>
      <c r="KF125" s="150"/>
      <c r="KG125" s="150"/>
      <c r="KH125" s="150"/>
      <c r="KI125" s="150"/>
      <c r="KJ125" s="150"/>
      <c r="KK125" s="150"/>
      <c r="KL125" s="150"/>
      <c r="KM125" s="150"/>
      <c r="KN125" s="150"/>
      <c r="KO125" s="150"/>
      <c r="KP125" s="150"/>
      <c r="KQ125" s="150"/>
      <c r="KR125" s="150"/>
      <c r="KS125" s="150"/>
      <c r="KT125" s="150"/>
      <c r="KU125" s="92"/>
    </row>
    <row r="126" spans="2:307" s="157" customFormat="1" x14ac:dyDescent="0.15">
      <c r="C126" s="92" t="s">
        <v>313</v>
      </c>
      <c r="D126" s="225"/>
      <c r="F126" s="150">
        <f t="shared" si="19"/>
        <v>0</v>
      </c>
      <c r="G126" s="150">
        <f t="shared" si="19"/>
        <v>0</v>
      </c>
      <c r="H126" s="150">
        <f t="shared" si="19"/>
        <v>0</v>
      </c>
      <c r="I126" s="150">
        <f t="shared" si="19"/>
        <v>0</v>
      </c>
      <c r="J126" s="150">
        <f t="shared" si="19"/>
        <v>0</v>
      </c>
      <c r="K126" s="150">
        <f t="shared" si="19"/>
        <v>0</v>
      </c>
      <c r="L126" s="150">
        <f t="shared" si="19"/>
        <v>0</v>
      </c>
      <c r="M126" s="150">
        <f t="shared" si="19"/>
        <v>0.14143603524713844</v>
      </c>
      <c r="N126" s="150">
        <f t="shared" si="19"/>
        <v>0.12357787479672346</v>
      </c>
      <c r="O126" s="150">
        <f t="shared" si="19"/>
        <v>0.11666484614993421</v>
      </c>
      <c r="P126" s="150">
        <f t="shared" si="19"/>
        <v>0.10996288950335004</v>
      </c>
      <c r="Q126" s="150">
        <f t="shared" si="19"/>
        <v>0.10343846714595714</v>
      </c>
      <c r="R126" s="150">
        <f t="shared" si="19"/>
        <v>9.4088575919643827E-2</v>
      </c>
      <c r="S126" s="150">
        <f t="shared" si="19"/>
        <v>8.1678697183637128E-2</v>
      </c>
      <c r="T126" s="150">
        <f t="shared" si="19"/>
        <v>5.6119500382653252E-2</v>
      </c>
      <c r="U126" s="150">
        <f t="shared" si="19"/>
        <v>0</v>
      </c>
      <c r="V126" s="150">
        <f t="shared" si="19"/>
        <v>0</v>
      </c>
      <c r="W126" s="150">
        <f t="shared" si="19"/>
        <v>0</v>
      </c>
      <c r="X126" s="150">
        <f t="shared" si="19"/>
        <v>0</v>
      </c>
      <c r="Y126" s="150">
        <f t="shared" si="19"/>
        <v>0</v>
      </c>
      <c r="Z126" s="150">
        <f t="shared" si="19"/>
        <v>0</v>
      </c>
      <c r="AA126" s="150">
        <f t="shared" si="19"/>
        <v>0</v>
      </c>
      <c r="AB126" s="150">
        <f t="shared" si="19"/>
        <v>0</v>
      </c>
      <c r="AC126" s="150">
        <f t="shared" si="19"/>
        <v>0</v>
      </c>
      <c r="AD126" s="150">
        <f t="shared" si="21"/>
        <v>0</v>
      </c>
      <c r="AE126" s="150">
        <f t="shared" si="21"/>
        <v>0</v>
      </c>
      <c r="AF126" s="150">
        <f t="shared" si="21"/>
        <v>0</v>
      </c>
      <c r="AG126" s="150">
        <f t="shared" si="21"/>
        <v>0</v>
      </c>
      <c r="AH126" s="150">
        <f t="shared" si="21"/>
        <v>0</v>
      </c>
      <c r="AI126" s="150">
        <f t="shared" si="21"/>
        <v>0</v>
      </c>
      <c r="AJ126" s="150">
        <f t="shared" si="21"/>
        <v>0</v>
      </c>
      <c r="AK126" s="150">
        <f t="shared" si="21"/>
        <v>0</v>
      </c>
      <c r="AL126" s="150">
        <f t="shared" si="21"/>
        <v>0</v>
      </c>
      <c r="AM126" s="150">
        <f t="shared" si="21"/>
        <v>0</v>
      </c>
      <c r="AN126" s="150">
        <f t="shared" si="21"/>
        <v>0</v>
      </c>
      <c r="AO126" s="150">
        <f t="shared" si="21"/>
        <v>0</v>
      </c>
      <c r="AP126" s="150">
        <f t="shared" si="21"/>
        <v>0</v>
      </c>
      <c r="AQ126" s="150">
        <f t="shared" si="21"/>
        <v>0</v>
      </c>
      <c r="AR126" s="150">
        <f t="shared" si="21"/>
        <v>0</v>
      </c>
      <c r="AS126" s="150">
        <f t="shared" si="21"/>
        <v>0</v>
      </c>
      <c r="AT126" s="150">
        <f t="shared" si="21"/>
        <v>0</v>
      </c>
      <c r="AU126" s="150">
        <f t="shared" si="21"/>
        <v>0</v>
      </c>
      <c r="AV126" s="150">
        <f t="shared" si="21"/>
        <v>0</v>
      </c>
      <c r="AW126" s="150">
        <f t="shared" si="21"/>
        <v>0</v>
      </c>
      <c r="AX126" s="150">
        <f t="shared" si="21"/>
        <v>0</v>
      </c>
      <c r="AY126" s="150">
        <f t="shared" si="21"/>
        <v>0</v>
      </c>
      <c r="AZ126" s="150">
        <f t="shared" si="21"/>
        <v>0</v>
      </c>
      <c r="BA126" s="150">
        <f t="shared" si="21"/>
        <v>0</v>
      </c>
      <c r="BB126" s="150">
        <f t="shared" si="21"/>
        <v>0</v>
      </c>
      <c r="BC126" s="150">
        <f t="shared" si="21"/>
        <v>0</v>
      </c>
      <c r="BD126" s="150">
        <f t="shared" si="21"/>
        <v>0</v>
      </c>
      <c r="BE126" s="150">
        <f t="shared" si="21"/>
        <v>0</v>
      </c>
      <c r="BF126" s="150">
        <f t="shared" si="21"/>
        <v>0</v>
      </c>
      <c r="BG126" s="150">
        <f t="shared" si="21"/>
        <v>0</v>
      </c>
      <c r="BH126" s="150">
        <f t="shared" si="21"/>
        <v>0</v>
      </c>
      <c r="BI126" s="150">
        <f t="shared" si="21"/>
        <v>0</v>
      </c>
      <c r="BJ126" s="150">
        <f t="shared" si="21"/>
        <v>0</v>
      </c>
      <c r="BK126" s="150">
        <f t="shared" si="21"/>
        <v>0</v>
      </c>
      <c r="BL126" s="150">
        <f t="shared" si="21"/>
        <v>0</v>
      </c>
      <c r="BM126" s="150">
        <f t="shared" si="21"/>
        <v>0</v>
      </c>
      <c r="BN126" s="150"/>
      <c r="BO126" s="150"/>
      <c r="BP126" s="150"/>
      <c r="BQ126" s="150"/>
      <c r="BR126" s="150"/>
      <c r="BS126" s="150"/>
      <c r="BT126" s="150"/>
      <c r="BU126" s="150"/>
      <c r="BV126" s="150"/>
      <c r="BW126" s="150"/>
      <c r="BX126" s="150"/>
      <c r="BY126" s="150"/>
      <c r="BZ126" s="150"/>
      <c r="CA126" s="150"/>
      <c r="CB126" s="150"/>
      <c r="CC126" s="150"/>
      <c r="CD126" s="150"/>
      <c r="CE126" s="150"/>
      <c r="CF126" s="150"/>
      <c r="CG126" s="150"/>
      <c r="CH126" s="150"/>
      <c r="CI126" s="150"/>
      <c r="CJ126" s="150"/>
      <c r="CK126" s="150"/>
      <c r="CL126" s="150"/>
      <c r="CM126" s="150"/>
      <c r="CN126" s="150"/>
      <c r="CO126" s="150"/>
      <c r="CP126" s="150"/>
      <c r="CQ126" s="150"/>
      <c r="CR126" s="150"/>
      <c r="CS126" s="150"/>
      <c r="CT126" s="150"/>
      <c r="CU126" s="150"/>
      <c r="CV126" s="150"/>
      <c r="CW126" s="150"/>
      <c r="CX126" s="150"/>
      <c r="CY126" s="150"/>
      <c r="CZ126" s="150"/>
      <c r="DA126" s="150"/>
      <c r="DB126" s="150"/>
      <c r="DC126" s="150"/>
      <c r="DD126" s="150"/>
      <c r="DE126" s="150"/>
      <c r="DF126" s="150"/>
      <c r="DG126" s="150"/>
      <c r="DH126" s="150"/>
      <c r="DI126" s="150"/>
      <c r="DJ126" s="150"/>
      <c r="DK126" s="150"/>
      <c r="DL126" s="150"/>
      <c r="DM126" s="150"/>
      <c r="DN126" s="150"/>
      <c r="DO126" s="150"/>
      <c r="DP126" s="150"/>
      <c r="DQ126" s="150"/>
      <c r="DR126" s="150"/>
      <c r="DS126" s="150"/>
      <c r="DT126" s="150"/>
      <c r="DU126" s="150"/>
      <c r="DV126" s="150"/>
      <c r="DW126" s="150"/>
      <c r="DX126" s="150"/>
      <c r="DY126" s="150"/>
      <c r="DZ126" s="150"/>
      <c r="EA126" s="150"/>
      <c r="EB126" s="150"/>
      <c r="EC126" s="150"/>
      <c r="ED126" s="150"/>
      <c r="EE126" s="150"/>
      <c r="EF126" s="150"/>
      <c r="EG126" s="150"/>
      <c r="EH126" s="150"/>
      <c r="EI126" s="150"/>
      <c r="EJ126" s="150"/>
      <c r="EK126" s="150"/>
      <c r="EL126" s="150"/>
      <c r="EM126" s="150"/>
      <c r="EN126" s="150"/>
      <c r="EO126" s="150"/>
      <c r="EP126" s="150"/>
      <c r="EQ126" s="150"/>
      <c r="ER126" s="150"/>
      <c r="ES126" s="150"/>
      <c r="ET126" s="150"/>
      <c r="EU126" s="150"/>
      <c r="EV126" s="150"/>
      <c r="EW126" s="150"/>
      <c r="EX126" s="150"/>
      <c r="EY126" s="150"/>
      <c r="EZ126" s="150"/>
      <c r="FA126" s="150"/>
      <c r="FB126" s="150"/>
      <c r="FC126" s="150"/>
      <c r="FD126" s="150"/>
      <c r="FE126" s="150"/>
      <c r="FF126" s="150"/>
      <c r="FG126" s="150"/>
      <c r="FH126" s="150"/>
      <c r="FI126" s="150"/>
      <c r="FJ126" s="150"/>
      <c r="FK126" s="150"/>
      <c r="FL126" s="150"/>
      <c r="FM126" s="150"/>
      <c r="FN126" s="150"/>
      <c r="FO126" s="150"/>
      <c r="FP126" s="150"/>
      <c r="FQ126" s="150"/>
      <c r="FR126" s="150"/>
      <c r="FS126" s="150"/>
      <c r="FT126" s="150"/>
      <c r="FU126" s="150"/>
      <c r="FV126" s="150"/>
      <c r="FW126" s="150"/>
      <c r="FX126" s="150"/>
      <c r="FY126" s="150"/>
      <c r="FZ126" s="150"/>
      <c r="GA126" s="150"/>
      <c r="GB126" s="150"/>
      <c r="GC126" s="150"/>
      <c r="GD126" s="150"/>
      <c r="GE126" s="150"/>
      <c r="GF126" s="150"/>
      <c r="GG126" s="150"/>
      <c r="GH126" s="150"/>
      <c r="GI126" s="150"/>
      <c r="GJ126" s="150"/>
      <c r="GK126" s="150"/>
      <c r="GL126" s="150"/>
      <c r="GM126" s="150"/>
      <c r="GN126" s="150"/>
      <c r="GO126" s="150"/>
      <c r="GP126" s="150"/>
      <c r="GQ126" s="150"/>
      <c r="GR126" s="150"/>
      <c r="GS126" s="150"/>
      <c r="GT126" s="150"/>
      <c r="GU126" s="150"/>
      <c r="GV126" s="150"/>
      <c r="GW126" s="150"/>
      <c r="GX126" s="150"/>
      <c r="GY126" s="150"/>
      <c r="GZ126" s="150"/>
      <c r="HA126" s="150"/>
      <c r="HB126" s="150"/>
      <c r="HC126" s="150"/>
      <c r="HD126" s="150"/>
      <c r="HE126" s="150"/>
      <c r="HF126" s="150"/>
      <c r="HG126" s="150"/>
      <c r="HH126" s="150"/>
      <c r="HI126" s="150"/>
      <c r="HJ126" s="150"/>
      <c r="HK126" s="150"/>
      <c r="HL126" s="150"/>
      <c r="HM126" s="150"/>
      <c r="HN126" s="150"/>
      <c r="HO126" s="150"/>
      <c r="HP126" s="150"/>
      <c r="HQ126" s="150"/>
      <c r="HR126" s="150"/>
      <c r="HS126" s="150"/>
      <c r="HT126" s="150"/>
      <c r="HU126" s="150"/>
      <c r="HV126" s="150"/>
      <c r="HW126" s="150"/>
      <c r="HX126" s="150"/>
      <c r="HY126" s="150"/>
      <c r="HZ126" s="150"/>
      <c r="IA126" s="150"/>
      <c r="IB126" s="150"/>
      <c r="IC126" s="150"/>
      <c r="ID126" s="150"/>
      <c r="IE126" s="150"/>
      <c r="IF126" s="150"/>
      <c r="IG126" s="150"/>
      <c r="IH126" s="150"/>
      <c r="II126" s="150"/>
      <c r="IJ126" s="150"/>
      <c r="IK126" s="150"/>
      <c r="IL126" s="150"/>
      <c r="IM126" s="150"/>
      <c r="IN126" s="150"/>
      <c r="IO126" s="150"/>
      <c r="IP126" s="150"/>
      <c r="IQ126" s="150"/>
      <c r="IR126" s="150"/>
      <c r="IS126" s="150"/>
      <c r="IT126" s="150"/>
      <c r="IU126" s="150"/>
      <c r="IV126" s="150"/>
      <c r="IW126" s="150"/>
      <c r="IX126" s="150"/>
      <c r="IY126" s="150"/>
      <c r="IZ126" s="150"/>
      <c r="JA126" s="150"/>
      <c r="JB126" s="150"/>
      <c r="JC126" s="150"/>
      <c r="JD126" s="150"/>
      <c r="JE126" s="150"/>
      <c r="JF126" s="150"/>
      <c r="JG126" s="150"/>
      <c r="JH126" s="150"/>
      <c r="JI126" s="150"/>
      <c r="JJ126" s="150"/>
      <c r="JK126" s="150"/>
      <c r="JL126" s="150"/>
      <c r="JM126" s="150"/>
      <c r="JN126" s="150"/>
      <c r="JO126" s="150"/>
      <c r="JP126" s="150"/>
      <c r="JQ126" s="150"/>
      <c r="JR126" s="150"/>
      <c r="JS126" s="150"/>
      <c r="JT126" s="150"/>
      <c r="JU126" s="150"/>
      <c r="JV126" s="150"/>
      <c r="JW126" s="150"/>
      <c r="JX126" s="150"/>
      <c r="JY126" s="150"/>
      <c r="JZ126" s="150"/>
      <c r="KA126" s="150"/>
      <c r="KB126" s="150"/>
      <c r="KC126" s="150"/>
      <c r="KD126" s="150"/>
      <c r="KE126" s="150"/>
      <c r="KF126" s="150"/>
      <c r="KG126" s="150"/>
      <c r="KH126" s="150"/>
      <c r="KI126" s="150"/>
      <c r="KJ126" s="150"/>
      <c r="KK126" s="150"/>
      <c r="KL126" s="150"/>
      <c r="KM126" s="150"/>
      <c r="KN126" s="150"/>
      <c r="KO126" s="150"/>
      <c r="KP126" s="150"/>
      <c r="KQ126" s="150"/>
      <c r="KR126" s="150"/>
      <c r="KS126" s="150"/>
      <c r="KT126" s="150"/>
      <c r="KU126" s="92"/>
    </row>
    <row r="127" spans="2:307" s="157" customFormat="1" x14ac:dyDescent="0.15">
      <c r="C127" s="92" t="s">
        <v>314</v>
      </c>
      <c r="D127" s="225"/>
      <c r="F127" s="150">
        <f t="shared" si="19"/>
        <v>0</v>
      </c>
      <c r="G127" s="150">
        <f t="shared" si="19"/>
        <v>0</v>
      </c>
      <c r="H127" s="150">
        <f t="shared" si="19"/>
        <v>0</v>
      </c>
      <c r="I127" s="150">
        <f t="shared" si="19"/>
        <v>0</v>
      </c>
      <c r="J127" s="150">
        <f t="shared" si="19"/>
        <v>0</v>
      </c>
      <c r="K127" s="150">
        <f t="shared" si="19"/>
        <v>0</v>
      </c>
      <c r="L127" s="150">
        <f t="shared" si="19"/>
        <v>0</v>
      </c>
      <c r="M127" s="150">
        <f t="shared" si="19"/>
        <v>0</v>
      </c>
      <c r="N127" s="150">
        <f t="shared" si="19"/>
        <v>0.14143603524713844</v>
      </c>
      <c r="O127" s="150">
        <f t="shared" si="19"/>
        <v>0.12357787479672346</v>
      </c>
      <c r="P127" s="150">
        <f t="shared" si="19"/>
        <v>0.11666484614993421</v>
      </c>
      <c r="Q127" s="150">
        <f t="shared" si="19"/>
        <v>0.10996288950335004</v>
      </c>
      <c r="R127" s="150">
        <f t="shared" si="19"/>
        <v>0.10343846714595714</v>
      </c>
      <c r="S127" s="150">
        <f t="shared" si="19"/>
        <v>9.4088575919643827E-2</v>
      </c>
      <c r="T127" s="150">
        <f t="shared" si="19"/>
        <v>8.1678697183637128E-2</v>
      </c>
      <c r="U127" s="150">
        <f t="shared" si="19"/>
        <v>0</v>
      </c>
      <c r="V127" s="150">
        <f t="shared" si="19"/>
        <v>0</v>
      </c>
      <c r="W127" s="150">
        <f t="shared" si="19"/>
        <v>0</v>
      </c>
      <c r="X127" s="150">
        <f t="shared" si="19"/>
        <v>0</v>
      </c>
      <c r="Y127" s="150">
        <f t="shared" si="19"/>
        <v>0</v>
      </c>
      <c r="Z127" s="150">
        <f t="shared" si="19"/>
        <v>0</v>
      </c>
      <c r="AA127" s="150">
        <f t="shared" si="19"/>
        <v>0</v>
      </c>
      <c r="AB127" s="150">
        <f t="shared" si="19"/>
        <v>0</v>
      </c>
      <c r="AC127" s="150">
        <f t="shared" si="19"/>
        <v>0</v>
      </c>
      <c r="AD127" s="150">
        <f t="shared" si="21"/>
        <v>0</v>
      </c>
      <c r="AE127" s="150">
        <f t="shared" si="21"/>
        <v>0</v>
      </c>
      <c r="AF127" s="150">
        <f t="shared" si="21"/>
        <v>0</v>
      </c>
      <c r="AG127" s="150">
        <f t="shared" si="21"/>
        <v>0</v>
      </c>
      <c r="AH127" s="150">
        <f t="shared" si="21"/>
        <v>0</v>
      </c>
      <c r="AI127" s="150">
        <f t="shared" si="21"/>
        <v>0</v>
      </c>
      <c r="AJ127" s="150">
        <f t="shared" si="21"/>
        <v>0</v>
      </c>
      <c r="AK127" s="150">
        <f t="shared" si="21"/>
        <v>0</v>
      </c>
      <c r="AL127" s="150">
        <f t="shared" si="21"/>
        <v>0</v>
      </c>
      <c r="AM127" s="150">
        <f t="shared" si="21"/>
        <v>0</v>
      </c>
      <c r="AN127" s="150">
        <f t="shared" si="21"/>
        <v>0</v>
      </c>
      <c r="AO127" s="150">
        <f t="shared" si="21"/>
        <v>0</v>
      </c>
      <c r="AP127" s="150">
        <f t="shared" si="21"/>
        <v>0</v>
      </c>
      <c r="AQ127" s="150">
        <f t="shared" si="21"/>
        <v>0</v>
      </c>
      <c r="AR127" s="150">
        <f t="shared" si="21"/>
        <v>0</v>
      </c>
      <c r="AS127" s="150">
        <f t="shared" si="21"/>
        <v>0</v>
      </c>
      <c r="AT127" s="150">
        <f t="shared" si="21"/>
        <v>0</v>
      </c>
      <c r="AU127" s="150">
        <f t="shared" si="21"/>
        <v>0</v>
      </c>
      <c r="AV127" s="150">
        <f t="shared" si="21"/>
        <v>0</v>
      </c>
      <c r="AW127" s="150">
        <f t="shared" si="21"/>
        <v>0</v>
      </c>
      <c r="AX127" s="150">
        <f t="shared" si="21"/>
        <v>0</v>
      </c>
      <c r="AY127" s="150">
        <f t="shared" si="21"/>
        <v>0</v>
      </c>
      <c r="AZ127" s="150">
        <f t="shared" si="21"/>
        <v>0</v>
      </c>
      <c r="BA127" s="150">
        <f t="shared" si="21"/>
        <v>0</v>
      </c>
      <c r="BB127" s="150">
        <f t="shared" si="21"/>
        <v>0</v>
      </c>
      <c r="BC127" s="150">
        <f t="shared" si="21"/>
        <v>0</v>
      </c>
      <c r="BD127" s="150">
        <f t="shared" si="21"/>
        <v>0</v>
      </c>
      <c r="BE127" s="150">
        <f t="shared" si="21"/>
        <v>0</v>
      </c>
      <c r="BF127" s="150">
        <f t="shared" si="21"/>
        <v>0</v>
      </c>
      <c r="BG127" s="150">
        <f t="shared" si="21"/>
        <v>0</v>
      </c>
      <c r="BH127" s="150">
        <f t="shared" si="21"/>
        <v>0</v>
      </c>
      <c r="BI127" s="150">
        <f t="shared" si="21"/>
        <v>0</v>
      </c>
      <c r="BJ127" s="150">
        <f t="shared" si="21"/>
        <v>0</v>
      </c>
      <c r="BK127" s="150">
        <f t="shared" si="21"/>
        <v>0</v>
      </c>
      <c r="BL127" s="150">
        <f t="shared" si="21"/>
        <v>0</v>
      </c>
      <c r="BM127" s="150">
        <f t="shared" si="21"/>
        <v>0</v>
      </c>
      <c r="BN127" s="150"/>
      <c r="BO127" s="150"/>
      <c r="BP127" s="150"/>
      <c r="BQ127" s="150"/>
      <c r="BR127" s="150"/>
      <c r="BS127" s="150"/>
      <c r="BT127" s="150"/>
      <c r="BU127" s="150"/>
      <c r="BV127" s="150"/>
      <c r="BW127" s="150"/>
      <c r="BX127" s="150"/>
      <c r="BY127" s="150"/>
      <c r="BZ127" s="150"/>
      <c r="CA127" s="150"/>
      <c r="CB127" s="150"/>
      <c r="CC127" s="150"/>
      <c r="CD127" s="150"/>
      <c r="CE127" s="150"/>
      <c r="CF127" s="150"/>
      <c r="CG127" s="150"/>
      <c r="CH127" s="150"/>
      <c r="CI127" s="150"/>
      <c r="CJ127" s="150"/>
      <c r="CK127" s="150"/>
      <c r="CL127" s="150"/>
      <c r="CM127" s="150"/>
      <c r="CN127" s="150"/>
      <c r="CO127" s="150"/>
      <c r="CP127" s="150"/>
      <c r="CQ127" s="150"/>
      <c r="CR127" s="150"/>
      <c r="CS127" s="150"/>
      <c r="CT127" s="150"/>
      <c r="CU127" s="150"/>
      <c r="CV127" s="150"/>
      <c r="CW127" s="150"/>
      <c r="CX127" s="150"/>
      <c r="CY127" s="150"/>
      <c r="CZ127" s="150"/>
      <c r="DA127" s="150"/>
      <c r="DB127" s="150"/>
      <c r="DC127" s="150"/>
      <c r="DD127" s="150"/>
      <c r="DE127" s="150"/>
      <c r="DF127" s="150"/>
      <c r="DG127" s="150"/>
      <c r="DH127" s="150"/>
      <c r="DI127" s="150"/>
      <c r="DJ127" s="150"/>
      <c r="DK127" s="150"/>
      <c r="DL127" s="150"/>
      <c r="DM127" s="150"/>
      <c r="DN127" s="150"/>
      <c r="DO127" s="150"/>
      <c r="DP127" s="150"/>
      <c r="DQ127" s="150"/>
      <c r="DR127" s="150"/>
      <c r="DS127" s="150"/>
      <c r="DT127" s="150"/>
      <c r="DU127" s="150"/>
      <c r="DV127" s="150"/>
      <c r="DW127" s="150"/>
      <c r="DX127" s="150"/>
      <c r="DY127" s="150"/>
      <c r="DZ127" s="150"/>
      <c r="EA127" s="150"/>
      <c r="EB127" s="150"/>
      <c r="EC127" s="150"/>
      <c r="ED127" s="150"/>
      <c r="EE127" s="150"/>
      <c r="EF127" s="150"/>
      <c r="EG127" s="150"/>
      <c r="EH127" s="150"/>
      <c r="EI127" s="150"/>
      <c r="EJ127" s="150"/>
      <c r="EK127" s="150"/>
      <c r="EL127" s="150"/>
      <c r="EM127" s="150"/>
      <c r="EN127" s="150"/>
      <c r="EO127" s="150"/>
      <c r="EP127" s="150"/>
      <c r="EQ127" s="150"/>
      <c r="ER127" s="150"/>
      <c r="ES127" s="150"/>
      <c r="ET127" s="150"/>
      <c r="EU127" s="150"/>
      <c r="EV127" s="150"/>
      <c r="EW127" s="150"/>
      <c r="EX127" s="150"/>
      <c r="EY127" s="150"/>
      <c r="EZ127" s="150"/>
      <c r="FA127" s="150"/>
      <c r="FB127" s="150"/>
      <c r="FC127" s="150"/>
      <c r="FD127" s="150"/>
      <c r="FE127" s="150"/>
      <c r="FF127" s="150"/>
      <c r="FG127" s="150"/>
      <c r="FH127" s="150"/>
      <c r="FI127" s="150"/>
      <c r="FJ127" s="150"/>
      <c r="FK127" s="150"/>
      <c r="FL127" s="150"/>
      <c r="FM127" s="150"/>
      <c r="FN127" s="150"/>
      <c r="FO127" s="150"/>
      <c r="FP127" s="150"/>
      <c r="FQ127" s="150"/>
      <c r="FR127" s="150"/>
      <c r="FS127" s="150"/>
      <c r="FT127" s="150"/>
      <c r="FU127" s="150"/>
      <c r="FV127" s="150"/>
      <c r="FW127" s="150"/>
      <c r="FX127" s="150"/>
      <c r="FY127" s="150"/>
      <c r="FZ127" s="150"/>
      <c r="GA127" s="150"/>
      <c r="GB127" s="150"/>
      <c r="GC127" s="150"/>
      <c r="GD127" s="150"/>
      <c r="GE127" s="150"/>
      <c r="GF127" s="150"/>
      <c r="GG127" s="150"/>
      <c r="GH127" s="150"/>
      <c r="GI127" s="150"/>
      <c r="GJ127" s="150"/>
      <c r="GK127" s="150"/>
      <c r="GL127" s="150"/>
      <c r="GM127" s="150"/>
      <c r="GN127" s="150"/>
      <c r="GO127" s="150"/>
      <c r="GP127" s="150"/>
      <c r="GQ127" s="150"/>
      <c r="GR127" s="150"/>
      <c r="GS127" s="150"/>
      <c r="GT127" s="150"/>
      <c r="GU127" s="150"/>
      <c r="GV127" s="150"/>
      <c r="GW127" s="150"/>
      <c r="GX127" s="150"/>
      <c r="GY127" s="150"/>
      <c r="GZ127" s="150"/>
      <c r="HA127" s="150"/>
      <c r="HB127" s="150"/>
      <c r="HC127" s="150"/>
      <c r="HD127" s="150"/>
      <c r="HE127" s="150"/>
      <c r="HF127" s="150"/>
      <c r="HG127" s="150"/>
      <c r="HH127" s="150"/>
      <c r="HI127" s="150"/>
      <c r="HJ127" s="150"/>
      <c r="HK127" s="150"/>
      <c r="HL127" s="150"/>
      <c r="HM127" s="150"/>
      <c r="HN127" s="150"/>
      <c r="HO127" s="150"/>
      <c r="HP127" s="150"/>
      <c r="HQ127" s="150"/>
      <c r="HR127" s="150"/>
      <c r="HS127" s="150"/>
      <c r="HT127" s="150"/>
      <c r="HU127" s="150"/>
      <c r="HV127" s="150"/>
      <c r="HW127" s="150"/>
      <c r="HX127" s="150"/>
      <c r="HY127" s="150"/>
      <c r="HZ127" s="150"/>
      <c r="IA127" s="150"/>
      <c r="IB127" s="150"/>
      <c r="IC127" s="150"/>
      <c r="ID127" s="150"/>
      <c r="IE127" s="150"/>
      <c r="IF127" s="150"/>
      <c r="IG127" s="150"/>
      <c r="IH127" s="150"/>
      <c r="II127" s="150"/>
      <c r="IJ127" s="150"/>
      <c r="IK127" s="150"/>
      <c r="IL127" s="150"/>
      <c r="IM127" s="150"/>
      <c r="IN127" s="150"/>
      <c r="IO127" s="150"/>
      <c r="IP127" s="150"/>
      <c r="IQ127" s="150"/>
      <c r="IR127" s="150"/>
      <c r="IS127" s="150"/>
      <c r="IT127" s="150"/>
      <c r="IU127" s="150"/>
      <c r="IV127" s="150"/>
      <c r="IW127" s="150"/>
      <c r="IX127" s="150"/>
      <c r="IY127" s="150"/>
      <c r="IZ127" s="150"/>
      <c r="JA127" s="150"/>
      <c r="JB127" s="150"/>
      <c r="JC127" s="150"/>
      <c r="JD127" s="150"/>
      <c r="JE127" s="150"/>
      <c r="JF127" s="150"/>
      <c r="JG127" s="150"/>
      <c r="JH127" s="150"/>
      <c r="JI127" s="150"/>
      <c r="JJ127" s="150"/>
      <c r="JK127" s="150"/>
      <c r="JL127" s="150"/>
      <c r="JM127" s="150"/>
      <c r="JN127" s="150"/>
      <c r="JO127" s="150"/>
      <c r="JP127" s="150"/>
      <c r="JQ127" s="150"/>
      <c r="JR127" s="150"/>
      <c r="JS127" s="150"/>
      <c r="JT127" s="150"/>
      <c r="JU127" s="150"/>
      <c r="JV127" s="150"/>
      <c r="JW127" s="150"/>
      <c r="JX127" s="150"/>
      <c r="JY127" s="150"/>
      <c r="JZ127" s="150"/>
      <c r="KA127" s="150"/>
      <c r="KB127" s="150"/>
      <c r="KC127" s="150"/>
      <c r="KD127" s="150"/>
      <c r="KE127" s="150"/>
      <c r="KF127" s="150"/>
      <c r="KG127" s="150"/>
      <c r="KH127" s="150"/>
      <c r="KI127" s="150"/>
      <c r="KJ127" s="150"/>
      <c r="KK127" s="150"/>
      <c r="KL127" s="150"/>
      <c r="KM127" s="150"/>
      <c r="KN127" s="150"/>
      <c r="KO127" s="150"/>
      <c r="KP127" s="150"/>
      <c r="KQ127" s="150"/>
      <c r="KR127" s="150"/>
      <c r="KS127" s="150"/>
      <c r="KT127" s="150"/>
      <c r="KU127" s="92"/>
    </row>
    <row r="128" spans="2:307" x14ac:dyDescent="0.15">
      <c r="C128" s="92" t="s">
        <v>315</v>
      </c>
      <c r="F128" s="150">
        <f t="shared" si="19"/>
        <v>0</v>
      </c>
      <c r="G128" s="150">
        <f t="shared" si="19"/>
        <v>0</v>
      </c>
      <c r="H128" s="150">
        <f t="shared" si="19"/>
        <v>0</v>
      </c>
      <c r="I128" s="150">
        <f t="shared" si="19"/>
        <v>0</v>
      </c>
      <c r="J128" s="150">
        <f t="shared" si="19"/>
        <v>0</v>
      </c>
      <c r="K128" s="150">
        <f t="shared" si="19"/>
        <v>0</v>
      </c>
      <c r="L128" s="150">
        <f t="shared" si="19"/>
        <v>0</v>
      </c>
      <c r="M128" s="150">
        <f t="shared" si="19"/>
        <v>0</v>
      </c>
      <c r="N128" s="150">
        <f t="shared" si="19"/>
        <v>0</v>
      </c>
      <c r="O128" s="150">
        <f t="shared" si="19"/>
        <v>0.14143603524713844</v>
      </c>
      <c r="P128" s="150">
        <f t="shared" si="19"/>
        <v>0.12357787479672346</v>
      </c>
      <c r="Q128" s="150">
        <f t="shared" si="19"/>
        <v>0.11666484614993421</v>
      </c>
      <c r="R128" s="150">
        <f t="shared" si="19"/>
        <v>0.10996288950335004</v>
      </c>
      <c r="S128" s="150">
        <f t="shared" si="19"/>
        <v>0.10343846714595714</v>
      </c>
      <c r="T128" s="150">
        <f t="shared" si="19"/>
        <v>9.4088575919643827E-2</v>
      </c>
      <c r="U128" s="150">
        <f t="shared" ref="G128:AQ132" si="22">IF(U$4&gt;$F$6,0,U29*IF(U$5&gt;=1,$F110,$G110))</f>
        <v>0</v>
      </c>
      <c r="V128" s="150">
        <f t="shared" si="22"/>
        <v>0</v>
      </c>
      <c r="W128" s="150">
        <f t="shared" si="22"/>
        <v>0</v>
      </c>
      <c r="X128" s="150">
        <f t="shared" si="22"/>
        <v>0</v>
      </c>
      <c r="Y128" s="150">
        <f t="shared" si="22"/>
        <v>0</v>
      </c>
      <c r="Z128" s="150">
        <f t="shared" si="22"/>
        <v>0</v>
      </c>
      <c r="AA128" s="150">
        <f t="shared" si="22"/>
        <v>0</v>
      </c>
      <c r="AB128" s="150">
        <f t="shared" si="22"/>
        <v>0</v>
      </c>
      <c r="AC128" s="150">
        <f t="shared" si="22"/>
        <v>0</v>
      </c>
      <c r="AD128" s="150">
        <f t="shared" si="21"/>
        <v>0</v>
      </c>
      <c r="AE128" s="150">
        <f t="shared" si="21"/>
        <v>0</v>
      </c>
      <c r="AF128" s="150">
        <f t="shared" si="21"/>
        <v>0</v>
      </c>
      <c r="AG128" s="150">
        <f t="shared" si="21"/>
        <v>0</v>
      </c>
      <c r="AH128" s="150">
        <f t="shared" si="21"/>
        <v>0</v>
      </c>
      <c r="AI128" s="150">
        <f t="shared" si="21"/>
        <v>0</v>
      </c>
      <c r="AJ128" s="150">
        <f t="shared" si="21"/>
        <v>0</v>
      </c>
      <c r="AK128" s="150">
        <f t="shared" si="21"/>
        <v>0</v>
      </c>
      <c r="AL128" s="150">
        <f t="shared" si="21"/>
        <v>0</v>
      </c>
      <c r="AM128" s="150">
        <f t="shared" si="21"/>
        <v>0</v>
      </c>
      <c r="AN128" s="150">
        <f t="shared" si="21"/>
        <v>0</v>
      </c>
      <c r="AO128" s="150">
        <f t="shared" si="21"/>
        <v>0</v>
      </c>
      <c r="AP128" s="150">
        <f t="shared" si="21"/>
        <v>0</v>
      </c>
      <c r="AQ128" s="150">
        <f t="shared" si="21"/>
        <v>0</v>
      </c>
      <c r="AR128" s="150">
        <f t="shared" si="21"/>
        <v>0</v>
      </c>
      <c r="AS128" s="150">
        <f t="shared" si="21"/>
        <v>0</v>
      </c>
      <c r="AT128" s="150">
        <f t="shared" si="21"/>
        <v>0</v>
      </c>
      <c r="AU128" s="150">
        <f t="shared" si="21"/>
        <v>0</v>
      </c>
      <c r="AV128" s="150">
        <f t="shared" si="21"/>
        <v>0</v>
      </c>
      <c r="AW128" s="150">
        <f t="shared" si="21"/>
        <v>0</v>
      </c>
      <c r="AX128" s="150">
        <f t="shared" si="21"/>
        <v>0</v>
      </c>
      <c r="AY128" s="150">
        <f t="shared" si="21"/>
        <v>0</v>
      </c>
      <c r="AZ128" s="150">
        <f t="shared" si="21"/>
        <v>0</v>
      </c>
      <c r="BA128" s="150">
        <f t="shared" si="21"/>
        <v>0</v>
      </c>
      <c r="BB128" s="150">
        <f t="shared" si="21"/>
        <v>0</v>
      </c>
      <c r="BC128" s="150">
        <f t="shared" si="21"/>
        <v>0</v>
      </c>
      <c r="BD128" s="150">
        <f t="shared" si="21"/>
        <v>0</v>
      </c>
      <c r="BE128" s="150">
        <f t="shared" si="21"/>
        <v>0</v>
      </c>
      <c r="BF128" s="150">
        <f t="shared" si="21"/>
        <v>0</v>
      </c>
      <c r="BG128" s="150">
        <f t="shared" si="21"/>
        <v>0</v>
      </c>
      <c r="BH128" s="150">
        <f t="shared" si="21"/>
        <v>0</v>
      </c>
      <c r="BI128" s="150">
        <f t="shared" si="21"/>
        <v>0</v>
      </c>
      <c r="BJ128" s="150">
        <f t="shared" si="21"/>
        <v>0</v>
      </c>
      <c r="BK128" s="150">
        <f t="shared" si="21"/>
        <v>0</v>
      </c>
      <c r="BL128" s="150">
        <f t="shared" si="21"/>
        <v>0</v>
      </c>
      <c r="BM128" s="150">
        <f t="shared" si="21"/>
        <v>0</v>
      </c>
      <c r="BN128" s="150"/>
      <c r="BO128" s="150"/>
      <c r="BP128" s="150"/>
      <c r="BQ128" s="150"/>
      <c r="BR128" s="150"/>
      <c r="BS128" s="150"/>
      <c r="BT128" s="150"/>
      <c r="BU128" s="150"/>
      <c r="BV128" s="150"/>
      <c r="BW128" s="150"/>
      <c r="BX128" s="150"/>
      <c r="BY128" s="150"/>
      <c r="BZ128" s="150"/>
      <c r="CA128" s="150"/>
      <c r="CB128" s="150"/>
      <c r="CC128" s="150"/>
      <c r="CD128" s="150"/>
      <c r="CE128" s="150"/>
      <c r="CF128" s="150"/>
      <c r="CG128" s="150"/>
      <c r="CH128" s="150"/>
      <c r="CI128" s="150"/>
      <c r="CJ128" s="150"/>
      <c r="CK128" s="150"/>
      <c r="CL128" s="150"/>
      <c r="CM128" s="150"/>
      <c r="CN128" s="150"/>
      <c r="CO128" s="150"/>
      <c r="CP128" s="150"/>
      <c r="CQ128" s="150"/>
      <c r="CR128" s="150"/>
      <c r="CS128" s="150"/>
      <c r="CT128" s="150"/>
      <c r="CU128" s="150"/>
      <c r="CV128" s="150"/>
      <c r="CW128" s="150"/>
      <c r="CX128" s="150"/>
      <c r="CY128" s="150"/>
      <c r="CZ128" s="150"/>
      <c r="DA128" s="150"/>
      <c r="DB128" s="150"/>
      <c r="DC128" s="150"/>
      <c r="DD128" s="150"/>
      <c r="DE128" s="150"/>
      <c r="DF128" s="150"/>
      <c r="DG128" s="150"/>
      <c r="DH128" s="150"/>
      <c r="DI128" s="150"/>
      <c r="DJ128" s="150"/>
      <c r="DK128" s="150"/>
      <c r="DL128" s="150"/>
      <c r="DM128" s="150"/>
      <c r="DN128" s="150"/>
      <c r="DO128" s="150"/>
      <c r="DP128" s="150"/>
      <c r="DQ128" s="150"/>
      <c r="DR128" s="150"/>
      <c r="DS128" s="150"/>
      <c r="DT128" s="150"/>
      <c r="DU128" s="150"/>
      <c r="DV128" s="150"/>
      <c r="DW128" s="150"/>
      <c r="DX128" s="150"/>
      <c r="DY128" s="150"/>
      <c r="DZ128" s="150"/>
      <c r="EA128" s="150"/>
      <c r="EB128" s="150"/>
      <c r="EC128" s="150"/>
      <c r="ED128" s="150"/>
      <c r="EE128" s="150"/>
      <c r="EF128" s="150"/>
      <c r="EG128" s="150"/>
      <c r="EH128" s="150"/>
      <c r="EI128" s="150"/>
      <c r="EJ128" s="150"/>
      <c r="EK128" s="150"/>
      <c r="EL128" s="150"/>
      <c r="EM128" s="150"/>
      <c r="EN128" s="150"/>
      <c r="EO128" s="150"/>
      <c r="EP128" s="150"/>
      <c r="EQ128" s="150"/>
      <c r="ER128" s="150"/>
      <c r="ES128" s="150"/>
      <c r="ET128" s="150"/>
      <c r="EU128" s="150"/>
      <c r="EV128" s="150"/>
      <c r="EW128" s="150"/>
      <c r="EX128" s="150"/>
      <c r="EY128" s="150"/>
      <c r="EZ128" s="150"/>
      <c r="FA128" s="150"/>
      <c r="FB128" s="150"/>
      <c r="FC128" s="150"/>
      <c r="FD128" s="150"/>
      <c r="FE128" s="150"/>
      <c r="FF128" s="150"/>
      <c r="FG128" s="150"/>
      <c r="FH128" s="150"/>
      <c r="FI128" s="150"/>
      <c r="FJ128" s="150"/>
      <c r="FK128" s="150"/>
      <c r="FL128" s="150"/>
      <c r="FM128" s="150"/>
      <c r="FN128" s="150"/>
      <c r="FO128" s="150"/>
      <c r="FP128" s="150"/>
      <c r="FQ128" s="150"/>
      <c r="FR128" s="150"/>
      <c r="FS128" s="150"/>
      <c r="FT128" s="150"/>
      <c r="FU128" s="150"/>
      <c r="FV128" s="150"/>
      <c r="FW128" s="150"/>
      <c r="FX128" s="150"/>
      <c r="FY128" s="150"/>
      <c r="FZ128" s="150"/>
      <c r="GA128" s="150"/>
      <c r="GB128" s="150"/>
      <c r="GC128" s="150"/>
      <c r="GD128" s="150"/>
      <c r="GE128" s="150"/>
      <c r="GF128" s="150"/>
      <c r="GG128" s="150"/>
      <c r="GH128" s="150"/>
      <c r="GI128" s="150"/>
      <c r="GJ128" s="150"/>
      <c r="GK128" s="150"/>
      <c r="GL128" s="150"/>
      <c r="GM128" s="150"/>
      <c r="GN128" s="150"/>
      <c r="GO128" s="150"/>
      <c r="GP128" s="150"/>
      <c r="GQ128" s="150"/>
      <c r="GR128" s="150"/>
      <c r="GS128" s="150"/>
      <c r="GT128" s="150"/>
      <c r="GU128" s="150"/>
      <c r="GV128" s="150"/>
      <c r="GW128" s="150"/>
      <c r="GX128" s="150"/>
      <c r="GY128" s="150"/>
      <c r="GZ128" s="150"/>
      <c r="HA128" s="150"/>
      <c r="HB128" s="150"/>
      <c r="HC128" s="150"/>
      <c r="HD128" s="150"/>
      <c r="HE128" s="150"/>
      <c r="HF128" s="150"/>
      <c r="HG128" s="150"/>
      <c r="HH128" s="150"/>
      <c r="HI128" s="150"/>
      <c r="HJ128" s="150"/>
      <c r="HK128" s="150"/>
      <c r="HL128" s="150"/>
      <c r="HM128" s="150"/>
      <c r="HN128" s="150"/>
      <c r="HO128" s="150"/>
      <c r="HP128" s="150"/>
      <c r="HQ128" s="150"/>
      <c r="HR128" s="150"/>
      <c r="HS128" s="150"/>
      <c r="HT128" s="150"/>
      <c r="HU128" s="150"/>
      <c r="HV128" s="150"/>
      <c r="HW128" s="150"/>
      <c r="HX128" s="150"/>
      <c r="HY128" s="150"/>
      <c r="HZ128" s="150"/>
      <c r="IA128" s="150"/>
      <c r="IB128" s="150"/>
      <c r="IC128" s="150"/>
      <c r="ID128" s="150"/>
      <c r="IE128" s="150"/>
      <c r="IF128" s="150"/>
      <c r="IG128" s="150"/>
      <c r="IH128" s="150"/>
      <c r="II128" s="150"/>
      <c r="IJ128" s="150"/>
      <c r="IK128" s="150"/>
      <c r="IL128" s="150"/>
      <c r="IM128" s="150"/>
      <c r="IN128" s="150"/>
      <c r="IO128" s="150"/>
      <c r="IP128" s="150"/>
      <c r="IQ128" s="150"/>
      <c r="IR128" s="150"/>
      <c r="IS128" s="150"/>
      <c r="IT128" s="150"/>
      <c r="IU128" s="150"/>
      <c r="IV128" s="150"/>
      <c r="IW128" s="150"/>
      <c r="IX128" s="150"/>
      <c r="IY128" s="150"/>
      <c r="IZ128" s="150"/>
      <c r="JA128" s="150"/>
      <c r="JB128" s="150"/>
      <c r="JC128" s="150"/>
      <c r="JD128" s="150"/>
      <c r="JE128" s="150"/>
      <c r="JF128" s="150"/>
      <c r="JG128" s="150"/>
      <c r="JH128" s="150"/>
      <c r="JI128" s="150"/>
      <c r="JJ128" s="150"/>
      <c r="JK128" s="150"/>
      <c r="JL128" s="150"/>
      <c r="JM128" s="150"/>
      <c r="JN128" s="150"/>
      <c r="JO128" s="150"/>
      <c r="JP128" s="150"/>
      <c r="JQ128" s="150"/>
      <c r="JR128" s="150"/>
      <c r="JS128" s="150"/>
      <c r="JT128" s="150"/>
      <c r="JU128" s="150"/>
      <c r="JV128" s="150"/>
      <c r="JW128" s="150"/>
      <c r="JX128" s="150"/>
      <c r="JY128" s="150"/>
      <c r="JZ128" s="150"/>
      <c r="KA128" s="150"/>
      <c r="KB128" s="150"/>
      <c r="KC128" s="150"/>
      <c r="KD128" s="150"/>
      <c r="KE128" s="150"/>
      <c r="KF128" s="150"/>
      <c r="KG128" s="150"/>
      <c r="KH128" s="150"/>
      <c r="KI128" s="150"/>
      <c r="KJ128" s="150"/>
      <c r="KK128" s="150"/>
      <c r="KL128" s="150"/>
      <c r="KM128" s="150"/>
      <c r="KN128" s="150"/>
      <c r="KO128" s="150"/>
      <c r="KP128" s="150"/>
      <c r="KQ128" s="150"/>
      <c r="KR128" s="150"/>
      <c r="KS128" s="150"/>
      <c r="KT128" s="150"/>
    </row>
    <row r="129" spans="2:307" x14ac:dyDescent="0.15">
      <c r="C129" s="92" t="s">
        <v>316</v>
      </c>
      <c r="F129" s="150">
        <f t="shared" ref="F129:F132" si="23">IF(F$4&gt;$F$6,0,F30*IF(F$5&gt;=1,$F111,$G111))</f>
        <v>0</v>
      </c>
      <c r="G129" s="150">
        <f t="shared" si="22"/>
        <v>0</v>
      </c>
      <c r="H129" s="150">
        <f t="shared" si="22"/>
        <v>0</v>
      </c>
      <c r="I129" s="150">
        <f t="shared" si="22"/>
        <v>0</v>
      </c>
      <c r="J129" s="150">
        <f t="shared" si="22"/>
        <v>0</v>
      </c>
      <c r="K129" s="150">
        <f t="shared" si="22"/>
        <v>0</v>
      </c>
      <c r="L129" s="150">
        <f t="shared" si="22"/>
        <v>0</v>
      </c>
      <c r="M129" s="150">
        <f t="shared" si="22"/>
        <v>0</v>
      </c>
      <c r="N129" s="150">
        <f t="shared" si="22"/>
        <v>0</v>
      </c>
      <c r="O129" s="150">
        <f t="shared" si="22"/>
        <v>0</v>
      </c>
      <c r="P129" s="150">
        <f t="shared" si="22"/>
        <v>0.14143603524713844</v>
      </c>
      <c r="Q129" s="150">
        <f t="shared" si="22"/>
        <v>0.12357787479672346</v>
      </c>
      <c r="R129" s="150">
        <f t="shared" si="22"/>
        <v>0.11666484614993421</v>
      </c>
      <c r="S129" s="150">
        <f t="shared" si="22"/>
        <v>0.10996288950335004</v>
      </c>
      <c r="T129" s="150">
        <f t="shared" si="22"/>
        <v>0.10343846714595714</v>
      </c>
      <c r="U129" s="150">
        <f t="shared" si="22"/>
        <v>0</v>
      </c>
      <c r="V129" s="150">
        <f t="shared" si="22"/>
        <v>0</v>
      </c>
      <c r="W129" s="150">
        <f t="shared" si="22"/>
        <v>0</v>
      </c>
      <c r="X129" s="150">
        <f t="shared" si="22"/>
        <v>0</v>
      </c>
      <c r="Y129" s="150">
        <f t="shared" si="22"/>
        <v>0</v>
      </c>
      <c r="Z129" s="150">
        <f t="shared" si="22"/>
        <v>0</v>
      </c>
      <c r="AA129" s="150">
        <f t="shared" si="22"/>
        <v>0</v>
      </c>
      <c r="AB129" s="150">
        <f t="shared" si="22"/>
        <v>0</v>
      </c>
      <c r="AC129" s="150">
        <f t="shared" si="22"/>
        <v>0</v>
      </c>
      <c r="AD129" s="150">
        <f t="shared" si="21"/>
        <v>0</v>
      </c>
      <c r="AE129" s="150">
        <f t="shared" si="21"/>
        <v>0</v>
      </c>
      <c r="AF129" s="150">
        <f t="shared" si="21"/>
        <v>0</v>
      </c>
      <c r="AG129" s="150">
        <f t="shared" si="21"/>
        <v>0</v>
      </c>
      <c r="AH129" s="150">
        <f t="shared" si="21"/>
        <v>0</v>
      </c>
      <c r="AI129" s="150">
        <f t="shared" si="21"/>
        <v>0</v>
      </c>
      <c r="AJ129" s="150">
        <f t="shared" si="21"/>
        <v>0</v>
      </c>
      <c r="AK129" s="150">
        <f t="shared" si="21"/>
        <v>0</v>
      </c>
      <c r="AL129" s="150">
        <f t="shared" si="21"/>
        <v>0</v>
      </c>
      <c r="AM129" s="150">
        <f t="shared" si="21"/>
        <v>0</v>
      </c>
      <c r="AN129" s="150">
        <f t="shared" si="21"/>
        <v>0</v>
      </c>
      <c r="AO129" s="150">
        <f t="shared" si="21"/>
        <v>0</v>
      </c>
      <c r="AP129" s="150">
        <f t="shared" si="21"/>
        <v>0</v>
      </c>
      <c r="AQ129" s="150">
        <f t="shared" si="21"/>
        <v>0</v>
      </c>
      <c r="AR129" s="150">
        <f t="shared" si="21"/>
        <v>0</v>
      </c>
      <c r="AS129" s="150">
        <f t="shared" si="21"/>
        <v>0</v>
      </c>
      <c r="AT129" s="150">
        <f t="shared" si="21"/>
        <v>0</v>
      </c>
      <c r="AU129" s="150">
        <f t="shared" si="21"/>
        <v>0</v>
      </c>
      <c r="AV129" s="150">
        <f t="shared" si="21"/>
        <v>0</v>
      </c>
      <c r="AW129" s="150">
        <f t="shared" si="21"/>
        <v>0</v>
      </c>
      <c r="AX129" s="150">
        <f t="shared" si="21"/>
        <v>0</v>
      </c>
      <c r="AY129" s="150">
        <f t="shared" si="21"/>
        <v>0</v>
      </c>
      <c r="AZ129" s="150">
        <f t="shared" si="21"/>
        <v>0</v>
      </c>
      <c r="BA129" s="150">
        <f t="shared" si="21"/>
        <v>0</v>
      </c>
      <c r="BB129" s="150">
        <f t="shared" si="21"/>
        <v>0</v>
      </c>
      <c r="BC129" s="150">
        <f t="shared" si="21"/>
        <v>0</v>
      </c>
      <c r="BD129" s="150">
        <f t="shared" si="21"/>
        <v>0</v>
      </c>
      <c r="BE129" s="150">
        <f t="shared" si="21"/>
        <v>0</v>
      </c>
      <c r="BF129" s="150">
        <f t="shared" si="21"/>
        <v>0</v>
      </c>
      <c r="BG129" s="150">
        <f t="shared" si="21"/>
        <v>0</v>
      </c>
      <c r="BH129" s="150">
        <f t="shared" si="21"/>
        <v>0</v>
      </c>
      <c r="BI129" s="150">
        <f t="shared" si="21"/>
        <v>0</v>
      </c>
      <c r="BJ129" s="150">
        <f t="shared" si="21"/>
        <v>0</v>
      </c>
      <c r="BK129" s="150">
        <f t="shared" si="21"/>
        <v>0</v>
      </c>
      <c r="BL129" s="150">
        <f t="shared" si="21"/>
        <v>0</v>
      </c>
      <c r="BM129" s="150">
        <f t="shared" si="21"/>
        <v>0</v>
      </c>
      <c r="BN129" s="150"/>
      <c r="BO129" s="150"/>
      <c r="BP129" s="150"/>
      <c r="BQ129" s="150"/>
      <c r="BR129" s="150"/>
      <c r="BS129" s="150"/>
      <c r="BT129" s="150"/>
      <c r="BU129" s="150"/>
      <c r="BV129" s="150"/>
      <c r="BW129" s="150"/>
      <c r="BX129" s="150"/>
      <c r="BY129" s="150"/>
      <c r="BZ129" s="150"/>
      <c r="CA129" s="150"/>
      <c r="CB129" s="150"/>
      <c r="CC129" s="150"/>
      <c r="CD129" s="150"/>
      <c r="CE129" s="150"/>
      <c r="CF129" s="150"/>
      <c r="CG129" s="150"/>
      <c r="CH129" s="150"/>
      <c r="CI129" s="150"/>
      <c r="CJ129" s="150"/>
      <c r="CK129" s="150"/>
      <c r="CL129" s="150"/>
      <c r="CM129" s="150"/>
      <c r="CN129" s="150"/>
      <c r="CO129" s="150"/>
      <c r="CP129" s="150"/>
      <c r="CQ129" s="150"/>
      <c r="CR129" s="150"/>
      <c r="CS129" s="150"/>
      <c r="CT129" s="150"/>
      <c r="CU129" s="150"/>
      <c r="CV129" s="150"/>
      <c r="CW129" s="150"/>
      <c r="CX129" s="150"/>
      <c r="CY129" s="150"/>
      <c r="CZ129" s="150"/>
      <c r="DA129" s="150"/>
      <c r="DB129" s="150"/>
      <c r="DC129" s="150"/>
      <c r="DD129" s="150"/>
      <c r="DE129" s="150"/>
      <c r="DF129" s="150"/>
      <c r="DG129" s="150"/>
      <c r="DH129" s="150"/>
      <c r="DI129" s="150"/>
      <c r="DJ129" s="150"/>
      <c r="DK129" s="150"/>
      <c r="DL129" s="150"/>
      <c r="DM129" s="150"/>
      <c r="DN129" s="150"/>
      <c r="DO129" s="150"/>
      <c r="DP129" s="150"/>
      <c r="DQ129" s="150"/>
      <c r="DR129" s="150"/>
      <c r="DS129" s="150"/>
      <c r="DT129" s="150"/>
      <c r="DU129" s="150"/>
      <c r="DV129" s="150"/>
      <c r="DW129" s="150"/>
      <c r="DX129" s="150"/>
      <c r="DY129" s="150"/>
      <c r="DZ129" s="150"/>
      <c r="EA129" s="150"/>
      <c r="EB129" s="150"/>
      <c r="EC129" s="150"/>
      <c r="ED129" s="150"/>
      <c r="EE129" s="150"/>
      <c r="EF129" s="150"/>
      <c r="EG129" s="150"/>
      <c r="EH129" s="150"/>
      <c r="EI129" s="150"/>
      <c r="EJ129" s="150"/>
      <c r="EK129" s="150"/>
      <c r="EL129" s="150"/>
      <c r="EM129" s="150"/>
      <c r="EN129" s="150"/>
      <c r="EO129" s="150"/>
      <c r="EP129" s="150"/>
      <c r="EQ129" s="150"/>
      <c r="ER129" s="150"/>
      <c r="ES129" s="150"/>
      <c r="ET129" s="150"/>
      <c r="EU129" s="150"/>
      <c r="EV129" s="150"/>
      <c r="EW129" s="150"/>
      <c r="EX129" s="150"/>
      <c r="EY129" s="150"/>
      <c r="EZ129" s="150"/>
      <c r="FA129" s="150"/>
      <c r="FB129" s="150"/>
      <c r="FC129" s="150"/>
      <c r="FD129" s="150"/>
      <c r="FE129" s="150"/>
      <c r="FF129" s="150"/>
      <c r="FG129" s="150"/>
      <c r="FH129" s="150"/>
      <c r="FI129" s="150"/>
      <c r="FJ129" s="150"/>
      <c r="FK129" s="150"/>
      <c r="FL129" s="150"/>
      <c r="FM129" s="150"/>
      <c r="FN129" s="150"/>
      <c r="FO129" s="150"/>
      <c r="FP129" s="150"/>
      <c r="FQ129" s="150"/>
      <c r="FR129" s="150"/>
      <c r="FS129" s="150"/>
      <c r="FT129" s="150"/>
      <c r="FU129" s="150"/>
      <c r="FV129" s="150"/>
      <c r="FW129" s="150"/>
      <c r="FX129" s="150"/>
      <c r="FY129" s="150"/>
      <c r="FZ129" s="150"/>
      <c r="GA129" s="150"/>
      <c r="GB129" s="150"/>
      <c r="GC129" s="150"/>
      <c r="GD129" s="150"/>
      <c r="GE129" s="150"/>
      <c r="GF129" s="150"/>
      <c r="GG129" s="150"/>
      <c r="GH129" s="150"/>
      <c r="GI129" s="150"/>
      <c r="GJ129" s="150"/>
      <c r="GK129" s="150"/>
      <c r="GL129" s="150"/>
      <c r="GM129" s="150"/>
      <c r="GN129" s="150"/>
      <c r="GO129" s="150"/>
      <c r="GP129" s="150"/>
      <c r="GQ129" s="150"/>
      <c r="GR129" s="150"/>
      <c r="GS129" s="150"/>
      <c r="GT129" s="150"/>
      <c r="GU129" s="150"/>
      <c r="GV129" s="150"/>
      <c r="GW129" s="150"/>
      <c r="GX129" s="150"/>
      <c r="GY129" s="150"/>
      <c r="GZ129" s="150"/>
      <c r="HA129" s="150"/>
      <c r="HB129" s="150"/>
      <c r="HC129" s="150"/>
      <c r="HD129" s="150"/>
      <c r="HE129" s="150"/>
      <c r="HF129" s="150"/>
      <c r="HG129" s="150"/>
      <c r="HH129" s="150"/>
      <c r="HI129" s="150"/>
      <c r="HJ129" s="150"/>
      <c r="HK129" s="150"/>
      <c r="HL129" s="150"/>
      <c r="HM129" s="150"/>
      <c r="HN129" s="150"/>
      <c r="HO129" s="150"/>
      <c r="HP129" s="150"/>
      <c r="HQ129" s="150"/>
      <c r="HR129" s="150"/>
      <c r="HS129" s="150"/>
      <c r="HT129" s="150"/>
      <c r="HU129" s="150"/>
      <c r="HV129" s="150"/>
      <c r="HW129" s="150"/>
      <c r="HX129" s="150"/>
      <c r="HY129" s="150"/>
      <c r="HZ129" s="150"/>
      <c r="IA129" s="150"/>
      <c r="IB129" s="150"/>
      <c r="IC129" s="150"/>
      <c r="ID129" s="150"/>
      <c r="IE129" s="150"/>
      <c r="IF129" s="150"/>
      <c r="IG129" s="150"/>
      <c r="IH129" s="150"/>
      <c r="II129" s="150"/>
      <c r="IJ129" s="150"/>
      <c r="IK129" s="150"/>
      <c r="IL129" s="150"/>
      <c r="IM129" s="150"/>
      <c r="IN129" s="150"/>
      <c r="IO129" s="150"/>
      <c r="IP129" s="150"/>
      <c r="IQ129" s="150"/>
      <c r="IR129" s="150"/>
      <c r="IS129" s="150"/>
      <c r="IT129" s="150"/>
      <c r="IU129" s="150"/>
      <c r="IV129" s="150"/>
      <c r="IW129" s="150"/>
      <c r="IX129" s="150"/>
      <c r="IY129" s="150"/>
      <c r="IZ129" s="150"/>
      <c r="JA129" s="150"/>
      <c r="JB129" s="150"/>
      <c r="JC129" s="150"/>
      <c r="JD129" s="150"/>
      <c r="JE129" s="150"/>
      <c r="JF129" s="150"/>
      <c r="JG129" s="150"/>
      <c r="JH129" s="150"/>
      <c r="JI129" s="150"/>
      <c r="JJ129" s="150"/>
      <c r="JK129" s="150"/>
      <c r="JL129" s="150"/>
      <c r="JM129" s="150"/>
      <c r="JN129" s="150"/>
      <c r="JO129" s="150"/>
      <c r="JP129" s="150"/>
      <c r="JQ129" s="150"/>
      <c r="JR129" s="150"/>
      <c r="JS129" s="150"/>
      <c r="JT129" s="150"/>
      <c r="JU129" s="150"/>
      <c r="JV129" s="150"/>
      <c r="JW129" s="150"/>
      <c r="JX129" s="150"/>
      <c r="JY129" s="150"/>
      <c r="JZ129" s="150"/>
      <c r="KA129" s="150"/>
      <c r="KB129" s="150"/>
      <c r="KC129" s="150"/>
      <c r="KD129" s="150"/>
      <c r="KE129" s="150"/>
      <c r="KF129" s="150"/>
      <c r="KG129" s="150"/>
      <c r="KH129" s="150"/>
      <c r="KI129" s="150"/>
      <c r="KJ129" s="150"/>
      <c r="KK129" s="150"/>
      <c r="KL129" s="150"/>
      <c r="KM129" s="150"/>
      <c r="KN129" s="150"/>
      <c r="KO129" s="150"/>
      <c r="KP129" s="150"/>
      <c r="KQ129" s="150"/>
      <c r="KR129" s="150"/>
      <c r="KS129" s="150"/>
      <c r="KT129" s="150"/>
    </row>
    <row r="130" spans="2:307" x14ac:dyDescent="0.15">
      <c r="C130" s="92" t="s">
        <v>317</v>
      </c>
      <c r="F130" s="150">
        <f t="shared" si="23"/>
        <v>0</v>
      </c>
      <c r="G130" s="150">
        <f t="shared" si="22"/>
        <v>0</v>
      </c>
      <c r="H130" s="150">
        <f t="shared" si="22"/>
        <v>0</v>
      </c>
      <c r="I130" s="150">
        <f t="shared" si="22"/>
        <v>0</v>
      </c>
      <c r="J130" s="150">
        <f t="shared" si="22"/>
        <v>0</v>
      </c>
      <c r="K130" s="150">
        <f t="shared" si="22"/>
        <v>0</v>
      </c>
      <c r="L130" s="150">
        <f t="shared" si="22"/>
        <v>0</v>
      </c>
      <c r="M130" s="150">
        <f t="shared" si="22"/>
        <v>0</v>
      </c>
      <c r="N130" s="150">
        <f t="shared" si="22"/>
        <v>0</v>
      </c>
      <c r="O130" s="150">
        <f t="shared" si="22"/>
        <v>0</v>
      </c>
      <c r="P130" s="150">
        <f t="shared" si="22"/>
        <v>0</v>
      </c>
      <c r="Q130" s="150">
        <f t="shared" si="22"/>
        <v>0.14143603524713844</v>
      </c>
      <c r="R130" s="150">
        <f t="shared" si="22"/>
        <v>0.12357787479672346</v>
      </c>
      <c r="S130" s="150">
        <f t="shared" si="22"/>
        <v>0.11666484614993421</v>
      </c>
      <c r="T130" s="150">
        <f t="shared" si="22"/>
        <v>0.10996288950335004</v>
      </c>
      <c r="U130" s="150">
        <f t="shared" si="22"/>
        <v>0</v>
      </c>
      <c r="V130" s="150">
        <f t="shared" si="22"/>
        <v>0</v>
      </c>
      <c r="W130" s="150">
        <f t="shared" si="22"/>
        <v>0</v>
      </c>
      <c r="X130" s="150">
        <f t="shared" si="22"/>
        <v>0</v>
      </c>
      <c r="Y130" s="150">
        <f t="shared" si="22"/>
        <v>0</v>
      </c>
      <c r="Z130" s="150">
        <f t="shared" si="22"/>
        <v>0</v>
      </c>
      <c r="AA130" s="150">
        <f t="shared" si="22"/>
        <v>0</v>
      </c>
      <c r="AB130" s="150">
        <f t="shared" si="22"/>
        <v>0</v>
      </c>
      <c r="AC130" s="150">
        <f t="shared" si="22"/>
        <v>0</v>
      </c>
      <c r="AD130" s="150">
        <f t="shared" si="21"/>
        <v>0</v>
      </c>
      <c r="AE130" s="150">
        <f t="shared" si="21"/>
        <v>0</v>
      </c>
      <c r="AF130" s="150">
        <f t="shared" si="21"/>
        <v>0</v>
      </c>
      <c r="AG130" s="150">
        <f t="shared" si="21"/>
        <v>0</v>
      </c>
      <c r="AH130" s="150">
        <f t="shared" si="21"/>
        <v>0</v>
      </c>
      <c r="AI130" s="150">
        <f t="shared" si="21"/>
        <v>0</v>
      </c>
      <c r="AJ130" s="150">
        <f t="shared" si="21"/>
        <v>0</v>
      </c>
      <c r="AK130" s="150">
        <f t="shared" si="21"/>
        <v>0</v>
      </c>
      <c r="AL130" s="150">
        <f t="shared" si="21"/>
        <v>0</v>
      </c>
      <c r="AM130" s="150">
        <f t="shared" si="21"/>
        <v>0</v>
      </c>
      <c r="AN130" s="150">
        <f t="shared" si="21"/>
        <v>0</v>
      </c>
      <c r="AO130" s="150">
        <f t="shared" si="21"/>
        <v>0</v>
      </c>
      <c r="AP130" s="150">
        <f t="shared" si="21"/>
        <v>0</v>
      </c>
      <c r="AQ130" s="150">
        <f t="shared" si="21"/>
        <v>0</v>
      </c>
      <c r="AR130" s="150">
        <f t="shared" si="21"/>
        <v>0</v>
      </c>
      <c r="AS130" s="150">
        <f t="shared" si="21"/>
        <v>0</v>
      </c>
      <c r="AT130" s="150">
        <f t="shared" si="21"/>
        <v>0</v>
      </c>
      <c r="AU130" s="150">
        <f t="shared" si="21"/>
        <v>0</v>
      </c>
      <c r="AV130" s="150">
        <f t="shared" si="21"/>
        <v>0</v>
      </c>
      <c r="AW130" s="150">
        <f t="shared" si="21"/>
        <v>0</v>
      </c>
      <c r="AX130" s="150">
        <f t="shared" si="21"/>
        <v>0</v>
      </c>
      <c r="AY130" s="150">
        <f t="shared" si="21"/>
        <v>0</v>
      </c>
      <c r="AZ130" s="150">
        <f t="shared" si="21"/>
        <v>0</v>
      </c>
      <c r="BA130" s="150">
        <f t="shared" si="21"/>
        <v>0</v>
      </c>
      <c r="BB130" s="150">
        <f t="shared" si="21"/>
        <v>0</v>
      </c>
      <c r="BC130" s="150">
        <f t="shared" si="21"/>
        <v>0</v>
      </c>
      <c r="BD130" s="150">
        <f t="shared" si="21"/>
        <v>0</v>
      </c>
      <c r="BE130" s="150">
        <f t="shared" si="21"/>
        <v>0</v>
      </c>
      <c r="BF130" s="150">
        <f t="shared" si="21"/>
        <v>0</v>
      </c>
      <c r="BG130" s="150">
        <f t="shared" si="21"/>
        <v>0</v>
      </c>
      <c r="BH130" s="150">
        <f t="shared" si="21"/>
        <v>0</v>
      </c>
      <c r="BI130" s="150">
        <f t="shared" si="21"/>
        <v>0</v>
      </c>
      <c r="BJ130" s="150">
        <f t="shared" si="21"/>
        <v>0</v>
      </c>
      <c r="BK130" s="150">
        <f t="shared" si="21"/>
        <v>0</v>
      </c>
      <c r="BL130" s="150">
        <f t="shared" si="21"/>
        <v>0</v>
      </c>
      <c r="BM130" s="150">
        <f t="shared" si="21"/>
        <v>0</v>
      </c>
      <c r="BN130" s="150"/>
      <c r="BO130" s="150"/>
      <c r="BP130" s="150"/>
      <c r="BQ130" s="150"/>
      <c r="BR130" s="150"/>
      <c r="BS130" s="150"/>
      <c r="BT130" s="150"/>
      <c r="BU130" s="150"/>
      <c r="BV130" s="150"/>
      <c r="BW130" s="150"/>
      <c r="BX130" s="150"/>
      <c r="BY130" s="150"/>
      <c r="BZ130" s="150"/>
      <c r="CA130" s="150"/>
      <c r="CB130" s="150"/>
      <c r="CC130" s="150"/>
      <c r="CD130" s="150"/>
      <c r="CE130" s="150"/>
      <c r="CF130" s="150"/>
      <c r="CG130" s="150"/>
      <c r="CH130" s="150"/>
      <c r="CI130" s="150"/>
      <c r="CJ130" s="150"/>
      <c r="CK130" s="150"/>
      <c r="CL130" s="150"/>
      <c r="CM130" s="150"/>
      <c r="CN130" s="150"/>
      <c r="CO130" s="150"/>
      <c r="CP130" s="150"/>
      <c r="CQ130" s="150"/>
      <c r="CR130" s="150"/>
      <c r="CS130" s="150"/>
      <c r="CT130" s="150"/>
      <c r="CU130" s="150"/>
      <c r="CV130" s="150"/>
      <c r="CW130" s="150"/>
      <c r="CX130" s="150"/>
      <c r="CY130" s="150"/>
      <c r="CZ130" s="150"/>
      <c r="DA130" s="150"/>
      <c r="DB130" s="150"/>
      <c r="DC130" s="150"/>
      <c r="DD130" s="150"/>
      <c r="DE130" s="150"/>
      <c r="DF130" s="150"/>
      <c r="DG130" s="150"/>
      <c r="DH130" s="150"/>
      <c r="DI130" s="150"/>
      <c r="DJ130" s="150"/>
      <c r="DK130" s="150"/>
      <c r="DL130" s="150"/>
      <c r="DM130" s="150"/>
      <c r="DN130" s="150"/>
      <c r="DO130" s="150"/>
      <c r="DP130" s="150"/>
      <c r="DQ130" s="150"/>
      <c r="DR130" s="150"/>
      <c r="DS130" s="150"/>
      <c r="DT130" s="150"/>
      <c r="DU130" s="150"/>
      <c r="DV130" s="150"/>
      <c r="DW130" s="150"/>
      <c r="DX130" s="150"/>
      <c r="DY130" s="150"/>
      <c r="DZ130" s="150"/>
      <c r="EA130" s="150"/>
      <c r="EB130" s="150"/>
      <c r="EC130" s="150"/>
      <c r="ED130" s="150"/>
      <c r="EE130" s="150"/>
      <c r="EF130" s="150"/>
      <c r="EG130" s="150"/>
      <c r="EH130" s="150"/>
      <c r="EI130" s="150"/>
      <c r="EJ130" s="150"/>
      <c r="EK130" s="150"/>
      <c r="EL130" s="150"/>
      <c r="EM130" s="150"/>
      <c r="EN130" s="150"/>
      <c r="EO130" s="150"/>
      <c r="EP130" s="150"/>
      <c r="EQ130" s="150"/>
      <c r="ER130" s="150"/>
      <c r="ES130" s="150"/>
      <c r="ET130" s="150"/>
      <c r="EU130" s="150"/>
      <c r="EV130" s="150"/>
      <c r="EW130" s="150"/>
      <c r="EX130" s="150"/>
      <c r="EY130" s="150"/>
      <c r="EZ130" s="150"/>
      <c r="FA130" s="150"/>
      <c r="FB130" s="150"/>
      <c r="FC130" s="150"/>
      <c r="FD130" s="150"/>
      <c r="FE130" s="150"/>
      <c r="FF130" s="150"/>
      <c r="FG130" s="150"/>
      <c r="FH130" s="150"/>
      <c r="FI130" s="150"/>
      <c r="FJ130" s="150"/>
      <c r="FK130" s="150"/>
      <c r="FL130" s="150"/>
      <c r="FM130" s="150"/>
      <c r="FN130" s="150"/>
      <c r="FO130" s="150"/>
      <c r="FP130" s="150"/>
      <c r="FQ130" s="150"/>
      <c r="FR130" s="150"/>
      <c r="FS130" s="150"/>
      <c r="FT130" s="150"/>
      <c r="FU130" s="150"/>
      <c r="FV130" s="150"/>
      <c r="FW130" s="150"/>
      <c r="FX130" s="150"/>
      <c r="FY130" s="150"/>
      <c r="FZ130" s="150"/>
      <c r="GA130" s="150"/>
      <c r="GB130" s="150"/>
      <c r="GC130" s="150"/>
      <c r="GD130" s="150"/>
      <c r="GE130" s="150"/>
      <c r="GF130" s="150"/>
      <c r="GG130" s="150"/>
      <c r="GH130" s="150"/>
      <c r="GI130" s="150"/>
      <c r="GJ130" s="150"/>
      <c r="GK130" s="150"/>
      <c r="GL130" s="150"/>
      <c r="GM130" s="150"/>
      <c r="GN130" s="150"/>
      <c r="GO130" s="150"/>
      <c r="GP130" s="150"/>
      <c r="GQ130" s="150"/>
      <c r="GR130" s="150"/>
      <c r="GS130" s="150"/>
      <c r="GT130" s="150"/>
      <c r="GU130" s="150"/>
      <c r="GV130" s="150"/>
      <c r="GW130" s="150"/>
      <c r="GX130" s="150"/>
      <c r="GY130" s="150"/>
      <c r="GZ130" s="150"/>
      <c r="HA130" s="150"/>
      <c r="HB130" s="150"/>
      <c r="HC130" s="150"/>
      <c r="HD130" s="150"/>
      <c r="HE130" s="150"/>
      <c r="HF130" s="150"/>
      <c r="HG130" s="150"/>
      <c r="HH130" s="150"/>
      <c r="HI130" s="150"/>
      <c r="HJ130" s="150"/>
      <c r="HK130" s="150"/>
      <c r="HL130" s="150"/>
      <c r="HM130" s="150"/>
      <c r="HN130" s="150"/>
      <c r="HO130" s="150"/>
      <c r="HP130" s="150"/>
      <c r="HQ130" s="150"/>
      <c r="HR130" s="150"/>
      <c r="HS130" s="150"/>
      <c r="HT130" s="150"/>
      <c r="HU130" s="150"/>
      <c r="HV130" s="150"/>
      <c r="HW130" s="150"/>
      <c r="HX130" s="150"/>
      <c r="HY130" s="150"/>
      <c r="HZ130" s="150"/>
      <c r="IA130" s="150"/>
      <c r="IB130" s="150"/>
      <c r="IC130" s="150"/>
      <c r="ID130" s="150"/>
      <c r="IE130" s="150"/>
      <c r="IF130" s="150"/>
      <c r="IG130" s="150"/>
      <c r="IH130" s="150"/>
      <c r="II130" s="150"/>
      <c r="IJ130" s="150"/>
      <c r="IK130" s="150"/>
      <c r="IL130" s="150"/>
      <c r="IM130" s="150"/>
      <c r="IN130" s="150"/>
      <c r="IO130" s="150"/>
      <c r="IP130" s="150"/>
      <c r="IQ130" s="150"/>
      <c r="IR130" s="150"/>
      <c r="IS130" s="150"/>
      <c r="IT130" s="150"/>
      <c r="IU130" s="150"/>
      <c r="IV130" s="150"/>
      <c r="IW130" s="150"/>
      <c r="IX130" s="150"/>
      <c r="IY130" s="150"/>
      <c r="IZ130" s="150"/>
      <c r="JA130" s="150"/>
      <c r="JB130" s="150"/>
      <c r="JC130" s="150"/>
      <c r="JD130" s="150"/>
      <c r="JE130" s="150"/>
      <c r="JF130" s="150"/>
      <c r="JG130" s="150"/>
      <c r="JH130" s="150"/>
      <c r="JI130" s="150"/>
      <c r="JJ130" s="150"/>
      <c r="JK130" s="150"/>
      <c r="JL130" s="150"/>
      <c r="JM130" s="150"/>
      <c r="JN130" s="150"/>
      <c r="JO130" s="150"/>
      <c r="JP130" s="150"/>
      <c r="JQ130" s="150"/>
      <c r="JR130" s="150"/>
      <c r="JS130" s="150"/>
      <c r="JT130" s="150"/>
      <c r="JU130" s="150"/>
      <c r="JV130" s="150"/>
      <c r="JW130" s="150"/>
      <c r="JX130" s="150"/>
      <c r="JY130" s="150"/>
      <c r="JZ130" s="150"/>
      <c r="KA130" s="150"/>
      <c r="KB130" s="150"/>
      <c r="KC130" s="150"/>
      <c r="KD130" s="150"/>
      <c r="KE130" s="150"/>
      <c r="KF130" s="150"/>
      <c r="KG130" s="150"/>
      <c r="KH130" s="150"/>
      <c r="KI130" s="150"/>
      <c r="KJ130" s="150"/>
      <c r="KK130" s="150"/>
      <c r="KL130" s="150"/>
      <c r="KM130" s="150"/>
      <c r="KN130" s="150"/>
      <c r="KO130" s="150"/>
      <c r="KP130" s="150"/>
      <c r="KQ130" s="150"/>
      <c r="KR130" s="150"/>
      <c r="KS130" s="150"/>
      <c r="KT130" s="150"/>
    </row>
    <row r="131" spans="2:307" x14ac:dyDescent="0.15">
      <c r="C131" s="92" t="s">
        <v>319</v>
      </c>
      <c r="F131" s="150">
        <f t="shared" si="23"/>
        <v>0</v>
      </c>
      <c r="G131" s="150">
        <f t="shared" si="22"/>
        <v>0</v>
      </c>
      <c r="H131" s="150">
        <f t="shared" si="22"/>
        <v>0</v>
      </c>
      <c r="I131" s="150">
        <f t="shared" si="22"/>
        <v>0</v>
      </c>
      <c r="J131" s="150">
        <f t="shared" si="22"/>
        <v>0</v>
      </c>
      <c r="K131" s="150">
        <f t="shared" si="22"/>
        <v>0</v>
      </c>
      <c r="L131" s="150">
        <f t="shared" si="22"/>
        <v>0</v>
      </c>
      <c r="M131" s="150">
        <f t="shared" si="22"/>
        <v>0</v>
      </c>
      <c r="N131" s="150">
        <f t="shared" si="22"/>
        <v>0</v>
      </c>
      <c r="O131" s="150">
        <f t="shared" si="22"/>
        <v>0</v>
      </c>
      <c r="P131" s="150">
        <f t="shared" si="22"/>
        <v>0</v>
      </c>
      <c r="Q131" s="150">
        <f t="shared" si="22"/>
        <v>0</v>
      </c>
      <c r="R131" s="150">
        <f t="shared" si="22"/>
        <v>0.14143603524713844</v>
      </c>
      <c r="S131" s="150">
        <f t="shared" si="22"/>
        <v>0.12357787479672346</v>
      </c>
      <c r="T131" s="150">
        <f t="shared" si="22"/>
        <v>0.11666484614993421</v>
      </c>
      <c r="U131" s="150">
        <f t="shared" si="22"/>
        <v>0</v>
      </c>
      <c r="V131" s="150">
        <f t="shared" si="22"/>
        <v>0</v>
      </c>
      <c r="W131" s="150">
        <f t="shared" si="22"/>
        <v>0</v>
      </c>
      <c r="X131" s="150">
        <f t="shared" si="22"/>
        <v>0</v>
      </c>
      <c r="Y131" s="150">
        <f t="shared" si="22"/>
        <v>0</v>
      </c>
      <c r="Z131" s="150">
        <f t="shared" si="22"/>
        <v>0</v>
      </c>
      <c r="AA131" s="150">
        <f t="shared" si="22"/>
        <v>0</v>
      </c>
      <c r="AB131" s="150">
        <f t="shared" si="22"/>
        <v>0</v>
      </c>
      <c r="AC131" s="150">
        <f t="shared" si="22"/>
        <v>0</v>
      </c>
      <c r="AD131" s="150">
        <f t="shared" si="21"/>
        <v>0</v>
      </c>
      <c r="AE131" s="150">
        <f t="shared" si="21"/>
        <v>0</v>
      </c>
      <c r="AF131" s="150">
        <f t="shared" si="21"/>
        <v>0</v>
      </c>
      <c r="AG131" s="150">
        <f t="shared" si="21"/>
        <v>0</v>
      </c>
      <c r="AH131" s="150">
        <f t="shared" si="21"/>
        <v>0</v>
      </c>
      <c r="AI131" s="150">
        <f t="shared" si="21"/>
        <v>0</v>
      </c>
      <c r="AJ131" s="150">
        <f t="shared" si="21"/>
        <v>0</v>
      </c>
      <c r="AK131" s="150">
        <f t="shared" si="21"/>
        <v>0</v>
      </c>
      <c r="AL131" s="150">
        <f t="shared" si="21"/>
        <v>0</v>
      </c>
      <c r="AM131" s="150">
        <f t="shared" si="21"/>
        <v>0</v>
      </c>
      <c r="AN131" s="150">
        <f t="shared" si="21"/>
        <v>0</v>
      </c>
      <c r="AO131" s="150">
        <f t="shared" si="21"/>
        <v>0</v>
      </c>
      <c r="AP131" s="150">
        <f t="shared" si="21"/>
        <v>0</v>
      </c>
      <c r="AQ131" s="150">
        <f t="shared" si="21"/>
        <v>0</v>
      </c>
      <c r="AR131" s="150">
        <f t="shared" si="21"/>
        <v>0</v>
      </c>
      <c r="AS131" s="150">
        <f t="shared" si="21"/>
        <v>0</v>
      </c>
      <c r="AT131" s="150">
        <f t="shared" si="21"/>
        <v>0</v>
      </c>
      <c r="AU131" s="150">
        <f t="shared" si="21"/>
        <v>0</v>
      </c>
      <c r="AV131" s="150">
        <f t="shared" si="21"/>
        <v>0</v>
      </c>
      <c r="AW131" s="150">
        <f t="shared" si="21"/>
        <v>0</v>
      </c>
      <c r="AX131" s="150">
        <f t="shared" si="21"/>
        <v>0</v>
      </c>
      <c r="AY131" s="150">
        <f t="shared" si="21"/>
        <v>0</v>
      </c>
      <c r="AZ131" s="150">
        <f t="shared" si="21"/>
        <v>0</v>
      </c>
      <c r="BA131" s="150">
        <f t="shared" si="21"/>
        <v>0</v>
      </c>
      <c r="BB131" s="150">
        <f t="shared" si="21"/>
        <v>0</v>
      </c>
      <c r="BC131" s="150">
        <f t="shared" si="21"/>
        <v>0</v>
      </c>
      <c r="BD131" s="150">
        <f t="shared" si="21"/>
        <v>0</v>
      </c>
      <c r="BE131" s="150">
        <f t="shared" si="21"/>
        <v>0</v>
      </c>
      <c r="BF131" s="150">
        <f t="shared" si="21"/>
        <v>0</v>
      </c>
      <c r="BG131" s="150">
        <f t="shared" si="21"/>
        <v>0</v>
      </c>
      <c r="BH131" s="150">
        <f t="shared" si="21"/>
        <v>0</v>
      </c>
      <c r="BI131" s="150">
        <f t="shared" si="21"/>
        <v>0</v>
      </c>
      <c r="BJ131" s="150">
        <f t="shared" si="21"/>
        <v>0</v>
      </c>
      <c r="BK131" s="150">
        <f t="shared" si="21"/>
        <v>0</v>
      </c>
      <c r="BL131" s="150">
        <f t="shared" si="21"/>
        <v>0</v>
      </c>
      <c r="BM131" s="150">
        <f t="shared" si="21"/>
        <v>0</v>
      </c>
      <c r="BN131" s="148"/>
      <c r="BO131" s="148"/>
      <c r="BP131" s="148"/>
      <c r="BQ131" s="148"/>
      <c r="BR131" s="148"/>
      <c r="BS131" s="148"/>
      <c r="BT131" s="148"/>
      <c r="BU131" s="148"/>
      <c r="BV131" s="148"/>
      <c r="BW131" s="148"/>
      <c r="BX131" s="148"/>
      <c r="BY131" s="148"/>
      <c r="BZ131" s="148"/>
      <c r="CA131" s="148"/>
      <c r="CB131" s="148"/>
      <c r="CC131" s="148"/>
      <c r="CD131" s="148"/>
      <c r="CE131" s="148"/>
      <c r="CF131" s="148"/>
      <c r="CG131" s="148"/>
      <c r="CH131" s="148"/>
      <c r="CI131" s="148"/>
      <c r="CJ131" s="148"/>
      <c r="CK131" s="148"/>
      <c r="CL131" s="148"/>
      <c r="CM131" s="148"/>
      <c r="CN131" s="148"/>
      <c r="CO131" s="148"/>
      <c r="CP131" s="148"/>
      <c r="CQ131" s="148"/>
      <c r="CR131" s="148"/>
      <c r="CS131" s="148"/>
      <c r="CT131" s="148"/>
      <c r="CU131" s="148"/>
      <c r="CV131" s="148"/>
      <c r="CW131" s="148"/>
      <c r="CX131" s="148"/>
      <c r="CY131" s="148"/>
      <c r="CZ131" s="148"/>
      <c r="DA131" s="148"/>
      <c r="DB131" s="148"/>
      <c r="DC131" s="148"/>
      <c r="DD131" s="148"/>
      <c r="DE131" s="148"/>
      <c r="DF131" s="148"/>
      <c r="DG131" s="148"/>
      <c r="DH131" s="148"/>
      <c r="DI131" s="148"/>
      <c r="DJ131" s="148"/>
      <c r="DK131" s="148"/>
      <c r="DL131" s="148"/>
      <c r="DM131" s="148"/>
      <c r="DN131" s="148"/>
      <c r="DO131" s="148"/>
      <c r="DP131" s="148"/>
      <c r="DQ131" s="148"/>
      <c r="DR131" s="148"/>
      <c r="DS131" s="148"/>
      <c r="DT131" s="148"/>
      <c r="DU131" s="148"/>
      <c r="DV131" s="148"/>
      <c r="DW131" s="148"/>
      <c r="DX131" s="148"/>
      <c r="DY131" s="148"/>
      <c r="DZ131" s="148"/>
      <c r="EA131" s="148"/>
      <c r="EB131" s="148"/>
      <c r="EC131" s="148"/>
      <c r="ED131" s="148"/>
      <c r="EE131" s="148"/>
      <c r="EF131" s="148"/>
      <c r="EG131" s="148"/>
      <c r="EH131" s="148"/>
      <c r="EI131" s="148"/>
      <c r="EJ131" s="148"/>
      <c r="EK131" s="148"/>
      <c r="EL131" s="148"/>
      <c r="EM131" s="148"/>
      <c r="EN131" s="148"/>
      <c r="EO131" s="148"/>
      <c r="EP131" s="148"/>
      <c r="EQ131" s="148"/>
      <c r="ER131" s="148"/>
      <c r="ES131" s="148"/>
      <c r="ET131" s="148"/>
      <c r="EU131" s="148"/>
      <c r="EV131" s="148"/>
      <c r="EW131" s="148"/>
      <c r="EX131" s="148"/>
      <c r="EY131" s="148"/>
      <c r="EZ131" s="148"/>
      <c r="FA131" s="148"/>
      <c r="FB131" s="148"/>
      <c r="FC131" s="148"/>
      <c r="FD131" s="148"/>
      <c r="FE131" s="148"/>
      <c r="FF131" s="148"/>
      <c r="FG131" s="148"/>
      <c r="FH131" s="148"/>
      <c r="FI131" s="148"/>
      <c r="FJ131" s="148"/>
      <c r="FK131" s="148"/>
      <c r="FL131" s="148"/>
      <c r="FM131" s="148"/>
      <c r="FN131" s="148"/>
      <c r="FO131" s="148"/>
      <c r="FP131" s="148"/>
      <c r="FQ131" s="148"/>
      <c r="FR131" s="148"/>
      <c r="FS131" s="148"/>
      <c r="FT131" s="148"/>
      <c r="FU131" s="148"/>
      <c r="FV131" s="148"/>
      <c r="FW131" s="148"/>
      <c r="FX131" s="148"/>
      <c r="FY131" s="148"/>
      <c r="FZ131" s="148"/>
      <c r="GA131" s="148"/>
      <c r="GB131" s="148"/>
      <c r="GC131" s="148"/>
      <c r="GD131" s="148"/>
      <c r="GE131" s="148"/>
      <c r="GF131" s="148"/>
      <c r="GG131" s="148"/>
      <c r="GH131" s="148"/>
      <c r="GI131" s="148"/>
      <c r="GJ131" s="148"/>
      <c r="GK131" s="148"/>
      <c r="GL131" s="148"/>
      <c r="GM131" s="148"/>
      <c r="GN131" s="148"/>
      <c r="GO131" s="148"/>
      <c r="GP131" s="148"/>
      <c r="GQ131" s="148"/>
      <c r="GR131" s="148"/>
      <c r="GS131" s="148"/>
      <c r="GT131" s="148"/>
      <c r="GU131" s="148"/>
      <c r="GV131" s="148"/>
      <c r="GW131" s="148"/>
      <c r="GX131" s="148"/>
      <c r="GY131" s="148"/>
      <c r="GZ131" s="148"/>
      <c r="HA131" s="148"/>
      <c r="HB131" s="148"/>
      <c r="HC131" s="148"/>
      <c r="HD131" s="148"/>
      <c r="HE131" s="148"/>
      <c r="HF131" s="148"/>
      <c r="HG131" s="148"/>
      <c r="HH131" s="148"/>
      <c r="HI131" s="148"/>
      <c r="HJ131" s="148"/>
      <c r="HK131" s="148"/>
      <c r="HL131" s="148"/>
      <c r="HM131" s="148"/>
      <c r="HN131" s="148"/>
      <c r="HO131" s="148"/>
      <c r="HP131" s="148"/>
      <c r="HQ131" s="148"/>
      <c r="HR131" s="148"/>
      <c r="HS131" s="148"/>
      <c r="HT131" s="148"/>
      <c r="HU131" s="148"/>
      <c r="HV131" s="148"/>
      <c r="HW131" s="148"/>
      <c r="HX131" s="148"/>
      <c r="HY131" s="148"/>
      <c r="HZ131" s="148"/>
      <c r="IA131" s="148"/>
      <c r="IB131" s="148"/>
      <c r="IC131" s="148"/>
      <c r="ID131" s="148"/>
      <c r="IE131" s="148"/>
      <c r="IF131" s="148"/>
      <c r="IG131" s="148"/>
      <c r="IH131" s="148"/>
      <c r="II131" s="148"/>
      <c r="IJ131" s="148"/>
      <c r="IK131" s="148"/>
      <c r="IL131" s="148"/>
      <c r="IM131" s="148"/>
      <c r="IN131" s="148"/>
      <c r="IO131" s="148"/>
      <c r="IP131" s="148"/>
      <c r="IQ131" s="148"/>
      <c r="IR131" s="148"/>
      <c r="IS131" s="148"/>
      <c r="IT131" s="148"/>
      <c r="IU131" s="148"/>
      <c r="IV131" s="148"/>
      <c r="IW131" s="148"/>
      <c r="IX131" s="148"/>
      <c r="IY131" s="148"/>
      <c r="IZ131" s="148"/>
      <c r="JA131" s="148"/>
      <c r="JB131" s="148"/>
      <c r="JC131" s="148"/>
      <c r="JD131" s="148"/>
      <c r="JE131" s="148"/>
      <c r="JF131" s="148"/>
      <c r="JG131" s="148"/>
      <c r="JH131" s="148"/>
      <c r="JI131" s="148"/>
      <c r="JJ131" s="148"/>
      <c r="JK131" s="148"/>
      <c r="JL131" s="148"/>
      <c r="JM131" s="148"/>
      <c r="JN131" s="148"/>
      <c r="JO131" s="148"/>
      <c r="JP131" s="148"/>
      <c r="JQ131" s="148"/>
      <c r="JR131" s="148"/>
      <c r="JS131" s="148"/>
      <c r="JT131" s="148"/>
      <c r="JU131" s="148"/>
      <c r="JV131" s="148"/>
      <c r="JW131" s="148"/>
      <c r="JX131" s="148"/>
      <c r="JY131" s="148"/>
      <c r="JZ131" s="148"/>
      <c r="KA131" s="148"/>
      <c r="KB131" s="148"/>
      <c r="KC131" s="148"/>
      <c r="KD131" s="148"/>
      <c r="KE131" s="148"/>
      <c r="KF131" s="148"/>
      <c r="KG131" s="148"/>
      <c r="KH131" s="148"/>
      <c r="KI131" s="148"/>
      <c r="KJ131" s="148"/>
      <c r="KK131" s="148"/>
      <c r="KL131" s="148"/>
      <c r="KM131" s="148"/>
      <c r="KN131" s="148"/>
      <c r="KO131" s="148"/>
      <c r="KP131" s="148"/>
      <c r="KQ131" s="148"/>
      <c r="KR131" s="148"/>
      <c r="KS131" s="148"/>
      <c r="KT131" s="148"/>
    </row>
    <row r="132" spans="2:307" x14ac:dyDescent="0.15">
      <c r="C132" s="92" t="s">
        <v>321</v>
      </c>
      <c r="F132" s="150">
        <f t="shared" si="23"/>
        <v>0</v>
      </c>
      <c r="G132" s="150">
        <f t="shared" si="22"/>
        <v>0</v>
      </c>
      <c r="H132" s="150">
        <f t="shared" si="22"/>
        <v>0</v>
      </c>
      <c r="I132" s="150">
        <f t="shared" si="22"/>
        <v>0</v>
      </c>
      <c r="J132" s="150">
        <f t="shared" si="22"/>
        <v>0</v>
      </c>
      <c r="K132" s="150">
        <f t="shared" si="22"/>
        <v>0</v>
      </c>
      <c r="L132" s="150">
        <f t="shared" si="22"/>
        <v>0</v>
      </c>
      <c r="M132" s="150">
        <f t="shared" si="22"/>
        <v>0</v>
      </c>
      <c r="N132" s="150">
        <f t="shared" si="22"/>
        <v>0</v>
      </c>
      <c r="O132" s="150">
        <f t="shared" si="22"/>
        <v>0</v>
      </c>
      <c r="P132" s="150">
        <f t="shared" si="22"/>
        <v>0</v>
      </c>
      <c r="Q132" s="150">
        <f t="shared" si="22"/>
        <v>0</v>
      </c>
      <c r="R132" s="150">
        <f t="shared" si="22"/>
        <v>0</v>
      </c>
      <c r="S132" s="150">
        <f t="shared" si="22"/>
        <v>0.14432248494605965</v>
      </c>
      <c r="T132" s="150">
        <f t="shared" si="22"/>
        <v>0.2704223571876142</v>
      </c>
      <c r="U132" s="150">
        <f t="shared" si="22"/>
        <v>0</v>
      </c>
      <c r="V132" s="150">
        <f t="shared" si="22"/>
        <v>0</v>
      </c>
      <c r="W132" s="150">
        <f t="shared" si="22"/>
        <v>0</v>
      </c>
      <c r="X132" s="150">
        <f t="shared" si="22"/>
        <v>0</v>
      </c>
      <c r="Y132" s="150">
        <f t="shared" si="22"/>
        <v>0</v>
      </c>
      <c r="Z132" s="150">
        <f t="shared" si="22"/>
        <v>0</v>
      </c>
      <c r="AA132" s="150">
        <f t="shared" si="22"/>
        <v>0</v>
      </c>
      <c r="AB132" s="150">
        <f t="shared" si="22"/>
        <v>0</v>
      </c>
      <c r="AC132" s="150">
        <f t="shared" si="22"/>
        <v>0</v>
      </c>
      <c r="AD132" s="150">
        <f t="shared" si="21"/>
        <v>0</v>
      </c>
      <c r="AE132" s="150">
        <f t="shared" si="21"/>
        <v>0</v>
      </c>
      <c r="AF132" s="150">
        <f t="shared" si="21"/>
        <v>0</v>
      </c>
      <c r="AG132" s="150">
        <f t="shared" si="21"/>
        <v>0</v>
      </c>
      <c r="AH132" s="150">
        <f t="shared" si="21"/>
        <v>0</v>
      </c>
      <c r="AI132" s="150">
        <f t="shared" si="21"/>
        <v>0</v>
      </c>
      <c r="AJ132" s="150">
        <f t="shared" ref="AJ132:BM132" si="24">IF(AJ$4&gt;$F$6,0,AJ33*$F114)</f>
        <v>0</v>
      </c>
      <c r="AK132" s="150">
        <f t="shared" si="24"/>
        <v>0</v>
      </c>
      <c r="AL132" s="150">
        <f t="shared" si="24"/>
        <v>0</v>
      </c>
      <c r="AM132" s="150">
        <f t="shared" si="24"/>
        <v>0</v>
      </c>
      <c r="AN132" s="150">
        <f t="shared" si="24"/>
        <v>0</v>
      </c>
      <c r="AO132" s="150">
        <f t="shared" si="24"/>
        <v>0</v>
      </c>
      <c r="AP132" s="150">
        <f t="shared" si="24"/>
        <v>0</v>
      </c>
      <c r="AQ132" s="150">
        <f t="shared" si="24"/>
        <v>0</v>
      </c>
      <c r="AR132" s="150">
        <f t="shared" si="24"/>
        <v>0</v>
      </c>
      <c r="AS132" s="150">
        <f t="shared" si="24"/>
        <v>0</v>
      </c>
      <c r="AT132" s="150">
        <f t="shared" si="24"/>
        <v>0</v>
      </c>
      <c r="AU132" s="150">
        <f t="shared" si="24"/>
        <v>0</v>
      </c>
      <c r="AV132" s="150">
        <f t="shared" si="24"/>
        <v>0</v>
      </c>
      <c r="AW132" s="150">
        <f t="shared" si="24"/>
        <v>0</v>
      </c>
      <c r="AX132" s="150">
        <f t="shared" si="24"/>
        <v>0</v>
      </c>
      <c r="AY132" s="150">
        <f t="shared" si="24"/>
        <v>0</v>
      </c>
      <c r="AZ132" s="150">
        <f t="shared" si="24"/>
        <v>0</v>
      </c>
      <c r="BA132" s="150">
        <f t="shared" si="24"/>
        <v>0</v>
      </c>
      <c r="BB132" s="150">
        <f t="shared" si="24"/>
        <v>0</v>
      </c>
      <c r="BC132" s="150">
        <f t="shared" si="24"/>
        <v>0</v>
      </c>
      <c r="BD132" s="150">
        <f t="shared" si="24"/>
        <v>0</v>
      </c>
      <c r="BE132" s="150">
        <f t="shared" si="24"/>
        <v>0</v>
      </c>
      <c r="BF132" s="150">
        <f t="shared" si="24"/>
        <v>0</v>
      </c>
      <c r="BG132" s="150">
        <f t="shared" si="24"/>
        <v>0</v>
      </c>
      <c r="BH132" s="150">
        <f t="shared" si="24"/>
        <v>0</v>
      </c>
      <c r="BI132" s="150">
        <f t="shared" si="24"/>
        <v>0</v>
      </c>
      <c r="BJ132" s="150">
        <f t="shared" si="24"/>
        <v>0</v>
      </c>
      <c r="BK132" s="150">
        <f t="shared" si="24"/>
        <v>0</v>
      </c>
      <c r="BL132" s="150">
        <f t="shared" si="24"/>
        <v>0</v>
      </c>
      <c r="BM132" s="150">
        <f t="shared" si="24"/>
        <v>0</v>
      </c>
      <c r="BN132" s="148"/>
      <c r="BO132" s="148"/>
      <c r="BP132" s="148"/>
      <c r="BQ132" s="148"/>
      <c r="BR132" s="148"/>
      <c r="BS132" s="148"/>
      <c r="BT132" s="148"/>
      <c r="BU132" s="148"/>
      <c r="BV132" s="148"/>
      <c r="BW132" s="148"/>
      <c r="BX132" s="148"/>
      <c r="BY132" s="148"/>
      <c r="BZ132" s="148"/>
      <c r="CA132" s="148"/>
      <c r="CB132" s="148"/>
      <c r="CC132" s="148"/>
      <c r="CD132" s="148"/>
      <c r="CE132" s="148"/>
      <c r="CF132" s="148"/>
      <c r="CG132" s="148"/>
      <c r="CH132" s="148"/>
      <c r="CI132" s="148"/>
      <c r="CJ132" s="148"/>
      <c r="CK132" s="148"/>
      <c r="CL132" s="148"/>
      <c r="CM132" s="148"/>
      <c r="CN132" s="148"/>
      <c r="CO132" s="148"/>
      <c r="CP132" s="148"/>
      <c r="CQ132" s="148"/>
      <c r="CR132" s="148"/>
      <c r="CS132" s="148"/>
      <c r="CT132" s="148"/>
      <c r="CU132" s="148"/>
      <c r="CV132" s="148"/>
      <c r="CW132" s="148"/>
      <c r="CX132" s="148"/>
      <c r="CY132" s="148"/>
      <c r="CZ132" s="148"/>
      <c r="DA132" s="148"/>
      <c r="DB132" s="148"/>
      <c r="DC132" s="148"/>
      <c r="DD132" s="148"/>
      <c r="DE132" s="148"/>
      <c r="DF132" s="148"/>
      <c r="DG132" s="148"/>
      <c r="DH132" s="148"/>
      <c r="DI132" s="148"/>
      <c r="DJ132" s="148"/>
      <c r="DK132" s="148"/>
      <c r="DL132" s="148"/>
      <c r="DM132" s="148"/>
      <c r="DN132" s="148"/>
      <c r="DO132" s="148"/>
      <c r="DP132" s="148"/>
      <c r="DQ132" s="148"/>
      <c r="DR132" s="148"/>
      <c r="DS132" s="148"/>
      <c r="DT132" s="148"/>
      <c r="DU132" s="148"/>
      <c r="DV132" s="148"/>
      <c r="DW132" s="148"/>
      <c r="DX132" s="148"/>
      <c r="DY132" s="148"/>
      <c r="DZ132" s="148"/>
      <c r="EA132" s="148"/>
      <c r="EB132" s="148"/>
      <c r="EC132" s="148"/>
      <c r="ED132" s="148"/>
      <c r="EE132" s="148"/>
      <c r="EF132" s="148"/>
      <c r="EG132" s="148"/>
      <c r="EH132" s="148"/>
      <c r="EI132" s="148"/>
      <c r="EJ132" s="148"/>
      <c r="EK132" s="148"/>
      <c r="EL132" s="148"/>
      <c r="EM132" s="148"/>
      <c r="EN132" s="148"/>
      <c r="EO132" s="148"/>
      <c r="EP132" s="148"/>
      <c r="EQ132" s="148"/>
      <c r="ER132" s="148"/>
      <c r="ES132" s="148"/>
      <c r="ET132" s="148"/>
      <c r="EU132" s="148"/>
      <c r="EV132" s="148"/>
      <c r="EW132" s="148"/>
      <c r="EX132" s="148"/>
      <c r="EY132" s="148"/>
      <c r="EZ132" s="148"/>
      <c r="FA132" s="148"/>
      <c r="FB132" s="148"/>
      <c r="FC132" s="148"/>
      <c r="FD132" s="148"/>
      <c r="FE132" s="148"/>
      <c r="FF132" s="148"/>
      <c r="FG132" s="148"/>
      <c r="FH132" s="148"/>
      <c r="FI132" s="148"/>
      <c r="FJ132" s="148"/>
      <c r="FK132" s="148"/>
      <c r="FL132" s="148"/>
      <c r="FM132" s="148"/>
      <c r="FN132" s="148"/>
      <c r="FO132" s="148"/>
      <c r="FP132" s="148"/>
      <c r="FQ132" s="148"/>
      <c r="FR132" s="148"/>
      <c r="FS132" s="148"/>
      <c r="FT132" s="148"/>
      <c r="FU132" s="148"/>
      <c r="FV132" s="148"/>
      <c r="FW132" s="148"/>
      <c r="FX132" s="148"/>
      <c r="FY132" s="148"/>
      <c r="FZ132" s="148"/>
      <c r="GA132" s="148"/>
      <c r="GB132" s="148"/>
      <c r="GC132" s="148"/>
      <c r="GD132" s="148"/>
      <c r="GE132" s="148"/>
      <c r="GF132" s="148"/>
      <c r="GG132" s="148"/>
      <c r="GH132" s="148"/>
      <c r="GI132" s="148"/>
      <c r="GJ132" s="148"/>
      <c r="GK132" s="148"/>
      <c r="GL132" s="148"/>
      <c r="GM132" s="148"/>
      <c r="GN132" s="148"/>
      <c r="GO132" s="148"/>
      <c r="GP132" s="148"/>
      <c r="GQ132" s="148"/>
      <c r="GR132" s="148"/>
      <c r="GS132" s="148"/>
      <c r="GT132" s="148"/>
      <c r="GU132" s="148"/>
      <c r="GV132" s="148"/>
      <c r="GW132" s="148"/>
      <c r="GX132" s="148"/>
      <c r="GY132" s="148"/>
      <c r="GZ132" s="148"/>
      <c r="HA132" s="148"/>
      <c r="HB132" s="148"/>
      <c r="HC132" s="148"/>
      <c r="HD132" s="148"/>
      <c r="HE132" s="148"/>
      <c r="HF132" s="148"/>
      <c r="HG132" s="148"/>
      <c r="HH132" s="148"/>
      <c r="HI132" s="148"/>
      <c r="HJ132" s="148"/>
      <c r="HK132" s="148"/>
      <c r="HL132" s="148"/>
      <c r="HM132" s="148"/>
      <c r="HN132" s="148"/>
      <c r="HO132" s="148"/>
      <c r="HP132" s="148"/>
      <c r="HQ132" s="148"/>
      <c r="HR132" s="148"/>
      <c r="HS132" s="148"/>
      <c r="HT132" s="148"/>
      <c r="HU132" s="148"/>
      <c r="HV132" s="148"/>
      <c r="HW132" s="148"/>
      <c r="HX132" s="148"/>
      <c r="HY132" s="148"/>
      <c r="HZ132" s="148"/>
      <c r="IA132" s="148"/>
      <c r="IB132" s="148"/>
      <c r="IC132" s="148"/>
      <c r="ID132" s="148"/>
      <c r="IE132" s="148"/>
      <c r="IF132" s="148"/>
      <c r="IG132" s="148"/>
      <c r="IH132" s="148"/>
      <c r="II132" s="148"/>
      <c r="IJ132" s="148"/>
      <c r="IK132" s="148"/>
      <c r="IL132" s="148"/>
      <c r="IM132" s="148"/>
      <c r="IN132" s="148"/>
      <c r="IO132" s="148"/>
      <c r="IP132" s="148"/>
      <c r="IQ132" s="148"/>
      <c r="IR132" s="148"/>
      <c r="IS132" s="148"/>
      <c r="IT132" s="148"/>
      <c r="IU132" s="148"/>
      <c r="IV132" s="148"/>
      <c r="IW132" s="148"/>
      <c r="IX132" s="148"/>
      <c r="IY132" s="148"/>
      <c r="IZ132" s="148"/>
      <c r="JA132" s="148"/>
      <c r="JB132" s="148"/>
      <c r="JC132" s="148"/>
      <c r="JD132" s="148"/>
      <c r="JE132" s="148"/>
      <c r="JF132" s="148"/>
      <c r="JG132" s="148"/>
      <c r="JH132" s="148"/>
      <c r="JI132" s="148"/>
      <c r="JJ132" s="148"/>
      <c r="JK132" s="148"/>
      <c r="JL132" s="148"/>
      <c r="JM132" s="148"/>
      <c r="JN132" s="148"/>
      <c r="JO132" s="148"/>
      <c r="JP132" s="148"/>
      <c r="JQ132" s="148"/>
      <c r="JR132" s="148"/>
      <c r="JS132" s="148"/>
      <c r="JT132" s="148"/>
      <c r="JU132" s="148"/>
      <c r="JV132" s="148"/>
      <c r="JW132" s="148"/>
      <c r="JX132" s="148"/>
      <c r="JY132" s="148"/>
      <c r="JZ132" s="148"/>
      <c r="KA132" s="148"/>
      <c r="KB132" s="148"/>
      <c r="KC132" s="148"/>
      <c r="KD132" s="148"/>
      <c r="KE132" s="148"/>
      <c r="KF132" s="148"/>
      <c r="KG132" s="148"/>
      <c r="KH132" s="148"/>
      <c r="KI132" s="148"/>
      <c r="KJ132" s="148"/>
      <c r="KK132" s="148"/>
      <c r="KL132" s="148"/>
      <c r="KM132" s="148"/>
      <c r="KN132" s="148"/>
      <c r="KO132" s="148"/>
      <c r="KP132" s="148"/>
      <c r="KQ132" s="148"/>
      <c r="KR132" s="148"/>
      <c r="KS132" s="148"/>
      <c r="KT132" s="148"/>
    </row>
    <row r="133" spans="2:307" x14ac:dyDescent="0.15">
      <c r="C133" s="92" t="s">
        <v>349</v>
      </c>
      <c r="F133" s="148">
        <f>IF(F$4&gt;$F$6,0,SUM(F118:F132))</f>
        <v>0.25971363184298468</v>
      </c>
      <c r="G133" s="148">
        <f t="shared" ref="G133:AC133" si="25">IF(G$4&gt;$F$6,0,SUM(G118:G132))</f>
        <v>0.37404518106992013</v>
      </c>
      <c r="H133" s="148">
        <f t="shared" si="25"/>
        <v>0.4818088127832032</v>
      </c>
      <c r="I133" s="148">
        <f t="shared" si="25"/>
        <v>0.58317851058624126</v>
      </c>
      <c r="J133" s="148">
        <f t="shared" si="25"/>
        <v>0.67829710881068961</v>
      </c>
      <c r="K133" s="148">
        <f t="shared" si="25"/>
        <v>0.76729230664918102</v>
      </c>
      <c r="L133" s="148">
        <f t="shared" si="25"/>
        <v>0.85027683541501464</v>
      </c>
      <c r="M133" s="148">
        <f t="shared" si="25"/>
        <v>0.9301911128197331</v>
      </c>
      <c r="N133" s="148">
        <f t="shared" si="25"/>
        <v>1.3022766803680865</v>
      </c>
      <c r="O133" s="148">
        <f t="shared" si="25"/>
        <v>1.3046099772910851</v>
      </c>
      <c r="P133" s="148">
        <f t="shared" si="25"/>
        <v>1.3068092350811522</v>
      </c>
      <c r="Q133" s="148">
        <f t="shared" si="25"/>
        <v>1.3088780044240715</v>
      </c>
      <c r="R133" s="148">
        <f t="shared" si="25"/>
        <v>1.3107597759424643</v>
      </c>
      <c r="S133" s="148">
        <f t="shared" si="25"/>
        <v>1.3152797995850583</v>
      </c>
      <c r="T133" s="148">
        <f t="shared" si="25"/>
        <v>1.3189241870375423</v>
      </c>
      <c r="U133" s="148">
        <f t="shared" si="25"/>
        <v>0</v>
      </c>
      <c r="V133" s="148">
        <f t="shared" si="25"/>
        <v>0</v>
      </c>
      <c r="W133" s="148">
        <f t="shared" si="25"/>
        <v>0</v>
      </c>
      <c r="X133" s="148">
        <f t="shared" si="25"/>
        <v>0</v>
      </c>
      <c r="Y133" s="148">
        <f t="shared" si="25"/>
        <v>0</v>
      </c>
      <c r="Z133" s="148">
        <f t="shared" si="25"/>
        <v>0</v>
      </c>
      <c r="AA133" s="148">
        <f t="shared" si="25"/>
        <v>0</v>
      </c>
      <c r="AB133" s="148">
        <f t="shared" si="25"/>
        <v>0</v>
      </c>
      <c r="AC133" s="148">
        <f t="shared" si="25"/>
        <v>0</v>
      </c>
      <c r="AD133" s="148">
        <f t="shared" ref="AD133:BM133" si="26">IF(AD$4&gt;$F$6,0,IF(AD$4=$F$6,AD37,SUM(AD118:AD132)))</f>
        <v>0</v>
      </c>
      <c r="AE133" s="148">
        <f t="shared" si="26"/>
        <v>0</v>
      </c>
      <c r="AF133" s="148">
        <f t="shared" si="26"/>
        <v>0</v>
      </c>
      <c r="AG133" s="148">
        <f t="shared" si="26"/>
        <v>0</v>
      </c>
      <c r="AH133" s="148">
        <f t="shared" si="26"/>
        <v>0</v>
      </c>
      <c r="AI133" s="148">
        <f t="shared" si="26"/>
        <v>0</v>
      </c>
      <c r="AJ133" s="148">
        <f t="shared" si="26"/>
        <v>0</v>
      </c>
      <c r="AK133" s="148">
        <f t="shared" si="26"/>
        <v>0</v>
      </c>
      <c r="AL133" s="148">
        <f t="shared" si="26"/>
        <v>0</v>
      </c>
      <c r="AM133" s="148">
        <f t="shared" si="26"/>
        <v>0</v>
      </c>
      <c r="AN133" s="148">
        <f t="shared" si="26"/>
        <v>0</v>
      </c>
      <c r="AO133" s="148">
        <f t="shared" si="26"/>
        <v>0</v>
      </c>
      <c r="AP133" s="148">
        <f t="shared" si="26"/>
        <v>0</v>
      </c>
      <c r="AQ133" s="148">
        <f t="shared" si="26"/>
        <v>0</v>
      </c>
      <c r="AR133" s="148">
        <f t="shared" si="26"/>
        <v>0</v>
      </c>
      <c r="AS133" s="148">
        <f t="shared" si="26"/>
        <v>0</v>
      </c>
      <c r="AT133" s="148">
        <f t="shared" si="26"/>
        <v>0</v>
      </c>
      <c r="AU133" s="148">
        <f t="shared" si="26"/>
        <v>0</v>
      </c>
      <c r="AV133" s="148">
        <f t="shared" si="26"/>
        <v>0</v>
      </c>
      <c r="AW133" s="148">
        <f t="shared" si="26"/>
        <v>0</v>
      </c>
      <c r="AX133" s="148">
        <f t="shared" si="26"/>
        <v>0</v>
      </c>
      <c r="AY133" s="148">
        <f t="shared" si="26"/>
        <v>0</v>
      </c>
      <c r="AZ133" s="148">
        <f t="shared" si="26"/>
        <v>0</v>
      </c>
      <c r="BA133" s="148">
        <f t="shared" si="26"/>
        <v>0</v>
      </c>
      <c r="BB133" s="148">
        <f t="shared" si="26"/>
        <v>0</v>
      </c>
      <c r="BC133" s="148">
        <f t="shared" si="26"/>
        <v>0</v>
      </c>
      <c r="BD133" s="148">
        <f t="shared" si="26"/>
        <v>0</v>
      </c>
      <c r="BE133" s="148">
        <f t="shared" si="26"/>
        <v>0</v>
      </c>
      <c r="BF133" s="148">
        <f t="shared" si="26"/>
        <v>0</v>
      </c>
      <c r="BG133" s="148">
        <f t="shared" si="26"/>
        <v>0</v>
      </c>
      <c r="BH133" s="148">
        <f t="shared" si="26"/>
        <v>0</v>
      </c>
      <c r="BI133" s="148">
        <f t="shared" si="26"/>
        <v>0</v>
      </c>
      <c r="BJ133" s="148">
        <f t="shared" si="26"/>
        <v>0</v>
      </c>
      <c r="BK133" s="148">
        <f t="shared" si="26"/>
        <v>0</v>
      </c>
      <c r="BL133" s="148">
        <f t="shared" si="26"/>
        <v>0</v>
      </c>
      <c r="BM133" s="148">
        <f t="shared" si="26"/>
        <v>0</v>
      </c>
      <c r="BN133" s="148"/>
      <c r="BO133" s="148"/>
      <c r="BP133" s="148"/>
      <c r="BQ133" s="148"/>
      <c r="BR133" s="148"/>
      <c r="BS133" s="148"/>
      <c r="BT133" s="148"/>
      <c r="BU133" s="148"/>
      <c r="BV133" s="148"/>
      <c r="BW133" s="148"/>
      <c r="BX133" s="148"/>
      <c r="BY133" s="148"/>
      <c r="BZ133" s="148"/>
      <c r="CA133" s="148"/>
      <c r="CB133" s="148"/>
      <c r="CC133" s="148"/>
      <c r="CD133" s="148"/>
      <c r="CE133" s="148"/>
      <c r="CF133" s="148"/>
      <c r="CG133" s="148"/>
      <c r="CH133" s="148"/>
      <c r="CI133" s="148"/>
      <c r="CJ133" s="148"/>
      <c r="CK133" s="148"/>
      <c r="CL133" s="148"/>
      <c r="CM133" s="148"/>
      <c r="CN133" s="148"/>
      <c r="CO133" s="148"/>
      <c r="CP133" s="148"/>
      <c r="CQ133" s="148"/>
      <c r="CR133" s="148"/>
      <c r="CS133" s="148"/>
      <c r="CT133" s="148"/>
      <c r="CU133" s="148"/>
      <c r="CV133" s="148"/>
      <c r="CW133" s="148"/>
      <c r="CX133" s="148"/>
      <c r="CY133" s="148"/>
      <c r="CZ133" s="148"/>
      <c r="DA133" s="148"/>
      <c r="DB133" s="148"/>
      <c r="DC133" s="148"/>
      <c r="DD133" s="148"/>
      <c r="DE133" s="148"/>
      <c r="DF133" s="148"/>
      <c r="DG133" s="148"/>
      <c r="DH133" s="148"/>
      <c r="DI133" s="148"/>
      <c r="DJ133" s="148"/>
      <c r="DK133" s="148"/>
      <c r="DL133" s="148"/>
      <c r="DM133" s="148"/>
      <c r="DN133" s="148"/>
      <c r="DO133" s="148"/>
      <c r="DP133" s="148"/>
      <c r="DQ133" s="148"/>
      <c r="DR133" s="148"/>
      <c r="DS133" s="148"/>
      <c r="DT133" s="148"/>
      <c r="DU133" s="148"/>
      <c r="DV133" s="148"/>
      <c r="DW133" s="148"/>
      <c r="DX133" s="148"/>
      <c r="DY133" s="148"/>
      <c r="DZ133" s="148"/>
      <c r="EA133" s="148"/>
      <c r="EB133" s="148"/>
      <c r="EC133" s="148"/>
      <c r="ED133" s="148"/>
      <c r="EE133" s="148"/>
      <c r="EF133" s="148"/>
      <c r="EG133" s="148"/>
      <c r="EH133" s="148"/>
      <c r="EI133" s="148"/>
      <c r="EJ133" s="148"/>
      <c r="EK133" s="148"/>
      <c r="EL133" s="148"/>
      <c r="EM133" s="148"/>
      <c r="EN133" s="148"/>
      <c r="EO133" s="148"/>
      <c r="EP133" s="148"/>
      <c r="EQ133" s="148"/>
      <c r="ER133" s="148"/>
      <c r="ES133" s="148"/>
      <c r="ET133" s="148"/>
      <c r="EU133" s="148"/>
      <c r="EV133" s="148"/>
      <c r="EW133" s="148"/>
      <c r="EX133" s="148"/>
      <c r="EY133" s="148"/>
      <c r="EZ133" s="148"/>
      <c r="FA133" s="148"/>
      <c r="FB133" s="148"/>
      <c r="FC133" s="148"/>
      <c r="FD133" s="148"/>
      <c r="FE133" s="148"/>
      <c r="FF133" s="148"/>
      <c r="FG133" s="148"/>
      <c r="FH133" s="148"/>
      <c r="FI133" s="148"/>
      <c r="FJ133" s="148"/>
      <c r="FK133" s="148"/>
      <c r="FL133" s="148"/>
      <c r="FM133" s="148"/>
      <c r="FN133" s="148"/>
      <c r="FO133" s="148"/>
      <c r="FP133" s="148"/>
      <c r="FQ133" s="148"/>
      <c r="FR133" s="148"/>
      <c r="FS133" s="148"/>
      <c r="FT133" s="148"/>
      <c r="FU133" s="148"/>
      <c r="FV133" s="148"/>
      <c r="FW133" s="148"/>
      <c r="FX133" s="148"/>
      <c r="FY133" s="148"/>
      <c r="FZ133" s="148"/>
      <c r="GA133" s="148"/>
      <c r="GB133" s="148"/>
      <c r="GC133" s="148"/>
      <c r="GD133" s="148"/>
      <c r="GE133" s="148"/>
      <c r="GF133" s="148"/>
      <c r="GG133" s="148"/>
      <c r="GH133" s="148"/>
      <c r="GI133" s="148"/>
      <c r="GJ133" s="148"/>
      <c r="GK133" s="148"/>
      <c r="GL133" s="148"/>
      <c r="GM133" s="148"/>
      <c r="GN133" s="148"/>
      <c r="GO133" s="148"/>
      <c r="GP133" s="148"/>
      <c r="GQ133" s="148"/>
      <c r="GR133" s="148"/>
      <c r="GS133" s="148"/>
      <c r="GT133" s="148"/>
      <c r="GU133" s="148"/>
      <c r="GV133" s="148"/>
      <c r="GW133" s="148"/>
      <c r="GX133" s="148"/>
      <c r="GY133" s="148"/>
      <c r="GZ133" s="148"/>
      <c r="HA133" s="148"/>
      <c r="HB133" s="148"/>
      <c r="HC133" s="148"/>
      <c r="HD133" s="148"/>
      <c r="HE133" s="148"/>
      <c r="HF133" s="148"/>
      <c r="HG133" s="148"/>
      <c r="HH133" s="148"/>
      <c r="HI133" s="148"/>
      <c r="HJ133" s="148"/>
      <c r="HK133" s="148"/>
      <c r="HL133" s="148"/>
      <c r="HM133" s="148"/>
      <c r="HN133" s="148"/>
      <c r="HO133" s="148"/>
      <c r="HP133" s="148"/>
      <c r="HQ133" s="148"/>
      <c r="HR133" s="148"/>
      <c r="HS133" s="148"/>
      <c r="HT133" s="148"/>
      <c r="HU133" s="148"/>
      <c r="HV133" s="148"/>
      <c r="HW133" s="148"/>
      <c r="HX133" s="148"/>
      <c r="HY133" s="148"/>
      <c r="HZ133" s="148"/>
      <c r="IA133" s="148"/>
      <c r="IB133" s="148"/>
      <c r="IC133" s="148"/>
      <c r="ID133" s="148"/>
      <c r="IE133" s="148"/>
      <c r="IF133" s="148"/>
      <c r="IG133" s="148"/>
      <c r="IH133" s="148"/>
      <c r="II133" s="148"/>
      <c r="IJ133" s="148"/>
      <c r="IK133" s="148"/>
      <c r="IL133" s="148"/>
      <c r="IM133" s="148"/>
      <c r="IN133" s="148"/>
      <c r="IO133" s="148"/>
      <c r="IP133" s="148"/>
      <c r="IQ133" s="148"/>
      <c r="IR133" s="148"/>
      <c r="IS133" s="148"/>
      <c r="IT133" s="148"/>
      <c r="IU133" s="148"/>
      <c r="IV133" s="148"/>
      <c r="IW133" s="148"/>
      <c r="IX133" s="148"/>
      <c r="IY133" s="148"/>
      <c r="IZ133" s="148"/>
      <c r="JA133" s="148"/>
      <c r="JB133" s="148"/>
      <c r="JC133" s="148"/>
      <c r="JD133" s="148"/>
      <c r="JE133" s="148"/>
      <c r="JF133" s="148"/>
      <c r="JG133" s="148"/>
      <c r="JH133" s="148"/>
      <c r="JI133" s="148"/>
      <c r="JJ133" s="148"/>
      <c r="JK133" s="148"/>
      <c r="JL133" s="148"/>
      <c r="JM133" s="148"/>
      <c r="JN133" s="148"/>
      <c r="JO133" s="148"/>
      <c r="JP133" s="148"/>
      <c r="JQ133" s="148"/>
      <c r="JR133" s="148"/>
      <c r="JS133" s="148"/>
      <c r="JT133" s="148"/>
      <c r="JU133" s="148"/>
      <c r="JV133" s="148"/>
      <c r="JW133" s="148"/>
      <c r="JX133" s="148"/>
      <c r="JY133" s="148"/>
      <c r="JZ133" s="148"/>
      <c r="KA133" s="148"/>
      <c r="KB133" s="148"/>
      <c r="KC133" s="148"/>
      <c r="KD133" s="148"/>
      <c r="KE133" s="148"/>
      <c r="KF133" s="148"/>
      <c r="KG133" s="148"/>
      <c r="KH133" s="148"/>
      <c r="KI133" s="148"/>
      <c r="KJ133" s="148"/>
      <c r="KK133" s="148"/>
      <c r="KL133" s="148"/>
      <c r="KM133" s="148"/>
      <c r="KN133" s="148"/>
      <c r="KO133" s="148"/>
      <c r="KP133" s="148"/>
      <c r="KQ133" s="148"/>
      <c r="KR133" s="148"/>
      <c r="KS133" s="148"/>
      <c r="KT133" s="148"/>
    </row>
    <row r="134" spans="2:307" s="157" customFormat="1" x14ac:dyDescent="0.15">
      <c r="C134" s="157" t="s">
        <v>348</v>
      </c>
      <c r="D134" s="225"/>
      <c r="F134" s="250">
        <f t="shared" ref="F134:BM134" si="27">-IF(F4&gt;$F$6,0,F133-E133)</f>
        <v>-0.25971363184298468</v>
      </c>
      <c r="G134" s="250">
        <f t="shared" si="27"/>
        <v>-0.11433154922693545</v>
      </c>
      <c r="H134" s="250">
        <f t="shared" si="27"/>
        <v>-0.10776363171328307</v>
      </c>
      <c r="I134" s="250">
        <f t="shared" si="27"/>
        <v>-0.10136969780303806</v>
      </c>
      <c r="J134" s="250">
        <f t="shared" si="27"/>
        <v>-9.5118598224448347E-2</v>
      </c>
      <c r="K134" s="250">
        <f t="shared" si="27"/>
        <v>-8.8995197838491413E-2</v>
      </c>
      <c r="L134" s="250">
        <f t="shared" si="27"/>
        <v>-8.2984528765833621E-2</v>
      </c>
      <c r="M134" s="250">
        <f t="shared" si="27"/>
        <v>-7.9914277404718459E-2</v>
      </c>
      <c r="N134" s="250">
        <f t="shared" si="27"/>
        <v>-0.37208556754835342</v>
      </c>
      <c r="O134" s="250">
        <f t="shared" si="27"/>
        <v>-2.3332969229985512E-3</v>
      </c>
      <c r="P134" s="250">
        <f t="shared" si="27"/>
        <v>-2.1992577900671328E-3</v>
      </c>
      <c r="Q134" s="250">
        <f t="shared" si="27"/>
        <v>-2.0687693429193299E-3</v>
      </c>
      <c r="R134" s="250">
        <f t="shared" si="27"/>
        <v>-1.8817715183927497E-3</v>
      </c>
      <c r="S134" s="250">
        <f t="shared" si="27"/>
        <v>-4.5200236425939622E-3</v>
      </c>
      <c r="T134" s="250">
        <f t="shared" si="27"/>
        <v>-3.6443874524840769E-3</v>
      </c>
      <c r="U134" s="250">
        <f t="shared" si="27"/>
        <v>0</v>
      </c>
      <c r="V134" s="250">
        <f t="shared" si="27"/>
        <v>0</v>
      </c>
      <c r="W134" s="250">
        <f t="shared" si="27"/>
        <v>0</v>
      </c>
      <c r="X134" s="250">
        <f t="shared" si="27"/>
        <v>0</v>
      </c>
      <c r="Y134" s="250">
        <f t="shared" si="27"/>
        <v>0</v>
      </c>
      <c r="Z134" s="250">
        <f t="shared" si="27"/>
        <v>0</v>
      </c>
      <c r="AA134" s="250">
        <f t="shared" si="27"/>
        <v>0</v>
      </c>
      <c r="AB134" s="250">
        <f t="shared" si="27"/>
        <v>0</v>
      </c>
      <c r="AC134" s="250">
        <f t="shared" si="27"/>
        <v>0</v>
      </c>
      <c r="AD134" s="250">
        <f t="shared" si="27"/>
        <v>0</v>
      </c>
      <c r="AE134" s="250">
        <f t="shared" si="27"/>
        <v>0</v>
      </c>
      <c r="AF134" s="250">
        <f t="shared" si="27"/>
        <v>0</v>
      </c>
      <c r="AG134" s="250">
        <f t="shared" si="27"/>
        <v>0</v>
      </c>
      <c r="AH134" s="250">
        <f t="shared" si="27"/>
        <v>0</v>
      </c>
      <c r="AI134" s="250">
        <f t="shared" si="27"/>
        <v>0</v>
      </c>
      <c r="AJ134" s="250">
        <f t="shared" si="27"/>
        <v>0</v>
      </c>
      <c r="AK134" s="250">
        <f t="shared" si="27"/>
        <v>0</v>
      </c>
      <c r="AL134" s="250">
        <f t="shared" si="27"/>
        <v>0</v>
      </c>
      <c r="AM134" s="250">
        <f t="shared" si="27"/>
        <v>0</v>
      </c>
      <c r="AN134" s="250">
        <f t="shared" si="27"/>
        <v>0</v>
      </c>
      <c r="AO134" s="250">
        <f t="shared" si="27"/>
        <v>0</v>
      </c>
      <c r="AP134" s="250">
        <f t="shared" si="27"/>
        <v>0</v>
      </c>
      <c r="AQ134" s="250">
        <f t="shared" si="27"/>
        <v>0</v>
      </c>
      <c r="AR134" s="250">
        <f t="shared" si="27"/>
        <v>0</v>
      </c>
      <c r="AS134" s="250">
        <f t="shared" si="27"/>
        <v>0</v>
      </c>
      <c r="AT134" s="250">
        <f t="shared" si="27"/>
        <v>0</v>
      </c>
      <c r="AU134" s="250">
        <f t="shared" si="27"/>
        <v>0</v>
      </c>
      <c r="AV134" s="250">
        <f t="shared" si="27"/>
        <v>0</v>
      </c>
      <c r="AW134" s="250">
        <f t="shared" si="27"/>
        <v>0</v>
      </c>
      <c r="AX134" s="250">
        <f t="shared" si="27"/>
        <v>0</v>
      </c>
      <c r="AY134" s="250">
        <f t="shared" si="27"/>
        <v>0</v>
      </c>
      <c r="AZ134" s="250">
        <f t="shared" si="27"/>
        <v>0</v>
      </c>
      <c r="BA134" s="250">
        <f t="shared" si="27"/>
        <v>0</v>
      </c>
      <c r="BB134" s="250">
        <f t="shared" si="27"/>
        <v>0</v>
      </c>
      <c r="BC134" s="250">
        <f t="shared" si="27"/>
        <v>0</v>
      </c>
      <c r="BD134" s="250">
        <f t="shared" si="27"/>
        <v>0</v>
      </c>
      <c r="BE134" s="250">
        <f t="shared" si="27"/>
        <v>0</v>
      </c>
      <c r="BF134" s="250">
        <f t="shared" si="27"/>
        <v>0</v>
      </c>
      <c r="BG134" s="250">
        <f t="shared" si="27"/>
        <v>0</v>
      </c>
      <c r="BH134" s="250">
        <f t="shared" si="27"/>
        <v>0</v>
      </c>
      <c r="BI134" s="250">
        <f t="shared" si="27"/>
        <v>0</v>
      </c>
      <c r="BJ134" s="250">
        <f t="shared" si="27"/>
        <v>0</v>
      </c>
      <c r="BK134" s="250">
        <f t="shared" si="27"/>
        <v>0</v>
      </c>
      <c r="BL134" s="250">
        <f t="shared" si="27"/>
        <v>0</v>
      </c>
      <c r="BM134" s="250">
        <f t="shared" si="27"/>
        <v>0</v>
      </c>
    </row>
    <row r="136" spans="2:307" x14ac:dyDescent="0.15">
      <c r="B136" s="157" t="s">
        <v>350</v>
      </c>
      <c r="Z136" s="92" t="s">
        <v>351</v>
      </c>
    </row>
    <row r="137" spans="2:307" s="157" customFormat="1" x14ac:dyDescent="0.15">
      <c r="C137" s="157" t="s">
        <v>348</v>
      </c>
      <c r="D137" s="225"/>
      <c r="KU137" s="92"/>
    </row>
    <row r="138" spans="2:307" s="157" customFormat="1" x14ac:dyDescent="0.15">
      <c r="C138" s="92" t="s">
        <v>302</v>
      </c>
      <c r="D138" s="225"/>
      <c r="F138" s="150">
        <f t="shared" ref="F138:BM142" si="28">IF(F$4&gt;$F$6,0,F19*$K100)</f>
        <v>5.2181391292147057E-2</v>
      </c>
      <c r="G138" s="150">
        <f t="shared" si="28"/>
        <v>4.9262329498720787E-2</v>
      </c>
      <c r="H138" s="150">
        <f t="shared" si="28"/>
        <v>4.6432393939676138E-2</v>
      </c>
      <c r="I138" s="150">
        <f t="shared" si="28"/>
        <v>4.3677423144569225E-2</v>
      </c>
      <c r="J138" s="150">
        <f t="shared" si="28"/>
        <v>4.0983995746340214E-2</v>
      </c>
      <c r="K138" s="150">
        <f t="shared" si="28"/>
        <v>3.8345590428601924E-2</v>
      </c>
      <c r="L138" s="150">
        <f t="shared" si="28"/>
        <v>3.5755757942580811E-2</v>
      </c>
      <c r="M138" s="150">
        <f t="shared" si="28"/>
        <v>3.3214052633881677E-2</v>
      </c>
      <c r="N138" s="150">
        <f t="shared" si="28"/>
        <v>0</v>
      </c>
      <c r="O138" s="150">
        <f t="shared" si="28"/>
        <v>0</v>
      </c>
      <c r="P138" s="150">
        <f t="shared" si="28"/>
        <v>0</v>
      </c>
      <c r="Q138" s="150">
        <f t="shared" si="28"/>
        <v>0</v>
      </c>
      <c r="R138" s="150">
        <f t="shared" si="28"/>
        <v>0</v>
      </c>
      <c r="S138" s="150">
        <f t="shared" si="28"/>
        <v>0</v>
      </c>
      <c r="T138" s="150">
        <f t="shared" si="28"/>
        <v>0</v>
      </c>
      <c r="U138" s="150">
        <f t="shared" si="28"/>
        <v>0</v>
      </c>
      <c r="V138" s="150">
        <f t="shared" si="28"/>
        <v>0</v>
      </c>
      <c r="W138" s="150">
        <f t="shared" si="28"/>
        <v>0</v>
      </c>
      <c r="X138" s="150">
        <f t="shared" si="28"/>
        <v>0</v>
      </c>
      <c r="Y138" s="150">
        <f t="shared" si="28"/>
        <v>0</v>
      </c>
      <c r="Z138" s="150">
        <f t="shared" si="28"/>
        <v>0</v>
      </c>
      <c r="AA138" s="150">
        <f t="shared" si="28"/>
        <v>0</v>
      </c>
      <c r="AB138" s="150">
        <f t="shared" si="28"/>
        <v>0</v>
      </c>
      <c r="AC138" s="150">
        <f t="shared" si="28"/>
        <v>0</v>
      </c>
      <c r="AD138" s="150">
        <f t="shared" si="28"/>
        <v>0</v>
      </c>
      <c r="AE138" s="150">
        <f t="shared" si="28"/>
        <v>0</v>
      </c>
      <c r="AF138" s="150">
        <f t="shared" si="28"/>
        <v>0</v>
      </c>
      <c r="AG138" s="150">
        <f t="shared" si="28"/>
        <v>0</v>
      </c>
      <c r="AH138" s="150">
        <f t="shared" si="28"/>
        <v>0</v>
      </c>
      <c r="AI138" s="150">
        <f t="shared" si="28"/>
        <v>0</v>
      </c>
      <c r="AJ138" s="150">
        <f t="shared" si="28"/>
        <v>0</v>
      </c>
      <c r="AK138" s="150">
        <f t="shared" si="28"/>
        <v>0</v>
      </c>
      <c r="AL138" s="150">
        <f t="shared" si="28"/>
        <v>0</v>
      </c>
      <c r="AM138" s="150">
        <f t="shared" si="28"/>
        <v>0</v>
      </c>
      <c r="AN138" s="150">
        <f t="shared" si="28"/>
        <v>0</v>
      </c>
      <c r="AO138" s="150">
        <f t="shared" si="28"/>
        <v>0</v>
      </c>
      <c r="AP138" s="150">
        <f t="shared" si="28"/>
        <v>0</v>
      </c>
      <c r="AQ138" s="150">
        <f t="shared" si="28"/>
        <v>0</v>
      </c>
      <c r="AR138" s="150">
        <f t="shared" si="28"/>
        <v>0</v>
      </c>
      <c r="AS138" s="150">
        <f t="shared" si="28"/>
        <v>0</v>
      </c>
      <c r="AT138" s="150">
        <f t="shared" si="28"/>
        <v>0</v>
      </c>
      <c r="AU138" s="150">
        <f t="shared" si="28"/>
        <v>0</v>
      </c>
      <c r="AV138" s="150">
        <f t="shared" si="28"/>
        <v>0</v>
      </c>
      <c r="AW138" s="150">
        <f t="shared" si="28"/>
        <v>0</v>
      </c>
      <c r="AX138" s="150">
        <f t="shared" si="28"/>
        <v>0</v>
      </c>
      <c r="AY138" s="150">
        <f t="shared" si="28"/>
        <v>0</v>
      </c>
      <c r="AZ138" s="150">
        <f t="shared" si="28"/>
        <v>0</v>
      </c>
      <c r="BA138" s="150">
        <f t="shared" si="28"/>
        <v>0</v>
      </c>
      <c r="BB138" s="150">
        <f t="shared" si="28"/>
        <v>0</v>
      </c>
      <c r="BC138" s="150">
        <f t="shared" si="28"/>
        <v>0</v>
      </c>
      <c r="BD138" s="150">
        <f t="shared" si="28"/>
        <v>0</v>
      </c>
      <c r="BE138" s="150">
        <f t="shared" si="28"/>
        <v>0</v>
      </c>
      <c r="BF138" s="150">
        <f t="shared" si="28"/>
        <v>0</v>
      </c>
      <c r="BG138" s="150">
        <f t="shared" si="28"/>
        <v>0</v>
      </c>
      <c r="BH138" s="150">
        <f t="shared" si="28"/>
        <v>0</v>
      </c>
      <c r="BI138" s="150">
        <f t="shared" si="28"/>
        <v>0</v>
      </c>
      <c r="BJ138" s="150">
        <f t="shared" si="28"/>
        <v>0</v>
      </c>
      <c r="BK138" s="150">
        <f t="shared" si="28"/>
        <v>0</v>
      </c>
      <c r="BL138" s="150">
        <f t="shared" si="28"/>
        <v>0</v>
      </c>
      <c r="BM138" s="150">
        <f t="shared" si="28"/>
        <v>0</v>
      </c>
      <c r="BN138" s="150"/>
      <c r="BO138" s="150"/>
      <c r="BP138" s="150"/>
      <c r="BQ138" s="150"/>
      <c r="BR138" s="150"/>
      <c r="BS138" s="150"/>
      <c r="BT138" s="150"/>
      <c r="BU138" s="150"/>
      <c r="BV138" s="150"/>
      <c r="BW138" s="150"/>
      <c r="BX138" s="150"/>
      <c r="BY138" s="150"/>
      <c r="BZ138" s="150"/>
      <c r="CA138" s="150"/>
      <c r="CB138" s="150"/>
      <c r="CC138" s="150"/>
      <c r="CD138" s="150"/>
      <c r="CE138" s="150"/>
      <c r="CF138" s="150"/>
      <c r="CG138" s="150"/>
      <c r="CH138" s="150"/>
      <c r="CI138" s="150"/>
      <c r="CJ138" s="150"/>
      <c r="CK138" s="150"/>
      <c r="CL138" s="150"/>
      <c r="CM138" s="150"/>
      <c r="CN138" s="150"/>
      <c r="CO138" s="150"/>
      <c r="CP138" s="150"/>
      <c r="CQ138" s="150"/>
      <c r="CR138" s="150"/>
      <c r="CS138" s="150"/>
      <c r="CT138" s="150"/>
      <c r="CU138" s="150"/>
      <c r="CV138" s="150"/>
      <c r="CW138" s="150"/>
      <c r="CX138" s="150"/>
      <c r="CY138" s="150"/>
      <c r="CZ138" s="150"/>
      <c r="DA138" s="150"/>
      <c r="DB138" s="150"/>
      <c r="DC138" s="150"/>
      <c r="DD138" s="150"/>
      <c r="DE138" s="150"/>
      <c r="DF138" s="150"/>
      <c r="DG138" s="150"/>
      <c r="DH138" s="150"/>
      <c r="DI138" s="150"/>
      <c r="DJ138" s="150"/>
      <c r="DK138" s="150"/>
      <c r="DL138" s="150"/>
      <c r="DM138" s="150"/>
      <c r="DN138" s="150"/>
      <c r="DO138" s="150"/>
      <c r="DP138" s="150"/>
      <c r="DQ138" s="150"/>
      <c r="DR138" s="150"/>
      <c r="DS138" s="150"/>
      <c r="DT138" s="150"/>
      <c r="DU138" s="150"/>
      <c r="DV138" s="150"/>
      <c r="DW138" s="150"/>
      <c r="DX138" s="150"/>
      <c r="DY138" s="150"/>
      <c r="DZ138" s="150"/>
      <c r="EA138" s="150"/>
      <c r="EB138" s="150"/>
      <c r="EC138" s="150"/>
      <c r="ED138" s="150"/>
      <c r="EE138" s="150"/>
      <c r="EF138" s="150"/>
      <c r="EG138" s="150"/>
      <c r="EH138" s="150"/>
      <c r="EI138" s="150"/>
      <c r="EJ138" s="150"/>
      <c r="EK138" s="150"/>
      <c r="EL138" s="150"/>
      <c r="EM138" s="150"/>
      <c r="EN138" s="150"/>
      <c r="EO138" s="150"/>
      <c r="EP138" s="150"/>
      <c r="EQ138" s="150"/>
      <c r="ER138" s="150"/>
      <c r="ES138" s="150"/>
      <c r="ET138" s="150"/>
      <c r="EU138" s="150"/>
      <c r="EV138" s="150"/>
      <c r="EW138" s="150"/>
      <c r="EX138" s="150"/>
      <c r="EY138" s="150"/>
      <c r="EZ138" s="150"/>
      <c r="FA138" s="150"/>
      <c r="FB138" s="150"/>
      <c r="FC138" s="150"/>
      <c r="FD138" s="150"/>
      <c r="FE138" s="150"/>
      <c r="FF138" s="150"/>
      <c r="FG138" s="150"/>
      <c r="FH138" s="150"/>
      <c r="FI138" s="150"/>
      <c r="FJ138" s="150"/>
      <c r="FK138" s="150"/>
      <c r="FL138" s="150"/>
      <c r="FM138" s="150"/>
      <c r="FN138" s="150"/>
      <c r="FO138" s="150"/>
      <c r="FP138" s="150"/>
      <c r="FQ138" s="150"/>
      <c r="FR138" s="150"/>
      <c r="FS138" s="150"/>
      <c r="FT138" s="150"/>
      <c r="FU138" s="150"/>
      <c r="FV138" s="150"/>
      <c r="FW138" s="150"/>
      <c r="FX138" s="150"/>
      <c r="FY138" s="150"/>
      <c r="FZ138" s="150"/>
      <c r="GA138" s="150"/>
      <c r="GB138" s="150"/>
      <c r="GC138" s="150"/>
      <c r="GD138" s="150"/>
      <c r="GE138" s="150"/>
      <c r="GF138" s="150"/>
      <c r="GG138" s="150"/>
      <c r="GH138" s="150"/>
      <c r="GI138" s="150"/>
      <c r="GJ138" s="150"/>
      <c r="GK138" s="150"/>
      <c r="GL138" s="150"/>
      <c r="GM138" s="150"/>
      <c r="GN138" s="150"/>
      <c r="GO138" s="150"/>
      <c r="GP138" s="150"/>
      <c r="GQ138" s="150"/>
      <c r="GR138" s="150"/>
      <c r="GS138" s="150"/>
      <c r="GT138" s="150"/>
      <c r="GU138" s="150"/>
      <c r="GV138" s="150"/>
      <c r="GW138" s="150"/>
      <c r="GX138" s="150"/>
      <c r="GY138" s="150"/>
      <c r="GZ138" s="150"/>
      <c r="HA138" s="150"/>
      <c r="HB138" s="150"/>
      <c r="HC138" s="150"/>
      <c r="HD138" s="150"/>
      <c r="HE138" s="150"/>
      <c r="HF138" s="150"/>
      <c r="HG138" s="150"/>
      <c r="HH138" s="150"/>
      <c r="HI138" s="150"/>
      <c r="HJ138" s="150"/>
      <c r="HK138" s="150"/>
      <c r="HL138" s="150"/>
      <c r="HM138" s="150"/>
      <c r="HN138" s="150"/>
      <c r="HO138" s="150"/>
      <c r="HP138" s="150"/>
      <c r="HQ138" s="150"/>
      <c r="HR138" s="150"/>
      <c r="HS138" s="150"/>
      <c r="HT138" s="150"/>
      <c r="HU138" s="150"/>
      <c r="HV138" s="150"/>
      <c r="HW138" s="150"/>
      <c r="HX138" s="150"/>
      <c r="HY138" s="150"/>
      <c r="HZ138" s="150"/>
      <c r="IA138" s="150"/>
      <c r="IB138" s="150"/>
      <c r="IC138" s="150"/>
      <c r="ID138" s="150"/>
      <c r="IE138" s="150"/>
      <c r="IF138" s="150"/>
      <c r="IG138" s="150"/>
      <c r="IH138" s="150"/>
      <c r="II138" s="150"/>
      <c r="IJ138" s="150"/>
      <c r="IK138" s="150"/>
      <c r="IL138" s="150"/>
      <c r="IM138" s="150"/>
      <c r="IN138" s="150"/>
      <c r="IO138" s="150"/>
      <c r="IP138" s="150"/>
      <c r="IQ138" s="150"/>
      <c r="IR138" s="150"/>
      <c r="IS138" s="150"/>
      <c r="IT138" s="150"/>
      <c r="IU138" s="150"/>
      <c r="IV138" s="150"/>
      <c r="IW138" s="150"/>
      <c r="IX138" s="150"/>
      <c r="IY138" s="150"/>
      <c r="IZ138" s="150"/>
      <c r="JA138" s="150"/>
      <c r="JB138" s="150"/>
      <c r="JC138" s="150"/>
      <c r="JD138" s="150"/>
      <c r="JE138" s="150"/>
      <c r="JF138" s="150"/>
      <c r="JG138" s="150"/>
      <c r="JH138" s="150"/>
      <c r="JI138" s="150"/>
      <c r="JJ138" s="150"/>
      <c r="JK138" s="150"/>
      <c r="JL138" s="150"/>
      <c r="JM138" s="150"/>
      <c r="JN138" s="150"/>
      <c r="JO138" s="150"/>
      <c r="JP138" s="150"/>
      <c r="JQ138" s="150"/>
      <c r="JR138" s="150"/>
      <c r="JS138" s="150"/>
      <c r="JT138" s="150"/>
      <c r="JU138" s="150"/>
      <c r="JV138" s="150"/>
      <c r="JW138" s="150"/>
      <c r="JX138" s="150"/>
      <c r="JY138" s="150"/>
      <c r="JZ138" s="150"/>
      <c r="KA138" s="150"/>
      <c r="KB138" s="150"/>
      <c r="KC138" s="150"/>
      <c r="KD138" s="150"/>
      <c r="KE138" s="150"/>
      <c r="KF138" s="150"/>
      <c r="KG138" s="150"/>
      <c r="KH138" s="150"/>
      <c r="KI138" s="150"/>
      <c r="KJ138" s="150"/>
      <c r="KK138" s="150"/>
      <c r="KL138" s="150"/>
      <c r="KM138" s="150"/>
      <c r="KN138" s="150"/>
      <c r="KO138" s="150"/>
      <c r="KP138" s="150"/>
      <c r="KQ138" s="150"/>
      <c r="KR138" s="150"/>
      <c r="KS138" s="150"/>
      <c r="KT138" s="150"/>
      <c r="KU138" s="92"/>
    </row>
    <row r="139" spans="2:307" s="157" customFormat="1" x14ac:dyDescent="0.15">
      <c r="C139" s="92" t="s">
        <v>304</v>
      </c>
      <c r="D139" s="225"/>
      <c r="F139" s="150">
        <f t="shared" si="28"/>
        <v>9.6152566690366776E-3</v>
      </c>
      <c r="G139" s="150">
        <f t="shared" si="28"/>
        <v>8.4012039980356779E-3</v>
      </c>
      <c r="H139" s="150">
        <f t="shared" si="28"/>
        <v>7.931235049294048E-3</v>
      </c>
      <c r="I139" s="150">
        <f t="shared" si="28"/>
        <v>7.4756154242878606E-3</v>
      </c>
      <c r="J139" s="150">
        <f t="shared" si="28"/>
        <v>7.0320651262756467E-3</v>
      </c>
      <c r="K139" s="150">
        <f t="shared" si="28"/>
        <v>6.5984233151607759E-3</v>
      </c>
      <c r="L139" s="150">
        <f t="shared" si="28"/>
        <v>6.1736400590049097E-3</v>
      </c>
      <c r="M139" s="150">
        <f t="shared" si="28"/>
        <v>5.756677028755511E-3</v>
      </c>
      <c r="N139" s="150">
        <f t="shared" si="28"/>
        <v>5.092821403861858E-2</v>
      </c>
      <c r="O139" s="150">
        <f t="shared" si="28"/>
        <v>0</v>
      </c>
      <c r="P139" s="150">
        <f t="shared" si="28"/>
        <v>0</v>
      </c>
      <c r="Q139" s="150">
        <f t="shared" si="28"/>
        <v>0</v>
      </c>
      <c r="R139" s="150">
        <f t="shared" si="28"/>
        <v>0</v>
      </c>
      <c r="S139" s="150">
        <f t="shared" si="28"/>
        <v>0</v>
      </c>
      <c r="T139" s="150">
        <f t="shared" si="28"/>
        <v>0</v>
      </c>
      <c r="U139" s="150">
        <f t="shared" si="28"/>
        <v>0</v>
      </c>
      <c r="V139" s="150">
        <f t="shared" si="28"/>
        <v>0</v>
      </c>
      <c r="W139" s="150">
        <f t="shared" si="28"/>
        <v>0</v>
      </c>
      <c r="X139" s="150">
        <f t="shared" si="28"/>
        <v>0</v>
      </c>
      <c r="Y139" s="150">
        <f t="shared" si="28"/>
        <v>0</v>
      </c>
      <c r="Z139" s="150">
        <f t="shared" si="28"/>
        <v>0</v>
      </c>
      <c r="AA139" s="150">
        <f t="shared" si="28"/>
        <v>0</v>
      </c>
      <c r="AB139" s="150">
        <f t="shared" si="28"/>
        <v>0</v>
      </c>
      <c r="AC139" s="150">
        <f t="shared" si="28"/>
        <v>0</v>
      </c>
      <c r="AD139" s="150">
        <f t="shared" si="28"/>
        <v>0</v>
      </c>
      <c r="AE139" s="150">
        <f t="shared" si="28"/>
        <v>0</v>
      </c>
      <c r="AF139" s="150">
        <f t="shared" si="28"/>
        <v>0</v>
      </c>
      <c r="AG139" s="150">
        <f t="shared" si="28"/>
        <v>0</v>
      </c>
      <c r="AH139" s="150">
        <f t="shared" si="28"/>
        <v>0</v>
      </c>
      <c r="AI139" s="150">
        <f t="shared" si="28"/>
        <v>0</v>
      </c>
      <c r="AJ139" s="150">
        <f t="shared" si="28"/>
        <v>0</v>
      </c>
      <c r="AK139" s="150">
        <f t="shared" si="28"/>
        <v>0</v>
      </c>
      <c r="AL139" s="150">
        <f t="shared" si="28"/>
        <v>0</v>
      </c>
      <c r="AM139" s="150">
        <f t="shared" si="28"/>
        <v>0</v>
      </c>
      <c r="AN139" s="150">
        <f t="shared" si="28"/>
        <v>0</v>
      </c>
      <c r="AO139" s="150">
        <f t="shared" si="28"/>
        <v>0</v>
      </c>
      <c r="AP139" s="150">
        <f t="shared" si="28"/>
        <v>0</v>
      </c>
      <c r="AQ139" s="150">
        <f t="shared" si="28"/>
        <v>0</v>
      </c>
      <c r="AR139" s="150">
        <f t="shared" si="28"/>
        <v>0</v>
      </c>
      <c r="AS139" s="150">
        <f t="shared" si="28"/>
        <v>0</v>
      </c>
      <c r="AT139" s="150">
        <f t="shared" si="28"/>
        <v>0</v>
      </c>
      <c r="AU139" s="150">
        <f t="shared" si="28"/>
        <v>0</v>
      </c>
      <c r="AV139" s="150">
        <f t="shared" si="28"/>
        <v>0</v>
      </c>
      <c r="AW139" s="150">
        <f t="shared" si="28"/>
        <v>0</v>
      </c>
      <c r="AX139" s="150">
        <f t="shared" si="28"/>
        <v>0</v>
      </c>
      <c r="AY139" s="150">
        <f t="shared" si="28"/>
        <v>0</v>
      </c>
      <c r="AZ139" s="150">
        <f t="shared" si="28"/>
        <v>0</v>
      </c>
      <c r="BA139" s="150">
        <f t="shared" si="28"/>
        <v>0</v>
      </c>
      <c r="BB139" s="150">
        <f t="shared" si="28"/>
        <v>0</v>
      </c>
      <c r="BC139" s="150">
        <f t="shared" si="28"/>
        <v>0</v>
      </c>
      <c r="BD139" s="150">
        <f t="shared" si="28"/>
        <v>0</v>
      </c>
      <c r="BE139" s="150">
        <f t="shared" si="28"/>
        <v>0</v>
      </c>
      <c r="BF139" s="150">
        <f t="shared" si="28"/>
        <v>0</v>
      </c>
      <c r="BG139" s="150">
        <f t="shared" si="28"/>
        <v>0</v>
      </c>
      <c r="BH139" s="150">
        <f t="shared" si="28"/>
        <v>0</v>
      </c>
      <c r="BI139" s="150">
        <f t="shared" si="28"/>
        <v>0</v>
      </c>
      <c r="BJ139" s="150">
        <f t="shared" si="28"/>
        <v>0</v>
      </c>
      <c r="BK139" s="150">
        <f t="shared" si="28"/>
        <v>0</v>
      </c>
      <c r="BL139" s="150">
        <f t="shared" si="28"/>
        <v>0</v>
      </c>
      <c r="BM139" s="150">
        <f t="shared" si="28"/>
        <v>0</v>
      </c>
      <c r="BN139" s="150"/>
      <c r="BO139" s="150"/>
      <c r="BP139" s="150"/>
      <c r="BQ139" s="150"/>
      <c r="BR139" s="150"/>
      <c r="BS139" s="150"/>
      <c r="BT139" s="150"/>
      <c r="BU139" s="150"/>
      <c r="BV139" s="150"/>
      <c r="BW139" s="150"/>
      <c r="BX139" s="150"/>
      <c r="BY139" s="150"/>
      <c r="BZ139" s="150"/>
      <c r="CA139" s="150"/>
      <c r="CB139" s="150"/>
      <c r="CC139" s="150"/>
      <c r="CD139" s="150"/>
      <c r="CE139" s="150"/>
      <c r="CF139" s="150"/>
      <c r="CG139" s="150"/>
      <c r="CH139" s="150"/>
      <c r="CI139" s="150"/>
      <c r="CJ139" s="150"/>
      <c r="CK139" s="150"/>
      <c r="CL139" s="150"/>
      <c r="CM139" s="150"/>
      <c r="CN139" s="150"/>
      <c r="CO139" s="150"/>
      <c r="CP139" s="150"/>
      <c r="CQ139" s="150"/>
      <c r="CR139" s="150"/>
      <c r="CS139" s="150"/>
      <c r="CT139" s="150"/>
      <c r="CU139" s="150"/>
      <c r="CV139" s="150"/>
      <c r="CW139" s="150"/>
      <c r="CX139" s="150"/>
      <c r="CY139" s="150"/>
      <c r="CZ139" s="150"/>
      <c r="DA139" s="150"/>
      <c r="DB139" s="150"/>
      <c r="DC139" s="150"/>
      <c r="DD139" s="150"/>
      <c r="DE139" s="150"/>
      <c r="DF139" s="150"/>
      <c r="DG139" s="150"/>
      <c r="DH139" s="150"/>
      <c r="DI139" s="150"/>
      <c r="DJ139" s="150"/>
      <c r="DK139" s="150"/>
      <c r="DL139" s="150"/>
      <c r="DM139" s="150"/>
      <c r="DN139" s="150"/>
      <c r="DO139" s="150"/>
      <c r="DP139" s="150"/>
      <c r="DQ139" s="150"/>
      <c r="DR139" s="150"/>
      <c r="DS139" s="150"/>
      <c r="DT139" s="150"/>
      <c r="DU139" s="150"/>
      <c r="DV139" s="150"/>
      <c r="DW139" s="150"/>
      <c r="DX139" s="150"/>
      <c r="DY139" s="150"/>
      <c r="DZ139" s="150"/>
      <c r="EA139" s="150"/>
      <c r="EB139" s="150"/>
      <c r="EC139" s="150"/>
      <c r="ED139" s="150"/>
      <c r="EE139" s="150"/>
      <c r="EF139" s="150"/>
      <c r="EG139" s="150"/>
      <c r="EH139" s="150"/>
      <c r="EI139" s="150"/>
      <c r="EJ139" s="150"/>
      <c r="EK139" s="150"/>
      <c r="EL139" s="150"/>
      <c r="EM139" s="150"/>
      <c r="EN139" s="150"/>
      <c r="EO139" s="150"/>
      <c r="EP139" s="150"/>
      <c r="EQ139" s="150"/>
      <c r="ER139" s="150"/>
      <c r="ES139" s="150"/>
      <c r="ET139" s="150"/>
      <c r="EU139" s="150"/>
      <c r="EV139" s="150"/>
      <c r="EW139" s="150"/>
      <c r="EX139" s="150"/>
      <c r="EY139" s="150"/>
      <c r="EZ139" s="150"/>
      <c r="FA139" s="150"/>
      <c r="FB139" s="150"/>
      <c r="FC139" s="150"/>
      <c r="FD139" s="150"/>
      <c r="FE139" s="150"/>
      <c r="FF139" s="150"/>
      <c r="FG139" s="150"/>
      <c r="FH139" s="150"/>
      <c r="FI139" s="150"/>
      <c r="FJ139" s="150"/>
      <c r="FK139" s="150"/>
      <c r="FL139" s="150"/>
      <c r="FM139" s="150"/>
      <c r="FN139" s="150"/>
      <c r="FO139" s="150"/>
      <c r="FP139" s="150"/>
      <c r="FQ139" s="150"/>
      <c r="FR139" s="150"/>
      <c r="FS139" s="150"/>
      <c r="FT139" s="150"/>
      <c r="FU139" s="150"/>
      <c r="FV139" s="150"/>
      <c r="FW139" s="150"/>
      <c r="FX139" s="150"/>
      <c r="FY139" s="150"/>
      <c r="FZ139" s="150"/>
      <c r="GA139" s="150"/>
      <c r="GB139" s="150"/>
      <c r="GC139" s="150"/>
      <c r="GD139" s="150"/>
      <c r="GE139" s="150"/>
      <c r="GF139" s="150"/>
      <c r="GG139" s="150"/>
      <c r="GH139" s="150"/>
      <c r="GI139" s="150"/>
      <c r="GJ139" s="150"/>
      <c r="GK139" s="150"/>
      <c r="GL139" s="150"/>
      <c r="GM139" s="150"/>
      <c r="GN139" s="150"/>
      <c r="GO139" s="150"/>
      <c r="GP139" s="150"/>
      <c r="GQ139" s="150"/>
      <c r="GR139" s="150"/>
      <c r="GS139" s="150"/>
      <c r="GT139" s="150"/>
      <c r="GU139" s="150"/>
      <c r="GV139" s="150"/>
      <c r="GW139" s="150"/>
      <c r="GX139" s="150"/>
      <c r="GY139" s="150"/>
      <c r="GZ139" s="150"/>
      <c r="HA139" s="150"/>
      <c r="HB139" s="150"/>
      <c r="HC139" s="150"/>
      <c r="HD139" s="150"/>
      <c r="HE139" s="150"/>
      <c r="HF139" s="150"/>
      <c r="HG139" s="150"/>
      <c r="HH139" s="150"/>
      <c r="HI139" s="150"/>
      <c r="HJ139" s="150"/>
      <c r="HK139" s="150"/>
      <c r="HL139" s="150"/>
      <c r="HM139" s="150"/>
      <c r="HN139" s="150"/>
      <c r="HO139" s="150"/>
      <c r="HP139" s="150"/>
      <c r="HQ139" s="150"/>
      <c r="HR139" s="150"/>
      <c r="HS139" s="150"/>
      <c r="HT139" s="150"/>
      <c r="HU139" s="150"/>
      <c r="HV139" s="150"/>
      <c r="HW139" s="150"/>
      <c r="HX139" s="150"/>
      <c r="HY139" s="150"/>
      <c r="HZ139" s="150"/>
      <c r="IA139" s="150"/>
      <c r="IB139" s="150"/>
      <c r="IC139" s="150"/>
      <c r="ID139" s="150"/>
      <c r="IE139" s="150"/>
      <c r="IF139" s="150"/>
      <c r="IG139" s="150"/>
      <c r="IH139" s="150"/>
      <c r="II139" s="150"/>
      <c r="IJ139" s="150"/>
      <c r="IK139" s="150"/>
      <c r="IL139" s="150"/>
      <c r="IM139" s="150"/>
      <c r="IN139" s="150"/>
      <c r="IO139" s="150"/>
      <c r="IP139" s="150"/>
      <c r="IQ139" s="150"/>
      <c r="IR139" s="150"/>
      <c r="IS139" s="150"/>
      <c r="IT139" s="150"/>
      <c r="IU139" s="150"/>
      <c r="IV139" s="150"/>
      <c r="IW139" s="150"/>
      <c r="IX139" s="150"/>
      <c r="IY139" s="150"/>
      <c r="IZ139" s="150"/>
      <c r="JA139" s="150"/>
      <c r="JB139" s="150"/>
      <c r="JC139" s="150"/>
      <c r="JD139" s="150"/>
      <c r="JE139" s="150"/>
      <c r="JF139" s="150"/>
      <c r="JG139" s="150"/>
      <c r="JH139" s="150"/>
      <c r="JI139" s="150"/>
      <c r="JJ139" s="150"/>
      <c r="JK139" s="150"/>
      <c r="JL139" s="150"/>
      <c r="JM139" s="150"/>
      <c r="JN139" s="150"/>
      <c r="JO139" s="150"/>
      <c r="JP139" s="150"/>
      <c r="JQ139" s="150"/>
      <c r="JR139" s="150"/>
      <c r="JS139" s="150"/>
      <c r="JT139" s="150"/>
      <c r="JU139" s="150"/>
      <c r="JV139" s="150"/>
      <c r="JW139" s="150"/>
      <c r="JX139" s="150"/>
      <c r="JY139" s="150"/>
      <c r="JZ139" s="150"/>
      <c r="KA139" s="150"/>
      <c r="KB139" s="150"/>
      <c r="KC139" s="150"/>
      <c r="KD139" s="150"/>
      <c r="KE139" s="150"/>
      <c r="KF139" s="150"/>
      <c r="KG139" s="150"/>
      <c r="KH139" s="150"/>
      <c r="KI139" s="150"/>
      <c r="KJ139" s="150"/>
      <c r="KK139" s="150"/>
      <c r="KL139" s="150"/>
      <c r="KM139" s="150"/>
      <c r="KN139" s="150"/>
      <c r="KO139" s="150"/>
      <c r="KP139" s="150"/>
      <c r="KQ139" s="150"/>
      <c r="KR139" s="150"/>
      <c r="KS139" s="150"/>
      <c r="KT139" s="150"/>
      <c r="KU139" s="92"/>
    </row>
    <row r="140" spans="2:307" s="157" customFormat="1" x14ac:dyDescent="0.15">
      <c r="C140" s="92" t="s">
        <v>305</v>
      </c>
      <c r="D140" s="225"/>
      <c r="F140" s="150">
        <f t="shared" si="28"/>
        <v>0</v>
      </c>
      <c r="G140" s="150">
        <f t="shared" si="28"/>
        <v>9.1344938355848431E-3</v>
      </c>
      <c r="H140" s="150">
        <f t="shared" si="28"/>
        <v>7.9811437981338936E-3</v>
      </c>
      <c r="I140" s="150">
        <f t="shared" si="28"/>
        <v>7.5346732968293454E-3</v>
      </c>
      <c r="J140" s="150">
        <f t="shared" si="28"/>
        <v>7.1018346530734664E-3</v>
      </c>
      <c r="K140" s="150">
        <f t="shared" si="28"/>
        <v>6.6804618699618642E-3</v>
      </c>
      <c r="L140" s="150">
        <f t="shared" si="28"/>
        <v>6.2685021494027372E-3</v>
      </c>
      <c r="M140" s="150">
        <f t="shared" si="28"/>
        <v>5.8649580560546644E-3</v>
      </c>
      <c r="N140" s="150">
        <f t="shared" si="28"/>
        <v>4.0296739201288578E-3</v>
      </c>
      <c r="O140" s="150">
        <f t="shared" si="28"/>
        <v>3.5649749827032999E-2</v>
      </c>
      <c r="P140" s="150">
        <f t="shared" si="28"/>
        <v>0</v>
      </c>
      <c r="Q140" s="150">
        <f t="shared" si="28"/>
        <v>0</v>
      </c>
      <c r="R140" s="150">
        <f t="shared" si="28"/>
        <v>0</v>
      </c>
      <c r="S140" s="150">
        <f t="shared" si="28"/>
        <v>0</v>
      </c>
      <c r="T140" s="150">
        <f t="shared" si="28"/>
        <v>0</v>
      </c>
      <c r="U140" s="150">
        <f t="shared" si="28"/>
        <v>0</v>
      </c>
      <c r="V140" s="150">
        <f t="shared" si="28"/>
        <v>0</v>
      </c>
      <c r="W140" s="150">
        <f t="shared" si="28"/>
        <v>0</v>
      </c>
      <c r="X140" s="150">
        <f t="shared" si="28"/>
        <v>0</v>
      </c>
      <c r="Y140" s="150">
        <f t="shared" si="28"/>
        <v>0</v>
      </c>
      <c r="Z140" s="150">
        <f t="shared" si="28"/>
        <v>0</v>
      </c>
      <c r="AA140" s="150">
        <f t="shared" si="28"/>
        <v>0</v>
      </c>
      <c r="AB140" s="150">
        <f t="shared" si="28"/>
        <v>0</v>
      </c>
      <c r="AC140" s="150">
        <f t="shared" si="28"/>
        <v>0</v>
      </c>
      <c r="AD140" s="150">
        <f t="shared" si="28"/>
        <v>0</v>
      </c>
      <c r="AE140" s="150">
        <f t="shared" si="28"/>
        <v>0</v>
      </c>
      <c r="AF140" s="150">
        <f t="shared" si="28"/>
        <v>0</v>
      </c>
      <c r="AG140" s="150">
        <f t="shared" si="28"/>
        <v>0</v>
      </c>
      <c r="AH140" s="150">
        <f t="shared" si="28"/>
        <v>0</v>
      </c>
      <c r="AI140" s="150">
        <f t="shared" si="28"/>
        <v>0</v>
      </c>
      <c r="AJ140" s="150">
        <f t="shared" si="28"/>
        <v>0</v>
      </c>
      <c r="AK140" s="150">
        <f t="shared" si="28"/>
        <v>0</v>
      </c>
      <c r="AL140" s="150">
        <f t="shared" si="28"/>
        <v>0</v>
      </c>
      <c r="AM140" s="150">
        <f t="shared" si="28"/>
        <v>0</v>
      </c>
      <c r="AN140" s="150">
        <f t="shared" si="28"/>
        <v>0</v>
      </c>
      <c r="AO140" s="150">
        <f t="shared" si="28"/>
        <v>0</v>
      </c>
      <c r="AP140" s="150">
        <f t="shared" si="28"/>
        <v>0</v>
      </c>
      <c r="AQ140" s="150">
        <f t="shared" si="28"/>
        <v>0</v>
      </c>
      <c r="AR140" s="150">
        <f t="shared" si="28"/>
        <v>0</v>
      </c>
      <c r="AS140" s="150">
        <f t="shared" si="28"/>
        <v>0</v>
      </c>
      <c r="AT140" s="150">
        <f t="shared" si="28"/>
        <v>0</v>
      </c>
      <c r="AU140" s="150">
        <f t="shared" si="28"/>
        <v>0</v>
      </c>
      <c r="AV140" s="150">
        <f t="shared" si="28"/>
        <v>0</v>
      </c>
      <c r="AW140" s="150">
        <f t="shared" si="28"/>
        <v>0</v>
      </c>
      <c r="AX140" s="150">
        <f t="shared" si="28"/>
        <v>0</v>
      </c>
      <c r="AY140" s="150">
        <f t="shared" si="28"/>
        <v>0</v>
      </c>
      <c r="AZ140" s="150">
        <f t="shared" si="28"/>
        <v>0</v>
      </c>
      <c r="BA140" s="150">
        <f t="shared" si="28"/>
        <v>0</v>
      </c>
      <c r="BB140" s="150">
        <f t="shared" si="28"/>
        <v>0</v>
      </c>
      <c r="BC140" s="150">
        <f t="shared" si="28"/>
        <v>0</v>
      </c>
      <c r="BD140" s="150">
        <f t="shared" si="28"/>
        <v>0</v>
      </c>
      <c r="BE140" s="150">
        <f t="shared" si="28"/>
        <v>0</v>
      </c>
      <c r="BF140" s="150">
        <f t="shared" si="28"/>
        <v>0</v>
      </c>
      <c r="BG140" s="150">
        <f t="shared" si="28"/>
        <v>0</v>
      </c>
      <c r="BH140" s="150">
        <f t="shared" si="28"/>
        <v>0</v>
      </c>
      <c r="BI140" s="150">
        <f t="shared" si="28"/>
        <v>0</v>
      </c>
      <c r="BJ140" s="150">
        <f t="shared" si="28"/>
        <v>0</v>
      </c>
      <c r="BK140" s="150">
        <f t="shared" si="28"/>
        <v>0</v>
      </c>
      <c r="BL140" s="150">
        <f t="shared" si="28"/>
        <v>0</v>
      </c>
      <c r="BM140" s="150">
        <f t="shared" si="28"/>
        <v>0</v>
      </c>
      <c r="BN140" s="150"/>
      <c r="BO140" s="150"/>
      <c r="BP140" s="150"/>
      <c r="BQ140" s="150"/>
      <c r="BR140" s="150"/>
      <c r="BS140" s="150"/>
      <c r="BT140" s="150"/>
      <c r="BU140" s="150"/>
      <c r="BV140" s="150"/>
      <c r="BW140" s="150"/>
      <c r="BX140" s="150"/>
      <c r="BY140" s="150"/>
      <c r="BZ140" s="150"/>
      <c r="CA140" s="150"/>
      <c r="CB140" s="150"/>
      <c r="CC140" s="150"/>
      <c r="CD140" s="150"/>
      <c r="CE140" s="150"/>
      <c r="CF140" s="150"/>
      <c r="CG140" s="150"/>
      <c r="CH140" s="150"/>
      <c r="CI140" s="150"/>
      <c r="CJ140" s="150"/>
      <c r="CK140" s="150"/>
      <c r="CL140" s="150"/>
      <c r="CM140" s="150"/>
      <c r="CN140" s="150"/>
      <c r="CO140" s="150"/>
      <c r="CP140" s="150"/>
      <c r="CQ140" s="150"/>
      <c r="CR140" s="150"/>
      <c r="CS140" s="150"/>
      <c r="CT140" s="150"/>
      <c r="CU140" s="150"/>
      <c r="CV140" s="150"/>
      <c r="CW140" s="150"/>
      <c r="CX140" s="150"/>
      <c r="CY140" s="150"/>
      <c r="CZ140" s="150"/>
      <c r="DA140" s="150"/>
      <c r="DB140" s="150"/>
      <c r="DC140" s="150"/>
      <c r="DD140" s="150"/>
      <c r="DE140" s="150"/>
      <c r="DF140" s="150"/>
      <c r="DG140" s="150"/>
      <c r="DH140" s="150"/>
      <c r="DI140" s="150"/>
      <c r="DJ140" s="150"/>
      <c r="DK140" s="150"/>
      <c r="DL140" s="150"/>
      <c r="DM140" s="150"/>
      <c r="DN140" s="150"/>
      <c r="DO140" s="150"/>
      <c r="DP140" s="150"/>
      <c r="DQ140" s="150"/>
      <c r="DR140" s="150"/>
      <c r="DS140" s="150"/>
      <c r="DT140" s="150"/>
      <c r="DU140" s="150"/>
      <c r="DV140" s="150"/>
      <c r="DW140" s="150"/>
      <c r="DX140" s="150"/>
      <c r="DY140" s="150"/>
      <c r="DZ140" s="150"/>
      <c r="EA140" s="150"/>
      <c r="EB140" s="150"/>
      <c r="EC140" s="150"/>
      <c r="ED140" s="150"/>
      <c r="EE140" s="150"/>
      <c r="EF140" s="150"/>
      <c r="EG140" s="150"/>
      <c r="EH140" s="150"/>
      <c r="EI140" s="150"/>
      <c r="EJ140" s="150"/>
      <c r="EK140" s="150"/>
      <c r="EL140" s="150"/>
      <c r="EM140" s="150"/>
      <c r="EN140" s="150"/>
      <c r="EO140" s="150"/>
      <c r="EP140" s="150"/>
      <c r="EQ140" s="150"/>
      <c r="ER140" s="150"/>
      <c r="ES140" s="150"/>
      <c r="ET140" s="150"/>
      <c r="EU140" s="150"/>
      <c r="EV140" s="150"/>
      <c r="EW140" s="150"/>
      <c r="EX140" s="150"/>
      <c r="EY140" s="150"/>
      <c r="EZ140" s="150"/>
      <c r="FA140" s="150"/>
      <c r="FB140" s="150"/>
      <c r="FC140" s="150"/>
      <c r="FD140" s="150"/>
      <c r="FE140" s="150"/>
      <c r="FF140" s="150"/>
      <c r="FG140" s="150"/>
      <c r="FH140" s="150"/>
      <c r="FI140" s="150"/>
      <c r="FJ140" s="150"/>
      <c r="FK140" s="150"/>
      <c r="FL140" s="150"/>
      <c r="FM140" s="150"/>
      <c r="FN140" s="150"/>
      <c r="FO140" s="150"/>
      <c r="FP140" s="150"/>
      <c r="FQ140" s="150"/>
      <c r="FR140" s="150"/>
      <c r="FS140" s="150"/>
      <c r="FT140" s="150"/>
      <c r="FU140" s="150"/>
      <c r="FV140" s="150"/>
      <c r="FW140" s="150"/>
      <c r="FX140" s="150"/>
      <c r="FY140" s="150"/>
      <c r="FZ140" s="150"/>
      <c r="GA140" s="150"/>
      <c r="GB140" s="150"/>
      <c r="GC140" s="150"/>
      <c r="GD140" s="150"/>
      <c r="GE140" s="150"/>
      <c r="GF140" s="150"/>
      <c r="GG140" s="150"/>
      <c r="GH140" s="150"/>
      <c r="GI140" s="150"/>
      <c r="GJ140" s="150"/>
      <c r="GK140" s="150"/>
      <c r="GL140" s="150"/>
      <c r="GM140" s="150"/>
      <c r="GN140" s="150"/>
      <c r="GO140" s="150"/>
      <c r="GP140" s="150"/>
      <c r="GQ140" s="150"/>
      <c r="GR140" s="150"/>
      <c r="GS140" s="150"/>
      <c r="GT140" s="150"/>
      <c r="GU140" s="150"/>
      <c r="GV140" s="150"/>
      <c r="GW140" s="150"/>
      <c r="GX140" s="150"/>
      <c r="GY140" s="150"/>
      <c r="GZ140" s="150"/>
      <c r="HA140" s="150"/>
      <c r="HB140" s="150"/>
      <c r="HC140" s="150"/>
      <c r="HD140" s="150"/>
      <c r="HE140" s="150"/>
      <c r="HF140" s="150"/>
      <c r="HG140" s="150"/>
      <c r="HH140" s="150"/>
      <c r="HI140" s="150"/>
      <c r="HJ140" s="150"/>
      <c r="HK140" s="150"/>
      <c r="HL140" s="150"/>
      <c r="HM140" s="150"/>
      <c r="HN140" s="150"/>
      <c r="HO140" s="150"/>
      <c r="HP140" s="150"/>
      <c r="HQ140" s="150"/>
      <c r="HR140" s="150"/>
      <c r="HS140" s="150"/>
      <c r="HT140" s="150"/>
      <c r="HU140" s="150"/>
      <c r="HV140" s="150"/>
      <c r="HW140" s="150"/>
      <c r="HX140" s="150"/>
      <c r="HY140" s="150"/>
      <c r="HZ140" s="150"/>
      <c r="IA140" s="150"/>
      <c r="IB140" s="150"/>
      <c r="IC140" s="150"/>
      <c r="ID140" s="150"/>
      <c r="IE140" s="150"/>
      <c r="IF140" s="150"/>
      <c r="IG140" s="150"/>
      <c r="IH140" s="150"/>
      <c r="II140" s="150"/>
      <c r="IJ140" s="150"/>
      <c r="IK140" s="150"/>
      <c r="IL140" s="150"/>
      <c r="IM140" s="150"/>
      <c r="IN140" s="150"/>
      <c r="IO140" s="150"/>
      <c r="IP140" s="150"/>
      <c r="IQ140" s="150"/>
      <c r="IR140" s="150"/>
      <c r="IS140" s="150"/>
      <c r="IT140" s="150"/>
      <c r="IU140" s="150"/>
      <c r="IV140" s="150"/>
      <c r="IW140" s="150"/>
      <c r="IX140" s="150"/>
      <c r="IY140" s="150"/>
      <c r="IZ140" s="150"/>
      <c r="JA140" s="150"/>
      <c r="JB140" s="150"/>
      <c r="JC140" s="150"/>
      <c r="JD140" s="150"/>
      <c r="JE140" s="150"/>
      <c r="JF140" s="150"/>
      <c r="JG140" s="150"/>
      <c r="JH140" s="150"/>
      <c r="JI140" s="150"/>
      <c r="JJ140" s="150"/>
      <c r="JK140" s="150"/>
      <c r="JL140" s="150"/>
      <c r="JM140" s="150"/>
      <c r="JN140" s="150"/>
      <c r="JO140" s="150"/>
      <c r="JP140" s="150"/>
      <c r="JQ140" s="150"/>
      <c r="JR140" s="150"/>
      <c r="JS140" s="150"/>
      <c r="JT140" s="150"/>
      <c r="JU140" s="150"/>
      <c r="JV140" s="150"/>
      <c r="JW140" s="150"/>
      <c r="JX140" s="150"/>
      <c r="JY140" s="150"/>
      <c r="JZ140" s="150"/>
      <c r="KA140" s="150"/>
      <c r="KB140" s="150"/>
      <c r="KC140" s="150"/>
      <c r="KD140" s="150"/>
      <c r="KE140" s="150"/>
      <c r="KF140" s="150"/>
      <c r="KG140" s="150"/>
      <c r="KH140" s="150"/>
      <c r="KI140" s="150"/>
      <c r="KJ140" s="150"/>
      <c r="KK140" s="150"/>
      <c r="KL140" s="150"/>
      <c r="KM140" s="150"/>
      <c r="KN140" s="150"/>
      <c r="KO140" s="150"/>
      <c r="KP140" s="150"/>
      <c r="KQ140" s="150"/>
      <c r="KR140" s="150"/>
      <c r="KS140" s="150"/>
      <c r="KT140" s="150"/>
      <c r="KU140" s="92"/>
    </row>
    <row r="141" spans="2:307" s="157" customFormat="1" x14ac:dyDescent="0.15">
      <c r="C141" s="92" t="s">
        <v>306</v>
      </c>
      <c r="D141" s="225"/>
      <c r="F141" s="150">
        <f t="shared" si="28"/>
        <v>0</v>
      </c>
      <c r="G141" s="150">
        <f t="shared" si="28"/>
        <v>0</v>
      </c>
      <c r="H141" s="150">
        <f t="shared" si="28"/>
        <v>8.8604590205172973E-3</v>
      </c>
      <c r="I141" s="150">
        <f t="shared" si="28"/>
        <v>7.741709484189876E-3</v>
      </c>
      <c r="J141" s="150">
        <f t="shared" si="28"/>
        <v>7.3086330979244638E-3</v>
      </c>
      <c r="K141" s="150">
        <f t="shared" si="28"/>
        <v>6.8887796134812617E-3</v>
      </c>
      <c r="L141" s="150">
        <f t="shared" si="28"/>
        <v>6.4800480138630075E-3</v>
      </c>
      <c r="M141" s="150">
        <f t="shared" si="28"/>
        <v>6.080447084920654E-3</v>
      </c>
      <c r="N141" s="150">
        <f t="shared" si="28"/>
        <v>5.2784622504491972E-3</v>
      </c>
      <c r="O141" s="150">
        <f t="shared" si="28"/>
        <v>3.6267065281159723E-3</v>
      </c>
      <c r="P141" s="150">
        <f t="shared" si="28"/>
        <v>3.2084774844329707E-2</v>
      </c>
      <c r="Q141" s="150">
        <f t="shared" si="28"/>
        <v>0</v>
      </c>
      <c r="R141" s="150">
        <f t="shared" si="28"/>
        <v>0</v>
      </c>
      <c r="S141" s="150">
        <f t="shared" si="28"/>
        <v>0</v>
      </c>
      <c r="T141" s="150">
        <f t="shared" si="28"/>
        <v>0</v>
      </c>
      <c r="U141" s="150">
        <f t="shared" si="28"/>
        <v>0</v>
      </c>
      <c r="V141" s="150">
        <f t="shared" si="28"/>
        <v>0</v>
      </c>
      <c r="W141" s="150">
        <f t="shared" si="28"/>
        <v>0</v>
      </c>
      <c r="X141" s="150">
        <f t="shared" si="28"/>
        <v>0</v>
      </c>
      <c r="Y141" s="150">
        <f t="shared" si="28"/>
        <v>0</v>
      </c>
      <c r="Z141" s="150">
        <f t="shared" si="28"/>
        <v>0</v>
      </c>
      <c r="AA141" s="150">
        <f t="shared" si="28"/>
        <v>0</v>
      </c>
      <c r="AB141" s="150">
        <f t="shared" si="28"/>
        <v>0</v>
      </c>
      <c r="AC141" s="150">
        <f t="shared" si="28"/>
        <v>0</v>
      </c>
      <c r="AD141" s="150">
        <f t="shared" si="28"/>
        <v>0</v>
      </c>
      <c r="AE141" s="150">
        <f t="shared" si="28"/>
        <v>0</v>
      </c>
      <c r="AF141" s="150">
        <f t="shared" si="28"/>
        <v>0</v>
      </c>
      <c r="AG141" s="150">
        <f t="shared" si="28"/>
        <v>0</v>
      </c>
      <c r="AH141" s="150">
        <f t="shared" si="28"/>
        <v>0</v>
      </c>
      <c r="AI141" s="150">
        <f t="shared" si="28"/>
        <v>0</v>
      </c>
      <c r="AJ141" s="150">
        <f t="shared" si="28"/>
        <v>0</v>
      </c>
      <c r="AK141" s="150">
        <f t="shared" si="28"/>
        <v>0</v>
      </c>
      <c r="AL141" s="150">
        <f t="shared" si="28"/>
        <v>0</v>
      </c>
      <c r="AM141" s="150">
        <f t="shared" si="28"/>
        <v>0</v>
      </c>
      <c r="AN141" s="150">
        <f t="shared" si="28"/>
        <v>0</v>
      </c>
      <c r="AO141" s="150">
        <f t="shared" si="28"/>
        <v>0</v>
      </c>
      <c r="AP141" s="150">
        <f t="shared" si="28"/>
        <v>0</v>
      </c>
      <c r="AQ141" s="150">
        <f t="shared" si="28"/>
        <v>0</v>
      </c>
      <c r="AR141" s="150">
        <f t="shared" si="28"/>
        <v>0</v>
      </c>
      <c r="AS141" s="150">
        <f t="shared" si="28"/>
        <v>0</v>
      </c>
      <c r="AT141" s="150">
        <f t="shared" si="28"/>
        <v>0</v>
      </c>
      <c r="AU141" s="150">
        <f t="shared" si="28"/>
        <v>0</v>
      </c>
      <c r="AV141" s="150">
        <f t="shared" si="28"/>
        <v>0</v>
      </c>
      <c r="AW141" s="150">
        <f t="shared" si="28"/>
        <v>0</v>
      </c>
      <c r="AX141" s="150">
        <f t="shared" si="28"/>
        <v>0</v>
      </c>
      <c r="AY141" s="150">
        <f t="shared" si="28"/>
        <v>0</v>
      </c>
      <c r="AZ141" s="150">
        <f t="shared" si="28"/>
        <v>0</v>
      </c>
      <c r="BA141" s="150">
        <f t="shared" si="28"/>
        <v>0</v>
      </c>
      <c r="BB141" s="150">
        <f t="shared" si="28"/>
        <v>0</v>
      </c>
      <c r="BC141" s="150">
        <f t="shared" si="28"/>
        <v>0</v>
      </c>
      <c r="BD141" s="150">
        <f t="shared" si="28"/>
        <v>0</v>
      </c>
      <c r="BE141" s="150">
        <f t="shared" si="28"/>
        <v>0</v>
      </c>
      <c r="BF141" s="150">
        <f t="shared" si="28"/>
        <v>0</v>
      </c>
      <c r="BG141" s="150">
        <f t="shared" si="28"/>
        <v>0</v>
      </c>
      <c r="BH141" s="150">
        <f t="shared" si="28"/>
        <v>0</v>
      </c>
      <c r="BI141" s="150">
        <f t="shared" si="28"/>
        <v>0</v>
      </c>
      <c r="BJ141" s="150">
        <f t="shared" si="28"/>
        <v>0</v>
      </c>
      <c r="BK141" s="150">
        <f t="shared" si="28"/>
        <v>0</v>
      </c>
      <c r="BL141" s="150">
        <f t="shared" si="28"/>
        <v>0</v>
      </c>
      <c r="BM141" s="150">
        <f t="shared" si="28"/>
        <v>0</v>
      </c>
      <c r="BN141" s="150"/>
      <c r="BO141" s="150"/>
      <c r="BP141" s="150"/>
      <c r="BQ141" s="150"/>
      <c r="BR141" s="150"/>
      <c r="BS141" s="150"/>
      <c r="BT141" s="150"/>
      <c r="BU141" s="150"/>
      <c r="BV141" s="150"/>
      <c r="BW141" s="150"/>
      <c r="BX141" s="150"/>
      <c r="BY141" s="150"/>
      <c r="BZ141" s="150"/>
      <c r="CA141" s="150"/>
      <c r="CB141" s="150"/>
      <c r="CC141" s="150"/>
      <c r="CD141" s="150"/>
      <c r="CE141" s="150"/>
      <c r="CF141" s="150"/>
      <c r="CG141" s="150"/>
      <c r="CH141" s="150"/>
      <c r="CI141" s="150"/>
      <c r="CJ141" s="150"/>
      <c r="CK141" s="150"/>
      <c r="CL141" s="150"/>
      <c r="CM141" s="150"/>
      <c r="CN141" s="150"/>
      <c r="CO141" s="150"/>
      <c r="CP141" s="150"/>
      <c r="CQ141" s="150"/>
      <c r="CR141" s="150"/>
      <c r="CS141" s="150"/>
      <c r="CT141" s="150"/>
      <c r="CU141" s="150"/>
      <c r="CV141" s="150"/>
      <c r="CW141" s="150"/>
      <c r="CX141" s="150"/>
      <c r="CY141" s="150"/>
      <c r="CZ141" s="150"/>
      <c r="DA141" s="150"/>
      <c r="DB141" s="150"/>
      <c r="DC141" s="150"/>
      <c r="DD141" s="150"/>
      <c r="DE141" s="150"/>
      <c r="DF141" s="150"/>
      <c r="DG141" s="150"/>
      <c r="DH141" s="150"/>
      <c r="DI141" s="150"/>
      <c r="DJ141" s="150"/>
      <c r="DK141" s="150"/>
      <c r="DL141" s="150"/>
      <c r="DM141" s="150"/>
      <c r="DN141" s="150"/>
      <c r="DO141" s="150"/>
      <c r="DP141" s="150"/>
      <c r="DQ141" s="150"/>
      <c r="DR141" s="150"/>
      <c r="DS141" s="150"/>
      <c r="DT141" s="150"/>
      <c r="DU141" s="150"/>
      <c r="DV141" s="150"/>
      <c r="DW141" s="150"/>
      <c r="DX141" s="150"/>
      <c r="DY141" s="150"/>
      <c r="DZ141" s="150"/>
      <c r="EA141" s="150"/>
      <c r="EB141" s="150"/>
      <c r="EC141" s="150"/>
      <c r="ED141" s="150"/>
      <c r="EE141" s="150"/>
      <c r="EF141" s="150"/>
      <c r="EG141" s="150"/>
      <c r="EH141" s="150"/>
      <c r="EI141" s="150"/>
      <c r="EJ141" s="150"/>
      <c r="EK141" s="150"/>
      <c r="EL141" s="150"/>
      <c r="EM141" s="150"/>
      <c r="EN141" s="150"/>
      <c r="EO141" s="150"/>
      <c r="EP141" s="150"/>
      <c r="EQ141" s="150"/>
      <c r="ER141" s="150"/>
      <c r="ES141" s="150"/>
      <c r="ET141" s="150"/>
      <c r="EU141" s="150"/>
      <c r="EV141" s="150"/>
      <c r="EW141" s="150"/>
      <c r="EX141" s="150"/>
      <c r="EY141" s="150"/>
      <c r="EZ141" s="150"/>
      <c r="FA141" s="150"/>
      <c r="FB141" s="150"/>
      <c r="FC141" s="150"/>
      <c r="FD141" s="150"/>
      <c r="FE141" s="150"/>
      <c r="FF141" s="150"/>
      <c r="FG141" s="150"/>
      <c r="FH141" s="150"/>
      <c r="FI141" s="150"/>
      <c r="FJ141" s="150"/>
      <c r="FK141" s="150"/>
      <c r="FL141" s="150"/>
      <c r="FM141" s="150"/>
      <c r="FN141" s="150"/>
      <c r="FO141" s="150"/>
      <c r="FP141" s="150"/>
      <c r="FQ141" s="150"/>
      <c r="FR141" s="150"/>
      <c r="FS141" s="150"/>
      <c r="FT141" s="150"/>
      <c r="FU141" s="150"/>
      <c r="FV141" s="150"/>
      <c r="FW141" s="150"/>
      <c r="FX141" s="150"/>
      <c r="FY141" s="150"/>
      <c r="FZ141" s="150"/>
      <c r="GA141" s="150"/>
      <c r="GB141" s="150"/>
      <c r="GC141" s="150"/>
      <c r="GD141" s="150"/>
      <c r="GE141" s="150"/>
      <c r="GF141" s="150"/>
      <c r="GG141" s="150"/>
      <c r="GH141" s="150"/>
      <c r="GI141" s="150"/>
      <c r="GJ141" s="150"/>
      <c r="GK141" s="150"/>
      <c r="GL141" s="150"/>
      <c r="GM141" s="150"/>
      <c r="GN141" s="150"/>
      <c r="GO141" s="150"/>
      <c r="GP141" s="150"/>
      <c r="GQ141" s="150"/>
      <c r="GR141" s="150"/>
      <c r="GS141" s="150"/>
      <c r="GT141" s="150"/>
      <c r="GU141" s="150"/>
      <c r="GV141" s="150"/>
      <c r="GW141" s="150"/>
      <c r="GX141" s="150"/>
      <c r="GY141" s="150"/>
      <c r="GZ141" s="150"/>
      <c r="HA141" s="150"/>
      <c r="HB141" s="150"/>
      <c r="HC141" s="150"/>
      <c r="HD141" s="150"/>
      <c r="HE141" s="150"/>
      <c r="HF141" s="150"/>
      <c r="HG141" s="150"/>
      <c r="HH141" s="150"/>
      <c r="HI141" s="150"/>
      <c r="HJ141" s="150"/>
      <c r="HK141" s="150"/>
      <c r="HL141" s="150"/>
      <c r="HM141" s="150"/>
      <c r="HN141" s="150"/>
      <c r="HO141" s="150"/>
      <c r="HP141" s="150"/>
      <c r="HQ141" s="150"/>
      <c r="HR141" s="150"/>
      <c r="HS141" s="150"/>
      <c r="HT141" s="150"/>
      <c r="HU141" s="150"/>
      <c r="HV141" s="150"/>
      <c r="HW141" s="150"/>
      <c r="HX141" s="150"/>
      <c r="HY141" s="150"/>
      <c r="HZ141" s="150"/>
      <c r="IA141" s="150"/>
      <c r="IB141" s="150"/>
      <c r="IC141" s="150"/>
      <c r="ID141" s="150"/>
      <c r="IE141" s="150"/>
      <c r="IF141" s="150"/>
      <c r="IG141" s="150"/>
      <c r="IH141" s="150"/>
      <c r="II141" s="150"/>
      <c r="IJ141" s="150"/>
      <c r="IK141" s="150"/>
      <c r="IL141" s="150"/>
      <c r="IM141" s="150"/>
      <c r="IN141" s="150"/>
      <c r="IO141" s="150"/>
      <c r="IP141" s="150"/>
      <c r="IQ141" s="150"/>
      <c r="IR141" s="150"/>
      <c r="IS141" s="150"/>
      <c r="IT141" s="150"/>
      <c r="IU141" s="150"/>
      <c r="IV141" s="150"/>
      <c r="IW141" s="150"/>
      <c r="IX141" s="150"/>
      <c r="IY141" s="150"/>
      <c r="IZ141" s="150"/>
      <c r="JA141" s="150"/>
      <c r="JB141" s="150"/>
      <c r="JC141" s="150"/>
      <c r="JD141" s="150"/>
      <c r="JE141" s="150"/>
      <c r="JF141" s="150"/>
      <c r="JG141" s="150"/>
      <c r="JH141" s="150"/>
      <c r="JI141" s="150"/>
      <c r="JJ141" s="150"/>
      <c r="JK141" s="150"/>
      <c r="JL141" s="150"/>
      <c r="JM141" s="150"/>
      <c r="JN141" s="150"/>
      <c r="JO141" s="150"/>
      <c r="JP141" s="150"/>
      <c r="JQ141" s="150"/>
      <c r="JR141" s="150"/>
      <c r="JS141" s="150"/>
      <c r="JT141" s="150"/>
      <c r="JU141" s="150"/>
      <c r="JV141" s="150"/>
      <c r="JW141" s="150"/>
      <c r="JX141" s="150"/>
      <c r="JY141" s="150"/>
      <c r="JZ141" s="150"/>
      <c r="KA141" s="150"/>
      <c r="KB141" s="150"/>
      <c r="KC141" s="150"/>
      <c r="KD141" s="150"/>
      <c r="KE141" s="150"/>
      <c r="KF141" s="150"/>
      <c r="KG141" s="150"/>
      <c r="KH141" s="150"/>
      <c r="KI141" s="150"/>
      <c r="KJ141" s="150"/>
      <c r="KK141" s="150"/>
      <c r="KL141" s="150"/>
      <c r="KM141" s="150"/>
      <c r="KN141" s="150"/>
      <c r="KO141" s="150"/>
      <c r="KP141" s="150"/>
      <c r="KQ141" s="150"/>
      <c r="KR141" s="150"/>
      <c r="KS141" s="150"/>
      <c r="KT141" s="150"/>
      <c r="KU141" s="92"/>
    </row>
    <row r="142" spans="2:307" s="157" customFormat="1" x14ac:dyDescent="0.15">
      <c r="C142" s="92" t="s">
        <v>308</v>
      </c>
      <c r="D142" s="225"/>
      <c r="F142" s="150">
        <f t="shared" si="28"/>
        <v>0</v>
      </c>
      <c r="G142" s="150">
        <f t="shared" si="28"/>
        <v>0</v>
      </c>
      <c r="H142" s="150">
        <f t="shared" si="28"/>
        <v>0</v>
      </c>
      <c r="I142" s="150">
        <f t="shared" si="28"/>
        <v>3.1335205944733775E-2</v>
      </c>
      <c r="J142" s="150">
        <f t="shared" si="28"/>
        <v>2.737872388886976E-2</v>
      </c>
      <c r="K142" s="150">
        <f t="shared" si="28"/>
        <v>2.584713983413808E-2</v>
      </c>
      <c r="L142" s="150">
        <f t="shared" si="28"/>
        <v>2.4362318859155036E-2</v>
      </c>
      <c r="M142" s="150">
        <f t="shared" si="28"/>
        <v>2.2916830671635521E-2</v>
      </c>
      <c r="N142" s="150">
        <f t="shared" si="28"/>
        <v>2.084535881069537E-2</v>
      </c>
      <c r="O142" s="150">
        <f t="shared" si="28"/>
        <v>1.8095945584692137E-2</v>
      </c>
      <c r="P142" s="150">
        <f t="shared" si="28"/>
        <v>1.2433296075736712E-2</v>
      </c>
      <c r="Q142" s="150">
        <f t="shared" si="28"/>
        <v>0.10999497810762594</v>
      </c>
      <c r="R142" s="150">
        <f t="shared" si="28"/>
        <v>0</v>
      </c>
      <c r="S142" s="150">
        <f t="shared" si="28"/>
        <v>0</v>
      </c>
      <c r="T142" s="150">
        <f t="shared" si="28"/>
        <v>0</v>
      </c>
      <c r="U142" s="150">
        <f t="shared" ref="U142:BM150" si="29">IF(U$4&gt;$F$6,0,U23*$K104)</f>
        <v>0</v>
      </c>
      <c r="V142" s="150">
        <f t="shared" si="29"/>
        <v>0</v>
      </c>
      <c r="W142" s="150">
        <f t="shared" si="29"/>
        <v>0</v>
      </c>
      <c r="X142" s="150">
        <f t="shared" si="29"/>
        <v>0</v>
      </c>
      <c r="Y142" s="150">
        <f t="shared" si="29"/>
        <v>0</v>
      </c>
      <c r="Z142" s="150">
        <f t="shared" si="29"/>
        <v>0</v>
      </c>
      <c r="AA142" s="150">
        <f t="shared" si="29"/>
        <v>0</v>
      </c>
      <c r="AB142" s="150">
        <f t="shared" si="29"/>
        <v>0</v>
      </c>
      <c r="AC142" s="150">
        <f t="shared" si="29"/>
        <v>0</v>
      </c>
      <c r="AD142" s="150">
        <f t="shared" si="29"/>
        <v>0</v>
      </c>
      <c r="AE142" s="150">
        <f t="shared" si="29"/>
        <v>0</v>
      </c>
      <c r="AF142" s="150">
        <f t="shared" si="29"/>
        <v>0</v>
      </c>
      <c r="AG142" s="150">
        <f t="shared" si="29"/>
        <v>0</v>
      </c>
      <c r="AH142" s="150">
        <f t="shared" si="29"/>
        <v>0</v>
      </c>
      <c r="AI142" s="150">
        <f t="shared" si="29"/>
        <v>0</v>
      </c>
      <c r="AJ142" s="150">
        <f t="shared" si="29"/>
        <v>0</v>
      </c>
      <c r="AK142" s="150">
        <f t="shared" si="29"/>
        <v>0</v>
      </c>
      <c r="AL142" s="150">
        <f t="shared" si="29"/>
        <v>0</v>
      </c>
      <c r="AM142" s="150">
        <f t="shared" si="29"/>
        <v>0</v>
      </c>
      <c r="AN142" s="150">
        <f t="shared" si="29"/>
        <v>0</v>
      </c>
      <c r="AO142" s="150">
        <f t="shared" si="29"/>
        <v>0</v>
      </c>
      <c r="AP142" s="150">
        <f t="shared" si="29"/>
        <v>0</v>
      </c>
      <c r="AQ142" s="150">
        <f t="shared" si="29"/>
        <v>0</v>
      </c>
      <c r="AR142" s="150">
        <f t="shared" si="29"/>
        <v>0</v>
      </c>
      <c r="AS142" s="150">
        <f t="shared" si="29"/>
        <v>0</v>
      </c>
      <c r="AT142" s="150">
        <f t="shared" si="29"/>
        <v>0</v>
      </c>
      <c r="AU142" s="150">
        <f t="shared" si="29"/>
        <v>0</v>
      </c>
      <c r="AV142" s="150">
        <f t="shared" si="29"/>
        <v>0</v>
      </c>
      <c r="AW142" s="150">
        <f t="shared" si="29"/>
        <v>0</v>
      </c>
      <c r="AX142" s="150">
        <f t="shared" si="29"/>
        <v>0</v>
      </c>
      <c r="AY142" s="150">
        <f t="shared" si="29"/>
        <v>0</v>
      </c>
      <c r="AZ142" s="150">
        <f t="shared" si="29"/>
        <v>0</v>
      </c>
      <c r="BA142" s="150">
        <f t="shared" si="29"/>
        <v>0</v>
      </c>
      <c r="BB142" s="150">
        <f t="shared" si="29"/>
        <v>0</v>
      </c>
      <c r="BC142" s="150">
        <f t="shared" si="29"/>
        <v>0</v>
      </c>
      <c r="BD142" s="150">
        <f t="shared" si="29"/>
        <v>0</v>
      </c>
      <c r="BE142" s="150">
        <f t="shared" si="29"/>
        <v>0</v>
      </c>
      <c r="BF142" s="150">
        <f t="shared" si="29"/>
        <v>0</v>
      </c>
      <c r="BG142" s="150">
        <f t="shared" si="29"/>
        <v>0</v>
      </c>
      <c r="BH142" s="150">
        <f t="shared" si="29"/>
        <v>0</v>
      </c>
      <c r="BI142" s="150">
        <f t="shared" si="29"/>
        <v>0</v>
      </c>
      <c r="BJ142" s="150">
        <f t="shared" si="29"/>
        <v>0</v>
      </c>
      <c r="BK142" s="150">
        <f t="shared" si="29"/>
        <v>0</v>
      </c>
      <c r="BL142" s="150">
        <f t="shared" si="29"/>
        <v>0</v>
      </c>
      <c r="BM142" s="150">
        <f t="shared" si="29"/>
        <v>0</v>
      </c>
      <c r="BN142" s="150"/>
      <c r="BO142" s="150"/>
      <c r="BP142" s="150"/>
      <c r="BQ142" s="150"/>
      <c r="BR142" s="150"/>
      <c r="BS142" s="150"/>
      <c r="BT142" s="150"/>
      <c r="BU142" s="150"/>
      <c r="BV142" s="150"/>
      <c r="BW142" s="150"/>
      <c r="BX142" s="150"/>
      <c r="BY142" s="150"/>
      <c r="BZ142" s="150"/>
      <c r="CA142" s="150"/>
      <c r="CB142" s="150"/>
      <c r="CC142" s="150"/>
      <c r="CD142" s="150"/>
      <c r="CE142" s="150"/>
      <c r="CF142" s="150"/>
      <c r="CG142" s="150"/>
      <c r="CH142" s="150"/>
      <c r="CI142" s="150"/>
      <c r="CJ142" s="150"/>
      <c r="CK142" s="150"/>
      <c r="CL142" s="150"/>
      <c r="CM142" s="150"/>
      <c r="CN142" s="150"/>
      <c r="CO142" s="150"/>
      <c r="CP142" s="150"/>
      <c r="CQ142" s="150"/>
      <c r="CR142" s="150"/>
      <c r="CS142" s="150"/>
      <c r="CT142" s="150"/>
      <c r="CU142" s="150"/>
      <c r="CV142" s="150"/>
      <c r="CW142" s="150"/>
      <c r="CX142" s="150"/>
      <c r="CY142" s="150"/>
      <c r="CZ142" s="150"/>
      <c r="DA142" s="150"/>
      <c r="DB142" s="150"/>
      <c r="DC142" s="150"/>
      <c r="DD142" s="150"/>
      <c r="DE142" s="150"/>
      <c r="DF142" s="150"/>
      <c r="DG142" s="150"/>
      <c r="DH142" s="150"/>
      <c r="DI142" s="150"/>
      <c r="DJ142" s="150"/>
      <c r="DK142" s="150"/>
      <c r="DL142" s="150"/>
      <c r="DM142" s="150"/>
      <c r="DN142" s="150"/>
      <c r="DO142" s="150"/>
      <c r="DP142" s="150"/>
      <c r="DQ142" s="150"/>
      <c r="DR142" s="150"/>
      <c r="DS142" s="150"/>
      <c r="DT142" s="150"/>
      <c r="DU142" s="150"/>
      <c r="DV142" s="150"/>
      <c r="DW142" s="150"/>
      <c r="DX142" s="150"/>
      <c r="DY142" s="150"/>
      <c r="DZ142" s="150"/>
      <c r="EA142" s="150"/>
      <c r="EB142" s="150"/>
      <c r="EC142" s="150"/>
      <c r="ED142" s="150"/>
      <c r="EE142" s="150"/>
      <c r="EF142" s="150"/>
      <c r="EG142" s="150"/>
      <c r="EH142" s="150"/>
      <c r="EI142" s="150"/>
      <c r="EJ142" s="150"/>
      <c r="EK142" s="150"/>
      <c r="EL142" s="150"/>
      <c r="EM142" s="150"/>
      <c r="EN142" s="150"/>
      <c r="EO142" s="150"/>
      <c r="EP142" s="150"/>
      <c r="EQ142" s="150"/>
      <c r="ER142" s="150"/>
      <c r="ES142" s="150"/>
      <c r="ET142" s="150"/>
      <c r="EU142" s="150"/>
      <c r="EV142" s="150"/>
      <c r="EW142" s="150"/>
      <c r="EX142" s="150"/>
      <c r="EY142" s="150"/>
      <c r="EZ142" s="150"/>
      <c r="FA142" s="150"/>
      <c r="FB142" s="150"/>
      <c r="FC142" s="150"/>
      <c r="FD142" s="150"/>
      <c r="FE142" s="150"/>
      <c r="FF142" s="150"/>
      <c r="FG142" s="150"/>
      <c r="FH142" s="150"/>
      <c r="FI142" s="150"/>
      <c r="FJ142" s="150"/>
      <c r="FK142" s="150"/>
      <c r="FL142" s="150"/>
      <c r="FM142" s="150"/>
      <c r="FN142" s="150"/>
      <c r="FO142" s="150"/>
      <c r="FP142" s="150"/>
      <c r="FQ142" s="150"/>
      <c r="FR142" s="150"/>
      <c r="FS142" s="150"/>
      <c r="FT142" s="150"/>
      <c r="FU142" s="150"/>
      <c r="FV142" s="150"/>
      <c r="FW142" s="150"/>
      <c r="FX142" s="150"/>
      <c r="FY142" s="150"/>
      <c r="FZ142" s="150"/>
      <c r="GA142" s="150"/>
      <c r="GB142" s="150"/>
      <c r="GC142" s="150"/>
      <c r="GD142" s="150"/>
      <c r="GE142" s="150"/>
      <c r="GF142" s="150"/>
      <c r="GG142" s="150"/>
      <c r="GH142" s="150"/>
      <c r="GI142" s="150"/>
      <c r="GJ142" s="150"/>
      <c r="GK142" s="150"/>
      <c r="GL142" s="150"/>
      <c r="GM142" s="150"/>
      <c r="GN142" s="150"/>
      <c r="GO142" s="150"/>
      <c r="GP142" s="150"/>
      <c r="GQ142" s="150"/>
      <c r="GR142" s="150"/>
      <c r="GS142" s="150"/>
      <c r="GT142" s="150"/>
      <c r="GU142" s="150"/>
      <c r="GV142" s="150"/>
      <c r="GW142" s="150"/>
      <c r="GX142" s="150"/>
      <c r="GY142" s="150"/>
      <c r="GZ142" s="150"/>
      <c r="HA142" s="150"/>
      <c r="HB142" s="150"/>
      <c r="HC142" s="150"/>
      <c r="HD142" s="150"/>
      <c r="HE142" s="150"/>
      <c r="HF142" s="150"/>
      <c r="HG142" s="150"/>
      <c r="HH142" s="150"/>
      <c r="HI142" s="150"/>
      <c r="HJ142" s="150"/>
      <c r="HK142" s="150"/>
      <c r="HL142" s="150"/>
      <c r="HM142" s="150"/>
      <c r="HN142" s="150"/>
      <c r="HO142" s="150"/>
      <c r="HP142" s="150"/>
      <c r="HQ142" s="150"/>
      <c r="HR142" s="150"/>
      <c r="HS142" s="150"/>
      <c r="HT142" s="150"/>
      <c r="HU142" s="150"/>
      <c r="HV142" s="150"/>
      <c r="HW142" s="150"/>
      <c r="HX142" s="150"/>
      <c r="HY142" s="150"/>
      <c r="HZ142" s="150"/>
      <c r="IA142" s="150"/>
      <c r="IB142" s="150"/>
      <c r="IC142" s="150"/>
      <c r="ID142" s="150"/>
      <c r="IE142" s="150"/>
      <c r="IF142" s="150"/>
      <c r="IG142" s="150"/>
      <c r="IH142" s="150"/>
      <c r="II142" s="150"/>
      <c r="IJ142" s="150"/>
      <c r="IK142" s="150"/>
      <c r="IL142" s="150"/>
      <c r="IM142" s="150"/>
      <c r="IN142" s="150"/>
      <c r="IO142" s="150"/>
      <c r="IP142" s="150"/>
      <c r="IQ142" s="150"/>
      <c r="IR142" s="150"/>
      <c r="IS142" s="150"/>
      <c r="IT142" s="150"/>
      <c r="IU142" s="150"/>
      <c r="IV142" s="150"/>
      <c r="IW142" s="150"/>
      <c r="IX142" s="150"/>
      <c r="IY142" s="150"/>
      <c r="IZ142" s="150"/>
      <c r="JA142" s="150"/>
      <c r="JB142" s="150"/>
      <c r="JC142" s="150"/>
      <c r="JD142" s="150"/>
      <c r="JE142" s="150"/>
      <c r="JF142" s="150"/>
      <c r="JG142" s="150"/>
      <c r="JH142" s="150"/>
      <c r="JI142" s="150"/>
      <c r="JJ142" s="150"/>
      <c r="JK142" s="150"/>
      <c r="JL142" s="150"/>
      <c r="JM142" s="150"/>
      <c r="JN142" s="150"/>
      <c r="JO142" s="150"/>
      <c r="JP142" s="150"/>
      <c r="JQ142" s="150"/>
      <c r="JR142" s="150"/>
      <c r="JS142" s="150"/>
      <c r="JT142" s="150"/>
      <c r="JU142" s="150"/>
      <c r="JV142" s="150"/>
      <c r="JW142" s="150"/>
      <c r="JX142" s="150"/>
      <c r="JY142" s="150"/>
      <c r="JZ142" s="150"/>
      <c r="KA142" s="150"/>
      <c r="KB142" s="150"/>
      <c r="KC142" s="150"/>
      <c r="KD142" s="150"/>
      <c r="KE142" s="150"/>
      <c r="KF142" s="150"/>
      <c r="KG142" s="150"/>
      <c r="KH142" s="150"/>
      <c r="KI142" s="150"/>
      <c r="KJ142" s="150"/>
      <c r="KK142" s="150"/>
      <c r="KL142" s="150"/>
      <c r="KM142" s="150"/>
      <c r="KN142" s="150"/>
      <c r="KO142" s="150"/>
      <c r="KP142" s="150"/>
      <c r="KQ142" s="150"/>
      <c r="KR142" s="150"/>
      <c r="KS142" s="150"/>
      <c r="KT142" s="150"/>
      <c r="KU142" s="92"/>
    </row>
    <row r="143" spans="2:307" s="157" customFormat="1" x14ac:dyDescent="0.15">
      <c r="C143" s="92" t="s">
        <v>309</v>
      </c>
      <c r="D143" s="225"/>
      <c r="F143" s="150">
        <f t="shared" ref="F143:AK150" si="30">IF(F$4&gt;$F$6,0,F24*$K105)</f>
        <v>0</v>
      </c>
      <c r="G143" s="150">
        <f t="shared" si="30"/>
        <v>0</v>
      </c>
      <c r="H143" s="150">
        <f t="shared" si="30"/>
        <v>0</v>
      </c>
      <c r="I143" s="150">
        <f t="shared" si="30"/>
        <v>0</v>
      </c>
      <c r="J143" s="150">
        <f t="shared" si="30"/>
        <v>3.1021853885286436E-2</v>
      </c>
      <c r="K143" s="150">
        <f t="shared" si="30"/>
        <v>2.7104936649981065E-2</v>
      </c>
      <c r="L143" s="150">
        <f t="shared" si="30"/>
        <v>2.5588668435796699E-2</v>
      </c>
      <c r="M143" s="150">
        <f t="shared" si="30"/>
        <v>2.4118695670563486E-2</v>
      </c>
      <c r="N143" s="150">
        <f t="shared" si="30"/>
        <v>2.2687662364919169E-2</v>
      </c>
      <c r="O143" s="150">
        <f t="shared" si="30"/>
        <v>2.0636905222588417E-2</v>
      </c>
      <c r="P143" s="150">
        <f t="shared" si="30"/>
        <v>1.7914986128845213E-2</v>
      </c>
      <c r="Q143" s="150">
        <f t="shared" si="30"/>
        <v>1.2308963114979345E-2</v>
      </c>
      <c r="R143" s="150">
        <f t="shared" si="30"/>
        <v>0.10889502832654968</v>
      </c>
      <c r="S143" s="150">
        <f t="shared" si="30"/>
        <v>0</v>
      </c>
      <c r="T143" s="150">
        <f t="shared" si="30"/>
        <v>0</v>
      </c>
      <c r="U143" s="150">
        <f t="shared" si="30"/>
        <v>0</v>
      </c>
      <c r="V143" s="150">
        <f t="shared" si="30"/>
        <v>0</v>
      </c>
      <c r="W143" s="150">
        <f t="shared" si="30"/>
        <v>0</v>
      </c>
      <c r="X143" s="150">
        <f t="shared" si="30"/>
        <v>0</v>
      </c>
      <c r="Y143" s="150">
        <f t="shared" si="30"/>
        <v>0</v>
      </c>
      <c r="Z143" s="150">
        <f t="shared" si="30"/>
        <v>0</v>
      </c>
      <c r="AA143" s="150">
        <f t="shared" si="30"/>
        <v>0</v>
      </c>
      <c r="AB143" s="150">
        <f t="shared" si="30"/>
        <v>0</v>
      </c>
      <c r="AC143" s="150">
        <f t="shared" si="30"/>
        <v>0</v>
      </c>
      <c r="AD143" s="150">
        <f t="shared" si="30"/>
        <v>0</v>
      </c>
      <c r="AE143" s="150">
        <f t="shared" si="30"/>
        <v>0</v>
      </c>
      <c r="AF143" s="150">
        <f t="shared" si="30"/>
        <v>0</v>
      </c>
      <c r="AG143" s="150">
        <f t="shared" si="30"/>
        <v>0</v>
      </c>
      <c r="AH143" s="150">
        <f t="shared" si="30"/>
        <v>0</v>
      </c>
      <c r="AI143" s="150">
        <f t="shared" si="30"/>
        <v>0</v>
      </c>
      <c r="AJ143" s="150">
        <f t="shared" si="30"/>
        <v>0</v>
      </c>
      <c r="AK143" s="150">
        <f t="shared" si="30"/>
        <v>0</v>
      </c>
      <c r="AL143" s="150">
        <f t="shared" si="29"/>
        <v>0</v>
      </c>
      <c r="AM143" s="150">
        <f t="shared" si="29"/>
        <v>0</v>
      </c>
      <c r="AN143" s="150">
        <f t="shared" si="29"/>
        <v>0</v>
      </c>
      <c r="AO143" s="150">
        <f t="shared" si="29"/>
        <v>0</v>
      </c>
      <c r="AP143" s="150">
        <f t="shared" si="29"/>
        <v>0</v>
      </c>
      <c r="AQ143" s="150">
        <f t="shared" si="29"/>
        <v>0</v>
      </c>
      <c r="AR143" s="150">
        <f t="shared" si="29"/>
        <v>0</v>
      </c>
      <c r="AS143" s="150">
        <f t="shared" si="29"/>
        <v>0</v>
      </c>
      <c r="AT143" s="150">
        <f t="shared" si="29"/>
        <v>0</v>
      </c>
      <c r="AU143" s="150">
        <f t="shared" si="29"/>
        <v>0</v>
      </c>
      <c r="AV143" s="150">
        <f t="shared" si="29"/>
        <v>0</v>
      </c>
      <c r="AW143" s="150">
        <f t="shared" si="29"/>
        <v>0</v>
      </c>
      <c r="AX143" s="150">
        <f t="shared" si="29"/>
        <v>0</v>
      </c>
      <c r="AY143" s="150">
        <f t="shared" si="29"/>
        <v>0</v>
      </c>
      <c r="AZ143" s="150">
        <f t="shared" si="29"/>
        <v>0</v>
      </c>
      <c r="BA143" s="150">
        <f t="shared" si="29"/>
        <v>0</v>
      </c>
      <c r="BB143" s="150">
        <f t="shared" si="29"/>
        <v>0</v>
      </c>
      <c r="BC143" s="150">
        <f t="shared" si="29"/>
        <v>0</v>
      </c>
      <c r="BD143" s="150">
        <f t="shared" si="29"/>
        <v>0</v>
      </c>
      <c r="BE143" s="150">
        <f t="shared" si="29"/>
        <v>0</v>
      </c>
      <c r="BF143" s="150">
        <f t="shared" si="29"/>
        <v>0</v>
      </c>
      <c r="BG143" s="150">
        <f t="shared" si="29"/>
        <v>0</v>
      </c>
      <c r="BH143" s="150">
        <f t="shared" si="29"/>
        <v>0</v>
      </c>
      <c r="BI143" s="150">
        <f t="shared" si="29"/>
        <v>0</v>
      </c>
      <c r="BJ143" s="150">
        <f t="shared" si="29"/>
        <v>0</v>
      </c>
      <c r="BK143" s="150">
        <f t="shared" si="29"/>
        <v>0</v>
      </c>
      <c r="BL143" s="150">
        <f t="shared" si="29"/>
        <v>0</v>
      </c>
      <c r="BM143" s="150">
        <f t="shared" si="29"/>
        <v>0</v>
      </c>
      <c r="BN143" s="150"/>
      <c r="BO143" s="150"/>
      <c r="BP143" s="150"/>
      <c r="BQ143" s="150"/>
      <c r="BR143" s="150"/>
      <c r="BS143" s="150"/>
      <c r="BT143" s="150"/>
      <c r="BU143" s="150"/>
      <c r="BV143" s="150"/>
      <c r="BW143" s="150"/>
      <c r="BX143" s="150"/>
      <c r="BY143" s="150"/>
      <c r="BZ143" s="150"/>
      <c r="CA143" s="150"/>
      <c r="CB143" s="150"/>
      <c r="CC143" s="150"/>
      <c r="CD143" s="150"/>
      <c r="CE143" s="150"/>
      <c r="CF143" s="150"/>
      <c r="CG143" s="150"/>
      <c r="CH143" s="150"/>
      <c r="CI143" s="150"/>
      <c r="CJ143" s="150"/>
      <c r="CK143" s="150"/>
      <c r="CL143" s="150"/>
      <c r="CM143" s="150"/>
      <c r="CN143" s="150"/>
      <c r="CO143" s="150"/>
      <c r="CP143" s="150"/>
      <c r="CQ143" s="150"/>
      <c r="CR143" s="150"/>
      <c r="CS143" s="150"/>
      <c r="CT143" s="150"/>
      <c r="CU143" s="150"/>
      <c r="CV143" s="150"/>
      <c r="CW143" s="150"/>
      <c r="CX143" s="150"/>
      <c r="CY143" s="150"/>
      <c r="CZ143" s="150"/>
      <c r="DA143" s="150"/>
      <c r="DB143" s="150"/>
      <c r="DC143" s="150"/>
      <c r="DD143" s="150"/>
      <c r="DE143" s="150"/>
      <c r="DF143" s="150"/>
      <c r="DG143" s="150"/>
      <c r="DH143" s="150"/>
      <c r="DI143" s="150"/>
      <c r="DJ143" s="150"/>
      <c r="DK143" s="150"/>
      <c r="DL143" s="150"/>
      <c r="DM143" s="150"/>
      <c r="DN143" s="150"/>
      <c r="DO143" s="150"/>
      <c r="DP143" s="150"/>
      <c r="DQ143" s="150"/>
      <c r="DR143" s="150"/>
      <c r="DS143" s="150"/>
      <c r="DT143" s="150"/>
      <c r="DU143" s="150"/>
      <c r="DV143" s="150"/>
      <c r="DW143" s="150"/>
      <c r="DX143" s="150"/>
      <c r="DY143" s="150"/>
      <c r="DZ143" s="150"/>
      <c r="EA143" s="150"/>
      <c r="EB143" s="150"/>
      <c r="EC143" s="150"/>
      <c r="ED143" s="150"/>
      <c r="EE143" s="150"/>
      <c r="EF143" s="150"/>
      <c r="EG143" s="150"/>
      <c r="EH143" s="150"/>
      <c r="EI143" s="150"/>
      <c r="EJ143" s="150"/>
      <c r="EK143" s="150"/>
      <c r="EL143" s="150"/>
      <c r="EM143" s="150"/>
      <c r="EN143" s="150"/>
      <c r="EO143" s="150"/>
      <c r="EP143" s="150"/>
      <c r="EQ143" s="150"/>
      <c r="ER143" s="150"/>
      <c r="ES143" s="150"/>
      <c r="ET143" s="150"/>
      <c r="EU143" s="150"/>
      <c r="EV143" s="150"/>
      <c r="EW143" s="150"/>
      <c r="EX143" s="150"/>
      <c r="EY143" s="150"/>
      <c r="EZ143" s="150"/>
      <c r="FA143" s="150"/>
      <c r="FB143" s="150"/>
      <c r="FC143" s="150"/>
      <c r="FD143" s="150"/>
      <c r="FE143" s="150"/>
      <c r="FF143" s="150"/>
      <c r="FG143" s="150"/>
      <c r="FH143" s="150"/>
      <c r="FI143" s="150"/>
      <c r="FJ143" s="150"/>
      <c r="FK143" s="150"/>
      <c r="FL143" s="150"/>
      <c r="FM143" s="150"/>
      <c r="FN143" s="150"/>
      <c r="FO143" s="150"/>
      <c r="FP143" s="150"/>
      <c r="FQ143" s="150"/>
      <c r="FR143" s="150"/>
      <c r="FS143" s="150"/>
      <c r="FT143" s="150"/>
      <c r="FU143" s="150"/>
      <c r="FV143" s="150"/>
      <c r="FW143" s="150"/>
      <c r="FX143" s="150"/>
      <c r="FY143" s="150"/>
      <c r="FZ143" s="150"/>
      <c r="GA143" s="150"/>
      <c r="GB143" s="150"/>
      <c r="GC143" s="150"/>
      <c r="GD143" s="150"/>
      <c r="GE143" s="150"/>
      <c r="GF143" s="150"/>
      <c r="GG143" s="150"/>
      <c r="GH143" s="150"/>
      <c r="GI143" s="150"/>
      <c r="GJ143" s="150"/>
      <c r="GK143" s="150"/>
      <c r="GL143" s="150"/>
      <c r="GM143" s="150"/>
      <c r="GN143" s="150"/>
      <c r="GO143" s="150"/>
      <c r="GP143" s="150"/>
      <c r="GQ143" s="150"/>
      <c r="GR143" s="150"/>
      <c r="GS143" s="150"/>
      <c r="GT143" s="150"/>
      <c r="GU143" s="150"/>
      <c r="GV143" s="150"/>
      <c r="GW143" s="150"/>
      <c r="GX143" s="150"/>
      <c r="GY143" s="150"/>
      <c r="GZ143" s="150"/>
      <c r="HA143" s="150"/>
      <c r="HB143" s="150"/>
      <c r="HC143" s="150"/>
      <c r="HD143" s="150"/>
      <c r="HE143" s="150"/>
      <c r="HF143" s="150"/>
      <c r="HG143" s="150"/>
      <c r="HH143" s="150"/>
      <c r="HI143" s="150"/>
      <c r="HJ143" s="150"/>
      <c r="HK143" s="150"/>
      <c r="HL143" s="150"/>
      <c r="HM143" s="150"/>
      <c r="HN143" s="150"/>
      <c r="HO143" s="150"/>
      <c r="HP143" s="150"/>
      <c r="HQ143" s="150"/>
      <c r="HR143" s="150"/>
      <c r="HS143" s="150"/>
      <c r="HT143" s="150"/>
      <c r="HU143" s="150"/>
      <c r="HV143" s="150"/>
      <c r="HW143" s="150"/>
      <c r="HX143" s="150"/>
      <c r="HY143" s="150"/>
      <c r="HZ143" s="150"/>
      <c r="IA143" s="150"/>
      <c r="IB143" s="150"/>
      <c r="IC143" s="150"/>
      <c r="ID143" s="150"/>
      <c r="IE143" s="150"/>
      <c r="IF143" s="150"/>
      <c r="IG143" s="150"/>
      <c r="IH143" s="150"/>
      <c r="II143" s="150"/>
      <c r="IJ143" s="150"/>
      <c r="IK143" s="150"/>
      <c r="IL143" s="150"/>
      <c r="IM143" s="150"/>
      <c r="IN143" s="150"/>
      <c r="IO143" s="150"/>
      <c r="IP143" s="150"/>
      <c r="IQ143" s="150"/>
      <c r="IR143" s="150"/>
      <c r="IS143" s="150"/>
      <c r="IT143" s="150"/>
      <c r="IU143" s="150"/>
      <c r="IV143" s="150"/>
      <c r="IW143" s="150"/>
      <c r="IX143" s="150"/>
      <c r="IY143" s="150"/>
      <c r="IZ143" s="150"/>
      <c r="JA143" s="150"/>
      <c r="JB143" s="150"/>
      <c r="JC143" s="150"/>
      <c r="JD143" s="150"/>
      <c r="JE143" s="150"/>
      <c r="JF143" s="150"/>
      <c r="JG143" s="150"/>
      <c r="JH143" s="150"/>
      <c r="JI143" s="150"/>
      <c r="JJ143" s="150"/>
      <c r="JK143" s="150"/>
      <c r="JL143" s="150"/>
      <c r="JM143" s="150"/>
      <c r="JN143" s="150"/>
      <c r="JO143" s="150"/>
      <c r="JP143" s="150"/>
      <c r="JQ143" s="150"/>
      <c r="JR143" s="150"/>
      <c r="JS143" s="150"/>
      <c r="JT143" s="150"/>
      <c r="JU143" s="150"/>
      <c r="JV143" s="150"/>
      <c r="JW143" s="150"/>
      <c r="JX143" s="150"/>
      <c r="JY143" s="150"/>
      <c r="JZ143" s="150"/>
      <c r="KA143" s="150"/>
      <c r="KB143" s="150"/>
      <c r="KC143" s="150"/>
      <c r="KD143" s="150"/>
      <c r="KE143" s="150"/>
      <c r="KF143" s="150"/>
      <c r="KG143" s="150"/>
      <c r="KH143" s="150"/>
      <c r="KI143" s="150"/>
      <c r="KJ143" s="150"/>
      <c r="KK143" s="150"/>
      <c r="KL143" s="150"/>
      <c r="KM143" s="150"/>
      <c r="KN143" s="150"/>
      <c r="KO143" s="150"/>
      <c r="KP143" s="150"/>
      <c r="KQ143" s="150"/>
      <c r="KR143" s="150"/>
      <c r="KS143" s="150"/>
      <c r="KT143" s="150"/>
      <c r="KU143" s="92"/>
    </row>
    <row r="144" spans="2:307" s="157" customFormat="1" x14ac:dyDescent="0.15">
      <c r="C144" s="92" t="s">
        <v>310</v>
      </c>
      <c r="D144" s="225"/>
      <c r="F144" s="150">
        <f t="shared" si="30"/>
        <v>0</v>
      </c>
      <c r="G144" s="150">
        <f t="shared" si="30"/>
        <v>0</v>
      </c>
      <c r="H144" s="150">
        <f t="shared" si="30"/>
        <v>0</v>
      </c>
      <c r="I144" s="150">
        <f t="shared" si="30"/>
        <v>0</v>
      </c>
      <c r="J144" s="150">
        <f t="shared" si="30"/>
        <v>0</v>
      </c>
      <c r="K144" s="150">
        <f t="shared" si="30"/>
        <v>3.0866744615860003E-2</v>
      </c>
      <c r="L144" s="150">
        <f t="shared" si="30"/>
        <v>2.6969411966731159E-2</v>
      </c>
      <c r="M144" s="150">
        <f t="shared" si="30"/>
        <v>2.5460725093617714E-2</v>
      </c>
      <c r="N144" s="150">
        <f t="shared" si="30"/>
        <v>2.3998102192210668E-2</v>
      </c>
      <c r="O144" s="150">
        <f t="shared" si="30"/>
        <v>2.2574224053094574E-2</v>
      </c>
      <c r="P144" s="150">
        <f t="shared" si="30"/>
        <v>2.0533720696475476E-2</v>
      </c>
      <c r="Q144" s="150">
        <f t="shared" si="30"/>
        <v>1.782541119820099E-2</v>
      </c>
      <c r="R144" s="150">
        <f t="shared" si="30"/>
        <v>1.2247418299404449E-2</v>
      </c>
      <c r="S144" s="150">
        <f t="shared" si="30"/>
        <v>0.10835055318491693</v>
      </c>
      <c r="T144" s="150">
        <f t="shared" si="30"/>
        <v>0</v>
      </c>
      <c r="U144" s="150">
        <f t="shared" si="30"/>
        <v>0</v>
      </c>
      <c r="V144" s="150">
        <f t="shared" si="30"/>
        <v>0</v>
      </c>
      <c r="W144" s="150">
        <f t="shared" si="30"/>
        <v>0</v>
      </c>
      <c r="X144" s="150">
        <f t="shared" si="30"/>
        <v>0</v>
      </c>
      <c r="Y144" s="150">
        <f t="shared" si="30"/>
        <v>0</v>
      </c>
      <c r="Z144" s="150">
        <f t="shared" si="30"/>
        <v>0</v>
      </c>
      <c r="AA144" s="150">
        <f t="shared" si="30"/>
        <v>0</v>
      </c>
      <c r="AB144" s="150">
        <f t="shared" si="30"/>
        <v>0</v>
      </c>
      <c r="AC144" s="150">
        <f t="shared" si="30"/>
        <v>0</v>
      </c>
      <c r="AD144" s="150">
        <f t="shared" si="30"/>
        <v>0</v>
      </c>
      <c r="AE144" s="150">
        <f t="shared" si="30"/>
        <v>0</v>
      </c>
      <c r="AF144" s="150">
        <f t="shared" si="30"/>
        <v>0</v>
      </c>
      <c r="AG144" s="150">
        <f t="shared" si="30"/>
        <v>0</v>
      </c>
      <c r="AH144" s="150">
        <f t="shared" si="30"/>
        <v>0</v>
      </c>
      <c r="AI144" s="150">
        <f t="shared" si="30"/>
        <v>0</v>
      </c>
      <c r="AJ144" s="150">
        <f t="shared" si="30"/>
        <v>0</v>
      </c>
      <c r="AK144" s="150">
        <f t="shared" si="30"/>
        <v>0</v>
      </c>
      <c r="AL144" s="150">
        <f t="shared" si="29"/>
        <v>0</v>
      </c>
      <c r="AM144" s="150">
        <f t="shared" si="29"/>
        <v>0</v>
      </c>
      <c r="AN144" s="150">
        <f t="shared" si="29"/>
        <v>0</v>
      </c>
      <c r="AO144" s="150">
        <f t="shared" si="29"/>
        <v>0</v>
      </c>
      <c r="AP144" s="150">
        <f t="shared" si="29"/>
        <v>0</v>
      </c>
      <c r="AQ144" s="150">
        <f t="shared" si="29"/>
        <v>0</v>
      </c>
      <c r="AR144" s="150">
        <f t="shared" si="29"/>
        <v>0</v>
      </c>
      <c r="AS144" s="150">
        <f t="shared" si="29"/>
        <v>0</v>
      </c>
      <c r="AT144" s="150">
        <f t="shared" si="29"/>
        <v>0</v>
      </c>
      <c r="AU144" s="150">
        <f t="shared" si="29"/>
        <v>0</v>
      </c>
      <c r="AV144" s="150">
        <f t="shared" si="29"/>
        <v>0</v>
      </c>
      <c r="AW144" s="150">
        <f t="shared" si="29"/>
        <v>0</v>
      </c>
      <c r="AX144" s="150">
        <f t="shared" si="29"/>
        <v>0</v>
      </c>
      <c r="AY144" s="150">
        <f t="shared" si="29"/>
        <v>0</v>
      </c>
      <c r="AZ144" s="150">
        <f t="shared" si="29"/>
        <v>0</v>
      </c>
      <c r="BA144" s="150">
        <f t="shared" si="29"/>
        <v>0</v>
      </c>
      <c r="BB144" s="150">
        <f t="shared" si="29"/>
        <v>0</v>
      </c>
      <c r="BC144" s="150">
        <f t="shared" si="29"/>
        <v>0</v>
      </c>
      <c r="BD144" s="150">
        <f t="shared" si="29"/>
        <v>0</v>
      </c>
      <c r="BE144" s="150">
        <f t="shared" si="29"/>
        <v>0</v>
      </c>
      <c r="BF144" s="150">
        <f t="shared" si="29"/>
        <v>0</v>
      </c>
      <c r="BG144" s="150">
        <f t="shared" si="29"/>
        <v>0</v>
      </c>
      <c r="BH144" s="150">
        <f t="shared" si="29"/>
        <v>0</v>
      </c>
      <c r="BI144" s="150">
        <f t="shared" si="29"/>
        <v>0</v>
      </c>
      <c r="BJ144" s="150">
        <f t="shared" si="29"/>
        <v>0</v>
      </c>
      <c r="BK144" s="150">
        <f t="shared" si="29"/>
        <v>0</v>
      </c>
      <c r="BL144" s="150">
        <f t="shared" si="29"/>
        <v>0</v>
      </c>
      <c r="BM144" s="150">
        <f t="shared" si="29"/>
        <v>0</v>
      </c>
      <c r="BN144" s="150"/>
      <c r="BO144" s="150"/>
      <c r="BP144" s="150"/>
      <c r="BQ144" s="150"/>
      <c r="BR144" s="150"/>
      <c r="BS144" s="150"/>
      <c r="BT144" s="150"/>
      <c r="BU144" s="150"/>
      <c r="BV144" s="150"/>
      <c r="BW144" s="150"/>
      <c r="BX144" s="150"/>
      <c r="BY144" s="150"/>
      <c r="BZ144" s="150"/>
      <c r="CA144" s="150"/>
      <c r="CB144" s="150"/>
      <c r="CC144" s="150"/>
      <c r="CD144" s="150"/>
      <c r="CE144" s="150"/>
      <c r="CF144" s="150"/>
      <c r="CG144" s="150"/>
      <c r="CH144" s="150"/>
      <c r="CI144" s="150"/>
      <c r="CJ144" s="150"/>
      <c r="CK144" s="150"/>
      <c r="CL144" s="150"/>
      <c r="CM144" s="150"/>
      <c r="CN144" s="150"/>
      <c r="CO144" s="150"/>
      <c r="CP144" s="150"/>
      <c r="CQ144" s="150"/>
      <c r="CR144" s="150"/>
      <c r="CS144" s="150"/>
      <c r="CT144" s="150"/>
      <c r="CU144" s="150"/>
      <c r="CV144" s="150"/>
      <c r="CW144" s="150"/>
      <c r="CX144" s="150"/>
      <c r="CY144" s="150"/>
      <c r="CZ144" s="150"/>
      <c r="DA144" s="150"/>
      <c r="DB144" s="150"/>
      <c r="DC144" s="150"/>
      <c r="DD144" s="150"/>
      <c r="DE144" s="150"/>
      <c r="DF144" s="150"/>
      <c r="DG144" s="150"/>
      <c r="DH144" s="150"/>
      <c r="DI144" s="150"/>
      <c r="DJ144" s="150"/>
      <c r="DK144" s="150"/>
      <c r="DL144" s="150"/>
      <c r="DM144" s="150"/>
      <c r="DN144" s="150"/>
      <c r="DO144" s="150"/>
      <c r="DP144" s="150"/>
      <c r="DQ144" s="150"/>
      <c r="DR144" s="150"/>
      <c r="DS144" s="150"/>
      <c r="DT144" s="150"/>
      <c r="DU144" s="150"/>
      <c r="DV144" s="150"/>
      <c r="DW144" s="150"/>
      <c r="DX144" s="150"/>
      <c r="DY144" s="150"/>
      <c r="DZ144" s="150"/>
      <c r="EA144" s="150"/>
      <c r="EB144" s="150"/>
      <c r="EC144" s="150"/>
      <c r="ED144" s="150"/>
      <c r="EE144" s="150"/>
      <c r="EF144" s="150"/>
      <c r="EG144" s="150"/>
      <c r="EH144" s="150"/>
      <c r="EI144" s="150"/>
      <c r="EJ144" s="150"/>
      <c r="EK144" s="150"/>
      <c r="EL144" s="150"/>
      <c r="EM144" s="150"/>
      <c r="EN144" s="150"/>
      <c r="EO144" s="150"/>
      <c r="EP144" s="150"/>
      <c r="EQ144" s="150"/>
      <c r="ER144" s="150"/>
      <c r="ES144" s="150"/>
      <c r="ET144" s="150"/>
      <c r="EU144" s="150"/>
      <c r="EV144" s="150"/>
      <c r="EW144" s="150"/>
      <c r="EX144" s="150"/>
      <c r="EY144" s="150"/>
      <c r="EZ144" s="150"/>
      <c r="FA144" s="150"/>
      <c r="FB144" s="150"/>
      <c r="FC144" s="150"/>
      <c r="FD144" s="150"/>
      <c r="FE144" s="150"/>
      <c r="FF144" s="150"/>
      <c r="FG144" s="150"/>
      <c r="FH144" s="150"/>
      <c r="FI144" s="150"/>
      <c r="FJ144" s="150"/>
      <c r="FK144" s="150"/>
      <c r="FL144" s="150"/>
      <c r="FM144" s="150"/>
      <c r="FN144" s="150"/>
      <c r="FO144" s="150"/>
      <c r="FP144" s="150"/>
      <c r="FQ144" s="150"/>
      <c r="FR144" s="150"/>
      <c r="FS144" s="150"/>
      <c r="FT144" s="150"/>
      <c r="FU144" s="150"/>
      <c r="FV144" s="150"/>
      <c r="FW144" s="150"/>
      <c r="FX144" s="150"/>
      <c r="FY144" s="150"/>
      <c r="FZ144" s="150"/>
      <c r="GA144" s="150"/>
      <c r="GB144" s="150"/>
      <c r="GC144" s="150"/>
      <c r="GD144" s="150"/>
      <c r="GE144" s="150"/>
      <c r="GF144" s="150"/>
      <c r="GG144" s="150"/>
      <c r="GH144" s="150"/>
      <c r="GI144" s="150"/>
      <c r="GJ144" s="150"/>
      <c r="GK144" s="150"/>
      <c r="GL144" s="150"/>
      <c r="GM144" s="150"/>
      <c r="GN144" s="150"/>
      <c r="GO144" s="150"/>
      <c r="GP144" s="150"/>
      <c r="GQ144" s="150"/>
      <c r="GR144" s="150"/>
      <c r="GS144" s="150"/>
      <c r="GT144" s="150"/>
      <c r="GU144" s="150"/>
      <c r="GV144" s="150"/>
      <c r="GW144" s="150"/>
      <c r="GX144" s="150"/>
      <c r="GY144" s="150"/>
      <c r="GZ144" s="150"/>
      <c r="HA144" s="150"/>
      <c r="HB144" s="150"/>
      <c r="HC144" s="150"/>
      <c r="HD144" s="150"/>
      <c r="HE144" s="150"/>
      <c r="HF144" s="150"/>
      <c r="HG144" s="150"/>
      <c r="HH144" s="150"/>
      <c r="HI144" s="150"/>
      <c r="HJ144" s="150"/>
      <c r="HK144" s="150"/>
      <c r="HL144" s="150"/>
      <c r="HM144" s="150"/>
      <c r="HN144" s="150"/>
      <c r="HO144" s="150"/>
      <c r="HP144" s="150"/>
      <c r="HQ144" s="150"/>
      <c r="HR144" s="150"/>
      <c r="HS144" s="150"/>
      <c r="HT144" s="150"/>
      <c r="HU144" s="150"/>
      <c r="HV144" s="150"/>
      <c r="HW144" s="150"/>
      <c r="HX144" s="150"/>
      <c r="HY144" s="150"/>
      <c r="HZ144" s="150"/>
      <c r="IA144" s="150"/>
      <c r="IB144" s="150"/>
      <c r="IC144" s="150"/>
      <c r="ID144" s="150"/>
      <c r="IE144" s="150"/>
      <c r="IF144" s="150"/>
      <c r="IG144" s="150"/>
      <c r="IH144" s="150"/>
      <c r="II144" s="150"/>
      <c r="IJ144" s="150"/>
      <c r="IK144" s="150"/>
      <c r="IL144" s="150"/>
      <c r="IM144" s="150"/>
      <c r="IN144" s="150"/>
      <c r="IO144" s="150"/>
      <c r="IP144" s="150"/>
      <c r="IQ144" s="150"/>
      <c r="IR144" s="150"/>
      <c r="IS144" s="150"/>
      <c r="IT144" s="150"/>
      <c r="IU144" s="150"/>
      <c r="IV144" s="150"/>
      <c r="IW144" s="150"/>
      <c r="IX144" s="150"/>
      <c r="IY144" s="150"/>
      <c r="IZ144" s="150"/>
      <c r="JA144" s="150"/>
      <c r="JB144" s="150"/>
      <c r="JC144" s="150"/>
      <c r="JD144" s="150"/>
      <c r="JE144" s="150"/>
      <c r="JF144" s="150"/>
      <c r="JG144" s="150"/>
      <c r="JH144" s="150"/>
      <c r="JI144" s="150"/>
      <c r="JJ144" s="150"/>
      <c r="JK144" s="150"/>
      <c r="JL144" s="150"/>
      <c r="JM144" s="150"/>
      <c r="JN144" s="150"/>
      <c r="JO144" s="150"/>
      <c r="JP144" s="150"/>
      <c r="JQ144" s="150"/>
      <c r="JR144" s="150"/>
      <c r="JS144" s="150"/>
      <c r="JT144" s="150"/>
      <c r="JU144" s="150"/>
      <c r="JV144" s="150"/>
      <c r="JW144" s="150"/>
      <c r="JX144" s="150"/>
      <c r="JY144" s="150"/>
      <c r="JZ144" s="150"/>
      <c r="KA144" s="150"/>
      <c r="KB144" s="150"/>
      <c r="KC144" s="150"/>
      <c r="KD144" s="150"/>
      <c r="KE144" s="150"/>
      <c r="KF144" s="150"/>
      <c r="KG144" s="150"/>
      <c r="KH144" s="150"/>
      <c r="KI144" s="150"/>
      <c r="KJ144" s="150"/>
      <c r="KK144" s="150"/>
      <c r="KL144" s="150"/>
      <c r="KM144" s="150"/>
      <c r="KN144" s="150"/>
      <c r="KO144" s="150"/>
      <c r="KP144" s="150"/>
      <c r="KQ144" s="150"/>
      <c r="KR144" s="150"/>
      <c r="KS144" s="150"/>
      <c r="KT144" s="150"/>
      <c r="KU144" s="92"/>
    </row>
    <row r="145" spans="2:307" s="157" customFormat="1" x14ac:dyDescent="0.15">
      <c r="C145" s="92" t="s">
        <v>312</v>
      </c>
      <c r="D145" s="225"/>
      <c r="F145" s="150">
        <f t="shared" si="30"/>
        <v>0</v>
      </c>
      <c r="G145" s="150">
        <f t="shared" si="30"/>
        <v>0</v>
      </c>
      <c r="H145" s="150">
        <f t="shared" si="30"/>
        <v>0</v>
      </c>
      <c r="I145" s="150">
        <f t="shared" si="30"/>
        <v>0</v>
      </c>
      <c r="J145" s="150">
        <f t="shared" si="30"/>
        <v>0</v>
      </c>
      <c r="K145" s="150">
        <f t="shared" si="30"/>
        <v>0</v>
      </c>
      <c r="L145" s="150">
        <f t="shared" si="30"/>
        <v>7.5493363337585301E-2</v>
      </c>
      <c r="M145" s="150">
        <f t="shared" si="30"/>
        <v>6.5961332882487053E-2</v>
      </c>
      <c r="N145" s="150">
        <f t="shared" si="30"/>
        <v>6.2271411975956578E-2</v>
      </c>
      <c r="O145" s="150">
        <f t="shared" si="30"/>
        <v>5.8694153554442956E-2</v>
      </c>
      <c r="P145" s="150">
        <f t="shared" si="30"/>
        <v>5.5211656419014432E-2</v>
      </c>
      <c r="Q145" s="150">
        <f t="shared" si="30"/>
        <v>5.0221027727524348E-2</v>
      </c>
      <c r="R145" s="150">
        <f t="shared" si="30"/>
        <v>4.3597090038973503E-2</v>
      </c>
      <c r="S145" s="150">
        <f t="shared" si="30"/>
        <v>2.995452909372413E-2</v>
      </c>
      <c r="T145" s="150">
        <f t="shared" si="30"/>
        <v>0.26500195537997756</v>
      </c>
      <c r="U145" s="150">
        <f t="shared" si="30"/>
        <v>0</v>
      </c>
      <c r="V145" s="150">
        <f t="shared" si="30"/>
        <v>0</v>
      </c>
      <c r="W145" s="150">
        <f t="shared" si="30"/>
        <v>0</v>
      </c>
      <c r="X145" s="150">
        <f t="shared" si="30"/>
        <v>0</v>
      </c>
      <c r="Y145" s="150">
        <f t="shared" si="30"/>
        <v>0</v>
      </c>
      <c r="Z145" s="150">
        <f t="shared" si="30"/>
        <v>0</v>
      </c>
      <c r="AA145" s="150">
        <f t="shared" si="30"/>
        <v>0</v>
      </c>
      <c r="AB145" s="150">
        <f t="shared" si="30"/>
        <v>0</v>
      </c>
      <c r="AC145" s="150">
        <f t="shared" si="30"/>
        <v>0</v>
      </c>
      <c r="AD145" s="150">
        <f t="shared" si="30"/>
        <v>0</v>
      </c>
      <c r="AE145" s="150">
        <f t="shared" si="30"/>
        <v>0</v>
      </c>
      <c r="AF145" s="150">
        <f t="shared" si="30"/>
        <v>0</v>
      </c>
      <c r="AG145" s="150">
        <f t="shared" si="30"/>
        <v>0</v>
      </c>
      <c r="AH145" s="150">
        <f t="shared" si="30"/>
        <v>0</v>
      </c>
      <c r="AI145" s="150">
        <f t="shared" si="30"/>
        <v>0</v>
      </c>
      <c r="AJ145" s="150">
        <f t="shared" si="30"/>
        <v>0</v>
      </c>
      <c r="AK145" s="150">
        <f t="shared" si="30"/>
        <v>0</v>
      </c>
      <c r="AL145" s="150">
        <f t="shared" si="29"/>
        <v>0</v>
      </c>
      <c r="AM145" s="150">
        <f t="shared" si="29"/>
        <v>0</v>
      </c>
      <c r="AN145" s="150">
        <f t="shared" si="29"/>
        <v>0</v>
      </c>
      <c r="AO145" s="150">
        <f t="shared" si="29"/>
        <v>0</v>
      </c>
      <c r="AP145" s="150">
        <f t="shared" si="29"/>
        <v>0</v>
      </c>
      <c r="AQ145" s="150">
        <f t="shared" si="29"/>
        <v>0</v>
      </c>
      <c r="AR145" s="150">
        <f t="shared" si="29"/>
        <v>0</v>
      </c>
      <c r="AS145" s="150">
        <f t="shared" si="29"/>
        <v>0</v>
      </c>
      <c r="AT145" s="150">
        <f t="shared" si="29"/>
        <v>0</v>
      </c>
      <c r="AU145" s="150">
        <f t="shared" si="29"/>
        <v>0</v>
      </c>
      <c r="AV145" s="150">
        <f t="shared" si="29"/>
        <v>0</v>
      </c>
      <c r="AW145" s="150">
        <f t="shared" si="29"/>
        <v>0</v>
      </c>
      <c r="AX145" s="150">
        <f t="shared" si="29"/>
        <v>0</v>
      </c>
      <c r="AY145" s="150">
        <f t="shared" si="29"/>
        <v>0</v>
      </c>
      <c r="AZ145" s="150">
        <f t="shared" si="29"/>
        <v>0</v>
      </c>
      <c r="BA145" s="150">
        <f t="shared" si="29"/>
        <v>0</v>
      </c>
      <c r="BB145" s="150">
        <f t="shared" si="29"/>
        <v>0</v>
      </c>
      <c r="BC145" s="150">
        <f t="shared" si="29"/>
        <v>0</v>
      </c>
      <c r="BD145" s="150">
        <f t="shared" si="29"/>
        <v>0</v>
      </c>
      <c r="BE145" s="150">
        <f t="shared" si="29"/>
        <v>0</v>
      </c>
      <c r="BF145" s="150">
        <f t="shared" si="29"/>
        <v>0</v>
      </c>
      <c r="BG145" s="150">
        <f t="shared" si="29"/>
        <v>0</v>
      </c>
      <c r="BH145" s="150">
        <f t="shared" si="29"/>
        <v>0</v>
      </c>
      <c r="BI145" s="150">
        <f t="shared" si="29"/>
        <v>0</v>
      </c>
      <c r="BJ145" s="150">
        <f t="shared" si="29"/>
        <v>0</v>
      </c>
      <c r="BK145" s="150">
        <f t="shared" si="29"/>
        <v>0</v>
      </c>
      <c r="BL145" s="150">
        <f t="shared" si="29"/>
        <v>0</v>
      </c>
      <c r="BM145" s="150">
        <f t="shared" si="29"/>
        <v>0</v>
      </c>
      <c r="BN145" s="150"/>
      <c r="BO145" s="150"/>
      <c r="BP145" s="150"/>
      <c r="BQ145" s="150"/>
      <c r="BR145" s="150"/>
      <c r="BS145" s="150"/>
      <c r="BT145" s="150"/>
      <c r="BU145" s="150"/>
      <c r="BV145" s="150"/>
      <c r="BW145" s="150"/>
      <c r="BX145" s="150"/>
      <c r="BY145" s="150"/>
      <c r="BZ145" s="150"/>
      <c r="CA145" s="150"/>
      <c r="CB145" s="150"/>
      <c r="CC145" s="150"/>
      <c r="CD145" s="150"/>
      <c r="CE145" s="150"/>
      <c r="CF145" s="150"/>
      <c r="CG145" s="150"/>
      <c r="CH145" s="150"/>
      <c r="CI145" s="150"/>
      <c r="CJ145" s="150"/>
      <c r="CK145" s="150"/>
      <c r="CL145" s="150"/>
      <c r="CM145" s="150"/>
      <c r="CN145" s="150"/>
      <c r="CO145" s="150"/>
      <c r="CP145" s="150"/>
      <c r="CQ145" s="150"/>
      <c r="CR145" s="150"/>
      <c r="CS145" s="150"/>
      <c r="CT145" s="150"/>
      <c r="CU145" s="150"/>
      <c r="CV145" s="150"/>
      <c r="CW145" s="150"/>
      <c r="CX145" s="150"/>
      <c r="CY145" s="150"/>
      <c r="CZ145" s="150"/>
      <c r="DA145" s="150"/>
      <c r="DB145" s="150"/>
      <c r="DC145" s="150"/>
      <c r="DD145" s="150"/>
      <c r="DE145" s="150"/>
      <c r="DF145" s="150"/>
      <c r="DG145" s="150"/>
      <c r="DH145" s="150"/>
      <c r="DI145" s="150"/>
      <c r="DJ145" s="150"/>
      <c r="DK145" s="150"/>
      <c r="DL145" s="150"/>
      <c r="DM145" s="150"/>
      <c r="DN145" s="150"/>
      <c r="DO145" s="150"/>
      <c r="DP145" s="150"/>
      <c r="DQ145" s="150"/>
      <c r="DR145" s="150"/>
      <c r="DS145" s="150"/>
      <c r="DT145" s="150"/>
      <c r="DU145" s="150"/>
      <c r="DV145" s="150"/>
      <c r="DW145" s="150"/>
      <c r="DX145" s="150"/>
      <c r="DY145" s="150"/>
      <c r="DZ145" s="150"/>
      <c r="EA145" s="150"/>
      <c r="EB145" s="150"/>
      <c r="EC145" s="150"/>
      <c r="ED145" s="150"/>
      <c r="EE145" s="150"/>
      <c r="EF145" s="150"/>
      <c r="EG145" s="150"/>
      <c r="EH145" s="150"/>
      <c r="EI145" s="150"/>
      <c r="EJ145" s="150"/>
      <c r="EK145" s="150"/>
      <c r="EL145" s="150"/>
      <c r="EM145" s="150"/>
      <c r="EN145" s="150"/>
      <c r="EO145" s="150"/>
      <c r="EP145" s="150"/>
      <c r="EQ145" s="150"/>
      <c r="ER145" s="150"/>
      <c r="ES145" s="150"/>
      <c r="ET145" s="150"/>
      <c r="EU145" s="150"/>
      <c r="EV145" s="150"/>
      <c r="EW145" s="150"/>
      <c r="EX145" s="150"/>
      <c r="EY145" s="150"/>
      <c r="EZ145" s="150"/>
      <c r="FA145" s="150"/>
      <c r="FB145" s="150"/>
      <c r="FC145" s="150"/>
      <c r="FD145" s="150"/>
      <c r="FE145" s="150"/>
      <c r="FF145" s="150"/>
      <c r="FG145" s="150"/>
      <c r="FH145" s="150"/>
      <c r="FI145" s="150"/>
      <c r="FJ145" s="150"/>
      <c r="FK145" s="150"/>
      <c r="FL145" s="150"/>
      <c r="FM145" s="150"/>
      <c r="FN145" s="150"/>
      <c r="FO145" s="150"/>
      <c r="FP145" s="150"/>
      <c r="FQ145" s="150"/>
      <c r="FR145" s="150"/>
      <c r="FS145" s="150"/>
      <c r="FT145" s="150"/>
      <c r="FU145" s="150"/>
      <c r="FV145" s="150"/>
      <c r="FW145" s="150"/>
      <c r="FX145" s="150"/>
      <c r="FY145" s="150"/>
      <c r="FZ145" s="150"/>
      <c r="GA145" s="150"/>
      <c r="GB145" s="150"/>
      <c r="GC145" s="150"/>
      <c r="GD145" s="150"/>
      <c r="GE145" s="150"/>
      <c r="GF145" s="150"/>
      <c r="GG145" s="150"/>
      <c r="GH145" s="150"/>
      <c r="GI145" s="150"/>
      <c r="GJ145" s="150"/>
      <c r="GK145" s="150"/>
      <c r="GL145" s="150"/>
      <c r="GM145" s="150"/>
      <c r="GN145" s="150"/>
      <c r="GO145" s="150"/>
      <c r="GP145" s="150"/>
      <c r="GQ145" s="150"/>
      <c r="GR145" s="150"/>
      <c r="GS145" s="150"/>
      <c r="GT145" s="150"/>
      <c r="GU145" s="150"/>
      <c r="GV145" s="150"/>
      <c r="GW145" s="150"/>
      <c r="GX145" s="150"/>
      <c r="GY145" s="150"/>
      <c r="GZ145" s="150"/>
      <c r="HA145" s="150"/>
      <c r="HB145" s="150"/>
      <c r="HC145" s="150"/>
      <c r="HD145" s="150"/>
      <c r="HE145" s="150"/>
      <c r="HF145" s="150"/>
      <c r="HG145" s="150"/>
      <c r="HH145" s="150"/>
      <c r="HI145" s="150"/>
      <c r="HJ145" s="150"/>
      <c r="HK145" s="150"/>
      <c r="HL145" s="150"/>
      <c r="HM145" s="150"/>
      <c r="HN145" s="150"/>
      <c r="HO145" s="150"/>
      <c r="HP145" s="150"/>
      <c r="HQ145" s="150"/>
      <c r="HR145" s="150"/>
      <c r="HS145" s="150"/>
      <c r="HT145" s="150"/>
      <c r="HU145" s="150"/>
      <c r="HV145" s="150"/>
      <c r="HW145" s="150"/>
      <c r="HX145" s="150"/>
      <c r="HY145" s="150"/>
      <c r="HZ145" s="150"/>
      <c r="IA145" s="150"/>
      <c r="IB145" s="150"/>
      <c r="IC145" s="150"/>
      <c r="ID145" s="150"/>
      <c r="IE145" s="150"/>
      <c r="IF145" s="150"/>
      <c r="IG145" s="150"/>
      <c r="IH145" s="150"/>
      <c r="II145" s="150"/>
      <c r="IJ145" s="150"/>
      <c r="IK145" s="150"/>
      <c r="IL145" s="150"/>
      <c r="IM145" s="150"/>
      <c r="IN145" s="150"/>
      <c r="IO145" s="150"/>
      <c r="IP145" s="150"/>
      <c r="IQ145" s="150"/>
      <c r="IR145" s="150"/>
      <c r="IS145" s="150"/>
      <c r="IT145" s="150"/>
      <c r="IU145" s="150"/>
      <c r="IV145" s="150"/>
      <c r="IW145" s="150"/>
      <c r="IX145" s="150"/>
      <c r="IY145" s="150"/>
      <c r="IZ145" s="150"/>
      <c r="JA145" s="150"/>
      <c r="JB145" s="150"/>
      <c r="JC145" s="150"/>
      <c r="JD145" s="150"/>
      <c r="JE145" s="150"/>
      <c r="JF145" s="150"/>
      <c r="JG145" s="150"/>
      <c r="JH145" s="150"/>
      <c r="JI145" s="150"/>
      <c r="JJ145" s="150"/>
      <c r="JK145" s="150"/>
      <c r="JL145" s="150"/>
      <c r="JM145" s="150"/>
      <c r="JN145" s="150"/>
      <c r="JO145" s="150"/>
      <c r="JP145" s="150"/>
      <c r="JQ145" s="150"/>
      <c r="JR145" s="150"/>
      <c r="JS145" s="150"/>
      <c r="JT145" s="150"/>
      <c r="JU145" s="150"/>
      <c r="JV145" s="150"/>
      <c r="JW145" s="150"/>
      <c r="JX145" s="150"/>
      <c r="JY145" s="150"/>
      <c r="JZ145" s="150"/>
      <c r="KA145" s="150"/>
      <c r="KB145" s="150"/>
      <c r="KC145" s="150"/>
      <c r="KD145" s="150"/>
      <c r="KE145" s="150"/>
      <c r="KF145" s="150"/>
      <c r="KG145" s="150"/>
      <c r="KH145" s="150"/>
      <c r="KI145" s="150"/>
      <c r="KJ145" s="150"/>
      <c r="KK145" s="150"/>
      <c r="KL145" s="150"/>
      <c r="KM145" s="150"/>
      <c r="KN145" s="150"/>
      <c r="KO145" s="150"/>
      <c r="KP145" s="150"/>
      <c r="KQ145" s="150"/>
      <c r="KR145" s="150"/>
      <c r="KS145" s="150"/>
      <c r="KT145" s="150"/>
      <c r="KU145" s="92"/>
    </row>
    <row r="146" spans="2:307" s="157" customFormat="1" x14ac:dyDescent="0.15">
      <c r="C146" s="92" t="s">
        <v>313</v>
      </c>
      <c r="D146" s="225"/>
      <c r="F146" s="150">
        <f t="shared" si="30"/>
        <v>0</v>
      </c>
      <c r="G146" s="150">
        <f t="shared" si="30"/>
        <v>0</v>
      </c>
      <c r="H146" s="150">
        <f t="shared" si="30"/>
        <v>0</v>
      </c>
      <c r="I146" s="150">
        <f t="shared" si="30"/>
        <v>0</v>
      </c>
      <c r="J146" s="150">
        <f t="shared" si="30"/>
        <v>0</v>
      </c>
      <c r="K146" s="150">
        <f t="shared" si="30"/>
        <v>0</v>
      </c>
      <c r="L146" s="150">
        <f t="shared" si="30"/>
        <v>0</v>
      </c>
      <c r="M146" s="150">
        <f t="shared" si="30"/>
        <v>7.5493363337585301E-2</v>
      </c>
      <c r="N146" s="150">
        <f t="shared" si="30"/>
        <v>6.5961332882487053E-2</v>
      </c>
      <c r="O146" s="150">
        <f t="shared" si="30"/>
        <v>6.2271411975956578E-2</v>
      </c>
      <c r="P146" s="150">
        <f t="shared" si="30"/>
        <v>5.8694153554442956E-2</v>
      </c>
      <c r="Q146" s="150">
        <f t="shared" si="30"/>
        <v>5.5211656419014432E-2</v>
      </c>
      <c r="R146" s="150">
        <f t="shared" si="30"/>
        <v>5.0221027727524348E-2</v>
      </c>
      <c r="S146" s="150">
        <f t="shared" si="30"/>
        <v>4.3597090038973503E-2</v>
      </c>
      <c r="T146" s="150">
        <f t="shared" si="30"/>
        <v>2.995452909372413E-2</v>
      </c>
      <c r="U146" s="150">
        <f t="shared" si="30"/>
        <v>0</v>
      </c>
      <c r="V146" s="150">
        <f t="shared" si="30"/>
        <v>0</v>
      </c>
      <c r="W146" s="150">
        <f t="shared" si="30"/>
        <v>0</v>
      </c>
      <c r="X146" s="150">
        <f t="shared" si="30"/>
        <v>0</v>
      </c>
      <c r="Y146" s="150">
        <f t="shared" si="30"/>
        <v>0</v>
      </c>
      <c r="Z146" s="150">
        <f t="shared" si="30"/>
        <v>0</v>
      </c>
      <c r="AA146" s="150">
        <f t="shared" si="30"/>
        <v>0</v>
      </c>
      <c r="AB146" s="150">
        <f t="shared" si="30"/>
        <v>0</v>
      </c>
      <c r="AC146" s="150">
        <f t="shared" si="30"/>
        <v>0</v>
      </c>
      <c r="AD146" s="150">
        <f t="shared" si="30"/>
        <v>0</v>
      </c>
      <c r="AE146" s="150">
        <f t="shared" si="30"/>
        <v>0</v>
      </c>
      <c r="AF146" s="150">
        <f t="shared" si="30"/>
        <v>0</v>
      </c>
      <c r="AG146" s="150">
        <f t="shared" si="30"/>
        <v>0</v>
      </c>
      <c r="AH146" s="150">
        <f t="shared" si="30"/>
        <v>0</v>
      </c>
      <c r="AI146" s="150">
        <f t="shared" si="30"/>
        <v>0</v>
      </c>
      <c r="AJ146" s="150">
        <f t="shared" si="30"/>
        <v>0</v>
      </c>
      <c r="AK146" s="150">
        <f t="shared" si="30"/>
        <v>0</v>
      </c>
      <c r="AL146" s="150">
        <f t="shared" si="29"/>
        <v>0</v>
      </c>
      <c r="AM146" s="150">
        <f t="shared" si="29"/>
        <v>0</v>
      </c>
      <c r="AN146" s="150">
        <f t="shared" si="29"/>
        <v>0</v>
      </c>
      <c r="AO146" s="150">
        <f t="shared" si="29"/>
        <v>0</v>
      </c>
      <c r="AP146" s="150">
        <f t="shared" si="29"/>
        <v>0</v>
      </c>
      <c r="AQ146" s="150">
        <f t="shared" si="29"/>
        <v>0</v>
      </c>
      <c r="AR146" s="150">
        <f t="shared" si="29"/>
        <v>0</v>
      </c>
      <c r="AS146" s="150">
        <f t="shared" si="29"/>
        <v>0</v>
      </c>
      <c r="AT146" s="150">
        <f t="shared" si="29"/>
        <v>0</v>
      </c>
      <c r="AU146" s="150">
        <f t="shared" si="29"/>
        <v>0</v>
      </c>
      <c r="AV146" s="150">
        <f t="shared" si="29"/>
        <v>0</v>
      </c>
      <c r="AW146" s="150">
        <f t="shared" si="29"/>
        <v>0</v>
      </c>
      <c r="AX146" s="150">
        <f t="shared" si="29"/>
        <v>0</v>
      </c>
      <c r="AY146" s="150">
        <f t="shared" si="29"/>
        <v>0</v>
      </c>
      <c r="AZ146" s="150">
        <f t="shared" si="29"/>
        <v>0</v>
      </c>
      <c r="BA146" s="150">
        <f t="shared" si="29"/>
        <v>0</v>
      </c>
      <c r="BB146" s="150">
        <f t="shared" si="29"/>
        <v>0</v>
      </c>
      <c r="BC146" s="150">
        <f t="shared" si="29"/>
        <v>0</v>
      </c>
      <c r="BD146" s="150">
        <f t="shared" si="29"/>
        <v>0</v>
      </c>
      <c r="BE146" s="150">
        <f t="shared" si="29"/>
        <v>0</v>
      </c>
      <c r="BF146" s="150">
        <f t="shared" si="29"/>
        <v>0</v>
      </c>
      <c r="BG146" s="150">
        <f t="shared" si="29"/>
        <v>0</v>
      </c>
      <c r="BH146" s="150">
        <f t="shared" si="29"/>
        <v>0</v>
      </c>
      <c r="BI146" s="150">
        <f t="shared" si="29"/>
        <v>0</v>
      </c>
      <c r="BJ146" s="150">
        <f t="shared" si="29"/>
        <v>0</v>
      </c>
      <c r="BK146" s="150">
        <f t="shared" si="29"/>
        <v>0</v>
      </c>
      <c r="BL146" s="150">
        <f t="shared" si="29"/>
        <v>0</v>
      </c>
      <c r="BM146" s="150">
        <f t="shared" si="29"/>
        <v>0</v>
      </c>
      <c r="BN146" s="150"/>
      <c r="BO146" s="150"/>
      <c r="BP146" s="150"/>
      <c r="BQ146" s="150"/>
      <c r="BR146" s="150"/>
      <c r="BS146" s="150"/>
      <c r="BT146" s="150"/>
      <c r="BU146" s="150"/>
      <c r="BV146" s="150"/>
      <c r="BW146" s="150"/>
      <c r="BX146" s="150"/>
      <c r="BY146" s="150"/>
      <c r="BZ146" s="150"/>
      <c r="CA146" s="150"/>
      <c r="CB146" s="150"/>
      <c r="CC146" s="150"/>
      <c r="CD146" s="150"/>
      <c r="CE146" s="150"/>
      <c r="CF146" s="150"/>
      <c r="CG146" s="150"/>
      <c r="CH146" s="150"/>
      <c r="CI146" s="150"/>
      <c r="CJ146" s="150"/>
      <c r="CK146" s="150"/>
      <c r="CL146" s="150"/>
      <c r="CM146" s="150"/>
      <c r="CN146" s="150"/>
      <c r="CO146" s="150"/>
      <c r="CP146" s="150"/>
      <c r="CQ146" s="150"/>
      <c r="CR146" s="150"/>
      <c r="CS146" s="150"/>
      <c r="CT146" s="150"/>
      <c r="CU146" s="150"/>
      <c r="CV146" s="150"/>
      <c r="CW146" s="150"/>
      <c r="CX146" s="150"/>
      <c r="CY146" s="150"/>
      <c r="CZ146" s="150"/>
      <c r="DA146" s="150"/>
      <c r="DB146" s="150"/>
      <c r="DC146" s="150"/>
      <c r="DD146" s="150"/>
      <c r="DE146" s="150"/>
      <c r="DF146" s="150"/>
      <c r="DG146" s="150"/>
      <c r="DH146" s="150"/>
      <c r="DI146" s="150"/>
      <c r="DJ146" s="150"/>
      <c r="DK146" s="150"/>
      <c r="DL146" s="150"/>
      <c r="DM146" s="150"/>
      <c r="DN146" s="150"/>
      <c r="DO146" s="150"/>
      <c r="DP146" s="150"/>
      <c r="DQ146" s="150"/>
      <c r="DR146" s="150"/>
      <c r="DS146" s="150"/>
      <c r="DT146" s="150"/>
      <c r="DU146" s="150"/>
      <c r="DV146" s="150"/>
      <c r="DW146" s="150"/>
      <c r="DX146" s="150"/>
      <c r="DY146" s="150"/>
      <c r="DZ146" s="150"/>
      <c r="EA146" s="150"/>
      <c r="EB146" s="150"/>
      <c r="EC146" s="150"/>
      <c r="ED146" s="150"/>
      <c r="EE146" s="150"/>
      <c r="EF146" s="150"/>
      <c r="EG146" s="150"/>
      <c r="EH146" s="150"/>
      <c r="EI146" s="150"/>
      <c r="EJ146" s="150"/>
      <c r="EK146" s="150"/>
      <c r="EL146" s="150"/>
      <c r="EM146" s="150"/>
      <c r="EN146" s="150"/>
      <c r="EO146" s="150"/>
      <c r="EP146" s="150"/>
      <c r="EQ146" s="150"/>
      <c r="ER146" s="150"/>
      <c r="ES146" s="150"/>
      <c r="ET146" s="150"/>
      <c r="EU146" s="150"/>
      <c r="EV146" s="150"/>
      <c r="EW146" s="150"/>
      <c r="EX146" s="150"/>
      <c r="EY146" s="150"/>
      <c r="EZ146" s="150"/>
      <c r="FA146" s="150"/>
      <c r="FB146" s="150"/>
      <c r="FC146" s="150"/>
      <c r="FD146" s="150"/>
      <c r="FE146" s="150"/>
      <c r="FF146" s="150"/>
      <c r="FG146" s="150"/>
      <c r="FH146" s="150"/>
      <c r="FI146" s="150"/>
      <c r="FJ146" s="150"/>
      <c r="FK146" s="150"/>
      <c r="FL146" s="150"/>
      <c r="FM146" s="150"/>
      <c r="FN146" s="150"/>
      <c r="FO146" s="150"/>
      <c r="FP146" s="150"/>
      <c r="FQ146" s="150"/>
      <c r="FR146" s="150"/>
      <c r="FS146" s="150"/>
      <c r="FT146" s="150"/>
      <c r="FU146" s="150"/>
      <c r="FV146" s="150"/>
      <c r="FW146" s="150"/>
      <c r="FX146" s="150"/>
      <c r="FY146" s="150"/>
      <c r="FZ146" s="150"/>
      <c r="GA146" s="150"/>
      <c r="GB146" s="150"/>
      <c r="GC146" s="150"/>
      <c r="GD146" s="150"/>
      <c r="GE146" s="150"/>
      <c r="GF146" s="150"/>
      <c r="GG146" s="150"/>
      <c r="GH146" s="150"/>
      <c r="GI146" s="150"/>
      <c r="GJ146" s="150"/>
      <c r="GK146" s="150"/>
      <c r="GL146" s="150"/>
      <c r="GM146" s="150"/>
      <c r="GN146" s="150"/>
      <c r="GO146" s="150"/>
      <c r="GP146" s="150"/>
      <c r="GQ146" s="150"/>
      <c r="GR146" s="150"/>
      <c r="GS146" s="150"/>
      <c r="GT146" s="150"/>
      <c r="GU146" s="150"/>
      <c r="GV146" s="150"/>
      <c r="GW146" s="150"/>
      <c r="GX146" s="150"/>
      <c r="GY146" s="150"/>
      <c r="GZ146" s="150"/>
      <c r="HA146" s="150"/>
      <c r="HB146" s="150"/>
      <c r="HC146" s="150"/>
      <c r="HD146" s="150"/>
      <c r="HE146" s="150"/>
      <c r="HF146" s="150"/>
      <c r="HG146" s="150"/>
      <c r="HH146" s="150"/>
      <c r="HI146" s="150"/>
      <c r="HJ146" s="150"/>
      <c r="HK146" s="150"/>
      <c r="HL146" s="150"/>
      <c r="HM146" s="150"/>
      <c r="HN146" s="150"/>
      <c r="HO146" s="150"/>
      <c r="HP146" s="150"/>
      <c r="HQ146" s="150"/>
      <c r="HR146" s="150"/>
      <c r="HS146" s="150"/>
      <c r="HT146" s="150"/>
      <c r="HU146" s="150"/>
      <c r="HV146" s="150"/>
      <c r="HW146" s="150"/>
      <c r="HX146" s="150"/>
      <c r="HY146" s="150"/>
      <c r="HZ146" s="150"/>
      <c r="IA146" s="150"/>
      <c r="IB146" s="150"/>
      <c r="IC146" s="150"/>
      <c r="ID146" s="150"/>
      <c r="IE146" s="150"/>
      <c r="IF146" s="150"/>
      <c r="IG146" s="150"/>
      <c r="IH146" s="150"/>
      <c r="II146" s="150"/>
      <c r="IJ146" s="150"/>
      <c r="IK146" s="150"/>
      <c r="IL146" s="150"/>
      <c r="IM146" s="150"/>
      <c r="IN146" s="150"/>
      <c r="IO146" s="150"/>
      <c r="IP146" s="150"/>
      <c r="IQ146" s="150"/>
      <c r="IR146" s="150"/>
      <c r="IS146" s="150"/>
      <c r="IT146" s="150"/>
      <c r="IU146" s="150"/>
      <c r="IV146" s="150"/>
      <c r="IW146" s="150"/>
      <c r="IX146" s="150"/>
      <c r="IY146" s="150"/>
      <c r="IZ146" s="150"/>
      <c r="JA146" s="150"/>
      <c r="JB146" s="150"/>
      <c r="JC146" s="150"/>
      <c r="JD146" s="150"/>
      <c r="JE146" s="150"/>
      <c r="JF146" s="150"/>
      <c r="JG146" s="150"/>
      <c r="JH146" s="150"/>
      <c r="JI146" s="150"/>
      <c r="JJ146" s="150"/>
      <c r="JK146" s="150"/>
      <c r="JL146" s="150"/>
      <c r="JM146" s="150"/>
      <c r="JN146" s="150"/>
      <c r="JO146" s="150"/>
      <c r="JP146" s="150"/>
      <c r="JQ146" s="150"/>
      <c r="JR146" s="150"/>
      <c r="JS146" s="150"/>
      <c r="JT146" s="150"/>
      <c r="JU146" s="150"/>
      <c r="JV146" s="150"/>
      <c r="JW146" s="150"/>
      <c r="JX146" s="150"/>
      <c r="JY146" s="150"/>
      <c r="JZ146" s="150"/>
      <c r="KA146" s="150"/>
      <c r="KB146" s="150"/>
      <c r="KC146" s="150"/>
      <c r="KD146" s="150"/>
      <c r="KE146" s="150"/>
      <c r="KF146" s="150"/>
      <c r="KG146" s="150"/>
      <c r="KH146" s="150"/>
      <c r="KI146" s="150"/>
      <c r="KJ146" s="150"/>
      <c r="KK146" s="150"/>
      <c r="KL146" s="150"/>
      <c r="KM146" s="150"/>
      <c r="KN146" s="150"/>
      <c r="KO146" s="150"/>
      <c r="KP146" s="150"/>
      <c r="KQ146" s="150"/>
      <c r="KR146" s="150"/>
      <c r="KS146" s="150"/>
      <c r="KT146" s="150"/>
      <c r="KU146" s="92"/>
    </row>
    <row r="147" spans="2:307" s="157" customFormat="1" x14ac:dyDescent="0.15">
      <c r="C147" s="92" t="s">
        <v>314</v>
      </c>
      <c r="D147" s="225"/>
      <c r="F147" s="150">
        <f t="shared" si="30"/>
        <v>0</v>
      </c>
      <c r="G147" s="150">
        <f t="shared" si="30"/>
        <v>0</v>
      </c>
      <c r="H147" s="150">
        <f t="shared" si="30"/>
        <v>0</v>
      </c>
      <c r="I147" s="150">
        <f t="shared" si="30"/>
        <v>0</v>
      </c>
      <c r="J147" s="150">
        <f t="shared" si="30"/>
        <v>0</v>
      </c>
      <c r="K147" s="150">
        <f t="shared" si="30"/>
        <v>0</v>
      </c>
      <c r="L147" s="150">
        <f t="shared" si="30"/>
        <v>0</v>
      </c>
      <c r="M147" s="150">
        <f t="shared" si="30"/>
        <v>0</v>
      </c>
      <c r="N147" s="150">
        <f t="shared" si="30"/>
        <v>7.5493363337585301E-2</v>
      </c>
      <c r="O147" s="150">
        <f t="shared" si="30"/>
        <v>6.5961332882487053E-2</v>
      </c>
      <c r="P147" s="150">
        <f t="shared" si="30"/>
        <v>6.2271411975956578E-2</v>
      </c>
      <c r="Q147" s="150">
        <f t="shared" si="30"/>
        <v>5.8694153554442956E-2</v>
      </c>
      <c r="R147" s="150">
        <f t="shared" si="30"/>
        <v>5.5211656419014432E-2</v>
      </c>
      <c r="S147" s="150">
        <f t="shared" si="30"/>
        <v>5.0221027727524348E-2</v>
      </c>
      <c r="T147" s="150">
        <f t="shared" si="30"/>
        <v>4.3597090038973503E-2</v>
      </c>
      <c r="U147" s="150">
        <f t="shared" si="30"/>
        <v>0</v>
      </c>
      <c r="V147" s="150">
        <f t="shared" si="30"/>
        <v>0</v>
      </c>
      <c r="W147" s="150">
        <f t="shared" si="30"/>
        <v>0</v>
      </c>
      <c r="X147" s="150">
        <f t="shared" si="30"/>
        <v>0</v>
      </c>
      <c r="Y147" s="150">
        <f t="shared" si="30"/>
        <v>0</v>
      </c>
      <c r="Z147" s="150">
        <f t="shared" si="30"/>
        <v>0</v>
      </c>
      <c r="AA147" s="150">
        <f t="shared" si="30"/>
        <v>0</v>
      </c>
      <c r="AB147" s="150">
        <f t="shared" si="30"/>
        <v>0</v>
      </c>
      <c r="AC147" s="150">
        <f t="shared" si="30"/>
        <v>0</v>
      </c>
      <c r="AD147" s="150">
        <f t="shared" si="30"/>
        <v>0</v>
      </c>
      <c r="AE147" s="150">
        <f t="shared" si="30"/>
        <v>0</v>
      </c>
      <c r="AF147" s="150">
        <f t="shared" si="30"/>
        <v>0</v>
      </c>
      <c r="AG147" s="150">
        <f t="shared" si="30"/>
        <v>0</v>
      </c>
      <c r="AH147" s="150">
        <f t="shared" si="30"/>
        <v>0</v>
      </c>
      <c r="AI147" s="150">
        <f t="shared" si="30"/>
        <v>0</v>
      </c>
      <c r="AJ147" s="150">
        <f t="shared" si="30"/>
        <v>0</v>
      </c>
      <c r="AK147" s="150">
        <f t="shared" si="30"/>
        <v>0</v>
      </c>
      <c r="AL147" s="150">
        <f t="shared" si="29"/>
        <v>0</v>
      </c>
      <c r="AM147" s="150">
        <f t="shared" si="29"/>
        <v>0</v>
      </c>
      <c r="AN147" s="150">
        <f t="shared" si="29"/>
        <v>0</v>
      </c>
      <c r="AO147" s="150">
        <f t="shared" si="29"/>
        <v>0</v>
      </c>
      <c r="AP147" s="150">
        <f t="shared" si="29"/>
        <v>0</v>
      </c>
      <c r="AQ147" s="150">
        <f t="shared" si="29"/>
        <v>0</v>
      </c>
      <c r="AR147" s="150">
        <f t="shared" si="29"/>
        <v>0</v>
      </c>
      <c r="AS147" s="150">
        <f t="shared" si="29"/>
        <v>0</v>
      </c>
      <c r="AT147" s="150">
        <f t="shared" si="29"/>
        <v>0</v>
      </c>
      <c r="AU147" s="150">
        <f t="shared" si="29"/>
        <v>0</v>
      </c>
      <c r="AV147" s="150">
        <f t="shared" si="29"/>
        <v>0</v>
      </c>
      <c r="AW147" s="150">
        <f t="shared" si="29"/>
        <v>0</v>
      </c>
      <c r="AX147" s="150">
        <f t="shared" si="29"/>
        <v>0</v>
      </c>
      <c r="AY147" s="150">
        <f t="shared" si="29"/>
        <v>0</v>
      </c>
      <c r="AZ147" s="150">
        <f t="shared" si="29"/>
        <v>0</v>
      </c>
      <c r="BA147" s="150">
        <f t="shared" si="29"/>
        <v>0</v>
      </c>
      <c r="BB147" s="150">
        <f t="shared" si="29"/>
        <v>0</v>
      </c>
      <c r="BC147" s="150">
        <f t="shared" si="29"/>
        <v>0</v>
      </c>
      <c r="BD147" s="150">
        <f t="shared" si="29"/>
        <v>0</v>
      </c>
      <c r="BE147" s="150">
        <f t="shared" si="29"/>
        <v>0</v>
      </c>
      <c r="BF147" s="150">
        <f t="shared" si="29"/>
        <v>0</v>
      </c>
      <c r="BG147" s="150">
        <f t="shared" si="29"/>
        <v>0</v>
      </c>
      <c r="BH147" s="150">
        <f t="shared" si="29"/>
        <v>0</v>
      </c>
      <c r="BI147" s="150">
        <f t="shared" si="29"/>
        <v>0</v>
      </c>
      <c r="BJ147" s="150">
        <f t="shared" si="29"/>
        <v>0</v>
      </c>
      <c r="BK147" s="150">
        <f t="shared" si="29"/>
        <v>0</v>
      </c>
      <c r="BL147" s="150">
        <f t="shared" si="29"/>
        <v>0</v>
      </c>
      <c r="BM147" s="150">
        <f t="shared" si="29"/>
        <v>0</v>
      </c>
      <c r="BN147" s="150"/>
      <c r="BO147" s="150"/>
      <c r="BP147" s="150"/>
      <c r="BQ147" s="150"/>
      <c r="BR147" s="150"/>
      <c r="BS147" s="150"/>
      <c r="BT147" s="150"/>
      <c r="BU147" s="150"/>
      <c r="BV147" s="150"/>
      <c r="BW147" s="150"/>
      <c r="BX147" s="150"/>
      <c r="BY147" s="150"/>
      <c r="BZ147" s="150"/>
      <c r="CA147" s="150"/>
      <c r="CB147" s="150"/>
      <c r="CC147" s="150"/>
      <c r="CD147" s="150"/>
      <c r="CE147" s="150"/>
      <c r="CF147" s="150"/>
      <c r="CG147" s="150"/>
      <c r="CH147" s="150"/>
      <c r="CI147" s="150"/>
      <c r="CJ147" s="150"/>
      <c r="CK147" s="150"/>
      <c r="CL147" s="150"/>
      <c r="CM147" s="150"/>
      <c r="CN147" s="150"/>
      <c r="CO147" s="150"/>
      <c r="CP147" s="150"/>
      <c r="CQ147" s="150"/>
      <c r="CR147" s="150"/>
      <c r="CS147" s="150"/>
      <c r="CT147" s="150"/>
      <c r="CU147" s="150"/>
      <c r="CV147" s="150"/>
      <c r="CW147" s="150"/>
      <c r="CX147" s="150"/>
      <c r="CY147" s="150"/>
      <c r="CZ147" s="150"/>
      <c r="DA147" s="150"/>
      <c r="DB147" s="150"/>
      <c r="DC147" s="150"/>
      <c r="DD147" s="150"/>
      <c r="DE147" s="150"/>
      <c r="DF147" s="150"/>
      <c r="DG147" s="150"/>
      <c r="DH147" s="150"/>
      <c r="DI147" s="150"/>
      <c r="DJ147" s="150"/>
      <c r="DK147" s="150"/>
      <c r="DL147" s="150"/>
      <c r="DM147" s="150"/>
      <c r="DN147" s="150"/>
      <c r="DO147" s="150"/>
      <c r="DP147" s="150"/>
      <c r="DQ147" s="150"/>
      <c r="DR147" s="150"/>
      <c r="DS147" s="150"/>
      <c r="DT147" s="150"/>
      <c r="DU147" s="150"/>
      <c r="DV147" s="150"/>
      <c r="DW147" s="150"/>
      <c r="DX147" s="150"/>
      <c r="DY147" s="150"/>
      <c r="DZ147" s="150"/>
      <c r="EA147" s="150"/>
      <c r="EB147" s="150"/>
      <c r="EC147" s="150"/>
      <c r="ED147" s="150"/>
      <c r="EE147" s="150"/>
      <c r="EF147" s="150"/>
      <c r="EG147" s="150"/>
      <c r="EH147" s="150"/>
      <c r="EI147" s="150"/>
      <c r="EJ147" s="150"/>
      <c r="EK147" s="150"/>
      <c r="EL147" s="150"/>
      <c r="EM147" s="150"/>
      <c r="EN147" s="150"/>
      <c r="EO147" s="150"/>
      <c r="EP147" s="150"/>
      <c r="EQ147" s="150"/>
      <c r="ER147" s="150"/>
      <c r="ES147" s="150"/>
      <c r="ET147" s="150"/>
      <c r="EU147" s="150"/>
      <c r="EV147" s="150"/>
      <c r="EW147" s="150"/>
      <c r="EX147" s="150"/>
      <c r="EY147" s="150"/>
      <c r="EZ147" s="150"/>
      <c r="FA147" s="150"/>
      <c r="FB147" s="150"/>
      <c r="FC147" s="150"/>
      <c r="FD147" s="150"/>
      <c r="FE147" s="150"/>
      <c r="FF147" s="150"/>
      <c r="FG147" s="150"/>
      <c r="FH147" s="150"/>
      <c r="FI147" s="150"/>
      <c r="FJ147" s="150"/>
      <c r="FK147" s="150"/>
      <c r="FL147" s="150"/>
      <c r="FM147" s="150"/>
      <c r="FN147" s="150"/>
      <c r="FO147" s="150"/>
      <c r="FP147" s="150"/>
      <c r="FQ147" s="150"/>
      <c r="FR147" s="150"/>
      <c r="FS147" s="150"/>
      <c r="FT147" s="150"/>
      <c r="FU147" s="150"/>
      <c r="FV147" s="150"/>
      <c r="FW147" s="150"/>
      <c r="FX147" s="150"/>
      <c r="FY147" s="150"/>
      <c r="FZ147" s="150"/>
      <c r="GA147" s="150"/>
      <c r="GB147" s="150"/>
      <c r="GC147" s="150"/>
      <c r="GD147" s="150"/>
      <c r="GE147" s="150"/>
      <c r="GF147" s="150"/>
      <c r="GG147" s="150"/>
      <c r="GH147" s="150"/>
      <c r="GI147" s="150"/>
      <c r="GJ147" s="150"/>
      <c r="GK147" s="150"/>
      <c r="GL147" s="150"/>
      <c r="GM147" s="150"/>
      <c r="GN147" s="150"/>
      <c r="GO147" s="150"/>
      <c r="GP147" s="150"/>
      <c r="GQ147" s="150"/>
      <c r="GR147" s="150"/>
      <c r="GS147" s="150"/>
      <c r="GT147" s="150"/>
      <c r="GU147" s="150"/>
      <c r="GV147" s="150"/>
      <c r="GW147" s="150"/>
      <c r="GX147" s="150"/>
      <c r="GY147" s="150"/>
      <c r="GZ147" s="150"/>
      <c r="HA147" s="150"/>
      <c r="HB147" s="150"/>
      <c r="HC147" s="150"/>
      <c r="HD147" s="150"/>
      <c r="HE147" s="150"/>
      <c r="HF147" s="150"/>
      <c r="HG147" s="150"/>
      <c r="HH147" s="150"/>
      <c r="HI147" s="150"/>
      <c r="HJ147" s="150"/>
      <c r="HK147" s="150"/>
      <c r="HL147" s="150"/>
      <c r="HM147" s="150"/>
      <c r="HN147" s="150"/>
      <c r="HO147" s="150"/>
      <c r="HP147" s="150"/>
      <c r="HQ147" s="150"/>
      <c r="HR147" s="150"/>
      <c r="HS147" s="150"/>
      <c r="HT147" s="150"/>
      <c r="HU147" s="150"/>
      <c r="HV147" s="150"/>
      <c r="HW147" s="150"/>
      <c r="HX147" s="150"/>
      <c r="HY147" s="150"/>
      <c r="HZ147" s="150"/>
      <c r="IA147" s="150"/>
      <c r="IB147" s="150"/>
      <c r="IC147" s="150"/>
      <c r="ID147" s="150"/>
      <c r="IE147" s="150"/>
      <c r="IF147" s="150"/>
      <c r="IG147" s="150"/>
      <c r="IH147" s="150"/>
      <c r="II147" s="150"/>
      <c r="IJ147" s="150"/>
      <c r="IK147" s="150"/>
      <c r="IL147" s="150"/>
      <c r="IM147" s="150"/>
      <c r="IN147" s="150"/>
      <c r="IO147" s="150"/>
      <c r="IP147" s="150"/>
      <c r="IQ147" s="150"/>
      <c r="IR147" s="150"/>
      <c r="IS147" s="150"/>
      <c r="IT147" s="150"/>
      <c r="IU147" s="150"/>
      <c r="IV147" s="150"/>
      <c r="IW147" s="150"/>
      <c r="IX147" s="150"/>
      <c r="IY147" s="150"/>
      <c r="IZ147" s="150"/>
      <c r="JA147" s="150"/>
      <c r="JB147" s="150"/>
      <c r="JC147" s="150"/>
      <c r="JD147" s="150"/>
      <c r="JE147" s="150"/>
      <c r="JF147" s="150"/>
      <c r="JG147" s="150"/>
      <c r="JH147" s="150"/>
      <c r="JI147" s="150"/>
      <c r="JJ147" s="150"/>
      <c r="JK147" s="150"/>
      <c r="JL147" s="150"/>
      <c r="JM147" s="150"/>
      <c r="JN147" s="150"/>
      <c r="JO147" s="150"/>
      <c r="JP147" s="150"/>
      <c r="JQ147" s="150"/>
      <c r="JR147" s="150"/>
      <c r="JS147" s="150"/>
      <c r="JT147" s="150"/>
      <c r="JU147" s="150"/>
      <c r="JV147" s="150"/>
      <c r="JW147" s="150"/>
      <c r="JX147" s="150"/>
      <c r="JY147" s="150"/>
      <c r="JZ147" s="150"/>
      <c r="KA147" s="150"/>
      <c r="KB147" s="150"/>
      <c r="KC147" s="150"/>
      <c r="KD147" s="150"/>
      <c r="KE147" s="150"/>
      <c r="KF147" s="150"/>
      <c r="KG147" s="150"/>
      <c r="KH147" s="150"/>
      <c r="KI147" s="150"/>
      <c r="KJ147" s="150"/>
      <c r="KK147" s="150"/>
      <c r="KL147" s="150"/>
      <c r="KM147" s="150"/>
      <c r="KN147" s="150"/>
      <c r="KO147" s="150"/>
      <c r="KP147" s="150"/>
      <c r="KQ147" s="150"/>
      <c r="KR147" s="150"/>
      <c r="KS147" s="150"/>
      <c r="KT147" s="150"/>
      <c r="KU147" s="92"/>
    </row>
    <row r="148" spans="2:307" x14ac:dyDescent="0.15">
      <c r="C148" s="92" t="s">
        <v>315</v>
      </c>
      <c r="F148" s="150">
        <f t="shared" si="30"/>
        <v>0</v>
      </c>
      <c r="G148" s="150">
        <f t="shared" si="30"/>
        <v>0</v>
      </c>
      <c r="H148" s="150">
        <f t="shared" si="30"/>
        <v>0</v>
      </c>
      <c r="I148" s="150">
        <f t="shared" si="30"/>
        <v>0</v>
      </c>
      <c r="J148" s="150">
        <f t="shared" si="30"/>
        <v>0</v>
      </c>
      <c r="K148" s="150">
        <f t="shared" si="30"/>
        <v>0</v>
      </c>
      <c r="L148" s="150">
        <f t="shared" si="30"/>
        <v>0</v>
      </c>
      <c r="M148" s="150">
        <f t="shared" si="30"/>
        <v>0</v>
      </c>
      <c r="N148" s="150">
        <f t="shared" si="30"/>
        <v>0</v>
      </c>
      <c r="O148" s="150">
        <f t="shared" si="30"/>
        <v>7.5493363337585301E-2</v>
      </c>
      <c r="P148" s="150">
        <f t="shared" si="30"/>
        <v>6.5961332882487053E-2</v>
      </c>
      <c r="Q148" s="150">
        <f t="shared" si="30"/>
        <v>6.2271411975956578E-2</v>
      </c>
      <c r="R148" s="150">
        <f t="shared" si="30"/>
        <v>5.8694153554442956E-2</v>
      </c>
      <c r="S148" s="150">
        <f t="shared" si="30"/>
        <v>5.5211656419014432E-2</v>
      </c>
      <c r="T148" s="150">
        <f t="shared" si="30"/>
        <v>5.0221027727524348E-2</v>
      </c>
      <c r="U148" s="150">
        <f t="shared" si="30"/>
        <v>0</v>
      </c>
      <c r="V148" s="150">
        <f t="shared" si="30"/>
        <v>0</v>
      </c>
      <c r="W148" s="150">
        <f t="shared" si="30"/>
        <v>0</v>
      </c>
      <c r="X148" s="150">
        <f t="shared" si="30"/>
        <v>0</v>
      </c>
      <c r="Y148" s="150">
        <f t="shared" si="30"/>
        <v>0</v>
      </c>
      <c r="Z148" s="150">
        <f t="shared" si="30"/>
        <v>0</v>
      </c>
      <c r="AA148" s="150">
        <f t="shared" si="30"/>
        <v>0</v>
      </c>
      <c r="AB148" s="150">
        <f t="shared" si="30"/>
        <v>0</v>
      </c>
      <c r="AC148" s="150">
        <f t="shared" si="30"/>
        <v>0</v>
      </c>
      <c r="AD148" s="150">
        <f t="shared" si="30"/>
        <v>0</v>
      </c>
      <c r="AE148" s="150">
        <f t="shared" si="30"/>
        <v>0</v>
      </c>
      <c r="AF148" s="150">
        <f t="shared" si="30"/>
        <v>0</v>
      </c>
      <c r="AG148" s="150">
        <f t="shared" si="30"/>
        <v>0</v>
      </c>
      <c r="AH148" s="150">
        <f t="shared" si="30"/>
        <v>0</v>
      </c>
      <c r="AI148" s="150">
        <f t="shared" si="30"/>
        <v>0</v>
      </c>
      <c r="AJ148" s="150">
        <f t="shared" si="30"/>
        <v>0</v>
      </c>
      <c r="AK148" s="150">
        <f t="shared" si="30"/>
        <v>0</v>
      </c>
      <c r="AL148" s="150">
        <f t="shared" si="29"/>
        <v>0</v>
      </c>
      <c r="AM148" s="150">
        <f t="shared" si="29"/>
        <v>0</v>
      </c>
      <c r="AN148" s="150">
        <f t="shared" si="29"/>
        <v>0</v>
      </c>
      <c r="AO148" s="150">
        <f t="shared" si="29"/>
        <v>0</v>
      </c>
      <c r="AP148" s="150">
        <f t="shared" si="29"/>
        <v>0</v>
      </c>
      <c r="AQ148" s="150">
        <f t="shared" si="29"/>
        <v>0</v>
      </c>
      <c r="AR148" s="150">
        <f t="shared" si="29"/>
        <v>0</v>
      </c>
      <c r="AS148" s="150">
        <f t="shared" si="29"/>
        <v>0</v>
      </c>
      <c r="AT148" s="150">
        <f t="shared" si="29"/>
        <v>0</v>
      </c>
      <c r="AU148" s="150">
        <f t="shared" si="29"/>
        <v>0</v>
      </c>
      <c r="AV148" s="150">
        <f t="shared" si="29"/>
        <v>0</v>
      </c>
      <c r="AW148" s="150">
        <f t="shared" si="29"/>
        <v>0</v>
      </c>
      <c r="AX148" s="150">
        <f t="shared" si="29"/>
        <v>0</v>
      </c>
      <c r="AY148" s="150">
        <f t="shared" si="29"/>
        <v>0</v>
      </c>
      <c r="AZ148" s="150">
        <f t="shared" si="29"/>
        <v>0</v>
      </c>
      <c r="BA148" s="150">
        <f t="shared" si="29"/>
        <v>0</v>
      </c>
      <c r="BB148" s="150">
        <f t="shared" si="29"/>
        <v>0</v>
      </c>
      <c r="BC148" s="150">
        <f t="shared" si="29"/>
        <v>0</v>
      </c>
      <c r="BD148" s="150">
        <f t="shared" si="29"/>
        <v>0</v>
      </c>
      <c r="BE148" s="150">
        <f t="shared" si="29"/>
        <v>0</v>
      </c>
      <c r="BF148" s="150">
        <f t="shared" si="29"/>
        <v>0</v>
      </c>
      <c r="BG148" s="150">
        <f t="shared" si="29"/>
        <v>0</v>
      </c>
      <c r="BH148" s="150">
        <f t="shared" si="29"/>
        <v>0</v>
      </c>
      <c r="BI148" s="150">
        <f t="shared" si="29"/>
        <v>0</v>
      </c>
      <c r="BJ148" s="150">
        <f t="shared" si="29"/>
        <v>0</v>
      </c>
      <c r="BK148" s="150">
        <f t="shared" si="29"/>
        <v>0</v>
      </c>
      <c r="BL148" s="150">
        <f t="shared" si="29"/>
        <v>0</v>
      </c>
      <c r="BM148" s="150">
        <f t="shared" si="29"/>
        <v>0</v>
      </c>
      <c r="BN148" s="150"/>
      <c r="BO148" s="150"/>
      <c r="BP148" s="150"/>
      <c r="BQ148" s="150"/>
      <c r="BR148" s="150"/>
      <c r="BS148" s="150"/>
      <c r="BT148" s="150"/>
      <c r="BU148" s="150"/>
      <c r="BV148" s="150"/>
      <c r="BW148" s="150"/>
      <c r="BX148" s="150"/>
      <c r="BY148" s="150"/>
      <c r="BZ148" s="150"/>
      <c r="CA148" s="150"/>
      <c r="CB148" s="150"/>
      <c r="CC148" s="150"/>
      <c r="CD148" s="150"/>
      <c r="CE148" s="150"/>
      <c r="CF148" s="150"/>
      <c r="CG148" s="150"/>
      <c r="CH148" s="150"/>
      <c r="CI148" s="150"/>
      <c r="CJ148" s="150"/>
      <c r="CK148" s="150"/>
      <c r="CL148" s="150"/>
      <c r="CM148" s="150"/>
      <c r="CN148" s="150"/>
      <c r="CO148" s="150"/>
      <c r="CP148" s="150"/>
      <c r="CQ148" s="150"/>
      <c r="CR148" s="150"/>
      <c r="CS148" s="150"/>
      <c r="CT148" s="150"/>
      <c r="CU148" s="150"/>
      <c r="CV148" s="150"/>
      <c r="CW148" s="150"/>
      <c r="CX148" s="150"/>
      <c r="CY148" s="150"/>
      <c r="CZ148" s="150"/>
      <c r="DA148" s="150"/>
      <c r="DB148" s="150"/>
      <c r="DC148" s="150"/>
      <c r="DD148" s="150"/>
      <c r="DE148" s="150"/>
      <c r="DF148" s="150"/>
      <c r="DG148" s="150"/>
      <c r="DH148" s="150"/>
      <c r="DI148" s="150"/>
      <c r="DJ148" s="150"/>
      <c r="DK148" s="150"/>
      <c r="DL148" s="150"/>
      <c r="DM148" s="150"/>
      <c r="DN148" s="150"/>
      <c r="DO148" s="150"/>
      <c r="DP148" s="150"/>
      <c r="DQ148" s="150"/>
      <c r="DR148" s="150"/>
      <c r="DS148" s="150"/>
      <c r="DT148" s="150"/>
      <c r="DU148" s="150"/>
      <c r="DV148" s="150"/>
      <c r="DW148" s="150"/>
      <c r="DX148" s="150"/>
      <c r="DY148" s="150"/>
      <c r="DZ148" s="150"/>
      <c r="EA148" s="150"/>
      <c r="EB148" s="150"/>
      <c r="EC148" s="150"/>
      <c r="ED148" s="150"/>
      <c r="EE148" s="150"/>
      <c r="EF148" s="150"/>
      <c r="EG148" s="150"/>
      <c r="EH148" s="150"/>
      <c r="EI148" s="150"/>
      <c r="EJ148" s="150"/>
      <c r="EK148" s="150"/>
      <c r="EL148" s="150"/>
      <c r="EM148" s="150"/>
      <c r="EN148" s="150"/>
      <c r="EO148" s="150"/>
      <c r="EP148" s="150"/>
      <c r="EQ148" s="150"/>
      <c r="ER148" s="150"/>
      <c r="ES148" s="150"/>
      <c r="ET148" s="150"/>
      <c r="EU148" s="150"/>
      <c r="EV148" s="150"/>
      <c r="EW148" s="150"/>
      <c r="EX148" s="150"/>
      <c r="EY148" s="150"/>
      <c r="EZ148" s="150"/>
      <c r="FA148" s="150"/>
      <c r="FB148" s="150"/>
      <c r="FC148" s="150"/>
      <c r="FD148" s="150"/>
      <c r="FE148" s="150"/>
      <c r="FF148" s="150"/>
      <c r="FG148" s="150"/>
      <c r="FH148" s="150"/>
      <c r="FI148" s="150"/>
      <c r="FJ148" s="150"/>
      <c r="FK148" s="150"/>
      <c r="FL148" s="150"/>
      <c r="FM148" s="150"/>
      <c r="FN148" s="150"/>
      <c r="FO148" s="150"/>
      <c r="FP148" s="150"/>
      <c r="FQ148" s="150"/>
      <c r="FR148" s="150"/>
      <c r="FS148" s="150"/>
      <c r="FT148" s="150"/>
      <c r="FU148" s="150"/>
      <c r="FV148" s="150"/>
      <c r="FW148" s="150"/>
      <c r="FX148" s="150"/>
      <c r="FY148" s="150"/>
      <c r="FZ148" s="150"/>
      <c r="GA148" s="150"/>
      <c r="GB148" s="150"/>
      <c r="GC148" s="150"/>
      <c r="GD148" s="150"/>
      <c r="GE148" s="150"/>
      <c r="GF148" s="150"/>
      <c r="GG148" s="150"/>
      <c r="GH148" s="150"/>
      <c r="GI148" s="150"/>
      <c r="GJ148" s="150"/>
      <c r="GK148" s="150"/>
      <c r="GL148" s="150"/>
      <c r="GM148" s="150"/>
      <c r="GN148" s="150"/>
      <c r="GO148" s="150"/>
      <c r="GP148" s="150"/>
      <c r="GQ148" s="150"/>
      <c r="GR148" s="150"/>
      <c r="GS148" s="150"/>
      <c r="GT148" s="150"/>
      <c r="GU148" s="150"/>
      <c r="GV148" s="150"/>
      <c r="GW148" s="150"/>
      <c r="GX148" s="150"/>
      <c r="GY148" s="150"/>
      <c r="GZ148" s="150"/>
      <c r="HA148" s="150"/>
      <c r="HB148" s="150"/>
      <c r="HC148" s="150"/>
      <c r="HD148" s="150"/>
      <c r="HE148" s="150"/>
      <c r="HF148" s="150"/>
      <c r="HG148" s="150"/>
      <c r="HH148" s="150"/>
      <c r="HI148" s="150"/>
      <c r="HJ148" s="150"/>
      <c r="HK148" s="150"/>
      <c r="HL148" s="150"/>
      <c r="HM148" s="150"/>
      <c r="HN148" s="150"/>
      <c r="HO148" s="150"/>
      <c r="HP148" s="150"/>
      <c r="HQ148" s="150"/>
      <c r="HR148" s="150"/>
      <c r="HS148" s="150"/>
      <c r="HT148" s="150"/>
      <c r="HU148" s="150"/>
      <c r="HV148" s="150"/>
      <c r="HW148" s="150"/>
      <c r="HX148" s="150"/>
      <c r="HY148" s="150"/>
      <c r="HZ148" s="150"/>
      <c r="IA148" s="150"/>
      <c r="IB148" s="150"/>
      <c r="IC148" s="150"/>
      <c r="ID148" s="150"/>
      <c r="IE148" s="150"/>
      <c r="IF148" s="150"/>
      <c r="IG148" s="150"/>
      <c r="IH148" s="150"/>
      <c r="II148" s="150"/>
      <c r="IJ148" s="150"/>
      <c r="IK148" s="150"/>
      <c r="IL148" s="150"/>
      <c r="IM148" s="150"/>
      <c r="IN148" s="150"/>
      <c r="IO148" s="150"/>
      <c r="IP148" s="150"/>
      <c r="IQ148" s="150"/>
      <c r="IR148" s="150"/>
      <c r="IS148" s="150"/>
      <c r="IT148" s="150"/>
      <c r="IU148" s="150"/>
      <c r="IV148" s="150"/>
      <c r="IW148" s="150"/>
      <c r="IX148" s="150"/>
      <c r="IY148" s="150"/>
      <c r="IZ148" s="150"/>
      <c r="JA148" s="150"/>
      <c r="JB148" s="150"/>
      <c r="JC148" s="150"/>
      <c r="JD148" s="150"/>
      <c r="JE148" s="150"/>
      <c r="JF148" s="150"/>
      <c r="JG148" s="150"/>
      <c r="JH148" s="150"/>
      <c r="JI148" s="150"/>
      <c r="JJ148" s="150"/>
      <c r="JK148" s="150"/>
      <c r="JL148" s="150"/>
      <c r="JM148" s="150"/>
      <c r="JN148" s="150"/>
      <c r="JO148" s="150"/>
      <c r="JP148" s="150"/>
      <c r="JQ148" s="150"/>
      <c r="JR148" s="150"/>
      <c r="JS148" s="150"/>
      <c r="JT148" s="150"/>
      <c r="JU148" s="150"/>
      <c r="JV148" s="150"/>
      <c r="JW148" s="150"/>
      <c r="JX148" s="150"/>
      <c r="JY148" s="150"/>
      <c r="JZ148" s="150"/>
      <c r="KA148" s="150"/>
      <c r="KB148" s="150"/>
      <c r="KC148" s="150"/>
      <c r="KD148" s="150"/>
      <c r="KE148" s="150"/>
      <c r="KF148" s="150"/>
      <c r="KG148" s="150"/>
      <c r="KH148" s="150"/>
      <c r="KI148" s="150"/>
      <c r="KJ148" s="150"/>
      <c r="KK148" s="150"/>
      <c r="KL148" s="150"/>
      <c r="KM148" s="150"/>
      <c r="KN148" s="150"/>
      <c r="KO148" s="150"/>
      <c r="KP148" s="150"/>
      <c r="KQ148" s="150"/>
      <c r="KR148" s="150"/>
      <c r="KS148" s="150"/>
      <c r="KT148" s="150"/>
    </row>
    <row r="149" spans="2:307" x14ac:dyDescent="0.15">
      <c r="C149" s="92" t="s">
        <v>316</v>
      </c>
      <c r="F149" s="150">
        <f t="shared" si="30"/>
        <v>0</v>
      </c>
      <c r="G149" s="150">
        <f t="shared" si="30"/>
        <v>0</v>
      </c>
      <c r="H149" s="150">
        <f t="shared" si="30"/>
        <v>0</v>
      </c>
      <c r="I149" s="150">
        <f t="shared" si="30"/>
        <v>0</v>
      </c>
      <c r="J149" s="150">
        <f t="shared" si="30"/>
        <v>0</v>
      </c>
      <c r="K149" s="150">
        <f t="shared" si="30"/>
        <v>0</v>
      </c>
      <c r="L149" s="150">
        <f t="shared" si="30"/>
        <v>0</v>
      </c>
      <c r="M149" s="150">
        <f t="shared" si="30"/>
        <v>0</v>
      </c>
      <c r="N149" s="150">
        <f t="shared" si="30"/>
        <v>0</v>
      </c>
      <c r="O149" s="150">
        <f t="shared" si="30"/>
        <v>0</v>
      </c>
      <c r="P149" s="150">
        <f t="shared" si="30"/>
        <v>7.5493363337585301E-2</v>
      </c>
      <c r="Q149" s="150">
        <f t="shared" si="30"/>
        <v>6.5961332882487053E-2</v>
      </c>
      <c r="R149" s="150">
        <f t="shared" si="30"/>
        <v>6.2271411975956578E-2</v>
      </c>
      <c r="S149" s="150">
        <f t="shared" si="30"/>
        <v>5.8694153554442956E-2</v>
      </c>
      <c r="T149" s="150">
        <f t="shared" si="30"/>
        <v>5.5211656419014432E-2</v>
      </c>
      <c r="U149" s="150">
        <f t="shared" si="30"/>
        <v>0</v>
      </c>
      <c r="V149" s="150">
        <f t="shared" si="30"/>
        <v>0</v>
      </c>
      <c r="W149" s="150">
        <f t="shared" si="30"/>
        <v>0</v>
      </c>
      <c r="X149" s="150">
        <f t="shared" si="30"/>
        <v>0</v>
      </c>
      <c r="Y149" s="150">
        <f t="shared" si="30"/>
        <v>0</v>
      </c>
      <c r="Z149" s="150">
        <f t="shared" si="30"/>
        <v>0</v>
      </c>
      <c r="AA149" s="150">
        <f t="shared" si="30"/>
        <v>0</v>
      </c>
      <c r="AB149" s="150">
        <f t="shared" si="30"/>
        <v>0</v>
      </c>
      <c r="AC149" s="150">
        <f t="shared" si="30"/>
        <v>0</v>
      </c>
      <c r="AD149" s="150">
        <f t="shared" si="30"/>
        <v>0</v>
      </c>
      <c r="AE149" s="150">
        <f t="shared" si="30"/>
        <v>0</v>
      </c>
      <c r="AF149" s="150">
        <f t="shared" si="30"/>
        <v>0</v>
      </c>
      <c r="AG149" s="150">
        <f t="shared" si="30"/>
        <v>0</v>
      </c>
      <c r="AH149" s="150">
        <f t="shared" si="30"/>
        <v>0</v>
      </c>
      <c r="AI149" s="150">
        <f t="shared" si="30"/>
        <v>0</v>
      </c>
      <c r="AJ149" s="150">
        <f t="shared" si="30"/>
        <v>0</v>
      </c>
      <c r="AK149" s="150">
        <f t="shared" si="30"/>
        <v>0</v>
      </c>
      <c r="AL149" s="150">
        <f t="shared" si="29"/>
        <v>0</v>
      </c>
      <c r="AM149" s="150">
        <f t="shared" si="29"/>
        <v>0</v>
      </c>
      <c r="AN149" s="150">
        <f t="shared" si="29"/>
        <v>0</v>
      </c>
      <c r="AO149" s="150">
        <f t="shared" si="29"/>
        <v>0</v>
      </c>
      <c r="AP149" s="150">
        <f t="shared" si="29"/>
        <v>0</v>
      </c>
      <c r="AQ149" s="150">
        <f t="shared" si="29"/>
        <v>0</v>
      </c>
      <c r="AR149" s="150">
        <f t="shared" si="29"/>
        <v>0</v>
      </c>
      <c r="AS149" s="150">
        <f t="shared" si="29"/>
        <v>0</v>
      </c>
      <c r="AT149" s="150">
        <f t="shared" si="29"/>
        <v>0</v>
      </c>
      <c r="AU149" s="150">
        <f t="shared" si="29"/>
        <v>0</v>
      </c>
      <c r="AV149" s="150">
        <f t="shared" si="29"/>
        <v>0</v>
      </c>
      <c r="AW149" s="150">
        <f t="shared" si="29"/>
        <v>0</v>
      </c>
      <c r="AX149" s="150">
        <f t="shared" si="29"/>
        <v>0</v>
      </c>
      <c r="AY149" s="150">
        <f t="shared" si="29"/>
        <v>0</v>
      </c>
      <c r="AZ149" s="150">
        <f t="shared" si="29"/>
        <v>0</v>
      </c>
      <c r="BA149" s="150">
        <f t="shared" si="29"/>
        <v>0</v>
      </c>
      <c r="BB149" s="150">
        <f t="shared" si="29"/>
        <v>0</v>
      </c>
      <c r="BC149" s="150">
        <f t="shared" si="29"/>
        <v>0</v>
      </c>
      <c r="BD149" s="150">
        <f t="shared" si="29"/>
        <v>0</v>
      </c>
      <c r="BE149" s="150">
        <f t="shared" si="29"/>
        <v>0</v>
      </c>
      <c r="BF149" s="150">
        <f t="shared" si="29"/>
        <v>0</v>
      </c>
      <c r="BG149" s="150">
        <f t="shared" si="29"/>
        <v>0</v>
      </c>
      <c r="BH149" s="150">
        <f t="shared" si="29"/>
        <v>0</v>
      </c>
      <c r="BI149" s="150">
        <f t="shared" si="29"/>
        <v>0</v>
      </c>
      <c r="BJ149" s="150">
        <f t="shared" si="29"/>
        <v>0</v>
      </c>
      <c r="BK149" s="150">
        <f t="shared" si="29"/>
        <v>0</v>
      </c>
      <c r="BL149" s="150">
        <f t="shared" si="29"/>
        <v>0</v>
      </c>
      <c r="BM149" s="150">
        <f t="shared" si="29"/>
        <v>0</v>
      </c>
      <c r="BN149" s="150"/>
      <c r="BO149" s="150"/>
      <c r="BP149" s="150"/>
      <c r="BQ149" s="150"/>
      <c r="BR149" s="150"/>
      <c r="BS149" s="150"/>
      <c r="BT149" s="150"/>
      <c r="BU149" s="150"/>
      <c r="BV149" s="150"/>
      <c r="BW149" s="150"/>
      <c r="BX149" s="150"/>
      <c r="BY149" s="150"/>
      <c r="BZ149" s="150"/>
      <c r="CA149" s="150"/>
      <c r="CB149" s="150"/>
      <c r="CC149" s="150"/>
      <c r="CD149" s="150"/>
      <c r="CE149" s="150"/>
      <c r="CF149" s="150"/>
      <c r="CG149" s="150"/>
      <c r="CH149" s="150"/>
      <c r="CI149" s="150"/>
      <c r="CJ149" s="150"/>
      <c r="CK149" s="150"/>
      <c r="CL149" s="150"/>
      <c r="CM149" s="150"/>
      <c r="CN149" s="150"/>
      <c r="CO149" s="150"/>
      <c r="CP149" s="150"/>
      <c r="CQ149" s="150"/>
      <c r="CR149" s="150"/>
      <c r="CS149" s="150"/>
      <c r="CT149" s="150"/>
      <c r="CU149" s="150"/>
      <c r="CV149" s="150"/>
      <c r="CW149" s="150"/>
      <c r="CX149" s="150"/>
      <c r="CY149" s="150"/>
      <c r="CZ149" s="150"/>
      <c r="DA149" s="150"/>
      <c r="DB149" s="150"/>
      <c r="DC149" s="150"/>
      <c r="DD149" s="150"/>
      <c r="DE149" s="150"/>
      <c r="DF149" s="150"/>
      <c r="DG149" s="150"/>
      <c r="DH149" s="150"/>
      <c r="DI149" s="150"/>
      <c r="DJ149" s="150"/>
      <c r="DK149" s="150"/>
      <c r="DL149" s="150"/>
      <c r="DM149" s="150"/>
      <c r="DN149" s="150"/>
      <c r="DO149" s="150"/>
      <c r="DP149" s="150"/>
      <c r="DQ149" s="150"/>
      <c r="DR149" s="150"/>
      <c r="DS149" s="150"/>
      <c r="DT149" s="150"/>
      <c r="DU149" s="150"/>
      <c r="DV149" s="150"/>
      <c r="DW149" s="150"/>
      <c r="DX149" s="150"/>
      <c r="DY149" s="150"/>
      <c r="DZ149" s="150"/>
      <c r="EA149" s="150"/>
      <c r="EB149" s="150"/>
      <c r="EC149" s="150"/>
      <c r="ED149" s="150"/>
      <c r="EE149" s="150"/>
      <c r="EF149" s="150"/>
      <c r="EG149" s="150"/>
      <c r="EH149" s="150"/>
      <c r="EI149" s="150"/>
      <c r="EJ149" s="150"/>
      <c r="EK149" s="150"/>
      <c r="EL149" s="150"/>
      <c r="EM149" s="150"/>
      <c r="EN149" s="150"/>
      <c r="EO149" s="150"/>
      <c r="EP149" s="150"/>
      <c r="EQ149" s="150"/>
      <c r="ER149" s="150"/>
      <c r="ES149" s="150"/>
      <c r="ET149" s="150"/>
      <c r="EU149" s="150"/>
      <c r="EV149" s="150"/>
      <c r="EW149" s="150"/>
      <c r="EX149" s="150"/>
      <c r="EY149" s="150"/>
      <c r="EZ149" s="150"/>
      <c r="FA149" s="150"/>
      <c r="FB149" s="150"/>
      <c r="FC149" s="150"/>
      <c r="FD149" s="150"/>
      <c r="FE149" s="150"/>
      <c r="FF149" s="150"/>
      <c r="FG149" s="150"/>
      <c r="FH149" s="150"/>
      <c r="FI149" s="150"/>
      <c r="FJ149" s="150"/>
      <c r="FK149" s="150"/>
      <c r="FL149" s="150"/>
      <c r="FM149" s="150"/>
      <c r="FN149" s="150"/>
      <c r="FO149" s="150"/>
      <c r="FP149" s="150"/>
      <c r="FQ149" s="150"/>
      <c r="FR149" s="150"/>
      <c r="FS149" s="150"/>
      <c r="FT149" s="150"/>
      <c r="FU149" s="150"/>
      <c r="FV149" s="150"/>
      <c r="FW149" s="150"/>
      <c r="FX149" s="150"/>
      <c r="FY149" s="150"/>
      <c r="FZ149" s="150"/>
      <c r="GA149" s="150"/>
      <c r="GB149" s="150"/>
      <c r="GC149" s="150"/>
      <c r="GD149" s="150"/>
      <c r="GE149" s="150"/>
      <c r="GF149" s="150"/>
      <c r="GG149" s="150"/>
      <c r="GH149" s="150"/>
      <c r="GI149" s="150"/>
      <c r="GJ149" s="150"/>
      <c r="GK149" s="150"/>
      <c r="GL149" s="150"/>
      <c r="GM149" s="150"/>
      <c r="GN149" s="150"/>
      <c r="GO149" s="150"/>
      <c r="GP149" s="150"/>
      <c r="GQ149" s="150"/>
      <c r="GR149" s="150"/>
      <c r="GS149" s="150"/>
      <c r="GT149" s="150"/>
      <c r="GU149" s="150"/>
      <c r="GV149" s="150"/>
      <c r="GW149" s="150"/>
      <c r="GX149" s="150"/>
      <c r="GY149" s="150"/>
      <c r="GZ149" s="150"/>
      <c r="HA149" s="150"/>
      <c r="HB149" s="150"/>
      <c r="HC149" s="150"/>
      <c r="HD149" s="150"/>
      <c r="HE149" s="150"/>
      <c r="HF149" s="150"/>
      <c r="HG149" s="150"/>
      <c r="HH149" s="150"/>
      <c r="HI149" s="150"/>
      <c r="HJ149" s="150"/>
      <c r="HK149" s="150"/>
      <c r="HL149" s="150"/>
      <c r="HM149" s="150"/>
      <c r="HN149" s="150"/>
      <c r="HO149" s="150"/>
      <c r="HP149" s="150"/>
      <c r="HQ149" s="150"/>
      <c r="HR149" s="150"/>
      <c r="HS149" s="150"/>
      <c r="HT149" s="150"/>
      <c r="HU149" s="150"/>
      <c r="HV149" s="150"/>
      <c r="HW149" s="150"/>
      <c r="HX149" s="150"/>
      <c r="HY149" s="150"/>
      <c r="HZ149" s="150"/>
      <c r="IA149" s="150"/>
      <c r="IB149" s="150"/>
      <c r="IC149" s="150"/>
      <c r="ID149" s="150"/>
      <c r="IE149" s="150"/>
      <c r="IF149" s="150"/>
      <c r="IG149" s="150"/>
      <c r="IH149" s="150"/>
      <c r="II149" s="150"/>
      <c r="IJ149" s="150"/>
      <c r="IK149" s="150"/>
      <c r="IL149" s="150"/>
      <c r="IM149" s="150"/>
      <c r="IN149" s="150"/>
      <c r="IO149" s="150"/>
      <c r="IP149" s="150"/>
      <c r="IQ149" s="150"/>
      <c r="IR149" s="150"/>
      <c r="IS149" s="150"/>
      <c r="IT149" s="150"/>
      <c r="IU149" s="150"/>
      <c r="IV149" s="150"/>
      <c r="IW149" s="150"/>
      <c r="IX149" s="150"/>
      <c r="IY149" s="150"/>
      <c r="IZ149" s="150"/>
      <c r="JA149" s="150"/>
      <c r="JB149" s="150"/>
      <c r="JC149" s="150"/>
      <c r="JD149" s="150"/>
      <c r="JE149" s="150"/>
      <c r="JF149" s="150"/>
      <c r="JG149" s="150"/>
      <c r="JH149" s="150"/>
      <c r="JI149" s="150"/>
      <c r="JJ149" s="150"/>
      <c r="JK149" s="150"/>
      <c r="JL149" s="150"/>
      <c r="JM149" s="150"/>
      <c r="JN149" s="150"/>
      <c r="JO149" s="150"/>
      <c r="JP149" s="150"/>
      <c r="JQ149" s="150"/>
      <c r="JR149" s="150"/>
      <c r="JS149" s="150"/>
      <c r="JT149" s="150"/>
      <c r="JU149" s="150"/>
      <c r="JV149" s="150"/>
      <c r="JW149" s="150"/>
      <c r="JX149" s="150"/>
      <c r="JY149" s="150"/>
      <c r="JZ149" s="150"/>
      <c r="KA149" s="150"/>
      <c r="KB149" s="150"/>
      <c r="KC149" s="150"/>
      <c r="KD149" s="150"/>
      <c r="KE149" s="150"/>
      <c r="KF149" s="150"/>
      <c r="KG149" s="150"/>
      <c r="KH149" s="150"/>
      <c r="KI149" s="150"/>
      <c r="KJ149" s="150"/>
      <c r="KK149" s="150"/>
      <c r="KL149" s="150"/>
      <c r="KM149" s="150"/>
      <c r="KN149" s="150"/>
      <c r="KO149" s="150"/>
      <c r="KP149" s="150"/>
      <c r="KQ149" s="150"/>
      <c r="KR149" s="150"/>
      <c r="KS149" s="150"/>
      <c r="KT149" s="150"/>
    </row>
    <row r="150" spans="2:307" x14ac:dyDescent="0.15">
      <c r="C150" s="92" t="s">
        <v>317</v>
      </c>
      <c r="F150" s="150">
        <f t="shared" si="30"/>
        <v>0</v>
      </c>
      <c r="G150" s="150">
        <f t="shared" si="30"/>
        <v>0</v>
      </c>
      <c r="H150" s="150">
        <f t="shared" si="30"/>
        <v>0</v>
      </c>
      <c r="I150" s="150">
        <f t="shared" si="30"/>
        <v>0</v>
      </c>
      <c r="J150" s="150">
        <f t="shared" si="30"/>
        <v>0</v>
      </c>
      <c r="K150" s="150">
        <f t="shared" si="30"/>
        <v>0</v>
      </c>
      <c r="L150" s="150">
        <f t="shared" si="30"/>
        <v>0</v>
      </c>
      <c r="M150" s="150">
        <f t="shared" si="30"/>
        <v>0</v>
      </c>
      <c r="N150" s="150">
        <f t="shared" si="30"/>
        <v>0</v>
      </c>
      <c r="O150" s="150">
        <f t="shared" si="30"/>
        <v>0</v>
      </c>
      <c r="P150" s="150">
        <f t="shared" si="30"/>
        <v>0</v>
      </c>
      <c r="Q150" s="150">
        <f t="shared" si="30"/>
        <v>7.5493363337585301E-2</v>
      </c>
      <c r="R150" s="150">
        <f t="shared" si="30"/>
        <v>6.5961332882487053E-2</v>
      </c>
      <c r="S150" s="150">
        <f t="shared" si="30"/>
        <v>6.2271411975956578E-2</v>
      </c>
      <c r="T150" s="150">
        <f t="shared" si="30"/>
        <v>5.8694153554442956E-2</v>
      </c>
      <c r="U150" s="150">
        <f t="shared" si="30"/>
        <v>0</v>
      </c>
      <c r="V150" s="150">
        <f t="shared" si="30"/>
        <v>0</v>
      </c>
      <c r="W150" s="150">
        <f t="shared" si="30"/>
        <v>0</v>
      </c>
      <c r="X150" s="150">
        <f t="shared" si="30"/>
        <v>0</v>
      </c>
      <c r="Y150" s="150">
        <f t="shared" si="30"/>
        <v>0</v>
      </c>
      <c r="Z150" s="150">
        <f t="shared" si="30"/>
        <v>0</v>
      </c>
      <c r="AA150" s="150">
        <f t="shared" si="30"/>
        <v>0</v>
      </c>
      <c r="AB150" s="150">
        <f t="shared" si="30"/>
        <v>0</v>
      </c>
      <c r="AC150" s="150">
        <f t="shared" si="30"/>
        <v>0</v>
      </c>
      <c r="AD150" s="150">
        <f t="shared" si="30"/>
        <v>0</v>
      </c>
      <c r="AE150" s="150">
        <f t="shared" si="30"/>
        <v>0</v>
      </c>
      <c r="AF150" s="150">
        <f t="shared" si="30"/>
        <v>0</v>
      </c>
      <c r="AG150" s="150">
        <f t="shared" si="30"/>
        <v>0</v>
      </c>
      <c r="AH150" s="150">
        <f t="shared" si="30"/>
        <v>0</v>
      </c>
      <c r="AI150" s="150">
        <f t="shared" si="30"/>
        <v>0</v>
      </c>
      <c r="AJ150" s="150">
        <f t="shared" si="30"/>
        <v>0</v>
      </c>
      <c r="AK150" s="150">
        <f t="shared" ref="AK150:BP150" si="31">IF(AK$4&gt;$F$6,0,AK31*$K112)</f>
        <v>0</v>
      </c>
      <c r="AL150" s="150">
        <f t="shared" si="29"/>
        <v>0</v>
      </c>
      <c r="AM150" s="150">
        <f t="shared" si="29"/>
        <v>0</v>
      </c>
      <c r="AN150" s="150">
        <f t="shared" si="29"/>
        <v>0</v>
      </c>
      <c r="AO150" s="150">
        <f t="shared" si="29"/>
        <v>0</v>
      </c>
      <c r="AP150" s="150">
        <f t="shared" si="29"/>
        <v>0</v>
      </c>
      <c r="AQ150" s="150">
        <f t="shared" si="29"/>
        <v>0</v>
      </c>
      <c r="AR150" s="150">
        <f t="shared" si="29"/>
        <v>0</v>
      </c>
      <c r="AS150" s="150">
        <f t="shared" si="29"/>
        <v>0</v>
      </c>
      <c r="AT150" s="150">
        <f t="shared" si="29"/>
        <v>0</v>
      </c>
      <c r="AU150" s="150">
        <f t="shared" si="29"/>
        <v>0</v>
      </c>
      <c r="AV150" s="150">
        <f t="shared" si="29"/>
        <v>0</v>
      </c>
      <c r="AW150" s="150">
        <f t="shared" si="29"/>
        <v>0</v>
      </c>
      <c r="AX150" s="150">
        <f t="shared" si="29"/>
        <v>0</v>
      </c>
      <c r="AY150" s="150">
        <f t="shared" si="29"/>
        <v>0</v>
      </c>
      <c r="AZ150" s="150">
        <f t="shared" ref="AZ150:CA150" si="32">IF(AZ$4&gt;$F$6,0,AZ31*$K112)</f>
        <v>0</v>
      </c>
      <c r="BA150" s="150">
        <f t="shared" si="32"/>
        <v>0</v>
      </c>
      <c r="BB150" s="150">
        <f t="shared" si="32"/>
        <v>0</v>
      </c>
      <c r="BC150" s="150">
        <f t="shared" si="32"/>
        <v>0</v>
      </c>
      <c r="BD150" s="150">
        <f t="shared" si="32"/>
        <v>0</v>
      </c>
      <c r="BE150" s="150">
        <f t="shared" si="32"/>
        <v>0</v>
      </c>
      <c r="BF150" s="150">
        <f t="shared" si="32"/>
        <v>0</v>
      </c>
      <c r="BG150" s="150">
        <f t="shared" si="32"/>
        <v>0</v>
      </c>
      <c r="BH150" s="150">
        <f t="shared" si="32"/>
        <v>0</v>
      </c>
      <c r="BI150" s="150">
        <f t="shared" si="32"/>
        <v>0</v>
      </c>
      <c r="BJ150" s="150">
        <f t="shared" si="32"/>
        <v>0</v>
      </c>
      <c r="BK150" s="150">
        <f t="shared" si="32"/>
        <v>0</v>
      </c>
      <c r="BL150" s="150">
        <f t="shared" si="32"/>
        <v>0</v>
      </c>
      <c r="BM150" s="150">
        <f t="shared" si="32"/>
        <v>0</v>
      </c>
      <c r="BN150" s="150"/>
      <c r="BO150" s="150"/>
      <c r="BP150" s="150"/>
      <c r="BQ150" s="150"/>
      <c r="BR150" s="150"/>
      <c r="BS150" s="150"/>
      <c r="BT150" s="150"/>
      <c r="BU150" s="150"/>
      <c r="BV150" s="150"/>
      <c r="BW150" s="150"/>
      <c r="BX150" s="150"/>
      <c r="BY150" s="150"/>
      <c r="BZ150" s="150"/>
      <c r="CA150" s="150"/>
      <c r="CB150" s="150"/>
      <c r="CC150" s="150"/>
      <c r="CD150" s="150"/>
      <c r="CE150" s="150"/>
      <c r="CF150" s="150"/>
      <c r="CG150" s="150"/>
      <c r="CH150" s="150"/>
      <c r="CI150" s="150"/>
      <c r="CJ150" s="150"/>
      <c r="CK150" s="150"/>
      <c r="CL150" s="150"/>
      <c r="CM150" s="150"/>
      <c r="CN150" s="150"/>
      <c r="CO150" s="150"/>
      <c r="CP150" s="150"/>
      <c r="CQ150" s="150"/>
      <c r="CR150" s="150"/>
      <c r="CS150" s="150"/>
      <c r="CT150" s="150"/>
      <c r="CU150" s="150"/>
      <c r="CV150" s="150"/>
      <c r="CW150" s="150"/>
      <c r="CX150" s="150"/>
      <c r="CY150" s="150"/>
      <c r="CZ150" s="150"/>
      <c r="DA150" s="150"/>
      <c r="DB150" s="150"/>
      <c r="DC150" s="150"/>
      <c r="DD150" s="150"/>
      <c r="DE150" s="150"/>
      <c r="DF150" s="150"/>
      <c r="DG150" s="150"/>
      <c r="DH150" s="150"/>
      <c r="DI150" s="150"/>
      <c r="DJ150" s="150"/>
      <c r="DK150" s="150"/>
      <c r="DL150" s="150"/>
      <c r="DM150" s="150"/>
      <c r="DN150" s="150"/>
      <c r="DO150" s="150"/>
      <c r="DP150" s="150"/>
      <c r="DQ150" s="150"/>
      <c r="DR150" s="150"/>
      <c r="DS150" s="150"/>
      <c r="DT150" s="150"/>
      <c r="DU150" s="150"/>
      <c r="DV150" s="150"/>
      <c r="DW150" s="150"/>
      <c r="DX150" s="150"/>
      <c r="DY150" s="150"/>
      <c r="DZ150" s="150"/>
      <c r="EA150" s="150"/>
      <c r="EB150" s="150"/>
      <c r="EC150" s="150"/>
      <c r="ED150" s="150"/>
      <c r="EE150" s="150"/>
      <c r="EF150" s="150"/>
      <c r="EG150" s="150"/>
      <c r="EH150" s="150"/>
      <c r="EI150" s="150"/>
      <c r="EJ150" s="150"/>
      <c r="EK150" s="150"/>
      <c r="EL150" s="150"/>
      <c r="EM150" s="150"/>
      <c r="EN150" s="150"/>
      <c r="EO150" s="150"/>
      <c r="EP150" s="150"/>
      <c r="EQ150" s="150"/>
      <c r="ER150" s="150"/>
      <c r="ES150" s="150"/>
      <c r="ET150" s="150"/>
      <c r="EU150" s="150"/>
      <c r="EV150" s="150"/>
      <c r="EW150" s="150"/>
      <c r="EX150" s="150"/>
      <c r="EY150" s="150"/>
      <c r="EZ150" s="150"/>
      <c r="FA150" s="150"/>
      <c r="FB150" s="150"/>
      <c r="FC150" s="150"/>
      <c r="FD150" s="150"/>
      <c r="FE150" s="150"/>
      <c r="FF150" s="150"/>
      <c r="FG150" s="150"/>
      <c r="FH150" s="150"/>
      <c r="FI150" s="150"/>
      <c r="FJ150" s="150"/>
      <c r="FK150" s="150"/>
      <c r="FL150" s="150"/>
      <c r="FM150" s="150"/>
      <c r="FN150" s="150"/>
      <c r="FO150" s="150"/>
      <c r="FP150" s="150"/>
      <c r="FQ150" s="150"/>
      <c r="FR150" s="150"/>
      <c r="FS150" s="150"/>
      <c r="FT150" s="150"/>
      <c r="FU150" s="150"/>
      <c r="FV150" s="150"/>
      <c r="FW150" s="150"/>
      <c r="FX150" s="150"/>
      <c r="FY150" s="150"/>
      <c r="FZ150" s="150"/>
      <c r="GA150" s="150"/>
      <c r="GB150" s="150"/>
      <c r="GC150" s="150"/>
      <c r="GD150" s="150"/>
      <c r="GE150" s="150"/>
      <c r="GF150" s="150"/>
      <c r="GG150" s="150"/>
      <c r="GH150" s="150"/>
      <c r="GI150" s="150"/>
      <c r="GJ150" s="150"/>
      <c r="GK150" s="150"/>
      <c r="GL150" s="150"/>
      <c r="GM150" s="150"/>
      <c r="GN150" s="150"/>
      <c r="GO150" s="150"/>
      <c r="GP150" s="150"/>
      <c r="GQ150" s="150"/>
      <c r="GR150" s="150"/>
      <c r="GS150" s="150"/>
      <c r="GT150" s="150"/>
      <c r="GU150" s="150"/>
      <c r="GV150" s="150"/>
      <c r="GW150" s="150"/>
      <c r="GX150" s="150"/>
      <c r="GY150" s="150"/>
      <c r="GZ150" s="150"/>
      <c r="HA150" s="150"/>
      <c r="HB150" s="150"/>
      <c r="HC150" s="150"/>
      <c r="HD150" s="150"/>
      <c r="HE150" s="150"/>
      <c r="HF150" s="150"/>
      <c r="HG150" s="150"/>
      <c r="HH150" s="150"/>
      <c r="HI150" s="150"/>
      <c r="HJ150" s="150"/>
      <c r="HK150" s="150"/>
      <c r="HL150" s="150"/>
      <c r="HM150" s="150"/>
      <c r="HN150" s="150"/>
      <c r="HO150" s="150"/>
      <c r="HP150" s="150"/>
      <c r="HQ150" s="150"/>
      <c r="HR150" s="150"/>
      <c r="HS150" s="150"/>
      <c r="HT150" s="150"/>
      <c r="HU150" s="150"/>
      <c r="HV150" s="150"/>
      <c r="HW150" s="150"/>
      <c r="HX150" s="150"/>
      <c r="HY150" s="150"/>
      <c r="HZ150" s="150"/>
      <c r="IA150" s="150"/>
      <c r="IB150" s="150"/>
      <c r="IC150" s="150"/>
      <c r="ID150" s="150"/>
      <c r="IE150" s="150"/>
      <c r="IF150" s="150"/>
      <c r="IG150" s="150"/>
      <c r="IH150" s="150"/>
      <c r="II150" s="150"/>
      <c r="IJ150" s="150"/>
      <c r="IK150" s="150"/>
      <c r="IL150" s="150"/>
      <c r="IM150" s="150"/>
      <c r="IN150" s="150"/>
      <c r="IO150" s="150"/>
      <c r="IP150" s="150"/>
      <c r="IQ150" s="150"/>
      <c r="IR150" s="150"/>
      <c r="IS150" s="150"/>
      <c r="IT150" s="150"/>
      <c r="IU150" s="150"/>
      <c r="IV150" s="150"/>
      <c r="IW150" s="150"/>
      <c r="IX150" s="150"/>
      <c r="IY150" s="150"/>
      <c r="IZ150" s="150"/>
      <c r="JA150" s="150"/>
      <c r="JB150" s="150"/>
      <c r="JC150" s="150"/>
      <c r="JD150" s="150"/>
      <c r="JE150" s="150"/>
      <c r="JF150" s="150"/>
      <c r="JG150" s="150"/>
      <c r="JH150" s="150"/>
      <c r="JI150" s="150"/>
      <c r="JJ150" s="150"/>
      <c r="JK150" s="150"/>
      <c r="JL150" s="150"/>
      <c r="JM150" s="150"/>
      <c r="JN150" s="150"/>
      <c r="JO150" s="150"/>
      <c r="JP150" s="150"/>
      <c r="JQ150" s="150"/>
      <c r="JR150" s="150"/>
      <c r="JS150" s="150"/>
      <c r="JT150" s="150"/>
      <c r="JU150" s="150"/>
      <c r="JV150" s="150"/>
      <c r="JW150" s="150"/>
      <c r="JX150" s="150"/>
      <c r="JY150" s="150"/>
      <c r="JZ150" s="150"/>
      <c r="KA150" s="150"/>
      <c r="KB150" s="150"/>
      <c r="KC150" s="150"/>
      <c r="KD150" s="150"/>
      <c r="KE150" s="150"/>
      <c r="KF150" s="150"/>
      <c r="KG150" s="150"/>
      <c r="KH150" s="150"/>
      <c r="KI150" s="150"/>
      <c r="KJ150" s="150"/>
      <c r="KK150" s="150"/>
      <c r="KL150" s="150"/>
      <c r="KM150" s="150"/>
      <c r="KN150" s="150"/>
      <c r="KO150" s="150"/>
      <c r="KP150" s="150"/>
      <c r="KQ150" s="150"/>
      <c r="KR150" s="150"/>
      <c r="KS150" s="150"/>
      <c r="KT150" s="150"/>
    </row>
    <row r="151" spans="2:307" x14ac:dyDescent="0.15">
      <c r="C151" s="92" t="s">
        <v>319</v>
      </c>
      <c r="F151" s="150">
        <f t="shared" ref="F151:BM152" si="33">IF(F$4&gt;$F$6,0,F32*$K113)</f>
        <v>0</v>
      </c>
      <c r="G151" s="150">
        <f t="shared" si="33"/>
        <v>0</v>
      </c>
      <c r="H151" s="150">
        <f t="shared" si="33"/>
        <v>0</v>
      </c>
      <c r="I151" s="150">
        <f t="shared" si="33"/>
        <v>0</v>
      </c>
      <c r="J151" s="150">
        <f t="shared" si="33"/>
        <v>0</v>
      </c>
      <c r="K151" s="150">
        <f t="shared" si="33"/>
        <v>0</v>
      </c>
      <c r="L151" s="150">
        <f t="shared" si="33"/>
        <v>0</v>
      </c>
      <c r="M151" s="150">
        <f t="shared" si="33"/>
        <v>0</v>
      </c>
      <c r="N151" s="150">
        <f t="shared" si="33"/>
        <v>0</v>
      </c>
      <c r="O151" s="150">
        <f t="shared" si="33"/>
        <v>0</v>
      </c>
      <c r="P151" s="150">
        <f t="shared" si="33"/>
        <v>0</v>
      </c>
      <c r="Q151" s="150">
        <f t="shared" si="33"/>
        <v>0</v>
      </c>
      <c r="R151" s="150">
        <f t="shared" si="33"/>
        <v>0.14875539573908436</v>
      </c>
      <c r="S151" s="150">
        <f t="shared" si="33"/>
        <v>0.12997306971918632</v>
      </c>
      <c r="T151" s="150">
        <f t="shared" si="33"/>
        <v>0.12270228960779622</v>
      </c>
      <c r="U151" s="150">
        <f t="shared" si="33"/>
        <v>0</v>
      </c>
      <c r="V151" s="150">
        <f t="shared" si="33"/>
        <v>0</v>
      </c>
      <c r="W151" s="150">
        <f t="shared" si="33"/>
        <v>0</v>
      </c>
      <c r="X151" s="150">
        <f t="shared" si="33"/>
        <v>0</v>
      </c>
      <c r="Y151" s="150">
        <f t="shared" si="33"/>
        <v>0</v>
      </c>
      <c r="Z151" s="150">
        <f t="shared" si="33"/>
        <v>0</v>
      </c>
      <c r="AA151" s="150">
        <f t="shared" si="33"/>
        <v>0</v>
      </c>
      <c r="AB151" s="150">
        <f t="shared" si="33"/>
        <v>0</v>
      </c>
      <c r="AC151" s="150">
        <f t="shared" si="33"/>
        <v>0</v>
      </c>
      <c r="AD151" s="150">
        <f t="shared" si="33"/>
        <v>0</v>
      </c>
      <c r="AE151" s="150">
        <f t="shared" si="33"/>
        <v>0</v>
      </c>
      <c r="AF151" s="150">
        <f t="shared" si="33"/>
        <v>0</v>
      </c>
      <c r="AG151" s="150">
        <f t="shared" si="33"/>
        <v>0</v>
      </c>
      <c r="AH151" s="150">
        <f t="shared" si="33"/>
        <v>0</v>
      </c>
      <c r="AI151" s="150">
        <f t="shared" si="33"/>
        <v>0</v>
      </c>
      <c r="AJ151" s="150">
        <f t="shared" si="33"/>
        <v>0</v>
      </c>
      <c r="AK151" s="150">
        <f t="shared" si="33"/>
        <v>0</v>
      </c>
      <c r="AL151" s="150">
        <f t="shared" si="33"/>
        <v>0</v>
      </c>
      <c r="AM151" s="150">
        <f t="shared" si="33"/>
        <v>0</v>
      </c>
      <c r="AN151" s="150">
        <f t="shared" si="33"/>
        <v>0</v>
      </c>
      <c r="AO151" s="150">
        <f t="shared" si="33"/>
        <v>0</v>
      </c>
      <c r="AP151" s="150">
        <f t="shared" si="33"/>
        <v>0</v>
      </c>
      <c r="AQ151" s="150">
        <f t="shared" si="33"/>
        <v>0</v>
      </c>
      <c r="AR151" s="150">
        <f t="shared" si="33"/>
        <v>0</v>
      </c>
      <c r="AS151" s="150">
        <f t="shared" si="33"/>
        <v>0</v>
      </c>
      <c r="AT151" s="150">
        <f t="shared" si="33"/>
        <v>0</v>
      </c>
      <c r="AU151" s="150">
        <f t="shared" si="33"/>
        <v>0</v>
      </c>
      <c r="AV151" s="150">
        <f t="shared" si="33"/>
        <v>0</v>
      </c>
      <c r="AW151" s="150">
        <f t="shared" si="33"/>
        <v>0</v>
      </c>
      <c r="AX151" s="150">
        <f t="shared" si="33"/>
        <v>0</v>
      </c>
      <c r="AY151" s="150">
        <f t="shared" si="33"/>
        <v>0</v>
      </c>
      <c r="AZ151" s="150">
        <f t="shared" si="33"/>
        <v>0</v>
      </c>
      <c r="BA151" s="150">
        <f t="shared" si="33"/>
        <v>0</v>
      </c>
      <c r="BB151" s="150">
        <f t="shared" si="33"/>
        <v>0</v>
      </c>
      <c r="BC151" s="150">
        <f t="shared" si="33"/>
        <v>0</v>
      </c>
      <c r="BD151" s="150">
        <f t="shared" si="33"/>
        <v>0</v>
      </c>
      <c r="BE151" s="150">
        <f t="shared" si="33"/>
        <v>0</v>
      </c>
      <c r="BF151" s="150">
        <f t="shared" si="33"/>
        <v>0</v>
      </c>
      <c r="BG151" s="150">
        <f t="shared" si="33"/>
        <v>0</v>
      </c>
      <c r="BH151" s="150">
        <f t="shared" si="33"/>
        <v>0</v>
      </c>
      <c r="BI151" s="150">
        <f t="shared" si="33"/>
        <v>0</v>
      </c>
      <c r="BJ151" s="150">
        <f t="shared" si="33"/>
        <v>0</v>
      </c>
      <c r="BK151" s="150">
        <f t="shared" si="33"/>
        <v>0</v>
      </c>
      <c r="BL151" s="150">
        <f t="shared" si="33"/>
        <v>0</v>
      </c>
      <c r="BM151" s="150">
        <f t="shared" si="33"/>
        <v>0</v>
      </c>
      <c r="BN151" s="148"/>
      <c r="BO151" s="148"/>
      <c r="BP151" s="148"/>
      <c r="BQ151" s="148"/>
      <c r="BR151" s="148"/>
      <c r="BS151" s="148"/>
      <c r="BT151" s="148"/>
      <c r="BU151" s="148"/>
      <c r="BV151" s="148"/>
      <c r="BW151" s="148"/>
      <c r="BX151" s="148"/>
      <c r="BY151" s="148"/>
      <c r="BZ151" s="148"/>
      <c r="CA151" s="148"/>
      <c r="CB151" s="148"/>
      <c r="CC151" s="148"/>
      <c r="CD151" s="148"/>
      <c r="CE151" s="148"/>
      <c r="CF151" s="148"/>
      <c r="CG151" s="148"/>
      <c r="CH151" s="148"/>
      <c r="CI151" s="148"/>
      <c r="CJ151" s="148"/>
      <c r="CK151" s="148"/>
      <c r="CL151" s="148"/>
      <c r="CM151" s="148"/>
      <c r="CN151" s="148"/>
      <c r="CO151" s="148"/>
      <c r="CP151" s="148"/>
      <c r="CQ151" s="148"/>
      <c r="CR151" s="148"/>
      <c r="CS151" s="148"/>
      <c r="CT151" s="148"/>
      <c r="CU151" s="148"/>
      <c r="CV151" s="148"/>
      <c r="CW151" s="148"/>
      <c r="CX151" s="148"/>
      <c r="CY151" s="148"/>
      <c r="CZ151" s="148"/>
      <c r="DA151" s="148"/>
      <c r="DB151" s="148"/>
      <c r="DC151" s="148"/>
      <c r="DD151" s="148"/>
      <c r="DE151" s="148"/>
      <c r="DF151" s="148"/>
      <c r="DG151" s="148"/>
      <c r="DH151" s="148"/>
      <c r="DI151" s="148"/>
      <c r="DJ151" s="148"/>
      <c r="DK151" s="148"/>
      <c r="DL151" s="148"/>
      <c r="DM151" s="148"/>
      <c r="DN151" s="148"/>
      <c r="DO151" s="148"/>
      <c r="DP151" s="148"/>
      <c r="DQ151" s="148"/>
      <c r="DR151" s="148"/>
      <c r="DS151" s="148"/>
      <c r="DT151" s="148"/>
      <c r="DU151" s="148"/>
      <c r="DV151" s="148"/>
      <c r="DW151" s="148"/>
      <c r="DX151" s="148"/>
      <c r="DY151" s="148"/>
      <c r="DZ151" s="148"/>
      <c r="EA151" s="148"/>
      <c r="EB151" s="148"/>
      <c r="EC151" s="148"/>
      <c r="ED151" s="148"/>
      <c r="EE151" s="148"/>
      <c r="EF151" s="148"/>
      <c r="EG151" s="148"/>
      <c r="EH151" s="148"/>
      <c r="EI151" s="148"/>
      <c r="EJ151" s="148"/>
      <c r="EK151" s="148"/>
      <c r="EL151" s="148"/>
      <c r="EM151" s="148"/>
      <c r="EN151" s="148"/>
      <c r="EO151" s="148"/>
      <c r="EP151" s="148"/>
      <c r="EQ151" s="148"/>
      <c r="ER151" s="148"/>
      <c r="ES151" s="148"/>
      <c r="ET151" s="148"/>
      <c r="EU151" s="148"/>
      <c r="EV151" s="148"/>
      <c r="EW151" s="148"/>
      <c r="EX151" s="148"/>
      <c r="EY151" s="148"/>
      <c r="EZ151" s="148"/>
      <c r="FA151" s="148"/>
      <c r="FB151" s="148"/>
      <c r="FC151" s="148"/>
      <c r="FD151" s="148"/>
      <c r="FE151" s="148"/>
      <c r="FF151" s="148"/>
      <c r="FG151" s="148"/>
      <c r="FH151" s="148"/>
      <c r="FI151" s="148"/>
      <c r="FJ151" s="148"/>
      <c r="FK151" s="148"/>
      <c r="FL151" s="148"/>
      <c r="FM151" s="148"/>
      <c r="FN151" s="148"/>
      <c r="FO151" s="148"/>
      <c r="FP151" s="148"/>
      <c r="FQ151" s="148"/>
      <c r="FR151" s="148"/>
      <c r="FS151" s="148"/>
      <c r="FT151" s="148"/>
      <c r="FU151" s="148"/>
      <c r="FV151" s="148"/>
      <c r="FW151" s="148"/>
      <c r="FX151" s="148"/>
      <c r="FY151" s="148"/>
      <c r="FZ151" s="148"/>
      <c r="GA151" s="148"/>
      <c r="GB151" s="148"/>
      <c r="GC151" s="148"/>
      <c r="GD151" s="148"/>
      <c r="GE151" s="148"/>
      <c r="GF151" s="148"/>
      <c r="GG151" s="148"/>
      <c r="GH151" s="148"/>
      <c r="GI151" s="148"/>
      <c r="GJ151" s="148"/>
      <c r="GK151" s="148"/>
      <c r="GL151" s="148"/>
      <c r="GM151" s="148"/>
      <c r="GN151" s="148"/>
      <c r="GO151" s="148"/>
      <c r="GP151" s="148"/>
      <c r="GQ151" s="148"/>
      <c r="GR151" s="148"/>
      <c r="GS151" s="148"/>
      <c r="GT151" s="148"/>
      <c r="GU151" s="148"/>
      <c r="GV151" s="148"/>
      <c r="GW151" s="148"/>
      <c r="GX151" s="148"/>
      <c r="GY151" s="148"/>
      <c r="GZ151" s="148"/>
      <c r="HA151" s="148"/>
      <c r="HB151" s="148"/>
      <c r="HC151" s="148"/>
      <c r="HD151" s="148"/>
      <c r="HE151" s="148"/>
      <c r="HF151" s="148"/>
      <c r="HG151" s="148"/>
      <c r="HH151" s="148"/>
      <c r="HI151" s="148"/>
      <c r="HJ151" s="148"/>
      <c r="HK151" s="148"/>
      <c r="HL151" s="148"/>
      <c r="HM151" s="148"/>
      <c r="HN151" s="148"/>
      <c r="HO151" s="148"/>
      <c r="HP151" s="148"/>
      <c r="HQ151" s="148"/>
      <c r="HR151" s="148"/>
      <c r="HS151" s="148"/>
      <c r="HT151" s="148"/>
      <c r="HU151" s="148"/>
      <c r="HV151" s="148"/>
      <c r="HW151" s="148"/>
      <c r="HX151" s="148"/>
      <c r="HY151" s="148"/>
      <c r="HZ151" s="148"/>
      <c r="IA151" s="148"/>
      <c r="IB151" s="148"/>
      <c r="IC151" s="148"/>
      <c r="ID151" s="148"/>
      <c r="IE151" s="148"/>
      <c r="IF151" s="148"/>
      <c r="IG151" s="148"/>
      <c r="IH151" s="148"/>
      <c r="II151" s="148"/>
      <c r="IJ151" s="148"/>
      <c r="IK151" s="148"/>
      <c r="IL151" s="148"/>
      <c r="IM151" s="148"/>
      <c r="IN151" s="148"/>
      <c r="IO151" s="148"/>
      <c r="IP151" s="148"/>
      <c r="IQ151" s="148"/>
      <c r="IR151" s="148"/>
      <c r="IS151" s="148"/>
      <c r="IT151" s="148"/>
      <c r="IU151" s="148"/>
      <c r="IV151" s="148"/>
      <c r="IW151" s="148"/>
      <c r="IX151" s="148"/>
      <c r="IY151" s="148"/>
      <c r="IZ151" s="148"/>
      <c r="JA151" s="148"/>
      <c r="JB151" s="148"/>
      <c r="JC151" s="148"/>
      <c r="JD151" s="148"/>
      <c r="JE151" s="148"/>
      <c r="JF151" s="148"/>
      <c r="JG151" s="148"/>
      <c r="JH151" s="148"/>
      <c r="JI151" s="148"/>
      <c r="JJ151" s="148"/>
      <c r="JK151" s="148"/>
      <c r="JL151" s="148"/>
      <c r="JM151" s="148"/>
      <c r="JN151" s="148"/>
      <c r="JO151" s="148"/>
      <c r="JP151" s="148"/>
      <c r="JQ151" s="148"/>
      <c r="JR151" s="148"/>
      <c r="JS151" s="148"/>
      <c r="JT151" s="148"/>
      <c r="JU151" s="148"/>
      <c r="JV151" s="148"/>
      <c r="JW151" s="148"/>
      <c r="JX151" s="148"/>
      <c r="JY151" s="148"/>
      <c r="JZ151" s="148"/>
      <c r="KA151" s="148"/>
      <c r="KB151" s="148"/>
      <c r="KC151" s="148"/>
      <c r="KD151" s="148"/>
      <c r="KE151" s="148"/>
      <c r="KF151" s="148"/>
      <c r="KG151" s="148"/>
      <c r="KH151" s="148"/>
      <c r="KI151" s="148"/>
      <c r="KJ151" s="148"/>
      <c r="KK151" s="148"/>
      <c r="KL151" s="148"/>
      <c r="KM151" s="148"/>
      <c r="KN151" s="148"/>
      <c r="KO151" s="148"/>
      <c r="KP151" s="148"/>
      <c r="KQ151" s="148"/>
      <c r="KR151" s="148"/>
      <c r="KS151" s="148"/>
      <c r="KT151" s="148"/>
    </row>
    <row r="152" spans="2:307" x14ac:dyDescent="0.15">
      <c r="C152" s="92" t="s">
        <v>321</v>
      </c>
      <c r="F152" s="150">
        <f t="shared" si="33"/>
        <v>0</v>
      </c>
      <c r="G152" s="150">
        <f t="shared" si="33"/>
        <v>0</v>
      </c>
      <c r="H152" s="150">
        <f t="shared" si="33"/>
        <v>0</v>
      </c>
      <c r="I152" s="150">
        <f t="shared" si="33"/>
        <v>0</v>
      </c>
      <c r="J152" s="150">
        <f t="shared" si="33"/>
        <v>0</v>
      </c>
      <c r="K152" s="150">
        <f t="shared" si="33"/>
        <v>0</v>
      </c>
      <c r="L152" s="150">
        <f t="shared" si="33"/>
        <v>0</v>
      </c>
      <c r="M152" s="150">
        <f t="shared" si="33"/>
        <v>0</v>
      </c>
      <c r="N152" s="150">
        <f t="shared" si="33"/>
        <v>0</v>
      </c>
      <c r="O152" s="150">
        <f t="shared" si="33"/>
        <v>0</v>
      </c>
      <c r="P152" s="150">
        <f t="shared" si="33"/>
        <v>0</v>
      </c>
      <c r="Q152" s="150">
        <f t="shared" si="33"/>
        <v>0</v>
      </c>
      <c r="R152" s="150">
        <f t="shared" si="33"/>
        <v>0</v>
      </c>
      <c r="S152" s="150">
        <f t="shared" si="33"/>
        <v>0.14875539573908436</v>
      </c>
      <c r="T152" s="150">
        <f t="shared" si="33"/>
        <v>0.27872846545827068</v>
      </c>
      <c r="U152" s="150">
        <f t="shared" si="33"/>
        <v>0</v>
      </c>
      <c r="V152" s="150">
        <f t="shared" si="33"/>
        <v>0</v>
      </c>
      <c r="W152" s="150">
        <f t="shared" si="33"/>
        <v>0</v>
      </c>
      <c r="X152" s="150">
        <f t="shared" si="33"/>
        <v>0</v>
      </c>
      <c r="Y152" s="150">
        <f t="shared" si="33"/>
        <v>0</v>
      </c>
      <c r="Z152" s="150">
        <f t="shared" si="33"/>
        <v>0</v>
      </c>
      <c r="AA152" s="150">
        <f t="shared" si="33"/>
        <v>0</v>
      </c>
      <c r="AB152" s="150">
        <f t="shared" si="33"/>
        <v>0</v>
      </c>
      <c r="AC152" s="150">
        <f t="shared" si="33"/>
        <v>0</v>
      </c>
      <c r="AD152" s="150">
        <f t="shared" si="33"/>
        <v>0</v>
      </c>
      <c r="AE152" s="150">
        <f t="shared" si="33"/>
        <v>0</v>
      </c>
      <c r="AF152" s="150">
        <f t="shared" si="33"/>
        <v>0</v>
      </c>
      <c r="AG152" s="150">
        <f t="shared" si="33"/>
        <v>0</v>
      </c>
      <c r="AH152" s="150">
        <f t="shared" si="33"/>
        <v>0</v>
      </c>
      <c r="AI152" s="150">
        <f t="shared" si="33"/>
        <v>0</v>
      </c>
      <c r="AJ152" s="150">
        <f t="shared" si="33"/>
        <v>0</v>
      </c>
      <c r="AK152" s="150">
        <f t="shared" si="33"/>
        <v>0</v>
      </c>
      <c r="AL152" s="150">
        <f t="shared" si="33"/>
        <v>0</v>
      </c>
      <c r="AM152" s="150">
        <f t="shared" si="33"/>
        <v>0</v>
      </c>
      <c r="AN152" s="150">
        <f t="shared" si="33"/>
        <v>0</v>
      </c>
      <c r="AO152" s="150">
        <f t="shared" si="33"/>
        <v>0</v>
      </c>
      <c r="AP152" s="150">
        <f t="shared" si="33"/>
        <v>0</v>
      </c>
      <c r="AQ152" s="150">
        <f t="shared" si="33"/>
        <v>0</v>
      </c>
      <c r="AR152" s="150">
        <f t="shared" si="33"/>
        <v>0</v>
      </c>
      <c r="AS152" s="150">
        <f t="shared" si="33"/>
        <v>0</v>
      </c>
      <c r="AT152" s="150">
        <f t="shared" si="33"/>
        <v>0</v>
      </c>
      <c r="AU152" s="150">
        <f t="shared" si="33"/>
        <v>0</v>
      </c>
      <c r="AV152" s="150">
        <f t="shared" si="33"/>
        <v>0</v>
      </c>
      <c r="AW152" s="150">
        <f t="shared" si="33"/>
        <v>0</v>
      </c>
      <c r="AX152" s="150">
        <f t="shared" si="33"/>
        <v>0</v>
      </c>
      <c r="AY152" s="150">
        <f t="shared" si="33"/>
        <v>0</v>
      </c>
      <c r="AZ152" s="150">
        <f t="shared" si="33"/>
        <v>0</v>
      </c>
      <c r="BA152" s="150">
        <f t="shared" si="33"/>
        <v>0</v>
      </c>
      <c r="BB152" s="150">
        <f t="shared" si="33"/>
        <v>0</v>
      </c>
      <c r="BC152" s="150">
        <f t="shared" si="33"/>
        <v>0</v>
      </c>
      <c r="BD152" s="150">
        <f t="shared" si="33"/>
        <v>0</v>
      </c>
      <c r="BE152" s="150">
        <f t="shared" si="33"/>
        <v>0</v>
      </c>
      <c r="BF152" s="150">
        <f t="shared" si="33"/>
        <v>0</v>
      </c>
      <c r="BG152" s="150">
        <f t="shared" si="33"/>
        <v>0</v>
      </c>
      <c r="BH152" s="150">
        <f t="shared" si="33"/>
        <v>0</v>
      </c>
      <c r="BI152" s="150">
        <f t="shared" si="33"/>
        <v>0</v>
      </c>
      <c r="BJ152" s="150">
        <f t="shared" si="33"/>
        <v>0</v>
      </c>
      <c r="BK152" s="150">
        <f t="shared" si="33"/>
        <v>0</v>
      </c>
      <c r="BL152" s="150">
        <f t="shared" si="33"/>
        <v>0</v>
      </c>
      <c r="BM152" s="150">
        <f t="shared" si="33"/>
        <v>0</v>
      </c>
      <c r="BN152" s="148"/>
      <c r="BO152" s="148"/>
      <c r="BP152" s="148"/>
      <c r="BQ152" s="148"/>
      <c r="BR152" s="148"/>
      <c r="BS152" s="148"/>
      <c r="BT152" s="148"/>
      <c r="BU152" s="148"/>
      <c r="BV152" s="148"/>
      <c r="BW152" s="148"/>
      <c r="BX152" s="148"/>
      <c r="BY152" s="148"/>
      <c r="BZ152" s="148"/>
      <c r="CA152" s="148"/>
      <c r="CB152" s="148"/>
      <c r="CC152" s="148"/>
      <c r="CD152" s="148"/>
      <c r="CE152" s="148"/>
      <c r="CF152" s="148"/>
      <c r="CG152" s="148"/>
      <c r="CH152" s="148"/>
      <c r="CI152" s="148"/>
      <c r="CJ152" s="148"/>
      <c r="CK152" s="148"/>
      <c r="CL152" s="148"/>
      <c r="CM152" s="148"/>
      <c r="CN152" s="148"/>
      <c r="CO152" s="148"/>
      <c r="CP152" s="148"/>
      <c r="CQ152" s="148"/>
      <c r="CR152" s="148"/>
      <c r="CS152" s="148"/>
      <c r="CT152" s="148"/>
      <c r="CU152" s="148"/>
      <c r="CV152" s="148"/>
      <c r="CW152" s="148"/>
      <c r="CX152" s="148"/>
      <c r="CY152" s="148"/>
      <c r="CZ152" s="148"/>
      <c r="DA152" s="148"/>
      <c r="DB152" s="148"/>
      <c r="DC152" s="148"/>
      <c r="DD152" s="148"/>
      <c r="DE152" s="148"/>
      <c r="DF152" s="148"/>
      <c r="DG152" s="148"/>
      <c r="DH152" s="148"/>
      <c r="DI152" s="148"/>
      <c r="DJ152" s="148"/>
      <c r="DK152" s="148"/>
      <c r="DL152" s="148"/>
      <c r="DM152" s="148"/>
      <c r="DN152" s="148"/>
      <c r="DO152" s="148"/>
      <c r="DP152" s="148"/>
      <c r="DQ152" s="148"/>
      <c r="DR152" s="148"/>
      <c r="DS152" s="148"/>
      <c r="DT152" s="148"/>
      <c r="DU152" s="148"/>
      <c r="DV152" s="148"/>
      <c r="DW152" s="148"/>
      <c r="DX152" s="148"/>
      <c r="DY152" s="148"/>
      <c r="DZ152" s="148"/>
      <c r="EA152" s="148"/>
      <c r="EB152" s="148"/>
      <c r="EC152" s="148"/>
      <c r="ED152" s="148"/>
      <c r="EE152" s="148"/>
      <c r="EF152" s="148"/>
      <c r="EG152" s="148"/>
      <c r="EH152" s="148"/>
      <c r="EI152" s="148"/>
      <c r="EJ152" s="148"/>
      <c r="EK152" s="148"/>
      <c r="EL152" s="148"/>
      <c r="EM152" s="148"/>
      <c r="EN152" s="148"/>
      <c r="EO152" s="148"/>
      <c r="EP152" s="148"/>
      <c r="EQ152" s="148"/>
      <c r="ER152" s="148"/>
      <c r="ES152" s="148"/>
      <c r="ET152" s="148"/>
      <c r="EU152" s="148"/>
      <c r="EV152" s="148"/>
      <c r="EW152" s="148"/>
      <c r="EX152" s="148"/>
      <c r="EY152" s="148"/>
      <c r="EZ152" s="148"/>
      <c r="FA152" s="148"/>
      <c r="FB152" s="148"/>
      <c r="FC152" s="148"/>
      <c r="FD152" s="148"/>
      <c r="FE152" s="148"/>
      <c r="FF152" s="148"/>
      <c r="FG152" s="148"/>
      <c r="FH152" s="148"/>
      <c r="FI152" s="148"/>
      <c r="FJ152" s="148"/>
      <c r="FK152" s="148"/>
      <c r="FL152" s="148"/>
      <c r="FM152" s="148"/>
      <c r="FN152" s="148"/>
      <c r="FO152" s="148"/>
      <c r="FP152" s="148"/>
      <c r="FQ152" s="148"/>
      <c r="FR152" s="148"/>
      <c r="FS152" s="148"/>
      <c r="FT152" s="148"/>
      <c r="FU152" s="148"/>
      <c r="FV152" s="148"/>
      <c r="FW152" s="148"/>
      <c r="FX152" s="148"/>
      <c r="FY152" s="148"/>
      <c r="FZ152" s="148"/>
      <c r="GA152" s="148"/>
      <c r="GB152" s="148"/>
      <c r="GC152" s="148"/>
      <c r="GD152" s="148"/>
      <c r="GE152" s="148"/>
      <c r="GF152" s="148"/>
      <c r="GG152" s="148"/>
      <c r="GH152" s="148"/>
      <c r="GI152" s="148"/>
      <c r="GJ152" s="148"/>
      <c r="GK152" s="148"/>
      <c r="GL152" s="148"/>
      <c r="GM152" s="148"/>
      <c r="GN152" s="148"/>
      <c r="GO152" s="148"/>
      <c r="GP152" s="148"/>
      <c r="GQ152" s="148"/>
      <c r="GR152" s="148"/>
      <c r="GS152" s="148"/>
      <c r="GT152" s="148"/>
      <c r="GU152" s="148"/>
      <c r="GV152" s="148"/>
      <c r="GW152" s="148"/>
      <c r="GX152" s="148"/>
      <c r="GY152" s="148"/>
      <c r="GZ152" s="148"/>
      <c r="HA152" s="148"/>
      <c r="HB152" s="148"/>
      <c r="HC152" s="148"/>
      <c r="HD152" s="148"/>
      <c r="HE152" s="148"/>
      <c r="HF152" s="148"/>
      <c r="HG152" s="148"/>
      <c r="HH152" s="148"/>
      <c r="HI152" s="148"/>
      <c r="HJ152" s="148"/>
      <c r="HK152" s="148"/>
      <c r="HL152" s="148"/>
      <c r="HM152" s="148"/>
      <c r="HN152" s="148"/>
      <c r="HO152" s="148"/>
      <c r="HP152" s="148"/>
      <c r="HQ152" s="148"/>
      <c r="HR152" s="148"/>
      <c r="HS152" s="148"/>
      <c r="HT152" s="148"/>
      <c r="HU152" s="148"/>
      <c r="HV152" s="148"/>
      <c r="HW152" s="148"/>
      <c r="HX152" s="148"/>
      <c r="HY152" s="148"/>
      <c r="HZ152" s="148"/>
      <c r="IA152" s="148"/>
      <c r="IB152" s="148"/>
      <c r="IC152" s="148"/>
      <c r="ID152" s="148"/>
      <c r="IE152" s="148"/>
      <c r="IF152" s="148"/>
      <c r="IG152" s="148"/>
      <c r="IH152" s="148"/>
      <c r="II152" s="148"/>
      <c r="IJ152" s="148"/>
      <c r="IK152" s="148"/>
      <c r="IL152" s="148"/>
      <c r="IM152" s="148"/>
      <c r="IN152" s="148"/>
      <c r="IO152" s="148"/>
      <c r="IP152" s="148"/>
      <c r="IQ152" s="148"/>
      <c r="IR152" s="148"/>
      <c r="IS152" s="148"/>
      <c r="IT152" s="148"/>
      <c r="IU152" s="148"/>
      <c r="IV152" s="148"/>
      <c r="IW152" s="148"/>
      <c r="IX152" s="148"/>
      <c r="IY152" s="148"/>
      <c r="IZ152" s="148"/>
      <c r="JA152" s="148"/>
      <c r="JB152" s="148"/>
      <c r="JC152" s="148"/>
      <c r="JD152" s="148"/>
      <c r="JE152" s="148"/>
      <c r="JF152" s="148"/>
      <c r="JG152" s="148"/>
      <c r="JH152" s="148"/>
      <c r="JI152" s="148"/>
      <c r="JJ152" s="148"/>
      <c r="JK152" s="148"/>
      <c r="JL152" s="148"/>
      <c r="JM152" s="148"/>
      <c r="JN152" s="148"/>
      <c r="JO152" s="148"/>
      <c r="JP152" s="148"/>
      <c r="JQ152" s="148"/>
      <c r="JR152" s="148"/>
      <c r="JS152" s="148"/>
      <c r="JT152" s="148"/>
      <c r="JU152" s="148"/>
      <c r="JV152" s="148"/>
      <c r="JW152" s="148"/>
      <c r="JX152" s="148"/>
      <c r="JY152" s="148"/>
      <c r="JZ152" s="148"/>
      <c r="KA152" s="148"/>
      <c r="KB152" s="148"/>
      <c r="KC152" s="148"/>
      <c r="KD152" s="148"/>
      <c r="KE152" s="148"/>
      <c r="KF152" s="148"/>
      <c r="KG152" s="148"/>
      <c r="KH152" s="148"/>
      <c r="KI152" s="148"/>
      <c r="KJ152" s="148"/>
      <c r="KK152" s="148"/>
      <c r="KL152" s="148"/>
      <c r="KM152" s="148"/>
      <c r="KN152" s="148"/>
      <c r="KO152" s="148"/>
      <c r="KP152" s="148"/>
      <c r="KQ152" s="148"/>
      <c r="KR152" s="148"/>
      <c r="KS152" s="148"/>
      <c r="KT152" s="148"/>
    </row>
    <row r="153" spans="2:307" x14ac:dyDescent="0.15">
      <c r="C153" s="92" t="s">
        <v>349</v>
      </c>
      <c r="F153" s="148">
        <f t="shared" ref="F153:BM153" si="34">IF(F$4&gt;$F$6,0,IF(F$4=$F$6,F37,SUM(F138:F152)))</f>
        <v>6.1796647961183733E-2</v>
      </c>
      <c r="G153" s="148">
        <f t="shared" si="34"/>
        <v>6.6798027332341303E-2</v>
      </c>
      <c r="H153" s="148">
        <f t="shared" si="34"/>
        <v>7.120523180762138E-2</v>
      </c>
      <c r="I153" s="148">
        <f t="shared" si="34"/>
        <v>9.7764627294610079E-2</v>
      </c>
      <c r="J153" s="148">
        <f t="shared" si="34"/>
        <v>0.12082710639776997</v>
      </c>
      <c r="K153" s="148">
        <f t="shared" si="34"/>
        <v>0.14233207632718498</v>
      </c>
      <c r="L153" s="148">
        <f t="shared" si="34"/>
        <v>0.20709171076411967</v>
      </c>
      <c r="M153" s="148">
        <f t="shared" si="34"/>
        <v>0.26486708245950163</v>
      </c>
      <c r="N153" s="148">
        <f t="shared" si="34"/>
        <v>0.33149358177305077</v>
      </c>
      <c r="O153" s="148">
        <f t="shared" si="34"/>
        <v>0.36300379296599605</v>
      </c>
      <c r="P153" s="148">
        <f t="shared" si="34"/>
        <v>0.4005986959148734</v>
      </c>
      <c r="Q153" s="148">
        <f t="shared" si="34"/>
        <v>0.50798229831781694</v>
      </c>
      <c r="R153" s="148">
        <f t="shared" si="34"/>
        <v>0.60585451496343734</v>
      </c>
      <c r="S153" s="148">
        <f t="shared" si="34"/>
        <v>0.68702888745282364</v>
      </c>
      <c r="T153" s="148">
        <f t="shared" si="34"/>
        <v>1.3919340303639132</v>
      </c>
      <c r="U153" s="148">
        <f t="shared" si="34"/>
        <v>0</v>
      </c>
      <c r="V153" s="148">
        <f t="shared" si="34"/>
        <v>0</v>
      </c>
      <c r="W153" s="148">
        <f t="shared" si="34"/>
        <v>0</v>
      </c>
      <c r="X153" s="148">
        <f t="shared" si="34"/>
        <v>0</v>
      </c>
      <c r="Y153" s="148">
        <f t="shared" si="34"/>
        <v>0</v>
      </c>
      <c r="Z153" s="148">
        <f t="shared" si="34"/>
        <v>0</v>
      </c>
      <c r="AA153" s="148">
        <f t="shared" si="34"/>
        <v>0</v>
      </c>
      <c r="AB153" s="148">
        <f t="shared" si="34"/>
        <v>0</v>
      </c>
      <c r="AC153" s="148">
        <f t="shared" si="34"/>
        <v>0</v>
      </c>
      <c r="AD153" s="148">
        <f t="shared" si="34"/>
        <v>0</v>
      </c>
      <c r="AE153" s="148">
        <f t="shared" si="34"/>
        <v>0</v>
      </c>
      <c r="AF153" s="148">
        <f t="shared" si="34"/>
        <v>0</v>
      </c>
      <c r="AG153" s="148">
        <f t="shared" si="34"/>
        <v>0</v>
      </c>
      <c r="AH153" s="148">
        <f t="shared" si="34"/>
        <v>0</v>
      </c>
      <c r="AI153" s="148">
        <f t="shared" si="34"/>
        <v>0</v>
      </c>
      <c r="AJ153" s="148">
        <f t="shared" si="34"/>
        <v>0</v>
      </c>
      <c r="AK153" s="148">
        <f t="shared" si="34"/>
        <v>0</v>
      </c>
      <c r="AL153" s="148">
        <f t="shared" si="34"/>
        <v>0</v>
      </c>
      <c r="AM153" s="148">
        <f t="shared" si="34"/>
        <v>0</v>
      </c>
      <c r="AN153" s="148">
        <f t="shared" si="34"/>
        <v>0</v>
      </c>
      <c r="AO153" s="148">
        <f t="shared" si="34"/>
        <v>0</v>
      </c>
      <c r="AP153" s="148">
        <f t="shared" si="34"/>
        <v>0</v>
      </c>
      <c r="AQ153" s="148">
        <f t="shared" si="34"/>
        <v>0</v>
      </c>
      <c r="AR153" s="148">
        <f t="shared" si="34"/>
        <v>0</v>
      </c>
      <c r="AS153" s="148">
        <f t="shared" si="34"/>
        <v>0</v>
      </c>
      <c r="AT153" s="148">
        <f t="shared" si="34"/>
        <v>0</v>
      </c>
      <c r="AU153" s="148">
        <f t="shared" si="34"/>
        <v>0</v>
      </c>
      <c r="AV153" s="148">
        <f t="shared" si="34"/>
        <v>0</v>
      </c>
      <c r="AW153" s="148">
        <f t="shared" si="34"/>
        <v>0</v>
      </c>
      <c r="AX153" s="148">
        <f t="shared" si="34"/>
        <v>0</v>
      </c>
      <c r="AY153" s="148">
        <f t="shared" si="34"/>
        <v>0</v>
      </c>
      <c r="AZ153" s="148">
        <f t="shared" si="34"/>
        <v>0</v>
      </c>
      <c r="BA153" s="148">
        <f t="shared" si="34"/>
        <v>0</v>
      </c>
      <c r="BB153" s="148">
        <f t="shared" si="34"/>
        <v>0</v>
      </c>
      <c r="BC153" s="148">
        <f t="shared" si="34"/>
        <v>0</v>
      </c>
      <c r="BD153" s="148">
        <f t="shared" si="34"/>
        <v>0</v>
      </c>
      <c r="BE153" s="148">
        <f t="shared" si="34"/>
        <v>0</v>
      </c>
      <c r="BF153" s="148">
        <f t="shared" si="34"/>
        <v>0</v>
      </c>
      <c r="BG153" s="148">
        <f t="shared" si="34"/>
        <v>0</v>
      </c>
      <c r="BH153" s="148">
        <f t="shared" si="34"/>
        <v>0</v>
      </c>
      <c r="BI153" s="148">
        <f t="shared" si="34"/>
        <v>0</v>
      </c>
      <c r="BJ153" s="148">
        <f t="shared" si="34"/>
        <v>0</v>
      </c>
      <c r="BK153" s="148">
        <f t="shared" si="34"/>
        <v>0</v>
      </c>
      <c r="BL153" s="148">
        <f t="shared" si="34"/>
        <v>0</v>
      </c>
      <c r="BM153" s="148">
        <f t="shared" si="34"/>
        <v>0</v>
      </c>
      <c r="BN153" s="148"/>
      <c r="BO153" s="148"/>
      <c r="BP153" s="148"/>
      <c r="BQ153" s="148"/>
      <c r="BR153" s="148"/>
      <c r="BS153" s="148"/>
      <c r="BT153" s="148"/>
      <c r="BU153" s="148"/>
      <c r="BV153" s="148"/>
      <c r="BW153" s="148"/>
      <c r="BX153" s="148"/>
      <c r="BY153" s="148"/>
      <c r="BZ153" s="148"/>
      <c r="CA153" s="148"/>
      <c r="CB153" s="148"/>
      <c r="CC153" s="148"/>
      <c r="CD153" s="148"/>
      <c r="CE153" s="148"/>
      <c r="CF153" s="148"/>
      <c r="CG153" s="148"/>
      <c r="CH153" s="148"/>
      <c r="CI153" s="148"/>
      <c r="CJ153" s="148"/>
      <c r="CK153" s="148"/>
      <c r="CL153" s="148"/>
      <c r="CM153" s="148"/>
      <c r="CN153" s="148"/>
      <c r="CO153" s="148"/>
      <c r="CP153" s="148"/>
      <c r="CQ153" s="148"/>
      <c r="CR153" s="148"/>
      <c r="CS153" s="148"/>
      <c r="CT153" s="148"/>
      <c r="CU153" s="148"/>
      <c r="CV153" s="148"/>
      <c r="CW153" s="148"/>
      <c r="CX153" s="148"/>
      <c r="CY153" s="148"/>
      <c r="CZ153" s="148"/>
      <c r="DA153" s="148"/>
      <c r="DB153" s="148"/>
      <c r="DC153" s="148"/>
      <c r="DD153" s="148"/>
      <c r="DE153" s="148"/>
      <c r="DF153" s="148"/>
      <c r="DG153" s="148"/>
      <c r="DH153" s="148"/>
      <c r="DI153" s="148"/>
      <c r="DJ153" s="148"/>
      <c r="DK153" s="148"/>
      <c r="DL153" s="148"/>
      <c r="DM153" s="148"/>
      <c r="DN153" s="148"/>
      <c r="DO153" s="148"/>
      <c r="DP153" s="148"/>
      <c r="DQ153" s="148"/>
      <c r="DR153" s="148"/>
      <c r="DS153" s="148"/>
      <c r="DT153" s="148"/>
      <c r="DU153" s="148"/>
      <c r="DV153" s="148"/>
      <c r="DW153" s="148"/>
      <c r="DX153" s="148"/>
      <c r="DY153" s="148"/>
      <c r="DZ153" s="148"/>
      <c r="EA153" s="148"/>
      <c r="EB153" s="148"/>
      <c r="EC153" s="148"/>
      <c r="ED153" s="148"/>
      <c r="EE153" s="148"/>
      <c r="EF153" s="148"/>
      <c r="EG153" s="148"/>
      <c r="EH153" s="148"/>
      <c r="EI153" s="148"/>
      <c r="EJ153" s="148"/>
      <c r="EK153" s="148"/>
      <c r="EL153" s="148"/>
      <c r="EM153" s="148"/>
      <c r="EN153" s="148"/>
      <c r="EO153" s="148"/>
      <c r="EP153" s="148"/>
      <c r="EQ153" s="148"/>
      <c r="ER153" s="148"/>
      <c r="ES153" s="148"/>
      <c r="ET153" s="148"/>
      <c r="EU153" s="148"/>
      <c r="EV153" s="148"/>
      <c r="EW153" s="148"/>
      <c r="EX153" s="148"/>
      <c r="EY153" s="148"/>
      <c r="EZ153" s="148"/>
      <c r="FA153" s="148"/>
      <c r="FB153" s="148"/>
      <c r="FC153" s="148"/>
      <c r="FD153" s="148"/>
      <c r="FE153" s="148"/>
      <c r="FF153" s="148"/>
      <c r="FG153" s="148"/>
      <c r="FH153" s="148"/>
      <c r="FI153" s="148"/>
      <c r="FJ153" s="148"/>
      <c r="FK153" s="148"/>
      <c r="FL153" s="148"/>
      <c r="FM153" s="148"/>
      <c r="FN153" s="148"/>
      <c r="FO153" s="148"/>
      <c r="FP153" s="148"/>
      <c r="FQ153" s="148"/>
      <c r="FR153" s="148"/>
      <c r="FS153" s="148"/>
      <c r="FT153" s="148"/>
      <c r="FU153" s="148"/>
      <c r="FV153" s="148"/>
      <c r="FW153" s="148"/>
      <c r="FX153" s="148"/>
      <c r="FY153" s="148"/>
      <c r="FZ153" s="148"/>
      <c r="GA153" s="148"/>
      <c r="GB153" s="148"/>
      <c r="GC153" s="148"/>
      <c r="GD153" s="148"/>
      <c r="GE153" s="148"/>
      <c r="GF153" s="148"/>
      <c r="GG153" s="148"/>
      <c r="GH153" s="148"/>
      <c r="GI153" s="148"/>
      <c r="GJ153" s="148"/>
      <c r="GK153" s="148"/>
      <c r="GL153" s="148"/>
      <c r="GM153" s="148"/>
      <c r="GN153" s="148"/>
      <c r="GO153" s="148"/>
      <c r="GP153" s="148"/>
      <c r="GQ153" s="148"/>
      <c r="GR153" s="148"/>
      <c r="GS153" s="148"/>
      <c r="GT153" s="148"/>
      <c r="GU153" s="148"/>
      <c r="GV153" s="148"/>
      <c r="GW153" s="148"/>
      <c r="GX153" s="148"/>
      <c r="GY153" s="148"/>
      <c r="GZ153" s="148"/>
      <c r="HA153" s="148"/>
      <c r="HB153" s="148"/>
      <c r="HC153" s="148"/>
      <c r="HD153" s="148"/>
      <c r="HE153" s="148"/>
      <c r="HF153" s="148"/>
      <c r="HG153" s="148"/>
      <c r="HH153" s="148"/>
      <c r="HI153" s="148"/>
      <c r="HJ153" s="148"/>
      <c r="HK153" s="148"/>
      <c r="HL153" s="148"/>
      <c r="HM153" s="148"/>
      <c r="HN153" s="148"/>
      <c r="HO153" s="148"/>
      <c r="HP153" s="148"/>
      <c r="HQ153" s="148"/>
      <c r="HR153" s="148"/>
      <c r="HS153" s="148"/>
      <c r="HT153" s="148"/>
      <c r="HU153" s="148"/>
      <c r="HV153" s="148"/>
      <c r="HW153" s="148"/>
      <c r="HX153" s="148"/>
      <c r="HY153" s="148"/>
      <c r="HZ153" s="148"/>
      <c r="IA153" s="148"/>
      <c r="IB153" s="148"/>
      <c r="IC153" s="148"/>
      <c r="ID153" s="148"/>
      <c r="IE153" s="148"/>
      <c r="IF153" s="148"/>
      <c r="IG153" s="148"/>
      <c r="IH153" s="148"/>
      <c r="II153" s="148"/>
      <c r="IJ153" s="148"/>
      <c r="IK153" s="148"/>
      <c r="IL153" s="148"/>
      <c r="IM153" s="148"/>
      <c r="IN153" s="148"/>
      <c r="IO153" s="148"/>
      <c r="IP153" s="148"/>
      <c r="IQ153" s="148"/>
      <c r="IR153" s="148"/>
      <c r="IS153" s="148"/>
      <c r="IT153" s="148"/>
      <c r="IU153" s="148"/>
      <c r="IV153" s="148"/>
      <c r="IW153" s="148"/>
      <c r="IX153" s="148"/>
      <c r="IY153" s="148"/>
      <c r="IZ153" s="148"/>
      <c r="JA153" s="148"/>
      <c r="JB153" s="148"/>
      <c r="JC153" s="148"/>
      <c r="JD153" s="148"/>
      <c r="JE153" s="148"/>
      <c r="JF153" s="148"/>
      <c r="JG153" s="148"/>
      <c r="JH153" s="148"/>
      <c r="JI153" s="148"/>
      <c r="JJ153" s="148"/>
      <c r="JK153" s="148"/>
      <c r="JL153" s="148"/>
      <c r="JM153" s="148"/>
      <c r="JN153" s="148"/>
      <c r="JO153" s="148"/>
      <c r="JP153" s="148"/>
      <c r="JQ153" s="148"/>
      <c r="JR153" s="148"/>
      <c r="JS153" s="148"/>
      <c r="JT153" s="148"/>
      <c r="JU153" s="148"/>
      <c r="JV153" s="148"/>
      <c r="JW153" s="148"/>
      <c r="JX153" s="148"/>
      <c r="JY153" s="148"/>
      <c r="JZ153" s="148"/>
      <c r="KA153" s="148"/>
      <c r="KB153" s="148"/>
      <c r="KC153" s="148"/>
      <c r="KD153" s="148"/>
      <c r="KE153" s="148"/>
      <c r="KF153" s="148"/>
      <c r="KG153" s="148"/>
      <c r="KH153" s="148"/>
      <c r="KI153" s="148"/>
      <c r="KJ153" s="148"/>
      <c r="KK153" s="148"/>
      <c r="KL153" s="148"/>
      <c r="KM153" s="148"/>
      <c r="KN153" s="148"/>
      <c r="KO153" s="148"/>
      <c r="KP153" s="148"/>
      <c r="KQ153" s="148"/>
      <c r="KR153" s="148"/>
      <c r="KS153" s="148"/>
      <c r="KT153" s="148"/>
    </row>
    <row r="154" spans="2:307" x14ac:dyDescent="0.15">
      <c r="C154" s="157" t="s">
        <v>348</v>
      </c>
      <c r="D154" s="225"/>
      <c r="E154" s="250"/>
      <c r="F154" s="250">
        <f>-IF(F$4&gt;$F$6,0,F153-E153)</f>
        <v>-6.1796647961183733E-2</v>
      </c>
      <c r="G154" s="250">
        <f t="shared" ref="G154:BM154" si="35">-IF(G$4&gt;$F$6,0,G153-F153)</f>
        <v>-5.0013793711575702E-3</v>
      </c>
      <c r="H154" s="250">
        <f t="shared" si="35"/>
        <v>-4.4072044752800771E-3</v>
      </c>
      <c r="I154" s="250">
        <f t="shared" si="35"/>
        <v>-2.6559395486988699E-2</v>
      </c>
      <c r="J154" s="250">
        <f t="shared" si="35"/>
        <v>-2.3062479103159894E-2</v>
      </c>
      <c r="K154" s="250">
        <f t="shared" si="35"/>
        <v>-2.1504969929415002E-2</v>
      </c>
      <c r="L154" s="250">
        <f t="shared" si="35"/>
        <v>-6.4759634436934693E-2</v>
      </c>
      <c r="M154" s="250">
        <f t="shared" si="35"/>
        <v>-5.7775371695381966E-2</v>
      </c>
      <c r="N154" s="250">
        <f t="shared" si="35"/>
        <v>-6.6626499313549137E-2</v>
      </c>
      <c r="O154" s="250">
        <f t="shared" si="35"/>
        <v>-3.1510211192945281E-2</v>
      </c>
      <c r="P154" s="250">
        <f t="shared" si="35"/>
        <v>-3.7594902948877351E-2</v>
      </c>
      <c r="Q154" s="250">
        <f t="shared" si="35"/>
        <v>-0.10738360240294353</v>
      </c>
      <c r="R154" s="250">
        <f t="shared" si="35"/>
        <v>-9.7872216645620402E-2</v>
      </c>
      <c r="S154" s="250">
        <f t="shared" si="35"/>
        <v>-8.1174372489386304E-2</v>
      </c>
      <c r="T154" s="250">
        <f t="shared" si="35"/>
        <v>-0.70490514291108952</v>
      </c>
      <c r="U154" s="250">
        <f t="shared" si="35"/>
        <v>0</v>
      </c>
      <c r="V154" s="250">
        <f t="shared" si="35"/>
        <v>0</v>
      </c>
      <c r="W154" s="250">
        <f t="shared" si="35"/>
        <v>0</v>
      </c>
      <c r="X154" s="250">
        <f t="shared" si="35"/>
        <v>0</v>
      </c>
      <c r="Y154" s="250">
        <f t="shared" si="35"/>
        <v>0</v>
      </c>
      <c r="Z154" s="250">
        <f t="shared" si="35"/>
        <v>0</v>
      </c>
      <c r="AA154" s="250">
        <f t="shared" si="35"/>
        <v>0</v>
      </c>
      <c r="AB154" s="250">
        <f t="shared" si="35"/>
        <v>0</v>
      </c>
      <c r="AC154" s="250">
        <f t="shared" si="35"/>
        <v>0</v>
      </c>
      <c r="AD154" s="250">
        <f t="shared" si="35"/>
        <v>0</v>
      </c>
      <c r="AE154" s="250">
        <f t="shared" si="35"/>
        <v>0</v>
      </c>
      <c r="AF154" s="250">
        <f t="shared" si="35"/>
        <v>0</v>
      </c>
      <c r="AG154" s="250">
        <f t="shared" si="35"/>
        <v>0</v>
      </c>
      <c r="AH154" s="250">
        <f t="shared" si="35"/>
        <v>0</v>
      </c>
      <c r="AI154" s="250">
        <f t="shared" si="35"/>
        <v>0</v>
      </c>
      <c r="AJ154" s="250">
        <f t="shared" si="35"/>
        <v>0</v>
      </c>
      <c r="AK154" s="250">
        <f t="shared" si="35"/>
        <v>0</v>
      </c>
      <c r="AL154" s="250">
        <f t="shared" si="35"/>
        <v>0</v>
      </c>
      <c r="AM154" s="250">
        <f t="shared" si="35"/>
        <v>0</v>
      </c>
      <c r="AN154" s="250">
        <f t="shared" si="35"/>
        <v>0</v>
      </c>
      <c r="AO154" s="250">
        <f t="shared" si="35"/>
        <v>0</v>
      </c>
      <c r="AP154" s="250">
        <f t="shared" si="35"/>
        <v>0</v>
      </c>
      <c r="AQ154" s="250">
        <f t="shared" si="35"/>
        <v>0</v>
      </c>
      <c r="AR154" s="250">
        <f t="shared" si="35"/>
        <v>0</v>
      </c>
      <c r="AS154" s="250">
        <f t="shared" si="35"/>
        <v>0</v>
      </c>
      <c r="AT154" s="250">
        <f t="shared" si="35"/>
        <v>0</v>
      </c>
      <c r="AU154" s="250">
        <f t="shared" si="35"/>
        <v>0</v>
      </c>
      <c r="AV154" s="250">
        <f t="shared" si="35"/>
        <v>0</v>
      </c>
      <c r="AW154" s="250">
        <f t="shared" si="35"/>
        <v>0</v>
      </c>
      <c r="AX154" s="250">
        <f t="shared" si="35"/>
        <v>0</v>
      </c>
      <c r="AY154" s="250">
        <f t="shared" si="35"/>
        <v>0</v>
      </c>
      <c r="AZ154" s="250">
        <f t="shared" si="35"/>
        <v>0</v>
      </c>
      <c r="BA154" s="250">
        <f t="shared" si="35"/>
        <v>0</v>
      </c>
      <c r="BB154" s="250">
        <f t="shared" si="35"/>
        <v>0</v>
      </c>
      <c r="BC154" s="250">
        <f t="shared" si="35"/>
        <v>0</v>
      </c>
      <c r="BD154" s="250">
        <f t="shared" si="35"/>
        <v>0</v>
      </c>
      <c r="BE154" s="250">
        <f t="shared" si="35"/>
        <v>0</v>
      </c>
      <c r="BF154" s="250">
        <f t="shared" si="35"/>
        <v>0</v>
      </c>
      <c r="BG154" s="250">
        <f t="shared" si="35"/>
        <v>0</v>
      </c>
      <c r="BH154" s="250">
        <f t="shared" si="35"/>
        <v>0</v>
      </c>
      <c r="BI154" s="250">
        <f t="shared" si="35"/>
        <v>0</v>
      </c>
      <c r="BJ154" s="250">
        <f t="shared" si="35"/>
        <v>0</v>
      </c>
      <c r="BK154" s="250">
        <f t="shared" si="35"/>
        <v>0</v>
      </c>
      <c r="BL154" s="250">
        <f t="shared" si="35"/>
        <v>0</v>
      </c>
      <c r="BM154" s="250">
        <f t="shared" si="35"/>
        <v>0</v>
      </c>
      <c r="BN154" s="148"/>
      <c r="BO154" s="148"/>
      <c r="BP154" s="148"/>
      <c r="BQ154" s="148"/>
      <c r="BR154" s="148"/>
      <c r="BS154" s="148"/>
      <c r="BT154" s="148"/>
      <c r="BU154" s="148"/>
      <c r="BV154" s="148"/>
      <c r="BW154" s="148"/>
      <c r="BX154" s="148"/>
      <c r="BY154" s="148"/>
      <c r="BZ154" s="148"/>
      <c r="CA154" s="148"/>
      <c r="CB154" s="148"/>
      <c r="CC154" s="148"/>
      <c r="CD154" s="148"/>
      <c r="CE154" s="148"/>
      <c r="CF154" s="148"/>
      <c r="CG154" s="148"/>
      <c r="CH154" s="148"/>
      <c r="CI154" s="148"/>
      <c r="CJ154" s="148"/>
      <c r="CK154" s="148"/>
      <c r="CL154" s="148"/>
      <c r="CM154" s="148"/>
      <c r="CN154" s="148"/>
      <c r="CO154" s="148"/>
      <c r="CP154" s="148"/>
      <c r="CQ154" s="148"/>
      <c r="CR154" s="148"/>
      <c r="CS154" s="148"/>
      <c r="CT154" s="148"/>
      <c r="CU154" s="148"/>
      <c r="CV154" s="148"/>
      <c r="CW154" s="148"/>
      <c r="CX154" s="148"/>
      <c r="CY154" s="148"/>
      <c r="CZ154" s="148"/>
      <c r="DA154" s="148"/>
      <c r="DB154" s="148"/>
      <c r="DC154" s="148"/>
      <c r="DD154" s="148"/>
      <c r="DE154" s="148"/>
      <c r="DF154" s="148"/>
      <c r="DG154" s="148"/>
      <c r="DH154" s="148"/>
      <c r="DI154" s="148"/>
      <c r="DJ154" s="148"/>
      <c r="DK154" s="148"/>
      <c r="DL154" s="148"/>
      <c r="DM154" s="148"/>
      <c r="DN154" s="148"/>
      <c r="DO154" s="148"/>
      <c r="DP154" s="148"/>
      <c r="DQ154" s="148"/>
      <c r="DR154" s="148"/>
      <c r="DS154" s="148"/>
      <c r="DT154" s="148"/>
      <c r="DU154" s="148"/>
      <c r="DV154" s="148"/>
      <c r="DW154" s="148"/>
      <c r="DX154" s="148"/>
      <c r="DY154" s="148"/>
      <c r="DZ154" s="148"/>
      <c r="EA154" s="148"/>
      <c r="EB154" s="148"/>
      <c r="EC154" s="148"/>
      <c r="ED154" s="148"/>
      <c r="EE154" s="148"/>
      <c r="EF154" s="148"/>
      <c r="EG154" s="148"/>
      <c r="EH154" s="148"/>
      <c r="EI154" s="148"/>
      <c r="EJ154" s="148"/>
      <c r="EK154" s="148"/>
      <c r="EL154" s="148"/>
      <c r="EM154" s="148"/>
      <c r="EN154" s="148"/>
      <c r="EO154" s="148"/>
      <c r="EP154" s="148"/>
      <c r="EQ154" s="148"/>
      <c r="ER154" s="148"/>
      <c r="ES154" s="148"/>
      <c r="ET154" s="148"/>
      <c r="EU154" s="148"/>
      <c r="EV154" s="148"/>
      <c r="EW154" s="148"/>
      <c r="EX154" s="148"/>
      <c r="EY154" s="148"/>
      <c r="EZ154" s="148"/>
      <c r="FA154" s="148"/>
      <c r="FB154" s="148"/>
      <c r="FC154" s="148"/>
      <c r="FD154" s="148"/>
      <c r="FE154" s="148"/>
      <c r="FF154" s="148"/>
      <c r="FG154" s="148"/>
      <c r="FH154" s="148"/>
      <c r="FI154" s="148"/>
      <c r="FJ154" s="148"/>
      <c r="FK154" s="148"/>
      <c r="FL154" s="148"/>
      <c r="FM154" s="148"/>
      <c r="FN154" s="148"/>
      <c r="FO154" s="148"/>
      <c r="FP154" s="148"/>
      <c r="FQ154" s="148"/>
      <c r="FR154" s="148"/>
      <c r="FS154" s="148"/>
      <c r="FT154" s="148"/>
      <c r="FU154" s="148"/>
      <c r="FV154" s="148"/>
      <c r="FW154" s="148"/>
      <c r="FX154" s="148"/>
      <c r="FY154" s="148"/>
      <c r="FZ154" s="148"/>
      <c r="GA154" s="148"/>
      <c r="GB154" s="148"/>
      <c r="GC154" s="148"/>
      <c r="GD154" s="148"/>
      <c r="GE154" s="148"/>
      <c r="GF154" s="148"/>
      <c r="GG154" s="148"/>
      <c r="GH154" s="148"/>
      <c r="GI154" s="148"/>
      <c r="GJ154" s="148"/>
      <c r="GK154" s="148"/>
      <c r="GL154" s="148"/>
      <c r="GM154" s="148"/>
      <c r="GN154" s="148"/>
      <c r="GO154" s="148"/>
      <c r="GP154" s="148"/>
      <c r="GQ154" s="148"/>
      <c r="GR154" s="148"/>
      <c r="GS154" s="148"/>
      <c r="GT154" s="148"/>
      <c r="GU154" s="148"/>
      <c r="GV154" s="148"/>
      <c r="GW154" s="148"/>
      <c r="GX154" s="148"/>
      <c r="GY154" s="148"/>
      <c r="GZ154" s="148"/>
      <c r="HA154" s="148"/>
      <c r="HB154" s="148"/>
      <c r="HC154" s="148"/>
      <c r="HD154" s="148"/>
      <c r="HE154" s="148"/>
      <c r="HF154" s="148"/>
      <c r="HG154" s="148"/>
      <c r="HH154" s="148"/>
      <c r="HI154" s="148"/>
      <c r="HJ154" s="148"/>
      <c r="HK154" s="148"/>
      <c r="HL154" s="148"/>
      <c r="HM154" s="148"/>
      <c r="HN154" s="148"/>
      <c r="HO154" s="148"/>
      <c r="HP154" s="148"/>
      <c r="HQ154" s="148"/>
      <c r="HR154" s="148"/>
      <c r="HS154" s="148"/>
      <c r="HT154" s="148"/>
      <c r="HU154" s="148"/>
      <c r="HV154" s="148"/>
      <c r="HW154" s="148"/>
      <c r="HX154" s="148"/>
      <c r="HY154" s="148"/>
      <c r="HZ154" s="148"/>
      <c r="IA154" s="148"/>
      <c r="IB154" s="148"/>
      <c r="IC154" s="148"/>
      <c r="ID154" s="148"/>
      <c r="IE154" s="148"/>
      <c r="IF154" s="148"/>
      <c r="IG154" s="148"/>
      <c r="IH154" s="148"/>
      <c r="II154" s="148"/>
      <c r="IJ154" s="148"/>
      <c r="IK154" s="148"/>
      <c r="IL154" s="148"/>
      <c r="IM154" s="148"/>
      <c r="IN154" s="148"/>
      <c r="IO154" s="148"/>
      <c r="IP154" s="148"/>
      <c r="IQ154" s="148"/>
      <c r="IR154" s="148"/>
      <c r="IS154" s="148"/>
      <c r="IT154" s="148"/>
      <c r="IU154" s="148"/>
      <c r="IV154" s="148"/>
      <c r="IW154" s="148"/>
      <c r="IX154" s="148"/>
      <c r="IY154" s="148"/>
      <c r="IZ154" s="148"/>
      <c r="JA154" s="148"/>
      <c r="JB154" s="148"/>
      <c r="JC154" s="148"/>
      <c r="JD154" s="148"/>
      <c r="JE154" s="148"/>
      <c r="JF154" s="148"/>
      <c r="JG154" s="148"/>
      <c r="JH154" s="148"/>
      <c r="JI154" s="148"/>
      <c r="JJ154" s="148"/>
      <c r="JK154" s="148"/>
      <c r="JL154" s="148"/>
      <c r="JM154" s="148"/>
      <c r="JN154" s="148"/>
      <c r="JO154" s="148"/>
      <c r="JP154" s="148"/>
      <c r="JQ154" s="148"/>
      <c r="JR154" s="148"/>
      <c r="JS154" s="148"/>
      <c r="JT154" s="148"/>
      <c r="JU154" s="148"/>
      <c r="JV154" s="148"/>
      <c r="JW154" s="148"/>
      <c r="JX154" s="148"/>
      <c r="JY154" s="148"/>
      <c r="JZ154" s="148"/>
      <c r="KA154" s="148"/>
      <c r="KB154" s="148"/>
      <c r="KC154" s="148"/>
      <c r="KD154" s="148"/>
      <c r="KE154" s="148"/>
      <c r="KF154" s="148"/>
      <c r="KG154" s="148"/>
      <c r="KH154" s="148"/>
      <c r="KI154" s="148"/>
      <c r="KJ154" s="148"/>
      <c r="KK154" s="148"/>
      <c r="KL154" s="148"/>
      <c r="KM154" s="148"/>
      <c r="KN154" s="148"/>
      <c r="KO154" s="148"/>
      <c r="KP154" s="148"/>
      <c r="KQ154" s="148"/>
      <c r="KR154" s="148"/>
      <c r="KS154" s="148"/>
      <c r="KT154" s="148"/>
    </row>
    <row r="156" spans="2:307" x14ac:dyDescent="0.15">
      <c r="B156" s="157" t="s">
        <v>352</v>
      </c>
      <c r="Z156" s="92" t="s">
        <v>351</v>
      </c>
    </row>
    <row r="157" spans="2:307" s="157" customFormat="1" x14ac:dyDescent="0.15">
      <c r="C157" s="157" t="s">
        <v>348</v>
      </c>
      <c r="D157" s="225"/>
      <c r="KU157" s="92"/>
    </row>
    <row r="158" spans="2:307" s="157" customFormat="1" x14ac:dyDescent="0.15">
      <c r="C158" s="92" t="s">
        <v>302</v>
      </c>
      <c r="D158" s="225"/>
      <c r="F158" s="150">
        <f t="shared" ref="F158:BM162" si="36">IF(F$4&gt;$F$6,0,F19*$L100)</f>
        <v>5.2181391292147057E-2</v>
      </c>
      <c r="G158" s="150">
        <f t="shared" si="36"/>
        <v>4.9262329498720787E-2</v>
      </c>
      <c r="H158" s="150">
        <f t="shared" si="36"/>
        <v>4.6432393939676138E-2</v>
      </c>
      <c r="I158" s="150">
        <f t="shared" si="36"/>
        <v>4.3677423144569225E-2</v>
      </c>
      <c r="J158" s="150">
        <f t="shared" si="36"/>
        <v>4.0983995746340214E-2</v>
      </c>
      <c r="K158" s="150">
        <f t="shared" si="36"/>
        <v>3.8345590428601924E-2</v>
      </c>
      <c r="L158" s="150">
        <f t="shared" si="36"/>
        <v>3.5755757942580811E-2</v>
      </c>
      <c r="M158" s="150">
        <f t="shared" si="36"/>
        <v>3.3214052633881677E-2</v>
      </c>
      <c r="N158" s="150">
        <f t="shared" si="36"/>
        <v>0</v>
      </c>
      <c r="O158" s="150">
        <f t="shared" si="36"/>
        <v>0</v>
      </c>
      <c r="P158" s="150">
        <f t="shared" si="36"/>
        <v>0</v>
      </c>
      <c r="Q158" s="150">
        <f t="shared" si="36"/>
        <v>0</v>
      </c>
      <c r="R158" s="150">
        <f t="shared" si="36"/>
        <v>0</v>
      </c>
      <c r="S158" s="150">
        <f t="shared" si="36"/>
        <v>0</v>
      </c>
      <c r="T158" s="150">
        <f t="shared" si="36"/>
        <v>0</v>
      </c>
      <c r="U158" s="150">
        <f t="shared" si="36"/>
        <v>0</v>
      </c>
      <c r="V158" s="150">
        <f t="shared" si="36"/>
        <v>0</v>
      </c>
      <c r="W158" s="150">
        <f t="shared" si="36"/>
        <v>0</v>
      </c>
      <c r="X158" s="150">
        <f t="shared" si="36"/>
        <v>0</v>
      </c>
      <c r="Y158" s="150">
        <f t="shared" si="36"/>
        <v>0</v>
      </c>
      <c r="Z158" s="150">
        <f t="shared" si="36"/>
        <v>0</v>
      </c>
      <c r="AA158" s="150">
        <f t="shared" si="36"/>
        <v>0</v>
      </c>
      <c r="AB158" s="150">
        <f t="shared" si="36"/>
        <v>0</v>
      </c>
      <c r="AC158" s="150">
        <f t="shared" si="36"/>
        <v>0</v>
      </c>
      <c r="AD158" s="150">
        <f t="shared" si="36"/>
        <v>0</v>
      </c>
      <c r="AE158" s="150">
        <f t="shared" si="36"/>
        <v>0</v>
      </c>
      <c r="AF158" s="150">
        <f t="shared" si="36"/>
        <v>0</v>
      </c>
      <c r="AG158" s="150">
        <f t="shared" si="36"/>
        <v>0</v>
      </c>
      <c r="AH158" s="150">
        <f t="shared" si="36"/>
        <v>0</v>
      </c>
      <c r="AI158" s="150">
        <f t="shared" si="36"/>
        <v>0</v>
      </c>
      <c r="AJ158" s="150">
        <f t="shared" si="36"/>
        <v>0</v>
      </c>
      <c r="AK158" s="150">
        <f t="shared" si="36"/>
        <v>0</v>
      </c>
      <c r="AL158" s="150">
        <f t="shared" si="36"/>
        <v>0</v>
      </c>
      <c r="AM158" s="150">
        <f t="shared" si="36"/>
        <v>0</v>
      </c>
      <c r="AN158" s="150">
        <f t="shared" si="36"/>
        <v>0</v>
      </c>
      <c r="AO158" s="150">
        <f t="shared" si="36"/>
        <v>0</v>
      </c>
      <c r="AP158" s="150">
        <f t="shared" si="36"/>
        <v>0</v>
      </c>
      <c r="AQ158" s="150">
        <f t="shared" si="36"/>
        <v>0</v>
      </c>
      <c r="AR158" s="150">
        <f t="shared" si="36"/>
        <v>0</v>
      </c>
      <c r="AS158" s="150">
        <f t="shared" si="36"/>
        <v>0</v>
      </c>
      <c r="AT158" s="150">
        <f t="shared" si="36"/>
        <v>0</v>
      </c>
      <c r="AU158" s="150">
        <f t="shared" si="36"/>
        <v>0</v>
      </c>
      <c r="AV158" s="150">
        <f t="shared" si="36"/>
        <v>0</v>
      </c>
      <c r="AW158" s="150">
        <f t="shared" si="36"/>
        <v>0</v>
      </c>
      <c r="AX158" s="150">
        <f t="shared" si="36"/>
        <v>0</v>
      </c>
      <c r="AY158" s="150">
        <f t="shared" si="36"/>
        <v>0</v>
      </c>
      <c r="AZ158" s="150">
        <f t="shared" si="36"/>
        <v>0</v>
      </c>
      <c r="BA158" s="150">
        <f t="shared" si="36"/>
        <v>0</v>
      </c>
      <c r="BB158" s="150">
        <f t="shared" si="36"/>
        <v>0</v>
      </c>
      <c r="BC158" s="150">
        <f t="shared" si="36"/>
        <v>0</v>
      </c>
      <c r="BD158" s="150">
        <f t="shared" si="36"/>
        <v>0</v>
      </c>
      <c r="BE158" s="150">
        <f t="shared" si="36"/>
        <v>0</v>
      </c>
      <c r="BF158" s="150">
        <f t="shared" si="36"/>
        <v>0</v>
      </c>
      <c r="BG158" s="150">
        <f t="shared" si="36"/>
        <v>0</v>
      </c>
      <c r="BH158" s="150">
        <f t="shared" si="36"/>
        <v>0</v>
      </c>
      <c r="BI158" s="150">
        <f t="shared" si="36"/>
        <v>0</v>
      </c>
      <c r="BJ158" s="150">
        <f t="shared" si="36"/>
        <v>0</v>
      </c>
      <c r="BK158" s="150">
        <f t="shared" si="36"/>
        <v>0</v>
      </c>
      <c r="BL158" s="150">
        <f t="shared" si="36"/>
        <v>0</v>
      </c>
      <c r="BM158" s="150">
        <f t="shared" si="36"/>
        <v>0</v>
      </c>
      <c r="BN158" s="150"/>
      <c r="BO158" s="150"/>
      <c r="BP158" s="150"/>
      <c r="BQ158" s="150"/>
      <c r="BR158" s="150"/>
      <c r="BS158" s="150"/>
      <c r="BT158" s="150"/>
      <c r="BU158" s="150"/>
      <c r="BV158" s="150"/>
      <c r="BW158" s="150"/>
      <c r="BX158" s="150"/>
      <c r="BY158" s="150"/>
      <c r="BZ158" s="150"/>
      <c r="CA158" s="150"/>
      <c r="CB158" s="150"/>
      <c r="CC158" s="150"/>
      <c r="CD158" s="150"/>
      <c r="CE158" s="150"/>
      <c r="CF158" s="150"/>
      <c r="CG158" s="150"/>
      <c r="CH158" s="150"/>
      <c r="CI158" s="150"/>
      <c r="CJ158" s="150"/>
      <c r="CK158" s="150"/>
      <c r="CL158" s="150"/>
      <c r="CM158" s="150"/>
      <c r="CN158" s="150"/>
      <c r="CO158" s="150"/>
      <c r="CP158" s="150"/>
      <c r="CQ158" s="150"/>
      <c r="CR158" s="150"/>
      <c r="CS158" s="150"/>
      <c r="CT158" s="150"/>
      <c r="CU158" s="150"/>
      <c r="CV158" s="150"/>
      <c r="CW158" s="150"/>
      <c r="CX158" s="150"/>
      <c r="CY158" s="150"/>
      <c r="CZ158" s="150"/>
      <c r="DA158" s="150"/>
      <c r="DB158" s="150"/>
      <c r="DC158" s="150"/>
      <c r="DD158" s="150"/>
      <c r="DE158" s="150"/>
      <c r="DF158" s="150"/>
      <c r="DG158" s="150"/>
      <c r="DH158" s="150"/>
      <c r="DI158" s="150"/>
      <c r="DJ158" s="150"/>
      <c r="DK158" s="150"/>
      <c r="DL158" s="150"/>
      <c r="DM158" s="150"/>
      <c r="DN158" s="150"/>
      <c r="DO158" s="150"/>
      <c r="DP158" s="150"/>
      <c r="DQ158" s="150"/>
      <c r="DR158" s="150"/>
      <c r="DS158" s="150"/>
      <c r="DT158" s="150"/>
      <c r="DU158" s="150"/>
      <c r="DV158" s="150"/>
      <c r="DW158" s="150"/>
      <c r="DX158" s="150"/>
      <c r="DY158" s="150"/>
      <c r="DZ158" s="150"/>
      <c r="EA158" s="150"/>
      <c r="EB158" s="150"/>
      <c r="EC158" s="150"/>
      <c r="ED158" s="150"/>
      <c r="EE158" s="150"/>
      <c r="EF158" s="150"/>
      <c r="EG158" s="150"/>
      <c r="EH158" s="150"/>
      <c r="EI158" s="150"/>
      <c r="EJ158" s="150"/>
      <c r="EK158" s="150"/>
      <c r="EL158" s="150"/>
      <c r="EM158" s="150"/>
      <c r="EN158" s="150"/>
      <c r="EO158" s="150"/>
      <c r="EP158" s="150"/>
      <c r="EQ158" s="150"/>
      <c r="ER158" s="150"/>
      <c r="ES158" s="150"/>
      <c r="ET158" s="150"/>
      <c r="EU158" s="150"/>
      <c r="EV158" s="150"/>
      <c r="EW158" s="150"/>
      <c r="EX158" s="150"/>
      <c r="EY158" s="150"/>
      <c r="EZ158" s="150"/>
      <c r="FA158" s="150"/>
      <c r="FB158" s="150"/>
      <c r="FC158" s="150"/>
      <c r="FD158" s="150"/>
      <c r="FE158" s="150"/>
      <c r="FF158" s="150"/>
      <c r="FG158" s="150"/>
      <c r="FH158" s="150"/>
      <c r="FI158" s="150"/>
      <c r="FJ158" s="150"/>
      <c r="FK158" s="150"/>
      <c r="FL158" s="150"/>
      <c r="FM158" s="150"/>
      <c r="FN158" s="150"/>
      <c r="FO158" s="150"/>
      <c r="FP158" s="150"/>
      <c r="FQ158" s="150"/>
      <c r="FR158" s="150"/>
      <c r="FS158" s="150"/>
      <c r="FT158" s="150"/>
      <c r="FU158" s="150"/>
      <c r="FV158" s="150"/>
      <c r="FW158" s="150"/>
      <c r="FX158" s="150"/>
      <c r="FY158" s="150"/>
      <c r="FZ158" s="150"/>
      <c r="GA158" s="150"/>
      <c r="GB158" s="150"/>
      <c r="GC158" s="150"/>
      <c r="GD158" s="150"/>
      <c r="GE158" s="150"/>
      <c r="GF158" s="150"/>
      <c r="GG158" s="150"/>
      <c r="GH158" s="150"/>
      <c r="GI158" s="150"/>
      <c r="GJ158" s="150"/>
      <c r="GK158" s="150"/>
      <c r="GL158" s="150"/>
      <c r="GM158" s="150"/>
      <c r="GN158" s="150"/>
      <c r="GO158" s="150"/>
      <c r="GP158" s="150"/>
      <c r="GQ158" s="150"/>
      <c r="GR158" s="150"/>
      <c r="GS158" s="150"/>
      <c r="GT158" s="150"/>
      <c r="GU158" s="150"/>
      <c r="GV158" s="150"/>
      <c r="GW158" s="150"/>
      <c r="GX158" s="150"/>
      <c r="GY158" s="150"/>
      <c r="GZ158" s="150"/>
      <c r="HA158" s="150"/>
      <c r="HB158" s="150"/>
      <c r="HC158" s="150"/>
      <c r="HD158" s="150"/>
      <c r="HE158" s="150"/>
      <c r="HF158" s="150"/>
      <c r="HG158" s="150"/>
      <c r="HH158" s="150"/>
      <c r="HI158" s="150"/>
      <c r="HJ158" s="150"/>
      <c r="HK158" s="150"/>
      <c r="HL158" s="150"/>
      <c r="HM158" s="150"/>
      <c r="HN158" s="150"/>
      <c r="HO158" s="150"/>
      <c r="HP158" s="150"/>
      <c r="HQ158" s="150"/>
      <c r="HR158" s="150"/>
      <c r="HS158" s="150"/>
      <c r="HT158" s="150"/>
      <c r="HU158" s="150"/>
      <c r="HV158" s="150"/>
      <c r="HW158" s="150"/>
      <c r="HX158" s="150"/>
      <c r="HY158" s="150"/>
      <c r="HZ158" s="150"/>
      <c r="IA158" s="150"/>
      <c r="IB158" s="150"/>
      <c r="IC158" s="150"/>
      <c r="ID158" s="150"/>
      <c r="IE158" s="150"/>
      <c r="IF158" s="150"/>
      <c r="IG158" s="150"/>
      <c r="IH158" s="150"/>
      <c r="II158" s="150"/>
      <c r="IJ158" s="150"/>
      <c r="IK158" s="150"/>
      <c r="IL158" s="150"/>
      <c r="IM158" s="150"/>
      <c r="IN158" s="150"/>
      <c r="IO158" s="150"/>
      <c r="IP158" s="150"/>
      <c r="IQ158" s="150"/>
      <c r="IR158" s="150"/>
      <c r="IS158" s="150"/>
      <c r="IT158" s="150"/>
      <c r="IU158" s="150"/>
      <c r="IV158" s="150"/>
      <c r="IW158" s="150"/>
      <c r="IX158" s="150"/>
      <c r="IY158" s="150"/>
      <c r="IZ158" s="150"/>
      <c r="JA158" s="150"/>
      <c r="JB158" s="150"/>
      <c r="JC158" s="150"/>
      <c r="JD158" s="150"/>
      <c r="JE158" s="150"/>
      <c r="JF158" s="150"/>
      <c r="JG158" s="150"/>
      <c r="JH158" s="150"/>
      <c r="JI158" s="150"/>
      <c r="JJ158" s="150"/>
      <c r="JK158" s="150"/>
      <c r="JL158" s="150"/>
      <c r="JM158" s="150"/>
      <c r="JN158" s="150"/>
      <c r="JO158" s="150"/>
      <c r="JP158" s="150"/>
      <c r="JQ158" s="150"/>
      <c r="JR158" s="150"/>
      <c r="JS158" s="150"/>
      <c r="JT158" s="150"/>
      <c r="JU158" s="150"/>
      <c r="JV158" s="150"/>
      <c r="JW158" s="150"/>
      <c r="JX158" s="150"/>
      <c r="JY158" s="150"/>
      <c r="JZ158" s="150"/>
      <c r="KA158" s="150"/>
      <c r="KB158" s="150"/>
      <c r="KC158" s="150"/>
      <c r="KD158" s="150"/>
      <c r="KE158" s="150"/>
      <c r="KF158" s="150"/>
      <c r="KG158" s="150"/>
      <c r="KH158" s="150"/>
      <c r="KI158" s="150"/>
      <c r="KJ158" s="150"/>
      <c r="KK158" s="150"/>
      <c r="KL158" s="150"/>
      <c r="KM158" s="150"/>
      <c r="KN158" s="150"/>
      <c r="KO158" s="150"/>
      <c r="KP158" s="150"/>
      <c r="KQ158" s="150"/>
      <c r="KR158" s="150"/>
      <c r="KS158" s="150"/>
      <c r="KT158" s="150"/>
      <c r="KU158" s="92"/>
    </row>
    <row r="159" spans="2:307" s="157" customFormat="1" x14ac:dyDescent="0.15">
      <c r="C159" s="92" t="s">
        <v>304</v>
      </c>
      <c r="D159" s="225"/>
      <c r="F159" s="150">
        <f t="shared" si="36"/>
        <v>9.6152566690366776E-3</v>
      </c>
      <c r="G159" s="150">
        <f t="shared" si="36"/>
        <v>8.4012039980356779E-3</v>
      </c>
      <c r="H159" s="150">
        <f t="shared" si="36"/>
        <v>7.931235049294048E-3</v>
      </c>
      <c r="I159" s="150">
        <f t="shared" si="36"/>
        <v>7.4756154242878606E-3</v>
      </c>
      <c r="J159" s="150">
        <f t="shared" si="36"/>
        <v>7.0320651262756467E-3</v>
      </c>
      <c r="K159" s="150">
        <f t="shared" si="36"/>
        <v>6.5984233151607759E-3</v>
      </c>
      <c r="L159" s="150">
        <f t="shared" si="36"/>
        <v>6.1736400590049097E-3</v>
      </c>
      <c r="M159" s="150">
        <f t="shared" si="36"/>
        <v>5.756677028755511E-3</v>
      </c>
      <c r="N159" s="150">
        <f t="shared" si="36"/>
        <v>5.092821403861858E-2</v>
      </c>
      <c r="O159" s="150">
        <f t="shared" si="36"/>
        <v>0</v>
      </c>
      <c r="P159" s="150">
        <f t="shared" si="36"/>
        <v>0</v>
      </c>
      <c r="Q159" s="150">
        <f t="shared" si="36"/>
        <v>0</v>
      </c>
      <c r="R159" s="150">
        <f t="shared" si="36"/>
        <v>0</v>
      </c>
      <c r="S159" s="150">
        <f t="shared" si="36"/>
        <v>0</v>
      </c>
      <c r="T159" s="150">
        <f t="shared" si="36"/>
        <v>0</v>
      </c>
      <c r="U159" s="150">
        <f t="shared" si="36"/>
        <v>0</v>
      </c>
      <c r="V159" s="150">
        <f t="shared" si="36"/>
        <v>0</v>
      </c>
      <c r="W159" s="150">
        <f t="shared" si="36"/>
        <v>0</v>
      </c>
      <c r="X159" s="150">
        <f t="shared" si="36"/>
        <v>0</v>
      </c>
      <c r="Y159" s="150">
        <f t="shared" si="36"/>
        <v>0</v>
      </c>
      <c r="Z159" s="150">
        <f t="shared" si="36"/>
        <v>0</v>
      </c>
      <c r="AA159" s="150">
        <f t="shared" si="36"/>
        <v>0</v>
      </c>
      <c r="AB159" s="150">
        <f t="shared" si="36"/>
        <v>0</v>
      </c>
      <c r="AC159" s="150">
        <f t="shared" si="36"/>
        <v>0</v>
      </c>
      <c r="AD159" s="150">
        <f t="shared" si="36"/>
        <v>0</v>
      </c>
      <c r="AE159" s="150">
        <f t="shared" si="36"/>
        <v>0</v>
      </c>
      <c r="AF159" s="150">
        <f t="shared" si="36"/>
        <v>0</v>
      </c>
      <c r="AG159" s="150">
        <f t="shared" si="36"/>
        <v>0</v>
      </c>
      <c r="AH159" s="150">
        <f t="shared" si="36"/>
        <v>0</v>
      </c>
      <c r="AI159" s="150">
        <f t="shared" si="36"/>
        <v>0</v>
      </c>
      <c r="AJ159" s="150">
        <f t="shared" si="36"/>
        <v>0</v>
      </c>
      <c r="AK159" s="150">
        <f t="shared" si="36"/>
        <v>0</v>
      </c>
      <c r="AL159" s="150">
        <f t="shared" si="36"/>
        <v>0</v>
      </c>
      <c r="AM159" s="150">
        <f t="shared" si="36"/>
        <v>0</v>
      </c>
      <c r="AN159" s="150">
        <f t="shared" si="36"/>
        <v>0</v>
      </c>
      <c r="AO159" s="150">
        <f t="shared" si="36"/>
        <v>0</v>
      </c>
      <c r="AP159" s="150">
        <f t="shared" si="36"/>
        <v>0</v>
      </c>
      <c r="AQ159" s="150">
        <f t="shared" si="36"/>
        <v>0</v>
      </c>
      <c r="AR159" s="150">
        <f t="shared" si="36"/>
        <v>0</v>
      </c>
      <c r="AS159" s="150">
        <f t="shared" si="36"/>
        <v>0</v>
      </c>
      <c r="AT159" s="150">
        <f t="shared" si="36"/>
        <v>0</v>
      </c>
      <c r="AU159" s="150">
        <f t="shared" si="36"/>
        <v>0</v>
      </c>
      <c r="AV159" s="150">
        <f t="shared" si="36"/>
        <v>0</v>
      </c>
      <c r="AW159" s="150">
        <f t="shared" si="36"/>
        <v>0</v>
      </c>
      <c r="AX159" s="150">
        <f t="shared" si="36"/>
        <v>0</v>
      </c>
      <c r="AY159" s="150">
        <f t="shared" si="36"/>
        <v>0</v>
      </c>
      <c r="AZ159" s="150">
        <f t="shared" si="36"/>
        <v>0</v>
      </c>
      <c r="BA159" s="150">
        <f t="shared" si="36"/>
        <v>0</v>
      </c>
      <c r="BB159" s="150">
        <f t="shared" si="36"/>
        <v>0</v>
      </c>
      <c r="BC159" s="150">
        <f t="shared" si="36"/>
        <v>0</v>
      </c>
      <c r="BD159" s="150">
        <f t="shared" si="36"/>
        <v>0</v>
      </c>
      <c r="BE159" s="150">
        <f t="shared" si="36"/>
        <v>0</v>
      </c>
      <c r="BF159" s="150">
        <f t="shared" si="36"/>
        <v>0</v>
      </c>
      <c r="BG159" s="150">
        <f t="shared" si="36"/>
        <v>0</v>
      </c>
      <c r="BH159" s="150">
        <f t="shared" si="36"/>
        <v>0</v>
      </c>
      <c r="BI159" s="150">
        <f t="shared" si="36"/>
        <v>0</v>
      </c>
      <c r="BJ159" s="150">
        <f t="shared" si="36"/>
        <v>0</v>
      </c>
      <c r="BK159" s="150">
        <f t="shared" si="36"/>
        <v>0</v>
      </c>
      <c r="BL159" s="150">
        <f t="shared" si="36"/>
        <v>0</v>
      </c>
      <c r="BM159" s="150">
        <f t="shared" si="36"/>
        <v>0</v>
      </c>
      <c r="BN159" s="150"/>
      <c r="BO159" s="150"/>
      <c r="BP159" s="150"/>
      <c r="BQ159" s="150"/>
      <c r="BR159" s="150"/>
      <c r="BS159" s="150"/>
      <c r="BT159" s="150"/>
      <c r="BU159" s="150"/>
      <c r="BV159" s="150"/>
      <c r="BW159" s="150"/>
      <c r="BX159" s="150"/>
      <c r="BY159" s="150"/>
      <c r="BZ159" s="150"/>
      <c r="CA159" s="150"/>
      <c r="CB159" s="150"/>
      <c r="CC159" s="150"/>
      <c r="CD159" s="150"/>
      <c r="CE159" s="150"/>
      <c r="CF159" s="150"/>
      <c r="CG159" s="150"/>
      <c r="CH159" s="150"/>
      <c r="CI159" s="150"/>
      <c r="CJ159" s="150"/>
      <c r="CK159" s="150"/>
      <c r="CL159" s="150"/>
      <c r="CM159" s="150"/>
      <c r="CN159" s="150"/>
      <c r="CO159" s="150"/>
      <c r="CP159" s="150"/>
      <c r="CQ159" s="150"/>
      <c r="CR159" s="150"/>
      <c r="CS159" s="150"/>
      <c r="CT159" s="150"/>
      <c r="CU159" s="150"/>
      <c r="CV159" s="150"/>
      <c r="CW159" s="150"/>
      <c r="CX159" s="150"/>
      <c r="CY159" s="150"/>
      <c r="CZ159" s="150"/>
      <c r="DA159" s="150"/>
      <c r="DB159" s="150"/>
      <c r="DC159" s="150"/>
      <c r="DD159" s="150"/>
      <c r="DE159" s="150"/>
      <c r="DF159" s="150"/>
      <c r="DG159" s="150"/>
      <c r="DH159" s="150"/>
      <c r="DI159" s="150"/>
      <c r="DJ159" s="150"/>
      <c r="DK159" s="150"/>
      <c r="DL159" s="150"/>
      <c r="DM159" s="150"/>
      <c r="DN159" s="150"/>
      <c r="DO159" s="150"/>
      <c r="DP159" s="150"/>
      <c r="DQ159" s="150"/>
      <c r="DR159" s="150"/>
      <c r="DS159" s="150"/>
      <c r="DT159" s="150"/>
      <c r="DU159" s="150"/>
      <c r="DV159" s="150"/>
      <c r="DW159" s="150"/>
      <c r="DX159" s="150"/>
      <c r="DY159" s="150"/>
      <c r="DZ159" s="150"/>
      <c r="EA159" s="150"/>
      <c r="EB159" s="150"/>
      <c r="EC159" s="150"/>
      <c r="ED159" s="150"/>
      <c r="EE159" s="150"/>
      <c r="EF159" s="150"/>
      <c r="EG159" s="150"/>
      <c r="EH159" s="150"/>
      <c r="EI159" s="150"/>
      <c r="EJ159" s="150"/>
      <c r="EK159" s="150"/>
      <c r="EL159" s="150"/>
      <c r="EM159" s="150"/>
      <c r="EN159" s="150"/>
      <c r="EO159" s="150"/>
      <c r="EP159" s="150"/>
      <c r="EQ159" s="150"/>
      <c r="ER159" s="150"/>
      <c r="ES159" s="150"/>
      <c r="ET159" s="150"/>
      <c r="EU159" s="150"/>
      <c r="EV159" s="150"/>
      <c r="EW159" s="150"/>
      <c r="EX159" s="150"/>
      <c r="EY159" s="150"/>
      <c r="EZ159" s="150"/>
      <c r="FA159" s="150"/>
      <c r="FB159" s="150"/>
      <c r="FC159" s="150"/>
      <c r="FD159" s="150"/>
      <c r="FE159" s="150"/>
      <c r="FF159" s="150"/>
      <c r="FG159" s="150"/>
      <c r="FH159" s="150"/>
      <c r="FI159" s="150"/>
      <c r="FJ159" s="150"/>
      <c r="FK159" s="150"/>
      <c r="FL159" s="150"/>
      <c r="FM159" s="150"/>
      <c r="FN159" s="150"/>
      <c r="FO159" s="150"/>
      <c r="FP159" s="150"/>
      <c r="FQ159" s="150"/>
      <c r="FR159" s="150"/>
      <c r="FS159" s="150"/>
      <c r="FT159" s="150"/>
      <c r="FU159" s="150"/>
      <c r="FV159" s="150"/>
      <c r="FW159" s="150"/>
      <c r="FX159" s="150"/>
      <c r="FY159" s="150"/>
      <c r="FZ159" s="150"/>
      <c r="GA159" s="150"/>
      <c r="GB159" s="150"/>
      <c r="GC159" s="150"/>
      <c r="GD159" s="150"/>
      <c r="GE159" s="150"/>
      <c r="GF159" s="150"/>
      <c r="GG159" s="150"/>
      <c r="GH159" s="150"/>
      <c r="GI159" s="150"/>
      <c r="GJ159" s="150"/>
      <c r="GK159" s="150"/>
      <c r="GL159" s="150"/>
      <c r="GM159" s="150"/>
      <c r="GN159" s="150"/>
      <c r="GO159" s="150"/>
      <c r="GP159" s="150"/>
      <c r="GQ159" s="150"/>
      <c r="GR159" s="150"/>
      <c r="GS159" s="150"/>
      <c r="GT159" s="150"/>
      <c r="GU159" s="150"/>
      <c r="GV159" s="150"/>
      <c r="GW159" s="150"/>
      <c r="GX159" s="150"/>
      <c r="GY159" s="150"/>
      <c r="GZ159" s="150"/>
      <c r="HA159" s="150"/>
      <c r="HB159" s="150"/>
      <c r="HC159" s="150"/>
      <c r="HD159" s="150"/>
      <c r="HE159" s="150"/>
      <c r="HF159" s="150"/>
      <c r="HG159" s="150"/>
      <c r="HH159" s="150"/>
      <c r="HI159" s="150"/>
      <c r="HJ159" s="150"/>
      <c r="HK159" s="150"/>
      <c r="HL159" s="150"/>
      <c r="HM159" s="150"/>
      <c r="HN159" s="150"/>
      <c r="HO159" s="150"/>
      <c r="HP159" s="150"/>
      <c r="HQ159" s="150"/>
      <c r="HR159" s="150"/>
      <c r="HS159" s="150"/>
      <c r="HT159" s="150"/>
      <c r="HU159" s="150"/>
      <c r="HV159" s="150"/>
      <c r="HW159" s="150"/>
      <c r="HX159" s="150"/>
      <c r="HY159" s="150"/>
      <c r="HZ159" s="150"/>
      <c r="IA159" s="150"/>
      <c r="IB159" s="150"/>
      <c r="IC159" s="150"/>
      <c r="ID159" s="150"/>
      <c r="IE159" s="150"/>
      <c r="IF159" s="150"/>
      <c r="IG159" s="150"/>
      <c r="IH159" s="150"/>
      <c r="II159" s="150"/>
      <c r="IJ159" s="150"/>
      <c r="IK159" s="150"/>
      <c r="IL159" s="150"/>
      <c r="IM159" s="150"/>
      <c r="IN159" s="150"/>
      <c r="IO159" s="150"/>
      <c r="IP159" s="150"/>
      <c r="IQ159" s="150"/>
      <c r="IR159" s="150"/>
      <c r="IS159" s="150"/>
      <c r="IT159" s="150"/>
      <c r="IU159" s="150"/>
      <c r="IV159" s="150"/>
      <c r="IW159" s="150"/>
      <c r="IX159" s="150"/>
      <c r="IY159" s="150"/>
      <c r="IZ159" s="150"/>
      <c r="JA159" s="150"/>
      <c r="JB159" s="150"/>
      <c r="JC159" s="150"/>
      <c r="JD159" s="150"/>
      <c r="JE159" s="150"/>
      <c r="JF159" s="150"/>
      <c r="JG159" s="150"/>
      <c r="JH159" s="150"/>
      <c r="JI159" s="150"/>
      <c r="JJ159" s="150"/>
      <c r="JK159" s="150"/>
      <c r="JL159" s="150"/>
      <c r="JM159" s="150"/>
      <c r="JN159" s="150"/>
      <c r="JO159" s="150"/>
      <c r="JP159" s="150"/>
      <c r="JQ159" s="150"/>
      <c r="JR159" s="150"/>
      <c r="JS159" s="150"/>
      <c r="JT159" s="150"/>
      <c r="JU159" s="150"/>
      <c r="JV159" s="150"/>
      <c r="JW159" s="150"/>
      <c r="JX159" s="150"/>
      <c r="JY159" s="150"/>
      <c r="JZ159" s="150"/>
      <c r="KA159" s="150"/>
      <c r="KB159" s="150"/>
      <c r="KC159" s="150"/>
      <c r="KD159" s="150"/>
      <c r="KE159" s="150"/>
      <c r="KF159" s="150"/>
      <c r="KG159" s="150"/>
      <c r="KH159" s="150"/>
      <c r="KI159" s="150"/>
      <c r="KJ159" s="150"/>
      <c r="KK159" s="150"/>
      <c r="KL159" s="150"/>
      <c r="KM159" s="150"/>
      <c r="KN159" s="150"/>
      <c r="KO159" s="150"/>
      <c r="KP159" s="150"/>
      <c r="KQ159" s="150"/>
      <c r="KR159" s="150"/>
      <c r="KS159" s="150"/>
      <c r="KT159" s="150"/>
      <c r="KU159" s="92"/>
    </row>
    <row r="160" spans="2:307" s="157" customFormat="1" x14ac:dyDescent="0.15">
      <c r="C160" s="92" t="s">
        <v>305</v>
      </c>
      <c r="D160" s="225"/>
      <c r="F160" s="150">
        <f t="shared" si="36"/>
        <v>0</v>
      </c>
      <c r="G160" s="150">
        <f t="shared" si="36"/>
        <v>9.1344938355848431E-3</v>
      </c>
      <c r="H160" s="150">
        <f t="shared" si="36"/>
        <v>7.9811437981338936E-3</v>
      </c>
      <c r="I160" s="150">
        <f t="shared" si="36"/>
        <v>7.5346732968293454E-3</v>
      </c>
      <c r="J160" s="150">
        <f t="shared" si="36"/>
        <v>7.1018346530734664E-3</v>
      </c>
      <c r="K160" s="150">
        <f t="shared" si="36"/>
        <v>6.6804618699618642E-3</v>
      </c>
      <c r="L160" s="150">
        <f t="shared" si="36"/>
        <v>6.2685021494027372E-3</v>
      </c>
      <c r="M160" s="150">
        <f t="shared" si="36"/>
        <v>5.8649580560546644E-3</v>
      </c>
      <c r="N160" s="150">
        <f t="shared" si="36"/>
        <v>4.0296739201288578E-3</v>
      </c>
      <c r="O160" s="150">
        <f t="shared" si="36"/>
        <v>3.5649749827032999E-2</v>
      </c>
      <c r="P160" s="150">
        <f t="shared" si="36"/>
        <v>0</v>
      </c>
      <c r="Q160" s="150">
        <f t="shared" si="36"/>
        <v>0</v>
      </c>
      <c r="R160" s="150">
        <f t="shared" si="36"/>
        <v>0</v>
      </c>
      <c r="S160" s="150">
        <f t="shared" si="36"/>
        <v>0</v>
      </c>
      <c r="T160" s="150">
        <f t="shared" si="36"/>
        <v>0</v>
      </c>
      <c r="U160" s="150">
        <f t="shared" si="36"/>
        <v>0</v>
      </c>
      <c r="V160" s="150">
        <f t="shared" si="36"/>
        <v>0</v>
      </c>
      <c r="W160" s="150">
        <f t="shared" si="36"/>
        <v>0</v>
      </c>
      <c r="X160" s="150">
        <f t="shared" si="36"/>
        <v>0</v>
      </c>
      <c r="Y160" s="150">
        <f t="shared" si="36"/>
        <v>0</v>
      </c>
      <c r="Z160" s="150">
        <f t="shared" si="36"/>
        <v>0</v>
      </c>
      <c r="AA160" s="150">
        <f t="shared" si="36"/>
        <v>0</v>
      </c>
      <c r="AB160" s="150">
        <f t="shared" si="36"/>
        <v>0</v>
      </c>
      <c r="AC160" s="150">
        <f t="shared" si="36"/>
        <v>0</v>
      </c>
      <c r="AD160" s="150">
        <f t="shared" si="36"/>
        <v>0</v>
      </c>
      <c r="AE160" s="150">
        <f t="shared" si="36"/>
        <v>0</v>
      </c>
      <c r="AF160" s="150">
        <f t="shared" si="36"/>
        <v>0</v>
      </c>
      <c r="AG160" s="150">
        <f t="shared" si="36"/>
        <v>0</v>
      </c>
      <c r="AH160" s="150">
        <f t="shared" si="36"/>
        <v>0</v>
      </c>
      <c r="AI160" s="150">
        <f t="shared" si="36"/>
        <v>0</v>
      </c>
      <c r="AJ160" s="150">
        <f t="shared" si="36"/>
        <v>0</v>
      </c>
      <c r="AK160" s="150">
        <f t="shared" si="36"/>
        <v>0</v>
      </c>
      <c r="AL160" s="150">
        <f t="shared" si="36"/>
        <v>0</v>
      </c>
      <c r="AM160" s="150">
        <f t="shared" si="36"/>
        <v>0</v>
      </c>
      <c r="AN160" s="150">
        <f t="shared" si="36"/>
        <v>0</v>
      </c>
      <c r="AO160" s="150">
        <f t="shared" si="36"/>
        <v>0</v>
      </c>
      <c r="AP160" s="150">
        <f t="shared" si="36"/>
        <v>0</v>
      </c>
      <c r="AQ160" s="150">
        <f t="shared" si="36"/>
        <v>0</v>
      </c>
      <c r="AR160" s="150">
        <f t="shared" si="36"/>
        <v>0</v>
      </c>
      <c r="AS160" s="150">
        <f t="shared" si="36"/>
        <v>0</v>
      </c>
      <c r="AT160" s="150">
        <f t="shared" si="36"/>
        <v>0</v>
      </c>
      <c r="AU160" s="150">
        <f t="shared" si="36"/>
        <v>0</v>
      </c>
      <c r="AV160" s="150">
        <f t="shared" si="36"/>
        <v>0</v>
      </c>
      <c r="AW160" s="150">
        <f t="shared" si="36"/>
        <v>0</v>
      </c>
      <c r="AX160" s="150">
        <f t="shared" si="36"/>
        <v>0</v>
      </c>
      <c r="AY160" s="150">
        <f t="shared" si="36"/>
        <v>0</v>
      </c>
      <c r="AZ160" s="150">
        <f t="shared" si="36"/>
        <v>0</v>
      </c>
      <c r="BA160" s="150">
        <f t="shared" si="36"/>
        <v>0</v>
      </c>
      <c r="BB160" s="150">
        <f t="shared" si="36"/>
        <v>0</v>
      </c>
      <c r="BC160" s="150">
        <f t="shared" si="36"/>
        <v>0</v>
      </c>
      <c r="BD160" s="150">
        <f t="shared" si="36"/>
        <v>0</v>
      </c>
      <c r="BE160" s="150">
        <f t="shared" si="36"/>
        <v>0</v>
      </c>
      <c r="BF160" s="150">
        <f t="shared" si="36"/>
        <v>0</v>
      </c>
      <c r="BG160" s="150">
        <f t="shared" si="36"/>
        <v>0</v>
      </c>
      <c r="BH160" s="150">
        <f t="shared" si="36"/>
        <v>0</v>
      </c>
      <c r="BI160" s="150">
        <f t="shared" si="36"/>
        <v>0</v>
      </c>
      <c r="BJ160" s="150">
        <f t="shared" si="36"/>
        <v>0</v>
      </c>
      <c r="BK160" s="150">
        <f t="shared" si="36"/>
        <v>0</v>
      </c>
      <c r="BL160" s="150">
        <f t="shared" si="36"/>
        <v>0</v>
      </c>
      <c r="BM160" s="150">
        <f t="shared" si="36"/>
        <v>0</v>
      </c>
      <c r="BN160" s="150"/>
      <c r="BO160" s="150"/>
      <c r="BP160" s="150"/>
      <c r="BQ160" s="150"/>
      <c r="BR160" s="150"/>
      <c r="BS160" s="150"/>
      <c r="BT160" s="150"/>
      <c r="BU160" s="150"/>
      <c r="BV160" s="150"/>
      <c r="BW160" s="150"/>
      <c r="BX160" s="150"/>
      <c r="BY160" s="150"/>
      <c r="BZ160" s="150"/>
      <c r="CA160" s="150"/>
      <c r="CB160" s="150"/>
      <c r="CC160" s="150"/>
      <c r="CD160" s="150"/>
      <c r="CE160" s="150"/>
      <c r="CF160" s="150"/>
      <c r="CG160" s="150"/>
      <c r="CH160" s="150"/>
      <c r="CI160" s="150"/>
      <c r="CJ160" s="150"/>
      <c r="CK160" s="150"/>
      <c r="CL160" s="150"/>
      <c r="CM160" s="150"/>
      <c r="CN160" s="150"/>
      <c r="CO160" s="150"/>
      <c r="CP160" s="150"/>
      <c r="CQ160" s="150"/>
      <c r="CR160" s="150"/>
      <c r="CS160" s="150"/>
      <c r="CT160" s="150"/>
      <c r="CU160" s="150"/>
      <c r="CV160" s="150"/>
      <c r="CW160" s="150"/>
      <c r="CX160" s="150"/>
      <c r="CY160" s="150"/>
      <c r="CZ160" s="150"/>
      <c r="DA160" s="150"/>
      <c r="DB160" s="150"/>
      <c r="DC160" s="150"/>
      <c r="DD160" s="150"/>
      <c r="DE160" s="150"/>
      <c r="DF160" s="150"/>
      <c r="DG160" s="150"/>
      <c r="DH160" s="150"/>
      <c r="DI160" s="150"/>
      <c r="DJ160" s="150"/>
      <c r="DK160" s="150"/>
      <c r="DL160" s="150"/>
      <c r="DM160" s="150"/>
      <c r="DN160" s="150"/>
      <c r="DO160" s="150"/>
      <c r="DP160" s="150"/>
      <c r="DQ160" s="150"/>
      <c r="DR160" s="150"/>
      <c r="DS160" s="150"/>
      <c r="DT160" s="150"/>
      <c r="DU160" s="150"/>
      <c r="DV160" s="150"/>
      <c r="DW160" s="150"/>
      <c r="DX160" s="150"/>
      <c r="DY160" s="150"/>
      <c r="DZ160" s="150"/>
      <c r="EA160" s="150"/>
      <c r="EB160" s="150"/>
      <c r="EC160" s="150"/>
      <c r="ED160" s="150"/>
      <c r="EE160" s="150"/>
      <c r="EF160" s="150"/>
      <c r="EG160" s="150"/>
      <c r="EH160" s="150"/>
      <c r="EI160" s="150"/>
      <c r="EJ160" s="150"/>
      <c r="EK160" s="150"/>
      <c r="EL160" s="150"/>
      <c r="EM160" s="150"/>
      <c r="EN160" s="150"/>
      <c r="EO160" s="150"/>
      <c r="EP160" s="150"/>
      <c r="EQ160" s="150"/>
      <c r="ER160" s="150"/>
      <c r="ES160" s="150"/>
      <c r="ET160" s="150"/>
      <c r="EU160" s="150"/>
      <c r="EV160" s="150"/>
      <c r="EW160" s="150"/>
      <c r="EX160" s="150"/>
      <c r="EY160" s="150"/>
      <c r="EZ160" s="150"/>
      <c r="FA160" s="150"/>
      <c r="FB160" s="150"/>
      <c r="FC160" s="150"/>
      <c r="FD160" s="150"/>
      <c r="FE160" s="150"/>
      <c r="FF160" s="150"/>
      <c r="FG160" s="150"/>
      <c r="FH160" s="150"/>
      <c r="FI160" s="150"/>
      <c r="FJ160" s="150"/>
      <c r="FK160" s="150"/>
      <c r="FL160" s="150"/>
      <c r="FM160" s="150"/>
      <c r="FN160" s="150"/>
      <c r="FO160" s="150"/>
      <c r="FP160" s="150"/>
      <c r="FQ160" s="150"/>
      <c r="FR160" s="150"/>
      <c r="FS160" s="150"/>
      <c r="FT160" s="150"/>
      <c r="FU160" s="150"/>
      <c r="FV160" s="150"/>
      <c r="FW160" s="150"/>
      <c r="FX160" s="150"/>
      <c r="FY160" s="150"/>
      <c r="FZ160" s="150"/>
      <c r="GA160" s="150"/>
      <c r="GB160" s="150"/>
      <c r="GC160" s="150"/>
      <c r="GD160" s="150"/>
      <c r="GE160" s="150"/>
      <c r="GF160" s="150"/>
      <c r="GG160" s="150"/>
      <c r="GH160" s="150"/>
      <c r="GI160" s="150"/>
      <c r="GJ160" s="150"/>
      <c r="GK160" s="150"/>
      <c r="GL160" s="150"/>
      <c r="GM160" s="150"/>
      <c r="GN160" s="150"/>
      <c r="GO160" s="150"/>
      <c r="GP160" s="150"/>
      <c r="GQ160" s="150"/>
      <c r="GR160" s="150"/>
      <c r="GS160" s="150"/>
      <c r="GT160" s="150"/>
      <c r="GU160" s="150"/>
      <c r="GV160" s="150"/>
      <c r="GW160" s="150"/>
      <c r="GX160" s="150"/>
      <c r="GY160" s="150"/>
      <c r="GZ160" s="150"/>
      <c r="HA160" s="150"/>
      <c r="HB160" s="150"/>
      <c r="HC160" s="150"/>
      <c r="HD160" s="150"/>
      <c r="HE160" s="150"/>
      <c r="HF160" s="150"/>
      <c r="HG160" s="150"/>
      <c r="HH160" s="150"/>
      <c r="HI160" s="150"/>
      <c r="HJ160" s="150"/>
      <c r="HK160" s="150"/>
      <c r="HL160" s="150"/>
      <c r="HM160" s="150"/>
      <c r="HN160" s="150"/>
      <c r="HO160" s="150"/>
      <c r="HP160" s="150"/>
      <c r="HQ160" s="150"/>
      <c r="HR160" s="150"/>
      <c r="HS160" s="150"/>
      <c r="HT160" s="150"/>
      <c r="HU160" s="150"/>
      <c r="HV160" s="150"/>
      <c r="HW160" s="150"/>
      <c r="HX160" s="150"/>
      <c r="HY160" s="150"/>
      <c r="HZ160" s="150"/>
      <c r="IA160" s="150"/>
      <c r="IB160" s="150"/>
      <c r="IC160" s="150"/>
      <c r="ID160" s="150"/>
      <c r="IE160" s="150"/>
      <c r="IF160" s="150"/>
      <c r="IG160" s="150"/>
      <c r="IH160" s="150"/>
      <c r="II160" s="150"/>
      <c r="IJ160" s="150"/>
      <c r="IK160" s="150"/>
      <c r="IL160" s="150"/>
      <c r="IM160" s="150"/>
      <c r="IN160" s="150"/>
      <c r="IO160" s="150"/>
      <c r="IP160" s="150"/>
      <c r="IQ160" s="150"/>
      <c r="IR160" s="150"/>
      <c r="IS160" s="150"/>
      <c r="IT160" s="150"/>
      <c r="IU160" s="150"/>
      <c r="IV160" s="150"/>
      <c r="IW160" s="150"/>
      <c r="IX160" s="150"/>
      <c r="IY160" s="150"/>
      <c r="IZ160" s="150"/>
      <c r="JA160" s="150"/>
      <c r="JB160" s="150"/>
      <c r="JC160" s="150"/>
      <c r="JD160" s="150"/>
      <c r="JE160" s="150"/>
      <c r="JF160" s="150"/>
      <c r="JG160" s="150"/>
      <c r="JH160" s="150"/>
      <c r="JI160" s="150"/>
      <c r="JJ160" s="150"/>
      <c r="JK160" s="150"/>
      <c r="JL160" s="150"/>
      <c r="JM160" s="150"/>
      <c r="JN160" s="150"/>
      <c r="JO160" s="150"/>
      <c r="JP160" s="150"/>
      <c r="JQ160" s="150"/>
      <c r="JR160" s="150"/>
      <c r="JS160" s="150"/>
      <c r="JT160" s="150"/>
      <c r="JU160" s="150"/>
      <c r="JV160" s="150"/>
      <c r="JW160" s="150"/>
      <c r="JX160" s="150"/>
      <c r="JY160" s="150"/>
      <c r="JZ160" s="150"/>
      <c r="KA160" s="150"/>
      <c r="KB160" s="150"/>
      <c r="KC160" s="150"/>
      <c r="KD160" s="150"/>
      <c r="KE160" s="150"/>
      <c r="KF160" s="150"/>
      <c r="KG160" s="150"/>
      <c r="KH160" s="150"/>
      <c r="KI160" s="150"/>
      <c r="KJ160" s="150"/>
      <c r="KK160" s="150"/>
      <c r="KL160" s="150"/>
      <c r="KM160" s="150"/>
      <c r="KN160" s="150"/>
      <c r="KO160" s="150"/>
      <c r="KP160" s="150"/>
      <c r="KQ160" s="150"/>
      <c r="KR160" s="150"/>
      <c r="KS160" s="150"/>
      <c r="KT160" s="150"/>
      <c r="KU160" s="92"/>
    </row>
    <row r="161" spans="1:307" s="157" customFormat="1" x14ac:dyDescent="0.15">
      <c r="C161" s="92" t="s">
        <v>306</v>
      </c>
      <c r="D161" s="225"/>
      <c r="F161" s="150">
        <f t="shared" si="36"/>
        <v>0</v>
      </c>
      <c r="G161" s="150">
        <f t="shared" si="36"/>
        <v>0</v>
      </c>
      <c r="H161" s="150">
        <f t="shared" si="36"/>
        <v>8.8604590205172973E-3</v>
      </c>
      <c r="I161" s="150">
        <f t="shared" si="36"/>
        <v>7.741709484189876E-3</v>
      </c>
      <c r="J161" s="150">
        <f t="shared" si="36"/>
        <v>7.3086330979244638E-3</v>
      </c>
      <c r="K161" s="150">
        <f t="shared" si="36"/>
        <v>6.8887796134812617E-3</v>
      </c>
      <c r="L161" s="150">
        <f t="shared" si="36"/>
        <v>6.4800480138630075E-3</v>
      </c>
      <c r="M161" s="150">
        <f t="shared" si="36"/>
        <v>6.080447084920654E-3</v>
      </c>
      <c r="N161" s="150">
        <f t="shared" si="36"/>
        <v>5.2784622504491972E-3</v>
      </c>
      <c r="O161" s="150">
        <f t="shared" si="36"/>
        <v>3.6267065281159723E-3</v>
      </c>
      <c r="P161" s="150">
        <f t="shared" si="36"/>
        <v>3.2084774844329707E-2</v>
      </c>
      <c r="Q161" s="150">
        <f t="shared" si="36"/>
        <v>0</v>
      </c>
      <c r="R161" s="150">
        <f t="shared" si="36"/>
        <v>0</v>
      </c>
      <c r="S161" s="150">
        <f t="shared" si="36"/>
        <v>0</v>
      </c>
      <c r="T161" s="150">
        <f t="shared" si="36"/>
        <v>0</v>
      </c>
      <c r="U161" s="150">
        <f t="shared" si="36"/>
        <v>0</v>
      </c>
      <c r="V161" s="150">
        <f t="shared" si="36"/>
        <v>0</v>
      </c>
      <c r="W161" s="150">
        <f t="shared" si="36"/>
        <v>0</v>
      </c>
      <c r="X161" s="150">
        <f t="shared" si="36"/>
        <v>0</v>
      </c>
      <c r="Y161" s="150">
        <f t="shared" si="36"/>
        <v>0</v>
      </c>
      <c r="Z161" s="150">
        <f t="shared" si="36"/>
        <v>0</v>
      </c>
      <c r="AA161" s="150">
        <f t="shared" si="36"/>
        <v>0</v>
      </c>
      <c r="AB161" s="150">
        <f t="shared" si="36"/>
        <v>0</v>
      </c>
      <c r="AC161" s="150">
        <f t="shared" si="36"/>
        <v>0</v>
      </c>
      <c r="AD161" s="150">
        <f t="shared" si="36"/>
        <v>0</v>
      </c>
      <c r="AE161" s="150">
        <f t="shared" si="36"/>
        <v>0</v>
      </c>
      <c r="AF161" s="150">
        <f t="shared" si="36"/>
        <v>0</v>
      </c>
      <c r="AG161" s="150">
        <f t="shared" si="36"/>
        <v>0</v>
      </c>
      <c r="AH161" s="150">
        <f t="shared" si="36"/>
        <v>0</v>
      </c>
      <c r="AI161" s="150">
        <f t="shared" si="36"/>
        <v>0</v>
      </c>
      <c r="AJ161" s="150">
        <f t="shared" si="36"/>
        <v>0</v>
      </c>
      <c r="AK161" s="150">
        <f t="shared" si="36"/>
        <v>0</v>
      </c>
      <c r="AL161" s="150">
        <f t="shared" si="36"/>
        <v>0</v>
      </c>
      <c r="AM161" s="150">
        <f t="shared" si="36"/>
        <v>0</v>
      </c>
      <c r="AN161" s="150">
        <f t="shared" si="36"/>
        <v>0</v>
      </c>
      <c r="AO161" s="150">
        <f t="shared" si="36"/>
        <v>0</v>
      </c>
      <c r="AP161" s="150">
        <f t="shared" si="36"/>
        <v>0</v>
      </c>
      <c r="AQ161" s="150">
        <f t="shared" si="36"/>
        <v>0</v>
      </c>
      <c r="AR161" s="150">
        <f t="shared" si="36"/>
        <v>0</v>
      </c>
      <c r="AS161" s="150">
        <f t="shared" si="36"/>
        <v>0</v>
      </c>
      <c r="AT161" s="150">
        <f t="shared" si="36"/>
        <v>0</v>
      </c>
      <c r="AU161" s="150">
        <f t="shared" si="36"/>
        <v>0</v>
      </c>
      <c r="AV161" s="150">
        <f t="shared" si="36"/>
        <v>0</v>
      </c>
      <c r="AW161" s="150">
        <f t="shared" si="36"/>
        <v>0</v>
      </c>
      <c r="AX161" s="150">
        <f t="shared" si="36"/>
        <v>0</v>
      </c>
      <c r="AY161" s="150">
        <f t="shared" si="36"/>
        <v>0</v>
      </c>
      <c r="AZ161" s="150">
        <f t="shared" si="36"/>
        <v>0</v>
      </c>
      <c r="BA161" s="150">
        <f t="shared" si="36"/>
        <v>0</v>
      </c>
      <c r="BB161" s="150">
        <f t="shared" si="36"/>
        <v>0</v>
      </c>
      <c r="BC161" s="150">
        <f t="shared" si="36"/>
        <v>0</v>
      </c>
      <c r="BD161" s="150">
        <f t="shared" si="36"/>
        <v>0</v>
      </c>
      <c r="BE161" s="150">
        <f t="shared" si="36"/>
        <v>0</v>
      </c>
      <c r="BF161" s="150">
        <f t="shared" si="36"/>
        <v>0</v>
      </c>
      <c r="BG161" s="150">
        <f t="shared" si="36"/>
        <v>0</v>
      </c>
      <c r="BH161" s="150">
        <f t="shared" si="36"/>
        <v>0</v>
      </c>
      <c r="BI161" s="150">
        <f t="shared" si="36"/>
        <v>0</v>
      </c>
      <c r="BJ161" s="150">
        <f t="shared" si="36"/>
        <v>0</v>
      </c>
      <c r="BK161" s="150">
        <f t="shared" si="36"/>
        <v>0</v>
      </c>
      <c r="BL161" s="150">
        <f t="shared" si="36"/>
        <v>0</v>
      </c>
      <c r="BM161" s="150">
        <f t="shared" si="36"/>
        <v>0</v>
      </c>
      <c r="BN161" s="150"/>
      <c r="BO161" s="150"/>
      <c r="BP161" s="150"/>
      <c r="BQ161" s="150"/>
      <c r="BR161" s="150"/>
      <c r="BS161" s="150"/>
      <c r="BT161" s="150"/>
      <c r="BU161" s="150"/>
      <c r="BV161" s="150"/>
      <c r="BW161" s="150"/>
      <c r="BX161" s="150"/>
      <c r="BY161" s="150"/>
      <c r="BZ161" s="150"/>
      <c r="CA161" s="150"/>
      <c r="CB161" s="150"/>
      <c r="CC161" s="150"/>
      <c r="CD161" s="150"/>
      <c r="CE161" s="150"/>
      <c r="CF161" s="150"/>
      <c r="CG161" s="150"/>
      <c r="CH161" s="150"/>
      <c r="CI161" s="150"/>
      <c r="CJ161" s="150"/>
      <c r="CK161" s="150"/>
      <c r="CL161" s="150"/>
      <c r="CM161" s="150"/>
      <c r="CN161" s="150"/>
      <c r="CO161" s="150"/>
      <c r="CP161" s="150"/>
      <c r="CQ161" s="150"/>
      <c r="CR161" s="150"/>
      <c r="CS161" s="150"/>
      <c r="CT161" s="150"/>
      <c r="CU161" s="150"/>
      <c r="CV161" s="150"/>
      <c r="CW161" s="150"/>
      <c r="CX161" s="150"/>
      <c r="CY161" s="150"/>
      <c r="CZ161" s="150"/>
      <c r="DA161" s="150"/>
      <c r="DB161" s="150"/>
      <c r="DC161" s="150"/>
      <c r="DD161" s="150"/>
      <c r="DE161" s="150"/>
      <c r="DF161" s="150"/>
      <c r="DG161" s="150"/>
      <c r="DH161" s="150"/>
      <c r="DI161" s="150"/>
      <c r="DJ161" s="150"/>
      <c r="DK161" s="150"/>
      <c r="DL161" s="150"/>
      <c r="DM161" s="150"/>
      <c r="DN161" s="150"/>
      <c r="DO161" s="150"/>
      <c r="DP161" s="150"/>
      <c r="DQ161" s="150"/>
      <c r="DR161" s="150"/>
      <c r="DS161" s="150"/>
      <c r="DT161" s="150"/>
      <c r="DU161" s="150"/>
      <c r="DV161" s="150"/>
      <c r="DW161" s="150"/>
      <c r="DX161" s="150"/>
      <c r="DY161" s="150"/>
      <c r="DZ161" s="150"/>
      <c r="EA161" s="150"/>
      <c r="EB161" s="150"/>
      <c r="EC161" s="150"/>
      <c r="ED161" s="150"/>
      <c r="EE161" s="150"/>
      <c r="EF161" s="150"/>
      <c r="EG161" s="150"/>
      <c r="EH161" s="150"/>
      <c r="EI161" s="150"/>
      <c r="EJ161" s="150"/>
      <c r="EK161" s="150"/>
      <c r="EL161" s="150"/>
      <c r="EM161" s="150"/>
      <c r="EN161" s="150"/>
      <c r="EO161" s="150"/>
      <c r="EP161" s="150"/>
      <c r="EQ161" s="150"/>
      <c r="ER161" s="150"/>
      <c r="ES161" s="150"/>
      <c r="ET161" s="150"/>
      <c r="EU161" s="150"/>
      <c r="EV161" s="150"/>
      <c r="EW161" s="150"/>
      <c r="EX161" s="150"/>
      <c r="EY161" s="150"/>
      <c r="EZ161" s="150"/>
      <c r="FA161" s="150"/>
      <c r="FB161" s="150"/>
      <c r="FC161" s="150"/>
      <c r="FD161" s="150"/>
      <c r="FE161" s="150"/>
      <c r="FF161" s="150"/>
      <c r="FG161" s="150"/>
      <c r="FH161" s="150"/>
      <c r="FI161" s="150"/>
      <c r="FJ161" s="150"/>
      <c r="FK161" s="150"/>
      <c r="FL161" s="150"/>
      <c r="FM161" s="150"/>
      <c r="FN161" s="150"/>
      <c r="FO161" s="150"/>
      <c r="FP161" s="150"/>
      <c r="FQ161" s="150"/>
      <c r="FR161" s="150"/>
      <c r="FS161" s="150"/>
      <c r="FT161" s="150"/>
      <c r="FU161" s="150"/>
      <c r="FV161" s="150"/>
      <c r="FW161" s="150"/>
      <c r="FX161" s="150"/>
      <c r="FY161" s="150"/>
      <c r="FZ161" s="150"/>
      <c r="GA161" s="150"/>
      <c r="GB161" s="150"/>
      <c r="GC161" s="150"/>
      <c r="GD161" s="150"/>
      <c r="GE161" s="150"/>
      <c r="GF161" s="150"/>
      <c r="GG161" s="150"/>
      <c r="GH161" s="150"/>
      <c r="GI161" s="150"/>
      <c r="GJ161" s="150"/>
      <c r="GK161" s="150"/>
      <c r="GL161" s="150"/>
      <c r="GM161" s="150"/>
      <c r="GN161" s="150"/>
      <c r="GO161" s="150"/>
      <c r="GP161" s="150"/>
      <c r="GQ161" s="150"/>
      <c r="GR161" s="150"/>
      <c r="GS161" s="150"/>
      <c r="GT161" s="150"/>
      <c r="GU161" s="150"/>
      <c r="GV161" s="150"/>
      <c r="GW161" s="150"/>
      <c r="GX161" s="150"/>
      <c r="GY161" s="150"/>
      <c r="GZ161" s="150"/>
      <c r="HA161" s="150"/>
      <c r="HB161" s="150"/>
      <c r="HC161" s="150"/>
      <c r="HD161" s="150"/>
      <c r="HE161" s="150"/>
      <c r="HF161" s="150"/>
      <c r="HG161" s="150"/>
      <c r="HH161" s="150"/>
      <c r="HI161" s="150"/>
      <c r="HJ161" s="150"/>
      <c r="HK161" s="150"/>
      <c r="HL161" s="150"/>
      <c r="HM161" s="150"/>
      <c r="HN161" s="150"/>
      <c r="HO161" s="150"/>
      <c r="HP161" s="150"/>
      <c r="HQ161" s="150"/>
      <c r="HR161" s="150"/>
      <c r="HS161" s="150"/>
      <c r="HT161" s="150"/>
      <c r="HU161" s="150"/>
      <c r="HV161" s="150"/>
      <c r="HW161" s="150"/>
      <c r="HX161" s="150"/>
      <c r="HY161" s="150"/>
      <c r="HZ161" s="150"/>
      <c r="IA161" s="150"/>
      <c r="IB161" s="150"/>
      <c r="IC161" s="150"/>
      <c r="ID161" s="150"/>
      <c r="IE161" s="150"/>
      <c r="IF161" s="150"/>
      <c r="IG161" s="150"/>
      <c r="IH161" s="150"/>
      <c r="II161" s="150"/>
      <c r="IJ161" s="150"/>
      <c r="IK161" s="150"/>
      <c r="IL161" s="150"/>
      <c r="IM161" s="150"/>
      <c r="IN161" s="150"/>
      <c r="IO161" s="150"/>
      <c r="IP161" s="150"/>
      <c r="IQ161" s="150"/>
      <c r="IR161" s="150"/>
      <c r="IS161" s="150"/>
      <c r="IT161" s="150"/>
      <c r="IU161" s="150"/>
      <c r="IV161" s="150"/>
      <c r="IW161" s="150"/>
      <c r="IX161" s="150"/>
      <c r="IY161" s="150"/>
      <c r="IZ161" s="150"/>
      <c r="JA161" s="150"/>
      <c r="JB161" s="150"/>
      <c r="JC161" s="150"/>
      <c r="JD161" s="150"/>
      <c r="JE161" s="150"/>
      <c r="JF161" s="150"/>
      <c r="JG161" s="150"/>
      <c r="JH161" s="150"/>
      <c r="JI161" s="150"/>
      <c r="JJ161" s="150"/>
      <c r="JK161" s="150"/>
      <c r="JL161" s="150"/>
      <c r="JM161" s="150"/>
      <c r="JN161" s="150"/>
      <c r="JO161" s="150"/>
      <c r="JP161" s="150"/>
      <c r="JQ161" s="150"/>
      <c r="JR161" s="150"/>
      <c r="JS161" s="150"/>
      <c r="JT161" s="150"/>
      <c r="JU161" s="150"/>
      <c r="JV161" s="150"/>
      <c r="JW161" s="150"/>
      <c r="JX161" s="150"/>
      <c r="JY161" s="150"/>
      <c r="JZ161" s="150"/>
      <c r="KA161" s="150"/>
      <c r="KB161" s="150"/>
      <c r="KC161" s="150"/>
      <c r="KD161" s="150"/>
      <c r="KE161" s="150"/>
      <c r="KF161" s="150"/>
      <c r="KG161" s="150"/>
      <c r="KH161" s="150"/>
      <c r="KI161" s="150"/>
      <c r="KJ161" s="150"/>
      <c r="KK161" s="150"/>
      <c r="KL161" s="150"/>
      <c r="KM161" s="150"/>
      <c r="KN161" s="150"/>
      <c r="KO161" s="150"/>
      <c r="KP161" s="150"/>
      <c r="KQ161" s="150"/>
      <c r="KR161" s="150"/>
      <c r="KS161" s="150"/>
      <c r="KT161" s="150"/>
      <c r="KU161" s="92"/>
    </row>
    <row r="162" spans="1:307" s="157" customFormat="1" x14ac:dyDescent="0.15">
      <c r="C162" s="92" t="s">
        <v>308</v>
      </c>
      <c r="D162" s="225"/>
      <c r="F162" s="150">
        <f t="shared" si="36"/>
        <v>0</v>
      </c>
      <c r="G162" s="150">
        <f t="shared" si="36"/>
        <v>0</v>
      </c>
      <c r="H162" s="150">
        <f t="shared" si="36"/>
        <v>0</v>
      </c>
      <c r="I162" s="150">
        <f t="shared" si="36"/>
        <v>3.1335205944733775E-2</v>
      </c>
      <c r="J162" s="150">
        <f t="shared" si="36"/>
        <v>2.737872388886976E-2</v>
      </c>
      <c r="K162" s="150">
        <f t="shared" si="36"/>
        <v>2.584713983413808E-2</v>
      </c>
      <c r="L162" s="150">
        <f t="shared" si="36"/>
        <v>2.4362318859155036E-2</v>
      </c>
      <c r="M162" s="150">
        <f t="shared" si="36"/>
        <v>2.2916830671635521E-2</v>
      </c>
      <c r="N162" s="150">
        <f t="shared" si="36"/>
        <v>2.084535881069537E-2</v>
      </c>
      <c r="O162" s="150">
        <f t="shared" si="36"/>
        <v>1.8095945584692137E-2</v>
      </c>
      <c r="P162" s="150">
        <f t="shared" si="36"/>
        <v>1.2433296075736712E-2</v>
      </c>
      <c r="Q162" s="150">
        <f t="shared" si="36"/>
        <v>0.10999497810762594</v>
      </c>
      <c r="R162" s="150">
        <f t="shared" si="36"/>
        <v>0</v>
      </c>
      <c r="S162" s="150">
        <f t="shared" si="36"/>
        <v>0</v>
      </c>
      <c r="T162" s="150">
        <f t="shared" si="36"/>
        <v>0</v>
      </c>
      <c r="U162" s="150">
        <f t="shared" ref="U162:BM166" si="37">IF(U$4&gt;$F$6,0,U23*$L104)</f>
        <v>0</v>
      </c>
      <c r="V162" s="150">
        <f t="shared" si="37"/>
        <v>0</v>
      </c>
      <c r="W162" s="150">
        <f t="shared" si="37"/>
        <v>0</v>
      </c>
      <c r="X162" s="150">
        <f t="shared" si="37"/>
        <v>0</v>
      </c>
      <c r="Y162" s="150">
        <f t="shared" si="37"/>
        <v>0</v>
      </c>
      <c r="Z162" s="150">
        <f t="shared" si="37"/>
        <v>0</v>
      </c>
      <c r="AA162" s="150">
        <f t="shared" si="37"/>
        <v>0</v>
      </c>
      <c r="AB162" s="150">
        <f t="shared" si="37"/>
        <v>0</v>
      </c>
      <c r="AC162" s="150">
        <f t="shared" si="37"/>
        <v>0</v>
      </c>
      <c r="AD162" s="150">
        <f t="shared" si="37"/>
        <v>0</v>
      </c>
      <c r="AE162" s="150">
        <f t="shared" si="37"/>
        <v>0</v>
      </c>
      <c r="AF162" s="150">
        <f t="shared" si="37"/>
        <v>0</v>
      </c>
      <c r="AG162" s="150">
        <f t="shared" si="37"/>
        <v>0</v>
      </c>
      <c r="AH162" s="150">
        <f t="shared" si="37"/>
        <v>0</v>
      </c>
      <c r="AI162" s="150">
        <f t="shared" si="37"/>
        <v>0</v>
      </c>
      <c r="AJ162" s="150">
        <f t="shared" si="37"/>
        <v>0</v>
      </c>
      <c r="AK162" s="150">
        <f t="shared" si="37"/>
        <v>0</v>
      </c>
      <c r="AL162" s="150">
        <f t="shared" si="37"/>
        <v>0</v>
      </c>
      <c r="AM162" s="150">
        <f t="shared" si="37"/>
        <v>0</v>
      </c>
      <c r="AN162" s="150">
        <f t="shared" si="37"/>
        <v>0</v>
      </c>
      <c r="AO162" s="150">
        <f t="shared" si="37"/>
        <v>0</v>
      </c>
      <c r="AP162" s="150">
        <f t="shared" si="37"/>
        <v>0</v>
      </c>
      <c r="AQ162" s="150">
        <f t="shared" si="37"/>
        <v>0</v>
      </c>
      <c r="AR162" s="150">
        <f t="shared" si="37"/>
        <v>0</v>
      </c>
      <c r="AS162" s="150">
        <f t="shared" si="37"/>
        <v>0</v>
      </c>
      <c r="AT162" s="150">
        <f t="shared" si="37"/>
        <v>0</v>
      </c>
      <c r="AU162" s="150">
        <f t="shared" si="37"/>
        <v>0</v>
      </c>
      <c r="AV162" s="150">
        <f t="shared" si="37"/>
        <v>0</v>
      </c>
      <c r="AW162" s="150">
        <f t="shared" si="37"/>
        <v>0</v>
      </c>
      <c r="AX162" s="150">
        <f t="shared" si="37"/>
        <v>0</v>
      </c>
      <c r="AY162" s="150">
        <f t="shared" si="37"/>
        <v>0</v>
      </c>
      <c r="AZ162" s="150">
        <f t="shared" si="37"/>
        <v>0</v>
      </c>
      <c r="BA162" s="150">
        <f t="shared" si="37"/>
        <v>0</v>
      </c>
      <c r="BB162" s="150">
        <f t="shared" si="37"/>
        <v>0</v>
      </c>
      <c r="BC162" s="150">
        <f t="shared" si="37"/>
        <v>0</v>
      </c>
      <c r="BD162" s="150">
        <f t="shared" si="37"/>
        <v>0</v>
      </c>
      <c r="BE162" s="150">
        <f t="shared" si="37"/>
        <v>0</v>
      </c>
      <c r="BF162" s="150">
        <f t="shared" si="37"/>
        <v>0</v>
      </c>
      <c r="BG162" s="150">
        <f t="shared" si="37"/>
        <v>0</v>
      </c>
      <c r="BH162" s="150">
        <f t="shared" si="37"/>
        <v>0</v>
      </c>
      <c r="BI162" s="150">
        <f t="shared" si="37"/>
        <v>0</v>
      </c>
      <c r="BJ162" s="150">
        <f t="shared" si="37"/>
        <v>0</v>
      </c>
      <c r="BK162" s="150">
        <f t="shared" si="37"/>
        <v>0</v>
      </c>
      <c r="BL162" s="150">
        <f t="shared" si="37"/>
        <v>0</v>
      </c>
      <c r="BM162" s="150">
        <f t="shared" si="37"/>
        <v>0</v>
      </c>
      <c r="BN162" s="150"/>
      <c r="BO162" s="150"/>
      <c r="BP162" s="150"/>
      <c r="BQ162" s="150"/>
      <c r="BR162" s="150"/>
      <c r="BS162" s="150"/>
      <c r="BT162" s="150"/>
      <c r="BU162" s="150"/>
      <c r="BV162" s="150"/>
      <c r="BW162" s="150"/>
      <c r="BX162" s="150"/>
      <c r="BY162" s="150"/>
      <c r="BZ162" s="150"/>
      <c r="CA162" s="150"/>
      <c r="CB162" s="150"/>
      <c r="CC162" s="150"/>
      <c r="CD162" s="150"/>
      <c r="CE162" s="150"/>
      <c r="CF162" s="150"/>
      <c r="CG162" s="150"/>
      <c r="CH162" s="150"/>
      <c r="CI162" s="150"/>
      <c r="CJ162" s="150"/>
      <c r="CK162" s="150"/>
      <c r="CL162" s="150"/>
      <c r="CM162" s="150"/>
      <c r="CN162" s="150"/>
      <c r="CO162" s="150"/>
      <c r="CP162" s="150"/>
      <c r="CQ162" s="150"/>
      <c r="CR162" s="150"/>
      <c r="CS162" s="150"/>
      <c r="CT162" s="150"/>
      <c r="CU162" s="150"/>
      <c r="CV162" s="150"/>
      <c r="CW162" s="150"/>
      <c r="CX162" s="150"/>
      <c r="CY162" s="150"/>
      <c r="CZ162" s="150"/>
      <c r="DA162" s="150"/>
      <c r="DB162" s="150"/>
      <c r="DC162" s="150"/>
      <c r="DD162" s="150"/>
      <c r="DE162" s="150"/>
      <c r="DF162" s="150"/>
      <c r="DG162" s="150"/>
      <c r="DH162" s="150"/>
      <c r="DI162" s="150"/>
      <c r="DJ162" s="150"/>
      <c r="DK162" s="150"/>
      <c r="DL162" s="150"/>
      <c r="DM162" s="150"/>
      <c r="DN162" s="150"/>
      <c r="DO162" s="150"/>
      <c r="DP162" s="150"/>
      <c r="DQ162" s="150"/>
      <c r="DR162" s="150"/>
      <c r="DS162" s="150"/>
      <c r="DT162" s="150"/>
      <c r="DU162" s="150"/>
      <c r="DV162" s="150"/>
      <c r="DW162" s="150"/>
      <c r="DX162" s="150"/>
      <c r="DY162" s="150"/>
      <c r="DZ162" s="150"/>
      <c r="EA162" s="150"/>
      <c r="EB162" s="150"/>
      <c r="EC162" s="150"/>
      <c r="ED162" s="150"/>
      <c r="EE162" s="150"/>
      <c r="EF162" s="150"/>
      <c r="EG162" s="150"/>
      <c r="EH162" s="150"/>
      <c r="EI162" s="150"/>
      <c r="EJ162" s="150"/>
      <c r="EK162" s="150"/>
      <c r="EL162" s="150"/>
      <c r="EM162" s="150"/>
      <c r="EN162" s="150"/>
      <c r="EO162" s="150"/>
      <c r="EP162" s="150"/>
      <c r="EQ162" s="150"/>
      <c r="ER162" s="150"/>
      <c r="ES162" s="150"/>
      <c r="ET162" s="150"/>
      <c r="EU162" s="150"/>
      <c r="EV162" s="150"/>
      <c r="EW162" s="150"/>
      <c r="EX162" s="150"/>
      <c r="EY162" s="150"/>
      <c r="EZ162" s="150"/>
      <c r="FA162" s="150"/>
      <c r="FB162" s="150"/>
      <c r="FC162" s="150"/>
      <c r="FD162" s="150"/>
      <c r="FE162" s="150"/>
      <c r="FF162" s="150"/>
      <c r="FG162" s="150"/>
      <c r="FH162" s="150"/>
      <c r="FI162" s="150"/>
      <c r="FJ162" s="150"/>
      <c r="FK162" s="150"/>
      <c r="FL162" s="150"/>
      <c r="FM162" s="150"/>
      <c r="FN162" s="150"/>
      <c r="FO162" s="150"/>
      <c r="FP162" s="150"/>
      <c r="FQ162" s="150"/>
      <c r="FR162" s="150"/>
      <c r="FS162" s="150"/>
      <c r="FT162" s="150"/>
      <c r="FU162" s="150"/>
      <c r="FV162" s="150"/>
      <c r="FW162" s="150"/>
      <c r="FX162" s="150"/>
      <c r="FY162" s="150"/>
      <c r="FZ162" s="150"/>
      <c r="GA162" s="150"/>
      <c r="GB162" s="150"/>
      <c r="GC162" s="150"/>
      <c r="GD162" s="150"/>
      <c r="GE162" s="150"/>
      <c r="GF162" s="150"/>
      <c r="GG162" s="150"/>
      <c r="GH162" s="150"/>
      <c r="GI162" s="150"/>
      <c r="GJ162" s="150"/>
      <c r="GK162" s="150"/>
      <c r="GL162" s="150"/>
      <c r="GM162" s="150"/>
      <c r="GN162" s="150"/>
      <c r="GO162" s="150"/>
      <c r="GP162" s="150"/>
      <c r="GQ162" s="150"/>
      <c r="GR162" s="150"/>
      <c r="GS162" s="150"/>
      <c r="GT162" s="150"/>
      <c r="GU162" s="150"/>
      <c r="GV162" s="150"/>
      <c r="GW162" s="150"/>
      <c r="GX162" s="150"/>
      <c r="GY162" s="150"/>
      <c r="GZ162" s="150"/>
      <c r="HA162" s="150"/>
      <c r="HB162" s="150"/>
      <c r="HC162" s="150"/>
      <c r="HD162" s="150"/>
      <c r="HE162" s="150"/>
      <c r="HF162" s="150"/>
      <c r="HG162" s="150"/>
      <c r="HH162" s="150"/>
      <c r="HI162" s="150"/>
      <c r="HJ162" s="150"/>
      <c r="HK162" s="150"/>
      <c r="HL162" s="150"/>
      <c r="HM162" s="150"/>
      <c r="HN162" s="150"/>
      <c r="HO162" s="150"/>
      <c r="HP162" s="150"/>
      <c r="HQ162" s="150"/>
      <c r="HR162" s="150"/>
      <c r="HS162" s="150"/>
      <c r="HT162" s="150"/>
      <c r="HU162" s="150"/>
      <c r="HV162" s="150"/>
      <c r="HW162" s="150"/>
      <c r="HX162" s="150"/>
      <c r="HY162" s="150"/>
      <c r="HZ162" s="150"/>
      <c r="IA162" s="150"/>
      <c r="IB162" s="150"/>
      <c r="IC162" s="150"/>
      <c r="ID162" s="150"/>
      <c r="IE162" s="150"/>
      <c r="IF162" s="150"/>
      <c r="IG162" s="150"/>
      <c r="IH162" s="150"/>
      <c r="II162" s="150"/>
      <c r="IJ162" s="150"/>
      <c r="IK162" s="150"/>
      <c r="IL162" s="150"/>
      <c r="IM162" s="150"/>
      <c r="IN162" s="150"/>
      <c r="IO162" s="150"/>
      <c r="IP162" s="150"/>
      <c r="IQ162" s="150"/>
      <c r="IR162" s="150"/>
      <c r="IS162" s="150"/>
      <c r="IT162" s="150"/>
      <c r="IU162" s="150"/>
      <c r="IV162" s="150"/>
      <c r="IW162" s="150"/>
      <c r="IX162" s="150"/>
      <c r="IY162" s="150"/>
      <c r="IZ162" s="150"/>
      <c r="JA162" s="150"/>
      <c r="JB162" s="150"/>
      <c r="JC162" s="150"/>
      <c r="JD162" s="150"/>
      <c r="JE162" s="150"/>
      <c r="JF162" s="150"/>
      <c r="JG162" s="150"/>
      <c r="JH162" s="150"/>
      <c r="JI162" s="150"/>
      <c r="JJ162" s="150"/>
      <c r="JK162" s="150"/>
      <c r="JL162" s="150"/>
      <c r="JM162" s="150"/>
      <c r="JN162" s="150"/>
      <c r="JO162" s="150"/>
      <c r="JP162" s="150"/>
      <c r="JQ162" s="150"/>
      <c r="JR162" s="150"/>
      <c r="JS162" s="150"/>
      <c r="JT162" s="150"/>
      <c r="JU162" s="150"/>
      <c r="JV162" s="150"/>
      <c r="JW162" s="150"/>
      <c r="JX162" s="150"/>
      <c r="JY162" s="150"/>
      <c r="JZ162" s="150"/>
      <c r="KA162" s="150"/>
      <c r="KB162" s="150"/>
      <c r="KC162" s="150"/>
      <c r="KD162" s="150"/>
      <c r="KE162" s="150"/>
      <c r="KF162" s="150"/>
      <c r="KG162" s="150"/>
      <c r="KH162" s="150"/>
      <c r="KI162" s="150"/>
      <c r="KJ162" s="150"/>
      <c r="KK162" s="150"/>
      <c r="KL162" s="150"/>
      <c r="KM162" s="150"/>
      <c r="KN162" s="150"/>
      <c r="KO162" s="150"/>
      <c r="KP162" s="150"/>
      <c r="KQ162" s="150"/>
      <c r="KR162" s="150"/>
      <c r="KS162" s="150"/>
      <c r="KT162" s="150"/>
      <c r="KU162" s="92"/>
    </row>
    <row r="163" spans="1:307" s="157" customFormat="1" x14ac:dyDescent="0.15">
      <c r="C163" s="92" t="s">
        <v>309</v>
      </c>
      <c r="D163" s="225"/>
      <c r="F163" s="150">
        <f t="shared" ref="F163:AK166" si="38">IF(F$4&gt;$F$6,0,F24*$L105)</f>
        <v>0</v>
      </c>
      <c r="G163" s="150">
        <f t="shared" si="38"/>
        <v>0</v>
      </c>
      <c r="H163" s="150">
        <f t="shared" si="38"/>
        <v>0</v>
      </c>
      <c r="I163" s="150">
        <f t="shared" si="38"/>
        <v>0</v>
      </c>
      <c r="J163" s="150">
        <f t="shared" si="38"/>
        <v>3.1021853885286436E-2</v>
      </c>
      <c r="K163" s="150">
        <f t="shared" si="38"/>
        <v>2.7104936649981065E-2</v>
      </c>
      <c r="L163" s="150">
        <f t="shared" si="38"/>
        <v>2.5588668435796699E-2</v>
      </c>
      <c r="M163" s="150">
        <f t="shared" si="38"/>
        <v>2.4118695670563486E-2</v>
      </c>
      <c r="N163" s="150">
        <f t="shared" si="38"/>
        <v>2.2687662364919169E-2</v>
      </c>
      <c r="O163" s="150">
        <f t="shared" si="38"/>
        <v>2.0636905222588417E-2</v>
      </c>
      <c r="P163" s="150">
        <f t="shared" si="38"/>
        <v>1.7914986128845213E-2</v>
      </c>
      <c r="Q163" s="150">
        <f t="shared" si="38"/>
        <v>1.2308963114979345E-2</v>
      </c>
      <c r="R163" s="150">
        <f t="shared" si="38"/>
        <v>0.10889502832654968</v>
      </c>
      <c r="S163" s="150">
        <f t="shared" si="38"/>
        <v>0</v>
      </c>
      <c r="T163" s="150">
        <f t="shared" si="38"/>
        <v>0</v>
      </c>
      <c r="U163" s="150">
        <f t="shared" si="38"/>
        <v>0</v>
      </c>
      <c r="V163" s="150">
        <f t="shared" si="38"/>
        <v>0</v>
      </c>
      <c r="W163" s="150">
        <f t="shared" si="38"/>
        <v>0</v>
      </c>
      <c r="X163" s="150">
        <f t="shared" si="38"/>
        <v>0</v>
      </c>
      <c r="Y163" s="150">
        <f t="shared" si="38"/>
        <v>0</v>
      </c>
      <c r="Z163" s="150">
        <f t="shared" si="38"/>
        <v>0</v>
      </c>
      <c r="AA163" s="150">
        <f t="shared" si="38"/>
        <v>0</v>
      </c>
      <c r="AB163" s="150">
        <f t="shared" si="38"/>
        <v>0</v>
      </c>
      <c r="AC163" s="150">
        <f t="shared" si="38"/>
        <v>0</v>
      </c>
      <c r="AD163" s="150">
        <f t="shared" si="38"/>
        <v>0</v>
      </c>
      <c r="AE163" s="150">
        <f t="shared" si="38"/>
        <v>0</v>
      </c>
      <c r="AF163" s="150">
        <f t="shared" si="38"/>
        <v>0</v>
      </c>
      <c r="AG163" s="150">
        <f t="shared" si="38"/>
        <v>0</v>
      </c>
      <c r="AH163" s="150">
        <f t="shared" si="38"/>
        <v>0</v>
      </c>
      <c r="AI163" s="150">
        <f t="shared" si="38"/>
        <v>0</v>
      </c>
      <c r="AJ163" s="150">
        <f t="shared" si="38"/>
        <v>0</v>
      </c>
      <c r="AK163" s="150">
        <f t="shared" si="38"/>
        <v>0</v>
      </c>
      <c r="AL163" s="150">
        <f t="shared" si="37"/>
        <v>0</v>
      </c>
      <c r="AM163" s="150">
        <f t="shared" si="37"/>
        <v>0</v>
      </c>
      <c r="AN163" s="150">
        <f t="shared" si="37"/>
        <v>0</v>
      </c>
      <c r="AO163" s="150">
        <f t="shared" si="37"/>
        <v>0</v>
      </c>
      <c r="AP163" s="150">
        <f t="shared" si="37"/>
        <v>0</v>
      </c>
      <c r="AQ163" s="150">
        <f t="shared" si="37"/>
        <v>0</v>
      </c>
      <c r="AR163" s="150">
        <f t="shared" si="37"/>
        <v>0</v>
      </c>
      <c r="AS163" s="150">
        <f t="shared" si="37"/>
        <v>0</v>
      </c>
      <c r="AT163" s="150">
        <f t="shared" si="37"/>
        <v>0</v>
      </c>
      <c r="AU163" s="150">
        <f t="shared" si="37"/>
        <v>0</v>
      </c>
      <c r="AV163" s="150">
        <f t="shared" si="37"/>
        <v>0</v>
      </c>
      <c r="AW163" s="150">
        <f t="shared" si="37"/>
        <v>0</v>
      </c>
      <c r="AX163" s="150">
        <f t="shared" si="37"/>
        <v>0</v>
      </c>
      <c r="AY163" s="150">
        <f t="shared" si="37"/>
        <v>0</v>
      </c>
      <c r="AZ163" s="150">
        <f t="shared" si="37"/>
        <v>0</v>
      </c>
      <c r="BA163" s="150">
        <f t="shared" si="37"/>
        <v>0</v>
      </c>
      <c r="BB163" s="150">
        <f t="shared" si="37"/>
        <v>0</v>
      </c>
      <c r="BC163" s="150">
        <f t="shared" si="37"/>
        <v>0</v>
      </c>
      <c r="BD163" s="150">
        <f t="shared" si="37"/>
        <v>0</v>
      </c>
      <c r="BE163" s="150">
        <f t="shared" si="37"/>
        <v>0</v>
      </c>
      <c r="BF163" s="150">
        <f t="shared" si="37"/>
        <v>0</v>
      </c>
      <c r="BG163" s="150">
        <f t="shared" si="37"/>
        <v>0</v>
      </c>
      <c r="BH163" s="150">
        <f t="shared" si="37"/>
        <v>0</v>
      </c>
      <c r="BI163" s="150">
        <f t="shared" si="37"/>
        <v>0</v>
      </c>
      <c r="BJ163" s="150">
        <f t="shared" si="37"/>
        <v>0</v>
      </c>
      <c r="BK163" s="150">
        <f t="shared" si="37"/>
        <v>0</v>
      </c>
      <c r="BL163" s="150">
        <f t="shared" si="37"/>
        <v>0</v>
      </c>
      <c r="BM163" s="150">
        <f t="shared" si="37"/>
        <v>0</v>
      </c>
      <c r="BN163" s="150"/>
      <c r="BO163" s="150"/>
      <c r="BP163" s="150"/>
      <c r="BQ163" s="150"/>
      <c r="BR163" s="150"/>
      <c r="BS163" s="150"/>
      <c r="BT163" s="150"/>
      <c r="BU163" s="150"/>
      <c r="BV163" s="150"/>
      <c r="BW163" s="150"/>
      <c r="BX163" s="150"/>
      <c r="BY163" s="150"/>
      <c r="BZ163" s="150"/>
      <c r="CA163" s="150"/>
      <c r="CB163" s="150"/>
      <c r="CC163" s="150"/>
      <c r="CD163" s="150"/>
      <c r="CE163" s="150"/>
      <c r="CF163" s="150"/>
      <c r="CG163" s="150"/>
      <c r="CH163" s="150"/>
      <c r="CI163" s="150"/>
      <c r="CJ163" s="150"/>
      <c r="CK163" s="150"/>
      <c r="CL163" s="150"/>
      <c r="CM163" s="150"/>
      <c r="CN163" s="150"/>
      <c r="CO163" s="150"/>
      <c r="CP163" s="150"/>
      <c r="CQ163" s="150"/>
      <c r="CR163" s="150"/>
      <c r="CS163" s="150"/>
      <c r="CT163" s="150"/>
      <c r="CU163" s="150"/>
      <c r="CV163" s="150"/>
      <c r="CW163" s="150"/>
      <c r="CX163" s="150"/>
      <c r="CY163" s="150"/>
      <c r="CZ163" s="150"/>
      <c r="DA163" s="150"/>
      <c r="DB163" s="150"/>
      <c r="DC163" s="150"/>
      <c r="DD163" s="150"/>
      <c r="DE163" s="150"/>
      <c r="DF163" s="150"/>
      <c r="DG163" s="150"/>
      <c r="DH163" s="150"/>
      <c r="DI163" s="150"/>
      <c r="DJ163" s="150"/>
      <c r="DK163" s="150"/>
      <c r="DL163" s="150"/>
      <c r="DM163" s="150"/>
      <c r="DN163" s="150"/>
      <c r="DO163" s="150"/>
      <c r="DP163" s="150"/>
      <c r="DQ163" s="150"/>
      <c r="DR163" s="150"/>
      <c r="DS163" s="150"/>
      <c r="DT163" s="150"/>
      <c r="DU163" s="150"/>
      <c r="DV163" s="150"/>
      <c r="DW163" s="150"/>
      <c r="DX163" s="150"/>
      <c r="DY163" s="150"/>
      <c r="DZ163" s="150"/>
      <c r="EA163" s="150"/>
      <c r="EB163" s="150"/>
      <c r="EC163" s="150"/>
      <c r="ED163" s="150"/>
      <c r="EE163" s="150"/>
      <c r="EF163" s="150"/>
      <c r="EG163" s="150"/>
      <c r="EH163" s="150"/>
      <c r="EI163" s="150"/>
      <c r="EJ163" s="150"/>
      <c r="EK163" s="150"/>
      <c r="EL163" s="150"/>
      <c r="EM163" s="150"/>
      <c r="EN163" s="150"/>
      <c r="EO163" s="150"/>
      <c r="EP163" s="150"/>
      <c r="EQ163" s="150"/>
      <c r="ER163" s="150"/>
      <c r="ES163" s="150"/>
      <c r="ET163" s="150"/>
      <c r="EU163" s="150"/>
      <c r="EV163" s="150"/>
      <c r="EW163" s="150"/>
      <c r="EX163" s="150"/>
      <c r="EY163" s="150"/>
      <c r="EZ163" s="150"/>
      <c r="FA163" s="150"/>
      <c r="FB163" s="150"/>
      <c r="FC163" s="150"/>
      <c r="FD163" s="150"/>
      <c r="FE163" s="150"/>
      <c r="FF163" s="150"/>
      <c r="FG163" s="150"/>
      <c r="FH163" s="150"/>
      <c r="FI163" s="150"/>
      <c r="FJ163" s="150"/>
      <c r="FK163" s="150"/>
      <c r="FL163" s="150"/>
      <c r="FM163" s="150"/>
      <c r="FN163" s="150"/>
      <c r="FO163" s="150"/>
      <c r="FP163" s="150"/>
      <c r="FQ163" s="150"/>
      <c r="FR163" s="150"/>
      <c r="FS163" s="150"/>
      <c r="FT163" s="150"/>
      <c r="FU163" s="150"/>
      <c r="FV163" s="150"/>
      <c r="FW163" s="150"/>
      <c r="FX163" s="150"/>
      <c r="FY163" s="150"/>
      <c r="FZ163" s="150"/>
      <c r="GA163" s="150"/>
      <c r="GB163" s="150"/>
      <c r="GC163" s="150"/>
      <c r="GD163" s="150"/>
      <c r="GE163" s="150"/>
      <c r="GF163" s="150"/>
      <c r="GG163" s="150"/>
      <c r="GH163" s="150"/>
      <c r="GI163" s="150"/>
      <c r="GJ163" s="150"/>
      <c r="GK163" s="150"/>
      <c r="GL163" s="150"/>
      <c r="GM163" s="150"/>
      <c r="GN163" s="150"/>
      <c r="GO163" s="150"/>
      <c r="GP163" s="150"/>
      <c r="GQ163" s="150"/>
      <c r="GR163" s="150"/>
      <c r="GS163" s="150"/>
      <c r="GT163" s="150"/>
      <c r="GU163" s="150"/>
      <c r="GV163" s="150"/>
      <c r="GW163" s="150"/>
      <c r="GX163" s="150"/>
      <c r="GY163" s="150"/>
      <c r="GZ163" s="150"/>
      <c r="HA163" s="150"/>
      <c r="HB163" s="150"/>
      <c r="HC163" s="150"/>
      <c r="HD163" s="150"/>
      <c r="HE163" s="150"/>
      <c r="HF163" s="150"/>
      <c r="HG163" s="150"/>
      <c r="HH163" s="150"/>
      <c r="HI163" s="150"/>
      <c r="HJ163" s="150"/>
      <c r="HK163" s="150"/>
      <c r="HL163" s="150"/>
      <c r="HM163" s="150"/>
      <c r="HN163" s="150"/>
      <c r="HO163" s="150"/>
      <c r="HP163" s="150"/>
      <c r="HQ163" s="150"/>
      <c r="HR163" s="150"/>
      <c r="HS163" s="150"/>
      <c r="HT163" s="150"/>
      <c r="HU163" s="150"/>
      <c r="HV163" s="150"/>
      <c r="HW163" s="150"/>
      <c r="HX163" s="150"/>
      <c r="HY163" s="150"/>
      <c r="HZ163" s="150"/>
      <c r="IA163" s="150"/>
      <c r="IB163" s="150"/>
      <c r="IC163" s="150"/>
      <c r="ID163" s="150"/>
      <c r="IE163" s="150"/>
      <c r="IF163" s="150"/>
      <c r="IG163" s="150"/>
      <c r="IH163" s="150"/>
      <c r="II163" s="150"/>
      <c r="IJ163" s="150"/>
      <c r="IK163" s="150"/>
      <c r="IL163" s="150"/>
      <c r="IM163" s="150"/>
      <c r="IN163" s="150"/>
      <c r="IO163" s="150"/>
      <c r="IP163" s="150"/>
      <c r="IQ163" s="150"/>
      <c r="IR163" s="150"/>
      <c r="IS163" s="150"/>
      <c r="IT163" s="150"/>
      <c r="IU163" s="150"/>
      <c r="IV163" s="150"/>
      <c r="IW163" s="150"/>
      <c r="IX163" s="150"/>
      <c r="IY163" s="150"/>
      <c r="IZ163" s="150"/>
      <c r="JA163" s="150"/>
      <c r="JB163" s="150"/>
      <c r="JC163" s="150"/>
      <c r="JD163" s="150"/>
      <c r="JE163" s="150"/>
      <c r="JF163" s="150"/>
      <c r="JG163" s="150"/>
      <c r="JH163" s="150"/>
      <c r="JI163" s="150"/>
      <c r="JJ163" s="150"/>
      <c r="JK163" s="150"/>
      <c r="JL163" s="150"/>
      <c r="JM163" s="150"/>
      <c r="JN163" s="150"/>
      <c r="JO163" s="150"/>
      <c r="JP163" s="150"/>
      <c r="JQ163" s="150"/>
      <c r="JR163" s="150"/>
      <c r="JS163" s="150"/>
      <c r="JT163" s="150"/>
      <c r="JU163" s="150"/>
      <c r="JV163" s="150"/>
      <c r="JW163" s="150"/>
      <c r="JX163" s="150"/>
      <c r="JY163" s="150"/>
      <c r="JZ163" s="150"/>
      <c r="KA163" s="150"/>
      <c r="KB163" s="150"/>
      <c r="KC163" s="150"/>
      <c r="KD163" s="150"/>
      <c r="KE163" s="150"/>
      <c r="KF163" s="150"/>
      <c r="KG163" s="150"/>
      <c r="KH163" s="150"/>
      <c r="KI163" s="150"/>
      <c r="KJ163" s="150"/>
      <c r="KK163" s="150"/>
      <c r="KL163" s="150"/>
      <c r="KM163" s="150"/>
      <c r="KN163" s="150"/>
      <c r="KO163" s="150"/>
      <c r="KP163" s="150"/>
      <c r="KQ163" s="150"/>
      <c r="KR163" s="150"/>
      <c r="KS163" s="150"/>
      <c r="KT163" s="150"/>
      <c r="KU163" s="92"/>
    </row>
    <row r="164" spans="1:307" s="157" customFormat="1" x14ac:dyDescent="0.15">
      <c r="C164" s="92" t="s">
        <v>310</v>
      </c>
      <c r="D164" s="225"/>
      <c r="F164" s="150">
        <f t="shared" si="38"/>
        <v>0</v>
      </c>
      <c r="G164" s="150">
        <f t="shared" si="38"/>
        <v>0</v>
      </c>
      <c r="H164" s="150">
        <f t="shared" si="38"/>
        <v>0</v>
      </c>
      <c r="I164" s="150">
        <f t="shared" si="38"/>
        <v>0</v>
      </c>
      <c r="J164" s="150">
        <f t="shared" si="38"/>
        <v>0</v>
      </c>
      <c r="K164" s="150">
        <f t="shared" si="38"/>
        <v>3.0866744615860003E-2</v>
      </c>
      <c r="L164" s="150">
        <f t="shared" si="38"/>
        <v>2.6969411966731159E-2</v>
      </c>
      <c r="M164" s="150">
        <f t="shared" si="38"/>
        <v>2.5460725093617714E-2</v>
      </c>
      <c r="N164" s="150">
        <f t="shared" si="38"/>
        <v>2.3998102192210668E-2</v>
      </c>
      <c r="O164" s="150">
        <f t="shared" si="38"/>
        <v>2.2574224053094574E-2</v>
      </c>
      <c r="P164" s="150">
        <f t="shared" si="38"/>
        <v>2.0533720696475476E-2</v>
      </c>
      <c r="Q164" s="150">
        <f t="shared" si="38"/>
        <v>1.782541119820099E-2</v>
      </c>
      <c r="R164" s="150">
        <f t="shared" si="38"/>
        <v>1.2247418299404449E-2</v>
      </c>
      <c r="S164" s="150">
        <f t="shared" si="38"/>
        <v>0.10835055318491693</v>
      </c>
      <c r="T164" s="150">
        <f t="shared" si="38"/>
        <v>0</v>
      </c>
      <c r="U164" s="150">
        <f t="shared" si="38"/>
        <v>0</v>
      </c>
      <c r="V164" s="150">
        <f t="shared" si="38"/>
        <v>0</v>
      </c>
      <c r="W164" s="150">
        <f t="shared" si="38"/>
        <v>0</v>
      </c>
      <c r="X164" s="150">
        <f t="shared" si="38"/>
        <v>0</v>
      </c>
      <c r="Y164" s="150">
        <f t="shared" si="38"/>
        <v>0</v>
      </c>
      <c r="Z164" s="150">
        <f t="shared" si="38"/>
        <v>0</v>
      </c>
      <c r="AA164" s="150">
        <f t="shared" si="38"/>
        <v>0</v>
      </c>
      <c r="AB164" s="150">
        <f t="shared" si="38"/>
        <v>0</v>
      </c>
      <c r="AC164" s="150">
        <f t="shared" si="38"/>
        <v>0</v>
      </c>
      <c r="AD164" s="150">
        <f t="shared" si="38"/>
        <v>0</v>
      </c>
      <c r="AE164" s="150">
        <f t="shared" si="38"/>
        <v>0</v>
      </c>
      <c r="AF164" s="150">
        <f t="shared" si="38"/>
        <v>0</v>
      </c>
      <c r="AG164" s="150">
        <f t="shared" si="38"/>
        <v>0</v>
      </c>
      <c r="AH164" s="150">
        <f t="shared" si="38"/>
        <v>0</v>
      </c>
      <c r="AI164" s="150">
        <f t="shared" si="38"/>
        <v>0</v>
      </c>
      <c r="AJ164" s="150">
        <f t="shared" si="38"/>
        <v>0</v>
      </c>
      <c r="AK164" s="150">
        <f t="shared" si="38"/>
        <v>0</v>
      </c>
      <c r="AL164" s="150">
        <f t="shared" si="37"/>
        <v>0</v>
      </c>
      <c r="AM164" s="150">
        <f t="shared" si="37"/>
        <v>0</v>
      </c>
      <c r="AN164" s="150">
        <f t="shared" si="37"/>
        <v>0</v>
      </c>
      <c r="AO164" s="150">
        <f t="shared" si="37"/>
        <v>0</v>
      </c>
      <c r="AP164" s="150">
        <f t="shared" si="37"/>
        <v>0</v>
      </c>
      <c r="AQ164" s="150">
        <f t="shared" si="37"/>
        <v>0</v>
      </c>
      <c r="AR164" s="150">
        <f t="shared" si="37"/>
        <v>0</v>
      </c>
      <c r="AS164" s="150">
        <f t="shared" si="37"/>
        <v>0</v>
      </c>
      <c r="AT164" s="150">
        <f t="shared" si="37"/>
        <v>0</v>
      </c>
      <c r="AU164" s="150">
        <f t="shared" si="37"/>
        <v>0</v>
      </c>
      <c r="AV164" s="150">
        <f t="shared" si="37"/>
        <v>0</v>
      </c>
      <c r="AW164" s="150">
        <f t="shared" si="37"/>
        <v>0</v>
      </c>
      <c r="AX164" s="150">
        <f t="shared" si="37"/>
        <v>0</v>
      </c>
      <c r="AY164" s="150">
        <f t="shared" si="37"/>
        <v>0</v>
      </c>
      <c r="AZ164" s="150">
        <f t="shared" si="37"/>
        <v>0</v>
      </c>
      <c r="BA164" s="150">
        <f t="shared" si="37"/>
        <v>0</v>
      </c>
      <c r="BB164" s="150">
        <f t="shared" si="37"/>
        <v>0</v>
      </c>
      <c r="BC164" s="150">
        <f t="shared" si="37"/>
        <v>0</v>
      </c>
      <c r="BD164" s="150">
        <f t="shared" si="37"/>
        <v>0</v>
      </c>
      <c r="BE164" s="150">
        <f t="shared" si="37"/>
        <v>0</v>
      </c>
      <c r="BF164" s="150">
        <f t="shared" si="37"/>
        <v>0</v>
      </c>
      <c r="BG164" s="150">
        <f t="shared" si="37"/>
        <v>0</v>
      </c>
      <c r="BH164" s="150">
        <f t="shared" si="37"/>
        <v>0</v>
      </c>
      <c r="BI164" s="150">
        <f t="shared" si="37"/>
        <v>0</v>
      </c>
      <c r="BJ164" s="150">
        <f t="shared" si="37"/>
        <v>0</v>
      </c>
      <c r="BK164" s="150">
        <f t="shared" si="37"/>
        <v>0</v>
      </c>
      <c r="BL164" s="150">
        <f t="shared" si="37"/>
        <v>0</v>
      </c>
      <c r="BM164" s="150">
        <f t="shared" si="37"/>
        <v>0</v>
      </c>
      <c r="BN164" s="150"/>
      <c r="BO164" s="150"/>
      <c r="BP164" s="150"/>
      <c r="BQ164" s="150"/>
      <c r="BR164" s="150"/>
      <c r="BS164" s="150"/>
      <c r="BT164" s="150"/>
      <c r="BU164" s="150"/>
      <c r="BV164" s="150"/>
      <c r="BW164" s="150"/>
      <c r="BX164" s="150"/>
      <c r="BY164" s="150"/>
      <c r="BZ164" s="150"/>
      <c r="CA164" s="150"/>
      <c r="CB164" s="150"/>
      <c r="CC164" s="150"/>
      <c r="CD164" s="150"/>
      <c r="CE164" s="150"/>
      <c r="CF164" s="150"/>
      <c r="CG164" s="150"/>
      <c r="CH164" s="150"/>
      <c r="CI164" s="150"/>
      <c r="CJ164" s="150"/>
      <c r="CK164" s="150"/>
      <c r="CL164" s="150"/>
      <c r="CM164" s="150"/>
      <c r="CN164" s="150"/>
      <c r="CO164" s="150"/>
      <c r="CP164" s="150"/>
      <c r="CQ164" s="150"/>
      <c r="CR164" s="150"/>
      <c r="CS164" s="150"/>
      <c r="CT164" s="150"/>
      <c r="CU164" s="150"/>
      <c r="CV164" s="150"/>
      <c r="CW164" s="150"/>
      <c r="CX164" s="150"/>
      <c r="CY164" s="150"/>
      <c r="CZ164" s="150"/>
      <c r="DA164" s="150"/>
      <c r="DB164" s="150"/>
      <c r="DC164" s="150"/>
      <c r="DD164" s="150"/>
      <c r="DE164" s="150"/>
      <c r="DF164" s="150"/>
      <c r="DG164" s="150"/>
      <c r="DH164" s="150"/>
      <c r="DI164" s="150"/>
      <c r="DJ164" s="150"/>
      <c r="DK164" s="150"/>
      <c r="DL164" s="150"/>
      <c r="DM164" s="150"/>
      <c r="DN164" s="150"/>
      <c r="DO164" s="150"/>
      <c r="DP164" s="150"/>
      <c r="DQ164" s="150"/>
      <c r="DR164" s="150"/>
      <c r="DS164" s="150"/>
      <c r="DT164" s="150"/>
      <c r="DU164" s="150"/>
      <c r="DV164" s="150"/>
      <c r="DW164" s="150"/>
      <c r="DX164" s="150"/>
      <c r="DY164" s="150"/>
      <c r="DZ164" s="150"/>
      <c r="EA164" s="150"/>
      <c r="EB164" s="150"/>
      <c r="EC164" s="150"/>
      <c r="ED164" s="150"/>
      <c r="EE164" s="150"/>
      <c r="EF164" s="150"/>
      <c r="EG164" s="150"/>
      <c r="EH164" s="150"/>
      <c r="EI164" s="150"/>
      <c r="EJ164" s="150"/>
      <c r="EK164" s="150"/>
      <c r="EL164" s="150"/>
      <c r="EM164" s="150"/>
      <c r="EN164" s="150"/>
      <c r="EO164" s="150"/>
      <c r="EP164" s="150"/>
      <c r="EQ164" s="150"/>
      <c r="ER164" s="150"/>
      <c r="ES164" s="150"/>
      <c r="ET164" s="150"/>
      <c r="EU164" s="150"/>
      <c r="EV164" s="150"/>
      <c r="EW164" s="150"/>
      <c r="EX164" s="150"/>
      <c r="EY164" s="150"/>
      <c r="EZ164" s="150"/>
      <c r="FA164" s="150"/>
      <c r="FB164" s="150"/>
      <c r="FC164" s="150"/>
      <c r="FD164" s="150"/>
      <c r="FE164" s="150"/>
      <c r="FF164" s="150"/>
      <c r="FG164" s="150"/>
      <c r="FH164" s="150"/>
      <c r="FI164" s="150"/>
      <c r="FJ164" s="150"/>
      <c r="FK164" s="150"/>
      <c r="FL164" s="150"/>
      <c r="FM164" s="150"/>
      <c r="FN164" s="150"/>
      <c r="FO164" s="150"/>
      <c r="FP164" s="150"/>
      <c r="FQ164" s="150"/>
      <c r="FR164" s="150"/>
      <c r="FS164" s="150"/>
      <c r="FT164" s="150"/>
      <c r="FU164" s="150"/>
      <c r="FV164" s="150"/>
      <c r="FW164" s="150"/>
      <c r="FX164" s="150"/>
      <c r="FY164" s="150"/>
      <c r="FZ164" s="150"/>
      <c r="GA164" s="150"/>
      <c r="GB164" s="150"/>
      <c r="GC164" s="150"/>
      <c r="GD164" s="150"/>
      <c r="GE164" s="150"/>
      <c r="GF164" s="150"/>
      <c r="GG164" s="150"/>
      <c r="GH164" s="150"/>
      <c r="GI164" s="150"/>
      <c r="GJ164" s="150"/>
      <c r="GK164" s="150"/>
      <c r="GL164" s="150"/>
      <c r="GM164" s="150"/>
      <c r="GN164" s="150"/>
      <c r="GO164" s="150"/>
      <c r="GP164" s="150"/>
      <c r="GQ164" s="150"/>
      <c r="GR164" s="150"/>
      <c r="GS164" s="150"/>
      <c r="GT164" s="150"/>
      <c r="GU164" s="150"/>
      <c r="GV164" s="150"/>
      <c r="GW164" s="150"/>
      <c r="GX164" s="150"/>
      <c r="GY164" s="150"/>
      <c r="GZ164" s="150"/>
      <c r="HA164" s="150"/>
      <c r="HB164" s="150"/>
      <c r="HC164" s="150"/>
      <c r="HD164" s="150"/>
      <c r="HE164" s="150"/>
      <c r="HF164" s="150"/>
      <c r="HG164" s="150"/>
      <c r="HH164" s="150"/>
      <c r="HI164" s="150"/>
      <c r="HJ164" s="150"/>
      <c r="HK164" s="150"/>
      <c r="HL164" s="150"/>
      <c r="HM164" s="150"/>
      <c r="HN164" s="150"/>
      <c r="HO164" s="150"/>
      <c r="HP164" s="150"/>
      <c r="HQ164" s="150"/>
      <c r="HR164" s="150"/>
      <c r="HS164" s="150"/>
      <c r="HT164" s="150"/>
      <c r="HU164" s="150"/>
      <c r="HV164" s="150"/>
      <c r="HW164" s="150"/>
      <c r="HX164" s="150"/>
      <c r="HY164" s="150"/>
      <c r="HZ164" s="150"/>
      <c r="IA164" s="150"/>
      <c r="IB164" s="150"/>
      <c r="IC164" s="150"/>
      <c r="ID164" s="150"/>
      <c r="IE164" s="150"/>
      <c r="IF164" s="150"/>
      <c r="IG164" s="150"/>
      <c r="IH164" s="150"/>
      <c r="II164" s="150"/>
      <c r="IJ164" s="150"/>
      <c r="IK164" s="150"/>
      <c r="IL164" s="150"/>
      <c r="IM164" s="150"/>
      <c r="IN164" s="150"/>
      <c r="IO164" s="150"/>
      <c r="IP164" s="150"/>
      <c r="IQ164" s="150"/>
      <c r="IR164" s="150"/>
      <c r="IS164" s="150"/>
      <c r="IT164" s="150"/>
      <c r="IU164" s="150"/>
      <c r="IV164" s="150"/>
      <c r="IW164" s="150"/>
      <c r="IX164" s="150"/>
      <c r="IY164" s="150"/>
      <c r="IZ164" s="150"/>
      <c r="JA164" s="150"/>
      <c r="JB164" s="150"/>
      <c r="JC164" s="150"/>
      <c r="JD164" s="150"/>
      <c r="JE164" s="150"/>
      <c r="JF164" s="150"/>
      <c r="JG164" s="150"/>
      <c r="JH164" s="150"/>
      <c r="JI164" s="150"/>
      <c r="JJ164" s="150"/>
      <c r="JK164" s="150"/>
      <c r="JL164" s="150"/>
      <c r="JM164" s="150"/>
      <c r="JN164" s="150"/>
      <c r="JO164" s="150"/>
      <c r="JP164" s="150"/>
      <c r="JQ164" s="150"/>
      <c r="JR164" s="150"/>
      <c r="JS164" s="150"/>
      <c r="JT164" s="150"/>
      <c r="JU164" s="150"/>
      <c r="JV164" s="150"/>
      <c r="JW164" s="150"/>
      <c r="JX164" s="150"/>
      <c r="JY164" s="150"/>
      <c r="JZ164" s="150"/>
      <c r="KA164" s="150"/>
      <c r="KB164" s="150"/>
      <c r="KC164" s="150"/>
      <c r="KD164" s="150"/>
      <c r="KE164" s="150"/>
      <c r="KF164" s="150"/>
      <c r="KG164" s="150"/>
      <c r="KH164" s="150"/>
      <c r="KI164" s="150"/>
      <c r="KJ164" s="150"/>
      <c r="KK164" s="150"/>
      <c r="KL164" s="150"/>
      <c r="KM164" s="150"/>
      <c r="KN164" s="150"/>
      <c r="KO164" s="150"/>
      <c r="KP164" s="150"/>
      <c r="KQ164" s="150"/>
      <c r="KR164" s="150"/>
      <c r="KS164" s="150"/>
      <c r="KT164" s="150"/>
      <c r="KU164" s="92"/>
    </row>
    <row r="165" spans="1:307" s="157" customFormat="1" x14ac:dyDescent="0.15">
      <c r="C165" s="92" t="s">
        <v>312</v>
      </c>
      <c r="D165" s="225"/>
      <c r="F165" s="150">
        <f t="shared" si="38"/>
        <v>0</v>
      </c>
      <c r="G165" s="150">
        <f t="shared" si="38"/>
        <v>0</v>
      </c>
      <c r="H165" s="150">
        <f t="shared" si="38"/>
        <v>0</v>
      </c>
      <c r="I165" s="150">
        <f t="shared" si="38"/>
        <v>0</v>
      </c>
      <c r="J165" s="150">
        <f t="shared" si="38"/>
        <v>0</v>
      </c>
      <c r="K165" s="150">
        <f t="shared" si="38"/>
        <v>0</v>
      </c>
      <c r="L165" s="150">
        <f t="shared" si="38"/>
        <v>7.5493363337585301E-2</v>
      </c>
      <c r="M165" s="150">
        <f t="shared" si="38"/>
        <v>6.5961332882487053E-2</v>
      </c>
      <c r="N165" s="150">
        <f t="shared" si="38"/>
        <v>6.2271411975956578E-2</v>
      </c>
      <c r="O165" s="150">
        <f t="shared" si="38"/>
        <v>5.8694153554442956E-2</v>
      </c>
      <c r="P165" s="150">
        <f t="shared" si="38"/>
        <v>5.5211656419014432E-2</v>
      </c>
      <c r="Q165" s="150">
        <f t="shared" si="38"/>
        <v>5.0221027727524348E-2</v>
      </c>
      <c r="R165" s="150">
        <f t="shared" si="38"/>
        <v>4.3597090038973503E-2</v>
      </c>
      <c r="S165" s="150">
        <f t="shared" si="38"/>
        <v>2.995452909372413E-2</v>
      </c>
      <c r="T165" s="150">
        <f t="shared" si="38"/>
        <v>0.26500195537997756</v>
      </c>
      <c r="U165" s="150">
        <f t="shared" si="38"/>
        <v>0</v>
      </c>
      <c r="V165" s="150">
        <f t="shared" si="38"/>
        <v>0</v>
      </c>
      <c r="W165" s="150">
        <f t="shared" si="38"/>
        <v>0</v>
      </c>
      <c r="X165" s="150">
        <f t="shared" si="38"/>
        <v>0</v>
      </c>
      <c r="Y165" s="150">
        <f t="shared" si="38"/>
        <v>0</v>
      </c>
      <c r="Z165" s="150">
        <f t="shared" si="38"/>
        <v>0</v>
      </c>
      <c r="AA165" s="150">
        <f t="shared" si="38"/>
        <v>0</v>
      </c>
      <c r="AB165" s="150">
        <f t="shared" si="38"/>
        <v>0</v>
      </c>
      <c r="AC165" s="150">
        <f t="shared" si="38"/>
        <v>0</v>
      </c>
      <c r="AD165" s="150">
        <f t="shared" si="38"/>
        <v>0</v>
      </c>
      <c r="AE165" s="150">
        <f t="shared" si="38"/>
        <v>0</v>
      </c>
      <c r="AF165" s="150">
        <f t="shared" si="38"/>
        <v>0</v>
      </c>
      <c r="AG165" s="150">
        <f t="shared" si="38"/>
        <v>0</v>
      </c>
      <c r="AH165" s="150">
        <f t="shared" si="38"/>
        <v>0</v>
      </c>
      <c r="AI165" s="150">
        <f t="shared" si="38"/>
        <v>0</v>
      </c>
      <c r="AJ165" s="150">
        <f t="shared" si="38"/>
        <v>0</v>
      </c>
      <c r="AK165" s="150">
        <f t="shared" si="38"/>
        <v>0</v>
      </c>
      <c r="AL165" s="150">
        <f t="shared" si="37"/>
        <v>0</v>
      </c>
      <c r="AM165" s="150">
        <f t="shared" si="37"/>
        <v>0</v>
      </c>
      <c r="AN165" s="150">
        <f t="shared" si="37"/>
        <v>0</v>
      </c>
      <c r="AO165" s="150">
        <f t="shared" si="37"/>
        <v>0</v>
      </c>
      <c r="AP165" s="150">
        <f t="shared" si="37"/>
        <v>0</v>
      </c>
      <c r="AQ165" s="150">
        <f t="shared" si="37"/>
        <v>0</v>
      </c>
      <c r="AR165" s="150">
        <f t="shared" si="37"/>
        <v>0</v>
      </c>
      <c r="AS165" s="150">
        <f t="shared" si="37"/>
        <v>0</v>
      </c>
      <c r="AT165" s="150">
        <f t="shared" si="37"/>
        <v>0</v>
      </c>
      <c r="AU165" s="150">
        <f t="shared" si="37"/>
        <v>0</v>
      </c>
      <c r="AV165" s="150">
        <f t="shared" si="37"/>
        <v>0</v>
      </c>
      <c r="AW165" s="150">
        <f t="shared" si="37"/>
        <v>0</v>
      </c>
      <c r="AX165" s="150">
        <f t="shared" si="37"/>
        <v>0</v>
      </c>
      <c r="AY165" s="150">
        <f t="shared" si="37"/>
        <v>0</v>
      </c>
      <c r="AZ165" s="150">
        <f t="shared" si="37"/>
        <v>0</v>
      </c>
      <c r="BA165" s="150">
        <f t="shared" si="37"/>
        <v>0</v>
      </c>
      <c r="BB165" s="150">
        <f t="shared" si="37"/>
        <v>0</v>
      </c>
      <c r="BC165" s="150">
        <f t="shared" si="37"/>
        <v>0</v>
      </c>
      <c r="BD165" s="150">
        <f t="shared" si="37"/>
        <v>0</v>
      </c>
      <c r="BE165" s="150">
        <f t="shared" si="37"/>
        <v>0</v>
      </c>
      <c r="BF165" s="150">
        <f t="shared" si="37"/>
        <v>0</v>
      </c>
      <c r="BG165" s="150">
        <f t="shared" si="37"/>
        <v>0</v>
      </c>
      <c r="BH165" s="150">
        <f t="shared" si="37"/>
        <v>0</v>
      </c>
      <c r="BI165" s="150">
        <f t="shared" si="37"/>
        <v>0</v>
      </c>
      <c r="BJ165" s="150">
        <f t="shared" si="37"/>
        <v>0</v>
      </c>
      <c r="BK165" s="150">
        <f t="shared" si="37"/>
        <v>0</v>
      </c>
      <c r="BL165" s="150">
        <f t="shared" si="37"/>
        <v>0</v>
      </c>
      <c r="BM165" s="150">
        <f t="shared" si="37"/>
        <v>0</v>
      </c>
      <c r="BN165" s="150"/>
      <c r="BO165" s="150"/>
      <c r="BP165" s="150"/>
      <c r="BQ165" s="150"/>
      <c r="BR165" s="150"/>
      <c r="BS165" s="150"/>
      <c r="BT165" s="150"/>
      <c r="BU165" s="150"/>
      <c r="BV165" s="150"/>
      <c r="BW165" s="150"/>
      <c r="BX165" s="150"/>
      <c r="BY165" s="150"/>
      <c r="BZ165" s="150"/>
      <c r="CA165" s="150"/>
      <c r="CB165" s="150"/>
      <c r="CC165" s="150"/>
      <c r="CD165" s="150"/>
      <c r="CE165" s="150"/>
      <c r="CF165" s="150"/>
      <c r="CG165" s="150"/>
      <c r="CH165" s="150"/>
      <c r="CI165" s="150"/>
      <c r="CJ165" s="150"/>
      <c r="CK165" s="150"/>
      <c r="CL165" s="150"/>
      <c r="CM165" s="150"/>
      <c r="CN165" s="150"/>
      <c r="CO165" s="150"/>
      <c r="CP165" s="150"/>
      <c r="CQ165" s="150"/>
      <c r="CR165" s="150"/>
      <c r="CS165" s="150"/>
      <c r="CT165" s="150"/>
      <c r="CU165" s="150"/>
      <c r="CV165" s="150"/>
      <c r="CW165" s="150"/>
      <c r="CX165" s="150"/>
      <c r="CY165" s="150"/>
      <c r="CZ165" s="150"/>
      <c r="DA165" s="150"/>
      <c r="DB165" s="150"/>
      <c r="DC165" s="150"/>
      <c r="DD165" s="150"/>
      <c r="DE165" s="150"/>
      <c r="DF165" s="150"/>
      <c r="DG165" s="150"/>
      <c r="DH165" s="150"/>
      <c r="DI165" s="150"/>
      <c r="DJ165" s="150"/>
      <c r="DK165" s="150"/>
      <c r="DL165" s="150"/>
      <c r="DM165" s="150"/>
      <c r="DN165" s="150"/>
      <c r="DO165" s="150"/>
      <c r="DP165" s="150"/>
      <c r="DQ165" s="150"/>
      <c r="DR165" s="150"/>
      <c r="DS165" s="150"/>
      <c r="DT165" s="150"/>
      <c r="DU165" s="150"/>
      <c r="DV165" s="150"/>
      <c r="DW165" s="150"/>
      <c r="DX165" s="150"/>
      <c r="DY165" s="150"/>
      <c r="DZ165" s="150"/>
      <c r="EA165" s="150"/>
      <c r="EB165" s="150"/>
      <c r="EC165" s="150"/>
      <c r="ED165" s="150"/>
      <c r="EE165" s="150"/>
      <c r="EF165" s="150"/>
      <c r="EG165" s="150"/>
      <c r="EH165" s="150"/>
      <c r="EI165" s="150"/>
      <c r="EJ165" s="150"/>
      <c r="EK165" s="150"/>
      <c r="EL165" s="150"/>
      <c r="EM165" s="150"/>
      <c r="EN165" s="150"/>
      <c r="EO165" s="150"/>
      <c r="EP165" s="150"/>
      <c r="EQ165" s="150"/>
      <c r="ER165" s="150"/>
      <c r="ES165" s="150"/>
      <c r="ET165" s="150"/>
      <c r="EU165" s="150"/>
      <c r="EV165" s="150"/>
      <c r="EW165" s="150"/>
      <c r="EX165" s="150"/>
      <c r="EY165" s="150"/>
      <c r="EZ165" s="150"/>
      <c r="FA165" s="150"/>
      <c r="FB165" s="150"/>
      <c r="FC165" s="150"/>
      <c r="FD165" s="150"/>
      <c r="FE165" s="150"/>
      <c r="FF165" s="150"/>
      <c r="FG165" s="150"/>
      <c r="FH165" s="150"/>
      <c r="FI165" s="150"/>
      <c r="FJ165" s="150"/>
      <c r="FK165" s="150"/>
      <c r="FL165" s="150"/>
      <c r="FM165" s="150"/>
      <c r="FN165" s="150"/>
      <c r="FO165" s="150"/>
      <c r="FP165" s="150"/>
      <c r="FQ165" s="150"/>
      <c r="FR165" s="150"/>
      <c r="FS165" s="150"/>
      <c r="FT165" s="150"/>
      <c r="FU165" s="150"/>
      <c r="FV165" s="150"/>
      <c r="FW165" s="150"/>
      <c r="FX165" s="150"/>
      <c r="FY165" s="150"/>
      <c r="FZ165" s="150"/>
      <c r="GA165" s="150"/>
      <c r="GB165" s="150"/>
      <c r="GC165" s="150"/>
      <c r="GD165" s="150"/>
      <c r="GE165" s="150"/>
      <c r="GF165" s="150"/>
      <c r="GG165" s="150"/>
      <c r="GH165" s="150"/>
      <c r="GI165" s="150"/>
      <c r="GJ165" s="150"/>
      <c r="GK165" s="150"/>
      <c r="GL165" s="150"/>
      <c r="GM165" s="150"/>
      <c r="GN165" s="150"/>
      <c r="GO165" s="150"/>
      <c r="GP165" s="150"/>
      <c r="GQ165" s="150"/>
      <c r="GR165" s="150"/>
      <c r="GS165" s="150"/>
      <c r="GT165" s="150"/>
      <c r="GU165" s="150"/>
      <c r="GV165" s="150"/>
      <c r="GW165" s="150"/>
      <c r="GX165" s="150"/>
      <c r="GY165" s="150"/>
      <c r="GZ165" s="150"/>
      <c r="HA165" s="150"/>
      <c r="HB165" s="150"/>
      <c r="HC165" s="150"/>
      <c r="HD165" s="150"/>
      <c r="HE165" s="150"/>
      <c r="HF165" s="150"/>
      <c r="HG165" s="150"/>
      <c r="HH165" s="150"/>
      <c r="HI165" s="150"/>
      <c r="HJ165" s="150"/>
      <c r="HK165" s="150"/>
      <c r="HL165" s="150"/>
      <c r="HM165" s="150"/>
      <c r="HN165" s="150"/>
      <c r="HO165" s="150"/>
      <c r="HP165" s="150"/>
      <c r="HQ165" s="150"/>
      <c r="HR165" s="150"/>
      <c r="HS165" s="150"/>
      <c r="HT165" s="150"/>
      <c r="HU165" s="150"/>
      <c r="HV165" s="150"/>
      <c r="HW165" s="150"/>
      <c r="HX165" s="150"/>
      <c r="HY165" s="150"/>
      <c r="HZ165" s="150"/>
      <c r="IA165" s="150"/>
      <c r="IB165" s="150"/>
      <c r="IC165" s="150"/>
      <c r="ID165" s="150"/>
      <c r="IE165" s="150"/>
      <c r="IF165" s="150"/>
      <c r="IG165" s="150"/>
      <c r="IH165" s="150"/>
      <c r="II165" s="150"/>
      <c r="IJ165" s="150"/>
      <c r="IK165" s="150"/>
      <c r="IL165" s="150"/>
      <c r="IM165" s="150"/>
      <c r="IN165" s="150"/>
      <c r="IO165" s="150"/>
      <c r="IP165" s="150"/>
      <c r="IQ165" s="150"/>
      <c r="IR165" s="150"/>
      <c r="IS165" s="150"/>
      <c r="IT165" s="150"/>
      <c r="IU165" s="150"/>
      <c r="IV165" s="150"/>
      <c r="IW165" s="150"/>
      <c r="IX165" s="150"/>
      <c r="IY165" s="150"/>
      <c r="IZ165" s="150"/>
      <c r="JA165" s="150"/>
      <c r="JB165" s="150"/>
      <c r="JC165" s="150"/>
      <c r="JD165" s="150"/>
      <c r="JE165" s="150"/>
      <c r="JF165" s="150"/>
      <c r="JG165" s="150"/>
      <c r="JH165" s="150"/>
      <c r="JI165" s="150"/>
      <c r="JJ165" s="150"/>
      <c r="JK165" s="150"/>
      <c r="JL165" s="150"/>
      <c r="JM165" s="150"/>
      <c r="JN165" s="150"/>
      <c r="JO165" s="150"/>
      <c r="JP165" s="150"/>
      <c r="JQ165" s="150"/>
      <c r="JR165" s="150"/>
      <c r="JS165" s="150"/>
      <c r="JT165" s="150"/>
      <c r="JU165" s="150"/>
      <c r="JV165" s="150"/>
      <c r="JW165" s="150"/>
      <c r="JX165" s="150"/>
      <c r="JY165" s="150"/>
      <c r="JZ165" s="150"/>
      <c r="KA165" s="150"/>
      <c r="KB165" s="150"/>
      <c r="KC165" s="150"/>
      <c r="KD165" s="150"/>
      <c r="KE165" s="150"/>
      <c r="KF165" s="150"/>
      <c r="KG165" s="150"/>
      <c r="KH165" s="150"/>
      <c r="KI165" s="150"/>
      <c r="KJ165" s="150"/>
      <c r="KK165" s="150"/>
      <c r="KL165" s="150"/>
      <c r="KM165" s="150"/>
      <c r="KN165" s="150"/>
      <c r="KO165" s="150"/>
      <c r="KP165" s="150"/>
      <c r="KQ165" s="150"/>
      <c r="KR165" s="150"/>
      <c r="KS165" s="150"/>
      <c r="KT165" s="150"/>
      <c r="KU165" s="92"/>
    </row>
    <row r="166" spans="1:307" s="157" customFormat="1" x14ac:dyDescent="0.15">
      <c r="C166" s="92" t="s">
        <v>313</v>
      </c>
      <c r="D166" s="225"/>
      <c r="F166" s="150">
        <f t="shared" si="38"/>
        <v>0</v>
      </c>
      <c r="G166" s="150">
        <f t="shared" si="38"/>
        <v>0</v>
      </c>
      <c r="H166" s="150">
        <f t="shared" si="38"/>
        <v>0</v>
      </c>
      <c r="I166" s="150">
        <f t="shared" si="38"/>
        <v>0</v>
      </c>
      <c r="J166" s="150">
        <f t="shared" si="38"/>
        <v>0</v>
      </c>
      <c r="K166" s="150">
        <f t="shared" si="38"/>
        <v>0</v>
      </c>
      <c r="L166" s="150">
        <f t="shared" si="38"/>
        <v>0</v>
      </c>
      <c r="M166" s="150">
        <f t="shared" si="38"/>
        <v>0.14875539573908436</v>
      </c>
      <c r="N166" s="150">
        <f t="shared" si="38"/>
        <v>0.12997306971918632</v>
      </c>
      <c r="O166" s="150">
        <f t="shared" si="38"/>
        <v>0.12270228960779622</v>
      </c>
      <c r="P166" s="150">
        <f t="shared" si="38"/>
        <v>0.1156535045407743</v>
      </c>
      <c r="Q166" s="150">
        <f t="shared" si="38"/>
        <v>0.10879144121973289</v>
      </c>
      <c r="R166" s="150">
        <f t="shared" si="38"/>
        <v>9.8957690103496268E-2</v>
      </c>
      <c r="S166" s="150">
        <f t="shared" si="38"/>
        <v>8.5905596135908383E-2</v>
      </c>
      <c r="T166" s="150">
        <f t="shared" si="38"/>
        <v>5.9023702647732282E-2</v>
      </c>
      <c r="U166" s="150">
        <f t="shared" si="38"/>
        <v>0</v>
      </c>
      <c r="V166" s="150">
        <f t="shared" si="38"/>
        <v>0</v>
      </c>
      <c r="W166" s="150">
        <f t="shared" si="38"/>
        <v>0</v>
      </c>
      <c r="X166" s="150">
        <f t="shared" si="38"/>
        <v>0</v>
      </c>
      <c r="Y166" s="150">
        <f t="shared" si="38"/>
        <v>0</v>
      </c>
      <c r="Z166" s="150">
        <f t="shared" si="38"/>
        <v>0</v>
      </c>
      <c r="AA166" s="150">
        <f t="shared" si="38"/>
        <v>0</v>
      </c>
      <c r="AB166" s="150">
        <f t="shared" si="38"/>
        <v>0</v>
      </c>
      <c r="AC166" s="150">
        <f t="shared" si="38"/>
        <v>0</v>
      </c>
      <c r="AD166" s="150">
        <f t="shared" si="38"/>
        <v>0</v>
      </c>
      <c r="AE166" s="150">
        <f t="shared" si="38"/>
        <v>0</v>
      </c>
      <c r="AF166" s="150">
        <f t="shared" si="38"/>
        <v>0</v>
      </c>
      <c r="AG166" s="150">
        <f t="shared" si="38"/>
        <v>0</v>
      </c>
      <c r="AH166" s="150">
        <f t="shared" si="38"/>
        <v>0</v>
      </c>
      <c r="AI166" s="150">
        <f t="shared" si="38"/>
        <v>0</v>
      </c>
      <c r="AJ166" s="150">
        <f t="shared" si="38"/>
        <v>0</v>
      </c>
      <c r="AK166" s="150">
        <f t="shared" si="38"/>
        <v>0</v>
      </c>
      <c r="AL166" s="150">
        <f t="shared" si="37"/>
        <v>0</v>
      </c>
      <c r="AM166" s="150">
        <f t="shared" si="37"/>
        <v>0</v>
      </c>
      <c r="AN166" s="150">
        <f t="shared" si="37"/>
        <v>0</v>
      </c>
      <c r="AO166" s="150">
        <f t="shared" si="37"/>
        <v>0</v>
      </c>
      <c r="AP166" s="150">
        <f t="shared" si="37"/>
        <v>0</v>
      </c>
      <c r="AQ166" s="150">
        <f t="shared" si="37"/>
        <v>0</v>
      </c>
      <c r="AR166" s="150">
        <f t="shared" si="37"/>
        <v>0</v>
      </c>
      <c r="AS166" s="150">
        <f t="shared" si="37"/>
        <v>0</v>
      </c>
      <c r="AT166" s="150">
        <f t="shared" si="37"/>
        <v>0</v>
      </c>
      <c r="AU166" s="150">
        <f t="shared" si="37"/>
        <v>0</v>
      </c>
      <c r="AV166" s="150">
        <f t="shared" si="37"/>
        <v>0</v>
      </c>
      <c r="AW166" s="150">
        <f t="shared" si="37"/>
        <v>0</v>
      </c>
      <c r="AX166" s="150">
        <f t="shared" si="37"/>
        <v>0</v>
      </c>
      <c r="AY166" s="150">
        <f t="shared" si="37"/>
        <v>0</v>
      </c>
      <c r="AZ166" s="150">
        <f t="shared" si="37"/>
        <v>0</v>
      </c>
      <c r="BA166" s="150">
        <f t="shared" si="37"/>
        <v>0</v>
      </c>
      <c r="BB166" s="150">
        <f t="shared" si="37"/>
        <v>0</v>
      </c>
      <c r="BC166" s="150">
        <f t="shared" si="37"/>
        <v>0</v>
      </c>
      <c r="BD166" s="150">
        <f t="shared" si="37"/>
        <v>0</v>
      </c>
      <c r="BE166" s="150">
        <f t="shared" si="37"/>
        <v>0</v>
      </c>
      <c r="BF166" s="150">
        <f t="shared" si="37"/>
        <v>0</v>
      </c>
      <c r="BG166" s="150">
        <f t="shared" si="37"/>
        <v>0</v>
      </c>
      <c r="BH166" s="150">
        <f t="shared" si="37"/>
        <v>0</v>
      </c>
      <c r="BI166" s="150">
        <f t="shared" si="37"/>
        <v>0</v>
      </c>
      <c r="BJ166" s="150">
        <f t="shared" si="37"/>
        <v>0</v>
      </c>
      <c r="BK166" s="150">
        <f t="shared" si="37"/>
        <v>0</v>
      </c>
      <c r="BL166" s="150">
        <f t="shared" si="37"/>
        <v>0</v>
      </c>
      <c r="BM166" s="150">
        <f t="shared" si="37"/>
        <v>0</v>
      </c>
      <c r="BN166" s="150"/>
      <c r="BO166" s="150"/>
      <c r="BP166" s="150"/>
      <c r="BQ166" s="150"/>
      <c r="BR166" s="150"/>
      <c r="BS166" s="150"/>
      <c r="BT166" s="150"/>
      <c r="BU166" s="150"/>
      <c r="BV166" s="150"/>
      <c r="BW166" s="150"/>
      <c r="BX166" s="150"/>
      <c r="BY166" s="150"/>
      <c r="BZ166" s="150"/>
      <c r="CA166" s="150"/>
      <c r="CB166" s="150"/>
      <c r="CC166" s="150"/>
      <c r="CD166" s="150"/>
      <c r="CE166" s="150"/>
      <c r="CF166" s="150"/>
      <c r="CG166" s="150"/>
      <c r="CH166" s="150"/>
      <c r="CI166" s="150"/>
      <c r="CJ166" s="150"/>
      <c r="CK166" s="150"/>
      <c r="CL166" s="150"/>
      <c r="CM166" s="150"/>
      <c r="CN166" s="150"/>
      <c r="CO166" s="150"/>
      <c r="CP166" s="150"/>
      <c r="CQ166" s="150"/>
      <c r="CR166" s="150"/>
      <c r="CS166" s="150"/>
      <c r="CT166" s="150"/>
      <c r="CU166" s="150"/>
      <c r="CV166" s="150"/>
      <c r="CW166" s="150"/>
      <c r="CX166" s="150"/>
      <c r="CY166" s="150"/>
      <c r="CZ166" s="150"/>
      <c r="DA166" s="150"/>
      <c r="DB166" s="150"/>
      <c r="DC166" s="150"/>
      <c r="DD166" s="150"/>
      <c r="DE166" s="150"/>
      <c r="DF166" s="150"/>
      <c r="DG166" s="150"/>
      <c r="DH166" s="150"/>
      <c r="DI166" s="150"/>
      <c r="DJ166" s="150"/>
      <c r="DK166" s="150"/>
      <c r="DL166" s="150"/>
      <c r="DM166" s="150"/>
      <c r="DN166" s="150"/>
      <c r="DO166" s="150"/>
      <c r="DP166" s="150"/>
      <c r="DQ166" s="150"/>
      <c r="DR166" s="150"/>
      <c r="DS166" s="150"/>
      <c r="DT166" s="150"/>
      <c r="DU166" s="150"/>
      <c r="DV166" s="150"/>
      <c r="DW166" s="150"/>
      <c r="DX166" s="150"/>
      <c r="DY166" s="150"/>
      <c r="DZ166" s="150"/>
      <c r="EA166" s="150"/>
      <c r="EB166" s="150"/>
      <c r="EC166" s="150"/>
      <c r="ED166" s="150"/>
      <c r="EE166" s="150"/>
      <c r="EF166" s="150"/>
      <c r="EG166" s="150"/>
      <c r="EH166" s="150"/>
      <c r="EI166" s="150"/>
      <c r="EJ166" s="150"/>
      <c r="EK166" s="150"/>
      <c r="EL166" s="150"/>
      <c r="EM166" s="150"/>
      <c r="EN166" s="150"/>
      <c r="EO166" s="150"/>
      <c r="EP166" s="150"/>
      <c r="EQ166" s="150"/>
      <c r="ER166" s="150"/>
      <c r="ES166" s="150"/>
      <c r="ET166" s="150"/>
      <c r="EU166" s="150"/>
      <c r="EV166" s="150"/>
      <c r="EW166" s="150"/>
      <c r="EX166" s="150"/>
      <c r="EY166" s="150"/>
      <c r="EZ166" s="150"/>
      <c r="FA166" s="150"/>
      <c r="FB166" s="150"/>
      <c r="FC166" s="150"/>
      <c r="FD166" s="150"/>
      <c r="FE166" s="150"/>
      <c r="FF166" s="150"/>
      <c r="FG166" s="150"/>
      <c r="FH166" s="150"/>
      <c r="FI166" s="150"/>
      <c r="FJ166" s="150"/>
      <c r="FK166" s="150"/>
      <c r="FL166" s="150"/>
      <c r="FM166" s="150"/>
      <c r="FN166" s="150"/>
      <c r="FO166" s="150"/>
      <c r="FP166" s="150"/>
      <c r="FQ166" s="150"/>
      <c r="FR166" s="150"/>
      <c r="FS166" s="150"/>
      <c r="FT166" s="150"/>
      <c r="FU166" s="150"/>
      <c r="FV166" s="150"/>
      <c r="FW166" s="150"/>
      <c r="FX166" s="150"/>
      <c r="FY166" s="150"/>
      <c r="FZ166" s="150"/>
      <c r="GA166" s="150"/>
      <c r="GB166" s="150"/>
      <c r="GC166" s="150"/>
      <c r="GD166" s="150"/>
      <c r="GE166" s="150"/>
      <c r="GF166" s="150"/>
      <c r="GG166" s="150"/>
      <c r="GH166" s="150"/>
      <c r="GI166" s="150"/>
      <c r="GJ166" s="150"/>
      <c r="GK166" s="150"/>
      <c r="GL166" s="150"/>
      <c r="GM166" s="150"/>
      <c r="GN166" s="150"/>
      <c r="GO166" s="150"/>
      <c r="GP166" s="150"/>
      <c r="GQ166" s="150"/>
      <c r="GR166" s="150"/>
      <c r="GS166" s="150"/>
      <c r="GT166" s="150"/>
      <c r="GU166" s="150"/>
      <c r="GV166" s="150"/>
      <c r="GW166" s="150"/>
      <c r="GX166" s="150"/>
      <c r="GY166" s="150"/>
      <c r="GZ166" s="150"/>
      <c r="HA166" s="150"/>
      <c r="HB166" s="150"/>
      <c r="HC166" s="150"/>
      <c r="HD166" s="150"/>
      <c r="HE166" s="150"/>
      <c r="HF166" s="150"/>
      <c r="HG166" s="150"/>
      <c r="HH166" s="150"/>
      <c r="HI166" s="150"/>
      <c r="HJ166" s="150"/>
      <c r="HK166" s="150"/>
      <c r="HL166" s="150"/>
      <c r="HM166" s="150"/>
      <c r="HN166" s="150"/>
      <c r="HO166" s="150"/>
      <c r="HP166" s="150"/>
      <c r="HQ166" s="150"/>
      <c r="HR166" s="150"/>
      <c r="HS166" s="150"/>
      <c r="HT166" s="150"/>
      <c r="HU166" s="150"/>
      <c r="HV166" s="150"/>
      <c r="HW166" s="150"/>
      <c r="HX166" s="150"/>
      <c r="HY166" s="150"/>
      <c r="HZ166" s="150"/>
      <c r="IA166" s="150"/>
      <c r="IB166" s="150"/>
      <c r="IC166" s="150"/>
      <c r="ID166" s="150"/>
      <c r="IE166" s="150"/>
      <c r="IF166" s="150"/>
      <c r="IG166" s="150"/>
      <c r="IH166" s="150"/>
      <c r="II166" s="150"/>
      <c r="IJ166" s="150"/>
      <c r="IK166" s="150"/>
      <c r="IL166" s="150"/>
      <c r="IM166" s="150"/>
      <c r="IN166" s="150"/>
      <c r="IO166" s="150"/>
      <c r="IP166" s="150"/>
      <c r="IQ166" s="150"/>
      <c r="IR166" s="150"/>
      <c r="IS166" s="150"/>
      <c r="IT166" s="150"/>
      <c r="IU166" s="150"/>
      <c r="IV166" s="150"/>
      <c r="IW166" s="150"/>
      <c r="IX166" s="150"/>
      <c r="IY166" s="150"/>
      <c r="IZ166" s="150"/>
      <c r="JA166" s="150"/>
      <c r="JB166" s="150"/>
      <c r="JC166" s="150"/>
      <c r="JD166" s="150"/>
      <c r="JE166" s="150"/>
      <c r="JF166" s="150"/>
      <c r="JG166" s="150"/>
      <c r="JH166" s="150"/>
      <c r="JI166" s="150"/>
      <c r="JJ166" s="150"/>
      <c r="JK166" s="150"/>
      <c r="JL166" s="150"/>
      <c r="JM166" s="150"/>
      <c r="JN166" s="150"/>
      <c r="JO166" s="150"/>
      <c r="JP166" s="150"/>
      <c r="JQ166" s="150"/>
      <c r="JR166" s="150"/>
      <c r="JS166" s="150"/>
      <c r="JT166" s="150"/>
      <c r="JU166" s="150"/>
      <c r="JV166" s="150"/>
      <c r="JW166" s="150"/>
      <c r="JX166" s="150"/>
      <c r="JY166" s="150"/>
      <c r="JZ166" s="150"/>
      <c r="KA166" s="150"/>
      <c r="KB166" s="150"/>
      <c r="KC166" s="150"/>
      <c r="KD166" s="150"/>
      <c r="KE166" s="150"/>
      <c r="KF166" s="150"/>
      <c r="KG166" s="150"/>
      <c r="KH166" s="150"/>
      <c r="KI166" s="150"/>
      <c r="KJ166" s="150"/>
      <c r="KK166" s="150"/>
      <c r="KL166" s="150"/>
      <c r="KM166" s="150"/>
      <c r="KN166" s="150"/>
      <c r="KO166" s="150"/>
      <c r="KP166" s="150"/>
      <c r="KQ166" s="150"/>
      <c r="KR166" s="150"/>
      <c r="KS166" s="150"/>
      <c r="KT166" s="150"/>
      <c r="KU166" s="92"/>
    </row>
    <row r="167" spans="1:307" s="157" customFormat="1" x14ac:dyDescent="0.15">
      <c r="C167" s="92" t="s">
        <v>353</v>
      </c>
      <c r="D167" s="225"/>
      <c r="F167" s="150">
        <f t="shared" ref="F167:BM167" si="39">IF(F4&gt;$F$6,0,E167+E166)</f>
        <v>0</v>
      </c>
      <c r="G167" s="150">
        <f t="shared" si="39"/>
        <v>0</v>
      </c>
      <c r="H167" s="150">
        <f t="shared" si="39"/>
        <v>0</v>
      </c>
      <c r="I167" s="150">
        <f t="shared" si="39"/>
        <v>0</v>
      </c>
      <c r="J167" s="150">
        <f t="shared" si="39"/>
        <v>0</v>
      </c>
      <c r="K167" s="150">
        <f t="shared" si="39"/>
        <v>0</v>
      </c>
      <c r="L167" s="150">
        <f t="shared" si="39"/>
        <v>0</v>
      </c>
      <c r="M167" s="150">
        <f t="shared" si="39"/>
        <v>0</v>
      </c>
      <c r="N167" s="150">
        <f t="shared" si="39"/>
        <v>0.14875539573908436</v>
      </c>
      <c r="O167" s="150">
        <f t="shared" si="39"/>
        <v>0.27872846545827068</v>
      </c>
      <c r="P167" s="150">
        <f t="shared" si="39"/>
        <v>0.4014307550660669</v>
      </c>
      <c r="Q167" s="150">
        <f t="shared" si="39"/>
        <v>0.51708425960684123</v>
      </c>
      <c r="R167" s="150">
        <f t="shared" si="39"/>
        <v>0.62587570082657407</v>
      </c>
      <c r="S167" s="150">
        <f t="shared" si="39"/>
        <v>0.72483339093007038</v>
      </c>
      <c r="T167" s="150">
        <f t="shared" si="39"/>
        <v>0.8107389870659788</v>
      </c>
      <c r="U167" s="150">
        <f t="shared" si="39"/>
        <v>0</v>
      </c>
      <c r="V167" s="150">
        <f t="shared" si="39"/>
        <v>0</v>
      </c>
      <c r="W167" s="150">
        <f t="shared" si="39"/>
        <v>0</v>
      </c>
      <c r="X167" s="150">
        <f t="shared" si="39"/>
        <v>0</v>
      </c>
      <c r="Y167" s="150">
        <f t="shared" si="39"/>
        <v>0</v>
      </c>
      <c r="Z167" s="150">
        <f t="shared" si="39"/>
        <v>0</v>
      </c>
      <c r="AA167" s="150">
        <f t="shared" si="39"/>
        <v>0</v>
      </c>
      <c r="AB167" s="150">
        <f t="shared" si="39"/>
        <v>0</v>
      </c>
      <c r="AC167" s="150">
        <f t="shared" si="39"/>
        <v>0</v>
      </c>
      <c r="AD167" s="150">
        <f t="shared" si="39"/>
        <v>0</v>
      </c>
      <c r="AE167" s="150">
        <f t="shared" si="39"/>
        <v>0</v>
      </c>
      <c r="AF167" s="150">
        <f t="shared" si="39"/>
        <v>0</v>
      </c>
      <c r="AG167" s="150">
        <f t="shared" si="39"/>
        <v>0</v>
      </c>
      <c r="AH167" s="150">
        <f t="shared" si="39"/>
        <v>0</v>
      </c>
      <c r="AI167" s="150">
        <f t="shared" si="39"/>
        <v>0</v>
      </c>
      <c r="AJ167" s="150">
        <f t="shared" si="39"/>
        <v>0</v>
      </c>
      <c r="AK167" s="150">
        <f t="shared" si="39"/>
        <v>0</v>
      </c>
      <c r="AL167" s="150">
        <f t="shared" si="39"/>
        <v>0</v>
      </c>
      <c r="AM167" s="150">
        <f t="shared" si="39"/>
        <v>0</v>
      </c>
      <c r="AN167" s="150">
        <f t="shared" si="39"/>
        <v>0</v>
      </c>
      <c r="AO167" s="150">
        <f t="shared" si="39"/>
        <v>0</v>
      </c>
      <c r="AP167" s="150">
        <f t="shared" si="39"/>
        <v>0</v>
      </c>
      <c r="AQ167" s="150">
        <f t="shared" si="39"/>
        <v>0</v>
      </c>
      <c r="AR167" s="150">
        <f t="shared" si="39"/>
        <v>0</v>
      </c>
      <c r="AS167" s="150">
        <f t="shared" si="39"/>
        <v>0</v>
      </c>
      <c r="AT167" s="150">
        <f t="shared" si="39"/>
        <v>0</v>
      </c>
      <c r="AU167" s="150">
        <f t="shared" si="39"/>
        <v>0</v>
      </c>
      <c r="AV167" s="150">
        <f t="shared" si="39"/>
        <v>0</v>
      </c>
      <c r="AW167" s="150">
        <f t="shared" si="39"/>
        <v>0</v>
      </c>
      <c r="AX167" s="150">
        <f t="shared" si="39"/>
        <v>0</v>
      </c>
      <c r="AY167" s="150">
        <f t="shared" si="39"/>
        <v>0</v>
      </c>
      <c r="AZ167" s="150">
        <f t="shared" si="39"/>
        <v>0</v>
      </c>
      <c r="BA167" s="150">
        <f t="shared" si="39"/>
        <v>0</v>
      </c>
      <c r="BB167" s="150">
        <f t="shared" si="39"/>
        <v>0</v>
      </c>
      <c r="BC167" s="150">
        <f t="shared" si="39"/>
        <v>0</v>
      </c>
      <c r="BD167" s="150">
        <f t="shared" si="39"/>
        <v>0</v>
      </c>
      <c r="BE167" s="150">
        <f t="shared" si="39"/>
        <v>0</v>
      </c>
      <c r="BF167" s="150">
        <f t="shared" si="39"/>
        <v>0</v>
      </c>
      <c r="BG167" s="150">
        <f t="shared" si="39"/>
        <v>0</v>
      </c>
      <c r="BH167" s="150">
        <f t="shared" si="39"/>
        <v>0</v>
      </c>
      <c r="BI167" s="150">
        <f t="shared" si="39"/>
        <v>0</v>
      </c>
      <c r="BJ167" s="150">
        <f t="shared" si="39"/>
        <v>0</v>
      </c>
      <c r="BK167" s="150">
        <f t="shared" si="39"/>
        <v>0</v>
      </c>
      <c r="BL167" s="150">
        <f t="shared" si="39"/>
        <v>0</v>
      </c>
      <c r="BM167" s="150">
        <f t="shared" si="39"/>
        <v>0</v>
      </c>
      <c r="BN167" s="150"/>
      <c r="BO167" s="150"/>
      <c r="BP167" s="150"/>
      <c r="BQ167" s="150"/>
      <c r="BR167" s="150"/>
      <c r="BS167" s="150"/>
      <c r="BT167" s="150"/>
      <c r="BU167" s="150"/>
      <c r="BV167" s="150"/>
      <c r="BW167" s="150"/>
      <c r="BX167" s="150"/>
      <c r="BY167" s="150"/>
      <c r="BZ167" s="150"/>
      <c r="CA167" s="150"/>
      <c r="CB167" s="150"/>
      <c r="CC167" s="150"/>
      <c r="CD167" s="150"/>
      <c r="CE167" s="150"/>
      <c r="CF167" s="150"/>
      <c r="CG167" s="150"/>
      <c r="CH167" s="150"/>
      <c r="CI167" s="150"/>
      <c r="CJ167" s="150"/>
      <c r="CK167" s="150"/>
      <c r="CL167" s="150"/>
      <c r="CM167" s="150"/>
      <c r="CN167" s="150"/>
      <c r="CO167" s="150"/>
      <c r="CP167" s="150"/>
      <c r="CQ167" s="150"/>
      <c r="CR167" s="150"/>
      <c r="CS167" s="150"/>
      <c r="CT167" s="150"/>
      <c r="CU167" s="150"/>
      <c r="CV167" s="150"/>
      <c r="CW167" s="150"/>
      <c r="CX167" s="150"/>
      <c r="CY167" s="150"/>
      <c r="CZ167" s="150"/>
      <c r="DA167" s="150"/>
      <c r="DB167" s="150"/>
      <c r="DC167" s="150"/>
      <c r="DD167" s="150"/>
      <c r="DE167" s="150"/>
      <c r="DF167" s="150"/>
      <c r="DG167" s="150"/>
      <c r="DH167" s="150"/>
      <c r="DI167" s="150"/>
      <c r="DJ167" s="150"/>
      <c r="DK167" s="150"/>
      <c r="DL167" s="150"/>
      <c r="DM167" s="150"/>
      <c r="DN167" s="150"/>
      <c r="DO167" s="150"/>
      <c r="DP167" s="150"/>
      <c r="DQ167" s="150"/>
      <c r="DR167" s="150"/>
      <c r="DS167" s="150"/>
      <c r="DT167" s="150"/>
      <c r="DU167" s="150"/>
      <c r="DV167" s="150"/>
      <c r="DW167" s="150"/>
      <c r="DX167" s="150"/>
      <c r="DY167" s="150"/>
      <c r="DZ167" s="150"/>
      <c r="EA167" s="150"/>
      <c r="EB167" s="150"/>
      <c r="EC167" s="150"/>
      <c r="ED167" s="150"/>
      <c r="EE167" s="150"/>
      <c r="EF167" s="150"/>
      <c r="EG167" s="150"/>
      <c r="EH167" s="150"/>
      <c r="EI167" s="150"/>
      <c r="EJ167" s="150"/>
      <c r="EK167" s="150"/>
      <c r="EL167" s="150"/>
      <c r="EM167" s="150"/>
      <c r="EN167" s="150"/>
      <c r="EO167" s="150"/>
      <c r="EP167" s="150"/>
      <c r="EQ167" s="150"/>
      <c r="ER167" s="150"/>
      <c r="ES167" s="150"/>
      <c r="ET167" s="150"/>
      <c r="EU167" s="150"/>
      <c r="EV167" s="150"/>
      <c r="EW167" s="150"/>
      <c r="EX167" s="150"/>
      <c r="EY167" s="150"/>
      <c r="EZ167" s="150"/>
      <c r="FA167" s="150"/>
      <c r="FB167" s="150"/>
      <c r="FC167" s="150"/>
      <c r="FD167" s="150"/>
      <c r="FE167" s="150"/>
      <c r="FF167" s="150"/>
      <c r="FG167" s="150"/>
      <c r="FH167" s="150"/>
      <c r="FI167" s="150"/>
      <c r="FJ167" s="150"/>
      <c r="FK167" s="150"/>
      <c r="FL167" s="150"/>
      <c r="FM167" s="150"/>
      <c r="FN167" s="150"/>
      <c r="FO167" s="150"/>
      <c r="FP167" s="150"/>
      <c r="FQ167" s="150"/>
      <c r="FR167" s="150"/>
      <c r="FS167" s="150"/>
      <c r="FT167" s="150"/>
      <c r="FU167" s="150"/>
      <c r="FV167" s="150"/>
      <c r="FW167" s="150"/>
      <c r="FX167" s="150"/>
      <c r="FY167" s="150"/>
      <c r="FZ167" s="150"/>
      <c r="GA167" s="150"/>
      <c r="GB167" s="150"/>
      <c r="GC167" s="150"/>
      <c r="GD167" s="150"/>
      <c r="GE167" s="150"/>
      <c r="GF167" s="150"/>
      <c r="GG167" s="150"/>
      <c r="GH167" s="150"/>
      <c r="GI167" s="150"/>
      <c r="GJ167" s="150"/>
      <c r="GK167" s="150"/>
      <c r="GL167" s="150"/>
      <c r="GM167" s="150"/>
      <c r="GN167" s="150"/>
      <c r="GO167" s="150"/>
      <c r="GP167" s="150"/>
      <c r="GQ167" s="150"/>
      <c r="GR167" s="150"/>
      <c r="GS167" s="150"/>
      <c r="GT167" s="150"/>
      <c r="GU167" s="150"/>
      <c r="GV167" s="150"/>
      <c r="GW167" s="150"/>
      <c r="GX167" s="150"/>
      <c r="GY167" s="150"/>
      <c r="GZ167" s="150"/>
      <c r="HA167" s="150"/>
      <c r="HB167" s="150"/>
      <c r="HC167" s="150"/>
      <c r="HD167" s="150"/>
      <c r="HE167" s="150"/>
      <c r="HF167" s="150"/>
      <c r="HG167" s="150"/>
      <c r="HH167" s="150"/>
      <c r="HI167" s="150"/>
      <c r="HJ167" s="150"/>
      <c r="HK167" s="150"/>
      <c r="HL167" s="150"/>
      <c r="HM167" s="150"/>
      <c r="HN167" s="150"/>
      <c r="HO167" s="150"/>
      <c r="HP167" s="150"/>
      <c r="HQ167" s="150"/>
      <c r="HR167" s="150"/>
      <c r="HS167" s="150"/>
      <c r="HT167" s="150"/>
      <c r="HU167" s="150"/>
      <c r="HV167" s="150"/>
      <c r="HW167" s="150"/>
      <c r="HX167" s="150"/>
      <c r="HY167" s="150"/>
      <c r="HZ167" s="150"/>
      <c r="IA167" s="150"/>
      <c r="IB167" s="150"/>
      <c r="IC167" s="150"/>
      <c r="ID167" s="150"/>
      <c r="IE167" s="150"/>
      <c r="IF167" s="150"/>
      <c r="IG167" s="150"/>
      <c r="IH167" s="150"/>
      <c r="II167" s="150"/>
      <c r="IJ167" s="150"/>
      <c r="IK167" s="150"/>
      <c r="IL167" s="150"/>
      <c r="IM167" s="150"/>
      <c r="IN167" s="150"/>
      <c r="IO167" s="150"/>
      <c r="IP167" s="150"/>
      <c r="IQ167" s="150"/>
      <c r="IR167" s="150"/>
      <c r="IS167" s="150"/>
      <c r="IT167" s="150"/>
      <c r="IU167" s="150"/>
      <c r="IV167" s="150"/>
      <c r="IW167" s="150"/>
      <c r="IX167" s="150"/>
      <c r="IY167" s="150"/>
      <c r="IZ167" s="150"/>
      <c r="JA167" s="150"/>
      <c r="JB167" s="150"/>
      <c r="JC167" s="150"/>
      <c r="JD167" s="150"/>
      <c r="JE167" s="150"/>
      <c r="JF167" s="150"/>
      <c r="JG167" s="150"/>
      <c r="JH167" s="150"/>
      <c r="JI167" s="150"/>
      <c r="JJ167" s="150"/>
      <c r="JK167" s="150"/>
      <c r="JL167" s="150"/>
      <c r="JM167" s="150"/>
      <c r="JN167" s="150"/>
      <c r="JO167" s="150"/>
      <c r="JP167" s="150"/>
      <c r="JQ167" s="150"/>
      <c r="JR167" s="150"/>
      <c r="JS167" s="150"/>
      <c r="JT167" s="150"/>
      <c r="JU167" s="150"/>
      <c r="JV167" s="150"/>
      <c r="JW167" s="150"/>
      <c r="JX167" s="150"/>
      <c r="JY167" s="150"/>
      <c r="JZ167" s="150"/>
      <c r="KA167" s="150"/>
      <c r="KB167" s="150"/>
      <c r="KC167" s="150"/>
      <c r="KD167" s="150"/>
      <c r="KE167" s="150"/>
      <c r="KF167" s="150"/>
      <c r="KG167" s="150"/>
      <c r="KH167" s="150"/>
      <c r="KI167" s="150"/>
      <c r="KJ167" s="150"/>
      <c r="KK167" s="150"/>
      <c r="KL167" s="150"/>
      <c r="KM167" s="150"/>
      <c r="KN167" s="150"/>
      <c r="KO167" s="150"/>
      <c r="KP167" s="150"/>
      <c r="KQ167" s="150"/>
      <c r="KR167" s="150"/>
      <c r="KS167" s="150"/>
      <c r="KT167" s="150"/>
      <c r="KU167" s="92"/>
    </row>
    <row r="168" spans="1:307" x14ac:dyDescent="0.15">
      <c r="C168" s="92" t="s">
        <v>349</v>
      </c>
      <c r="F168" s="148">
        <f>IF(F$4&gt;$F$6,0,IF(F$4=$F$6,F37,SUM(F158:F167)))</f>
        <v>6.1796647961183733E-2</v>
      </c>
      <c r="G168" s="148">
        <f t="shared" ref="G168:AC168" si="40">IF(G$4&gt;$F$6,0,IF(G$4=$F$6,G37,SUM(G158:G167)))</f>
        <v>6.6798027332341303E-2</v>
      </c>
      <c r="H168" s="148">
        <f t="shared" si="40"/>
        <v>7.120523180762138E-2</v>
      </c>
      <c r="I168" s="148">
        <f t="shared" si="40"/>
        <v>9.7764627294610079E-2</v>
      </c>
      <c r="J168" s="148">
        <f t="shared" si="40"/>
        <v>0.12082710639776997</v>
      </c>
      <c r="K168" s="148">
        <f t="shared" si="40"/>
        <v>0.14233207632718498</v>
      </c>
      <c r="L168" s="148">
        <f t="shared" si="40"/>
        <v>0.20709171076411967</v>
      </c>
      <c r="M168" s="148">
        <f t="shared" si="40"/>
        <v>0.33812911486100067</v>
      </c>
      <c r="N168" s="148">
        <f t="shared" si="40"/>
        <v>0.46876735101124911</v>
      </c>
      <c r="O168" s="148">
        <f t="shared" si="40"/>
        <v>0.56070843983603402</v>
      </c>
      <c r="P168" s="148">
        <f t="shared" si="40"/>
        <v>0.65526269377124269</v>
      </c>
      <c r="Q168" s="148">
        <f t="shared" si="40"/>
        <v>0.81622608097490479</v>
      </c>
      <c r="R168" s="148">
        <f t="shared" si="40"/>
        <v>0.88957292759499795</v>
      </c>
      <c r="S168" s="148">
        <f t="shared" si="40"/>
        <v>0.94904406934461982</v>
      </c>
      <c r="T168" s="148">
        <f t="shared" si="40"/>
        <v>1.3919340303639132</v>
      </c>
      <c r="U168" s="148">
        <f t="shared" si="40"/>
        <v>0</v>
      </c>
      <c r="V168" s="148">
        <f t="shared" si="40"/>
        <v>0</v>
      </c>
      <c r="W168" s="148">
        <f t="shared" si="40"/>
        <v>0</v>
      </c>
      <c r="X168" s="148">
        <f t="shared" si="40"/>
        <v>0</v>
      </c>
      <c r="Y168" s="148">
        <f t="shared" si="40"/>
        <v>0</v>
      </c>
      <c r="Z168" s="148">
        <f t="shared" si="40"/>
        <v>0</v>
      </c>
      <c r="AA168" s="148">
        <f t="shared" si="40"/>
        <v>0</v>
      </c>
      <c r="AB168" s="148">
        <f t="shared" si="40"/>
        <v>0</v>
      </c>
      <c r="AC168" s="148">
        <f t="shared" si="40"/>
        <v>0</v>
      </c>
      <c r="AD168" s="148">
        <f t="shared" ref="AD168:BM168" si="41">IF(AD$4&gt;$F$6,0,SUM(AD158:AD167))</f>
        <v>0</v>
      </c>
      <c r="AE168" s="148">
        <f t="shared" si="41"/>
        <v>0</v>
      </c>
      <c r="AF168" s="148">
        <f t="shared" si="41"/>
        <v>0</v>
      </c>
      <c r="AG168" s="148">
        <f t="shared" si="41"/>
        <v>0</v>
      </c>
      <c r="AH168" s="148">
        <f t="shared" si="41"/>
        <v>0</v>
      </c>
      <c r="AI168" s="148">
        <f t="shared" si="41"/>
        <v>0</v>
      </c>
      <c r="AJ168" s="148">
        <f t="shared" si="41"/>
        <v>0</v>
      </c>
      <c r="AK168" s="148">
        <f t="shared" si="41"/>
        <v>0</v>
      </c>
      <c r="AL168" s="148">
        <f t="shared" si="41"/>
        <v>0</v>
      </c>
      <c r="AM168" s="148">
        <f t="shared" si="41"/>
        <v>0</v>
      </c>
      <c r="AN168" s="148">
        <f t="shared" si="41"/>
        <v>0</v>
      </c>
      <c r="AO168" s="148">
        <f t="shared" si="41"/>
        <v>0</v>
      </c>
      <c r="AP168" s="148">
        <f t="shared" si="41"/>
        <v>0</v>
      </c>
      <c r="AQ168" s="148">
        <f t="shared" si="41"/>
        <v>0</v>
      </c>
      <c r="AR168" s="148">
        <f t="shared" si="41"/>
        <v>0</v>
      </c>
      <c r="AS168" s="148">
        <f t="shared" si="41"/>
        <v>0</v>
      </c>
      <c r="AT168" s="148">
        <f t="shared" si="41"/>
        <v>0</v>
      </c>
      <c r="AU168" s="148">
        <f t="shared" si="41"/>
        <v>0</v>
      </c>
      <c r="AV168" s="148">
        <f t="shared" si="41"/>
        <v>0</v>
      </c>
      <c r="AW168" s="148">
        <f t="shared" si="41"/>
        <v>0</v>
      </c>
      <c r="AX168" s="148">
        <f t="shared" si="41"/>
        <v>0</v>
      </c>
      <c r="AY168" s="148">
        <f t="shared" si="41"/>
        <v>0</v>
      </c>
      <c r="AZ168" s="148">
        <f t="shared" si="41"/>
        <v>0</v>
      </c>
      <c r="BA168" s="148">
        <f t="shared" si="41"/>
        <v>0</v>
      </c>
      <c r="BB168" s="148">
        <f t="shared" si="41"/>
        <v>0</v>
      </c>
      <c r="BC168" s="148">
        <f t="shared" si="41"/>
        <v>0</v>
      </c>
      <c r="BD168" s="148">
        <f t="shared" si="41"/>
        <v>0</v>
      </c>
      <c r="BE168" s="148">
        <f t="shared" si="41"/>
        <v>0</v>
      </c>
      <c r="BF168" s="148">
        <f t="shared" si="41"/>
        <v>0</v>
      </c>
      <c r="BG168" s="148">
        <f t="shared" si="41"/>
        <v>0</v>
      </c>
      <c r="BH168" s="148">
        <f t="shared" si="41"/>
        <v>0</v>
      </c>
      <c r="BI168" s="148">
        <f t="shared" si="41"/>
        <v>0</v>
      </c>
      <c r="BJ168" s="148">
        <f t="shared" si="41"/>
        <v>0</v>
      </c>
      <c r="BK168" s="148">
        <f t="shared" si="41"/>
        <v>0</v>
      </c>
      <c r="BL168" s="148">
        <f t="shared" si="41"/>
        <v>0</v>
      </c>
      <c r="BM168" s="148">
        <f t="shared" si="41"/>
        <v>0</v>
      </c>
      <c r="BN168" s="148"/>
      <c r="BO168" s="148"/>
      <c r="BP168" s="148"/>
      <c r="BQ168" s="148"/>
      <c r="BR168" s="148"/>
      <c r="BS168" s="148"/>
      <c r="BT168" s="148"/>
      <c r="BU168" s="148"/>
      <c r="BV168" s="148"/>
      <c r="BW168" s="148"/>
      <c r="BX168" s="148"/>
      <c r="BY168" s="148"/>
      <c r="BZ168" s="148"/>
      <c r="CA168" s="148"/>
      <c r="CB168" s="148"/>
      <c r="CC168" s="148"/>
      <c r="CD168" s="148"/>
      <c r="CE168" s="148"/>
      <c r="CF168" s="148"/>
      <c r="CG168" s="148"/>
      <c r="CH168" s="148"/>
      <c r="CI168" s="148"/>
      <c r="CJ168" s="148"/>
      <c r="CK168" s="148"/>
      <c r="CL168" s="148"/>
      <c r="CM168" s="148"/>
      <c r="CN168" s="148"/>
      <c r="CO168" s="148"/>
      <c r="CP168" s="148"/>
      <c r="CQ168" s="148"/>
      <c r="CR168" s="148"/>
      <c r="CS168" s="148"/>
      <c r="CT168" s="148"/>
      <c r="CU168" s="148"/>
      <c r="CV168" s="148"/>
      <c r="CW168" s="148"/>
      <c r="CX168" s="148"/>
      <c r="CY168" s="148"/>
      <c r="CZ168" s="148"/>
      <c r="DA168" s="148"/>
      <c r="DB168" s="148"/>
      <c r="DC168" s="148"/>
      <c r="DD168" s="148"/>
      <c r="DE168" s="148"/>
      <c r="DF168" s="148"/>
      <c r="DG168" s="148"/>
      <c r="DH168" s="148"/>
      <c r="DI168" s="148"/>
      <c r="DJ168" s="148"/>
      <c r="DK168" s="148"/>
      <c r="DL168" s="148"/>
      <c r="DM168" s="148"/>
      <c r="DN168" s="148"/>
      <c r="DO168" s="148"/>
      <c r="DP168" s="148"/>
      <c r="DQ168" s="148"/>
      <c r="DR168" s="148"/>
      <c r="DS168" s="148"/>
      <c r="DT168" s="148"/>
      <c r="DU168" s="148"/>
      <c r="DV168" s="148"/>
      <c r="DW168" s="148"/>
      <c r="DX168" s="148"/>
      <c r="DY168" s="148"/>
      <c r="DZ168" s="148"/>
      <c r="EA168" s="148"/>
      <c r="EB168" s="148"/>
      <c r="EC168" s="148"/>
      <c r="ED168" s="148"/>
      <c r="EE168" s="148"/>
      <c r="EF168" s="148"/>
      <c r="EG168" s="148"/>
      <c r="EH168" s="148"/>
      <c r="EI168" s="148"/>
      <c r="EJ168" s="148"/>
      <c r="EK168" s="148"/>
      <c r="EL168" s="148"/>
      <c r="EM168" s="148"/>
      <c r="EN168" s="148"/>
      <c r="EO168" s="148"/>
      <c r="EP168" s="148"/>
      <c r="EQ168" s="148"/>
      <c r="ER168" s="148"/>
      <c r="ES168" s="148"/>
      <c r="ET168" s="148"/>
      <c r="EU168" s="148"/>
      <c r="EV168" s="148"/>
      <c r="EW168" s="148"/>
      <c r="EX168" s="148"/>
      <c r="EY168" s="148"/>
      <c r="EZ168" s="148"/>
      <c r="FA168" s="148"/>
      <c r="FB168" s="148"/>
      <c r="FC168" s="148"/>
      <c r="FD168" s="148"/>
      <c r="FE168" s="148"/>
      <c r="FF168" s="148"/>
      <c r="FG168" s="148"/>
      <c r="FH168" s="148"/>
      <c r="FI168" s="148"/>
      <c r="FJ168" s="148"/>
      <c r="FK168" s="148"/>
      <c r="FL168" s="148"/>
      <c r="FM168" s="148"/>
      <c r="FN168" s="148"/>
      <c r="FO168" s="148"/>
      <c r="FP168" s="148"/>
      <c r="FQ168" s="148"/>
      <c r="FR168" s="148"/>
      <c r="FS168" s="148"/>
      <c r="FT168" s="148"/>
      <c r="FU168" s="148"/>
      <c r="FV168" s="148"/>
      <c r="FW168" s="148"/>
      <c r="FX168" s="148"/>
      <c r="FY168" s="148"/>
      <c r="FZ168" s="148"/>
      <c r="GA168" s="148"/>
      <c r="GB168" s="148"/>
      <c r="GC168" s="148"/>
      <c r="GD168" s="148"/>
      <c r="GE168" s="148"/>
      <c r="GF168" s="148"/>
      <c r="GG168" s="148"/>
      <c r="GH168" s="148"/>
      <c r="GI168" s="148"/>
      <c r="GJ168" s="148"/>
      <c r="GK168" s="148"/>
      <c r="GL168" s="148"/>
      <c r="GM168" s="148"/>
      <c r="GN168" s="148"/>
      <c r="GO168" s="148"/>
      <c r="GP168" s="148"/>
      <c r="GQ168" s="148"/>
      <c r="GR168" s="148"/>
      <c r="GS168" s="148"/>
      <c r="GT168" s="148"/>
      <c r="GU168" s="148"/>
      <c r="GV168" s="148"/>
      <c r="GW168" s="148"/>
      <c r="GX168" s="148"/>
      <c r="GY168" s="148"/>
      <c r="GZ168" s="148"/>
      <c r="HA168" s="148"/>
      <c r="HB168" s="148"/>
      <c r="HC168" s="148"/>
      <c r="HD168" s="148"/>
      <c r="HE168" s="148"/>
      <c r="HF168" s="148"/>
      <c r="HG168" s="148"/>
      <c r="HH168" s="148"/>
      <c r="HI168" s="148"/>
      <c r="HJ168" s="148"/>
      <c r="HK168" s="148"/>
      <c r="HL168" s="148"/>
      <c r="HM168" s="148"/>
      <c r="HN168" s="148"/>
      <c r="HO168" s="148"/>
      <c r="HP168" s="148"/>
      <c r="HQ168" s="148"/>
      <c r="HR168" s="148"/>
      <c r="HS168" s="148"/>
      <c r="HT168" s="148"/>
      <c r="HU168" s="148"/>
      <c r="HV168" s="148"/>
      <c r="HW168" s="148"/>
      <c r="HX168" s="148"/>
      <c r="HY168" s="148"/>
      <c r="HZ168" s="148"/>
      <c r="IA168" s="148"/>
      <c r="IB168" s="148"/>
      <c r="IC168" s="148"/>
      <c r="ID168" s="148"/>
      <c r="IE168" s="148"/>
      <c r="IF168" s="148"/>
      <c r="IG168" s="148"/>
      <c r="IH168" s="148"/>
      <c r="II168" s="148"/>
      <c r="IJ168" s="148"/>
      <c r="IK168" s="148"/>
      <c r="IL168" s="148"/>
      <c r="IM168" s="148"/>
      <c r="IN168" s="148"/>
      <c r="IO168" s="148"/>
      <c r="IP168" s="148"/>
      <c r="IQ168" s="148"/>
      <c r="IR168" s="148"/>
      <c r="IS168" s="148"/>
      <c r="IT168" s="148"/>
      <c r="IU168" s="148"/>
      <c r="IV168" s="148"/>
      <c r="IW168" s="148"/>
      <c r="IX168" s="148"/>
      <c r="IY168" s="148"/>
      <c r="IZ168" s="148"/>
      <c r="JA168" s="148"/>
      <c r="JB168" s="148"/>
      <c r="JC168" s="148"/>
      <c r="JD168" s="148"/>
      <c r="JE168" s="148"/>
      <c r="JF168" s="148"/>
      <c r="JG168" s="148"/>
      <c r="JH168" s="148"/>
      <c r="JI168" s="148"/>
      <c r="JJ168" s="148"/>
      <c r="JK168" s="148"/>
      <c r="JL168" s="148"/>
      <c r="JM168" s="148"/>
      <c r="JN168" s="148"/>
      <c r="JO168" s="148"/>
      <c r="JP168" s="148"/>
      <c r="JQ168" s="148"/>
      <c r="JR168" s="148"/>
      <c r="JS168" s="148"/>
      <c r="JT168" s="148"/>
      <c r="JU168" s="148"/>
      <c r="JV168" s="148"/>
      <c r="JW168" s="148"/>
      <c r="JX168" s="148"/>
      <c r="JY168" s="148"/>
      <c r="JZ168" s="148"/>
      <c r="KA168" s="148"/>
      <c r="KB168" s="148"/>
      <c r="KC168" s="148"/>
      <c r="KD168" s="148"/>
      <c r="KE168" s="148"/>
      <c r="KF168" s="148"/>
      <c r="KG168" s="148"/>
      <c r="KH168" s="148"/>
      <c r="KI168" s="148"/>
      <c r="KJ168" s="148"/>
      <c r="KK168" s="148"/>
      <c r="KL168" s="148"/>
      <c r="KM168" s="148"/>
      <c r="KN168" s="148"/>
      <c r="KO168" s="148"/>
      <c r="KP168" s="148"/>
      <c r="KQ168" s="148"/>
      <c r="KR168" s="148"/>
      <c r="KS168" s="148"/>
      <c r="KT168" s="148"/>
    </row>
    <row r="169" spans="1:307" x14ac:dyDescent="0.15">
      <c r="C169" s="157" t="s">
        <v>348</v>
      </c>
      <c r="D169" s="225"/>
      <c r="E169" s="250"/>
      <c r="F169" s="250">
        <f>-IF(F$4&gt;$F$6,0,F168-E168)</f>
        <v>-6.1796647961183733E-2</v>
      </c>
      <c r="G169" s="250">
        <f t="shared" ref="G169:BM169" si="42">-IF(G$4&gt;$F$6,0,G168-F168)</f>
        <v>-5.0013793711575702E-3</v>
      </c>
      <c r="H169" s="250">
        <f t="shared" si="42"/>
        <v>-4.4072044752800771E-3</v>
      </c>
      <c r="I169" s="250">
        <f t="shared" si="42"/>
        <v>-2.6559395486988699E-2</v>
      </c>
      <c r="J169" s="250">
        <f t="shared" si="42"/>
        <v>-2.3062479103159894E-2</v>
      </c>
      <c r="K169" s="250">
        <f t="shared" si="42"/>
        <v>-2.1504969929415002E-2</v>
      </c>
      <c r="L169" s="250">
        <f t="shared" si="42"/>
        <v>-6.4759634436934693E-2</v>
      </c>
      <c r="M169" s="250">
        <f t="shared" si="42"/>
        <v>-0.131037404096881</v>
      </c>
      <c r="N169" s="250">
        <f t="shared" si="42"/>
        <v>-0.13063823615024844</v>
      </c>
      <c r="O169" s="250">
        <f t="shared" si="42"/>
        <v>-9.1941088824784911E-2</v>
      </c>
      <c r="P169" s="250">
        <f t="shared" si="42"/>
        <v>-9.4554253935208665E-2</v>
      </c>
      <c r="Q169" s="250">
        <f t="shared" si="42"/>
        <v>-0.1609633872036621</v>
      </c>
      <c r="R169" s="250">
        <f t="shared" si="42"/>
        <v>-7.3346846620093165E-2</v>
      </c>
      <c r="S169" s="250">
        <f t="shared" si="42"/>
        <v>-5.947114174962187E-2</v>
      </c>
      <c r="T169" s="250">
        <f t="shared" si="42"/>
        <v>-0.44288996101929334</v>
      </c>
      <c r="U169" s="250">
        <f t="shared" si="42"/>
        <v>0</v>
      </c>
      <c r="V169" s="250">
        <f t="shared" si="42"/>
        <v>0</v>
      </c>
      <c r="W169" s="250">
        <f t="shared" si="42"/>
        <v>0</v>
      </c>
      <c r="X169" s="250">
        <f t="shared" si="42"/>
        <v>0</v>
      </c>
      <c r="Y169" s="250">
        <f t="shared" si="42"/>
        <v>0</v>
      </c>
      <c r="Z169" s="250">
        <f t="shared" si="42"/>
        <v>0</v>
      </c>
      <c r="AA169" s="250">
        <f t="shared" si="42"/>
        <v>0</v>
      </c>
      <c r="AB169" s="250">
        <f t="shared" si="42"/>
        <v>0</v>
      </c>
      <c r="AC169" s="250">
        <f t="shared" si="42"/>
        <v>0</v>
      </c>
      <c r="AD169" s="250">
        <f t="shared" si="42"/>
        <v>0</v>
      </c>
      <c r="AE169" s="250">
        <f t="shared" si="42"/>
        <v>0</v>
      </c>
      <c r="AF169" s="250">
        <f t="shared" si="42"/>
        <v>0</v>
      </c>
      <c r="AG169" s="250">
        <f t="shared" si="42"/>
        <v>0</v>
      </c>
      <c r="AH169" s="250">
        <f t="shared" si="42"/>
        <v>0</v>
      </c>
      <c r="AI169" s="250">
        <f t="shared" si="42"/>
        <v>0</v>
      </c>
      <c r="AJ169" s="250">
        <f t="shared" si="42"/>
        <v>0</v>
      </c>
      <c r="AK169" s="250">
        <f t="shared" si="42"/>
        <v>0</v>
      </c>
      <c r="AL169" s="250">
        <f t="shared" si="42"/>
        <v>0</v>
      </c>
      <c r="AM169" s="250">
        <f t="shared" si="42"/>
        <v>0</v>
      </c>
      <c r="AN169" s="250">
        <f t="shared" si="42"/>
        <v>0</v>
      </c>
      <c r="AO169" s="250">
        <f t="shared" si="42"/>
        <v>0</v>
      </c>
      <c r="AP169" s="250">
        <f t="shared" si="42"/>
        <v>0</v>
      </c>
      <c r="AQ169" s="250">
        <f t="shared" si="42"/>
        <v>0</v>
      </c>
      <c r="AR169" s="250">
        <f t="shared" si="42"/>
        <v>0</v>
      </c>
      <c r="AS169" s="250">
        <f t="shared" si="42"/>
        <v>0</v>
      </c>
      <c r="AT169" s="250">
        <f t="shared" si="42"/>
        <v>0</v>
      </c>
      <c r="AU169" s="250">
        <f t="shared" si="42"/>
        <v>0</v>
      </c>
      <c r="AV169" s="250">
        <f t="shared" si="42"/>
        <v>0</v>
      </c>
      <c r="AW169" s="250">
        <f t="shared" si="42"/>
        <v>0</v>
      </c>
      <c r="AX169" s="250">
        <f t="shared" si="42"/>
        <v>0</v>
      </c>
      <c r="AY169" s="250">
        <f t="shared" si="42"/>
        <v>0</v>
      </c>
      <c r="AZ169" s="250">
        <f t="shared" si="42"/>
        <v>0</v>
      </c>
      <c r="BA169" s="250">
        <f t="shared" si="42"/>
        <v>0</v>
      </c>
      <c r="BB169" s="250">
        <f t="shared" si="42"/>
        <v>0</v>
      </c>
      <c r="BC169" s="250">
        <f t="shared" si="42"/>
        <v>0</v>
      </c>
      <c r="BD169" s="250">
        <f t="shared" si="42"/>
        <v>0</v>
      </c>
      <c r="BE169" s="250">
        <f t="shared" si="42"/>
        <v>0</v>
      </c>
      <c r="BF169" s="250">
        <f t="shared" si="42"/>
        <v>0</v>
      </c>
      <c r="BG169" s="250">
        <f t="shared" si="42"/>
        <v>0</v>
      </c>
      <c r="BH169" s="250">
        <f t="shared" si="42"/>
        <v>0</v>
      </c>
      <c r="BI169" s="250">
        <f t="shared" si="42"/>
        <v>0</v>
      </c>
      <c r="BJ169" s="250">
        <f t="shared" si="42"/>
        <v>0</v>
      </c>
      <c r="BK169" s="250">
        <f t="shared" si="42"/>
        <v>0</v>
      </c>
      <c r="BL169" s="250">
        <f t="shared" si="42"/>
        <v>0</v>
      </c>
      <c r="BM169" s="250">
        <f t="shared" si="42"/>
        <v>0</v>
      </c>
      <c r="BN169" s="148"/>
      <c r="BO169" s="148"/>
      <c r="BP169" s="148"/>
      <c r="BQ169" s="148"/>
      <c r="BR169" s="148"/>
      <c r="BS169" s="148"/>
      <c r="BT169" s="148"/>
      <c r="BU169" s="148"/>
      <c r="BV169" s="148"/>
      <c r="BW169" s="148"/>
      <c r="BX169" s="148"/>
      <c r="BY169" s="148"/>
      <c r="BZ169" s="148"/>
      <c r="CA169" s="148"/>
      <c r="CB169" s="148"/>
      <c r="CC169" s="148"/>
      <c r="CD169" s="148"/>
      <c r="CE169" s="148"/>
      <c r="CF169" s="148"/>
      <c r="CG169" s="148"/>
      <c r="CH169" s="148"/>
      <c r="CI169" s="148"/>
      <c r="CJ169" s="148"/>
      <c r="CK169" s="148"/>
      <c r="CL169" s="148"/>
      <c r="CM169" s="148"/>
      <c r="CN169" s="148"/>
      <c r="CO169" s="148"/>
      <c r="CP169" s="148"/>
      <c r="CQ169" s="148"/>
      <c r="CR169" s="148"/>
      <c r="CS169" s="148"/>
      <c r="CT169" s="148"/>
      <c r="CU169" s="148"/>
      <c r="CV169" s="148"/>
      <c r="CW169" s="148"/>
      <c r="CX169" s="148"/>
      <c r="CY169" s="148"/>
      <c r="CZ169" s="148"/>
      <c r="DA169" s="148"/>
      <c r="DB169" s="148"/>
      <c r="DC169" s="148"/>
      <c r="DD169" s="148"/>
      <c r="DE169" s="148"/>
      <c r="DF169" s="148"/>
      <c r="DG169" s="148"/>
      <c r="DH169" s="148"/>
      <c r="DI169" s="148"/>
      <c r="DJ169" s="148"/>
      <c r="DK169" s="148"/>
      <c r="DL169" s="148"/>
      <c r="DM169" s="148"/>
      <c r="DN169" s="148"/>
      <c r="DO169" s="148"/>
      <c r="DP169" s="148"/>
      <c r="DQ169" s="148"/>
      <c r="DR169" s="148"/>
      <c r="DS169" s="148"/>
      <c r="DT169" s="148"/>
      <c r="DU169" s="148"/>
      <c r="DV169" s="148"/>
      <c r="DW169" s="148"/>
      <c r="DX169" s="148"/>
      <c r="DY169" s="148"/>
      <c r="DZ169" s="148"/>
      <c r="EA169" s="148"/>
      <c r="EB169" s="148"/>
      <c r="EC169" s="148"/>
      <c r="ED169" s="148"/>
      <c r="EE169" s="148"/>
      <c r="EF169" s="148"/>
      <c r="EG169" s="148"/>
      <c r="EH169" s="148"/>
      <c r="EI169" s="148"/>
      <c r="EJ169" s="148"/>
      <c r="EK169" s="148"/>
      <c r="EL169" s="148"/>
      <c r="EM169" s="148"/>
      <c r="EN169" s="148"/>
      <c r="EO169" s="148"/>
      <c r="EP169" s="148"/>
      <c r="EQ169" s="148"/>
      <c r="ER169" s="148"/>
      <c r="ES169" s="148"/>
      <c r="ET169" s="148"/>
      <c r="EU169" s="148"/>
      <c r="EV169" s="148"/>
      <c r="EW169" s="148"/>
      <c r="EX169" s="148"/>
      <c r="EY169" s="148"/>
      <c r="EZ169" s="148"/>
      <c r="FA169" s="148"/>
      <c r="FB169" s="148"/>
      <c r="FC169" s="148"/>
      <c r="FD169" s="148"/>
      <c r="FE169" s="148"/>
      <c r="FF169" s="148"/>
      <c r="FG169" s="148"/>
      <c r="FH169" s="148"/>
      <c r="FI169" s="148"/>
      <c r="FJ169" s="148"/>
      <c r="FK169" s="148"/>
      <c r="FL169" s="148"/>
      <c r="FM169" s="148"/>
      <c r="FN169" s="148"/>
      <c r="FO169" s="148"/>
      <c r="FP169" s="148"/>
      <c r="FQ169" s="148"/>
      <c r="FR169" s="148"/>
      <c r="FS169" s="148"/>
      <c r="FT169" s="148"/>
      <c r="FU169" s="148"/>
      <c r="FV169" s="148"/>
      <c r="FW169" s="148"/>
      <c r="FX169" s="148"/>
      <c r="FY169" s="148"/>
      <c r="FZ169" s="148"/>
      <c r="GA169" s="148"/>
      <c r="GB169" s="148"/>
      <c r="GC169" s="148"/>
      <c r="GD169" s="148"/>
      <c r="GE169" s="148"/>
      <c r="GF169" s="148"/>
      <c r="GG169" s="148"/>
      <c r="GH169" s="148"/>
      <c r="GI169" s="148"/>
      <c r="GJ169" s="148"/>
      <c r="GK169" s="148"/>
      <c r="GL169" s="148"/>
      <c r="GM169" s="148"/>
      <c r="GN169" s="148"/>
      <c r="GO169" s="148"/>
      <c r="GP169" s="148"/>
      <c r="GQ169" s="148"/>
      <c r="GR169" s="148"/>
      <c r="GS169" s="148"/>
      <c r="GT169" s="148"/>
      <c r="GU169" s="148"/>
      <c r="GV169" s="148"/>
      <c r="GW169" s="148"/>
      <c r="GX169" s="148"/>
      <c r="GY169" s="148"/>
      <c r="GZ169" s="148"/>
      <c r="HA169" s="148"/>
      <c r="HB169" s="148"/>
      <c r="HC169" s="148"/>
      <c r="HD169" s="148"/>
      <c r="HE169" s="148"/>
      <c r="HF169" s="148"/>
      <c r="HG169" s="148"/>
      <c r="HH169" s="148"/>
      <c r="HI169" s="148"/>
      <c r="HJ169" s="148"/>
      <c r="HK169" s="148"/>
      <c r="HL169" s="148"/>
      <c r="HM169" s="148"/>
      <c r="HN169" s="148"/>
      <c r="HO169" s="148"/>
      <c r="HP169" s="148"/>
      <c r="HQ169" s="148"/>
      <c r="HR169" s="148"/>
      <c r="HS169" s="148"/>
      <c r="HT169" s="148"/>
      <c r="HU169" s="148"/>
      <c r="HV169" s="148"/>
      <c r="HW169" s="148"/>
      <c r="HX169" s="148"/>
      <c r="HY169" s="148"/>
      <c r="HZ169" s="148"/>
      <c r="IA169" s="148"/>
      <c r="IB169" s="148"/>
      <c r="IC169" s="148"/>
      <c r="ID169" s="148"/>
      <c r="IE169" s="148"/>
      <c r="IF169" s="148"/>
      <c r="IG169" s="148"/>
      <c r="IH169" s="148"/>
      <c r="II169" s="148"/>
      <c r="IJ169" s="148"/>
      <c r="IK169" s="148"/>
      <c r="IL169" s="148"/>
      <c r="IM169" s="148"/>
      <c r="IN169" s="148"/>
      <c r="IO169" s="148"/>
      <c r="IP169" s="148"/>
      <c r="IQ169" s="148"/>
      <c r="IR169" s="148"/>
      <c r="IS169" s="148"/>
      <c r="IT169" s="148"/>
      <c r="IU169" s="148"/>
      <c r="IV169" s="148"/>
      <c r="IW169" s="148"/>
      <c r="IX169" s="148"/>
      <c r="IY169" s="148"/>
      <c r="IZ169" s="148"/>
      <c r="JA169" s="148"/>
      <c r="JB169" s="148"/>
      <c r="JC169" s="148"/>
      <c r="JD169" s="148"/>
      <c r="JE169" s="148"/>
      <c r="JF169" s="148"/>
      <c r="JG169" s="148"/>
      <c r="JH169" s="148"/>
      <c r="JI169" s="148"/>
      <c r="JJ169" s="148"/>
      <c r="JK169" s="148"/>
      <c r="JL169" s="148"/>
      <c r="JM169" s="148"/>
      <c r="JN169" s="148"/>
      <c r="JO169" s="148"/>
      <c r="JP169" s="148"/>
      <c r="JQ169" s="148"/>
      <c r="JR169" s="148"/>
      <c r="JS169" s="148"/>
      <c r="JT169" s="148"/>
      <c r="JU169" s="148"/>
      <c r="JV169" s="148"/>
      <c r="JW169" s="148"/>
      <c r="JX169" s="148"/>
      <c r="JY169" s="148"/>
      <c r="JZ169" s="148"/>
      <c r="KA169" s="148"/>
      <c r="KB169" s="148"/>
      <c r="KC169" s="148"/>
      <c r="KD169" s="148"/>
      <c r="KE169" s="148"/>
      <c r="KF169" s="148"/>
      <c r="KG169" s="148"/>
      <c r="KH169" s="148"/>
      <c r="KI169" s="148"/>
      <c r="KJ169" s="148"/>
      <c r="KK169" s="148"/>
      <c r="KL169" s="148"/>
      <c r="KM169" s="148"/>
      <c r="KN169" s="148"/>
      <c r="KO169" s="148"/>
      <c r="KP169" s="148"/>
      <c r="KQ169" s="148"/>
      <c r="KR169" s="148"/>
      <c r="KS169" s="148"/>
      <c r="KT169" s="148"/>
    </row>
    <row r="171" spans="1:307" x14ac:dyDescent="0.15">
      <c r="B171" s="157" t="s">
        <v>348</v>
      </c>
      <c r="C171" s="157"/>
      <c r="E171" s="150"/>
      <c r="F171" s="250" cm="1">
        <f t="array" ref="F171">_xlfn.IFS(Leadsheet!$G$4="IFRS",SAP_Speadsheet!F134,AND(Leadsheet!$G$4="VAS",Leadsheet!$G$5="DPD360+"),SAP_Speadsheet!F154,AND(Leadsheet!$G$4="VAS",Leadsheet!$G$5="DPD180+"),SAP_Speadsheet!F169)</f>
        <v>-0.25971363184298468</v>
      </c>
      <c r="G171" s="250" cm="1">
        <f t="array" ref="G171">_xlfn.IFS(Leadsheet!$G$4="IFRS",SAP_Speadsheet!G134,AND(Leadsheet!$G$4="VAS",Leadsheet!$G$5="DPD360+"),SAP_Speadsheet!G154,AND(Leadsheet!$G$4="VAS",Leadsheet!$G$5="DPD180+"),SAP_Speadsheet!G169)</f>
        <v>-0.11433154922693545</v>
      </c>
      <c r="H171" s="250" cm="1">
        <f t="array" ref="H171">_xlfn.IFS(Leadsheet!$G$4="IFRS",SAP_Speadsheet!H134,AND(Leadsheet!$G$4="VAS",Leadsheet!$G$5="DPD360+"),SAP_Speadsheet!H154,AND(Leadsheet!$G$4="VAS",Leadsheet!$G$5="DPD180+"),SAP_Speadsheet!H169)</f>
        <v>-0.10776363171328307</v>
      </c>
      <c r="I171" s="250" cm="1">
        <f t="array" ref="I171">_xlfn.IFS(Leadsheet!$G$4="IFRS",SAP_Speadsheet!I134,AND(Leadsheet!$G$4="VAS",Leadsheet!$G$5="DPD360+"),SAP_Speadsheet!I154,AND(Leadsheet!$G$4="VAS",Leadsheet!$G$5="DPD180+"),SAP_Speadsheet!I169)</f>
        <v>-0.10136969780303806</v>
      </c>
      <c r="J171" s="250" cm="1">
        <f t="array" ref="J171">_xlfn.IFS(Leadsheet!$G$4="IFRS",SAP_Speadsheet!J134,AND(Leadsheet!$G$4="VAS",Leadsheet!$G$5="DPD360+"),SAP_Speadsheet!J154,AND(Leadsheet!$G$4="VAS",Leadsheet!$G$5="DPD180+"),SAP_Speadsheet!J169)</f>
        <v>-9.5118598224448347E-2</v>
      </c>
      <c r="K171" s="250" cm="1">
        <f t="array" ref="K171">_xlfn.IFS(Leadsheet!$G$4="IFRS",SAP_Speadsheet!K134,AND(Leadsheet!$G$4="VAS",Leadsheet!$G$5="DPD360+"),SAP_Speadsheet!K154,AND(Leadsheet!$G$4="VAS",Leadsheet!$G$5="DPD180+"),SAP_Speadsheet!K169)</f>
        <v>-8.8995197838491413E-2</v>
      </c>
      <c r="L171" s="250" cm="1">
        <f t="array" ref="L171">_xlfn.IFS(Leadsheet!$G$4="IFRS",SAP_Speadsheet!L134,AND(Leadsheet!$G$4="VAS",Leadsheet!$G$5="DPD360+"),SAP_Speadsheet!L154,AND(Leadsheet!$G$4="VAS",Leadsheet!$G$5="DPD180+"),SAP_Speadsheet!L169)</f>
        <v>-8.2984528765833621E-2</v>
      </c>
      <c r="M171" s="250" cm="1">
        <f t="array" ref="M171">_xlfn.IFS(Leadsheet!$G$4="IFRS",SAP_Speadsheet!M134,AND(Leadsheet!$G$4="VAS",Leadsheet!$G$5="DPD360+"),SAP_Speadsheet!M154,AND(Leadsheet!$G$4="VAS",Leadsheet!$G$5="DPD180+"),SAP_Speadsheet!M169)</f>
        <v>-7.9914277404718459E-2</v>
      </c>
      <c r="N171" s="250" cm="1">
        <f t="array" ref="N171">_xlfn.IFS(Leadsheet!$G$4="IFRS",SAP_Speadsheet!N134,AND(Leadsheet!$G$4="VAS",Leadsheet!$G$5="DPD360+"),SAP_Speadsheet!N154,AND(Leadsheet!$G$4="VAS",Leadsheet!$G$5="DPD180+"),SAP_Speadsheet!N169)</f>
        <v>-0.37208556754835342</v>
      </c>
      <c r="O171" s="250" cm="1">
        <f t="array" ref="O171">_xlfn.IFS(Leadsheet!$G$4="IFRS",SAP_Speadsheet!O134,AND(Leadsheet!$G$4="VAS",Leadsheet!$G$5="DPD360+"),SAP_Speadsheet!O154,AND(Leadsheet!$G$4="VAS",Leadsheet!$G$5="DPD180+"),SAP_Speadsheet!O169)</f>
        <v>-2.3332969229985512E-3</v>
      </c>
      <c r="P171" s="250" cm="1">
        <f t="array" ref="P171">_xlfn.IFS(Leadsheet!$G$4="IFRS",SAP_Speadsheet!P134,AND(Leadsheet!$G$4="VAS",Leadsheet!$G$5="DPD360+"),SAP_Speadsheet!P154,AND(Leadsheet!$G$4="VAS",Leadsheet!$G$5="DPD180+"),SAP_Speadsheet!P169)</f>
        <v>-2.1992577900671328E-3</v>
      </c>
      <c r="Q171" s="250" cm="1">
        <f t="array" ref="Q171">_xlfn.IFS(Leadsheet!$G$4="IFRS",SAP_Speadsheet!Q134,AND(Leadsheet!$G$4="VAS",Leadsheet!$G$5="DPD360+"),SAP_Speadsheet!Q154,AND(Leadsheet!$G$4="VAS",Leadsheet!$G$5="DPD180+"),SAP_Speadsheet!Q169)</f>
        <v>-2.0687693429193299E-3</v>
      </c>
      <c r="R171" s="250" cm="1">
        <f t="array" ref="R171">_xlfn.IFS(Leadsheet!$G$4="IFRS",SAP_Speadsheet!R134,AND(Leadsheet!$G$4="VAS",Leadsheet!$G$5="DPD360+"),SAP_Speadsheet!R154,AND(Leadsheet!$G$4="VAS",Leadsheet!$G$5="DPD180+"),SAP_Speadsheet!R169)</f>
        <v>-1.8817715183927497E-3</v>
      </c>
      <c r="S171" s="250" cm="1">
        <f t="array" ref="S171">_xlfn.IFS(Leadsheet!$G$4="IFRS",SAP_Speadsheet!S134,AND(Leadsheet!$G$4="VAS",Leadsheet!$G$5="DPD360+"),SAP_Speadsheet!S154,AND(Leadsheet!$G$4="VAS",Leadsheet!$G$5="DPD180+"),SAP_Speadsheet!S169)</f>
        <v>-4.5200236425939622E-3</v>
      </c>
      <c r="T171" s="250" cm="1">
        <f t="array" ref="T171">_xlfn.IFS(Leadsheet!$G$4="IFRS",SAP_Speadsheet!T134,AND(Leadsheet!$G$4="VAS",Leadsheet!$G$5="DPD360+"),SAP_Speadsheet!T154,AND(Leadsheet!$G$4="VAS",Leadsheet!$G$5="DPD180+"),SAP_Speadsheet!T169)</f>
        <v>-3.6443874524840769E-3</v>
      </c>
      <c r="U171" s="250" cm="1">
        <f t="array" ref="U171">_xlfn.IFS(Leadsheet!$G$4="IFRS",SAP_Speadsheet!U134,AND(Leadsheet!$G$4="VAS",Leadsheet!$G$5="DPD360+"),SAP_Speadsheet!U154,AND(Leadsheet!$G$4="VAS",Leadsheet!$G$5="DPD180+"),SAP_Speadsheet!U169)</f>
        <v>0</v>
      </c>
      <c r="V171" s="250" cm="1">
        <f t="array" ref="V171">_xlfn.IFS(Leadsheet!$G$4="IFRS",SAP_Speadsheet!V134,AND(Leadsheet!$G$4="VAS",Leadsheet!$G$5="DPD360+"),SAP_Speadsheet!V154,AND(Leadsheet!$G$4="VAS",Leadsheet!$G$5="DPD180+"),SAP_Speadsheet!V169)</f>
        <v>0</v>
      </c>
      <c r="W171" s="250" cm="1">
        <f t="array" ref="W171">_xlfn.IFS(Leadsheet!$G$4="IFRS",SAP_Speadsheet!W134,AND(Leadsheet!$G$4="VAS",Leadsheet!$G$5="DPD360+"),SAP_Speadsheet!W154,AND(Leadsheet!$G$4="VAS",Leadsheet!$G$5="DPD180+"),SAP_Speadsheet!W169)</f>
        <v>0</v>
      </c>
      <c r="X171" s="250" cm="1">
        <f t="array" ref="X171">_xlfn.IFS(Leadsheet!$G$4="IFRS",SAP_Speadsheet!X134,AND(Leadsheet!$G$4="VAS",Leadsheet!$G$5="DPD360+"),SAP_Speadsheet!X154,AND(Leadsheet!$G$4="VAS",Leadsheet!$G$5="DPD180+"),SAP_Speadsheet!X169)</f>
        <v>0</v>
      </c>
      <c r="Y171" s="250" cm="1">
        <f t="array" ref="Y171">_xlfn.IFS(Leadsheet!$G$4="IFRS",SAP_Speadsheet!Y134,AND(Leadsheet!$G$4="VAS",Leadsheet!$G$5="DPD360+"),SAP_Speadsheet!Y154,AND(Leadsheet!$G$4="VAS",Leadsheet!$G$5="DPD180+"),SAP_Speadsheet!Y169)</f>
        <v>0</v>
      </c>
      <c r="Z171" s="250" cm="1">
        <f t="array" ref="Z171">_xlfn.IFS(Leadsheet!$G$4="IFRS",SAP_Speadsheet!Z134,AND(Leadsheet!$G$4="VAS",Leadsheet!$G$5="DPD360+"),SAP_Speadsheet!Z154,AND(Leadsheet!$G$4="VAS",Leadsheet!$G$5="DPD180+"),SAP_Speadsheet!Z169)</f>
        <v>0</v>
      </c>
      <c r="AA171" s="250" cm="1">
        <f t="array" ref="AA171">_xlfn.IFS(Leadsheet!$G$4="IFRS",SAP_Speadsheet!AA134,AND(Leadsheet!$G$4="VAS",Leadsheet!$G$5="DPD360+"),SAP_Speadsheet!AA154,AND(Leadsheet!$G$4="VAS",Leadsheet!$G$5="DPD180+"),SAP_Speadsheet!AA169)</f>
        <v>0</v>
      </c>
      <c r="AB171" s="250" cm="1">
        <f t="array" ref="AB171">_xlfn.IFS(Leadsheet!$G$4="IFRS",SAP_Speadsheet!AB134,AND(Leadsheet!$G$4="VAS",Leadsheet!$G$5="DPD360+"),SAP_Speadsheet!AB154,AND(Leadsheet!$G$4="VAS",Leadsheet!$G$5="DPD180+"),SAP_Speadsheet!AB169)</f>
        <v>0</v>
      </c>
      <c r="AC171" s="250" cm="1">
        <f t="array" ref="AC171">_xlfn.IFS(Leadsheet!$G$4="IFRS",SAP_Speadsheet!AC134,AND(Leadsheet!$G$4="VAS",Leadsheet!$G$5="DPD360+"),SAP_Speadsheet!AC154,AND(Leadsheet!$G$4="VAS",Leadsheet!$G$5="DPD180+"),SAP_Speadsheet!AC169)</f>
        <v>0</v>
      </c>
      <c r="AD171" s="250" cm="1">
        <f t="array" ref="AD171">_xlfn.IFS(Leadsheet!$G$4="IFRS",SAP_Speadsheet!AD134,AND(Leadsheet!$G$4="VAS",Leadsheet!$G$5="DPD360+"),SAP_Speadsheet!AD154,AND(Leadsheet!$G$4="VAS",Leadsheet!$G$5="DPD180+"),SAP_Speadsheet!AD169)</f>
        <v>0</v>
      </c>
      <c r="AE171" s="250" cm="1">
        <f t="array" ref="AE171">_xlfn.IFS(Leadsheet!$G$4="IFRS",SAP_Speadsheet!AE134,AND(Leadsheet!$G$4="VAS",Leadsheet!$G$5="DPD360+"),SAP_Speadsheet!AE154,AND(Leadsheet!$G$4="VAS",Leadsheet!$G$5="DPD180+"),SAP_Speadsheet!AE169)</f>
        <v>0</v>
      </c>
      <c r="AF171" s="250" cm="1">
        <f t="array" ref="AF171">_xlfn.IFS(Leadsheet!$G$4="IFRS",SAP_Speadsheet!AF134,AND(Leadsheet!$G$4="VAS",Leadsheet!$G$5="DPD360+"),SAP_Speadsheet!AF154,AND(Leadsheet!$G$4="VAS",Leadsheet!$G$5="DPD180+"),SAP_Speadsheet!AF169)</f>
        <v>0</v>
      </c>
      <c r="AG171" s="250" cm="1">
        <f t="array" ref="AG171">_xlfn.IFS(Leadsheet!$G$4="IFRS",SAP_Speadsheet!AG134,AND(Leadsheet!$G$4="VAS",Leadsheet!$G$5="DPD360+"),SAP_Speadsheet!AG154,AND(Leadsheet!$G$4="VAS",Leadsheet!$G$5="DPD180+"),SAP_Speadsheet!AG169)</f>
        <v>0</v>
      </c>
      <c r="AH171" s="250" cm="1">
        <f t="array" ref="AH171">_xlfn.IFS(Leadsheet!$G$4="IFRS",SAP_Speadsheet!AH134,AND(Leadsheet!$G$4="VAS",Leadsheet!$G$5="DPD360+"),SAP_Speadsheet!AH154,AND(Leadsheet!$G$4="VAS",Leadsheet!$G$5="DPD180+"),SAP_Speadsheet!AH169)</f>
        <v>0</v>
      </c>
      <c r="AI171" s="250" cm="1">
        <f t="array" ref="AI171">_xlfn.IFS(Leadsheet!$G$4="IFRS",SAP_Speadsheet!AI134,AND(Leadsheet!$G$4="VAS",Leadsheet!$G$5="DPD360+"),SAP_Speadsheet!AI154,AND(Leadsheet!$G$4="VAS",Leadsheet!$G$5="DPD180+"),SAP_Speadsheet!AI169)</f>
        <v>0</v>
      </c>
      <c r="AJ171" s="250" cm="1">
        <f t="array" ref="AJ171">_xlfn.IFS(Leadsheet!$G$4="IFRS",SAP_Speadsheet!AJ134,AND(Leadsheet!$G$4="VAS",Leadsheet!$G$5="DPD360+"),SAP_Speadsheet!AJ154,AND(Leadsheet!$G$4="VAS",Leadsheet!$G$5="DPD180+"),SAP_Speadsheet!AJ169)</f>
        <v>0</v>
      </c>
      <c r="AK171" s="250" cm="1">
        <f t="array" ref="AK171">_xlfn.IFS(Leadsheet!$G$4="IFRS",SAP_Speadsheet!AK134,AND(Leadsheet!$G$4="VAS",Leadsheet!$G$5="DPD360+"),SAP_Speadsheet!AK154,AND(Leadsheet!$G$4="VAS",Leadsheet!$G$5="DPD180+"),SAP_Speadsheet!AK169)</f>
        <v>0</v>
      </c>
      <c r="AL171" s="250" cm="1">
        <f t="array" ref="AL171">_xlfn.IFS(Leadsheet!$G$4="IFRS",SAP_Speadsheet!AL134,AND(Leadsheet!$G$4="VAS",Leadsheet!$G$5="DPD360+"),SAP_Speadsheet!AL154,AND(Leadsheet!$G$4="VAS",Leadsheet!$G$5="DPD180+"),SAP_Speadsheet!AL169)</f>
        <v>0</v>
      </c>
      <c r="AM171" s="250" cm="1">
        <f t="array" ref="AM171">_xlfn.IFS(Leadsheet!$G$4="IFRS",SAP_Speadsheet!AM134,AND(Leadsheet!$G$4="VAS",Leadsheet!$G$5="DPD360+"),SAP_Speadsheet!AM154,AND(Leadsheet!$G$4="VAS",Leadsheet!$G$5="DPD180+"),SAP_Speadsheet!AM169)</f>
        <v>0</v>
      </c>
      <c r="AN171" s="250" cm="1">
        <f t="array" ref="AN171">_xlfn.IFS(Leadsheet!$G$4="IFRS",SAP_Speadsheet!AN134,AND(Leadsheet!$G$4="VAS",Leadsheet!$G$5="DPD360+"),SAP_Speadsheet!AN154,AND(Leadsheet!$G$4="VAS",Leadsheet!$G$5="DPD180+"),SAP_Speadsheet!AN169)</f>
        <v>0</v>
      </c>
      <c r="AO171" s="250" cm="1">
        <f t="array" ref="AO171">_xlfn.IFS(Leadsheet!$G$4="IFRS",SAP_Speadsheet!AO134,AND(Leadsheet!$G$4="VAS",Leadsheet!$G$5="DPD360+"),SAP_Speadsheet!AO154,AND(Leadsheet!$G$4="VAS",Leadsheet!$G$5="DPD180+"),SAP_Speadsheet!AO169)</f>
        <v>0</v>
      </c>
      <c r="AP171" s="250" cm="1">
        <f t="array" ref="AP171">_xlfn.IFS(Leadsheet!$G$4="IFRS",SAP_Speadsheet!AP134,AND(Leadsheet!$G$4="VAS",Leadsheet!$G$5="DPD360+"),SAP_Speadsheet!AP154,AND(Leadsheet!$G$4="VAS",Leadsheet!$G$5="DPD180+"),SAP_Speadsheet!AP169)</f>
        <v>0</v>
      </c>
      <c r="AQ171" s="250" cm="1">
        <f t="array" ref="AQ171">_xlfn.IFS(Leadsheet!$G$4="IFRS",SAP_Speadsheet!AQ134,AND(Leadsheet!$G$4="VAS",Leadsheet!$G$5="DPD360+"),SAP_Speadsheet!AQ154,AND(Leadsheet!$G$4="VAS",Leadsheet!$G$5="DPD180+"),SAP_Speadsheet!AQ169)</f>
        <v>0</v>
      </c>
      <c r="AR171" s="250" cm="1">
        <f t="array" ref="AR171">_xlfn.IFS(Leadsheet!$G$4="IFRS",SAP_Speadsheet!AR134,AND(Leadsheet!$G$4="VAS",Leadsheet!$G$5="DPD360+"),SAP_Speadsheet!AR154,AND(Leadsheet!$G$4="VAS",Leadsheet!$G$5="DPD180+"),SAP_Speadsheet!AR169)</f>
        <v>0</v>
      </c>
      <c r="AS171" s="250" cm="1">
        <f t="array" ref="AS171">_xlfn.IFS(Leadsheet!$G$4="IFRS",SAP_Speadsheet!AS134,AND(Leadsheet!$G$4="VAS",Leadsheet!$G$5="DPD360+"),SAP_Speadsheet!AS154,AND(Leadsheet!$G$4="VAS",Leadsheet!$G$5="DPD180+"),SAP_Speadsheet!AS169)</f>
        <v>0</v>
      </c>
      <c r="AT171" s="250" cm="1">
        <f t="array" ref="AT171">_xlfn.IFS(Leadsheet!$G$4="IFRS",SAP_Speadsheet!AT134,AND(Leadsheet!$G$4="VAS",Leadsheet!$G$5="DPD360+"),SAP_Speadsheet!AT154,AND(Leadsheet!$G$4="VAS",Leadsheet!$G$5="DPD180+"),SAP_Speadsheet!AT169)</f>
        <v>0</v>
      </c>
      <c r="AU171" s="250" cm="1">
        <f t="array" ref="AU171">_xlfn.IFS(Leadsheet!$G$4="IFRS",SAP_Speadsheet!AU134,AND(Leadsheet!$G$4="VAS",Leadsheet!$G$5="DPD360+"),SAP_Speadsheet!AU154,AND(Leadsheet!$G$4="VAS",Leadsheet!$G$5="DPD180+"),SAP_Speadsheet!AU169)</f>
        <v>0</v>
      </c>
      <c r="AV171" s="250" cm="1">
        <f t="array" ref="AV171">_xlfn.IFS(Leadsheet!$G$4="IFRS",SAP_Speadsheet!AV134,AND(Leadsheet!$G$4="VAS",Leadsheet!$G$5="DPD360+"),SAP_Speadsheet!AV154,AND(Leadsheet!$G$4="VAS",Leadsheet!$G$5="DPD180+"),SAP_Speadsheet!AV169)</f>
        <v>0</v>
      </c>
      <c r="AW171" s="250" cm="1">
        <f t="array" ref="AW171">_xlfn.IFS(Leadsheet!$G$4="IFRS",SAP_Speadsheet!AW134,AND(Leadsheet!$G$4="VAS",Leadsheet!$G$5="DPD360+"),SAP_Speadsheet!AW154,AND(Leadsheet!$G$4="VAS",Leadsheet!$G$5="DPD180+"),SAP_Speadsheet!AW169)</f>
        <v>0</v>
      </c>
      <c r="AX171" s="250" cm="1">
        <f t="array" ref="AX171">_xlfn.IFS(Leadsheet!$G$4="IFRS",SAP_Speadsheet!AX134,AND(Leadsheet!$G$4="VAS",Leadsheet!$G$5="DPD360+"),SAP_Speadsheet!AX154,AND(Leadsheet!$G$4="VAS",Leadsheet!$G$5="DPD180+"),SAP_Speadsheet!AX169)</f>
        <v>0</v>
      </c>
      <c r="AY171" s="250" cm="1">
        <f t="array" ref="AY171">_xlfn.IFS(Leadsheet!$G$4="IFRS",SAP_Speadsheet!AY134,AND(Leadsheet!$G$4="VAS",Leadsheet!$G$5="DPD360+"),SAP_Speadsheet!AY154,AND(Leadsheet!$G$4="VAS",Leadsheet!$G$5="DPD180+"),SAP_Speadsheet!AY169)</f>
        <v>0</v>
      </c>
      <c r="AZ171" s="250" cm="1">
        <f t="array" ref="AZ171">_xlfn.IFS(Leadsheet!$G$4="IFRS",SAP_Speadsheet!AZ134,AND(Leadsheet!$G$4="VAS",Leadsheet!$G$5="DPD360+"),SAP_Speadsheet!AZ154,AND(Leadsheet!$G$4="VAS",Leadsheet!$G$5="DPD180+"),SAP_Speadsheet!AZ169)</f>
        <v>0</v>
      </c>
      <c r="BA171" s="250" cm="1">
        <f t="array" ref="BA171">_xlfn.IFS(Leadsheet!$G$4="IFRS",SAP_Speadsheet!BA134,AND(Leadsheet!$G$4="VAS",Leadsheet!$G$5="DPD360+"),SAP_Speadsheet!BA154,AND(Leadsheet!$G$4="VAS",Leadsheet!$G$5="DPD180+"),SAP_Speadsheet!BA169)</f>
        <v>0</v>
      </c>
      <c r="BB171" s="250" cm="1">
        <f t="array" ref="BB171">_xlfn.IFS(Leadsheet!$G$4="IFRS",SAP_Speadsheet!BB134,AND(Leadsheet!$G$4="VAS",Leadsheet!$G$5="DPD360+"),SAP_Speadsheet!BB154,AND(Leadsheet!$G$4="VAS",Leadsheet!$G$5="DPD180+"),SAP_Speadsheet!BB169)</f>
        <v>0</v>
      </c>
      <c r="BC171" s="250" cm="1">
        <f t="array" ref="BC171">_xlfn.IFS(Leadsheet!$G$4="IFRS",SAP_Speadsheet!BC134,AND(Leadsheet!$G$4="VAS",Leadsheet!$G$5="DPD360+"),SAP_Speadsheet!BC154,AND(Leadsheet!$G$4="VAS",Leadsheet!$G$5="DPD180+"),SAP_Speadsheet!BC169)</f>
        <v>0</v>
      </c>
      <c r="BD171" s="250" cm="1">
        <f t="array" ref="BD171">_xlfn.IFS(Leadsheet!$G$4="IFRS",SAP_Speadsheet!BD134,AND(Leadsheet!$G$4="VAS",Leadsheet!$G$5="DPD360+"),SAP_Speadsheet!BD154,AND(Leadsheet!$G$4="VAS",Leadsheet!$G$5="DPD180+"),SAP_Speadsheet!BD169)</f>
        <v>0</v>
      </c>
      <c r="BE171" s="250" cm="1">
        <f t="array" ref="BE171">_xlfn.IFS(Leadsheet!$G$4="IFRS",SAP_Speadsheet!BE134,AND(Leadsheet!$G$4="VAS",Leadsheet!$G$5="DPD360+"),SAP_Speadsheet!BE154,AND(Leadsheet!$G$4="VAS",Leadsheet!$G$5="DPD180+"),SAP_Speadsheet!BE169)</f>
        <v>0</v>
      </c>
      <c r="BF171" s="250" cm="1">
        <f t="array" ref="BF171">_xlfn.IFS(Leadsheet!$G$4="IFRS",SAP_Speadsheet!BF134,AND(Leadsheet!$G$4="VAS",Leadsheet!$G$5="DPD360+"),SAP_Speadsheet!BF154,AND(Leadsheet!$G$4="VAS",Leadsheet!$G$5="DPD180+"),SAP_Speadsheet!BF169)</f>
        <v>0</v>
      </c>
      <c r="BG171" s="250" cm="1">
        <f t="array" ref="BG171">_xlfn.IFS(Leadsheet!$G$4="IFRS",SAP_Speadsheet!BG134,AND(Leadsheet!$G$4="VAS",Leadsheet!$G$5="DPD360+"),SAP_Speadsheet!BG154,AND(Leadsheet!$G$4="VAS",Leadsheet!$G$5="DPD180+"),SAP_Speadsheet!BG169)</f>
        <v>0</v>
      </c>
      <c r="BH171" s="250" cm="1">
        <f t="array" ref="BH171">_xlfn.IFS(Leadsheet!$G$4="IFRS",SAP_Speadsheet!BH134,AND(Leadsheet!$G$4="VAS",Leadsheet!$G$5="DPD360+"),SAP_Speadsheet!BH154,AND(Leadsheet!$G$4="VAS",Leadsheet!$G$5="DPD180+"),SAP_Speadsheet!BH169)</f>
        <v>0</v>
      </c>
      <c r="BI171" s="250" cm="1">
        <f t="array" ref="BI171">_xlfn.IFS(Leadsheet!$G$4="IFRS",SAP_Speadsheet!BI134,AND(Leadsheet!$G$4="VAS",Leadsheet!$G$5="DPD360+"),SAP_Speadsheet!BI154,AND(Leadsheet!$G$4="VAS",Leadsheet!$G$5="DPD180+"),SAP_Speadsheet!BI169)</f>
        <v>0</v>
      </c>
      <c r="BJ171" s="250" cm="1">
        <f t="array" ref="BJ171">_xlfn.IFS(Leadsheet!$G$4="IFRS",SAP_Speadsheet!BJ134,AND(Leadsheet!$G$4="VAS",Leadsheet!$G$5="DPD360+"),SAP_Speadsheet!BJ154,AND(Leadsheet!$G$4="VAS",Leadsheet!$G$5="DPD180+"),SAP_Speadsheet!BJ169)</f>
        <v>0</v>
      </c>
      <c r="BK171" s="250" cm="1">
        <f t="array" ref="BK171">_xlfn.IFS(Leadsheet!$G$4="IFRS",SAP_Speadsheet!BK134,AND(Leadsheet!$G$4="VAS",Leadsheet!$G$5="DPD360+"),SAP_Speadsheet!BK154,AND(Leadsheet!$G$4="VAS",Leadsheet!$G$5="DPD180+"),SAP_Speadsheet!BK169)</f>
        <v>0</v>
      </c>
      <c r="BL171" s="250" cm="1">
        <f t="array" ref="BL171">_xlfn.IFS(Leadsheet!$G$4="IFRS",SAP_Speadsheet!BL134,AND(Leadsheet!$G$4="VAS",Leadsheet!$G$5="DPD360+"),SAP_Speadsheet!BL154,AND(Leadsheet!$G$4="VAS",Leadsheet!$G$5="DPD180+"),SAP_Speadsheet!BL169)</f>
        <v>0</v>
      </c>
      <c r="BM171" s="250" cm="1">
        <f t="array" ref="BM171">_xlfn.IFS(Leadsheet!$G$4="IFRS",SAP_Speadsheet!BM134,AND(Leadsheet!$G$4="VAS",Leadsheet!$G$5="DPD360+"),SAP_Speadsheet!BM154,AND(Leadsheet!$G$4="VAS",Leadsheet!$G$5="DPD180+"),SAP_Speadsheet!BM169)</f>
        <v>0</v>
      </c>
      <c r="BN171" s="148"/>
      <c r="BO171" s="148"/>
      <c r="BP171" s="148"/>
      <c r="BQ171" s="148"/>
      <c r="BR171" s="148"/>
      <c r="BS171" s="148"/>
      <c r="BT171" s="148"/>
      <c r="BU171" s="148"/>
      <c r="BV171" s="148"/>
      <c r="BW171" s="148"/>
      <c r="BX171" s="148"/>
      <c r="BY171" s="148"/>
      <c r="BZ171" s="148"/>
      <c r="CA171" s="148"/>
      <c r="CB171" s="148"/>
      <c r="CC171" s="148"/>
      <c r="CD171" s="148"/>
      <c r="CE171" s="148"/>
      <c r="CF171" s="148"/>
      <c r="CG171" s="148"/>
      <c r="CH171" s="148"/>
      <c r="CI171" s="148"/>
      <c r="CJ171" s="148"/>
      <c r="CK171" s="148"/>
      <c r="CL171" s="148"/>
      <c r="CM171" s="148"/>
      <c r="CN171" s="148"/>
      <c r="CO171" s="148"/>
      <c r="CP171" s="148"/>
      <c r="CQ171" s="148"/>
      <c r="CR171" s="148"/>
      <c r="CS171" s="148"/>
      <c r="CT171" s="148"/>
      <c r="CU171" s="148"/>
      <c r="CV171" s="148"/>
      <c r="CW171" s="148"/>
      <c r="CX171" s="148"/>
      <c r="CY171" s="148"/>
      <c r="CZ171" s="148"/>
      <c r="DA171" s="148"/>
      <c r="DB171" s="148"/>
      <c r="DC171" s="148"/>
      <c r="DD171" s="148"/>
      <c r="DE171" s="148"/>
      <c r="DF171" s="148"/>
      <c r="DG171" s="148"/>
      <c r="DH171" s="148"/>
      <c r="DI171" s="148"/>
      <c r="DJ171" s="148"/>
      <c r="DK171" s="148"/>
      <c r="DL171" s="148"/>
      <c r="DM171" s="148"/>
      <c r="DN171" s="148"/>
      <c r="DO171" s="148"/>
      <c r="DP171" s="148"/>
      <c r="DQ171" s="148"/>
      <c r="DR171" s="148"/>
      <c r="DS171" s="148"/>
      <c r="DT171" s="148"/>
      <c r="DU171" s="148"/>
      <c r="DV171" s="148"/>
      <c r="DW171" s="148"/>
      <c r="DX171" s="148"/>
      <c r="DY171" s="148"/>
      <c r="DZ171" s="148"/>
      <c r="EA171" s="148"/>
      <c r="EB171" s="148"/>
      <c r="EC171" s="148"/>
      <c r="ED171" s="148"/>
      <c r="EE171" s="148"/>
      <c r="EF171" s="148"/>
      <c r="EG171" s="148"/>
      <c r="EH171" s="148"/>
      <c r="EI171" s="148"/>
      <c r="EJ171" s="148"/>
      <c r="EK171" s="148"/>
      <c r="EL171" s="148"/>
      <c r="EM171" s="148"/>
      <c r="EN171" s="148"/>
      <c r="EO171" s="148"/>
      <c r="EP171" s="148"/>
      <c r="EQ171" s="148"/>
      <c r="ER171" s="148"/>
      <c r="ES171" s="148"/>
      <c r="ET171" s="148"/>
      <c r="EU171" s="148"/>
      <c r="EV171" s="148"/>
      <c r="EW171" s="148"/>
      <c r="EX171" s="148"/>
      <c r="EY171" s="148"/>
      <c r="EZ171" s="148"/>
      <c r="FA171" s="148"/>
      <c r="FB171" s="148"/>
      <c r="FC171" s="148"/>
      <c r="FD171" s="148"/>
      <c r="FE171" s="148"/>
      <c r="FF171" s="148"/>
      <c r="FG171" s="148"/>
      <c r="FH171" s="148"/>
      <c r="FI171" s="148"/>
      <c r="FJ171" s="148"/>
      <c r="FK171" s="148"/>
      <c r="FL171" s="148"/>
      <c r="FM171" s="148"/>
      <c r="FN171" s="148"/>
      <c r="FO171" s="148"/>
      <c r="FP171" s="148"/>
      <c r="FQ171" s="148"/>
      <c r="FR171" s="148"/>
      <c r="FS171" s="148"/>
      <c r="FT171" s="148"/>
      <c r="FU171" s="148"/>
      <c r="FV171" s="148"/>
      <c r="FW171" s="148"/>
      <c r="FX171" s="148"/>
      <c r="FY171" s="148"/>
      <c r="FZ171" s="148"/>
      <c r="GA171" s="148"/>
      <c r="GB171" s="148"/>
      <c r="GC171" s="148"/>
      <c r="GD171" s="148"/>
      <c r="GE171" s="148"/>
      <c r="GF171" s="148"/>
      <c r="GG171" s="148"/>
      <c r="GH171" s="148"/>
      <c r="GI171" s="148"/>
      <c r="GJ171" s="148"/>
      <c r="GK171" s="148"/>
      <c r="GL171" s="148"/>
      <c r="GM171" s="148"/>
      <c r="GN171" s="148"/>
      <c r="GO171" s="148"/>
      <c r="GP171" s="148"/>
      <c r="GQ171" s="148"/>
      <c r="GR171" s="148"/>
      <c r="GS171" s="148"/>
      <c r="GT171" s="148"/>
      <c r="GU171" s="148"/>
      <c r="GV171" s="148"/>
      <c r="GW171" s="148"/>
      <c r="GX171" s="148"/>
      <c r="GY171" s="148"/>
      <c r="GZ171" s="148"/>
      <c r="HA171" s="148"/>
      <c r="HB171" s="148"/>
      <c r="HC171" s="148"/>
      <c r="HD171" s="148"/>
      <c r="HE171" s="148"/>
      <c r="HF171" s="148"/>
      <c r="HG171" s="148"/>
      <c r="HH171" s="148"/>
      <c r="HI171" s="148"/>
      <c r="HJ171" s="148"/>
      <c r="HK171" s="148"/>
      <c r="HL171" s="148"/>
      <c r="HM171" s="148"/>
      <c r="HN171" s="148"/>
      <c r="HO171" s="148"/>
      <c r="HP171" s="148"/>
      <c r="HQ171" s="148"/>
      <c r="HR171" s="148"/>
      <c r="HS171" s="148"/>
      <c r="HT171" s="148"/>
      <c r="HU171" s="148"/>
      <c r="HV171" s="148"/>
      <c r="HW171" s="148"/>
      <c r="HX171" s="148"/>
      <c r="HY171" s="148"/>
      <c r="HZ171" s="148"/>
      <c r="IA171" s="148"/>
      <c r="IB171" s="148"/>
      <c r="IC171" s="148"/>
      <c r="ID171" s="148"/>
      <c r="IE171" s="148"/>
      <c r="IF171" s="148"/>
      <c r="IG171" s="148"/>
      <c r="IH171" s="148"/>
      <c r="II171" s="148"/>
      <c r="IJ171" s="148"/>
      <c r="IK171" s="148"/>
      <c r="IL171" s="148"/>
      <c r="IM171" s="148"/>
      <c r="IN171" s="148"/>
      <c r="IO171" s="148"/>
      <c r="IP171" s="148"/>
      <c r="IQ171" s="148"/>
      <c r="IR171" s="148"/>
      <c r="IS171" s="148"/>
      <c r="IT171" s="148"/>
      <c r="IU171" s="148"/>
      <c r="IV171" s="148"/>
      <c r="IW171" s="148"/>
      <c r="IX171" s="148"/>
      <c r="IY171" s="148"/>
      <c r="IZ171" s="148"/>
      <c r="JA171" s="148"/>
      <c r="JB171" s="148"/>
      <c r="JC171" s="148"/>
      <c r="JD171" s="148"/>
      <c r="JE171" s="148"/>
      <c r="JF171" s="148"/>
      <c r="JG171" s="148"/>
      <c r="JH171" s="148"/>
      <c r="JI171" s="148"/>
      <c r="JJ171" s="148"/>
      <c r="JK171" s="148"/>
      <c r="JL171" s="148"/>
      <c r="JM171" s="148"/>
      <c r="JN171" s="148"/>
      <c r="JO171" s="148"/>
      <c r="JP171" s="148"/>
      <c r="JQ171" s="148"/>
      <c r="JR171" s="148"/>
      <c r="JS171" s="148"/>
      <c r="JT171" s="148"/>
      <c r="JU171" s="148"/>
      <c r="JV171" s="148"/>
      <c r="JW171" s="148"/>
      <c r="JX171" s="148"/>
      <c r="JY171" s="148"/>
      <c r="JZ171" s="148"/>
      <c r="KA171" s="148"/>
      <c r="KB171" s="148"/>
      <c r="KC171" s="148"/>
      <c r="KD171" s="148"/>
      <c r="KE171" s="148"/>
      <c r="KF171" s="148"/>
      <c r="KG171" s="148"/>
      <c r="KH171" s="148"/>
      <c r="KI171" s="148"/>
      <c r="KJ171" s="148"/>
      <c r="KK171" s="148"/>
      <c r="KL171" s="148"/>
      <c r="KM171" s="148"/>
      <c r="KN171" s="148"/>
      <c r="KO171" s="148"/>
      <c r="KP171" s="148"/>
      <c r="KQ171" s="148"/>
      <c r="KR171" s="148"/>
      <c r="KS171" s="148"/>
      <c r="KT171" s="148"/>
    </row>
    <row r="173" spans="1:307" ht="13" thickBot="1" x14ac:dyDescent="0.2">
      <c r="A173" s="157"/>
      <c r="B173" s="230" t="s">
        <v>354</v>
      </c>
      <c r="C173" s="231"/>
      <c r="D173" s="232"/>
      <c r="E173" s="233"/>
      <c r="F173" s="234"/>
      <c r="G173" s="233"/>
      <c r="H173" s="233"/>
      <c r="I173" s="233"/>
      <c r="J173" s="233"/>
      <c r="K173" s="233"/>
      <c r="L173" s="233"/>
      <c r="M173" s="233"/>
      <c r="N173" s="233"/>
      <c r="O173" s="233"/>
      <c r="P173" s="233"/>
      <c r="Q173" s="233"/>
      <c r="R173" s="233"/>
      <c r="S173" s="233"/>
      <c r="T173" s="233"/>
      <c r="U173" s="233"/>
      <c r="V173" s="233"/>
      <c r="W173" s="233"/>
      <c r="X173" s="233"/>
      <c r="Y173" s="233"/>
      <c r="Z173" s="233"/>
      <c r="AA173" s="233"/>
      <c r="AB173" s="233"/>
      <c r="AC173" s="233"/>
      <c r="AD173" s="233"/>
      <c r="AE173" s="233"/>
      <c r="AF173" s="233"/>
      <c r="AG173" s="233"/>
      <c r="AH173" s="233"/>
      <c r="AI173" s="233"/>
      <c r="AJ173" s="233"/>
      <c r="AK173" s="233"/>
      <c r="AL173" s="233"/>
      <c r="AM173" s="233"/>
      <c r="AN173" s="233"/>
      <c r="AO173" s="233"/>
      <c r="AP173" s="233"/>
      <c r="AQ173" s="233"/>
      <c r="AR173" s="233"/>
      <c r="AS173" s="233"/>
      <c r="AT173" s="233"/>
      <c r="AU173" s="233"/>
      <c r="AV173" s="233"/>
      <c r="AW173" s="233"/>
      <c r="AX173" s="233"/>
      <c r="AY173" s="233"/>
      <c r="AZ173" s="233"/>
      <c r="BA173" s="233"/>
      <c r="BB173" s="233"/>
      <c r="BC173" s="233"/>
      <c r="BD173" s="233"/>
      <c r="BE173" s="233"/>
      <c r="BF173" s="233"/>
      <c r="BG173" s="233"/>
      <c r="BH173" s="233"/>
      <c r="BI173" s="233"/>
      <c r="BJ173" s="233"/>
      <c r="BK173" s="233"/>
      <c r="BL173" s="233"/>
      <c r="BM173" s="233"/>
    </row>
    <row r="174" spans="1:307" ht="12" thickTop="1" x14ac:dyDescent="0.15"/>
    <row r="175" spans="1:307" x14ac:dyDescent="0.15">
      <c r="C175" s="92" t="s">
        <v>355</v>
      </c>
      <c r="E175" s="150"/>
      <c r="F175" s="150">
        <f t="shared" ref="F175:BM175" si="43">F48+F62</f>
        <v>0.31788731937043679</v>
      </c>
      <c r="G175" s="150">
        <f t="shared" si="43"/>
        <v>0.15648945017973626</v>
      </c>
      <c r="H175" s="150">
        <f t="shared" si="43"/>
        <v>0.14687268075722337</v>
      </c>
      <c r="I175" s="150">
        <f t="shared" si="43"/>
        <v>0.13761360309585571</v>
      </c>
      <c r="J175" s="150">
        <f t="shared" si="43"/>
        <v>0.12863989533816159</v>
      </c>
      <c r="K175" s="150">
        <f t="shared" si="43"/>
        <v>0.11990047341154184</v>
      </c>
      <c r="L175" s="150">
        <f t="shared" si="43"/>
        <v>0.11137048937491721</v>
      </c>
      <c r="M175" s="150">
        <f t="shared" si="43"/>
        <v>0.10302539741471226</v>
      </c>
      <c r="N175" s="150">
        <f t="shared" si="43"/>
        <v>0.10409432548695546</v>
      </c>
      <c r="O175" s="150">
        <f t="shared" si="43"/>
        <v>-8.5098960560901875E-3</v>
      </c>
      <c r="P175" s="150">
        <f t="shared" si="43"/>
        <v>-8.8110429557159767E-3</v>
      </c>
      <c r="Q175" s="150">
        <f t="shared" si="43"/>
        <v>-8.5572922771736948E-3</v>
      </c>
      <c r="R175" s="150">
        <f t="shared" si="43"/>
        <v>-8.4588861521406409E-3</v>
      </c>
      <c r="S175" s="150">
        <f t="shared" si="43"/>
        <v>-8.4347772889783092E-3</v>
      </c>
      <c r="T175" s="150">
        <f t="shared" si="43"/>
        <v>-8.4275220656540046E-3</v>
      </c>
      <c r="U175" s="150">
        <f t="shared" si="43"/>
        <v>0</v>
      </c>
      <c r="V175" s="150">
        <f t="shared" si="43"/>
        <v>0</v>
      </c>
      <c r="W175" s="150">
        <f t="shared" si="43"/>
        <v>0</v>
      </c>
      <c r="X175" s="150">
        <f t="shared" si="43"/>
        <v>0</v>
      </c>
      <c r="Y175" s="150">
        <f t="shared" si="43"/>
        <v>0</v>
      </c>
      <c r="Z175" s="150">
        <f t="shared" si="43"/>
        <v>0</v>
      </c>
      <c r="AA175" s="150">
        <f t="shared" si="43"/>
        <v>0</v>
      </c>
      <c r="AB175" s="150">
        <f t="shared" si="43"/>
        <v>0</v>
      </c>
      <c r="AC175" s="150">
        <f t="shared" si="43"/>
        <v>0</v>
      </c>
      <c r="AD175" s="150">
        <f t="shared" si="43"/>
        <v>0</v>
      </c>
      <c r="AE175" s="150">
        <f t="shared" si="43"/>
        <v>0</v>
      </c>
      <c r="AF175" s="150">
        <f t="shared" si="43"/>
        <v>0</v>
      </c>
      <c r="AG175" s="150">
        <f t="shared" si="43"/>
        <v>0</v>
      </c>
      <c r="AH175" s="150">
        <f t="shared" si="43"/>
        <v>0</v>
      </c>
      <c r="AI175" s="150">
        <f t="shared" si="43"/>
        <v>0</v>
      </c>
      <c r="AJ175" s="150">
        <f t="shared" si="43"/>
        <v>0</v>
      </c>
      <c r="AK175" s="150">
        <f t="shared" si="43"/>
        <v>0</v>
      </c>
      <c r="AL175" s="150">
        <f t="shared" si="43"/>
        <v>0</v>
      </c>
      <c r="AM175" s="150">
        <f t="shared" si="43"/>
        <v>0</v>
      </c>
      <c r="AN175" s="150">
        <f t="shared" si="43"/>
        <v>0</v>
      </c>
      <c r="AO175" s="150">
        <f t="shared" si="43"/>
        <v>0</v>
      </c>
      <c r="AP175" s="150">
        <f t="shared" si="43"/>
        <v>0</v>
      </c>
      <c r="AQ175" s="150">
        <f t="shared" si="43"/>
        <v>0</v>
      </c>
      <c r="AR175" s="150">
        <f t="shared" si="43"/>
        <v>0</v>
      </c>
      <c r="AS175" s="150">
        <f t="shared" si="43"/>
        <v>0</v>
      </c>
      <c r="AT175" s="150">
        <f t="shared" si="43"/>
        <v>0</v>
      </c>
      <c r="AU175" s="150">
        <f t="shared" si="43"/>
        <v>0</v>
      </c>
      <c r="AV175" s="150">
        <f t="shared" si="43"/>
        <v>0</v>
      </c>
      <c r="AW175" s="150">
        <f t="shared" si="43"/>
        <v>0</v>
      </c>
      <c r="AX175" s="150">
        <f t="shared" si="43"/>
        <v>0</v>
      </c>
      <c r="AY175" s="150">
        <f t="shared" si="43"/>
        <v>0</v>
      </c>
      <c r="AZ175" s="150">
        <f t="shared" si="43"/>
        <v>0</v>
      </c>
      <c r="BA175" s="150">
        <f t="shared" si="43"/>
        <v>0</v>
      </c>
      <c r="BB175" s="150">
        <f t="shared" si="43"/>
        <v>0</v>
      </c>
      <c r="BC175" s="150">
        <f t="shared" si="43"/>
        <v>0</v>
      </c>
      <c r="BD175" s="150">
        <f t="shared" si="43"/>
        <v>0</v>
      </c>
      <c r="BE175" s="150">
        <f t="shared" si="43"/>
        <v>0</v>
      </c>
      <c r="BF175" s="150">
        <f t="shared" si="43"/>
        <v>0</v>
      </c>
      <c r="BG175" s="150">
        <f t="shared" si="43"/>
        <v>0</v>
      </c>
      <c r="BH175" s="150">
        <f t="shared" si="43"/>
        <v>0</v>
      </c>
      <c r="BI175" s="150">
        <f t="shared" si="43"/>
        <v>0</v>
      </c>
      <c r="BJ175" s="150">
        <f t="shared" si="43"/>
        <v>0</v>
      </c>
      <c r="BK175" s="150">
        <f t="shared" si="43"/>
        <v>0</v>
      </c>
      <c r="BL175" s="150">
        <f t="shared" si="43"/>
        <v>0</v>
      </c>
      <c r="BM175" s="150">
        <f t="shared" si="43"/>
        <v>0</v>
      </c>
      <c r="BN175" s="150"/>
      <c r="BO175" s="150"/>
      <c r="BP175" s="150"/>
      <c r="BQ175" s="150"/>
      <c r="BR175" s="150"/>
      <c r="BS175" s="150"/>
      <c r="BT175" s="150"/>
      <c r="BU175" s="150"/>
      <c r="BV175" s="150"/>
      <c r="BW175" s="150"/>
      <c r="BX175" s="150"/>
      <c r="BY175" s="150"/>
      <c r="BZ175" s="150"/>
      <c r="CA175" s="150"/>
      <c r="CB175" s="150"/>
      <c r="CC175" s="150"/>
      <c r="CD175" s="150"/>
      <c r="CE175" s="150"/>
      <c r="CF175" s="150"/>
      <c r="CG175" s="150"/>
      <c r="CH175" s="150"/>
      <c r="CI175" s="150"/>
      <c r="CJ175" s="150"/>
      <c r="CK175" s="150"/>
      <c r="CL175" s="150"/>
      <c r="CM175" s="150"/>
      <c r="CN175" s="150"/>
      <c r="CO175" s="150"/>
      <c r="CP175" s="150"/>
      <c r="CQ175" s="150"/>
      <c r="CR175" s="150"/>
      <c r="CS175" s="150"/>
      <c r="CT175" s="150"/>
      <c r="CU175" s="150"/>
      <c r="CV175" s="150"/>
      <c r="CW175" s="150"/>
      <c r="CX175" s="150"/>
      <c r="CY175" s="150"/>
      <c r="CZ175" s="150"/>
      <c r="DA175" s="150"/>
      <c r="DB175" s="150"/>
      <c r="DC175" s="150"/>
      <c r="DD175" s="150"/>
      <c r="DE175" s="150"/>
      <c r="DF175" s="150"/>
      <c r="DG175" s="150"/>
      <c r="DH175" s="150"/>
      <c r="DI175" s="150"/>
      <c r="DJ175" s="150"/>
      <c r="DK175" s="150"/>
      <c r="DL175" s="150"/>
      <c r="DM175" s="150"/>
      <c r="DN175" s="150"/>
      <c r="DO175" s="150"/>
      <c r="DP175" s="150"/>
      <c r="DQ175" s="150"/>
      <c r="DR175" s="150"/>
      <c r="DS175" s="150"/>
      <c r="DT175" s="150"/>
      <c r="DU175" s="150"/>
      <c r="DV175" s="150"/>
      <c r="DW175" s="150"/>
      <c r="DX175" s="150"/>
      <c r="DY175" s="150"/>
      <c r="DZ175" s="150"/>
      <c r="EA175" s="150"/>
      <c r="EB175" s="150"/>
      <c r="EC175" s="150"/>
      <c r="ED175" s="150"/>
      <c r="EE175" s="150"/>
      <c r="EF175" s="150"/>
      <c r="EG175" s="150"/>
      <c r="EH175" s="150"/>
      <c r="EI175" s="150"/>
      <c r="EJ175" s="150"/>
      <c r="EK175" s="150"/>
      <c r="EL175" s="150"/>
      <c r="EM175" s="150"/>
      <c r="EN175" s="150"/>
      <c r="EO175" s="150"/>
      <c r="EP175" s="150"/>
      <c r="EQ175" s="150"/>
      <c r="ER175" s="150"/>
      <c r="ES175" s="150"/>
      <c r="ET175" s="150"/>
      <c r="EU175" s="150"/>
      <c r="EV175" s="150"/>
      <c r="EW175" s="150"/>
      <c r="EX175" s="150"/>
      <c r="EY175" s="150"/>
      <c r="EZ175" s="150"/>
      <c r="FA175" s="150"/>
      <c r="FB175" s="150"/>
      <c r="FC175" s="150"/>
      <c r="FD175" s="150"/>
      <c r="FE175" s="150"/>
      <c r="FF175" s="150"/>
      <c r="FG175" s="150"/>
      <c r="FH175" s="150"/>
      <c r="FI175" s="150"/>
      <c r="FJ175" s="150"/>
      <c r="FK175" s="150"/>
      <c r="FL175" s="150"/>
      <c r="FM175" s="150"/>
      <c r="FN175" s="150"/>
      <c r="FO175" s="150"/>
      <c r="FP175" s="150"/>
      <c r="FQ175" s="150"/>
      <c r="FR175" s="150"/>
      <c r="FS175" s="150"/>
      <c r="FT175" s="150"/>
      <c r="FU175" s="150"/>
      <c r="FV175" s="150"/>
      <c r="FW175" s="150"/>
      <c r="FX175" s="150"/>
      <c r="FY175" s="150"/>
      <c r="FZ175" s="150"/>
      <c r="GA175" s="150"/>
      <c r="GB175" s="150"/>
      <c r="GC175" s="150"/>
      <c r="GD175" s="150"/>
      <c r="GE175" s="150"/>
      <c r="GF175" s="150"/>
      <c r="GG175" s="150"/>
      <c r="GH175" s="150"/>
      <c r="GI175" s="150"/>
      <c r="GJ175" s="150"/>
      <c r="GK175" s="150"/>
      <c r="GL175" s="150"/>
      <c r="GM175" s="150"/>
      <c r="GN175" s="150"/>
      <c r="GO175" s="150"/>
      <c r="GP175" s="150"/>
      <c r="GQ175" s="150"/>
      <c r="GR175" s="150"/>
      <c r="GS175" s="150"/>
      <c r="GT175" s="150"/>
      <c r="GU175" s="150"/>
      <c r="GV175" s="150"/>
      <c r="GW175" s="150"/>
      <c r="GX175" s="150"/>
      <c r="GY175" s="150"/>
      <c r="GZ175" s="150"/>
      <c r="HA175" s="150"/>
      <c r="HB175" s="150"/>
      <c r="HC175" s="150"/>
      <c r="HD175" s="150"/>
      <c r="HE175" s="150"/>
      <c r="HF175" s="150"/>
      <c r="HG175" s="150"/>
      <c r="HH175" s="150"/>
      <c r="HI175" s="150"/>
      <c r="HJ175" s="150"/>
      <c r="HK175" s="150"/>
      <c r="HL175" s="150"/>
      <c r="HM175" s="150"/>
      <c r="HN175" s="150"/>
      <c r="HO175" s="150"/>
      <c r="HP175" s="150"/>
      <c r="HQ175" s="150"/>
      <c r="HR175" s="150"/>
      <c r="HS175" s="150"/>
      <c r="HT175" s="150"/>
      <c r="HU175" s="150"/>
      <c r="HV175" s="150"/>
      <c r="HW175" s="150"/>
      <c r="HX175" s="150"/>
      <c r="HY175" s="150"/>
      <c r="HZ175" s="150"/>
      <c r="IA175" s="150"/>
      <c r="IB175" s="150"/>
      <c r="IC175" s="150"/>
      <c r="ID175" s="150"/>
      <c r="IE175" s="150"/>
      <c r="IF175" s="150"/>
      <c r="IG175" s="150"/>
      <c r="IH175" s="150"/>
      <c r="II175" s="150"/>
      <c r="IJ175" s="150"/>
      <c r="IK175" s="150"/>
      <c r="IL175" s="150"/>
      <c r="IM175" s="150"/>
      <c r="IN175" s="150"/>
      <c r="IO175" s="150"/>
      <c r="IP175" s="150"/>
      <c r="IQ175" s="150"/>
      <c r="IR175" s="150"/>
      <c r="IS175" s="150"/>
      <c r="IT175" s="150"/>
      <c r="IU175" s="150"/>
      <c r="IV175" s="150"/>
      <c r="IW175" s="150"/>
      <c r="IX175" s="150"/>
      <c r="IY175" s="150"/>
      <c r="IZ175" s="150"/>
      <c r="JA175" s="150"/>
      <c r="JB175" s="150"/>
      <c r="JC175" s="150"/>
      <c r="JD175" s="150"/>
      <c r="JE175" s="150"/>
      <c r="JF175" s="150"/>
      <c r="JG175" s="150"/>
      <c r="JH175" s="150"/>
      <c r="JI175" s="150"/>
      <c r="JJ175" s="150"/>
      <c r="JK175" s="150"/>
      <c r="JL175" s="150"/>
      <c r="JM175" s="150"/>
      <c r="JN175" s="150"/>
      <c r="JO175" s="150"/>
      <c r="JP175" s="150"/>
      <c r="JQ175" s="150"/>
      <c r="JR175" s="150"/>
      <c r="JS175" s="150"/>
      <c r="JT175" s="150"/>
      <c r="JU175" s="150"/>
      <c r="JV175" s="150"/>
      <c r="JW175" s="150"/>
      <c r="JX175" s="150"/>
      <c r="JY175" s="150"/>
      <c r="JZ175" s="150"/>
      <c r="KA175" s="150"/>
      <c r="KB175" s="150"/>
      <c r="KC175" s="150"/>
      <c r="KD175" s="150"/>
      <c r="KE175" s="150"/>
      <c r="KF175" s="150"/>
      <c r="KG175" s="150"/>
      <c r="KH175" s="150"/>
      <c r="KI175" s="150"/>
      <c r="KJ175" s="150"/>
      <c r="KK175" s="150"/>
      <c r="KL175" s="150"/>
      <c r="KM175" s="150"/>
      <c r="KN175" s="150"/>
      <c r="KO175" s="150"/>
      <c r="KP175" s="150"/>
      <c r="KQ175" s="150"/>
      <c r="KR175" s="150"/>
      <c r="KS175" s="150"/>
      <c r="KT175" s="150"/>
    </row>
    <row r="176" spans="1:307" x14ac:dyDescent="0.15">
      <c r="C176" s="92" t="s">
        <v>356</v>
      </c>
      <c r="E176" s="150"/>
      <c r="F176" s="150">
        <f>F48+F62+F171</f>
        <v>5.8173687527452111E-2</v>
      </c>
      <c r="G176" s="150">
        <f t="shared" ref="G176:BM176" si="44">G48+G62+G171</f>
        <v>4.2157900952800809E-2</v>
      </c>
      <c r="H176" s="150">
        <f t="shared" si="44"/>
        <v>3.9109049043940303E-2</v>
      </c>
      <c r="I176" s="150">
        <f t="shared" si="44"/>
        <v>3.6243905292817652E-2</v>
      </c>
      <c r="J176" s="150">
        <f t="shared" si="44"/>
        <v>3.3521297113713239E-2</v>
      </c>
      <c r="K176" s="150">
        <f t="shared" si="44"/>
        <v>3.0905275573050422E-2</v>
      </c>
      <c r="L176" s="150">
        <f t="shared" si="44"/>
        <v>2.8385960609083591E-2</v>
      </c>
      <c r="M176" s="150">
        <f t="shared" si="44"/>
        <v>2.3111120009993796E-2</v>
      </c>
      <c r="N176" s="150">
        <f t="shared" si="44"/>
        <v>-0.26799124206139796</v>
      </c>
      <c r="O176" s="150">
        <f t="shared" si="44"/>
        <v>-1.0843192979088739E-2</v>
      </c>
      <c r="P176" s="150">
        <f t="shared" si="44"/>
        <v>-1.101030074578311E-2</v>
      </c>
      <c r="Q176" s="150">
        <f t="shared" si="44"/>
        <v>-1.0626061620093025E-2</v>
      </c>
      <c r="R176" s="150">
        <f t="shared" si="44"/>
        <v>-1.0340657670533391E-2</v>
      </c>
      <c r="S176" s="150">
        <f t="shared" si="44"/>
        <v>-1.2954800931572271E-2</v>
      </c>
      <c r="T176" s="150">
        <f t="shared" si="44"/>
        <v>-1.2071909518138082E-2</v>
      </c>
      <c r="U176" s="150">
        <f t="shared" si="44"/>
        <v>0</v>
      </c>
      <c r="V176" s="150">
        <f t="shared" si="44"/>
        <v>0</v>
      </c>
      <c r="W176" s="150">
        <f t="shared" si="44"/>
        <v>0</v>
      </c>
      <c r="X176" s="150">
        <f t="shared" si="44"/>
        <v>0</v>
      </c>
      <c r="Y176" s="150">
        <f t="shared" si="44"/>
        <v>0</v>
      </c>
      <c r="Z176" s="150">
        <f t="shared" si="44"/>
        <v>0</v>
      </c>
      <c r="AA176" s="150">
        <f t="shared" si="44"/>
        <v>0</v>
      </c>
      <c r="AB176" s="150">
        <f t="shared" si="44"/>
        <v>0</v>
      </c>
      <c r="AC176" s="150">
        <f t="shared" si="44"/>
        <v>0</v>
      </c>
      <c r="AD176" s="150">
        <f t="shared" si="44"/>
        <v>0</v>
      </c>
      <c r="AE176" s="150">
        <f t="shared" si="44"/>
        <v>0</v>
      </c>
      <c r="AF176" s="150">
        <f t="shared" si="44"/>
        <v>0</v>
      </c>
      <c r="AG176" s="150">
        <f t="shared" si="44"/>
        <v>0</v>
      </c>
      <c r="AH176" s="150">
        <f t="shared" si="44"/>
        <v>0</v>
      </c>
      <c r="AI176" s="150">
        <f t="shared" si="44"/>
        <v>0</v>
      </c>
      <c r="AJ176" s="150">
        <f t="shared" si="44"/>
        <v>0</v>
      </c>
      <c r="AK176" s="150">
        <f t="shared" si="44"/>
        <v>0</v>
      </c>
      <c r="AL176" s="150">
        <f t="shared" si="44"/>
        <v>0</v>
      </c>
      <c r="AM176" s="150">
        <f t="shared" si="44"/>
        <v>0</v>
      </c>
      <c r="AN176" s="150">
        <f t="shared" si="44"/>
        <v>0</v>
      </c>
      <c r="AO176" s="150">
        <f t="shared" si="44"/>
        <v>0</v>
      </c>
      <c r="AP176" s="150">
        <f t="shared" si="44"/>
        <v>0</v>
      </c>
      <c r="AQ176" s="150">
        <f t="shared" si="44"/>
        <v>0</v>
      </c>
      <c r="AR176" s="150">
        <f t="shared" si="44"/>
        <v>0</v>
      </c>
      <c r="AS176" s="150">
        <f t="shared" si="44"/>
        <v>0</v>
      </c>
      <c r="AT176" s="150">
        <f t="shared" si="44"/>
        <v>0</v>
      </c>
      <c r="AU176" s="150">
        <f t="shared" si="44"/>
        <v>0</v>
      </c>
      <c r="AV176" s="150">
        <f t="shared" si="44"/>
        <v>0</v>
      </c>
      <c r="AW176" s="150">
        <f t="shared" si="44"/>
        <v>0</v>
      </c>
      <c r="AX176" s="150">
        <f t="shared" si="44"/>
        <v>0</v>
      </c>
      <c r="AY176" s="150">
        <f t="shared" si="44"/>
        <v>0</v>
      </c>
      <c r="AZ176" s="150">
        <f t="shared" si="44"/>
        <v>0</v>
      </c>
      <c r="BA176" s="150">
        <f t="shared" si="44"/>
        <v>0</v>
      </c>
      <c r="BB176" s="150">
        <f t="shared" si="44"/>
        <v>0</v>
      </c>
      <c r="BC176" s="150">
        <f t="shared" si="44"/>
        <v>0</v>
      </c>
      <c r="BD176" s="150">
        <f t="shared" si="44"/>
        <v>0</v>
      </c>
      <c r="BE176" s="150">
        <f t="shared" si="44"/>
        <v>0</v>
      </c>
      <c r="BF176" s="150">
        <f t="shared" si="44"/>
        <v>0</v>
      </c>
      <c r="BG176" s="150">
        <f t="shared" si="44"/>
        <v>0</v>
      </c>
      <c r="BH176" s="150">
        <f t="shared" si="44"/>
        <v>0</v>
      </c>
      <c r="BI176" s="150">
        <f t="shared" si="44"/>
        <v>0</v>
      </c>
      <c r="BJ176" s="150">
        <f t="shared" si="44"/>
        <v>0</v>
      </c>
      <c r="BK176" s="150">
        <f t="shared" si="44"/>
        <v>0</v>
      </c>
      <c r="BL176" s="150">
        <f t="shared" si="44"/>
        <v>0</v>
      </c>
      <c r="BM176" s="150">
        <f t="shared" si="44"/>
        <v>0</v>
      </c>
      <c r="BN176" s="150"/>
      <c r="BO176" s="150"/>
      <c r="BP176" s="150"/>
      <c r="BQ176" s="150"/>
      <c r="BR176" s="150"/>
      <c r="BS176" s="150"/>
      <c r="BT176" s="150"/>
      <c r="BU176" s="150"/>
      <c r="BV176" s="150"/>
      <c r="BW176" s="150"/>
      <c r="BX176" s="150"/>
      <c r="BY176" s="150"/>
      <c r="BZ176" s="150"/>
      <c r="CA176" s="150"/>
      <c r="CB176" s="150"/>
      <c r="CC176" s="150"/>
      <c r="CD176" s="150"/>
      <c r="CE176" s="150"/>
      <c r="CF176" s="150"/>
      <c r="CG176" s="150"/>
      <c r="CH176" s="150"/>
      <c r="CI176" s="150"/>
      <c r="CJ176" s="150"/>
      <c r="CK176" s="150"/>
      <c r="CL176" s="150"/>
      <c r="CM176" s="150"/>
      <c r="CN176" s="150"/>
      <c r="CO176" s="150"/>
      <c r="CP176" s="150"/>
      <c r="CQ176" s="150"/>
      <c r="CR176" s="150"/>
      <c r="CS176" s="150"/>
      <c r="CT176" s="150"/>
      <c r="CU176" s="150"/>
      <c r="CV176" s="150"/>
      <c r="CW176" s="150"/>
      <c r="CX176" s="150"/>
      <c r="CY176" s="150"/>
      <c r="CZ176" s="150"/>
      <c r="DA176" s="150"/>
      <c r="DB176" s="150"/>
      <c r="DC176" s="150"/>
      <c r="DD176" s="150"/>
      <c r="DE176" s="150"/>
      <c r="DF176" s="150"/>
      <c r="DG176" s="150"/>
      <c r="DH176" s="150"/>
      <c r="DI176" s="150"/>
      <c r="DJ176" s="150"/>
      <c r="DK176" s="150"/>
      <c r="DL176" s="150"/>
      <c r="DM176" s="150"/>
      <c r="DN176" s="150"/>
      <c r="DO176" s="150"/>
      <c r="DP176" s="150"/>
      <c r="DQ176" s="150"/>
      <c r="DR176" s="150"/>
      <c r="DS176" s="150"/>
      <c r="DT176" s="150"/>
      <c r="DU176" s="150"/>
      <c r="DV176" s="150"/>
      <c r="DW176" s="150"/>
      <c r="DX176" s="150"/>
      <c r="DY176" s="150"/>
      <c r="DZ176" s="150"/>
      <c r="EA176" s="150"/>
      <c r="EB176" s="150"/>
      <c r="EC176" s="150"/>
      <c r="ED176" s="150"/>
      <c r="EE176" s="150"/>
      <c r="EF176" s="150"/>
      <c r="EG176" s="150"/>
      <c r="EH176" s="150"/>
      <c r="EI176" s="150"/>
      <c r="EJ176" s="150"/>
      <c r="EK176" s="150"/>
      <c r="EL176" s="150"/>
      <c r="EM176" s="150"/>
      <c r="EN176" s="150"/>
      <c r="EO176" s="150"/>
      <c r="EP176" s="150"/>
      <c r="EQ176" s="150"/>
      <c r="ER176" s="150"/>
      <c r="ES176" s="150"/>
      <c r="ET176" s="150"/>
      <c r="EU176" s="150"/>
      <c r="EV176" s="150"/>
      <c r="EW176" s="150"/>
      <c r="EX176" s="150"/>
      <c r="EY176" s="150"/>
      <c r="EZ176" s="150"/>
      <c r="FA176" s="150"/>
      <c r="FB176" s="150"/>
      <c r="FC176" s="150"/>
      <c r="FD176" s="150"/>
      <c r="FE176" s="150"/>
      <c r="FF176" s="150"/>
      <c r="FG176" s="150"/>
      <c r="FH176" s="150"/>
      <c r="FI176" s="150"/>
      <c r="FJ176" s="150"/>
      <c r="FK176" s="150"/>
      <c r="FL176" s="150"/>
      <c r="FM176" s="150"/>
      <c r="FN176" s="150"/>
      <c r="FO176" s="150"/>
      <c r="FP176" s="150"/>
      <c r="FQ176" s="150"/>
      <c r="FR176" s="150"/>
      <c r="FS176" s="150"/>
      <c r="FT176" s="150"/>
      <c r="FU176" s="150"/>
      <c r="FV176" s="150"/>
      <c r="FW176" s="150"/>
      <c r="FX176" s="150"/>
      <c r="FY176" s="150"/>
      <c r="FZ176" s="150"/>
      <c r="GA176" s="150"/>
      <c r="GB176" s="150"/>
      <c r="GC176" s="150"/>
      <c r="GD176" s="150"/>
      <c r="GE176" s="150"/>
      <c r="GF176" s="150"/>
      <c r="GG176" s="150"/>
      <c r="GH176" s="150"/>
      <c r="GI176" s="150"/>
      <c r="GJ176" s="150"/>
      <c r="GK176" s="150"/>
      <c r="GL176" s="150"/>
      <c r="GM176" s="150"/>
      <c r="GN176" s="150"/>
      <c r="GO176" s="150"/>
      <c r="GP176" s="150"/>
      <c r="GQ176" s="150"/>
      <c r="GR176" s="150"/>
      <c r="GS176" s="150"/>
      <c r="GT176" s="150"/>
      <c r="GU176" s="150"/>
      <c r="GV176" s="150"/>
      <c r="GW176" s="150"/>
      <c r="GX176" s="150"/>
      <c r="GY176" s="150"/>
      <c r="GZ176" s="150"/>
      <c r="HA176" s="150"/>
      <c r="HB176" s="150"/>
      <c r="HC176" s="150"/>
      <c r="HD176" s="150"/>
      <c r="HE176" s="150"/>
      <c r="HF176" s="150"/>
      <c r="HG176" s="150"/>
      <c r="HH176" s="150"/>
      <c r="HI176" s="150"/>
      <c r="HJ176" s="150"/>
      <c r="HK176" s="150"/>
      <c r="HL176" s="150"/>
      <c r="HM176" s="150"/>
      <c r="HN176" s="150"/>
      <c r="HO176" s="150"/>
      <c r="HP176" s="150"/>
      <c r="HQ176" s="150"/>
      <c r="HR176" s="150"/>
      <c r="HS176" s="150"/>
      <c r="HT176" s="150"/>
      <c r="HU176" s="150"/>
      <c r="HV176" s="150"/>
      <c r="HW176" s="150"/>
      <c r="HX176" s="150"/>
      <c r="HY176" s="150"/>
      <c r="HZ176" s="150"/>
      <c r="IA176" s="150"/>
      <c r="IB176" s="150"/>
      <c r="IC176" s="150"/>
      <c r="ID176" s="150"/>
      <c r="IE176" s="150"/>
      <c r="IF176" s="150"/>
      <c r="IG176" s="150"/>
      <c r="IH176" s="150"/>
      <c r="II176" s="150"/>
      <c r="IJ176" s="150"/>
      <c r="IK176" s="150"/>
      <c r="IL176" s="150"/>
      <c r="IM176" s="150"/>
      <c r="IN176" s="150"/>
      <c r="IO176" s="150"/>
      <c r="IP176" s="150"/>
      <c r="IQ176" s="150"/>
      <c r="IR176" s="150"/>
      <c r="IS176" s="150"/>
      <c r="IT176" s="150"/>
      <c r="IU176" s="150"/>
      <c r="IV176" s="150"/>
      <c r="IW176" s="150"/>
      <c r="IX176" s="150"/>
      <c r="IY176" s="150"/>
      <c r="IZ176" s="150"/>
      <c r="JA176" s="150"/>
      <c r="JB176" s="150"/>
      <c r="JC176" s="150"/>
      <c r="JD176" s="150"/>
      <c r="JE176" s="150"/>
      <c r="JF176" s="150"/>
      <c r="JG176" s="150"/>
      <c r="JH176" s="150"/>
      <c r="JI176" s="150"/>
      <c r="JJ176" s="150"/>
      <c r="JK176" s="150"/>
      <c r="JL176" s="150"/>
      <c r="JM176" s="150"/>
      <c r="JN176" s="150"/>
      <c r="JO176" s="150"/>
      <c r="JP176" s="150"/>
      <c r="JQ176" s="150"/>
      <c r="JR176" s="150"/>
      <c r="JS176" s="150"/>
      <c r="JT176" s="150"/>
      <c r="JU176" s="150"/>
      <c r="JV176" s="150"/>
      <c r="JW176" s="150"/>
      <c r="JX176" s="150"/>
      <c r="JY176" s="150"/>
      <c r="JZ176" s="150"/>
      <c r="KA176" s="150"/>
      <c r="KB176" s="150"/>
      <c r="KC176" s="150"/>
      <c r="KD176" s="150"/>
      <c r="KE176" s="150"/>
      <c r="KF176" s="150"/>
      <c r="KG176" s="150"/>
      <c r="KH176" s="150"/>
      <c r="KI176" s="150"/>
      <c r="KJ176" s="150"/>
      <c r="KK176" s="150"/>
      <c r="KL176" s="150"/>
      <c r="KM176" s="150"/>
      <c r="KN176" s="150"/>
      <c r="KO176" s="150"/>
      <c r="KP176" s="150"/>
      <c r="KQ176" s="150"/>
      <c r="KR176" s="150"/>
      <c r="KS176" s="150"/>
      <c r="KT176" s="150"/>
    </row>
    <row r="177" spans="3:306" s="157" customFormat="1" x14ac:dyDescent="0.15">
      <c r="C177" s="157" t="s">
        <v>208</v>
      </c>
      <c r="D177" s="225"/>
      <c r="E177" s="250"/>
      <c r="F177" s="250">
        <f>F48+F62+F91+F171</f>
        <v>2.1692111085865606E-2</v>
      </c>
      <c r="G177" s="250">
        <f t="shared" ref="G177:BM177" si="45">G48+G62+G91+G171</f>
        <v>6.9639095620938479E-3</v>
      </c>
      <c r="H177" s="250">
        <f t="shared" si="45"/>
        <v>5.2026427041128587E-3</v>
      </c>
      <c r="I177" s="250">
        <f t="shared" si="45"/>
        <v>3.6250840038697385E-3</v>
      </c>
      <c r="J177" s="250">
        <f t="shared" si="45"/>
        <v>2.1900608756448559E-3</v>
      </c>
      <c r="K177" s="250">
        <f t="shared" si="45"/>
        <v>8.6162438586155632E-4</v>
      </c>
      <c r="L177" s="250">
        <f t="shared" si="45"/>
        <v>-3.7010552722574475E-4</v>
      </c>
      <c r="M177" s="250">
        <f t="shared" si="45"/>
        <v>-4.3573610754360226E-3</v>
      </c>
      <c r="N177" s="250">
        <f t="shared" si="45"/>
        <v>-0.29545972314682778</v>
      </c>
      <c r="O177" s="250">
        <f t="shared" si="45"/>
        <v>-1.0843192979088739E-2</v>
      </c>
      <c r="P177" s="250">
        <f t="shared" si="45"/>
        <v>-1.101030074578311E-2</v>
      </c>
      <c r="Q177" s="250">
        <f t="shared" si="45"/>
        <v>-1.0626061620093025E-2</v>
      </c>
      <c r="R177" s="250">
        <f t="shared" si="45"/>
        <v>-1.0340657670533391E-2</v>
      </c>
      <c r="S177" s="250">
        <f t="shared" si="45"/>
        <v>-1.2954800931572271E-2</v>
      </c>
      <c r="T177" s="250">
        <f t="shared" si="45"/>
        <v>-1.2071909518138082E-2</v>
      </c>
      <c r="U177" s="250">
        <f t="shared" si="45"/>
        <v>0</v>
      </c>
      <c r="V177" s="250">
        <f t="shared" si="45"/>
        <v>0</v>
      </c>
      <c r="W177" s="250">
        <f t="shared" si="45"/>
        <v>0</v>
      </c>
      <c r="X177" s="250">
        <f t="shared" si="45"/>
        <v>0</v>
      </c>
      <c r="Y177" s="250">
        <f t="shared" si="45"/>
        <v>0</v>
      </c>
      <c r="Z177" s="250">
        <f t="shared" si="45"/>
        <v>0</v>
      </c>
      <c r="AA177" s="250">
        <f t="shared" si="45"/>
        <v>0</v>
      </c>
      <c r="AB177" s="250">
        <f t="shared" si="45"/>
        <v>0</v>
      </c>
      <c r="AC177" s="250">
        <f t="shared" si="45"/>
        <v>0</v>
      </c>
      <c r="AD177" s="250">
        <f t="shared" si="45"/>
        <v>0</v>
      </c>
      <c r="AE177" s="250">
        <f t="shared" si="45"/>
        <v>0</v>
      </c>
      <c r="AF177" s="250">
        <f t="shared" si="45"/>
        <v>0</v>
      </c>
      <c r="AG177" s="250">
        <f t="shared" si="45"/>
        <v>0</v>
      </c>
      <c r="AH177" s="250">
        <f t="shared" si="45"/>
        <v>0</v>
      </c>
      <c r="AI177" s="250">
        <f t="shared" si="45"/>
        <v>0</v>
      </c>
      <c r="AJ177" s="250">
        <f t="shared" si="45"/>
        <v>0</v>
      </c>
      <c r="AK177" s="250">
        <f t="shared" si="45"/>
        <v>0</v>
      </c>
      <c r="AL177" s="250">
        <f t="shared" si="45"/>
        <v>0</v>
      </c>
      <c r="AM177" s="250">
        <f t="shared" si="45"/>
        <v>0</v>
      </c>
      <c r="AN177" s="250">
        <f t="shared" si="45"/>
        <v>0</v>
      </c>
      <c r="AO177" s="250">
        <f t="shared" si="45"/>
        <v>0</v>
      </c>
      <c r="AP177" s="250">
        <f t="shared" si="45"/>
        <v>0</v>
      </c>
      <c r="AQ177" s="250">
        <f t="shared" si="45"/>
        <v>0</v>
      </c>
      <c r="AR177" s="250">
        <f t="shared" si="45"/>
        <v>0</v>
      </c>
      <c r="AS177" s="250">
        <f t="shared" si="45"/>
        <v>0</v>
      </c>
      <c r="AT177" s="250">
        <f t="shared" si="45"/>
        <v>0</v>
      </c>
      <c r="AU177" s="250">
        <f t="shared" si="45"/>
        <v>0</v>
      </c>
      <c r="AV177" s="250">
        <f t="shared" si="45"/>
        <v>0</v>
      </c>
      <c r="AW177" s="250">
        <f t="shared" si="45"/>
        <v>0</v>
      </c>
      <c r="AX177" s="250">
        <f t="shared" si="45"/>
        <v>0</v>
      </c>
      <c r="AY177" s="250">
        <f t="shared" si="45"/>
        <v>0</v>
      </c>
      <c r="AZ177" s="250">
        <f t="shared" si="45"/>
        <v>0</v>
      </c>
      <c r="BA177" s="250">
        <f t="shared" si="45"/>
        <v>0</v>
      </c>
      <c r="BB177" s="250">
        <f t="shared" si="45"/>
        <v>0</v>
      </c>
      <c r="BC177" s="250">
        <f t="shared" si="45"/>
        <v>0</v>
      </c>
      <c r="BD177" s="250">
        <f t="shared" si="45"/>
        <v>0</v>
      </c>
      <c r="BE177" s="250">
        <f t="shared" si="45"/>
        <v>0</v>
      </c>
      <c r="BF177" s="250">
        <f t="shared" si="45"/>
        <v>0</v>
      </c>
      <c r="BG177" s="250">
        <f t="shared" si="45"/>
        <v>0</v>
      </c>
      <c r="BH177" s="250">
        <f t="shared" si="45"/>
        <v>0</v>
      </c>
      <c r="BI177" s="250">
        <f t="shared" si="45"/>
        <v>0</v>
      </c>
      <c r="BJ177" s="250">
        <f t="shared" si="45"/>
        <v>0</v>
      </c>
      <c r="BK177" s="250">
        <f t="shared" si="45"/>
        <v>0</v>
      </c>
      <c r="BL177" s="250">
        <f t="shared" si="45"/>
        <v>0</v>
      </c>
      <c r="BM177" s="250">
        <f t="shared" si="45"/>
        <v>0</v>
      </c>
      <c r="BN177" s="250"/>
      <c r="BO177" s="250"/>
      <c r="BP177" s="250"/>
      <c r="BQ177" s="250"/>
      <c r="BR177" s="250"/>
      <c r="BS177" s="250"/>
      <c r="BT177" s="250"/>
      <c r="BU177" s="250"/>
      <c r="BV177" s="250"/>
      <c r="BW177" s="250"/>
      <c r="BX177" s="250"/>
      <c r="BY177" s="250"/>
      <c r="BZ177" s="250"/>
      <c r="CA177" s="250"/>
      <c r="CB177" s="250"/>
      <c r="CC177" s="250"/>
      <c r="CD177" s="250"/>
      <c r="CE177" s="250"/>
      <c r="CF177" s="250"/>
      <c r="CG177" s="250"/>
      <c r="CH177" s="250"/>
      <c r="CI177" s="250"/>
      <c r="CJ177" s="250"/>
      <c r="CK177" s="250"/>
      <c r="CL177" s="250"/>
      <c r="CM177" s="250"/>
      <c r="CN177" s="250"/>
      <c r="CO177" s="250"/>
      <c r="CP177" s="250"/>
      <c r="CQ177" s="250"/>
      <c r="CR177" s="250"/>
      <c r="CS177" s="250"/>
      <c r="CT177" s="250"/>
      <c r="CU177" s="250"/>
      <c r="CV177" s="250"/>
      <c r="CW177" s="250"/>
      <c r="CX177" s="250"/>
      <c r="CY177" s="250"/>
      <c r="CZ177" s="250"/>
      <c r="DA177" s="250"/>
      <c r="DB177" s="250"/>
      <c r="DC177" s="250"/>
      <c r="DD177" s="250"/>
      <c r="DE177" s="250"/>
      <c r="DF177" s="250"/>
      <c r="DG177" s="250"/>
      <c r="DH177" s="250"/>
      <c r="DI177" s="250"/>
      <c r="DJ177" s="250"/>
      <c r="DK177" s="250"/>
      <c r="DL177" s="250"/>
      <c r="DM177" s="250"/>
      <c r="DN177" s="250"/>
      <c r="DO177" s="250"/>
      <c r="DP177" s="250"/>
      <c r="DQ177" s="250"/>
      <c r="DR177" s="250"/>
      <c r="DS177" s="250"/>
      <c r="DT177" s="250"/>
      <c r="DU177" s="250"/>
      <c r="DV177" s="250"/>
      <c r="DW177" s="250"/>
      <c r="DX177" s="250"/>
      <c r="DY177" s="250"/>
      <c r="DZ177" s="250"/>
      <c r="EA177" s="250"/>
      <c r="EB177" s="250"/>
      <c r="EC177" s="250"/>
      <c r="ED177" s="250"/>
      <c r="EE177" s="250"/>
      <c r="EF177" s="250"/>
      <c r="EG177" s="250"/>
      <c r="EH177" s="250"/>
      <c r="EI177" s="250"/>
      <c r="EJ177" s="250"/>
      <c r="EK177" s="250"/>
      <c r="EL177" s="250"/>
      <c r="EM177" s="250"/>
      <c r="EN177" s="250"/>
      <c r="EO177" s="250"/>
      <c r="EP177" s="250"/>
      <c r="EQ177" s="250"/>
      <c r="ER177" s="250"/>
      <c r="ES177" s="250"/>
      <c r="ET177" s="250"/>
      <c r="EU177" s="250"/>
      <c r="EV177" s="250"/>
      <c r="EW177" s="250"/>
      <c r="EX177" s="250"/>
      <c r="EY177" s="250"/>
      <c r="EZ177" s="250"/>
      <c r="FA177" s="250"/>
      <c r="FB177" s="250"/>
      <c r="FC177" s="250"/>
      <c r="FD177" s="250"/>
      <c r="FE177" s="250"/>
      <c r="FF177" s="250"/>
      <c r="FG177" s="250"/>
      <c r="FH177" s="250"/>
      <c r="FI177" s="250"/>
      <c r="FJ177" s="250"/>
      <c r="FK177" s="250"/>
      <c r="FL177" s="250"/>
      <c r="FM177" s="250"/>
      <c r="FN177" s="250"/>
      <c r="FO177" s="250"/>
      <c r="FP177" s="250"/>
      <c r="FQ177" s="250"/>
      <c r="FR177" s="250"/>
      <c r="FS177" s="250"/>
      <c r="FT177" s="250"/>
      <c r="FU177" s="250"/>
      <c r="FV177" s="250"/>
      <c r="FW177" s="250"/>
      <c r="FX177" s="250"/>
      <c r="FY177" s="250"/>
      <c r="FZ177" s="250"/>
      <c r="GA177" s="250"/>
      <c r="GB177" s="250"/>
      <c r="GC177" s="250"/>
      <c r="GD177" s="250"/>
      <c r="GE177" s="250"/>
      <c r="GF177" s="250"/>
      <c r="GG177" s="250"/>
      <c r="GH177" s="250"/>
      <c r="GI177" s="250"/>
      <c r="GJ177" s="250"/>
      <c r="GK177" s="250"/>
      <c r="GL177" s="250"/>
      <c r="GM177" s="250"/>
      <c r="GN177" s="250"/>
      <c r="GO177" s="250"/>
      <c r="GP177" s="250"/>
      <c r="GQ177" s="250"/>
      <c r="GR177" s="250"/>
      <c r="GS177" s="250"/>
      <c r="GT177" s="250"/>
      <c r="GU177" s="250"/>
      <c r="GV177" s="250"/>
      <c r="GW177" s="250"/>
      <c r="GX177" s="250"/>
      <c r="GY177" s="250"/>
      <c r="GZ177" s="250"/>
      <c r="HA177" s="250"/>
      <c r="HB177" s="250"/>
      <c r="HC177" s="250"/>
      <c r="HD177" s="250"/>
      <c r="HE177" s="250"/>
      <c r="HF177" s="250"/>
      <c r="HG177" s="250"/>
      <c r="HH177" s="250"/>
      <c r="HI177" s="250"/>
      <c r="HJ177" s="250"/>
      <c r="HK177" s="250"/>
      <c r="HL177" s="250"/>
      <c r="HM177" s="250"/>
      <c r="HN177" s="250"/>
      <c r="HO177" s="250"/>
      <c r="HP177" s="250"/>
      <c r="HQ177" s="250"/>
      <c r="HR177" s="250"/>
      <c r="HS177" s="250"/>
      <c r="HT177" s="250"/>
      <c r="HU177" s="250"/>
      <c r="HV177" s="250"/>
      <c r="HW177" s="250"/>
      <c r="HX177" s="250"/>
      <c r="HY177" s="250"/>
      <c r="HZ177" s="250"/>
      <c r="IA177" s="250"/>
      <c r="IB177" s="250"/>
      <c r="IC177" s="250"/>
      <c r="ID177" s="250"/>
      <c r="IE177" s="250"/>
      <c r="IF177" s="250"/>
      <c r="IG177" s="250"/>
      <c r="IH177" s="250"/>
      <c r="II177" s="250"/>
      <c r="IJ177" s="250"/>
      <c r="IK177" s="250"/>
      <c r="IL177" s="250"/>
      <c r="IM177" s="250"/>
      <c r="IN177" s="250"/>
      <c r="IO177" s="250"/>
      <c r="IP177" s="250"/>
      <c r="IQ177" s="250"/>
      <c r="IR177" s="250"/>
      <c r="IS177" s="250"/>
      <c r="IT177" s="250"/>
      <c r="IU177" s="250"/>
      <c r="IV177" s="250"/>
      <c r="IW177" s="250"/>
      <c r="IX177" s="250"/>
      <c r="IY177" s="250"/>
      <c r="IZ177" s="250"/>
      <c r="JA177" s="250"/>
      <c r="JB177" s="250"/>
      <c r="JC177" s="250"/>
      <c r="JD177" s="250"/>
      <c r="JE177" s="250"/>
      <c r="JF177" s="250"/>
      <c r="JG177" s="250"/>
      <c r="JH177" s="250"/>
      <c r="JI177" s="250"/>
      <c r="JJ177" s="250"/>
      <c r="JK177" s="250"/>
      <c r="JL177" s="250"/>
      <c r="JM177" s="250"/>
      <c r="JN177" s="250"/>
      <c r="JO177" s="250"/>
      <c r="JP177" s="250"/>
      <c r="JQ177" s="250"/>
      <c r="JR177" s="250"/>
      <c r="JS177" s="250"/>
      <c r="JT177" s="250"/>
      <c r="JU177" s="250"/>
      <c r="JV177" s="250"/>
      <c r="JW177" s="250"/>
      <c r="JX177" s="250"/>
      <c r="JY177" s="250"/>
      <c r="JZ177" s="250"/>
      <c r="KA177" s="250"/>
      <c r="KB177" s="250"/>
      <c r="KC177" s="250"/>
      <c r="KD177" s="250"/>
      <c r="KE177" s="250"/>
      <c r="KF177" s="250"/>
      <c r="KG177" s="250"/>
      <c r="KH177" s="250"/>
      <c r="KI177" s="250"/>
      <c r="KJ177" s="250"/>
      <c r="KK177" s="250"/>
      <c r="KL177" s="250"/>
      <c r="KM177" s="250"/>
      <c r="KN177" s="250"/>
      <c r="KO177" s="250"/>
      <c r="KP177" s="250"/>
      <c r="KQ177" s="250"/>
      <c r="KR177" s="250"/>
      <c r="KS177" s="250"/>
      <c r="KT177" s="250"/>
    </row>
    <row r="178" spans="3:306" x14ac:dyDescent="0.15">
      <c r="F178" s="150"/>
      <c r="G178" s="150"/>
      <c r="H178" s="150"/>
      <c r="I178" s="150"/>
      <c r="J178" s="150"/>
      <c r="K178" s="150"/>
      <c r="L178" s="150"/>
      <c r="M178" s="150"/>
      <c r="N178" s="150"/>
      <c r="O178" s="150"/>
      <c r="P178" s="150"/>
      <c r="Q178" s="150"/>
      <c r="R178" s="150"/>
      <c r="S178" s="150"/>
      <c r="T178" s="150"/>
      <c r="U178" s="150"/>
      <c r="V178" s="150"/>
      <c r="W178" s="150"/>
      <c r="X178" s="150"/>
      <c r="Y178" s="150"/>
      <c r="Z178" s="150"/>
      <c r="AA178" s="150"/>
      <c r="AB178" s="150"/>
      <c r="AC178" s="150"/>
      <c r="AD178" s="150"/>
      <c r="AE178" s="150"/>
      <c r="AF178" s="150"/>
      <c r="AG178" s="150"/>
      <c r="AH178" s="150"/>
      <c r="AI178" s="150"/>
      <c r="AJ178" s="150"/>
      <c r="AK178" s="150"/>
      <c r="AL178" s="150"/>
      <c r="AM178" s="150"/>
      <c r="AN178" s="150"/>
      <c r="AO178" s="150"/>
      <c r="AP178" s="150"/>
      <c r="AQ178" s="150"/>
      <c r="AR178" s="150"/>
      <c r="AS178" s="150"/>
      <c r="AT178" s="150"/>
      <c r="AU178" s="150"/>
      <c r="AV178" s="150"/>
      <c r="AW178" s="150"/>
      <c r="AX178" s="150"/>
      <c r="AY178" s="150"/>
      <c r="AZ178" s="150"/>
      <c r="BA178" s="150"/>
      <c r="BB178" s="150"/>
      <c r="BC178" s="150"/>
      <c r="BD178" s="150"/>
    </row>
    <row r="179" spans="3:306" x14ac:dyDescent="0.15">
      <c r="D179" s="263"/>
      <c r="E179" s="235"/>
      <c r="G179" s="264"/>
      <c r="H179" s="264"/>
      <c r="I179" s="264"/>
      <c r="J179" s="264"/>
      <c r="K179" s="264"/>
      <c r="L179" s="264"/>
      <c r="M179" s="264"/>
      <c r="N179" s="264"/>
      <c r="O179" s="264"/>
      <c r="P179" s="264"/>
      <c r="Q179" s="264"/>
      <c r="R179" s="264"/>
      <c r="S179" s="264"/>
      <c r="T179" s="264"/>
      <c r="U179" s="264"/>
      <c r="V179" s="264"/>
      <c r="W179" s="264"/>
      <c r="X179" s="264"/>
      <c r="Y179" s="264"/>
      <c r="Z179" s="264"/>
      <c r="AA179" s="264"/>
      <c r="AB179" s="264"/>
      <c r="AC179" s="264"/>
      <c r="AD179" s="264"/>
      <c r="AE179" s="264"/>
      <c r="AF179" s="264"/>
      <c r="AG179" s="264"/>
      <c r="AH179" s="264"/>
      <c r="AI179" s="264"/>
      <c r="AJ179" s="264"/>
      <c r="AK179" s="264"/>
      <c r="AL179" s="264"/>
      <c r="AM179" s="264"/>
      <c r="AN179" s="264"/>
      <c r="AO179" s="264"/>
      <c r="AP179" s="264"/>
      <c r="AQ179" s="264"/>
      <c r="AR179" s="264"/>
      <c r="AS179" s="264"/>
      <c r="AT179" s="264"/>
      <c r="AU179" s="264"/>
      <c r="AV179" s="264"/>
      <c r="AW179" s="264"/>
      <c r="AX179" s="264"/>
      <c r="AY179" s="264"/>
      <c r="AZ179" s="264"/>
      <c r="BA179" s="264"/>
      <c r="BB179" s="264"/>
      <c r="BC179" s="264"/>
      <c r="BD179" s="264"/>
      <c r="BE179" s="264"/>
      <c r="BF179" s="264"/>
      <c r="BG179" s="264"/>
      <c r="BH179" s="264"/>
      <c r="BI179" s="264"/>
      <c r="BJ179" s="264"/>
      <c r="BK179" s="264"/>
      <c r="BL179" s="264"/>
      <c r="BM179" s="264"/>
      <c r="BN179" s="264"/>
      <c r="BO179" s="264"/>
      <c r="BP179" s="264"/>
      <c r="BQ179" s="264"/>
      <c r="BR179" s="264"/>
      <c r="BS179" s="264"/>
      <c r="BT179" s="264"/>
      <c r="BU179" s="264"/>
      <c r="BV179" s="264"/>
      <c r="BW179" s="264"/>
      <c r="BX179" s="264"/>
      <c r="BY179" s="264"/>
      <c r="BZ179" s="264"/>
      <c r="CA179" s="264"/>
      <c r="CB179" s="264"/>
      <c r="CC179" s="264"/>
      <c r="CD179" s="264"/>
      <c r="CE179" s="264"/>
      <c r="CF179" s="264"/>
      <c r="CG179" s="264"/>
      <c r="CH179" s="264"/>
      <c r="CI179" s="264"/>
      <c r="CJ179" s="264"/>
      <c r="CK179" s="264"/>
      <c r="CL179" s="264"/>
      <c r="CM179" s="264"/>
      <c r="CN179" s="264"/>
      <c r="CO179" s="264"/>
      <c r="CP179" s="264"/>
      <c r="CQ179" s="264"/>
      <c r="CR179" s="264"/>
      <c r="CS179" s="264"/>
      <c r="CT179" s="264"/>
      <c r="CU179" s="264"/>
      <c r="CV179" s="264"/>
      <c r="CW179" s="264"/>
      <c r="CX179" s="264"/>
      <c r="CY179" s="264"/>
      <c r="CZ179" s="264"/>
      <c r="DA179" s="264"/>
      <c r="DB179" s="264"/>
      <c r="DC179" s="264"/>
      <c r="DD179" s="264"/>
      <c r="DE179" s="264"/>
      <c r="DF179" s="264"/>
      <c r="DG179" s="264"/>
      <c r="DH179" s="264"/>
      <c r="DI179" s="264"/>
      <c r="DJ179" s="264"/>
      <c r="DK179" s="264"/>
      <c r="DL179" s="264"/>
      <c r="DM179" s="264"/>
      <c r="DN179" s="264"/>
      <c r="DO179" s="264"/>
      <c r="DP179" s="264"/>
      <c r="DQ179" s="264"/>
      <c r="DR179" s="264"/>
      <c r="DS179" s="264"/>
      <c r="DT179" s="264"/>
      <c r="DU179" s="264"/>
      <c r="DV179" s="264"/>
      <c r="DW179" s="264"/>
      <c r="DX179" s="264"/>
      <c r="DY179" s="264"/>
      <c r="DZ179" s="264"/>
      <c r="EA179" s="264"/>
      <c r="EB179" s="264"/>
      <c r="EC179" s="264"/>
      <c r="ED179" s="264"/>
      <c r="EE179" s="264"/>
      <c r="EF179" s="264"/>
      <c r="EG179" s="264"/>
      <c r="EH179" s="264"/>
      <c r="EI179" s="264"/>
      <c r="EJ179" s="264"/>
      <c r="EK179" s="264"/>
      <c r="EL179" s="264"/>
      <c r="EM179" s="264"/>
      <c r="EN179" s="264"/>
      <c r="EO179" s="264"/>
      <c r="EP179" s="264"/>
      <c r="EQ179" s="264"/>
      <c r="ER179" s="264"/>
      <c r="ES179" s="264"/>
      <c r="ET179" s="264"/>
      <c r="EU179" s="264"/>
      <c r="EV179" s="264"/>
      <c r="EW179" s="264"/>
      <c r="EX179" s="264"/>
      <c r="EY179" s="264"/>
      <c r="EZ179" s="264"/>
      <c r="FA179" s="264"/>
      <c r="FB179" s="264"/>
      <c r="FC179" s="264"/>
      <c r="FD179" s="264"/>
      <c r="FE179" s="264"/>
      <c r="FF179" s="264"/>
      <c r="FG179" s="264"/>
      <c r="FH179" s="264"/>
      <c r="FI179" s="264"/>
      <c r="FJ179" s="264"/>
      <c r="FK179" s="264"/>
      <c r="FL179" s="264"/>
      <c r="FM179" s="264"/>
      <c r="FN179" s="264"/>
      <c r="FO179" s="264"/>
      <c r="FP179" s="264"/>
      <c r="FQ179" s="264"/>
      <c r="FR179" s="264"/>
      <c r="FS179" s="264"/>
      <c r="FT179" s="264"/>
      <c r="FU179" s="264"/>
      <c r="FV179" s="264"/>
      <c r="FW179" s="264"/>
      <c r="FX179" s="264"/>
      <c r="FY179" s="264"/>
      <c r="FZ179" s="264"/>
      <c r="GA179" s="264"/>
      <c r="GB179" s="264"/>
      <c r="GC179" s="264"/>
      <c r="GD179" s="264"/>
      <c r="GE179" s="264"/>
      <c r="GF179" s="264"/>
      <c r="GG179" s="264"/>
      <c r="GH179" s="264"/>
      <c r="GI179" s="264"/>
      <c r="GJ179" s="264"/>
      <c r="GK179" s="264"/>
      <c r="GL179" s="264"/>
      <c r="GM179" s="264"/>
      <c r="GN179" s="264"/>
      <c r="GO179" s="264"/>
      <c r="GP179" s="264"/>
      <c r="GQ179" s="264"/>
      <c r="GR179" s="264"/>
      <c r="GS179" s="264"/>
      <c r="GT179" s="264"/>
      <c r="GU179" s="264"/>
      <c r="GV179" s="264"/>
      <c r="GW179" s="264"/>
      <c r="GX179" s="264"/>
      <c r="GY179" s="264"/>
      <c r="GZ179" s="264"/>
      <c r="HA179" s="264"/>
      <c r="HB179" s="264"/>
      <c r="HC179" s="264"/>
      <c r="HD179" s="264"/>
      <c r="HE179" s="264"/>
      <c r="HF179" s="264"/>
      <c r="HG179" s="264"/>
      <c r="HH179" s="264"/>
      <c r="HI179" s="264"/>
      <c r="HJ179" s="264"/>
      <c r="HK179" s="264"/>
      <c r="HL179" s="264"/>
      <c r="HM179" s="264"/>
      <c r="HN179" s="264"/>
      <c r="HO179" s="264"/>
      <c r="HP179" s="264"/>
      <c r="HQ179" s="264"/>
      <c r="HR179" s="264"/>
      <c r="HS179" s="264"/>
      <c r="HT179" s="264"/>
      <c r="HU179" s="264"/>
      <c r="HV179" s="264"/>
      <c r="HW179" s="264"/>
      <c r="HX179" s="264"/>
      <c r="HY179" s="264"/>
      <c r="HZ179" s="264"/>
      <c r="IA179" s="264"/>
      <c r="IB179" s="264"/>
      <c r="IC179" s="264"/>
      <c r="ID179" s="264"/>
      <c r="IE179" s="264"/>
      <c r="IF179" s="264"/>
      <c r="IG179" s="264"/>
      <c r="IH179" s="264"/>
      <c r="II179" s="264"/>
      <c r="IJ179" s="264"/>
      <c r="IK179" s="264"/>
      <c r="IL179" s="264"/>
      <c r="IM179" s="264"/>
      <c r="IN179" s="264"/>
      <c r="IO179" s="264"/>
      <c r="IP179" s="264"/>
      <c r="IQ179" s="264"/>
      <c r="IR179" s="264"/>
      <c r="IS179" s="264"/>
      <c r="IT179" s="264"/>
      <c r="IU179" s="264"/>
      <c r="IV179" s="264"/>
      <c r="IW179" s="264"/>
      <c r="IX179" s="264"/>
      <c r="IY179" s="264"/>
      <c r="IZ179" s="264"/>
      <c r="JA179" s="264"/>
      <c r="JB179" s="264"/>
      <c r="JC179" s="264"/>
      <c r="JD179" s="264"/>
      <c r="JE179" s="264"/>
      <c r="JF179" s="264"/>
      <c r="JG179" s="264"/>
      <c r="JH179" s="264"/>
      <c r="JI179" s="264"/>
      <c r="JJ179" s="264"/>
      <c r="JK179" s="264"/>
      <c r="JL179" s="264"/>
      <c r="JM179" s="264"/>
      <c r="JN179" s="264"/>
      <c r="JO179" s="264"/>
      <c r="JP179" s="264"/>
      <c r="JQ179" s="264"/>
      <c r="JR179" s="264"/>
      <c r="JS179" s="264"/>
      <c r="JT179" s="264"/>
      <c r="JU179" s="264"/>
      <c r="JV179" s="264"/>
      <c r="JW179" s="264"/>
      <c r="JX179" s="264"/>
      <c r="JY179" s="264"/>
      <c r="JZ179" s="264"/>
      <c r="KA179" s="264"/>
      <c r="KB179" s="264"/>
      <c r="KC179" s="264"/>
      <c r="KD179" s="264"/>
      <c r="KE179" s="264"/>
      <c r="KF179" s="264"/>
      <c r="KG179" s="264"/>
      <c r="KH179" s="264"/>
      <c r="KI179" s="264"/>
      <c r="KJ179" s="264"/>
      <c r="KK179" s="264"/>
      <c r="KL179" s="264"/>
      <c r="KM179" s="264"/>
      <c r="KN179" s="264"/>
      <c r="KO179" s="264"/>
      <c r="KP179" s="264"/>
      <c r="KQ179" s="264"/>
      <c r="KR179" s="264"/>
      <c r="KS179" s="264"/>
      <c r="KT179" s="264"/>
    </row>
    <row r="180" spans="3:306" x14ac:dyDescent="0.15">
      <c r="G180" s="264"/>
      <c r="H180" s="264"/>
      <c r="I180" s="264"/>
      <c r="J180" s="264"/>
      <c r="K180" s="264"/>
      <c r="L180" s="264"/>
      <c r="M180" s="264"/>
      <c r="N180" s="264"/>
      <c r="O180" s="264"/>
      <c r="P180" s="264"/>
      <c r="Q180" s="264"/>
      <c r="R180" s="264"/>
      <c r="S180" s="264"/>
      <c r="T180" s="264"/>
      <c r="U180" s="264"/>
      <c r="V180" s="264"/>
      <c r="W180" s="264"/>
      <c r="X180" s="264"/>
      <c r="Y180" s="264"/>
      <c r="Z180" s="264"/>
      <c r="AA180" s="264"/>
      <c r="AB180" s="264"/>
      <c r="AC180" s="264"/>
      <c r="AD180" s="264"/>
      <c r="AE180" s="264"/>
      <c r="AF180" s="264"/>
      <c r="AG180" s="264"/>
      <c r="AH180" s="264"/>
      <c r="AI180" s="264"/>
      <c r="AJ180" s="264"/>
      <c r="AK180" s="264"/>
      <c r="AL180" s="264"/>
      <c r="AM180" s="264"/>
      <c r="AN180" s="264"/>
      <c r="AO180" s="264"/>
      <c r="AP180" s="264"/>
      <c r="AQ180" s="264"/>
      <c r="AR180" s="264"/>
      <c r="AS180" s="264"/>
      <c r="AT180" s="264"/>
      <c r="AU180" s="264"/>
      <c r="AV180" s="264"/>
      <c r="AW180" s="264"/>
      <c r="AX180" s="264"/>
      <c r="AY180" s="264"/>
      <c r="AZ180" s="264"/>
      <c r="BA180" s="264"/>
      <c r="BB180" s="264"/>
      <c r="BC180" s="264"/>
      <c r="BD180" s="264"/>
      <c r="BE180" s="264"/>
      <c r="BF180" s="264"/>
      <c r="BG180" s="264"/>
      <c r="BH180" s="264"/>
      <c r="BI180" s="264"/>
      <c r="BJ180" s="264"/>
      <c r="BK180" s="264"/>
      <c r="BL180" s="264"/>
      <c r="BM180" s="264"/>
      <c r="BN180" s="264"/>
      <c r="BO180" s="264"/>
      <c r="BP180" s="264"/>
      <c r="BQ180" s="264"/>
      <c r="BR180" s="264"/>
      <c r="BS180" s="264"/>
      <c r="BT180" s="264"/>
      <c r="BU180" s="264"/>
      <c r="BV180" s="264"/>
      <c r="BW180" s="264"/>
      <c r="BX180" s="264"/>
      <c r="BY180" s="264"/>
      <c r="BZ180" s="264"/>
      <c r="CA180" s="264"/>
      <c r="CB180" s="264"/>
      <c r="CC180" s="264"/>
      <c r="CD180" s="264"/>
      <c r="CE180" s="264"/>
      <c r="CF180" s="264"/>
      <c r="CG180" s="264"/>
      <c r="CH180" s="264"/>
      <c r="CI180" s="264"/>
      <c r="CJ180" s="264"/>
      <c r="CK180" s="264"/>
      <c r="CL180" s="264"/>
      <c r="CM180" s="264"/>
      <c r="CN180" s="264"/>
      <c r="CO180" s="264"/>
      <c r="CP180" s="264"/>
      <c r="CQ180" s="264"/>
      <c r="CR180" s="264"/>
      <c r="CS180" s="264"/>
      <c r="CT180" s="264"/>
      <c r="CU180" s="264"/>
      <c r="CV180" s="264"/>
      <c r="CW180" s="264"/>
      <c r="CX180" s="264"/>
      <c r="CY180" s="264"/>
      <c r="CZ180" s="264"/>
      <c r="DA180" s="264"/>
      <c r="DB180" s="264"/>
      <c r="DC180" s="264"/>
      <c r="DD180" s="264"/>
      <c r="DE180" s="264"/>
      <c r="DF180" s="264"/>
      <c r="DG180" s="264"/>
      <c r="DH180" s="264"/>
      <c r="DI180" s="264"/>
      <c r="DJ180" s="264"/>
      <c r="DK180" s="264"/>
      <c r="DL180" s="264"/>
      <c r="DM180" s="264"/>
      <c r="DN180" s="264"/>
      <c r="DO180" s="264"/>
      <c r="DP180" s="264"/>
      <c r="DQ180" s="264"/>
      <c r="DR180" s="264"/>
      <c r="DS180" s="264"/>
      <c r="DT180" s="264"/>
      <c r="DU180" s="264"/>
      <c r="DV180" s="264"/>
      <c r="DW180" s="264"/>
      <c r="DX180" s="264"/>
      <c r="DY180" s="264"/>
      <c r="DZ180" s="264"/>
      <c r="EA180" s="264"/>
      <c r="EB180" s="264"/>
      <c r="EC180" s="264"/>
      <c r="ED180" s="264"/>
      <c r="EE180" s="264"/>
      <c r="EF180" s="264"/>
      <c r="EG180" s="264"/>
      <c r="EH180" s="264"/>
      <c r="EI180" s="264"/>
      <c r="EJ180" s="264"/>
      <c r="EK180" s="264"/>
      <c r="EL180" s="264"/>
      <c r="EM180" s="264"/>
      <c r="EN180" s="264"/>
      <c r="EO180" s="264"/>
      <c r="EP180" s="264"/>
      <c r="EQ180" s="264"/>
      <c r="ER180" s="264"/>
      <c r="ES180" s="264"/>
      <c r="ET180" s="264"/>
      <c r="EU180" s="264"/>
      <c r="EV180" s="264"/>
      <c r="EW180" s="264"/>
      <c r="EX180" s="264"/>
      <c r="EY180" s="264"/>
      <c r="EZ180" s="264"/>
      <c r="FA180" s="264"/>
      <c r="FB180" s="264"/>
      <c r="FC180" s="264"/>
      <c r="FD180" s="264"/>
      <c r="FE180" s="264"/>
      <c r="FF180" s="264"/>
      <c r="FG180" s="264"/>
      <c r="FH180" s="264"/>
      <c r="FI180" s="264"/>
      <c r="FJ180" s="264"/>
      <c r="FK180" s="264"/>
      <c r="FL180" s="264"/>
      <c r="FM180" s="264"/>
      <c r="FN180" s="264"/>
      <c r="FO180" s="264"/>
      <c r="FP180" s="264"/>
      <c r="FQ180" s="264"/>
      <c r="FR180" s="264"/>
      <c r="FS180" s="264"/>
      <c r="FT180" s="264"/>
      <c r="FU180" s="264"/>
      <c r="FV180" s="264"/>
      <c r="FW180" s="264"/>
      <c r="FX180" s="264"/>
      <c r="FY180" s="264"/>
      <c r="FZ180" s="264"/>
      <c r="GA180" s="264"/>
      <c r="GB180" s="264"/>
      <c r="GC180" s="264"/>
      <c r="GD180" s="264"/>
      <c r="GE180" s="264"/>
      <c r="GF180" s="264"/>
      <c r="GG180" s="264"/>
      <c r="GH180" s="264"/>
      <c r="GI180" s="264"/>
      <c r="GJ180" s="264"/>
      <c r="GK180" s="264"/>
      <c r="GL180" s="264"/>
      <c r="GM180" s="264"/>
      <c r="GN180" s="264"/>
      <c r="GO180" s="264"/>
      <c r="GP180" s="264"/>
      <c r="GQ180" s="264"/>
      <c r="GR180" s="264"/>
      <c r="GS180" s="264"/>
      <c r="GT180" s="264"/>
      <c r="GU180" s="264"/>
      <c r="GV180" s="264"/>
      <c r="GW180" s="264"/>
      <c r="GX180" s="264"/>
      <c r="GY180" s="264"/>
      <c r="GZ180" s="264"/>
      <c r="HA180" s="264"/>
      <c r="HB180" s="264"/>
      <c r="HC180" s="264"/>
      <c r="HD180" s="264"/>
      <c r="HE180" s="264"/>
      <c r="HF180" s="264"/>
      <c r="HG180" s="264"/>
      <c r="HH180" s="264"/>
      <c r="HI180" s="264"/>
      <c r="HJ180" s="264"/>
      <c r="HK180" s="264"/>
      <c r="HL180" s="264"/>
      <c r="HM180" s="264"/>
      <c r="HN180" s="264"/>
      <c r="HO180" s="264"/>
      <c r="HP180" s="264"/>
      <c r="HQ180" s="264"/>
      <c r="HR180" s="264"/>
      <c r="HS180" s="264"/>
      <c r="HT180" s="264"/>
      <c r="HU180" s="264"/>
      <c r="HV180" s="264"/>
      <c r="HW180" s="264"/>
      <c r="HX180" s="264"/>
      <c r="HY180" s="264"/>
      <c r="HZ180" s="264"/>
      <c r="IA180" s="264"/>
      <c r="IB180" s="264"/>
      <c r="IC180" s="264"/>
      <c r="ID180" s="264"/>
      <c r="IE180" s="264"/>
      <c r="IF180" s="264"/>
      <c r="IG180" s="264"/>
      <c r="IH180" s="264"/>
      <c r="II180" s="264"/>
      <c r="IJ180" s="264"/>
      <c r="IK180" s="264"/>
      <c r="IL180" s="264"/>
      <c r="IM180" s="264"/>
      <c r="IN180" s="264"/>
      <c r="IO180" s="264"/>
      <c r="IP180" s="264"/>
      <c r="IQ180" s="264"/>
      <c r="IR180" s="264"/>
      <c r="IS180" s="264"/>
      <c r="IT180" s="264"/>
      <c r="IU180" s="264"/>
      <c r="IV180" s="264"/>
      <c r="IW180" s="264"/>
      <c r="IX180" s="264"/>
      <c r="IY180" s="264"/>
      <c r="IZ180" s="264"/>
      <c r="JA180" s="264"/>
      <c r="JB180" s="264"/>
      <c r="JC180" s="264"/>
      <c r="JD180" s="264"/>
      <c r="JE180" s="264"/>
      <c r="JF180" s="264"/>
      <c r="JG180" s="264"/>
      <c r="JH180" s="264"/>
      <c r="JI180" s="264"/>
      <c r="JJ180" s="264"/>
      <c r="JK180" s="264"/>
      <c r="JL180" s="264"/>
      <c r="JM180" s="264"/>
      <c r="JN180" s="264"/>
      <c r="JO180" s="264"/>
      <c r="JP180" s="264"/>
      <c r="JQ180" s="264"/>
      <c r="JR180" s="264"/>
      <c r="JS180" s="264"/>
      <c r="JT180" s="264"/>
      <c r="JU180" s="264"/>
      <c r="JV180" s="264"/>
      <c r="JW180" s="264"/>
      <c r="JX180" s="264"/>
      <c r="JY180" s="264"/>
      <c r="JZ180" s="264"/>
      <c r="KA180" s="264"/>
      <c r="KB180" s="264"/>
      <c r="KC180" s="264"/>
      <c r="KD180" s="264"/>
      <c r="KE180" s="264"/>
      <c r="KF180" s="264"/>
      <c r="KG180" s="264"/>
      <c r="KH180" s="264"/>
      <c r="KI180" s="264"/>
      <c r="KJ180" s="264"/>
      <c r="KK180" s="264"/>
      <c r="KL180" s="264"/>
      <c r="KM180" s="264"/>
      <c r="KN180" s="264"/>
      <c r="KO180" s="264"/>
      <c r="KP180" s="264"/>
      <c r="KQ180" s="264"/>
      <c r="KR180" s="264"/>
      <c r="KS180" s="264"/>
      <c r="KT180" s="264"/>
    </row>
    <row r="181" spans="3:306" hidden="1" x14ac:dyDescent="0.15">
      <c r="C181" s="92" t="s">
        <v>357</v>
      </c>
      <c r="D181" s="148" t="e">
        <f>SUM(F181:BG181)</f>
        <v>#REF!</v>
      </c>
      <c r="E181" s="148"/>
      <c r="F181" s="148">
        <f>E185</f>
        <v>0</v>
      </c>
      <c r="G181" s="148" t="e">
        <f t="shared" ref="G181:BG181" si="46">F185</f>
        <v>#REF!</v>
      </c>
      <c r="H181" s="148" t="e">
        <f t="shared" si="46"/>
        <v>#REF!</v>
      </c>
      <c r="I181" s="148" t="e">
        <f t="shared" si="46"/>
        <v>#REF!</v>
      </c>
      <c r="J181" s="148" t="e">
        <f t="shared" si="46"/>
        <v>#REF!</v>
      </c>
      <c r="K181" s="148" t="e">
        <f t="shared" si="46"/>
        <v>#REF!</v>
      </c>
      <c r="L181" s="148" t="e">
        <f t="shared" si="46"/>
        <v>#REF!</v>
      </c>
      <c r="M181" s="148" t="e">
        <f t="shared" si="46"/>
        <v>#REF!</v>
      </c>
      <c r="N181" s="148" t="e">
        <f t="shared" si="46"/>
        <v>#REF!</v>
      </c>
      <c r="O181" s="148" t="e">
        <f t="shared" si="46"/>
        <v>#REF!</v>
      </c>
      <c r="P181" s="148" t="e">
        <f t="shared" si="46"/>
        <v>#REF!</v>
      </c>
      <c r="Q181" s="148" t="e">
        <f t="shared" si="46"/>
        <v>#REF!</v>
      </c>
      <c r="R181" s="148" t="e">
        <f t="shared" si="46"/>
        <v>#REF!</v>
      </c>
      <c r="S181" s="148" t="e">
        <f t="shared" si="46"/>
        <v>#REF!</v>
      </c>
      <c r="T181" s="148" t="e">
        <f t="shared" si="46"/>
        <v>#REF!</v>
      </c>
      <c r="U181" s="148" t="e">
        <f t="shared" si="46"/>
        <v>#REF!</v>
      </c>
      <c r="V181" s="148">
        <f t="shared" si="46"/>
        <v>0</v>
      </c>
      <c r="W181" s="148">
        <f t="shared" si="46"/>
        <v>0</v>
      </c>
      <c r="X181" s="148">
        <f t="shared" si="46"/>
        <v>0</v>
      </c>
      <c r="Y181" s="148">
        <f t="shared" si="46"/>
        <v>0</v>
      </c>
      <c r="Z181" s="148">
        <f t="shared" si="46"/>
        <v>0</v>
      </c>
      <c r="AA181" s="148">
        <f t="shared" si="46"/>
        <v>0</v>
      </c>
      <c r="AB181" s="148">
        <f t="shared" si="46"/>
        <v>0</v>
      </c>
      <c r="AC181" s="148">
        <f t="shared" si="46"/>
        <v>0</v>
      </c>
      <c r="AD181" s="148">
        <f t="shared" si="46"/>
        <v>0</v>
      </c>
      <c r="AE181" s="148">
        <f t="shared" si="46"/>
        <v>0</v>
      </c>
      <c r="AF181" s="148">
        <f t="shared" si="46"/>
        <v>0</v>
      </c>
      <c r="AG181" s="148">
        <f t="shared" si="46"/>
        <v>0</v>
      </c>
      <c r="AH181" s="148">
        <f t="shared" si="46"/>
        <v>0</v>
      </c>
      <c r="AI181" s="148">
        <f t="shared" si="46"/>
        <v>0</v>
      </c>
      <c r="AJ181" s="148">
        <f t="shared" si="46"/>
        <v>0</v>
      </c>
      <c r="AK181" s="148">
        <f t="shared" si="46"/>
        <v>0</v>
      </c>
      <c r="AL181" s="148">
        <f t="shared" si="46"/>
        <v>0</v>
      </c>
      <c r="AM181" s="148">
        <f t="shared" si="46"/>
        <v>0</v>
      </c>
      <c r="AN181" s="148">
        <f t="shared" si="46"/>
        <v>0</v>
      </c>
      <c r="AO181" s="148">
        <f t="shared" si="46"/>
        <v>0</v>
      </c>
      <c r="AP181" s="148">
        <f t="shared" si="46"/>
        <v>0</v>
      </c>
      <c r="AQ181" s="148">
        <f t="shared" si="46"/>
        <v>0</v>
      </c>
      <c r="AR181" s="148">
        <f t="shared" si="46"/>
        <v>0</v>
      </c>
      <c r="AS181" s="148">
        <f t="shared" si="46"/>
        <v>0</v>
      </c>
      <c r="AT181" s="148">
        <f t="shared" si="46"/>
        <v>0</v>
      </c>
      <c r="AU181" s="148">
        <f t="shared" si="46"/>
        <v>0</v>
      </c>
      <c r="AV181" s="148">
        <f t="shared" si="46"/>
        <v>0</v>
      </c>
      <c r="AW181" s="148">
        <f t="shared" si="46"/>
        <v>0</v>
      </c>
      <c r="AX181" s="148">
        <f t="shared" si="46"/>
        <v>0</v>
      </c>
      <c r="AY181" s="148">
        <f t="shared" si="46"/>
        <v>0</v>
      </c>
      <c r="AZ181" s="148">
        <f t="shared" si="46"/>
        <v>0</v>
      </c>
      <c r="BA181" s="148">
        <f t="shared" si="46"/>
        <v>0</v>
      </c>
      <c r="BB181" s="148">
        <f t="shared" si="46"/>
        <v>0</v>
      </c>
      <c r="BC181" s="148">
        <f t="shared" si="46"/>
        <v>0</v>
      </c>
      <c r="BD181" s="148">
        <f t="shared" si="46"/>
        <v>0</v>
      </c>
      <c r="BE181" s="148">
        <f t="shared" si="46"/>
        <v>0</v>
      </c>
      <c r="BF181" s="148">
        <f t="shared" si="46"/>
        <v>0</v>
      </c>
      <c r="BG181" s="148">
        <f t="shared" si="46"/>
        <v>0</v>
      </c>
      <c r="BH181" s="148"/>
      <c r="BI181" s="148"/>
      <c r="BJ181" s="148"/>
      <c r="BK181" s="148"/>
      <c r="BL181" s="148"/>
      <c r="BM181" s="148"/>
      <c r="BN181" s="148"/>
      <c r="BO181" s="148"/>
      <c r="BP181" s="148"/>
      <c r="BQ181" s="148"/>
      <c r="BR181" s="148"/>
      <c r="BS181" s="148"/>
      <c r="BT181" s="148"/>
      <c r="BU181" s="148"/>
      <c r="BV181" s="148"/>
      <c r="BW181" s="148"/>
      <c r="BX181" s="148"/>
      <c r="BY181" s="148"/>
      <c r="BZ181" s="148"/>
      <c r="CA181" s="148"/>
      <c r="CB181" s="148"/>
      <c r="CC181" s="148"/>
      <c r="CD181" s="148"/>
      <c r="CE181" s="148"/>
      <c r="CF181" s="148"/>
      <c r="CG181" s="148"/>
      <c r="CH181" s="148"/>
      <c r="CI181" s="148"/>
      <c r="CJ181" s="148"/>
      <c r="CK181" s="148"/>
      <c r="CL181" s="148"/>
      <c r="CM181" s="148"/>
      <c r="CN181" s="148"/>
      <c r="CO181" s="148"/>
      <c r="CP181" s="148"/>
      <c r="CQ181" s="148"/>
      <c r="CR181" s="148"/>
      <c r="CS181" s="148"/>
      <c r="CT181" s="148"/>
      <c r="CU181" s="148"/>
      <c r="CV181" s="148"/>
      <c r="CW181" s="148"/>
      <c r="CX181" s="148"/>
      <c r="CY181" s="148"/>
      <c r="CZ181" s="148"/>
      <c r="DA181" s="148"/>
      <c r="DB181" s="148"/>
      <c r="DC181" s="148"/>
      <c r="DD181" s="148"/>
      <c r="DE181" s="148"/>
      <c r="DF181" s="148"/>
      <c r="DG181" s="148"/>
      <c r="DH181" s="148"/>
      <c r="DI181" s="148"/>
      <c r="DJ181" s="148"/>
      <c r="DK181" s="148"/>
      <c r="DL181" s="148"/>
      <c r="DM181" s="148"/>
      <c r="DN181" s="148"/>
      <c r="DO181" s="148"/>
      <c r="DP181" s="148"/>
      <c r="DQ181" s="148"/>
      <c r="DR181" s="148"/>
      <c r="DS181" s="148"/>
      <c r="DT181" s="148"/>
      <c r="DU181" s="148"/>
      <c r="DV181" s="148"/>
      <c r="DW181" s="148"/>
      <c r="DX181" s="148"/>
      <c r="DY181" s="148"/>
      <c r="DZ181" s="148"/>
      <c r="EA181" s="148"/>
      <c r="EB181" s="148"/>
      <c r="EC181" s="148"/>
      <c r="ED181" s="148"/>
      <c r="EE181" s="148"/>
      <c r="EF181" s="148"/>
      <c r="EG181" s="148"/>
      <c r="EH181" s="148"/>
      <c r="EI181" s="148"/>
      <c r="EJ181" s="148"/>
      <c r="EK181" s="148"/>
      <c r="EL181" s="148"/>
      <c r="EM181" s="148"/>
      <c r="EN181" s="148"/>
      <c r="EO181" s="148"/>
      <c r="EP181" s="148"/>
      <c r="EQ181" s="148"/>
      <c r="ER181" s="148"/>
      <c r="ES181" s="148"/>
      <c r="ET181" s="148"/>
      <c r="EU181" s="148"/>
      <c r="EV181" s="148"/>
      <c r="EW181" s="148"/>
      <c r="EX181" s="148"/>
      <c r="EY181" s="148"/>
      <c r="EZ181" s="148"/>
      <c r="FA181" s="148"/>
      <c r="FB181" s="148"/>
      <c r="FC181" s="148"/>
      <c r="FD181" s="148"/>
      <c r="FE181" s="148"/>
      <c r="FF181" s="148"/>
      <c r="FG181" s="148"/>
      <c r="FH181" s="148"/>
      <c r="FI181" s="148"/>
      <c r="FJ181" s="148"/>
      <c r="FK181" s="148"/>
      <c r="FL181" s="148"/>
      <c r="FM181" s="148"/>
      <c r="FN181" s="148"/>
      <c r="FO181" s="148"/>
      <c r="FP181" s="148"/>
      <c r="FQ181" s="148"/>
      <c r="FR181" s="148"/>
      <c r="FS181" s="148"/>
      <c r="FT181" s="148"/>
      <c r="FU181" s="148"/>
      <c r="FV181" s="148"/>
      <c r="FW181" s="148"/>
      <c r="FX181" s="148"/>
      <c r="FY181" s="148"/>
      <c r="FZ181" s="148"/>
      <c r="GA181" s="148"/>
      <c r="GB181" s="148"/>
      <c r="GC181" s="148"/>
      <c r="GD181" s="148"/>
      <c r="GE181" s="148"/>
      <c r="GF181" s="148"/>
      <c r="GG181" s="148"/>
      <c r="GH181" s="148"/>
      <c r="GI181" s="148"/>
      <c r="GJ181" s="148"/>
      <c r="GK181" s="148"/>
      <c r="GL181" s="148"/>
      <c r="GM181" s="148"/>
      <c r="GN181" s="148"/>
      <c r="GO181" s="148"/>
      <c r="GP181" s="148"/>
      <c r="GQ181" s="148"/>
      <c r="GR181" s="148"/>
      <c r="GS181" s="148"/>
      <c r="GT181" s="148"/>
      <c r="GU181" s="148"/>
      <c r="GV181" s="148"/>
      <c r="GW181" s="148"/>
      <c r="GX181" s="148"/>
      <c r="GY181" s="148"/>
      <c r="GZ181" s="148"/>
      <c r="HA181" s="148"/>
      <c r="HB181" s="148"/>
      <c r="HC181" s="148"/>
      <c r="HD181" s="148"/>
      <c r="HE181" s="148"/>
      <c r="HF181" s="148"/>
      <c r="HG181" s="148"/>
      <c r="HH181" s="148"/>
      <c r="HI181" s="148"/>
      <c r="HJ181" s="148"/>
      <c r="HK181" s="148"/>
      <c r="HL181" s="148"/>
      <c r="HM181" s="148"/>
      <c r="HN181" s="148"/>
      <c r="HO181" s="148"/>
      <c r="HP181" s="148"/>
      <c r="HQ181" s="148"/>
      <c r="HR181" s="148"/>
      <c r="HS181" s="148"/>
      <c r="HT181" s="148"/>
      <c r="HU181" s="148"/>
      <c r="HV181" s="148"/>
      <c r="HW181" s="148"/>
      <c r="HX181" s="148"/>
      <c r="HY181" s="148"/>
      <c r="HZ181" s="148"/>
      <c r="IA181" s="148"/>
      <c r="IB181" s="148"/>
      <c r="IC181" s="148"/>
      <c r="ID181" s="148"/>
      <c r="IE181" s="148"/>
      <c r="IF181" s="148"/>
      <c r="IG181" s="148"/>
      <c r="IH181" s="148"/>
      <c r="II181" s="148"/>
      <c r="IJ181" s="148"/>
      <c r="IK181" s="148"/>
      <c r="IL181" s="148"/>
      <c r="IM181" s="148"/>
      <c r="IN181" s="148"/>
      <c r="IO181" s="148"/>
      <c r="IP181" s="148"/>
      <c r="IQ181" s="148"/>
      <c r="IR181" s="148"/>
      <c r="IS181" s="148"/>
      <c r="IT181" s="148"/>
      <c r="IU181" s="148"/>
      <c r="IV181" s="148"/>
      <c r="IW181" s="148"/>
      <c r="IX181" s="148"/>
      <c r="IY181" s="148"/>
      <c r="IZ181" s="148"/>
      <c r="JA181" s="148"/>
      <c r="JB181" s="148"/>
      <c r="JC181" s="148"/>
      <c r="JD181" s="148"/>
      <c r="JE181" s="148"/>
      <c r="JF181" s="148"/>
      <c r="JG181" s="148"/>
      <c r="JH181" s="148"/>
      <c r="JI181" s="148"/>
      <c r="JJ181" s="148"/>
      <c r="JK181" s="148"/>
      <c r="JL181" s="148"/>
      <c r="JM181" s="148"/>
      <c r="JN181" s="148"/>
      <c r="JO181" s="148"/>
      <c r="JP181" s="148"/>
      <c r="JQ181" s="148"/>
      <c r="JR181" s="148"/>
      <c r="JS181" s="148"/>
      <c r="JT181" s="148"/>
      <c r="JU181" s="148"/>
      <c r="JV181" s="148"/>
      <c r="JW181" s="148"/>
      <c r="JX181" s="148"/>
      <c r="JY181" s="148"/>
      <c r="JZ181" s="148"/>
      <c r="KA181" s="148"/>
      <c r="KB181" s="148"/>
      <c r="KC181" s="148"/>
      <c r="KD181" s="148"/>
      <c r="KE181" s="148"/>
      <c r="KF181" s="148"/>
      <c r="KG181" s="148"/>
      <c r="KH181" s="148"/>
      <c r="KI181" s="148"/>
      <c r="KJ181" s="148"/>
      <c r="KK181" s="148"/>
      <c r="KL181" s="148"/>
      <c r="KM181" s="148"/>
      <c r="KN181" s="148"/>
      <c r="KO181" s="148"/>
      <c r="KP181" s="148"/>
      <c r="KQ181" s="148"/>
      <c r="KR181" s="148"/>
      <c r="KS181" s="148"/>
      <c r="KT181" s="148"/>
    </row>
    <row r="182" spans="3:306" hidden="1" x14ac:dyDescent="0.15">
      <c r="C182" s="92" t="s">
        <v>358</v>
      </c>
      <c r="D182" s="226" t="e">
        <f>SUM(F182:BG182)</f>
        <v>#REF!</v>
      </c>
      <c r="E182" s="148"/>
      <c r="F182" s="148" t="e">
        <f>-#REF!</f>
        <v>#REF!</v>
      </c>
      <c r="G182" s="148" t="e">
        <f>-#REF!</f>
        <v>#REF!</v>
      </c>
      <c r="H182" s="148" t="e">
        <f>-#REF!</f>
        <v>#REF!</v>
      </c>
      <c r="I182" s="148" t="e">
        <f>-#REF!</f>
        <v>#REF!</v>
      </c>
      <c r="J182" s="148" t="e">
        <f>-#REF!</f>
        <v>#REF!</v>
      </c>
      <c r="K182" s="148" t="e">
        <f>-#REF!</f>
        <v>#REF!</v>
      </c>
      <c r="L182" s="148" t="e">
        <f>-#REF!</f>
        <v>#REF!</v>
      </c>
      <c r="M182" s="148" t="e">
        <f>-#REF!</f>
        <v>#REF!</v>
      </c>
      <c r="N182" s="148" t="e">
        <f>-#REF!</f>
        <v>#REF!</v>
      </c>
      <c r="O182" s="148" t="e">
        <f>-#REF!</f>
        <v>#REF!</v>
      </c>
      <c r="P182" s="148" t="e">
        <f>-#REF!</f>
        <v>#REF!</v>
      </c>
      <c r="Q182" s="148" t="e">
        <f>-#REF!</f>
        <v>#REF!</v>
      </c>
      <c r="R182" s="148" t="e">
        <f>-#REF!</f>
        <v>#REF!</v>
      </c>
      <c r="S182" s="148" t="e">
        <f>-#REF!</f>
        <v>#REF!</v>
      </c>
      <c r="T182" s="148" t="e">
        <f>-#REF!</f>
        <v>#REF!</v>
      </c>
      <c r="U182" s="148" t="e">
        <f>-#REF!</f>
        <v>#REF!</v>
      </c>
      <c r="V182" s="148" t="e">
        <f>-#REF!</f>
        <v>#REF!</v>
      </c>
      <c r="W182" s="148" t="e">
        <f>-#REF!</f>
        <v>#REF!</v>
      </c>
      <c r="X182" s="148" t="e">
        <f>-#REF!</f>
        <v>#REF!</v>
      </c>
      <c r="Y182" s="148" t="e">
        <f>-#REF!</f>
        <v>#REF!</v>
      </c>
      <c r="Z182" s="148" t="e">
        <f>-#REF!</f>
        <v>#REF!</v>
      </c>
      <c r="AA182" s="148" t="e">
        <f>-#REF!</f>
        <v>#REF!</v>
      </c>
      <c r="AB182" s="148" t="e">
        <f>-#REF!</f>
        <v>#REF!</v>
      </c>
      <c r="AC182" s="148" t="e">
        <f>-#REF!</f>
        <v>#REF!</v>
      </c>
      <c r="AD182" s="148" t="e">
        <f>-#REF!</f>
        <v>#REF!</v>
      </c>
      <c r="AE182" s="148" t="e">
        <f>-#REF!</f>
        <v>#REF!</v>
      </c>
      <c r="AF182" s="148" t="e">
        <f>-#REF!</f>
        <v>#REF!</v>
      </c>
      <c r="AG182" s="148" t="e">
        <f>-#REF!</f>
        <v>#REF!</v>
      </c>
      <c r="AH182" s="148" t="e">
        <f>-#REF!</f>
        <v>#REF!</v>
      </c>
      <c r="AI182" s="148" t="e">
        <f>-#REF!</f>
        <v>#REF!</v>
      </c>
      <c r="AJ182" s="148" t="e">
        <f>-#REF!</f>
        <v>#REF!</v>
      </c>
      <c r="AK182" s="148" t="e">
        <f>-#REF!</f>
        <v>#REF!</v>
      </c>
      <c r="AL182" s="148" t="e">
        <f>-#REF!</f>
        <v>#REF!</v>
      </c>
      <c r="AM182" s="148" t="e">
        <f>-#REF!</f>
        <v>#REF!</v>
      </c>
      <c r="AN182" s="148" t="e">
        <f>-#REF!</f>
        <v>#REF!</v>
      </c>
      <c r="AO182" s="148" t="e">
        <f>-#REF!</f>
        <v>#REF!</v>
      </c>
      <c r="AP182" s="148" t="e">
        <f>-#REF!</f>
        <v>#REF!</v>
      </c>
      <c r="AQ182" s="148" t="e">
        <f>-#REF!</f>
        <v>#REF!</v>
      </c>
      <c r="AR182" s="148" t="e">
        <f>-#REF!</f>
        <v>#REF!</v>
      </c>
      <c r="AS182" s="148" t="e">
        <f>-#REF!</f>
        <v>#REF!</v>
      </c>
      <c r="AT182" s="148" t="e">
        <f>-#REF!</f>
        <v>#REF!</v>
      </c>
      <c r="AU182" s="148" t="e">
        <f>-#REF!</f>
        <v>#REF!</v>
      </c>
      <c r="AV182" s="148" t="e">
        <f>-#REF!</f>
        <v>#REF!</v>
      </c>
      <c r="AW182" s="148" t="e">
        <f>-#REF!</f>
        <v>#REF!</v>
      </c>
      <c r="AX182" s="148" t="e">
        <f>-#REF!</f>
        <v>#REF!</v>
      </c>
      <c r="AY182" s="148" t="e">
        <f>-#REF!</f>
        <v>#REF!</v>
      </c>
      <c r="AZ182" s="148" t="e">
        <f>-#REF!</f>
        <v>#REF!</v>
      </c>
      <c r="BA182" s="148" t="e">
        <f>-#REF!</f>
        <v>#REF!</v>
      </c>
      <c r="BB182" s="148" t="e">
        <f>-#REF!</f>
        <v>#REF!</v>
      </c>
      <c r="BC182" s="148" t="e">
        <f>-#REF!</f>
        <v>#REF!</v>
      </c>
      <c r="BD182" s="148" t="e">
        <f>-#REF!</f>
        <v>#REF!</v>
      </c>
      <c r="BE182" s="148" t="e">
        <f>-#REF!</f>
        <v>#REF!</v>
      </c>
      <c r="BF182" s="148" t="e">
        <f>-#REF!</f>
        <v>#REF!</v>
      </c>
      <c r="BG182" s="148" t="e">
        <f>-#REF!</f>
        <v>#REF!</v>
      </c>
      <c r="BH182" s="148"/>
      <c r="BI182" s="148"/>
      <c r="BJ182" s="148"/>
      <c r="BK182" s="148"/>
      <c r="BL182" s="148"/>
      <c r="BM182" s="148"/>
      <c r="BN182" s="148"/>
      <c r="BO182" s="148"/>
      <c r="BP182" s="148"/>
      <c r="BQ182" s="148"/>
      <c r="BR182" s="148"/>
      <c r="BS182" s="148"/>
      <c r="BT182" s="148"/>
      <c r="BU182" s="148"/>
      <c r="BV182" s="148"/>
      <c r="BW182" s="148"/>
      <c r="BX182" s="148"/>
      <c r="BY182" s="148"/>
      <c r="BZ182" s="148"/>
      <c r="CA182" s="148"/>
      <c r="CB182" s="148"/>
      <c r="CC182" s="148"/>
      <c r="CD182" s="148"/>
      <c r="CE182" s="148"/>
      <c r="CF182" s="148"/>
      <c r="CG182" s="148"/>
      <c r="CH182" s="148"/>
      <c r="CI182" s="148"/>
      <c r="CJ182" s="148"/>
      <c r="CK182" s="148"/>
      <c r="CL182" s="148"/>
      <c r="CM182" s="148"/>
      <c r="CN182" s="148"/>
      <c r="CO182" s="148"/>
      <c r="CP182" s="148"/>
      <c r="CQ182" s="148"/>
      <c r="CR182" s="148"/>
      <c r="CS182" s="148"/>
      <c r="CT182" s="148"/>
      <c r="CU182" s="148"/>
      <c r="CV182" s="148"/>
      <c r="CW182" s="148"/>
      <c r="CX182" s="148"/>
      <c r="CY182" s="148"/>
      <c r="CZ182" s="148"/>
      <c r="DA182" s="148"/>
      <c r="DB182" s="148"/>
      <c r="DC182" s="148"/>
      <c r="DD182" s="148"/>
      <c r="DE182" s="148"/>
      <c r="DF182" s="148"/>
      <c r="DG182" s="148"/>
      <c r="DH182" s="148"/>
      <c r="DI182" s="148"/>
      <c r="DJ182" s="148"/>
      <c r="DK182" s="148"/>
      <c r="DL182" s="148"/>
      <c r="DM182" s="148"/>
      <c r="DN182" s="148"/>
      <c r="DO182" s="148"/>
      <c r="DP182" s="148"/>
      <c r="DQ182" s="148"/>
      <c r="DR182" s="148"/>
      <c r="DS182" s="148"/>
      <c r="DT182" s="148"/>
      <c r="DU182" s="148"/>
      <c r="DV182" s="148"/>
      <c r="DW182" s="148"/>
      <c r="DX182" s="148"/>
      <c r="DY182" s="148"/>
      <c r="DZ182" s="148"/>
      <c r="EA182" s="148"/>
      <c r="EB182" s="148"/>
      <c r="EC182" s="148"/>
      <c r="ED182" s="148"/>
      <c r="EE182" s="148"/>
      <c r="EF182" s="148"/>
      <c r="EG182" s="148"/>
      <c r="EH182" s="148"/>
      <c r="EI182" s="148"/>
      <c r="EJ182" s="148"/>
      <c r="EK182" s="148"/>
      <c r="EL182" s="148"/>
      <c r="EM182" s="148"/>
      <c r="EN182" s="148"/>
      <c r="EO182" s="148"/>
      <c r="EP182" s="148"/>
      <c r="EQ182" s="148"/>
      <c r="ER182" s="148"/>
      <c r="ES182" s="148"/>
      <c r="ET182" s="148"/>
      <c r="EU182" s="148"/>
      <c r="EV182" s="148"/>
      <c r="EW182" s="148"/>
      <c r="EX182" s="148"/>
      <c r="EY182" s="148"/>
      <c r="EZ182" s="148"/>
      <c r="FA182" s="148"/>
      <c r="FB182" s="148"/>
      <c r="FC182" s="148"/>
      <c r="FD182" s="148"/>
      <c r="FE182" s="148"/>
      <c r="FF182" s="148"/>
      <c r="FG182" s="148"/>
      <c r="FH182" s="148"/>
      <c r="FI182" s="148"/>
      <c r="FJ182" s="148"/>
      <c r="FK182" s="148"/>
      <c r="FL182" s="148"/>
      <c r="FM182" s="148"/>
      <c r="FN182" s="148"/>
      <c r="FO182" s="148"/>
      <c r="FP182" s="148"/>
      <c r="FQ182" s="148"/>
      <c r="FR182" s="148"/>
      <c r="FS182" s="148"/>
      <c r="FT182" s="148"/>
      <c r="FU182" s="148"/>
      <c r="FV182" s="148"/>
      <c r="FW182" s="148"/>
      <c r="FX182" s="148"/>
      <c r="FY182" s="148"/>
      <c r="FZ182" s="148"/>
      <c r="GA182" s="148"/>
      <c r="GB182" s="148"/>
      <c r="GC182" s="148"/>
      <c r="GD182" s="148"/>
      <c r="GE182" s="148"/>
      <c r="GF182" s="148"/>
      <c r="GG182" s="148"/>
      <c r="GH182" s="148"/>
      <c r="GI182" s="148"/>
      <c r="GJ182" s="148"/>
      <c r="GK182" s="148"/>
      <c r="GL182" s="148"/>
      <c r="GM182" s="148"/>
      <c r="GN182" s="148"/>
      <c r="GO182" s="148"/>
      <c r="GP182" s="148"/>
      <c r="GQ182" s="148"/>
      <c r="GR182" s="148"/>
      <c r="GS182" s="148"/>
      <c r="GT182" s="148"/>
      <c r="GU182" s="148"/>
      <c r="GV182" s="148"/>
      <c r="GW182" s="148"/>
      <c r="GX182" s="148"/>
      <c r="GY182" s="148"/>
      <c r="GZ182" s="148"/>
      <c r="HA182" s="148"/>
      <c r="HB182" s="148"/>
      <c r="HC182" s="148"/>
      <c r="HD182" s="148"/>
      <c r="HE182" s="148"/>
      <c r="HF182" s="148"/>
      <c r="HG182" s="148"/>
      <c r="HH182" s="148"/>
      <c r="HI182" s="148"/>
      <c r="HJ182" s="148"/>
      <c r="HK182" s="148"/>
      <c r="HL182" s="148"/>
      <c r="HM182" s="148"/>
      <c r="HN182" s="148"/>
      <c r="HO182" s="148"/>
      <c r="HP182" s="148"/>
      <c r="HQ182" s="148"/>
      <c r="HR182" s="148"/>
      <c r="HS182" s="148"/>
      <c r="HT182" s="148"/>
      <c r="HU182" s="148"/>
      <c r="HV182" s="148"/>
      <c r="HW182" s="148"/>
      <c r="HX182" s="148"/>
      <c r="HY182" s="148"/>
      <c r="HZ182" s="148"/>
      <c r="IA182" s="148"/>
      <c r="IB182" s="148"/>
      <c r="IC182" s="148"/>
      <c r="ID182" s="148"/>
      <c r="IE182" s="148"/>
      <c r="IF182" s="148"/>
      <c r="IG182" s="148"/>
      <c r="IH182" s="148"/>
      <c r="II182" s="148"/>
      <c r="IJ182" s="148"/>
      <c r="IK182" s="148"/>
      <c r="IL182" s="148"/>
      <c r="IM182" s="148"/>
      <c r="IN182" s="148"/>
      <c r="IO182" s="148"/>
      <c r="IP182" s="148"/>
      <c r="IQ182" s="148"/>
      <c r="IR182" s="148"/>
      <c r="IS182" s="148"/>
      <c r="IT182" s="148"/>
      <c r="IU182" s="148"/>
      <c r="IV182" s="148"/>
      <c r="IW182" s="148"/>
      <c r="IX182" s="148"/>
      <c r="IY182" s="148"/>
      <c r="IZ182" s="148"/>
      <c r="JA182" s="148"/>
      <c r="JB182" s="148"/>
      <c r="JC182" s="148"/>
      <c r="JD182" s="148"/>
      <c r="JE182" s="148"/>
      <c r="JF182" s="148"/>
      <c r="JG182" s="148"/>
      <c r="JH182" s="148"/>
      <c r="JI182" s="148"/>
      <c r="JJ182" s="148"/>
      <c r="JK182" s="148"/>
      <c r="JL182" s="148"/>
      <c r="JM182" s="148"/>
      <c r="JN182" s="148"/>
      <c r="JO182" s="148"/>
      <c r="JP182" s="148"/>
      <c r="JQ182" s="148"/>
      <c r="JR182" s="148"/>
      <c r="JS182" s="148"/>
      <c r="JT182" s="148"/>
      <c r="JU182" s="148"/>
      <c r="JV182" s="148"/>
      <c r="JW182" s="148"/>
      <c r="JX182" s="148"/>
      <c r="JY182" s="148"/>
      <c r="JZ182" s="148"/>
      <c r="KA182" s="148"/>
      <c r="KB182" s="148"/>
      <c r="KC182" s="148"/>
      <c r="KD182" s="148"/>
      <c r="KE182" s="148"/>
      <c r="KF182" s="148"/>
      <c r="KG182" s="148"/>
      <c r="KH182" s="148"/>
      <c r="KI182" s="148"/>
      <c r="KJ182" s="148"/>
      <c r="KK182" s="148"/>
      <c r="KL182" s="148"/>
      <c r="KM182" s="148"/>
      <c r="KN182" s="148"/>
      <c r="KO182" s="148"/>
      <c r="KP182" s="148"/>
      <c r="KQ182" s="148"/>
      <c r="KR182" s="148"/>
      <c r="KS182" s="148"/>
      <c r="KT182" s="148"/>
    </row>
    <row r="183" spans="3:306" hidden="1" x14ac:dyDescent="0.15">
      <c r="C183" s="92" t="s">
        <v>359</v>
      </c>
      <c r="D183" s="226">
        <f>SUM(F183:BG183)</f>
        <v>0</v>
      </c>
      <c r="E183" s="148"/>
      <c r="F183" s="148">
        <f>IFERROR((#REF!/#REF!)*F181,0)</f>
        <v>0</v>
      </c>
      <c r="G183" s="148">
        <f>IFERROR((#REF!/#REF!)*G181,0)</f>
        <v>0</v>
      </c>
      <c r="H183" s="148">
        <f>IFERROR((#REF!/#REF!)*H181,0)</f>
        <v>0</v>
      </c>
      <c r="I183" s="148">
        <f>IFERROR((#REF!/#REF!)*I181,0)</f>
        <v>0</v>
      </c>
      <c r="J183" s="148">
        <f>IFERROR((#REF!/#REF!)*J181,0)</f>
        <v>0</v>
      </c>
      <c r="K183" s="148">
        <f>IFERROR((#REF!/#REF!)*K181,0)</f>
        <v>0</v>
      </c>
      <c r="L183" s="148">
        <f>IFERROR((#REF!/#REF!)*L181,0)</f>
        <v>0</v>
      </c>
      <c r="M183" s="148">
        <f>IFERROR((#REF!/#REF!)*M181,0)</f>
        <v>0</v>
      </c>
      <c r="N183" s="148">
        <f>IFERROR((#REF!/#REF!)*N181,0)</f>
        <v>0</v>
      </c>
      <c r="O183" s="148">
        <f>IFERROR((#REF!/#REF!)*O181,0)</f>
        <v>0</v>
      </c>
      <c r="P183" s="148">
        <f>IFERROR((#REF!/#REF!)*P181,0)</f>
        <v>0</v>
      </c>
      <c r="Q183" s="148">
        <f>IFERROR((#REF!/#REF!)*Q181,0)</f>
        <v>0</v>
      </c>
      <c r="R183" s="148">
        <f>IFERROR((#REF!/#REF!)*R181,0)</f>
        <v>0</v>
      </c>
      <c r="S183" s="148">
        <f>IFERROR((#REF!/#REF!)*S181,0)</f>
        <v>0</v>
      </c>
      <c r="T183" s="148">
        <f>IFERROR((#REF!/#REF!)*T181,0)</f>
        <v>0</v>
      </c>
      <c r="U183" s="148">
        <f>IFERROR((#REF!/#REF!)*U181,0)</f>
        <v>0</v>
      </c>
      <c r="V183" s="148">
        <f>IFERROR((#REF!/#REF!)*V181,0)</f>
        <v>0</v>
      </c>
      <c r="W183" s="148">
        <f>IFERROR((#REF!/#REF!)*W181,0)</f>
        <v>0</v>
      </c>
      <c r="X183" s="148">
        <f>IFERROR((#REF!/#REF!)*X181,0)</f>
        <v>0</v>
      </c>
      <c r="Y183" s="148">
        <f>IFERROR((#REF!/#REF!)*Y181,0)</f>
        <v>0</v>
      </c>
      <c r="Z183" s="148">
        <f>IFERROR((#REF!/#REF!)*Z181,0)</f>
        <v>0</v>
      </c>
      <c r="AA183" s="148">
        <f>IFERROR((#REF!/#REF!)*AA181,0)</f>
        <v>0</v>
      </c>
      <c r="AB183" s="148">
        <f>IFERROR((#REF!/#REF!)*AB181,0)</f>
        <v>0</v>
      </c>
      <c r="AC183" s="148">
        <f>IFERROR((#REF!/#REF!)*AC181,0)</f>
        <v>0</v>
      </c>
      <c r="AD183" s="148">
        <f>IFERROR((#REF!/#REF!)*AD181,0)</f>
        <v>0</v>
      </c>
      <c r="AE183" s="148">
        <f>IFERROR((#REF!/#REF!)*AE181,0)</f>
        <v>0</v>
      </c>
      <c r="AF183" s="148">
        <f>IFERROR((#REF!/#REF!)*AF181,0)</f>
        <v>0</v>
      </c>
      <c r="AG183" s="148">
        <f>IFERROR((#REF!/#REF!)*AG181,0)</f>
        <v>0</v>
      </c>
      <c r="AH183" s="148">
        <f>IFERROR((#REF!/#REF!)*AH181,0)</f>
        <v>0</v>
      </c>
      <c r="AI183" s="148">
        <f>IFERROR((#REF!/#REF!)*AI181,0)</f>
        <v>0</v>
      </c>
      <c r="AJ183" s="148">
        <f>IFERROR((#REF!/#REF!)*AJ181,0)</f>
        <v>0</v>
      </c>
      <c r="AK183" s="148">
        <f>IFERROR((#REF!/#REF!)*AK181,0)</f>
        <v>0</v>
      </c>
      <c r="AL183" s="148">
        <f>IFERROR((#REF!/#REF!)*AL181,0)</f>
        <v>0</v>
      </c>
      <c r="AM183" s="148">
        <f>IFERROR((#REF!/#REF!)*AM181,0)</f>
        <v>0</v>
      </c>
      <c r="AN183" s="148">
        <f>IFERROR((#REF!/#REF!)*AN181,0)</f>
        <v>0</v>
      </c>
      <c r="AO183" s="148">
        <f>IFERROR((#REF!/#REF!)*AO181,0)</f>
        <v>0</v>
      </c>
      <c r="AP183" s="148">
        <f>IFERROR((#REF!/#REF!)*AP181,0)</f>
        <v>0</v>
      </c>
      <c r="AQ183" s="148">
        <f>IFERROR((#REF!/#REF!)*AQ181,0)</f>
        <v>0</v>
      </c>
      <c r="AR183" s="148">
        <f>IFERROR((#REF!/#REF!)*AR181,0)</f>
        <v>0</v>
      </c>
      <c r="AS183" s="148">
        <f>IFERROR((#REF!/#REF!)*AS181,0)</f>
        <v>0</v>
      </c>
      <c r="AT183" s="148">
        <f>IFERROR((#REF!/#REF!)*AT181,0)</f>
        <v>0</v>
      </c>
      <c r="AU183" s="148">
        <f>IFERROR((#REF!/#REF!)*AU181,0)</f>
        <v>0</v>
      </c>
      <c r="AV183" s="148">
        <f>IFERROR((#REF!/#REF!)*AV181,0)</f>
        <v>0</v>
      </c>
      <c r="AW183" s="148">
        <f>IFERROR((#REF!/#REF!)*AW181,0)</f>
        <v>0</v>
      </c>
      <c r="AX183" s="148">
        <f>IFERROR((#REF!/#REF!)*AX181,0)</f>
        <v>0</v>
      </c>
      <c r="AY183" s="148">
        <f>IFERROR((#REF!/#REF!)*AY181,0)</f>
        <v>0</v>
      </c>
      <c r="AZ183" s="148">
        <f>IFERROR((#REF!/#REF!)*AZ181,0)</f>
        <v>0</v>
      </c>
      <c r="BA183" s="148">
        <f>IFERROR((#REF!/#REF!)*BA181,0)</f>
        <v>0</v>
      </c>
      <c r="BB183" s="148">
        <f>IFERROR((#REF!/#REF!)*BB181,0)</f>
        <v>0</v>
      </c>
      <c r="BC183" s="148">
        <f>IFERROR((#REF!/#REF!)*BC181,0)</f>
        <v>0</v>
      </c>
      <c r="BD183" s="148">
        <f>IFERROR((#REF!/#REF!)*BD181,0)</f>
        <v>0</v>
      </c>
      <c r="BE183" s="148">
        <f>IFERROR((#REF!/#REF!)*BE181,0)</f>
        <v>0</v>
      </c>
      <c r="BF183" s="148">
        <f>IFERROR((#REF!/#REF!)*BF181,0)</f>
        <v>0</v>
      </c>
      <c r="BG183" s="148">
        <f>IFERROR((#REF!/#REF!)*BG181,0)</f>
        <v>0</v>
      </c>
      <c r="BH183" s="148"/>
      <c r="BI183" s="148"/>
      <c r="BJ183" s="148"/>
      <c r="BK183" s="148"/>
      <c r="BL183" s="148"/>
      <c r="BM183" s="148"/>
      <c r="BN183" s="148"/>
      <c r="BO183" s="148"/>
      <c r="BP183" s="148"/>
      <c r="BQ183" s="148"/>
      <c r="BR183" s="148"/>
      <c r="BS183" s="148"/>
      <c r="BT183" s="148"/>
      <c r="BU183" s="148"/>
      <c r="BV183" s="148"/>
      <c r="BW183" s="148"/>
      <c r="BX183" s="148"/>
      <c r="BY183" s="148"/>
      <c r="BZ183" s="148"/>
      <c r="CA183" s="148"/>
      <c r="CB183" s="148"/>
      <c r="CC183" s="148"/>
      <c r="CD183" s="148"/>
      <c r="CE183" s="148"/>
      <c r="CF183" s="148"/>
      <c r="CG183" s="148"/>
      <c r="CH183" s="148"/>
      <c r="CI183" s="148"/>
      <c r="CJ183" s="148"/>
      <c r="CK183" s="148"/>
      <c r="CL183" s="148"/>
      <c r="CM183" s="148"/>
      <c r="CN183" s="148"/>
      <c r="CO183" s="148"/>
      <c r="CP183" s="148"/>
      <c r="CQ183" s="148"/>
      <c r="CR183" s="148"/>
      <c r="CS183" s="148"/>
      <c r="CT183" s="148"/>
      <c r="CU183" s="148"/>
      <c r="CV183" s="148"/>
      <c r="CW183" s="148"/>
      <c r="CX183" s="148"/>
      <c r="CY183" s="148"/>
      <c r="CZ183" s="148"/>
      <c r="DA183" s="148"/>
      <c r="DB183" s="148"/>
      <c r="DC183" s="148"/>
      <c r="DD183" s="148"/>
      <c r="DE183" s="148"/>
      <c r="DF183" s="148"/>
      <c r="DG183" s="148"/>
      <c r="DH183" s="148"/>
      <c r="DI183" s="148"/>
      <c r="DJ183" s="148"/>
      <c r="DK183" s="148"/>
      <c r="DL183" s="148"/>
      <c r="DM183" s="148"/>
      <c r="DN183" s="148"/>
      <c r="DO183" s="148"/>
      <c r="DP183" s="148"/>
      <c r="DQ183" s="148"/>
      <c r="DR183" s="148"/>
      <c r="DS183" s="148"/>
      <c r="DT183" s="148"/>
      <c r="DU183" s="148"/>
      <c r="DV183" s="148"/>
      <c r="DW183" s="148"/>
      <c r="DX183" s="148"/>
      <c r="DY183" s="148"/>
      <c r="DZ183" s="148"/>
      <c r="EA183" s="148"/>
      <c r="EB183" s="148"/>
      <c r="EC183" s="148"/>
      <c r="ED183" s="148"/>
      <c r="EE183" s="148"/>
      <c r="EF183" s="148"/>
      <c r="EG183" s="148"/>
      <c r="EH183" s="148"/>
      <c r="EI183" s="148"/>
      <c r="EJ183" s="148"/>
      <c r="EK183" s="148"/>
      <c r="EL183" s="148"/>
      <c r="EM183" s="148"/>
      <c r="EN183" s="148"/>
      <c r="EO183" s="148"/>
      <c r="EP183" s="148"/>
      <c r="EQ183" s="148"/>
      <c r="ER183" s="148"/>
      <c r="ES183" s="148"/>
      <c r="ET183" s="148"/>
      <c r="EU183" s="148"/>
      <c r="EV183" s="148"/>
      <c r="EW183" s="148"/>
      <c r="EX183" s="148"/>
      <c r="EY183" s="148"/>
      <c r="EZ183" s="148"/>
      <c r="FA183" s="148"/>
      <c r="FB183" s="148"/>
      <c r="FC183" s="148"/>
      <c r="FD183" s="148"/>
      <c r="FE183" s="148"/>
      <c r="FF183" s="148"/>
      <c r="FG183" s="148"/>
      <c r="FH183" s="148"/>
      <c r="FI183" s="148"/>
      <c r="FJ183" s="148"/>
      <c r="FK183" s="148"/>
      <c r="FL183" s="148"/>
      <c r="FM183" s="148"/>
      <c r="FN183" s="148"/>
      <c r="FO183" s="148"/>
      <c r="FP183" s="148"/>
      <c r="FQ183" s="148"/>
      <c r="FR183" s="148"/>
      <c r="FS183" s="148"/>
      <c r="FT183" s="148"/>
      <c r="FU183" s="148"/>
      <c r="FV183" s="148"/>
      <c r="FW183" s="148"/>
      <c r="FX183" s="148"/>
      <c r="FY183" s="148"/>
      <c r="FZ183" s="148"/>
      <c r="GA183" s="148"/>
      <c r="GB183" s="148"/>
      <c r="GC183" s="148"/>
      <c r="GD183" s="148"/>
      <c r="GE183" s="148"/>
      <c r="GF183" s="148"/>
      <c r="GG183" s="148"/>
      <c r="GH183" s="148"/>
      <c r="GI183" s="148"/>
      <c r="GJ183" s="148"/>
      <c r="GK183" s="148"/>
      <c r="GL183" s="148"/>
      <c r="GM183" s="148"/>
      <c r="GN183" s="148"/>
      <c r="GO183" s="148"/>
      <c r="GP183" s="148"/>
      <c r="GQ183" s="148"/>
      <c r="GR183" s="148"/>
      <c r="GS183" s="148"/>
      <c r="GT183" s="148"/>
      <c r="GU183" s="148"/>
      <c r="GV183" s="148"/>
      <c r="GW183" s="148"/>
      <c r="GX183" s="148"/>
      <c r="GY183" s="148"/>
      <c r="GZ183" s="148"/>
      <c r="HA183" s="148"/>
      <c r="HB183" s="148"/>
      <c r="HC183" s="148"/>
      <c r="HD183" s="148"/>
      <c r="HE183" s="148"/>
      <c r="HF183" s="148"/>
      <c r="HG183" s="148"/>
      <c r="HH183" s="148"/>
      <c r="HI183" s="148"/>
      <c r="HJ183" s="148"/>
      <c r="HK183" s="148"/>
      <c r="HL183" s="148"/>
      <c r="HM183" s="148"/>
      <c r="HN183" s="148"/>
      <c r="HO183" s="148"/>
      <c r="HP183" s="148"/>
      <c r="HQ183" s="148"/>
      <c r="HR183" s="148"/>
      <c r="HS183" s="148"/>
      <c r="HT183" s="148"/>
      <c r="HU183" s="148"/>
      <c r="HV183" s="148"/>
      <c r="HW183" s="148"/>
      <c r="HX183" s="148"/>
      <c r="HY183" s="148"/>
      <c r="HZ183" s="148"/>
      <c r="IA183" s="148"/>
      <c r="IB183" s="148"/>
      <c r="IC183" s="148"/>
      <c r="ID183" s="148"/>
      <c r="IE183" s="148"/>
      <c r="IF183" s="148"/>
      <c r="IG183" s="148"/>
      <c r="IH183" s="148"/>
      <c r="II183" s="148"/>
      <c r="IJ183" s="148"/>
      <c r="IK183" s="148"/>
      <c r="IL183" s="148"/>
      <c r="IM183" s="148"/>
      <c r="IN183" s="148"/>
      <c r="IO183" s="148"/>
      <c r="IP183" s="148"/>
      <c r="IQ183" s="148"/>
      <c r="IR183" s="148"/>
      <c r="IS183" s="148"/>
      <c r="IT183" s="148"/>
      <c r="IU183" s="148"/>
      <c r="IV183" s="148"/>
      <c r="IW183" s="148"/>
      <c r="IX183" s="148"/>
      <c r="IY183" s="148"/>
      <c r="IZ183" s="148"/>
      <c r="JA183" s="148"/>
      <c r="JB183" s="148"/>
      <c r="JC183" s="148"/>
      <c r="JD183" s="148"/>
      <c r="JE183" s="148"/>
      <c r="JF183" s="148"/>
      <c r="JG183" s="148"/>
      <c r="JH183" s="148"/>
      <c r="JI183" s="148"/>
      <c r="JJ183" s="148"/>
      <c r="JK183" s="148"/>
      <c r="JL183" s="148"/>
      <c r="JM183" s="148"/>
      <c r="JN183" s="148"/>
      <c r="JO183" s="148"/>
      <c r="JP183" s="148"/>
      <c r="JQ183" s="148"/>
      <c r="JR183" s="148"/>
      <c r="JS183" s="148"/>
      <c r="JT183" s="148"/>
      <c r="JU183" s="148"/>
      <c r="JV183" s="148"/>
      <c r="JW183" s="148"/>
      <c r="JX183" s="148"/>
      <c r="JY183" s="148"/>
      <c r="JZ183" s="148"/>
      <c r="KA183" s="148"/>
      <c r="KB183" s="148"/>
      <c r="KC183" s="148"/>
      <c r="KD183" s="148"/>
      <c r="KE183" s="148"/>
      <c r="KF183" s="148"/>
      <c r="KG183" s="148"/>
      <c r="KH183" s="148"/>
      <c r="KI183" s="148"/>
      <c r="KJ183" s="148"/>
      <c r="KK183" s="148"/>
      <c r="KL183" s="148"/>
      <c r="KM183" s="148"/>
      <c r="KN183" s="148"/>
      <c r="KO183" s="148"/>
      <c r="KP183" s="148"/>
      <c r="KQ183" s="148"/>
      <c r="KR183" s="148"/>
      <c r="KS183" s="148"/>
      <c r="KT183" s="148"/>
    </row>
    <row r="184" spans="3:306" hidden="1" x14ac:dyDescent="0.15">
      <c r="C184" s="92" t="s">
        <v>360</v>
      </c>
      <c r="D184" s="226">
        <f>SUM(F184:BG184)</f>
        <v>0</v>
      </c>
      <c r="E184" s="148"/>
      <c r="F184" s="148">
        <f>IFERROR((#REF!/#REF!)*F181,0)</f>
        <v>0</v>
      </c>
      <c r="G184" s="148">
        <f>IFERROR((#REF!/#REF!)*G181,0)</f>
        <v>0</v>
      </c>
      <c r="H184" s="148">
        <f>IFERROR((#REF!/#REF!)*H181,0)</f>
        <v>0</v>
      </c>
      <c r="I184" s="148">
        <f>IFERROR((#REF!/#REF!)*I181,0)</f>
        <v>0</v>
      </c>
      <c r="J184" s="148">
        <f>IFERROR((#REF!/#REF!)*J181,0)</f>
        <v>0</v>
      </c>
      <c r="K184" s="148">
        <f>IFERROR((#REF!/#REF!)*K181,0)</f>
        <v>0</v>
      </c>
      <c r="L184" s="148">
        <f>IFERROR((#REF!/#REF!)*L181,0)</f>
        <v>0</v>
      </c>
      <c r="M184" s="148">
        <f>IFERROR((#REF!/#REF!)*M181,0)</f>
        <v>0</v>
      </c>
      <c r="N184" s="148">
        <f>IFERROR((#REF!/#REF!)*N181,0)</f>
        <v>0</v>
      </c>
      <c r="O184" s="148">
        <f>IFERROR((#REF!/#REF!)*O181,0)</f>
        <v>0</v>
      </c>
      <c r="P184" s="148">
        <f>IFERROR((#REF!/#REF!)*P181,0)</f>
        <v>0</v>
      </c>
      <c r="Q184" s="148">
        <f>IFERROR((#REF!/#REF!)*Q181,0)</f>
        <v>0</v>
      </c>
      <c r="R184" s="148">
        <f>IFERROR((#REF!/#REF!)*R181,0)</f>
        <v>0</v>
      </c>
      <c r="S184" s="148">
        <f>IFERROR((#REF!/#REF!)*S181,0)</f>
        <v>0</v>
      </c>
      <c r="T184" s="148">
        <f>IFERROR((#REF!/#REF!)*T181,0)</f>
        <v>0</v>
      </c>
      <c r="U184" s="148">
        <f>IFERROR((#REF!/#REF!)*U181,0)</f>
        <v>0</v>
      </c>
      <c r="V184" s="148">
        <f>IFERROR((#REF!/#REF!)*V181,0)</f>
        <v>0</v>
      </c>
      <c r="W184" s="148">
        <f>IFERROR((#REF!/#REF!)*W181,0)</f>
        <v>0</v>
      </c>
      <c r="X184" s="148">
        <f>IFERROR((#REF!/#REF!)*X181,0)</f>
        <v>0</v>
      </c>
      <c r="Y184" s="148">
        <f>IFERROR((#REF!/#REF!)*Y181,0)</f>
        <v>0</v>
      </c>
      <c r="Z184" s="148">
        <f>IFERROR((#REF!/#REF!)*Z181,0)</f>
        <v>0</v>
      </c>
      <c r="AA184" s="148">
        <f>IFERROR((#REF!/#REF!)*AA181,0)</f>
        <v>0</v>
      </c>
      <c r="AB184" s="148">
        <f>IFERROR((#REF!/#REF!)*AB181,0)</f>
        <v>0</v>
      </c>
      <c r="AC184" s="148">
        <f>IFERROR((#REF!/#REF!)*AC181,0)</f>
        <v>0</v>
      </c>
      <c r="AD184" s="148">
        <f>IFERROR((#REF!/#REF!)*AD181,0)</f>
        <v>0</v>
      </c>
      <c r="AE184" s="148">
        <f>IFERROR((#REF!/#REF!)*AE181,0)</f>
        <v>0</v>
      </c>
      <c r="AF184" s="148">
        <f>IFERROR((#REF!/#REF!)*AF181,0)</f>
        <v>0</v>
      </c>
      <c r="AG184" s="148">
        <f>IFERROR((#REF!/#REF!)*AG181,0)</f>
        <v>0</v>
      </c>
      <c r="AH184" s="148">
        <f>IFERROR((#REF!/#REF!)*AH181,0)</f>
        <v>0</v>
      </c>
      <c r="AI184" s="148">
        <f>IFERROR((#REF!/#REF!)*AI181,0)</f>
        <v>0</v>
      </c>
      <c r="AJ184" s="148">
        <f>IFERROR((#REF!/#REF!)*AJ181,0)</f>
        <v>0</v>
      </c>
      <c r="AK184" s="148">
        <f>IFERROR((#REF!/#REF!)*AK181,0)</f>
        <v>0</v>
      </c>
      <c r="AL184" s="148">
        <f>IFERROR((#REF!/#REF!)*AL181,0)</f>
        <v>0</v>
      </c>
      <c r="AM184" s="148">
        <f>IFERROR((#REF!/#REF!)*AM181,0)</f>
        <v>0</v>
      </c>
      <c r="AN184" s="148">
        <f>IFERROR((#REF!/#REF!)*AN181,0)</f>
        <v>0</v>
      </c>
      <c r="AO184" s="148">
        <f>IFERROR((#REF!/#REF!)*AO181,0)</f>
        <v>0</v>
      </c>
      <c r="AP184" s="148">
        <f>IFERROR((#REF!/#REF!)*AP181,0)</f>
        <v>0</v>
      </c>
      <c r="AQ184" s="148">
        <f>IFERROR((#REF!/#REF!)*AQ181,0)</f>
        <v>0</v>
      </c>
      <c r="AR184" s="148">
        <f>IFERROR((#REF!/#REF!)*AR181,0)</f>
        <v>0</v>
      </c>
      <c r="AS184" s="148">
        <f>IFERROR((#REF!/#REF!)*AS181,0)</f>
        <v>0</v>
      </c>
      <c r="AT184" s="148">
        <f>IFERROR((#REF!/#REF!)*AT181,0)</f>
        <v>0</v>
      </c>
      <c r="AU184" s="148">
        <f>IFERROR((#REF!/#REF!)*AU181,0)</f>
        <v>0</v>
      </c>
      <c r="AV184" s="148">
        <f>IFERROR((#REF!/#REF!)*AV181,0)</f>
        <v>0</v>
      </c>
      <c r="AW184" s="148">
        <f>IFERROR((#REF!/#REF!)*AW181,0)</f>
        <v>0</v>
      </c>
      <c r="AX184" s="148">
        <f>IFERROR((#REF!/#REF!)*AX181,0)</f>
        <v>0</v>
      </c>
      <c r="AY184" s="148">
        <f>IFERROR((#REF!/#REF!)*AY181,0)</f>
        <v>0</v>
      </c>
      <c r="AZ184" s="148">
        <f>IFERROR((#REF!/#REF!)*AZ181,0)</f>
        <v>0</v>
      </c>
      <c r="BA184" s="148">
        <f>IFERROR((#REF!/#REF!)*BA181,0)</f>
        <v>0</v>
      </c>
      <c r="BB184" s="148">
        <f>IFERROR((#REF!/#REF!)*BB181,0)</f>
        <v>0</v>
      </c>
      <c r="BC184" s="148">
        <f>IFERROR((#REF!/#REF!)*BC181,0)</f>
        <v>0</v>
      </c>
      <c r="BD184" s="148">
        <f>IFERROR((#REF!/#REF!)*BD181,0)</f>
        <v>0</v>
      </c>
      <c r="BE184" s="148">
        <f>IFERROR((#REF!/#REF!)*BE181,0)</f>
        <v>0</v>
      </c>
      <c r="BF184" s="148">
        <f>IFERROR((#REF!/#REF!)*BF181,0)</f>
        <v>0</v>
      </c>
      <c r="BG184" s="148">
        <f>IFERROR((#REF!/#REF!)*BG181,0)</f>
        <v>0</v>
      </c>
      <c r="BH184" s="148"/>
      <c r="BI184" s="148"/>
      <c r="BJ184" s="148"/>
      <c r="BK184" s="148"/>
      <c r="BL184" s="148"/>
      <c r="BM184" s="148"/>
      <c r="BN184" s="148"/>
      <c r="BO184" s="148"/>
      <c r="BP184" s="148"/>
      <c r="BQ184" s="148"/>
      <c r="BR184" s="148"/>
      <c r="BS184" s="148"/>
      <c r="BT184" s="148"/>
      <c r="BU184" s="148"/>
      <c r="BV184" s="148"/>
      <c r="BW184" s="148"/>
      <c r="BX184" s="148"/>
      <c r="BY184" s="148"/>
      <c r="BZ184" s="148"/>
      <c r="CA184" s="148"/>
      <c r="CB184" s="148"/>
      <c r="CC184" s="148"/>
      <c r="CD184" s="148"/>
      <c r="CE184" s="148"/>
      <c r="CF184" s="148"/>
      <c r="CG184" s="148"/>
      <c r="CH184" s="148"/>
      <c r="CI184" s="148"/>
      <c r="CJ184" s="148"/>
      <c r="CK184" s="148"/>
      <c r="CL184" s="148"/>
      <c r="CM184" s="148"/>
      <c r="CN184" s="148"/>
      <c r="CO184" s="148"/>
      <c r="CP184" s="148"/>
      <c r="CQ184" s="148"/>
      <c r="CR184" s="148"/>
      <c r="CS184" s="148"/>
      <c r="CT184" s="148"/>
      <c r="CU184" s="148"/>
      <c r="CV184" s="148"/>
      <c r="CW184" s="148"/>
      <c r="CX184" s="148"/>
      <c r="CY184" s="148"/>
      <c r="CZ184" s="148"/>
      <c r="DA184" s="148"/>
      <c r="DB184" s="148"/>
      <c r="DC184" s="148"/>
      <c r="DD184" s="148"/>
      <c r="DE184" s="148"/>
      <c r="DF184" s="148"/>
      <c r="DG184" s="148"/>
      <c r="DH184" s="148"/>
      <c r="DI184" s="148"/>
      <c r="DJ184" s="148"/>
      <c r="DK184" s="148"/>
      <c r="DL184" s="148"/>
      <c r="DM184" s="148"/>
      <c r="DN184" s="148"/>
      <c r="DO184" s="148"/>
      <c r="DP184" s="148"/>
      <c r="DQ184" s="148"/>
      <c r="DR184" s="148"/>
      <c r="DS184" s="148"/>
      <c r="DT184" s="148"/>
      <c r="DU184" s="148"/>
      <c r="DV184" s="148"/>
      <c r="DW184" s="148"/>
      <c r="DX184" s="148"/>
      <c r="DY184" s="148"/>
      <c r="DZ184" s="148"/>
      <c r="EA184" s="148"/>
      <c r="EB184" s="148"/>
      <c r="EC184" s="148"/>
      <c r="ED184" s="148"/>
      <c r="EE184" s="148"/>
      <c r="EF184" s="148"/>
      <c r="EG184" s="148"/>
      <c r="EH184" s="148"/>
      <c r="EI184" s="148"/>
      <c r="EJ184" s="148"/>
      <c r="EK184" s="148"/>
      <c r="EL184" s="148"/>
      <c r="EM184" s="148"/>
      <c r="EN184" s="148"/>
      <c r="EO184" s="148"/>
      <c r="EP184" s="148"/>
      <c r="EQ184" s="148"/>
      <c r="ER184" s="148"/>
      <c r="ES184" s="148"/>
      <c r="ET184" s="148"/>
      <c r="EU184" s="148"/>
      <c r="EV184" s="148"/>
      <c r="EW184" s="148"/>
      <c r="EX184" s="148"/>
      <c r="EY184" s="148"/>
      <c r="EZ184" s="148"/>
      <c r="FA184" s="148"/>
      <c r="FB184" s="148"/>
      <c r="FC184" s="148"/>
      <c r="FD184" s="148"/>
      <c r="FE184" s="148"/>
      <c r="FF184" s="148"/>
      <c r="FG184" s="148"/>
      <c r="FH184" s="148"/>
      <c r="FI184" s="148"/>
      <c r="FJ184" s="148"/>
      <c r="FK184" s="148"/>
      <c r="FL184" s="148"/>
      <c r="FM184" s="148"/>
      <c r="FN184" s="148"/>
      <c r="FO184" s="148"/>
      <c r="FP184" s="148"/>
      <c r="FQ184" s="148"/>
      <c r="FR184" s="148"/>
      <c r="FS184" s="148"/>
      <c r="FT184" s="148"/>
      <c r="FU184" s="148"/>
      <c r="FV184" s="148"/>
      <c r="FW184" s="148"/>
      <c r="FX184" s="148"/>
      <c r="FY184" s="148"/>
      <c r="FZ184" s="148"/>
      <c r="GA184" s="148"/>
      <c r="GB184" s="148"/>
      <c r="GC184" s="148"/>
      <c r="GD184" s="148"/>
      <c r="GE184" s="148"/>
      <c r="GF184" s="148"/>
      <c r="GG184" s="148"/>
      <c r="GH184" s="148"/>
      <c r="GI184" s="148"/>
      <c r="GJ184" s="148"/>
      <c r="GK184" s="148"/>
      <c r="GL184" s="148"/>
      <c r="GM184" s="148"/>
      <c r="GN184" s="148"/>
      <c r="GO184" s="148"/>
      <c r="GP184" s="148"/>
      <c r="GQ184" s="148"/>
      <c r="GR184" s="148"/>
      <c r="GS184" s="148"/>
      <c r="GT184" s="148"/>
      <c r="GU184" s="148"/>
      <c r="GV184" s="148"/>
      <c r="GW184" s="148"/>
      <c r="GX184" s="148"/>
      <c r="GY184" s="148"/>
      <c r="GZ184" s="148"/>
      <c r="HA184" s="148"/>
      <c r="HB184" s="148"/>
      <c r="HC184" s="148"/>
      <c r="HD184" s="148"/>
      <c r="HE184" s="148"/>
      <c r="HF184" s="148"/>
      <c r="HG184" s="148"/>
      <c r="HH184" s="148"/>
      <c r="HI184" s="148"/>
      <c r="HJ184" s="148"/>
      <c r="HK184" s="148"/>
      <c r="HL184" s="148"/>
      <c r="HM184" s="148"/>
      <c r="HN184" s="148"/>
      <c r="HO184" s="148"/>
      <c r="HP184" s="148"/>
      <c r="HQ184" s="148"/>
      <c r="HR184" s="148"/>
      <c r="HS184" s="148"/>
      <c r="HT184" s="148"/>
      <c r="HU184" s="148"/>
      <c r="HV184" s="148"/>
      <c r="HW184" s="148"/>
      <c r="HX184" s="148"/>
      <c r="HY184" s="148"/>
      <c r="HZ184" s="148"/>
      <c r="IA184" s="148"/>
      <c r="IB184" s="148"/>
      <c r="IC184" s="148"/>
      <c r="ID184" s="148"/>
      <c r="IE184" s="148"/>
      <c r="IF184" s="148"/>
      <c r="IG184" s="148"/>
      <c r="IH184" s="148"/>
      <c r="II184" s="148"/>
      <c r="IJ184" s="148"/>
      <c r="IK184" s="148"/>
      <c r="IL184" s="148"/>
      <c r="IM184" s="148"/>
      <c r="IN184" s="148"/>
      <c r="IO184" s="148"/>
      <c r="IP184" s="148"/>
      <c r="IQ184" s="148"/>
      <c r="IR184" s="148"/>
      <c r="IS184" s="148"/>
      <c r="IT184" s="148"/>
      <c r="IU184" s="148"/>
      <c r="IV184" s="148"/>
      <c r="IW184" s="148"/>
      <c r="IX184" s="148"/>
      <c r="IY184" s="148"/>
      <c r="IZ184" s="148"/>
      <c r="JA184" s="148"/>
      <c r="JB184" s="148"/>
      <c r="JC184" s="148"/>
      <c r="JD184" s="148"/>
      <c r="JE184" s="148"/>
      <c r="JF184" s="148"/>
      <c r="JG184" s="148"/>
      <c r="JH184" s="148"/>
      <c r="JI184" s="148"/>
      <c r="JJ184" s="148"/>
      <c r="JK184" s="148"/>
      <c r="JL184" s="148"/>
      <c r="JM184" s="148"/>
      <c r="JN184" s="148"/>
      <c r="JO184" s="148"/>
      <c r="JP184" s="148"/>
      <c r="JQ184" s="148"/>
      <c r="JR184" s="148"/>
      <c r="JS184" s="148"/>
      <c r="JT184" s="148"/>
      <c r="JU184" s="148"/>
      <c r="JV184" s="148"/>
      <c r="JW184" s="148"/>
      <c r="JX184" s="148"/>
      <c r="JY184" s="148"/>
      <c r="JZ184" s="148"/>
      <c r="KA184" s="148"/>
      <c r="KB184" s="148"/>
      <c r="KC184" s="148"/>
      <c r="KD184" s="148"/>
      <c r="KE184" s="148"/>
      <c r="KF184" s="148"/>
      <c r="KG184" s="148"/>
      <c r="KH184" s="148"/>
      <c r="KI184" s="148"/>
      <c r="KJ184" s="148"/>
      <c r="KK184" s="148"/>
      <c r="KL184" s="148"/>
      <c r="KM184" s="148"/>
      <c r="KN184" s="148"/>
      <c r="KO184" s="148"/>
      <c r="KP184" s="148"/>
      <c r="KQ184" s="148"/>
      <c r="KR184" s="148"/>
      <c r="KS184" s="148"/>
      <c r="KT184" s="148"/>
    </row>
    <row r="185" spans="3:306" hidden="1" x14ac:dyDescent="0.15">
      <c r="C185" s="92" t="s">
        <v>361</v>
      </c>
      <c r="D185" s="265" t="e">
        <f>SUM(F185:BG185)</f>
        <v>#REF!</v>
      </c>
      <c r="E185" s="148"/>
      <c r="F185" s="148" t="e">
        <f>IF(F4&gt;Leadsheet!$E$15,0,SUM(F181:F184))</f>
        <v>#REF!</v>
      </c>
      <c r="G185" s="148" t="e">
        <f>IF(G4&gt;Leadsheet!$E$15,0,SUM(G181:G184))</f>
        <v>#REF!</v>
      </c>
      <c r="H185" s="148" t="e">
        <f>IF(H4&gt;Leadsheet!$E$15,0,SUM(H181:H184))</f>
        <v>#REF!</v>
      </c>
      <c r="I185" s="148" t="e">
        <f>IF(I4&gt;Leadsheet!$E$15,0,SUM(I181:I184))</f>
        <v>#REF!</v>
      </c>
      <c r="J185" s="148" t="e">
        <f>IF(J4&gt;Leadsheet!$E$15,0,SUM(J181:J184))</f>
        <v>#REF!</v>
      </c>
      <c r="K185" s="148" t="e">
        <f>IF(K4&gt;Leadsheet!$E$15,0,SUM(K181:K184))</f>
        <v>#REF!</v>
      </c>
      <c r="L185" s="148" t="e">
        <f>IF(L4&gt;Leadsheet!$E$15,0,SUM(L181:L184))</f>
        <v>#REF!</v>
      </c>
      <c r="M185" s="148" t="e">
        <f>IF(M4&gt;Leadsheet!$E$15,0,SUM(M181:M184))</f>
        <v>#REF!</v>
      </c>
      <c r="N185" s="148" t="e">
        <f>IF(N4&gt;Leadsheet!$E$15,0,SUM(N181:N184))</f>
        <v>#REF!</v>
      </c>
      <c r="O185" s="148" t="e">
        <f>IF(O4&gt;Leadsheet!$E$15,0,SUM(O181:O184))</f>
        <v>#REF!</v>
      </c>
      <c r="P185" s="148" t="e">
        <f>IF(P4&gt;Leadsheet!$E$15,0,SUM(P181:P184))</f>
        <v>#REF!</v>
      </c>
      <c r="Q185" s="148" t="e">
        <f>IF(Q4&gt;Leadsheet!$E$15,0,SUM(Q181:Q184))</f>
        <v>#REF!</v>
      </c>
      <c r="R185" s="148" t="e">
        <f>IF(R4&gt;Leadsheet!$E$15,0,SUM(R181:R184))</f>
        <v>#REF!</v>
      </c>
      <c r="S185" s="148" t="e">
        <f>IF(S4&gt;Leadsheet!$E$15,0,SUM(S181:S184))</f>
        <v>#REF!</v>
      </c>
      <c r="T185" s="148" t="e">
        <f>IF(T4&gt;Leadsheet!$E$15,0,SUM(T181:T184))</f>
        <v>#REF!</v>
      </c>
      <c r="U185" s="148">
        <f>IF(U4&gt;Leadsheet!$E$15,0,SUM(U181:U184))</f>
        <v>0</v>
      </c>
      <c r="V185" s="148">
        <f>IF(V4&gt;Leadsheet!$E$15,0,SUM(V181:V184))</f>
        <v>0</v>
      </c>
      <c r="W185" s="148">
        <f>IF(W4&gt;Leadsheet!$E$15,0,SUM(W181:W184))</f>
        <v>0</v>
      </c>
      <c r="X185" s="148">
        <f>IF(X4&gt;Leadsheet!$E$15,0,SUM(X181:X184))</f>
        <v>0</v>
      </c>
      <c r="Y185" s="148">
        <f>IF(Y4&gt;Leadsheet!$E$15,0,SUM(Y181:Y184))</f>
        <v>0</v>
      </c>
      <c r="Z185" s="148">
        <f>IF(Z4&gt;Leadsheet!$E$15,0,SUM(Z181:Z184))</f>
        <v>0</v>
      </c>
      <c r="AA185" s="148">
        <f>IF(AA4&gt;Leadsheet!$E$15,0,SUM(AA181:AA184))</f>
        <v>0</v>
      </c>
      <c r="AB185" s="148">
        <f>IF(AB4&gt;Leadsheet!$E$15,0,SUM(AB181:AB184))</f>
        <v>0</v>
      </c>
      <c r="AC185" s="148">
        <f>IF(AC4&gt;Leadsheet!$E$15,0,SUM(AC181:AC184))</f>
        <v>0</v>
      </c>
      <c r="AD185" s="148">
        <f>IF(AD4&gt;Leadsheet!$E$15,0,SUM(AD181:AD184))</f>
        <v>0</v>
      </c>
      <c r="AE185" s="148">
        <f>IF(AE4&gt;Leadsheet!$E$15,0,SUM(AE181:AE184))</f>
        <v>0</v>
      </c>
      <c r="AF185" s="148">
        <f>IF(AF4&gt;Leadsheet!$E$15,0,SUM(AF181:AF184))</f>
        <v>0</v>
      </c>
      <c r="AG185" s="148">
        <f>IF(AG4&gt;Leadsheet!$E$15,0,SUM(AG181:AG184))</f>
        <v>0</v>
      </c>
      <c r="AH185" s="148">
        <f>IF(AH4&gt;Leadsheet!$E$15,0,SUM(AH181:AH184))</f>
        <v>0</v>
      </c>
      <c r="AI185" s="148">
        <f>IF(AI4&gt;Leadsheet!$E$15,0,SUM(AI181:AI184))</f>
        <v>0</v>
      </c>
      <c r="AJ185" s="148">
        <f>IF(AJ4&gt;Leadsheet!$E$15,0,SUM(AJ181:AJ184))</f>
        <v>0</v>
      </c>
      <c r="AK185" s="148">
        <f>IF(AK4&gt;Leadsheet!$E$15,0,SUM(AK181:AK184))</f>
        <v>0</v>
      </c>
      <c r="AL185" s="148">
        <f>IF(AL4&gt;Leadsheet!$E$15,0,SUM(AL181:AL184))</f>
        <v>0</v>
      </c>
      <c r="AM185" s="148">
        <f>IF(AM4&gt;Leadsheet!$E$15,0,SUM(AM181:AM184))</f>
        <v>0</v>
      </c>
      <c r="AN185" s="148">
        <f>IF(AN4&gt;Leadsheet!$E$15,0,SUM(AN181:AN184))</f>
        <v>0</v>
      </c>
      <c r="AO185" s="148">
        <f>IF(AO4&gt;Leadsheet!$E$15,0,SUM(AO181:AO184))</f>
        <v>0</v>
      </c>
      <c r="AP185" s="148">
        <f>IF(AP4&gt;Leadsheet!$E$15,0,SUM(AP181:AP184))</f>
        <v>0</v>
      </c>
      <c r="AQ185" s="148">
        <f>IF(AQ4&gt;Leadsheet!$E$15,0,SUM(AQ181:AQ184))</f>
        <v>0</v>
      </c>
      <c r="AR185" s="148">
        <f>IF(AR4&gt;Leadsheet!$E$15,0,SUM(AR181:AR184))</f>
        <v>0</v>
      </c>
      <c r="AS185" s="148">
        <f>IF(AS4&gt;Leadsheet!$E$15,0,SUM(AS181:AS184))</f>
        <v>0</v>
      </c>
      <c r="AT185" s="148">
        <f>IF(AT4&gt;Leadsheet!$E$15,0,SUM(AT181:AT184))</f>
        <v>0</v>
      </c>
      <c r="AU185" s="148">
        <f>IF(AU4&gt;Leadsheet!$E$15,0,SUM(AU181:AU184))</f>
        <v>0</v>
      </c>
      <c r="AV185" s="148">
        <f>IF(AV4&gt;Leadsheet!$E$15,0,SUM(AV181:AV184))</f>
        <v>0</v>
      </c>
      <c r="AW185" s="148">
        <f>IF(AW4&gt;Leadsheet!$E$15,0,SUM(AW181:AW184))</f>
        <v>0</v>
      </c>
      <c r="AX185" s="148">
        <f>IF(AX4&gt;Leadsheet!$E$15,0,SUM(AX181:AX184))</f>
        <v>0</v>
      </c>
      <c r="AY185" s="148">
        <f>IF(AY4&gt;Leadsheet!$E$15,0,SUM(AY181:AY184))</f>
        <v>0</v>
      </c>
      <c r="AZ185" s="148">
        <f>IF(AZ4&gt;Leadsheet!$E$15,0,SUM(AZ181:AZ184))</f>
        <v>0</v>
      </c>
      <c r="BA185" s="148">
        <f>IF(BA4&gt;Leadsheet!$E$15,0,SUM(BA181:BA184))</f>
        <v>0</v>
      </c>
      <c r="BB185" s="148">
        <f>IF(BB4&gt;Leadsheet!$E$15,0,SUM(BB181:BB184))</f>
        <v>0</v>
      </c>
      <c r="BC185" s="148">
        <f>IF(BC4&gt;Leadsheet!$E$15,0,SUM(BC181:BC184))</f>
        <v>0</v>
      </c>
      <c r="BD185" s="148">
        <f>IF(BD4&gt;Leadsheet!$E$15,0,SUM(BD181:BD184))</f>
        <v>0</v>
      </c>
      <c r="BE185" s="148">
        <f>IF(BE4&gt;Leadsheet!$E$15,0,SUM(BE181:BE184))</f>
        <v>0</v>
      </c>
      <c r="BF185" s="148">
        <f>IF(BF4&gt;Leadsheet!$E$15,0,SUM(BF181:BF184))</f>
        <v>0</v>
      </c>
      <c r="BG185" s="148">
        <f>IF(BG4&gt;Leadsheet!$E$15,0,SUM(BG181:BG184))</f>
        <v>0</v>
      </c>
      <c r="BH185" s="148"/>
      <c r="BI185" s="148"/>
      <c r="BJ185" s="148"/>
      <c r="BK185" s="148"/>
      <c r="BL185" s="148"/>
      <c r="BM185" s="148"/>
      <c r="BN185" s="148"/>
      <c r="BO185" s="148"/>
      <c r="BP185" s="148"/>
      <c r="BQ185" s="148"/>
      <c r="BR185" s="148"/>
      <c r="BS185" s="148"/>
      <c r="BT185" s="148"/>
      <c r="BU185" s="148"/>
      <c r="BV185" s="148"/>
      <c r="BW185" s="148"/>
      <c r="BX185" s="148"/>
      <c r="BY185" s="148"/>
      <c r="BZ185" s="148"/>
      <c r="CA185" s="148"/>
      <c r="CB185" s="148"/>
      <c r="CC185" s="148"/>
      <c r="CD185" s="148"/>
      <c r="CE185" s="148"/>
      <c r="CF185" s="148"/>
      <c r="CG185" s="148"/>
      <c r="CH185" s="148"/>
      <c r="CI185" s="148"/>
      <c r="CJ185" s="148"/>
      <c r="CK185" s="148"/>
      <c r="CL185" s="148"/>
      <c r="CM185" s="148"/>
      <c r="CN185" s="148"/>
      <c r="CO185" s="148"/>
      <c r="CP185" s="148"/>
      <c r="CQ185" s="148"/>
      <c r="CR185" s="148"/>
      <c r="CS185" s="148"/>
      <c r="CT185" s="148"/>
      <c r="CU185" s="148"/>
      <c r="CV185" s="148"/>
      <c r="CW185" s="148"/>
      <c r="CX185" s="148"/>
      <c r="CY185" s="148"/>
      <c r="CZ185" s="148"/>
      <c r="DA185" s="148"/>
      <c r="DB185" s="148"/>
      <c r="DC185" s="148"/>
      <c r="DD185" s="148"/>
      <c r="DE185" s="148"/>
      <c r="DF185" s="148"/>
      <c r="DG185" s="148"/>
      <c r="DH185" s="148"/>
      <c r="DI185" s="148"/>
      <c r="DJ185" s="148"/>
      <c r="DK185" s="148"/>
      <c r="DL185" s="148"/>
      <c r="DM185" s="148"/>
      <c r="DN185" s="148"/>
      <c r="DO185" s="148"/>
      <c r="DP185" s="148"/>
      <c r="DQ185" s="148"/>
      <c r="DR185" s="148"/>
      <c r="DS185" s="148"/>
      <c r="DT185" s="148"/>
      <c r="DU185" s="148"/>
      <c r="DV185" s="148"/>
      <c r="DW185" s="148"/>
      <c r="DX185" s="148"/>
      <c r="DY185" s="148"/>
      <c r="DZ185" s="148"/>
      <c r="EA185" s="148"/>
      <c r="EB185" s="148"/>
      <c r="EC185" s="148"/>
      <c r="ED185" s="148"/>
      <c r="EE185" s="148"/>
      <c r="EF185" s="148"/>
      <c r="EG185" s="148"/>
      <c r="EH185" s="148"/>
      <c r="EI185" s="148"/>
      <c r="EJ185" s="148"/>
      <c r="EK185" s="148"/>
      <c r="EL185" s="148"/>
      <c r="EM185" s="148"/>
      <c r="EN185" s="148"/>
      <c r="EO185" s="148"/>
      <c r="EP185" s="148"/>
      <c r="EQ185" s="148"/>
      <c r="ER185" s="148"/>
      <c r="ES185" s="148"/>
      <c r="ET185" s="148"/>
      <c r="EU185" s="148"/>
      <c r="EV185" s="148"/>
      <c r="EW185" s="148"/>
      <c r="EX185" s="148"/>
      <c r="EY185" s="148"/>
      <c r="EZ185" s="148"/>
      <c r="FA185" s="148"/>
      <c r="FB185" s="148"/>
      <c r="FC185" s="148"/>
      <c r="FD185" s="148"/>
      <c r="FE185" s="148"/>
      <c r="FF185" s="148"/>
      <c r="FG185" s="148"/>
      <c r="FH185" s="148"/>
      <c r="FI185" s="148"/>
      <c r="FJ185" s="148"/>
      <c r="FK185" s="148"/>
      <c r="FL185" s="148"/>
      <c r="FM185" s="148"/>
      <c r="FN185" s="148"/>
      <c r="FO185" s="148"/>
      <c r="FP185" s="148"/>
      <c r="FQ185" s="148"/>
      <c r="FR185" s="148"/>
      <c r="FS185" s="148"/>
      <c r="FT185" s="148"/>
      <c r="FU185" s="148"/>
      <c r="FV185" s="148"/>
      <c r="FW185" s="148"/>
      <c r="FX185" s="148"/>
      <c r="FY185" s="148"/>
      <c r="FZ185" s="148"/>
      <c r="GA185" s="148"/>
      <c r="GB185" s="148"/>
      <c r="GC185" s="148"/>
      <c r="GD185" s="148"/>
      <c r="GE185" s="148"/>
      <c r="GF185" s="148"/>
      <c r="GG185" s="148"/>
      <c r="GH185" s="148"/>
      <c r="GI185" s="148"/>
      <c r="GJ185" s="148"/>
      <c r="GK185" s="148"/>
      <c r="GL185" s="148"/>
      <c r="GM185" s="148"/>
      <c r="GN185" s="148"/>
      <c r="GO185" s="148"/>
      <c r="GP185" s="148"/>
      <c r="GQ185" s="148"/>
      <c r="GR185" s="148"/>
      <c r="GS185" s="148"/>
      <c r="GT185" s="148"/>
      <c r="GU185" s="148"/>
      <c r="GV185" s="148"/>
      <c r="GW185" s="148"/>
      <c r="GX185" s="148"/>
      <c r="GY185" s="148"/>
      <c r="GZ185" s="148"/>
      <c r="HA185" s="148"/>
      <c r="HB185" s="148"/>
      <c r="HC185" s="148"/>
      <c r="HD185" s="148"/>
      <c r="HE185" s="148"/>
      <c r="HF185" s="148"/>
      <c r="HG185" s="148"/>
      <c r="HH185" s="148"/>
      <c r="HI185" s="148"/>
      <c r="HJ185" s="148"/>
      <c r="HK185" s="148"/>
      <c r="HL185" s="148"/>
      <c r="HM185" s="148"/>
      <c r="HN185" s="148"/>
      <c r="HO185" s="148"/>
      <c r="HP185" s="148"/>
      <c r="HQ185" s="148"/>
      <c r="HR185" s="148"/>
      <c r="HS185" s="148"/>
      <c r="HT185" s="148"/>
      <c r="HU185" s="148"/>
      <c r="HV185" s="148"/>
      <c r="HW185" s="148"/>
      <c r="HX185" s="148"/>
      <c r="HY185" s="148"/>
      <c r="HZ185" s="148"/>
      <c r="IA185" s="148"/>
      <c r="IB185" s="148"/>
      <c r="IC185" s="148"/>
      <c r="ID185" s="148"/>
      <c r="IE185" s="148"/>
      <c r="IF185" s="148"/>
      <c r="IG185" s="148"/>
      <c r="IH185" s="148"/>
      <c r="II185" s="148"/>
      <c r="IJ185" s="148"/>
      <c r="IK185" s="148"/>
      <c r="IL185" s="148"/>
      <c r="IM185" s="148"/>
      <c r="IN185" s="148"/>
      <c r="IO185" s="148"/>
      <c r="IP185" s="148"/>
      <c r="IQ185" s="148"/>
      <c r="IR185" s="148"/>
      <c r="IS185" s="148"/>
      <c r="IT185" s="148"/>
      <c r="IU185" s="148"/>
      <c r="IV185" s="148"/>
      <c r="IW185" s="148"/>
      <c r="IX185" s="148"/>
      <c r="IY185" s="148"/>
      <c r="IZ185" s="148"/>
      <c r="JA185" s="148"/>
      <c r="JB185" s="148"/>
      <c r="JC185" s="148"/>
      <c r="JD185" s="148"/>
      <c r="JE185" s="148"/>
      <c r="JF185" s="148"/>
      <c r="JG185" s="148"/>
      <c r="JH185" s="148"/>
      <c r="JI185" s="148"/>
      <c r="JJ185" s="148"/>
      <c r="JK185" s="148"/>
      <c r="JL185" s="148"/>
      <c r="JM185" s="148"/>
      <c r="JN185" s="148"/>
      <c r="JO185" s="148"/>
      <c r="JP185" s="148"/>
      <c r="JQ185" s="148"/>
      <c r="JR185" s="148"/>
      <c r="JS185" s="148"/>
      <c r="JT185" s="148"/>
      <c r="JU185" s="148"/>
      <c r="JV185" s="148"/>
      <c r="JW185" s="148"/>
      <c r="JX185" s="148"/>
      <c r="JY185" s="148"/>
      <c r="JZ185" s="148"/>
      <c r="KA185" s="148"/>
      <c r="KB185" s="148"/>
      <c r="KC185" s="148"/>
      <c r="KD185" s="148"/>
      <c r="KE185" s="148"/>
      <c r="KF185" s="148"/>
      <c r="KG185" s="148"/>
      <c r="KH185" s="148"/>
      <c r="KI185" s="148"/>
      <c r="KJ185" s="148"/>
      <c r="KK185" s="148"/>
      <c r="KL185" s="148"/>
      <c r="KM185" s="148"/>
      <c r="KN185" s="148"/>
      <c r="KO185" s="148"/>
      <c r="KP185" s="148"/>
      <c r="KQ185" s="148"/>
      <c r="KR185" s="148"/>
      <c r="KS185" s="148"/>
      <c r="KT185" s="148"/>
    </row>
    <row r="186" spans="3:306" hidden="1" x14ac:dyDescent="0.15"/>
    <row r="187" spans="3:306" hidden="1" x14ac:dyDescent="0.15"/>
    <row r="188" spans="3:306" hidden="1" x14ac:dyDescent="0.15">
      <c r="C188" s="157" t="s">
        <v>362</v>
      </c>
    </row>
    <row r="189" spans="3:306" hidden="1" x14ac:dyDescent="0.15">
      <c r="C189" s="266" t="s">
        <v>363</v>
      </c>
      <c r="F189" s="150" t="e">
        <f>+#REF!</f>
        <v>#REF!</v>
      </c>
      <c r="G189" s="150" t="e">
        <f>+#REF!</f>
        <v>#REF!</v>
      </c>
      <c r="H189" s="150" t="e">
        <f>+#REF!</f>
        <v>#REF!</v>
      </c>
      <c r="I189" s="150" t="e">
        <f>+#REF!</f>
        <v>#REF!</v>
      </c>
      <c r="J189" s="150" t="e">
        <f>+#REF!</f>
        <v>#REF!</v>
      </c>
      <c r="K189" s="150" t="e">
        <f>+#REF!</f>
        <v>#REF!</v>
      </c>
      <c r="L189" s="150" t="e">
        <f>+#REF!</f>
        <v>#REF!</v>
      </c>
      <c r="M189" s="150" t="e">
        <f>+#REF!</f>
        <v>#REF!</v>
      </c>
      <c r="N189" s="150" t="e">
        <f>+#REF!</f>
        <v>#REF!</v>
      </c>
      <c r="O189" s="150" t="e">
        <f>+#REF!</f>
        <v>#REF!</v>
      </c>
      <c r="P189" s="150" t="e">
        <f>+#REF!</f>
        <v>#REF!</v>
      </c>
      <c r="Q189" s="150" t="e">
        <f>+#REF!</f>
        <v>#REF!</v>
      </c>
      <c r="R189" s="150" t="e">
        <f>+#REF!</f>
        <v>#REF!</v>
      </c>
      <c r="S189" s="150" t="e">
        <f>+#REF!</f>
        <v>#REF!</v>
      </c>
      <c r="T189" s="150" t="e">
        <f>+#REF!</f>
        <v>#REF!</v>
      </c>
      <c r="U189" s="150" t="e">
        <f>+#REF!</f>
        <v>#REF!</v>
      </c>
      <c r="V189" s="150" t="e">
        <f>+#REF!</f>
        <v>#REF!</v>
      </c>
      <c r="W189" s="150" t="e">
        <f>+#REF!</f>
        <v>#REF!</v>
      </c>
      <c r="X189" s="150" t="e">
        <f>+#REF!</f>
        <v>#REF!</v>
      </c>
      <c r="Y189" s="150" t="e">
        <f>+#REF!</f>
        <v>#REF!</v>
      </c>
      <c r="Z189" s="150" t="e">
        <f>+#REF!</f>
        <v>#REF!</v>
      </c>
      <c r="AA189" s="150" t="e">
        <f>+#REF!</f>
        <v>#REF!</v>
      </c>
      <c r="AB189" s="150" t="e">
        <f>+#REF!</f>
        <v>#REF!</v>
      </c>
      <c r="AC189" s="150" t="e">
        <f>+#REF!</f>
        <v>#REF!</v>
      </c>
      <c r="AD189" s="150" t="e">
        <f>+#REF!</f>
        <v>#REF!</v>
      </c>
      <c r="AE189" s="150" t="e">
        <f>+#REF!</f>
        <v>#REF!</v>
      </c>
      <c r="AF189" s="150" t="e">
        <f>+#REF!</f>
        <v>#REF!</v>
      </c>
      <c r="AG189" s="150" t="e">
        <f>+#REF!</f>
        <v>#REF!</v>
      </c>
      <c r="AH189" s="150" t="e">
        <f>+#REF!</f>
        <v>#REF!</v>
      </c>
      <c r="AI189" s="150" t="e">
        <f>+#REF!</f>
        <v>#REF!</v>
      </c>
      <c r="AJ189" s="150" t="e">
        <f>+#REF!</f>
        <v>#REF!</v>
      </c>
      <c r="AK189" s="150" t="e">
        <f>+#REF!</f>
        <v>#REF!</v>
      </c>
      <c r="AL189" s="150" t="e">
        <f>+#REF!</f>
        <v>#REF!</v>
      </c>
      <c r="AM189" s="150" t="e">
        <f>+#REF!</f>
        <v>#REF!</v>
      </c>
      <c r="AN189" s="150" t="e">
        <f>+#REF!</f>
        <v>#REF!</v>
      </c>
      <c r="AO189" s="150" t="e">
        <f>+#REF!</f>
        <v>#REF!</v>
      </c>
      <c r="AP189" s="150" t="e">
        <f>+#REF!</f>
        <v>#REF!</v>
      </c>
      <c r="AQ189" s="150" t="e">
        <f>+#REF!</f>
        <v>#REF!</v>
      </c>
      <c r="AR189" s="150" t="e">
        <f>+#REF!</f>
        <v>#REF!</v>
      </c>
      <c r="AS189" s="150" t="e">
        <f>+#REF!</f>
        <v>#REF!</v>
      </c>
      <c r="AT189" s="150" t="e">
        <f>+#REF!</f>
        <v>#REF!</v>
      </c>
      <c r="AU189" s="150" t="e">
        <f>+#REF!</f>
        <v>#REF!</v>
      </c>
      <c r="AV189" s="150" t="e">
        <f>+#REF!</f>
        <v>#REF!</v>
      </c>
      <c r="AW189" s="150" t="e">
        <f>+#REF!</f>
        <v>#REF!</v>
      </c>
      <c r="AX189" s="150" t="e">
        <f>+#REF!</f>
        <v>#REF!</v>
      </c>
      <c r="AY189" s="150" t="e">
        <f>+#REF!</f>
        <v>#REF!</v>
      </c>
      <c r="AZ189" s="150" t="e">
        <f>+#REF!</f>
        <v>#REF!</v>
      </c>
      <c r="BA189" s="150" t="e">
        <f>+#REF!</f>
        <v>#REF!</v>
      </c>
      <c r="BB189" s="150" t="e">
        <f>+#REF!</f>
        <v>#REF!</v>
      </c>
      <c r="BC189" s="150" t="e">
        <f>+#REF!</f>
        <v>#REF!</v>
      </c>
      <c r="BD189" s="150" t="e">
        <f>+#REF!</f>
        <v>#REF!</v>
      </c>
      <c r="BE189" s="150" t="e">
        <f>+#REF!</f>
        <v>#REF!</v>
      </c>
      <c r="BF189" s="150" t="e">
        <f>+#REF!</f>
        <v>#REF!</v>
      </c>
      <c r="BG189" s="150" t="e">
        <f>+#REF!</f>
        <v>#REF!</v>
      </c>
      <c r="BH189" s="150"/>
      <c r="BI189" s="150"/>
      <c r="BJ189" s="150"/>
      <c r="BK189" s="150"/>
      <c r="BL189" s="150"/>
      <c r="BM189" s="150"/>
      <c r="BN189" s="150"/>
      <c r="BO189" s="150"/>
      <c r="BP189" s="150"/>
      <c r="BQ189" s="150"/>
      <c r="BR189" s="150"/>
      <c r="BS189" s="150"/>
      <c r="BT189" s="150"/>
      <c r="BU189" s="150"/>
      <c r="BV189" s="150"/>
      <c r="BW189" s="150"/>
      <c r="BX189" s="150"/>
      <c r="BY189" s="150"/>
      <c r="BZ189" s="150"/>
      <c r="CA189" s="150"/>
      <c r="CB189" s="150"/>
      <c r="CC189" s="150"/>
      <c r="CD189" s="150"/>
      <c r="CE189" s="150"/>
      <c r="CF189" s="150"/>
      <c r="CG189" s="150"/>
      <c r="CH189" s="150"/>
      <c r="CI189" s="150"/>
      <c r="CJ189" s="150"/>
      <c r="CK189" s="150"/>
      <c r="CL189" s="150"/>
      <c r="CM189" s="150"/>
      <c r="CN189" s="150"/>
      <c r="CO189" s="150"/>
    </row>
    <row r="190" spans="3:306" hidden="1" x14ac:dyDescent="0.15">
      <c r="C190" s="266" t="s">
        <v>364</v>
      </c>
      <c r="F190" s="148" t="e">
        <f>-E19*(F$13+#REF!*(1+#REF!))</f>
        <v>#REF!</v>
      </c>
      <c r="G190" s="148" t="e">
        <f>-#REF!*(G$13+#REF!*(1+#REF!))</f>
        <v>#REF!</v>
      </c>
      <c r="H190" s="148" t="e">
        <f>-#REF!*(H$13+#REF!*(1+#REF!))</f>
        <v>#REF!</v>
      </c>
      <c r="I190" s="148" t="e">
        <f>-#REF!*(I$13+#REF!*(1+#REF!))</f>
        <v>#REF!</v>
      </c>
      <c r="J190" s="148" t="e">
        <f>-#REF!*(J$13+#REF!*(1+#REF!))</f>
        <v>#REF!</v>
      </c>
      <c r="K190" s="148" t="e">
        <f>-#REF!*(K$13+#REF!*(1+#REF!))</f>
        <v>#REF!</v>
      </c>
      <c r="L190" s="148" t="e">
        <f>-#REF!*(L$13+#REF!*(1+#REF!))</f>
        <v>#REF!</v>
      </c>
      <c r="M190" s="148" t="e">
        <f>-#REF!*(M$13+#REF!*(1+#REF!))</f>
        <v>#REF!</v>
      </c>
      <c r="N190" s="148" t="e">
        <f>-#REF!*(N$13+#REF!*(1+#REF!))</f>
        <v>#REF!</v>
      </c>
      <c r="O190" s="148" t="e">
        <f>-#REF!*(O$13+#REF!*(1+#REF!))</f>
        <v>#REF!</v>
      </c>
      <c r="P190" s="148" t="e">
        <f>-#REF!*(P$13+#REF!*(1+#REF!))</f>
        <v>#REF!</v>
      </c>
      <c r="Q190" s="148" t="e">
        <f>-#REF!*(Q$13+#REF!*(1+#REF!))</f>
        <v>#REF!</v>
      </c>
      <c r="R190" s="148" t="e">
        <f>-#REF!*(R$13+#REF!*(1+#REF!))</f>
        <v>#REF!</v>
      </c>
      <c r="S190" s="148" t="e">
        <f>-#REF!*(S$13+#REF!*(1+#REF!))</f>
        <v>#REF!</v>
      </c>
      <c r="T190" s="148" t="e">
        <f>-#REF!*(T$13+#REF!*(1+#REF!))</f>
        <v>#REF!</v>
      </c>
      <c r="U190" s="148" t="e">
        <f>-#REF!*(U$13+#REF!*(1+#REF!))</f>
        <v>#REF!</v>
      </c>
      <c r="V190" s="148" t="e">
        <f>-#REF!*(V$13+#REF!*(1+#REF!))</f>
        <v>#REF!</v>
      </c>
      <c r="W190" s="148" t="e">
        <f>-#REF!*(W$13+#REF!*(1+#REF!))</f>
        <v>#REF!</v>
      </c>
      <c r="X190" s="148" t="e">
        <f>-#REF!*(X$13+#REF!*(1+#REF!))</f>
        <v>#REF!</v>
      </c>
      <c r="Y190" s="148" t="e">
        <f>-#REF!*(Y$13+#REF!*(1+#REF!))</f>
        <v>#REF!</v>
      </c>
      <c r="Z190" s="148" t="e">
        <f>-#REF!*(Z$13+#REF!*(1+#REF!))</f>
        <v>#REF!</v>
      </c>
      <c r="AA190" s="148" t="e">
        <f>-#REF!*(AA$13+#REF!*(1+#REF!))</f>
        <v>#REF!</v>
      </c>
      <c r="AB190" s="148" t="e">
        <f>-#REF!*(AB$13+#REF!*(1+#REF!))</f>
        <v>#REF!</v>
      </c>
      <c r="AC190" s="148" t="e">
        <f>-#REF!*(AC$13+#REF!*(1+#REF!))</f>
        <v>#REF!</v>
      </c>
      <c r="AD190" s="148" t="e">
        <f>-#REF!*(AD$13+#REF!*(1+#REF!))</f>
        <v>#REF!</v>
      </c>
      <c r="AE190" s="148" t="e">
        <f>-#REF!*(AE$13+#REF!*(1+#REF!))</f>
        <v>#REF!</v>
      </c>
      <c r="AF190" s="148" t="e">
        <f>-#REF!*(AF$13+#REF!*(1+#REF!))</f>
        <v>#REF!</v>
      </c>
      <c r="AG190" s="148" t="e">
        <f>-#REF!*(AG$13+#REF!*(1+#REF!))</f>
        <v>#REF!</v>
      </c>
      <c r="AH190" s="148" t="e">
        <f>-#REF!*(AH$13+#REF!*(1+#REF!))</f>
        <v>#REF!</v>
      </c>
      <c r="AI190" s="148" t="e">
        <f>-#REF!*(AI$13+#REF!*(1+#REF!))</f>
        <v>#REF!</v>
      </c>
      <c r="AJ190" s="148" t="e">
        <f>-#REF!*(AJ$13+#REF!*(1+#REF!))</f>
        <v>#REF!</v>
      </c>
      <c r="AK190" s="148" t="e">
        <f>-#REF!*(AK$13+#REF!*(1+#REF!))</f>
        <v>#REF!</v>
      </c>
      <c r="AL190" s="148" t="e">
        <f>-#REF!*(AL$13+#REF!*(1+#REF!))</f>
        <v>#REF!</v>
      </c>
      <c r="AM190" s="148" t="e">
        <f>-#REF!*(AM$13+#REF!*(1+#REF!))</f>
        <v>#REF!</v>
      </c>
      <c r="AN190" s="148" t="e">
        <f>-#REF!*(AN$13+#REF!*(1+#REF!))</f>
        <v>#REF!</v>
      </c>
      <c r="AO190" s="148" t="e">
        <f>-#REF!*(AO$13+#REF!*(1+#REF!))</f>
        <v>#REF!</v>
      </c>
      <c r="AP190" s="148" t="e">
        <f>-#REF!*(AP$13+#REF!*(1+#REF!))</f>
        <v>#REF!</v>
      </c>
      <c r="AQ190" s="148" t="e">
        <f>-#REF!*(AQ$13+#REF!*(1+#REF!))</f>
        <v>#REF!</v>
      </c>
      <c r="AR190" s="148" t="e">
        <f>-#REF!*(AR$13+#REF!*(1+#REF!))</f>
        <v>#REF!</v>
      </c>
      <c r="AS190" s="148" t="e">
        <f>-#REF!*(AS$13+#REF!*(1+#REF!))</f>
        <v>#REF!</v>
      </c>
      <c r="AT190" s="148" t="e">
        <f>-#REF!*(AT$13+#REF!*(1+#REF!))</f>
        <v>#REF!</v>
      </c>
      <c r="AU190" s="148" t="e">
        <f>-#REF!*(AU$13+#REF!*(1+#REF!))</f>
        <v>#REF!</v>
      </c>
      <c r="AV190" s="148" t="e">
        <f>-#REF!*(AV$13+#REF!*(1+#REF!))</f>
        <v>#REF!</v>
      </c>
      <c r="AW190" s="148" t="e">
        <f>-#REF!*(AW$13+#REF!*(1+#REF!))</f>
        <v>#REF!</v>
      </c>
      <c r="AX190" s="148" t="e">
        <f>-#REF!*(AX$13+#REF!*(1+#REF!))</f>
        <v>#REF!</v>
      </c>
      <c r="AY190" s="148" t="e">
        <f>-#REF!*(AY$13+#REF!*(1+#REF!))</f>
        <v>#REF!</v>
      </c>
      <c r="AZ190" s="148" t="e">
        <f>-#REF!*(AZ$13+#REF!*(1+#REF!))</f>
        <v>#REF!</v>
      </c>
      <c r="BA190" s="148" t="e">
        <f>-#REF!*(BA$13+#REF!*(1+#REF!))</f>
        <v>#REF!</v>
      </c>
      <c r="BB190" s="148" t="e">
        <f>-#REF!*(BB$13+#REF!*(1+#REF!))</f>
        <v>#REF!</v>
      </c>
      <c r="BC190" s="148" t="e">
        <f>-#REF!*(BC$13+#REF!*(1+#REF!))</f>
        <v>#REF!</v>
      </c>
      <c r="BD190" s="148" t="e">
        <f>-#REF!*(BD$13+#REF!*(1+#REF!))</f>
        <v>#REF!</v>
      </c>
      <c r="BE190" s="148" t="e">
        <f>-#REF!*(BE$13+#REF!*(1+#REF!))</f>
        <v>#REF!</v>
      </c>
      <c r="BF190" s="148" t="e">
        <f>-#REF!*(BF$13+#REF!*(1+#REF!))</f>
        <v>#REF!</v>
      </c>
      <c r="BG190" s="148" t="e">
        <f>-#REF!*(BG$13+#REF!*(1+#REF!))</f>
        <v>#REF!</v>
      </c>
      <c r="BH190" s="148"/>
      <c r="BI190" s="148"/>
      <c r="BJ190" s="148"/>
      <c r="BK190" s="148"/>
      <c r="BL190" s="148"/>
      <c r="BM190" s="148"/>
      <c r="BN190" s="148"/>
      <c r="BO190" s="148"/>
      <c r="BP190" s="148"/>
      <c r="BQ190" s="148"/>
      <c r="BR190" s="148"/>
      <c r="BS190" s="148"/>
      <c r="BT190" s="148"/>
      <c r="BU190" s="148"/>
      <c r="BV190" s="148"/>
      <c r="BW190" s="148"/>
      <c r="BX190" s="148"/>
      <c r="BY190" s="148"/>
      <c r="BZ190" s="148"/>
      <c r="CA190" s="148"/>
      <c r="CB190" s="148"/>
      <c r="CC190" s="148"/>
      <c r="CD190" s="148"/>
      <c r="CE190" s="148"/>
      <c r="CF190" s="148"/>
      <c r="CG190" s="148"/>
      <c r="CH190" s="148"/>
      <c r="CI190" s="148"/>
      <c r="CJ190" s="148"/>
      <c r="CK190" s="148"/>
      <c r="CL190" s="148"/>
      <c r="CM190" s="148"/>
      <c r="CN190" s="148"/>
      <c r="CO190" s="148"/>
    </row>
    <row r="191" spans="3:306" hidden="1" x14ac:dyDescent="0.15">
      <c r="C191" s="266" t="s">
        <v>365</v>
      </c>
      <c r="F191" s="148" t="e">
        <v>#REF!</v>
      </c>
      <c r="G191" s="148" t="e">
        <v>#REF!</v>
      </c>
      <c r="H191" s="148" t="e">
        <v>#REF!</v>
      </c>
      <c r="I191" s="148" t="e">
        <v>#REF!</v>
      </c>
      <c r="J191" s="148" t="e">
        <v>#REF!</v>
      </c>
      <c r="K191" s="148" t="e">
        <v>#REF!</v>
      </c>
      <c r="L191" s="148" t="e">
        <v>#REF!</v>
      </c>
      <c r="M191" s="148" t="e">
        <v>#REF!</v>
      </c>
      <c r="N191" s="148" t="e">
        <v>#REF!</v>
      </c>
      <c r="O191" s="148" t="e">
        <v>#REF!</v>
      </c>
      <c r="P191" s="148" t="e">
        <v>#REF!</v>
      </c>
      <c r="Q191" s="148" t="e">
        <v>#REF!</v>
      </c>
      <c r="R191" s="148" t="e">
        <v>#REF!</v>
      </c>
      <c r="S191" s="148" t="e">
        <v>#REF!</v>
      </c>
      <c r="T191" s="148" t="e">
        <v>#REF!</v>
      </c>
      <c r="U191" s="148" t="e">
        <v>#REF!</v>
      </c>
      <c r="V191" s="148" t="e">
        <v>#REF!</v>
      </c>
      <c r="W191" s="148" t="e">
        <v>#REF!</v>
      </c>
      <c r="X191" s="148" t="e">
        <v>#REF!</v>
      </c>
      <c r="Y191" s="148" t="e">
        <v>#REF!</v>
      </c>
      <c r="Z191" s="148" t="e">
        <v>#REF!</v>
      </c>
      <c r="AA191" s="148" t="e">
        <v>#REF!</v>
      </c>
      <c r="AB191" s="148" t="e">
        <v>#REF!</v>
      </c>
      <c r="AC191" s="148" t="e">
        <v>#REF!</v>
      </c>
      <c r="AD191" s="148" t="e">
        <v>#REF!</v>
      </c>
      <c r="AE191" s="148" t="e">
        <v>#REF!</v>
      </c>
      <c r="AF191" s="148" t="e">
        <v>#REF!</v>
      </c>
      <c r="AG191" s="148" t="e">
        <v>#REF!</v>
      </c>
      <c r="AH191" s="148" t="e">
        <v>#REF!</v>
      </c>
      <c r="AI191" s="148" t="e">
        <v>#REF!</v>
      </c>
      <c r="AJ191" s="148" t="e">
        <v>#REF!</v>
      </c>
      <c r="AK191" s="148" t="e">
        <v>#REF!</v>
      </c>
      <c r="AL191" s="148" t="e">
        <v>#REF!</v>
      </c>
      <c r="AM191" s="148" t="e">
        <v>#REF!</v>
      </c>
      <c r="AN191" s="148" t="e">
        <v>#REF!</v>
      </c>
      <c r="AO191" s="148" t="e">
        <v>#REF!</v>
      </c>
      <c r="AP191" s="148" t="e">
        <v>#REF!</v>
      </c>
      <c r="AQ191" s="148" t="e">
        <v>#REF!</v>
      </c>
      <c r="AR191" s="148" t="e">
        <v>#REF!</v>
      </c>
      <c r="AS191" s="148" t="e">
        <v>#REF!</v>
      </c>
      <c r="AT191" s="148" t="e">
        <v>#REF!</v>
      </c>
      <c r="AU191" s="148" t="e">
        <v>#REF!</v>
      </c>
      <c r="AV191" s="148" t="e">
        <v>#REF!</v>
      </c>
      <c r="AW191" s="148" t="e">
        <v>#REF!</v>
      </c>
      <c r="AX191" s="148" t="e">
        <v>#REF!</v>
      </c>
      <c r="AY191" s="148" t="e">
        <v>#REF!</v>
      </c>
      <c r="AZ191" s="148" t="e">
        <v>#REF!</v>
      </c>
      <c r="BA191" s="148" t="e">
        <v>#REF!</v>
      </c>
      <c r="BB191" s="148" t="e">
        <v>#REF!</v>
      </c>
      <c r="BC191" s="148" t="e">
        <v>#REF!</v>
      </c>
      <c r="BD191" s="148" t="e">
        <v>#REF!</v>
      </c>
      <c r="BE191" s="148" t="e">
        <v>#REF!</v>
      </c>
      <c r="BF191" s="148" t="e">
        <v>#REF!</v>
      </c>
      <c r="BG191" s="148" t="e">
        <v>#REF!</v>
      </c>
      <c r="BH191" s="148"/>
      <c r="BI191" s="148"/>
      <c r="BJ191" s="148"/>
      <c r="BK191" s="148"/>
      <c r="BL191" s="148"/>
      <c r="BM191" s="148"/>
      <c r="BN191" s="148"/>
      <c r="BO191" s="148"/>
      <c r="BP191" s="148"/>
      <c r="BQ191" s="148"/>
      <c r="BR191" s="148"/>
      <c r="BS191" s="148"/>
      <c r="BT191" s="148"/>
      <c r="BU191" s="148"/>
      <c r="BV191" s="148"/>
      <c r="BW191" s="148"/>
      <c r="BX191" s="148"/>
      <c r="BY191" s="148"/>
      <c r="BZ191" s="148"/>
      <c r="CA191" s="148"/>
      <c r="CB191" s="148"/>
      <c r="CC191" s="148"/>
      <c r="CD191" s="148"/>
      <c r="CE191" s="148"/>
      <c r="CF191" s="148"/>
      <c r="CG191" s="148"/>
      <c r="CH191" s="148"/>
      <c r="CI191" s="148"/>
      <c r="CJ191" s="148"/>
      <c r="CK191" s="148"/>
      <c r="CL191" s="148"/>
      <c r="CM191" s="148"/>
      <c r="CN191" s="148"/>
      <c r="CO191" s="148"/>
    </row>
    <row r="192" spans="3:306" hidden="1" x14ac:dyDescent="0.15">
      <c r="C192" s="266" t="s">
        <v>366</v>
      </c>
      <c r="F192" s="148" t="e">
        <v>#REF!</v>
      </c>
      <c r="G192" s="148" t="e">
        <v>#REF!</v>
      </c>
      <c r="H192" s="148" t="e">
        <v>#REF!</v>
      </c>
      <c r="I192" s="148" t="e">
        <v>#REF!</v>
      </c>
      <c r="J192" s="148" t="e">
        <v>#REF!</v>
      </c>
      <c r="K192" s="148" t="e">
        <v>#REF!</v>
      </c>
      <c r="L192" s="148" t="e">
        <v>#REF!</v>
      </c>
      <c r="M192" s="148" t="e">
        <v>#REF!</v>
      </c>
      <c r="N192" s="148" t="e">
        <v>#REF!</v>
      </c>
      <c r="O192" s="148" t="e">
        <v>#REF!</v>
      </c>
      <c r="P192" s="148" t="e">
        <v>#REF!</v>
      </c>
      <c r="Q192" s="148" t="e">
        <v>#REF!</v>
      </c>
      <c r="R192" s="148" t="e">
        <v>#REF!</v>
      </c>
      <c r="S192" s="148" t="e">
        <v>#REF!</v>
      </c>
      <c r="T192" s="148" t="e">
        <v>#REF!</v>
      </c>
      <c r="U192" s="148" t="e">
        <v>#REF!</v>
      </c>
      <c r="V192" s="148" t="e">
        <v>#REF!</v>
      </c>
      <c r="W192" s="148" t="e">
        <v>#REF!</v>
      </c>
      <c r="X192" s="148" t="e">
        <v>#REF!</v>
      </c>
      <c r="Y192" s="148" t="e">
        <v>#REF!</v>
      </c>
      <c r="Z192" s="148" t="e">
        <v>#REF!</v>
      </c>
      <c r="AA192" s="148" t="e">
        <v>#REF!</v>
      </c>
      <c r="AB192" s="148" t="e">
        <v>#REF!</v>
      </c>
      <c r="AC192" s="148" t="e">
        <v>#REF!</v>
      </c>
      <c r="AD192" s="148" t="e">
        <v>#REF!</v>
      </c>
      <c r="AE192" s="148" t="e">
        <v>#REF!</v>
      </c>
      <c r="AF192" s="148" t="e">
        <v>#REF!</v>
      </c>
      <c r="AG192" s="148" t="e">
        <v>#REF!</v>
      </c>
      <c r="AH192" s="148" t="e">
        <v>#REF!</v>
      </c>
      <c r="AI192" s="148" t="e">
        <v>#REF!</v>
      </c>
      <c r="AJ192" s="148" t="e">
        <v>#REF!</v>
      </c>
      <c r="AK192" s="148" t="e">
        <v>#REF!</v>
      </c>
      <c r="AL192" s="148" t="e">
        <v>#REF!</v>
      </c>
      <c r="AM192" s="148" t="e">
        <v>#REF!</v>
      </c>
      <c r="AN192" s="148" t="e">
        <v>#REF!</v>
      </c>
      <c r="AO192" s="148" t="e">
        <v>#REF!</v>
      </c>
      <c r="AP192" s="148" t="e">
        <v>#REF!</v>
      </c>
      <c r="AQ192" s="148" t="e">
        <v>#REF!</v>
      </c>
      <c r="AR192" s="148" t="e">
        <v>#REF!</v>
      </c>
      <c r="AS192" s="148" t="e">
        <v>#REF!</v>
      </c>
      <c r="AT192" s="148" t="e">
        <v>#REF!</v>
      </c>
      <c r="AU192" s="148" t="e">
        <v>#REF!</v>
      </c>
      <c r="AV192" s="148" t="e">
        <v>#REF!</v>
      </c>
      <c r="AW192" s="148" t="e">
        <v>#REF!</v>
      </c>
      <c r="AX192" s="148" t="e">
        <v>#REF!</v>
      </c>
      <c r="AY192" s="148" t="e">
        <v>#REF!</v>
      </c>
      <c r="AZ192" s="148" t="e">
        <v>#REF!</v>
      </c>
      <c r="BA192" s="148" t="e">
        <v>#REF!</v>
      </c>
      <c r="BB192" s="148" t="e">
        <v>#REF!</v>
      </c>
      <c r="BC192" s="148" t="e">
        <v>#REF!</v>
      </c>
      <c r="BD192" s="148" t="e">
        <v>#REF!</v>
      </c>
      <c r="BE192" s="148" t="e">
        <v>#REF!</v>
      </c>
      <c r="BF192" s="148" t="e">
        <v>#REF!</v>
      </c>
      <c r="BG192" s="148" t="e">
        <v>#REF!</v>
      </c>
      <c r="BH192" s="148"/>
      <c r="BI192" s="148"/>
      <c r="BJ192" s="148"/>
      <c r="BK192" s="148"/>
      <c r="BL192" s="148"/>
      <c r="BM192" s="148"/>
      <c r="BN192" s="148"/>
      <c r="BO192" s="148"/>
      <c r="BP192" s="148"/>
      <c r="BQ192" s="148"/>
      <c r="BR192" s="148"/>
      <c r="BS192" s="148"/>
      <c r="BT192" s="148"/>
      <c r="BU192" s="148"/>
      <c r="BV192" s="148"/>
      <c r="BW192" s="148"/>
      <c r="BX192" s="148"/>
      <c r="BY192" s="148"/>
      <c r="BZ192" s="148"/>
      <c r="CA192" s="148"/>
      <c r="CB192" s="148"/>
      <c r="CC192" s="148"/>
      <c r="CD192" s="148"/>
      <c r="CE192" s="148"/>
      <c r="CF192" s="148"/>
      <c r="CG192" s="148"/>
      <c r="CH192" s="148"/>
      <c r="CI192" s="148"/>
      <c r="CJ192" s="148"/>
      <c r="CK192" s="148"/>
      <c r="CL192" s="148"/>
      <c r="CM192" s="148"/>
      <c r="CN192" s="148"/>
      <c r="CO192" s="148"/>
    </row>
    <row r="193" spans="3:93" hidden="1" x14ac:dyDescent="0.15">
      <c r="C193" s="266" t="s">
        <v>367</v>
      </c>
      <c r="F193" s="148" t="e">
        <f t="shared" ref="F193:BG193" si="47">SUM(F189:F192)</f>
        <v>#REF!</v>
      </c>
      <c r="G193" s="148" t="e">
        <f t="shared" si="47"/>
        <v>#REF!</v>
      </c>
      <c r="H193" s="148" t="e">
        <f t="shared" si="47"/>
        <v>#REF!</v>
      </c>
      <c r="I193" s="148" t="e">
        <f t="shared" si="47"/>
        <v>#REF!</v>
      </c>
      <c r="J193" s="148" t="e">
        <f t="shared" si="47"/>
        <v>#REF!</v>
      </c>
      <c r="K193" s="148" t="e">
        <f t="shared" si="47"/>
        <v>#REF!</v>
      </c>
      <c r="L193" s="148" t="e">
        <f t="shared" si="47"/>
        <v>#REF!</v>
      </c>
      <c r="M193" s="148" t="e">
        <f t="shared" si="47"/>
        <v>#REF!</v>
      </c>
      <c r="N193" s="148" t="e">
        <f t="shared" si="47"/>
        <v>#REF!</v>
      </c>
      <c r="O193" s="148" t="e">
        <f t="shared" si="47"/>
        <v>#REF!</v>
      </c>
      <c r="P193" s="148" t="e">
        <f t="shared" si="47"/>
        <v>#REF!</v>
      </c>
      <c r="Q193" s="148" t="e">
        <f t="shared" si="47"/>
        <v>#REF!</v>
      </c>
      <c r="R193" s="148" t="e">
        <f t="shared" si="47"/>
        <v>#REF!</v>
      </c>
      <c r="S193" s="148" t="e">
        <f t="shared" si="47"/>
        <v>#REF!</v>
      </c>
      <c r="T193" s="148" t="e">
        <f t="shared" si="47"/>
        <v>#REF!</v>
      </c>
      <c r="U193" s="148" t="e">
        <f t="shared" si="47"/>
        <v>#REF!</v>
      </c>
      <c r="V193" s="148" t="e">
        <f t="shared" si="47"/>
        <v>#REF!</v>
      </c>
      <c r="W193" s="148" t="e">
        <f t="shared" si="47"/>
        <v>#REF!</v>
      </c>
      <c r="X193" s="148" t="e">
        <f t="shared" si="47"/>
        <v>#REF!</v>
      </c>
      <c r="Y193" s="148" t="e">
        <f t="shared" si="47"/>
        <v>#REF!</v>
      </c>
      <c r="Z193" s="148" t="e">
        <f t="shared" si="47"/>
        <v>#REF!</v>
      </c>
      <c r="AA193" s="148" t="e">
        <f t="shared" si="47"/>
        <v>#REF!</v>
      </c>
      <c r="AB193" s="148" t="e">
        <f t="shared" si="47"/>
        <v>#REF!</v>
      </c>
      <c r="AC193" s="148" t="e">
        <f t="shared" si="47"/>
        <v>#REF!</v>
      </c>
      <c r="AD193" s="148" t="e">
        <f t="shared" si="47"/>
        <v>#REF!</v>
      </c>
      <c r="AE193" s="148" t="e">
        <f t="shared" si="47"/>
        <v>#REF!</v>
      </c>
      <c r="AF193" s="148" t="e">
        <f t="shared" si="47"/>
        <v>#REF!</v>
      </c>
      <c r="AG193" s="148" t="e">
        <f t="shared" si="47"/>
        <v>#REF!</v>
      </c>
      <c r="AH193" s="148" t="e">
        <f t="shared" si="47"/>
        <v>#REF!</v>
      </c>
      <c r="AI193" s="148" t="e">
        <f t="shared" si="47"/>
        <v>#REF!</v>
      </c>
      <c r="AJ193" s="148" t="e">
        <f t="shared" si="47"/>
        <v>#REF!</v>
      </c>
      <c r="AK193" s="148" t="e">
        <f t="shared" si="47"/>
        <v>#REF!</v>
      </c>
      <c r="AL193" s="148" t="e">
        <f t="shared" si="47"/>
        <v>#REF!</v>
      </c>
      <c r="AM193" s="148" t="e">
        <f t="shared" si="47"/>
        <v>#REF!</v>
      </c>
      <c r="AN193" s="148" t="e">
        <f t="shared" si="47"/>
        <v>#REF!</v>
      </c>
      <c r="AO193" s="148" t="e">
        <f t="shared" si="47"/>
        <v>#REF!</v>
      </c>
      <c r="AP193" s="148" t="e">
        <f t="shared" si="47"/>
        <v>#REF!</v>
      </c>
      <c r="AQ193" s="148" t="e">
        <f t="shared" si="47"/>
        <v>#REF!</v>
      </c>
      <c r="AR193" s="148" t="e">
        <f t="shared" si="47"/>
        <v>#REF!</v>
      </c>
      <c r="AS193" s="148" t="e">
        <f t="shared" si="47"/>
        <v>#REF!</v>
      </c>
      <c r="AT193" s="148" t="e">
        <f t="shared" si="47"/>
        <v>#REF!</v>
      </c>
      <c r="AU193" s="148" t="e">
        <f t="shared" si="47"/>
        <v>#REF!</v>
      </c>
      <c r="AV193" s="148" t="e">
        <f t="shared" si="47"/>
        <v>#REF!</v>
      </c>
      <c r="AW193" s="148" t="e">
        <f t="shared" si="47"/>
        <v>#REF!</v>
      </c>
      <c r="AX193" s="148" t="e">
        <f t="shared" si="47"/>
        <v>#REF!</v>
      </c>
      <c r="AY193" s="148" t="e">
        <f t="shared" si="47"/>
        <v>#REF!</v>
      </c>
      <c r="AZ193" s="148" t="e">
        <f t="shared" si="47"/>
        <v>#REF!</v>
      </c>
      <c r="BA193" s="148" t="e">
        <f t="shared" si="47"/>
        <v>#REF!</v>
      </c>
      <c r="BB193" s="148" t="e">
        <f t="shared" si="47"/>
        <v>#REF!</v>
      </c>
      <c r="BC193" s="148" t="e">
        <f t="shared" si="47"/>
        <v>#REF!</v>
      </c>
      <c r="BD193" s="148" t="e">
        <f t="shared" si="47"/>
        <v>#REF!</v>
      </c>
      <c r="BE193" s="148" t="e">
        <f t="shared" si="47"/>
        <v>#REF!</v>
      </c>
      <c r="BF193" s="148" t="e">
        <f t="shared" si="47"/>
        <v>#REF!</v>
      </c>
      <c r="BG193" s="148" t="e">
        <f t="shared" si="47"/>
        <v>#REF!</v>
      </c>
      <c r="BH193" s="148"/>
      <c r="BI193" s="148"/>
      <c r="BJ193" s="148"/>
      <c r="BK193" s="148"/>
      <c r="BL193" s="148"/>
      <c r="BM193" s="148"/>
      <c r="BN193" s="148"/>
      <c r="BO193" s="148"/>
      <c r="BP193" s="148"/>
      <c r="BQ193" s="148"/>
      <c r="BR193" s="148"/>
      <c r="BS193" s="148"/>
      <c r="BT193" s="148"/>
      <c r="BU193" s="148"/>
      <c r="BV193" s="148"/>
      <c r="BW193" s="148"/>
      <c r="BX193" s="148"/>
      <c r="BY193" s="148"/>
      <c r="BZ193" s="148"/>
      <c r="CA193" s="148"/>
      <c r="CB193" s="148"/>
      <c r="CC193" s="148"/>
      <c r="CD193" s="148"/>
      <c r="CE193" s="148"/>
      <c r="CF193" s="148"/>
      <c r="CG193" s="148"/>
      <c r="CH193" s="148"/>
      <c r="CI193" s="148"/>
      <c r="CJ193" s="148"/>
      <c r="CK193" s="148"/>
      <c r="CL193" s="148"/>
      <c r="CM193" s="148"/>
      <c r="CN193" s="148"/>
      <c r="CO193" s="148"/>
    </row>
    <row r="194" spans="3:93" hidden="1" x14ac:dyDescent="0.15"/>
    <row r="195" spans="3:93" hidden="1" x14ac:dyDescent="0.15"/>
    <row r="196" spans="3:93" hidden="1" x14ac:dyDescent="0.15">
      <c r="C196" s="157" t="s">
        <v>368</v>
      </c>
    </row>
    <row r="197" spans="3:93" hidden="1" x14ac:dyDescent="0.15">
      <c r="C197" s="266" t="s">
        <v>363</v>
      </c>
      <c r="F197" s="150">
        <f>+SUM(E20:E22)</f>
        <v>0</v>
      </c>
      <c r="G197" s="150">
        <f t="shared" ref="G197:BG197" si="48">+SUM(F36:F41)</f>
        <v>15.249481388133246</v>
      </c>
      <c r="H197" s="150">
        <f t="shared" si="48"/>
        <v>14.746558515610896</v>
      </c>
      <c r="I197" s="150">
        <f t="shared" si="48"/>
        <v>14.243635643088545</v>
      </c>
      <c r="J197" s="150">
        <f t="shared" si="48"/>
        <v>13.740712770566196</v>
      </c>
      <c r="K197" s="150">
        <f t="shared" si="48"/>
        <v>13.237789898043845</v>
      </c>
      <c r="L197" s="150">
        <f t="shared" si="48"/>
        <v>12.734867025521496</v>
      </c>
      <c r="M197" s="150">
        <f t="shared" si="48"/>
        <v>12.231944152999144</v>
      </c>
      <c r="N197" s="150">
        <f t="shared" si="48"/>
        <v>11.701291743578629</v>
      </c>
      <c r="O197" s="150">
        <f t="shared" si="48"/>
        <v>4.3918643370172292</v>
      </c>
      <c r="P197" s="150">
        <f t="shared" si="48"/>
        <v>3.7228114514054713</v>
      </c>
      <c r="Q197" s="150">
        <f t="shared" si="48"/>
        <v>3.4963439277727351</v>
      </c>
      <c r="R197" s="150">
        <f t="shared" si="48"/>
        <v>3.3533067426970318</v>
      </c>
      <c r="S197" s="150">
        <f t="shared" si="48"/>
        <v>3.2693575045246752</v>
      </c>
      <c r="T197" s="150">
        <f t="shared" si="48"/>
        <v>3.201413023793342</v>
      </c>
      <c r="U197" s="150">
        <f t="shared" si="48"/>
        <v>2.7838680607278263</v>
      </c>
      <c r="V197" s="150">
        <f t="shared" si="48"/>
        <v>0</v>
      </c>
      <c r="W197" s="150">
        <f t="shared" si="48"/>
        <v>0</v>
      </c>
      <c r="X197" s="150">
        <f t="shared" si="48"/>
        <v>0</v>
      </c>
      <c r="Y197" s="150">
        <f t="shared" si="48"/>
        <v>0</v>
      </c>
      <c r="Z197" s="150">
        <f t="shared" si="48"/>
        <v>0</v>
      </c>
      <c r="AA197" s="150">
        <f t="shared" si="48"/>
        <v>0</v>
      </c>
      <c r="AB197" s="150">
        <f t="shared" si="48"/>
        <v>0</v>
      </c>
      <c r="AC197" s="150">
        <f t="shared" si="48"/>
        <v>0</v>
      </c>
      <c r="AD197" s="150">
        <f t="shared" si="48"/>
        <v>0</v>
      </c>
      <c r="AE197" s="150">
        <f t="shared" si="48"/>
        <v>0</v>
      </c>
      <c r="AF197" s="150">
        <f t="shared" si="48"/>
        <v>0</v>
      </c>
      <c r="AG197" s="150">
        <f t="shared" si="48"/>
        <v>0</v>
      </c>
      <c r="AH197" s="150">
        <f t="shared" si="48"/>
        <v>0</v>
      </c>
      <c r="AI197" s="150">
        <f t="shared" si="48"/>
        <v>0</v>
      </c>
      <c r="AJ197" s="150">
        <f t="shared" si="48"/>
        <v>0</v>
      </c>
      <c r="AK197" s="150">
        <f t="shared" si="48"/>
        <v>0</v>
      </c>
      <c r="AL197" s="150">
        <f t="shared" si="48"/>
        <v>0</v>
      </c>
      <c r="AM197" s="150">
        <f t="shared" si="48"/>
        <v>0</v>
      </c>
      <c r="AN197" s="150">
        <f t="shared" si="48"/>
        <v>0</v>
      </c>
      <c r="AO197" s="150">
        <f t="shared" si="48"/>
        <v>0</v>
      </c>
      <c r="AP197" s="150">
        <f t="shared" si="48"/>
        <v>0</v>
      </c>
      <c r="AQ197" s="150">
        <f t="shared" si="48"/>
        <v>0</v>
      </c>
      <c r="AR197" s="150">
        <f t="shared" si="48"/>
        <v>0</v>
      </c>
      <c r="AS197" s="150">
        <f t="shared" si="48"/>
        <v>0</v>
      </c>
      <c r="AT197" s="150">
        <f t="shared" si="48"/>
        <v>0</v>
      </c>
      <c r="AU197" s="150">
        <f t="shared" si="48"/>
        <v>0</v>
      </c>
      <c r="AV197" s="150">
        <f t="shared" si="48"/>
        <v>0</v>
      </c>
      <c r="AW197" s="150">
        <f t="shared" si="48"/>
        <v>0</v>
      </c>
      <c r="AX197" s="150">
        <f t="shared" si="48"/>
        <v>0</v>
      </c>
      <c r="AY197" s="150">
        <f t="shared" si="48"/>
        <v>0</v>
      </c>
      <c r="AZ197" s="150">
        <f t="shared" si="48"/>
        <v>0</v>
      </c>
      <c r="BA197" s="150">
        <f t="shared" si="48"/>
        <v>0</v>
      </c>
      <c r="BB197" s="150">
        <f t="shared" si="48"/>
        <v>0</v>
      </c>
      <c r="BC197" s="150">
        <f t="shared" si="48"/>
        <v>0</v>
      </c>
      <c r="BD197" s="150">
        <f t="shared" si="48"/>
        <v>0</v>
      </c>
      <c r="BE197" s="150">
        <f t="shared" si="48"/>
        <v>0</v>
      </c>
      <c r="BF197" s="150">
        <f t="shared" si="48"/>
        <v>0</v>
      </c>
      <c r="BG197" s="150">
        <f t="shared" si="48"/>
        <v>0</v>
      </c>
      <c r="BH197" s="150"/>
      <c r="BI197" s="150"/>
      <c r="BJ197" s="150"/>
      <c r="BK197" s="150"/>
      <c r="BL197" s="150"/>
      <c r="BM197" s="150"/>
      <c r="BN197" s="150"/>
      <c r="BO197" s="150"/>
      <c r="BP197" s="150"/>
      <c r="BQ197" s="150"/>
      <c r="BR197" s="150"/>
      <c r="BS197" s="150"/>
      <c r="BT197" s="150"/>
      <c r="BU197" s="150"/>
      <c r="BV197" s="150"/>
      <c r="BW197" s="150"/>
      <c r="BX197" s="150"/>
      <c r="BY197" s="150"/>
      <c r="BZ197" s="150"/>
      <c r="CA197" s="150"/>
      <c r="CB197" s="150"/>
      <c r="CC197" s="150"/>
      <c r="CD197" s="150"/>
      <c r="CE197" s="150"/>
      <c r="CF197" s="150"/>
      <c r="CG197" s="150"/>
      <c r="CH197" s="150"/>
      <c r="CI197" s="150"/>
      <c r="CJ197" s="150"/>
      <c r="CK197" s="150"/>
      <c r="CL197" s="150"/>
      <c r="CM197" s="150"/>
      <c r="CN197" s="150"/>
      <c r="CO197" s="150"/>
    </row>
    <row r="198" spans="3:93" hidden="1" x14ac:dyDescent="0.15">
      <c r="C198" s="266" t="s">
        <v>364</v>
      </c>
      <c r="F198" s="148" t="e">
        <v>#REF!</v>
      </c>
      <c r="G198" s="148" t="e">
        <v>#REF!</v>
      </c>
      <c r="H198" s="148" t="e">
        <v>#REF!</v>
      </c>
      <c r="I198" s="148" t="e">
        <v>#REF!</v>
      </c>
      <c r="J198" s="148" t="e">
        <v>#REF!</v>
      </c>
      <c r="K198" s="148" t="e">
        <v>#REF!</v>
      </c>
      <c r="L198" s="148" t="e">
        <v>#REF!</v>
      </c>
      <c r="M198" s="148" t="e">
        <v>#REF!</v>
      </c>
      <c r="N198" s="148" t="e">
        <v>#REF!</v>
      </c>
      <c r="O198" s="148" t="e">
        <v>#REF!</v>
      </c>
      <c r="P198" s="148" t="e">
        <v>#REF!</v>
      </c>
      <c r="Q198" s="148" t="e">
        <v>#REF!</v>
      </c>
      <c r="R198" s="148" t="e">
        <v>#REF!</v>
      </c>
      <c r="S198" s="148" t="e">
        <v>#REF!</v>
      </c>
      <c r="T198" s="148" t="e">
        <v>#REF!</v>
      </c>
      <c r="U198" s="148" t="e">
        <v>#REF!</v>
      </c>
      <c r="V198" s="148" t="e">
        <v>#REF!</v>
      </c>
      <c r="W198" s="148" t="e">
        <v>#REF!</v>
      </c>
      <c r="X198" s="148" t="e">
        <v>#REF!</v>
      </c>
      <c r="Y198" s="148" t="e">
        <v>#REF!</v>
      </c>
      <c r="Z198" s="148" t="e">
        <v>#REF!</v>
      </c>
      <c r="AA198" s="148" t="e">
        <v>#REF!</v>
      </c>
      <c r="AB198" s="148" t="e">
        <v>#REF!</v>
      </c>
      <c r="AC198" s="148" t="e">
        <v>#REF!</v>
      </c>
      <c r="AD198" s="148" t="e">
        <v>#REF!</v>
      </c>
      <c r="AE198" s="148" t="e">
        <v>#REF!</v>
      </c>
      <c r="AF198" s="148" t="e">
        <v>#REF!</v>
      </c>
      <c r="AG198" s="148" t="e">
        <v>#REF!</v>
      </c>
      <c r="AH198" s="148" t="e">
        <v>#REF!</v>
      </c>
      <c r="AI198" s="148" t="e">
        <v>#REF!</v>
      </c>
      <c r="AJ198" s="148" t="e">
        <v>#REF!</v>
      </c>
      <c r="AK198" s="148" t="e">
        <v>#REF!</v>
      </c>
      <c r="AL198" s="148" t="e">
        <v>#REF!</v>
      </c>
      <c r="AM198" s="148" t="e">
        <v>#REF!</v>
      </c>
      <c r="AN198" s="148" t="e">
        <v>#REF!</v>
      </c>
      <c r="AO198" s="148" t="e">
        <v>#REF!</v>
      </c>
      <c r="AP198" s="148" t="e">
        <v>#REF!</v>
      </c>
      <c r="AQ198" s="148" t="e">
        <v>#REF!</v>
      </c>
      <c r="AR198" s="148" t="e">
        <v>#REF!</v>
      </c>
      <c r="AS198" s="148" t="e">
        <v>#REF!</v>
      </c>
      <c r="AT198" s="148" t="e">
        <v>#REF!</v>
      </c>
      <c r="AU198" s="148" t="e">
        <v>#REF!</v>
      </c>
      <c r="AV198" s="148" t="e">
        <v>#REF!</v>
      </c>
      <c r="AW198" s="148" t="e">
        <v>#REF!</v>
      </c>
      <c r="AX198" s="148" t="e">
        <v>#REF!</v>
      </c>
      <c r="AY198" s="148" t="e">
        <v>#REF!</v>
      </c>
      <c r="AZ198" s="148" t="e">
        <v>#REF!</v>
      </c>
      <c r="BA198" s="148" t="e">
        <v>#REF!</v>
      </c>
      <c r="BB198" s="148" t="e">
        <v>#REF!</v>
      </c>
      <c r="BC198" s="148" t="e">
        <v>#REF!</v>
      </c>
      <c r="BD198" s="148" t="e">
        <v>#REF!</v>
      </c>
      <c r="BE198" s="148" t="e">
        <v>#REF!</v>
      </c>
      <c r="BF198" s="148" t="e">
        <v>#REF!</v>
      </c>
      <c r="BG198" s="148" t="e">
        <v>#REF!</v>
      </c>
      <c r="BH198" s="148"/>
      <c r="BI198" s="148"/>
      <c r="BJ198" s="148"/>
      <c r="BK198" s="148"/>
      <c r="BL198" s="148"/>
      <c r="BM198" s="148"/>
      <c r="BN198" s="148"/>
      <c r="BO198" s="148"/>
      <c r="BP198" s="148"/>
      <c r="BQ198" s="148"/>
      <c r="BR198" s="148"/>
      <c r="BS198" s="148"/>
      <c r="BT198" s="148"/>
      <c r="BU198" s="148"/>
      <c r="BV198" s="148"/>
      <c r="BW198" s="148"/>
      <c r="BX198" s="148"/>
      <c r="BY198" s="148"/>
      <c r="BZ198" s="148"/>
      <c r="CA198" s="148"/>
      <c r="CB198" s="148"/>
      <c r="CC198" s="148"/>
      <c r="CD198" s="148"/>
      <c r="CE198" s="148"/>
      <c r="CF198" s="148"/>
      <c r="CG198" s="148"/>
      <c r="CH198" s="148"/>
      <c r="CI198" s="148"/>
      <c r="CJ198" s="148"/>
      <c r="CK198" s="148"/>
      <c r="CL198" s="148"/>
      <c r="CM198" s="148"/>
      <c r="CN198" s="148"/>
      <c r="CO198" s="148"/>
    </row>
    <row r="199" spans="3:93" hidden="1" x14ac:dyDescent="0.15">
      <c r="C199" s="266" t="s">
        <v>365</v>
      </c>
      <c r="F199" s="148" t="e">
        <v>#REF!</v>
      </c>
      <c r="G199" s="148" t="e">
        <v>#REF!</v>
      </c>
      <c r="H199" s="148" t="e">
        <v>#REF!</v>
      </c>
      <c r="I199" s="148" t="e">
        <v>#REF!</v>
      </c>
      <c r="J199" s="148" t="e">
        <v>#REF!</v>
      </c>
      <c r="K199" s="148" t="e">
        <v>#REF!</v>
      </c>
      <c r="L199" s="148" t="e">
        <v>#REF!</v>
      </c>
      <c r="M199" s="148" t="e">
        <v>#REF!</v>
      </c>
      <c r="N199" s="148" t="e">
        <v>#REF!</v>
      </c>
      <c r="O199" s="148" t="e">
        <v>#REF!</v>
      </c>
      <c r="P199" s="148" t="e">
        <v>#REF!</v>
      </c>
      <c r="Q199" s="148" t="e">
        <v>#REF!</v>
      </c>
      <c r="R199" s="148" t="e">
        <v>#REF!</v>
      </c>
      <c r="S199" s="148" t="e">
        <v>#REF!</v>
      </c>
      <c r="T199" s="148" t="e">
        <v>#REF!</v>
      </c>
      <c r="U199" s="148" t="e">
        <v>#REF!</v>
      </c>
      <c r="V199" s="148" t="e">
        <v>#REF!</v>
      </c>
      <c r="W199" s="148" t="e">
        <v>#REF!</v>
      </c>
      <c r="X199" s="148" t="e">
        <v>#REF!</v>
      </c>
      <c r="Y199" s="148" t="e">
        <v>#REF!</v>
      </c>
      <c r="Z199" s="148" t="e">
        <v>#REF!</v>
      </c>
      <c r="AA199" s="148" t="e">
        <v>#REF!</v>
      </c>
      <c r="AB199" s="148" t="e">
        <v>#REF!</v>
      </c>
      <c r="AC199" s="148" t="e">
        <v>#REF!</v>
      </c>
      <c r="AD199" s="148" t="e">
        <v>#REF!</v>
      </c>
      <c r="AE199" s="148" t="e">
        <v>#REF!</v>
      </c>
      <c r="AF199" s="148" t="e">
        <v>#REF!</v>
      </c>
      <c r="AG199" s="148" t="e">
        <v>#REF!</v>
      </c>
      <c r="AH199" s="148" t="e">
        <v>#REF!</v>
      </c>
      <c r="AI199" s="148" t="e">
        <v>#REF!</v>
      </c>
      <c r="AJ199" s="148" t="e">
        <v>#REF!</v>
      </c>
      <c r="AK199" s="148" t="e">
        <v>#REF!</v>
      </c>
      <c r="AL199" s="148" t="e">
        <v>#REF!</v>
      </c>
      <c r="AM199" s="148" t="e">
        <v>#REF!</v>
      </c>
      <c r="AN199" s="148" t="e">
        <v>#REF!</v>
      </c>
      <c r="AO199" s="148" t="e">
        <v>#REF!</v>
      </c>
      <c r="AP199" s="148" t="e">
        <v>#REF!</v>
      </c>
      <c r="AQ199" s="148" t="e">
        <v>#REF!</v>
      </c>
      <c r="AR199" s="148" t="e">
        <v>#REF!</v>
      </c>
      <c r="AS199" s="148" t="e">
        <v>#REF!</v>
      </c>
      <c r="AT199" s="148" t="e">
        <v>#REF!</v>
      </c>
      <c r="AU199" s="148" t="e">
        <v>#REF!</v>
      </c>
      <c r="AV199" s="148" t="e">
        <v>#REF!</v>
      </c>
      <c r="AW199" s="148" t="e">
        <v>#REF!</v>
      </c>
      <c r="AX199" s="148" t="e">
        <v>#REF!</v>
      </c>
      <c r="AY199" s="148" t="e">
        <v>#REF!</v>
      </c>
      <c r="AZ199" s="148" t="e">
        <v>#REF!</v>
      </c>
      <c r="BA199" s="148" t="e">
        <v>#REF!</v>
      </c>
      <c r="BB199" s="148" t="e">
        <v>#REF!</v>
      </c>
      <c r="BC199" s="148" t="e">
        <v>#REF!</v>
      </c>
      <c r="BD199" s="148" t="e">
        <v>#REF!</v>
      </c>
      <c r="BE199" s="148" t="e">
        <v>#REF!</v>
      </c>
      <c r="BF199" s="148" t="e">
        <v>#REF!</v>
      </c>
      <c r="BG199" s="148" t="e">
        <v>#REF!</v>
      </c>
      <c r="BH199" s="148"/>
      <c r="BI199" s="148"/>
      <c r="BJ199" s="148"/>
      <c r="BK199" s="148"/>
      <c r="BL199" s="148"/>
      <c r="BM199" s="148"/>
      <c r="BN199" s="148"/>
      <c r="BO199" s="148"/>
      <c r="BP199" s="148"/>
      <c r="BQ199" s="148"/>
      <c r="BR199" s="148"/>
      <c r="BS199" s="148"/>
      <c r="BT199" s="148"/>
      <c r="BU199" s="148"/>
      <c r="BV199" s="148"/>
      <c r="BW199" s="148"/>
      <c r="BX199" s="148"/>
      <c r="BY199" s="148"/>
      <c r="BZ199" s="148"/>
      <c r="CA199" s="148"/>
      <c r="CB199" s="148"/>
      <c r="CC199" s="148"/>
      <c r="CD199" s="148"/>
      <c r="CE199" s="148"/>
      <c r="CF199" s="148"/>
      <c r="CG199" s="148"/>
      <c r="CH199" s="148"/>
      <c r="CI199" s="148"/>
      <c r="CJ199" s="148"/>
      <c r="CK199" s="148"/>
      <c r="CL199" s="148"/>
      <c r="CM199" s="148"/>
      <c r="CN199" s="148"/>
      <c r="CO199" s="148"/>
    </row>
    <row r="200" spans="3:93" hidden="1" x14ac:dyDescent="0.15">
      <c r="C200" s="266" t="s">
        <v>366</v>
      </c>
      <c r="F200" s="148" t="e">
        <v>#REF!</v>
      </c>
      <c r="G200" s="148" t="e">
        <v>#REF!</v>
      </c>
      <c r="H200" s="148" t="e">
        <v>#REF!</v>
      </c>
      <c r="I200" s="148" t="e">
        <v>#REF!</v>
      </c>
      <c r="J200" s="148" t="e">
        <v>#REF!</v>
      </c>
      <c r="K200" s="148" t="e">
        <v>#REF!</v>
      </c>
      <c r="L200" s="148" t="e">
        <v>#REF!</v>
      </c>
      <c r="M200" s="148" t="e">
        <v>#REF!</v>
      </c>
      <c r="N200" s="148" t="e">
        <v>#REF!</v>
      </c>
      <c r="O200" s="148" t="e">
        <v>#REF!</v>
      </c>
      <c r="P200" s="148" t="e">
        <v>#REF!</v>
      </c>
      <c r="Q200" s="148" t="e">
        <v>#REF!</v>
      </c>
      <c r="R200" s="148" t="e">
        <v>#REF!</v>
      </c>
      <c r="S200" s="148" t="e">
        <v>#REF!</v>
      </c>
      <c r="T200" s="148" t="e">
        <v>#REF!</v>
      </c>
      <c r="U200" s="148" t="e">
        <v>#REF!</v>
      </c>
      <c r="V200" s="148" t="e">
        <v>#REF!</v>
      </c>
      <c r="W200" s="148" t="e">
        <v>#REF!</v>
      </c>
      <c r="X200" s="148" t="e">
        <v>#REF!</v>
      </c>
      <c r="Y200" s="148" t="e">
        <v>#REF!</v>
      </c>
      <c r="Z200" s="148" t="e">
        <v>#REF!</v>
      </c>
      <c r="AA200" s="148" t="e">
        <v>#REF!</v>
      </c>
      <c r="AB200" s="148" t="e">
        <v>#REF!</v>
      </c>
      <c r="AC200" s="148" t="e">
        <v>#REF!</v>
      </c>
      <c r="AD200" s="148" t="e">
        <v>#REF!</v>
      </c>
      <c r="AE200" s="148" t="e">
        <v>#REF!</v>
      </c>
      <c r="AF200" s="148" t="e">
        <v>#REF!</v>
      </c>
      <c r="AG200" s="148" t="e">
        <v>#REF!</v>
      </c>
      <c r="AH200" s="148" t="e">
        <v>#REF!</v>
      </c>
      <c r="AI200" s="148" t="e">
        <v>#REF!</v>
      </c>
      <c r="AJ200" s="148" t="e">
        <v>#REF!</v>
      </c>
      <c r="AK200" s="148" t="e">
        <v>#REF!</v>
      </c>
      <c r="AL200" s="148" t="e">
        <v>#REF!</v>
      </c>
      <c r="AM200" s="148" t="e">
        <v>#REF!</v>
      </c>
      <c r="AN200" s="148" t="e">
        <v>#REF!</v>
      </c>
      <c r="AO200" s="148" t="e">
        <v>#REF!</v>
      </c>
      <c r="AP200" s="148" t="e">
        <v>#REF!</v>
      </c>
      <c r="AQ200" s="148" t="e">
        <v>#REF!</v>
      </c>
      <c r="AR200" s="148" t="e">
        <v>#REF!</v>
      </c>
      <c r="AS200" s="148" t="e">
        <v>#REF!</v>
      </c>
      <c r="AT200" s="148" t="e">
        <v>#REF!</v>
      </c>
      <c r="AU200" s="148" t="e">
        <v>#REF!</v>
      </c>
      <c r="AV200" s="148" t="e">
        <v>#REF!</v>
      </c>
      <c r="AW200" s="148" t="e">
        <v>#REF!</v>
      </c>
      <c r="AX200" s="148" t="e">
        <v>#REF!</v>
      </c>
      <c r="AY200" s="148" t="e">
        <v>#REF!</v>
      </c>
      <c r="AZ200" s="148" t="e">
        <v>#REF!</v>
      </c>
      <c r="BA200" s="148" t="e">
        <v>#REF!</v>
      </c>
      <c r="BB200" s="148" t="e">
        <v>#REF!</v>
      </c>
      <c r="BC200" s="148" t="e">
        <v>#REF!</v>
      </c>
      <c r="BD200" s="148" t="e">
        <v>#REF!</v>
      </c>
      <c r="BE200" s="148" t="e">
        <v>#REF!</v>
      </c>
      <c r="BF200" s="148" t="e">
        <v>#REF!</v>
      </c>
      <c r="BG200" s="148" t="e">
        <v>#REF!</v>
      </c>
      <c r="BH200" s="148"/>
      <c r="BI200" s="148"/>
      <c r="BJ200" s="148"/>
      <c r="BK200" s="148"/>
      <c r="BL200" s="148"/>
      <c r="BM200" s="148"/>
      <c r="BN200" s="148"/>
      <c r="BO200" s="148"/>
      <c r="BP200" s="148"/>
      <c r="BQ200" s="148"/>
      <c r="BR200" s="148"/>
      <c r="BS200" s="148"/>
      <c r="BT200" s="148"/>
      <c r="BU200" s="148"/>
      <c r="BV200" s="148"/>
      <c r="BW200" s="148"/>
      <c r="BX200" s="148"/>
      <c r="BY200" s="148"/>
      <c r="BZ200" s="148"/>
      <c r="CA200" s="148"/>
      <c r="CB200" s="148"/>
      <c r="CC200" s="148"/>
      <c r="CD200" s="148"/>
      <c r="CE200" s="148"/>
      <c r="CF200" s="148"/>
      <c r="CG200" s="148"/>
      <c r="CH200" s="148"/>
      <c r="CI200" s="148"/>
      <c r="CJ200" s="148"/>
      <c r="CK200" s="148"/>
      <c r="CL200" s="148"/>
      <c r="CM200" s="148"/>
      <c r="CN200" s="148"/>
      <c r="CO200" s="148"/>
    </row>
    <row r="201" spans="3:93" hidden="1" x14ac:dyDescent="0.15">
      <c r="C201" s="266" t="s">
        <v>367</v>
      </c>
      <c r="F201" s="148" t="e">
        <f t="shared" ref="F201:BG201" si="49">SUM(F197:F200)</f>
        <v>#REF!</v>
      </c>
      <c r="G201" s="148" t="e">
        <f t="shared" si="49"/>
        <v>#REF!</v>
      </c>
      <c r="H201" s="148" t="e">
        <f t="shared" si="49"/>
        <v>#REF!</v>
      </c>
      <c r="I201" s="148" t="e">
        <f t="shared" si="49"/>
        <v>#REF!</v>
      </c>
      <c r="J201" s="148" t="e">
        <f t="shared" si="49"/>
        <v>#REF!</v>
      </c>
      <c r="K201" s="148" t="e">
        <f t="shared" si="49"/>
        <v>#REF!</v>
      </c>
      <c r="L201" s="148" t="e">
        <f t="shared" si="49"/>
        <v>#REF!</v>
      </c>
      <c r="M201" s="148" t="e">
        <f t="shared" si="49"/>
        <v>#REF!</v>
      </c>
      <c r="N201" s="148" t="e">
        <f t="shared" si="49"/>
        <v>#REF!</v>
      </c>
      <c r="O201" s="148" t="e">
        <f t="shared" si="49"/>
        <v>#REF!</v>
      </c>
      <c r="P201" s="148" t="e">
        <f t="shared" si="49"/>
        <v>#REF!</v>
      </c>
      <c r="Q201" s="148" t="e">
        <f t="shared" si="49"/>
        <v>#REF!</v>
      </c>
      <c r="R201" s="148" t="e">
        <f t="shared" si="49"/>
        <v>#REF!</v>
      </c>
      <c r="S201" s="148" t="e">
        <f t="shared" si="49"/>
        <v>#REF!</v>
      </c>
      <c r="T201" s="148" t="e">
        <f t="shared" si="49"/>
        <v>#REF!</v>
      </c>
      <c r="U201" s="148" t="e">
        <f t="shared" si="49"/>
        <v>#REF!</v>
      </c>
      <c r="V201" s="148" t="e">
        <f t="shared" si="49"/>
        <v>#REF!</v>
      </c>
      <c r="W201" s="148" t="e">
        <f t="shared" si="49"/>
        <v>#REF!</v>
      </c>
      <c r="X201" s="148" t="e">
        <f t="shared" si="49"/>
        <v>#REF!</v>
      </c>
      <c r="Y201" s="148" t="e">
        <f t="shared" si="49"/>
        <v>#REF!</v>
      </c>
      <c r="Z201" s="148" t="e">
        <f t="shared" si="49"/>
        <v>#REF!</v>
      </c>
      <c r="AA201" s="148" t="e">
        <f t="shared" si="49"/>
        <v>#REF!</v>
      </c>
      <c r="AB201" s="148" t="e">
        <f t="shared" si="49"/>
        <v>#REF!</v>
      </c>
      <c r="AC201" s="148" t="e">
        <f t="shared" si="49"/>
        <v>#REF!</v>
      </c>
      <c r="AD201" s="148" t="e">
        <f t="shared" si="49"/>
        <v>#REF!</v>
      </c>
      <c r="AE201" s="148" t="e">
        <f t="shared" si="49"/>
        <v>#REF!</v>
      </c>
      <c r="AF201" s="148" t="e">
        <f t="shared" si="49"/>
        <v>#REF!</v>
      </c>
      <c r="AG201" s="148" t="e">
        <f t="shared" si="49"/>
        <v>#REF!</v>
      </c>
      <c r="AH201" s="148" t="e">
        <f t="shared" si="49"/>
        <v>#REF!</v>
      </c>
      <c r="AI201" s="148" t="e">
        <f t="shared" si="49"/>
        <v>#REF!</v>
      </c>
      <c r="AJ201" s="148" t="e">
        <f t="shared" si="49"/>
        <v>#REF!</v>
      </c>
      <c r="AK201" s="148" t="e">
        <f t="shared" si="49"/>
        <v>#REF!</v>
      </c>
      <c r="AL201" s="148" t="e">
        <f t="shared" si="49"/>
        <v>#REF!</v>
      </c>
      <c r="AM201" s="148" t="e">
        <f t="shared" si="49"/>
        <v>#REF!</v>
      </c>
      <c r="AN201" s="148" t="e">
        <f t="shared" si="49"/>
        <v>#REF!</v>
      </c>
      <c r="AO201" s="148" t="e">
        <f t="shared" si="49"/>
        <v>#REF!</v>
      </c>
      <c r="AP201" s="148" t="e">
        <f t="shared" si="49"/>
        <v>#REF!</v>
      </c>
      <c r="AQ201" s="148" t="e">
        <f t="shared" si="49"/>
        <v>#REF!</v>
      </c>
      <c r="AR201" s="148" t="e">
        <f t="shared" si="49"/>
        <v>#REF!</v>
      </c>
      <c r="AS201" s="148" t="e">
        <f t="shared" si="49"/>
        <v>#REF!</v>
      </c>
      <c r="AT201" s="148" t="e">
        <f t="shared" si="49"/>
        <v>#REF!</v>
      </c>
      <c r="AU201" s="148" t="e">
        <f t="shared" si="49"/>
        <v>#REF!</v>
      </c>
      <c r="AV201" s="148" t="e">
        <f t="shared" si="49"/>
        <v>#REF!</v>
      </c>
      <c r="AW201" s="148" t="e">
        <f t="shared" si="49"/>
        <v>#REF!</v>
      </c>
      <c r="AX201" s="148" t="e">
        <f t="shared" si="49"/>
        <v>#REF!</v>
      </c>
      <c r="AY201" s="148" t="e">
        <f t="shared" si="49"/>
        <v>#REF!</v>
      </c>
      <c r="AZ201" s="148" t="e">
        <f t="shared" si="49"/>
        <v>#REF!</v>
      </c>
      <c r="BA201" s="148" t="e">
        <f t="shared" si="49"/>
        <v>#REF!</v>
      </c>
      <c r="BB201" s="148" t="e">
        <f t="shared" si="49"/>
        <v>#REF!</v>
      </c>
      <c r="BC201" s="148" t="e">
        <f t="shared" si="49"/>
        <v>#REF!</v>
      </c>
      <c r="BD201" s="148" t="e">
        <f t="shared" si="49"/>
        <v>#REF!</v>
      </c>
      <c r="BE201" s="148" t="e">
        <f t="shared" si="49"/>
        <v>#REF!</v>
      </c>
      <c r="BF201" s="148" t="e">
        <f t="shared" si="49"/>
        <v>#REF!</v>
      </c>
      <c r="BG201" s="148" t="e">
        <f t="shared" si="49"/>
        <v>#REF!</v>
      </c>
      <c r="BH201" s="148"/>
      <c r="BI201" s="148"/>
      <c r="BJ201" s="148"/>
      <c r="BK201" s="148"/>
      <c r="BL201" s="148"/>
      <c r="BM201" s="148"/>
      <c r="BN201" s="148"/>
      <c r="BO201" s="148"/>
      <c r="BP201" s="148"/>
      <c r="BQ201" s="148"/>
      <c r="BR201" s="148"/>
      <c r="BS201" s="148"/>
      <c r="BT201" s="148"/>
      <c r="BU201" s="148"/>
      <c r="BV201" s="148"/>
      <c r="BW201" s="148"/>
      <c r="BX201" s="148"/>
      <c r="BY201" s="148"/>
      <c r="BZ201" s="148"/>
      <c r="CA201" s="148"/>
      <c r="CB201" s="148"/>
      <c r="CC201" s="148"/>
      <c r="CD201" s="148"/>
      <c r="CE201" s="148"/>
      <c r="CF201" s="148"/>
      <c r="CG201" s="148"/>
      <c r="CH201" s="148"/>
      <c r="CI201" s="148"/>
      <c r="CJ201" s="148"/>
      <c r="CK201" s="148"/>
      <c r="CL201" s="148"/>
      <c r="CM201" s="148"/>
      <c r="CN201" s="148"/>
      <c r="CO201" s="148"/>
    </row>
    <row r="202" spans="3:93" hidden="1" x14ac:dyDescent="0.15">
      <c r="C202" s="266" t="s">
        <v>369</v>
      </c>
      <c r="F202" s="150" t="e">
        <f>F201+F193-#REF!</f>
        <v>#REF!</v>
      </c>
      <c r="G202" s="150" t="e">
        <f>G201+G193-#REF!</f>
        <v>#REF!</v>
      </c>
      <c r="H202" s="150" t="e">
        <f>H201+H193-#REF!</f>
        <v>#REF!</v>
      </c>
      <c r="I202" s="150" t="e">
        <f>I201+I193-#REF!</f>
        <v>#REF!</v>
      </c>
      <c r="J202" s="150" t="e">
        <f>J201+J193-#REF!</f>
        <v>#REF!</v>
      </c>
      <c r="K202" s="150" t="e">
        <f>K201+K193-#REF!</f>
        <v>#REF!</v>
      </c>
      <c r="L202" s="150" t="e">
        <f>L201+L193-#REF!</f>
        <v>#REF!</v>
      </c>
      <c r="M202" s="150" t="e">
        <f>M201+M193-#REF!</f>
        <v>#REF!</v>
      </c>
      <c r="N202" s="150" t="e">
        <f>N201+N193-#REF!</f>
        <v>#REF!</v>
      </c>
      <c r="O202" s="150" t="e">
        <f>O201+O193-#REF!</f>
        <v>#REF!</v>
      </c>
      <c r="P202" s="150" t="e">
        <f>P201+P193-#REF!</f>
        <v>#REF!</v>
      </c>
      <c r="Q202" s="150" t="e">
        <f>Q201+Q193-#REF!</f>
        <v>#REF!</v>
      </c>
      <c r="R202" s="150" t="e">
        <f>R201+R193-#REF!</f>
        <v>#REF!</v>
      </c>
      <c r="S202" s="150" t="e">
        <f>S201+S193-#REF!</f>
        <v>#REF!</v>
      </c>
      <c r="T202" s="150" t="e">
        <f>T201+T193-#REF!</f>
        <v>#REF!</v>
      </c>
      <c r="U202" s="150" t="e">
        <f>U201+U193-#REF!</f>
        <v>#REF!</v>
      </c>
      <c r="V202" s="150" t="e">
        <f>V201+V193-#REF!</f>
        <v>#REF!</v>
      </c>
      <c r="W202" s="150" t="e">
        <f>W201+W193-#REF!</f>
        <v>#REF!</v>
      </c>
      <c r="X202" s="150" t="e">
        <f>X201+X193-#REF!</f>
        <v>#REF!</v>
      </c>
      <c r="Y202" s="150" t="e">
        <f>Y201+Y193-#REF!</f>
        <v>#REF!</v>
      </c>
      <c r="Z202" s="150" t="e">
        <f>Z201+Z193-#REF!</f>
        <v>#REF!</v>
      </c>
      <c r="AA202" s="150" t="e">
        <f>AA201+AA193-#REF!</f>
        <v>#REF!</v>
      </c>
      <c r="AB202" s="150" t="e">
        <f>AB201+AB193-#REF!</f>
        <v>#REF!</v>
      </c>
      <c r="AC202" s="150" t="e">
        <f>AC201+AC193-#REF!</f>
        <v>#REF!</v>
      </c>
      <c r="AD202" s="150" t="e">
        <f>AD201+AD193-#REF!</f>
        <v>#REF!</v>
      </c>
      <c r="AE202" s="150" t="e">
        <f>AE201+AE193-#REF!</f>
        <v>#REF!</v>
      </c>
      <c r="AF202" s="150" t="e">
        <f>AF201+AF193-#REF!</f>
        <v>#REF!</v>
      </c>
      <c r="AG202" s="150" t="e">
        <f>AG201+AG193-#REF!</f>
        <v>#REF!</v>
      </c>
      <c r="AH202" s="150" t="e">
        <f>AH201+AH193-#REF!</f>
        <v>#REF!</v>
      </c>
      <c r="AI202" s="150" t="e">
        <f>AI201+AI193-#REF!</f>
        <v>#REF!</v>
      </c>
      <c r="AJ202" s="150" t="e">
        <f>AJ201+AJ193-#REF!</f>
        <v>#REF!</v>
      </c>
      <c r="AK202" s="150" t="e">
        <f>AK201+AK193-#REF!</f>
        <v>#REF!</v>
      </c>
      <c r="AL202" s="150" t="e">
        <f>AL201+AL193-#REF!</f>
        <v>#REF!</v>
      </c>
      <c r="AM202" s="150" t="e">
        <f>AM201+AM193-#REF!</f>
        <v>#REF!</v>
      </c>
      <c r="AN202" s="150" t="e">
        <f>AN201+AN193-#REF!</f>
        <v>#REF!</v>
      </c>
      <c r="AO202" s="150" t="e">
        <f>AO201+AO193-#REF!</f>
        <v>#REF!</v>
      </c>
      <c r="AP202" s="150" t="e">
        <f>AP201+AP193-#REF!</f>
        <v>#REF!</v>
      </c>
      <c r="AQ202" s="150" t="e">
        <f>AQ201+AQ193-#REF!</f>
        <v>#REF!</v>
      </c>
      <c r="AR202" s="150" t="e">
        <f>AR201+AR193-#REF!</f>
        <v>#REF!</v>
      </c>
      <c r="AS202" s="150" t="e">
        <f>AS201+AS193-#REF!</f>
        <v>#REF!</v>
      </c>
      <c r="AT202" s="150" t="e">
        <f>AT201+AT193-#REF!</f>
        <v>#REF!</v>
      </c>
      <c r="AU202" s="150" t="e">
        <f>AU201+AU193-#REF!</f>
        <v>#REF!</v>
      </c>
      <c r="AV202" s="150" t="e">
        <f>AV201+AV193-#REF!</f>
        <v>#REF!</v>
      </c>
      <c r="AW202" s="150" t="e">
        <f>AW201+AW193-#REF!</f>
        <v>#REF!</v>
      </c>
      <c r="AX202" s="150" t="e">
        <f>AX201+AX193-#REF!</f>
        <v>#REF!</v>
      </c>
      <c r="AY202" s="150" t="e">
        <f>AY201+AY193-#REF!</f>
        <v>#REF!</v>
      </c>
      <c r="AZ202" s="150" t="e">
        <f>AZ201+AZ193-#REF!</f>
        <v>#REF!</v>
      </c>
      <c r="BA202" s="150" t="e">
        <f>BA201+BA193-#REF!</f>
        <v>#REF!</v>
      </c>
      <c r="BB202" s="150" t="e">
        <f>BB201+BB193-#REF!</f>
        <v>#REF!</v>
      </c>
      <c r="BC202" s="150" t="e">
        <f>BC201+BC193-#REF!</f>
        <v>#REF!</v>
      </c>
      <c r="BD202" s="150" t="e">
        <f>BD201+BD193-#REF!</f>
        <v>#REF!</v>
      </c>
      <c r="BE202" s="150" t="e">
        <f>BE201+BE193-#REF!</f>
        <v>#REF!</v>
      </c>
      <c r="BF202" s="150" t="e">
        <f>BF201+BF193-#REF!</f>
        <v>#REF!</v>
      </c>
      <c r="BG202" s="150" t="e">
        <f>BG201+BG193-#REF!</f>
        <v>#REF!</v>
      </c>
      <c r="BH202" s="150"/>
      <c r="BI202" s="150"/>
      <c r="BJ202" s="150"/>
      <c r="BK202" s="150"/>
      <c r="BL202" s="150"/>
      <c r="BM202" s="150"/>
      <c r="BN202" s="150"/>
      <c r="BO202" s="150"/>
      <c r="BP202" s="150"/>
      <c r="BQ202" s="150"/>
      <c r="BR202" s="150"/>
      <c r="BS202" s="150"/>
      <c r="BT202" s="150"/>
      <c r="BU202" s="150"/>
      <c r="BV202" s="150"/>
      <c r="BW202" s="150"/>
      <c r="BX202" s="150"/>
      <c r="BY202" s="150"/>
      <c r="BZ202" s="150"/>
      <c r="CA202" s="150"/>
      <c r="CB202" s="150"/>
      <c r="CC202" s="150"/>
      <c r="CD202" s="150"/>
      <c r="CE202" s="150"/>
      <c r="CF202" s="150"/>
      <c r="CG202" s="150"/>
      <c r="CH202" s="150"/>
      <c r="CI202" s="150"/>
      <c r="CJ202" s="150"/>
      <c r="CK202" s="150"/>
      <c r="CL202" s="150"/>
      <c r="CM202" s="150"/>
      <c r="CN202" s="150"/>
      <c r="CO202" s="150"/>
    </row>
    <row r="203" spans="3:93" hidden="1" x14ac:dyDescent="0.15"/>
    <row r="204" spans="3:93" hidden="1" x14ac:dyDescent="0.15">
      <c r="C204" s="157" t="s">
        <v>362</v>
      </c>
    </row>
    <row r="205" spans="3:93" hidden="1" x14ac:dyDescent="0.15">
      <c r="C205" s="266" t="s">
        <v>370</v>
      </c>
      <c r="E205" s="148"/>
      <c r="F205" s="148">
        <f>E206</f>
        <v>0</v>
      </c>
      <c r="G205" s="148">
        <f t="shared" ref="G205:BG205" si="50">F206</f>
        <v>0</v>
      </c>
      <c r="H205" s="148">
        <f t="shared" si="50"/>
        <v>0</v>
      </c>
      <c r="I205" s="148">
        <f t="shared" si="50"/>
        <v>0</v>
      </c>
      <c r="J205" s="148">
        <f t="shared" si="50"/>
        <v>0</v>
      </c>
      <c r="K205" s="148">
        <f t="shared" si="50"/>
        <v>0</v>
      </c>
      <c r="L205" s="148">
        <f t="shared" si="50"/>
        <v>0</v>
      </c>
      <c r="M205" s="148">
        <f t="shared" si="50"/>
        <v>0</v>
      </c>
      <c r="N205" s="148">
        <f t="shared" si="50"/>
        <v>0</v>
      </c>
      <c r="O205" s="148">
        <f t="shared" si="50"/>
        <v>0</v>
      </c>
      <c r="P205" s="148">
        <f t="shared" si="50"/>
        <v>0</v>
      </c>
      <c r="Q205" s="148">
        <f t="shared" si="50"/>
        <v>0</v>
      </c>
      <c r="R205" s="148">
        <f t="shared" si="50"/>
        <v>0</v>
      </c>
      <c r="S205" s="148">
        <f t="shared" si="50"/>
        <v>0</v>
      </c>
      <c r="T205" s="148">
        <f t="shared" si="50"/>
        <v>0</v>
      </c>
      <c r="U205" s="148">
        <f t="shared" si="50"/>
        <v>0</v>
      </c>
      <c r="V205" s="148">
        <f t="shared" si="50"/>
        <v>0</v>
      </c>
      <c r="W205" s="148">
        <f t="shared" si="50"/>
        <v>0</v>
      </c>
      <c r="X205" s="148">
        <f t="shared" si="50"/>
        <v>0</v>
      </c>
      <c r="Y205" s="148">
        <f t="shared" si="50"/>
        <v>0</v>
      </c>
      <c r="Z205" s="148">
        <f t="shared" si="50"/>
        <v>0</v>
      </c>
      <c r="AA205" s="148">
        <f t="shared" si="50"/>
        <v>0</v>
      </c>
      <c r="AB205" s="148">
        <f t="shared" si="50"/>
        <v>0</v>
      </c>
      <c r="AC205" s="148">
        <f t="shared" si="50"/>
        <v>0</v>
      </c>
      <c r="AD205" s="148">
        <f t="shared" si="50"/>
        <v>0</v>
      </c>
      <c r="AE205" s="148">
        <f t="shared" si="50"/>
        <v>0</v>
      </c>
      <c r="AF205" s="148">
        <f t="shared" si="50"/>
        <v>0</v>
      </c>
      <c r="AG205" s="148">
        <f t="shared" si="50"/>
        <v>0</v>
      </c>
      <c r="AH205" s="148">
        <f t="shared" si="50"/>
        <v>0</v>
      </c>
      <c r="AI205" s="148">
        <f t="shared" si="50"/>
        <v>0</v>
      </c>
      <c r="AJ205" s="148">
        <f t="shared" si="50"/>
        <v>0</v>
      </c>
      <c r="AK205" s="148">
        <f t="shared" si="50"/>
        <v>0</v>
      </c>
      <c r="AL205" s="148">
        <f t="shared" si="50"/>
        <v>0</v>
      </c>
      <c r="AM205" s="148">
        <f t="shared" si="50"/>
        <v>0</v>
      </c>
      <c r="AN205" s="148">
        <f t="shared" si="50"/>
        <v>0</v>
      </c>
      <c r="AO205" s="148">
        <f t="shared" si="50"/>
        <v>0</v>
      </c>
      <c r="AP205" s="148">
        <f t="shared" si="50"/>
        <v>0</v>
      </c>
      <c r="AQ205" s="148">
        <f t="shared" si="50"/>
        <v>0</v>
      </c>
      <c r="AR205" s="148">
        <f t="shared" si="50"/>
        <v>0</v>
      </c>
      <c r="AS205" s="148">
        <f t="shared" si="50"/>
        <v>0</v>
      </c>
      <c r="AT205" s="148">
        <f t="shared" si="50"/>
        <v>0</v>
      </c>
      <c r="AU205" s="148">
        <f t="shared" si="50"/>
        <v>0</v>
      </c>
      <c r="AV205" s="148">
        <f t="shared" si="50"/>
        <v>0</v>
      </c>
      <c r="AW205" s="148">
        <f t="shared" si="50"/>
        <v>0</v>
      </c>
      <c r="AX205" s="148">
        <f t="shared" si="50"/>
        <v>0</v>
      </c>
      <c r="AY205" s="148">
        <f t="shared" si="50"/>
        <v>0</v>
      </c>
      <c r="AZ205" s="148">
        <f t="shared" si="50"/>
        <v>0</v>
      </c>
      <c r="BA205" s="148">
        <f t="shared" si="50"/>
        <v>0</v>
      </c>
      <c r="BB205" s="148">
        <f t="shared" si="50"/>
        <v>0</v>
      </c>
      <c r="BC205" s="148">
        <f t="shared" si="50"/>
        <v>0</v>
      </c>
      <c r="BD205" s="148">
        <f t="shared" si="50"/>
        <v>0</v>
      </c>
      <c r="BE205" s="148">
        <f t="shared" si="50"/>
        <v>0</v>
      </c>
      <c r="BF205" s="148">
        <f t="shared" si="50"/>
        <v>0</v>
      </c>
      <c r="BG205" s="148">
        <f t="shared" si="50"/>
        <v>0</v>
      </c>
      <c r="BH205" s="148"/>
      <c r="BI205" s="148"/>
      <c r="BJ205" s="148"/>
      <c r="BK205" s="148"/>
      <c r="BL205" s="148"/>
      <c r="BM205" s="148"/>
      <c r="BN205" s="148"/>
      <c r="BO205" s="148"/>
      <c r="BP205" s="148"/>
      <c r="BQ205" s="148"/>
      <c r="BR205" s="148"/>
      <c r="BS205" s="148"/>
      <c r="BT205" s="148"/>
      <c r="BU205" s="148"/>
      <c r="BV205" s="148"/>
      <c r="BW205" s="148"/>
      <c r="BX205" s="148"/>
      <c r="BY205" s="148"/>
      <c r="BZ205" s="148"/>
      <c r="CA205" s="148"/>
      <c r="CB205" s="148"/>
      <c r="CC205" s="148"/>
      <c r="CD205" s="148"/>
      <c r="CE205" s="148"/>
      <c r="CF205" s="148"/>
      <c r="CG205" s="148"/>
      <c r="CH205" s="148"/>
      <c r="CI205" s="148"/>
      <c r="CJ205" s="148"/>
      <c r="CK205" s="148"/>
      <c r="CL205" s="148"/>
      <c r="CM205" s="148"/>
      <c r="CN205" s="148"/>
      <c r="CO205" s="148"/>
    </row>
    <row r="206" spans="3:93" hidden="1" x14ac:dyDescent="0.15">
      <c r="C206" s="266" t="s">
        <v>371</v>
      </c>
      <c r="E206" s="148"/>
      <c r="F206" s="148">
        <f>IFERROR(#REF!*F193/SUM(F193,F201),0)</f>
        <v>0</v>
      </c>
      <c r="G206" s="148">
        <f>IFERROR(#REF!*G193/SUM(G193,G201),0)</f>
        <v>0</v>
      </c>
      <c r="H206" s="148">
        <f>IFERROR(#REF!*H193/SUM(H193,H201),0)</f>
        <v>0</v>
      </c>
      <c r="I206" s="148">
        <f>IFERROR(#REF!*I193/SUM(I193,I201),0)</f>
        <v>0</v>
      </c>
      <c r="J206" s="148">
        <f>IFERROR(#REF!*J193/SUM(J193,J201),0)</f>
        <v>0</v>
      </c>
      <c r="K206" s="148">
        <f>IFERROR(#REF!*K193/SUM(K193,K201),0)</f>
        <v>0</v>
      </c>
      <c r="L206" s="148">
        <f>IFERROR(#REF!*L193/SUM(L193,L201),0)</f>
        <v>0</v>
      </c>
      <c r="M206" s="148">
        <f>IFERROR(#REF!*M193/SUM(M193,M201),0)</f>
        <v>0</v>
      </c>
      <c r="N206" s="148">
        <f>IFERROR(#REF!*N193/SUM(N193,N201),0)</f>
        <v>0</v>
      </c>
      <c r="O206" s="148">
        <f>IFERROR(#REF!*O193/SUM(O193,O201),0)</f>
        <v>0</v>
      </c>
      <c r="P206" s="148">
        <f>IFERROR(#REF!*P193/SUM(P193,P201),0)</f>
        <v>0</v>
      </c>
      <c r="Q206" s="148">
        <f>IFERROR(#REF!*Q193/SUM(Q193,Q201),0)</f>
        <v>0</v>
      </c>
      <c r="R206" s="148">
        <f>IFERROR(#REF!*R193/SUM(R193,R201),0)</f>
        <v>0</v>
      </c>
      <c r="S206" s="148">
        <f>IFERROR(#REF!*S193/SUM(S193,S201),0)</f>
        <v>0</v>
      </c>
      <c r="T206" s="148">
        <f>IFERROR(#REF!*T193/SUM(T193,T201),0)</f>
        <v>0</v>
      </c>
      <c r="U206" s="148">
        <f>IFERROR(#REF!*U193/SUM(U193,U201),0)</f>
        <v>0</v>
      </c>
      <c r="V206" s="148">
        <f>IFERROR(#REF!*V193/SUM(V193,V201),0)</f>
        <v>0</v>
      </c>
      <c r="W206" s="148">
        <f>IFERROR(#REF!*W193/SUM(W193,W201),0)</f>
        <v>0</v>
      </c>
      <c r="X206" s="148">
        <f>IFERROR(#REF!*X193/SUM(X193,X201),0)</f>
        <v>0</v>
      </c>
      <c r="Y206" s="148">
        <f>IFERROR(#REF!*Y193/SUM(Y193,Y201),0)</f>
        <v>0</v>
      </c>
      <c r="Z206" s="148">
        <f>IFERROR(#REF!*Z193/SUM(Z193,Z201),0)</f>
        <v>0</v>
      </c>
      <c r="AA206" s="148">
        <f>IFERROR(#REF!*AA193/SUM(AA193,AA201),0)</f>
        <v>0</v>
      </c>
      <c r="AB206" s="148">
        <f>IFERROR(#REF!*AB193/SUM(AB193,AB201),0)</f>
        <v>0</v>
      </c>
      <c r="AC206" s="148">
        <f>IFERROR(#REF!*AC193/SUM(AC193,AC201),0)</f>
        <v>0</v>
      </c>
      <c r="AD206" s="148">
        <f>IFERROR(#REF!*AD193/SUM(AD193,AD201),0)</f>
        <v>0</v>
      </c>
      <c r="AE206" s="148">
        <f>IFERROR(#REF!*AE193/SUM(AE193,AE201),0)</f>
        <v>0</v>
      </c>
      <c r="AF206" s="148">
        <f>IFERROR(#REF!*AF193/SUM(AF193,AF201),0)</f>
        <v>0</v>
      </c>
      <c r="AG206" s="148">
        <f>IFERROR(#REF!*AG193/SUM(AG193,AG201),0)</f>
        <v>0</v>
      </c>
      <c r="AH206" s="148">
        <f>IFERROR(#REF!*AH193/SUM(AH193,AH201),0)</f>
        <v>0</v>
      </c>
      <c r="AI206" s="148">
        <f>IFERROR(#REF!*AI193/SUM(AI193,AI201),0)</f>
        <v>0</v>
      </c>
      <c r="AJ206" s="148">
        <f>IFERROR(#REF!*AJ193/SUM(AJ193,AJ201),0)</f>
        <v>0</v>
      </c>
      <c r="AK206" s="148">
        <f>IFERROR(#REF!*AK193/SUM(AK193,AK201),0)</f>
        <v>0</v>
      </c>
      <c r="AL206" s="148">
        <f>IFERROR(#REF!*AL193/SUM(AL193,AL201),0)</f>
        <v>0</v>
      </c>
      <c r="AM206" s="148">
        <f>IFERROR(#REF!*AM193/SUM(AM193,AM201),0)</f>
        <v>0</v>
      </c>
      <c r="AN206" s="148">
        <f>IFERROR(#REF!*AN193/SUM(AN193,AN201),0)</f>
        <v>0</v>
      </c>
      <c r="AO206" s="148">
        <f>IFERROR(#REF!*AO193/SUM(AO193,AO201),0)</f>
        <v>0</v>
      </c>
      <c r="AP206" s="148">
        <f>IFERROR(#REF!*AP193/SUM(AP193,AP201),0)</f>
        <v>0</v>
      </c>
      <c r="AQ206" s="148">
        <f>IFERROR(#REF!*AQ193/SUM(AQ193,AQ201),0)</f>
        <v>0</v>
      </c>
      <c r="AR206" s="148">
        <f>IFERROR(#REF!*AR193/SUM(AR193,AR201),0)</f>
        <v>0</v>
      </c>
      <c r="AS206" s="148">
        <f>IFERROR(#REF!*AS193/SUM(AS193,AS201),0)</f>
        <v>0</v>
      </c>
      <c r="AT206" s="148">
        <f>IFERROR(#REF!*AT193/SUM(AT193,AT201),0)</f>
        <v>0</v>
      </c>
      <c r="AU206" s="148">
        <f>IFERROR(#REF!*AU193/SUM(AU193,AU201),0)</f>
        <v>0</v>
      </c>
      <c r="AV206" s="148">
        <f>IFERROR(#REF!*AV193/SUM(AV193,AV201),0)</f>
        <v>0</v>
      </c>
      <c r="AW206" s="148">
        <f>IFERROR(#REF!*AW193/SUM(AW193,AW201),0)</f>
        <v>0</v>
      </c>
      <c r="AX206" s="148">
        <f>IFERROR(#REF!*AX193/SUM(AX193,AX201),0)</f>
        <v>0</v>
      </c>
      <c r="AY206" s="148">
        <f>IFERROR(#REF!*AY193/SUM(AY193,AY201),0)</f>
        <v>0</v>
      </c>
      <c r="AZ206" s="148">
        <f>IFERROR(#REF!*AZ193/SUM(AZ193,AZ201),0)</f>
        <v>0</v>
      </c>
      <c r="BA206" s="148">
        <f>IFERROR(#REF!*BA193/SUM(BA193,BA201),0)</f>
        <v>0</v>
      </c>
      <c r="BB206" s="148">
        <f>IFERROR(#REF!*BB193/SUM(BB193,BB201),0)</f>
        <v>0</v>
      </c>
      <c r="BC206" s="148">
        <f>IFERROR(#REF!*BC193/SUM(BC193,BC201),0)</f>
        <v>0</v>
      </c>
      <c r="BD206" s="148">
        <f>IFERROR(#REF!*BD193/SUM(BD193,BD201),0)</f>
        <v>0</v>
      </c>
      <c r="BE206" s="148">
        <f>IFERROR(#REF!*BE193/SUM(BE193,BE201),0)</f>
        <v>0</v>
      </c>
      <c r="BF206" s="148">
        <f>IFERROR(#REF!*BF193/SUM(BF193,BF201),0)</f>
        <v>0</v>
      </c>
      <c r="BG206" s="148">
        <f>IFERROR(#REF!*BG193/SUM(BG193,BG201),0)</f>
        <v>0</v>
      </c>
      <c r="BH206" s="148"/>
      <c r="BI206" s="148"/>
      <c r="BJ206" s="148"/>
      <c r="BK206" s="148"/>
      <c r="BL206" s="148"/>
      <c r="BM206" s="148"/>
      <c r="BN206" s="148"/>
      <c r="BO206" s="148"/>
      <c r="BP206" s="148"/>
      <c r="BQ206" s="148"/>
      <c r="BR206" s="148"/>
      <c r="BS206" s="148"/>
      <c r="BT206" s="148"/>
      <c r="BU206" s="148"/>
      <c r="BV206" s="148"/>
      <c r="BW206" s="148"/>
      <c r="BX206" s="148"/>
      <c r="BY206" s="148"/>
      <c r="BZ206" s="148"/>
      <c r="CA206" s="148"/>
      <c r="CB206" s="148"/>
      <c r="CC206" s="148"/>
      <c r="CD206" s="148"/>
      <c r="CE206" s="148"/>
      <c r="CF206" s="148"/>
      <c r="CG206" s="148"/>
      <c r="CH206" s="148"/>
      <c r="CI206" s="148"/>
      <c r="CJ206" s="148"/>
      <c r="CK206" s="148"/>
      <c r="CL206" s="148"/>
      <c r="CM206" s="148"/>
      <c r="CN206" s="148"/>
      <c r="CO206" s="148"/>
    </row>
    <row r="207" spans="3:93" hidden="1" x14ac:dyDescent="0.15"/>
    <row r="208" spans="3:93" hidden="1" x14ac:dyDescent="0.15">
      <c r="C208" s="157" t="s">
        <v>368</v>
      </c>
    </row>
    <row r="209" spans="3:93" hidden="1" x14ac:dyDescent="0.15">
      <c r="C209" s="266" t="s">
        <v>370</v>
      </c>
      <c r="F209" s="148">
        <f>E210</f>
        <v>0</v>
      </c>
      <c r="G209" s="148">
        <f t="shared" ref="G209:BG209" si="51">F210</f>
        <v>0</v>
      </c>
      <c r="H209" s="148">
        <f t="shared" si="51"/>
        <v>0</v>
      </c>
      <c r="I209" s="148">
        <f t="shared" si="51"/>
        <v>0</v>
      </c>
      <c r="J209" s="148">
        <f t="shared" si="51"/>
        <v>0</v>
      </c>
      <c r="K209" s="148">
        <f t="shared" si="51"/>
        <v>0</v>
      </c>
      <c r="L209" s="148">
        <f t="shared" si="51"/>
        <v>0</v>
      </c>
      <c r="M209" s="148">
        <f t="shared" si="51"/>
        <v>0</v>
      </c>
      <c r="N209" s="148">
        <f t="shared" si="51"/>
        <v>0</v>
      </c>
      <c r="O209" s="148">
        <f t="shared" si="51"/>
        <v>0</v>
      </c>
      <c r="P209" s="148">
        <f t="shared" si="51"/>
        <v>0</v>
      </c>
      <c r="Q209" s="148">
        <f t="shared" si="51"/>
        <v>0</v>
      </c>
      <c r="R209" s="148">
        <f t="shared" si="51"/>
        <v>0</v>
      </c>
      <c r="S209" s="148">
        <f t="shared" si="51"/>
        <v>0</v>
      </c>
      <c r="T209" s="148">
        <f t="shared" si="51"/>
        <v>0</v>
      </c>
      <c r="U209" s="148">
        <f t="shared" si="51"/>
        <v>0</v>
      </c>
      <c r="V209" s="148">
        <f t="shared" si="51"/>
        <v>0</v>
      </c>
      <c r="W209" s="148">
        <f t="shared" si="51"/>
        <v>0</v>
      </c>
      <c r="X209" s="148">
        <f t="shared" si="51"/>
        <v>0</v>
      </c>
      <c r="Y209" s="148">
        <f t="shared" si="51"/>
        <v>0</v>
      </c>
      <c r="Z209" s="148">
        <f t="shared" si="51"/>
        <v>0</v>
      </c>
      <c r="AA209" s="148">
        <f t="shared" si="51"/>
        <v>0</v>
      </c>
      <c r="AB209" s="148">
        <f t="shared" si="51"/>
        <v>0</v>
      </c>
      <c r="AC209" s="148">
        <f t="shared" si="51"/>
        <v>0</v>
      </c>
      <c r="AD209" s="148">
        <f t="shared" si="51"/>
        <v>0</v>
      </c>
      <c r="AE209" s="148">
        <f t="shared" si="51"/>
        <v>0</v>
      </c>
      <c r="AF209" s="148">
        <f t="shared" si="51"/>
        <v>0</v>
      </c>
      <c r="AG209" s="148">
        <f t="shared" si="51"/>
        <v>0</v>
      </c>
      <c r="AH209" s="148">
        <f t="shared" si="51"/>
        <v>0</v>
      </c>
      <c r="AI209" s="148">
        <f t="shared" si="51"/>
        <v>0</v>
      </c>
      <c r="AJ209" s="148">
        <f t="shared" si="51"/>
        <v>0</v>
      </c>
      <c r="AK209" s="148">
        <f t="shared" si="51"/>
        <v>0</v>
      </c>
      <c r="AL209" s="148">
        <f t="shared" si="51"/>
        <v>0</v>
      </c>
      <c r="AM209" s="148">
        <f t="shared" si="51"/>
        <v>0</v>
      </c>
      <c r="AN209" s="148">
        <f t="shared" si="51"/>
        <v>0</v>
      </c>
      <c r="AO209" s="148">
        <f t="shared" si="51"/>
        <v>0</v>
      </c>
      <c r="AP209" s="148">
        <f t="shared" si="51"/>
        <v>0</v>
      </c>
      <c r="AQ209" s="148">
        <f t="shared" si="51"/>
        <v>0</v>
      </c>
      <c r="AR209" s="148">
        <f t="shared" si="51"/>
        <v>0</v>
      </c>
      <c r="AS209" s="148">
        <f t="shared" si="51"/>
        <v>0</v>
      </c>
      <c r="AT209" s="148">
        <f t="shared" si="51"/>
        <v>0</v>
      </c>
      <c r="AU209" s="148">
        <f t="shared" si="51"/>
        <v>0</v>
      </c>
      <c r="AV209" s="148">
        <f t="shared" si="51"/>
        <v>0</v>
      </c>
      <c r="AW209" s="148">
        <f t="shared" si="51"/>
        <v>0</v>
      </c>
      <c r="AX209" s="148">
        <f t="shared" si="51"/>
        <v>0</v>
      </c>
      <c r="AY209" s="148">
        <f t="shared" si="51"/>
        <v>0</v>
      </c>
      <c r="AZ209" s="148">
        <f t="shared" si="51"/>
        <v>0</v>
      </c>
      <c r="BA209" s="148">
        <f t="shared" si="51"/>
        <v>0</v>
      </c>
      <c r="BB209" s="148">
        <f t="shared" si="51"/>
        <v>0</v>
      </c>
      <c r="BC209" s="148">
        <f t="shared" si="51"/>
        <v>0</v>
      </c>
      <c r="BD209" s="148">
        <f t="shared" si="51"/>
        <v>0</v>
      </c>
      <c r="BE209" s="148">
        <f t="shared" si="51"/>
        <v>0</v>
      </c>
      <c r="BF209" s="148">
        <f t="shared" si="51"/>
        <v>0</v>
      </c>
      <c r="BG209" s="148">
        <f t="shared" si="51"/>
        <v>0</v>
      </c>
      <c r="BH209" s="148"/>
      <c r="BI209" s="148"/>
      <c r="BJ209" s="148"/>
      <c r="BK209" s="148"/>
      <c r="BL209" s="148"/>
      <c r="BM209" s="148"/>
      <c r="BN209" s="148"/>
      <c r="BO209" s="148"/>
      <c r="BP209" s="148"/>
      <c r="BQ209" s="148"/>
      <c r="BR209" s="148"/>
      <c r="BS209" s="148"/>
      <c r="BT209" s="148"/>
      <c r="BU209" s="148"/>
      <c r="BV209" s="148"/>
      <c r="BW209" s="148"/>
      <c r="BX209" s="148"/>
      <c r="BY209" s="148"/>
      <c r="BZ209" s="148"/>
      <c r="CA209" s="148"/>
      <c r="CB209" s="148"/>
      <c r="CC209" s="148"/>
      <c r="CD209" s="148"/>
      <c r="CE209" s="148"/>
      <c r="CF209" s="148"/>
      <c r="CG209" s="148"/>
      <c r="CH209" s="148"/>
      <c r="CI209" s="148"/>
      <c r="CJ209" s="148"/>
      <c r="CK209" s="148"/>
      <c r="CL209" s="148"/>
      <c r="CM209" s="148"/>
      <c r="CN209" s="148"/>
      <c r="CO209" s="148"/>
    </row>
    <row r="210" spans="3:93" hidden="1" x14ac:dyDescent="0.15">
      <c r="C210" s="266" t="s">
        <v>371</v>
      </c>
      <c r="F210" s="148">
        <f>IFERROR(#REF!*F201/SUM(F193,F201),0)</f>
        <v>0</v>
      </c>
      <c r="G210" s="148">
        <f>IFERROR(#REF!*G201/SUM(G193,G201),0)</f>
        <v>0</v>
      </c>
      <c r="H210" s="148">
        <f>IFERROR(#REF!*H201/SUM(H193,H201),0)</f>
        <v>0</v>
      </c>
      <c r="I210" s="148">
        <f>IFERROR(#REF!*I201/SUM(I193,I201),0)</f>
        <v>0</v>
      </c>
      <c r="J210" s="148">
        <f>IFERROR(#REF!*J201/SUM(J193,J201),0)</f>
        <v>0</v>
      </c>
      <c r="K210" s="148">
        <f>IFERROR(#REF!*K201/SUM(K193,K201),0)</f>
        <v>0</v>
      </c>
      <c r="L210" s="148">
        <f>IFERROR(#REF!*L201/SUM(L193,L201),0)</f>
        <v>0</v>
      </c>
      <c r="M210" s="148">
        <f>IFERROR(#REF!*M201/SUM(M193,M201),0)</f>
        <v>0</v>
      </c>
      <c r="N210" s="148">
        <f>IFERROR(#REF!*N201/SUM(N193,N201),0)</f>
        <v>0</v>
      </c>
      <c r="O210" s="148">
        <f>IFERROR(#REF!*O201/SUM(O193,O201),0)</f>
        <v>0</v>
      </c>
      <c r="P210" s="148">
        <f>IFERROR(#REF!*P201/SUM(P193,P201),0)</f>
        <v>0</v>
      </c>
      <c r="Q210" s="148">
        <f>IFERROR(#REF!*Q201/SUM(Q193,Q201),0)</f>
        <v>0</v>
      </c>
      <c r="R210" s="148">
        <f>IFERROR(#REF!*R201/SUM(R193,R201),0)</f>
        <v>0</v>
      </c>
      <c r="S210" s="148">
        <f>IFERROR(#REF!*S201/SUM(S193,S201),0)</f>
        <v>0</v>
      </c>
      <c r="T210" s="148">
        <f>IFERROR(#REF!*T201/SUM(T193,T201),0)</f>
        <v>0</v>
      </c>
      <c r="U210" s="148">
        <f>IFERROR(#REF!*U201/SUM(U193,U201),0)</f>
        <v>0</v>
      </c>
      <c r="V210" s="148">
        <f>IFERROR(#REF!*V201/SUM(V193,V201),0)</f>
        <v>0</v>
      </c>
      <c r="W210" s="148">
        <f>IFERROR(#REF!*W201/SUM(W193,W201),0)</f>
        <v>0</v>
      </c>
      <c r="X210" s="148">
        <f>IFERROR(#REF!*X201/SUM(X193,X201),0)</f>
        <v>0</v>
      </c>
      <c r="Y210" s="148">
        <f>IFERROR(#REF!*Y201/SUM(Y193,Y201),0)</f>
        <v>0</v>
      </c>
      <c r="Z210" s="148">
        <f>IFERROR(#REF!*Z201/SUM(Z193,Z201),0)</f>
        <v>0</v>
      </c>
      <c r="AA210" s="148">
        <f>IFERROR(#REF!*AA201/SUM(AA193,AA201),0)</f>
        <v>0</v>
      </c>
      <c r="AB210" s="148">
        <f>IFERROR(#REF!*AB201/SUM(AB193,AB201),0)</f>
        <v>0</v>
      </c>
      <c r="AC210" s="148">
        <f>IFERROR(#REF!*AC201/SUM(AC193,AC201),0)</f>
        <v>0</v>
      </c>
      <c r="AD210" s="148">
        <f>IFERROR(#REF!*AD201/SUM(AD193,AD201),0)</f>
        <v>0</v>
      </c>
      <c r="AE210" s="148">
        <f>IFERROR(#REF!*AE201/SUM(AE193,AE201),0)</f>
        <v>0</v>
      </c>
      <c r="AF210" s="148">
        <f>IFERROR(#REF!*AF201/SUM(AF193,AF201),0)</f>
        <v>0</v>
      </c>
      <c r="AG210" s="148">
        <f>IFERROR(#REF!*AG201/SUM(AG193,AG201),0)</f>
        <v>0</v>
      </c>
      <c r="AH210" s="148">
        <f>IFERROR(#REF!*AH201/SUM(AH193,AH201),0)</f>
        <v>0</v>
      </c>
      <c r="AI210" s="148">
        <f>IFERROR(#REF!*AI201/SUM(AI193,AI201),0)</f>
        <v>0</v>
      </c>
      <c r="AJ210" s="148">
        <f>IFERROR(#REF!*AJ201/SUM(AJ193,AJ201),0)</f>
        <v>0</v>
      </c>
      <c r="AK210" s="148">
        <f>IFERROR(#REF!*AK201/SUM(AK193,AK201),0)</f>
        <v>0</v>
      </c>
      <c r="AL210" s="148">
        <f>IFERROR(#REF!*AL201/SUM(AL193,AL201),0)</f>
        <v>0</v>
      </c>
      <c r="AM210" s="148">
        <f>IFERROR(#REF!*AM201/SUM(AM193,AM201),0)</f>
        <v>0</v>
      </c>
      <c r="AN210" s="148">
        <f>IFERROR(#REF!*AN201/SUM(AN193,AN201),0)</f>
        <v>0</v>
      </c>
      <c r="AO210" s="148">
        <f>IFERROR(#REF!*AO201/SUM(AO193,AO201),0)</f>
        <v>0</v>
      </c>
      <c r="AP210" s="148">
        <f>IFERROR(#REF!*AP201/SUM(AP193,AP201),0)</f>
        <v>0</v>
      </c>
      <c r="AQ210" s="148">
        <f>IFERROR(#REF!*AQ201/SUM(AQ193,AQ201),0)</f>
        <v>0</v>
      </c>
      <c r="AR210" s="148">
        <f>IFERROR(#REF!*AR201/SUM(AR193,AR201),0)</f>
        <v>0</v>
      </c>
      <c r="AS210" s="148">
        <f>IFERROR(#REF!*AS201/SUM(AS193,AS201),0)</f>
        <v>0</v>
      </c>
      <c r="AT210" s="148">
        <f>IFERROR(#REF!*AT201/SUM(AT193,AT201),0)</f>
        <v>0</v>
      </c>
      <c r="AU210" s="148">
        <f>IFERROR(#REF!*AU201/SUM(AU193,AU201),0)</f>
        <v>0</v>
      </c>
      <c r="AV210" s="148">
        <f>IFERROR(#REF!*AV201/SUM(AV193,AV201),0)</f>
        <v>0</v>
      </c>
      <c r="AW210" s="148">
        <f>IFERROR(#REF!*AW201/SUM(AW193,AW201),0)</f>
        <v>0</v>
      </c>
      <c r="AX210" s="148">
        <f>IFERROR(#REF!*AX201/SUM(AX193,AX201),0)</f>
        <v>0</v>
      </c>
      <c r="AY210" s="148">
        <f>IFERROR(#REF!*AY201/SUM(AY193,AY201),0)</f>
        <v>0</v>
      </c>
      <c r="AZ210" s="148">
        <f>IFERROR(#REF!*AZ201/SUM(AZ193,AZ201),0)</f>
        <v>0</v>
      </c>
      <c r="BA210" s="148">
        <f>IFERROR(#REF!*BA201/SUM(BA193,BA201),0)</f>
        <v>0</v>
      </c>
      <c r="BB210" s="148">
        <f>IFERROR(#REF!*BB201/SUM(BB193,BB201),0)</f>
        <v>0</v>
      </c>
      <c r="BC210" s="148">
        <f>IFERROR(#REF!*BC201/SUM(BC193,BC201),0)</f>
        <v>0</v>
      </c>
      <c r="BD210" s="148">
        <f>IFERROR(#REF!*BD201/SUM(BD193,BD201),0)</f>
        <v>0</v>
      </c>
      <c r="BE210" s="148">
        <f>IFERROR(#REF!*BE201/SUM(BE193,BE201),0)</f>
        <v>0</v>
      </c>
      <c r="BF210" s="148">
        <f>IFERROR(#REF!*BF201/SUM(BF193,BF201),0)</f>
        <v>0</v>
      </c>
      <c r="BG210" s="148">
        <f>IFERROR(#REF!*BG201/SUM(BG193,BG201),0)</f>
        <v>0</v>
      </c>
      <c r="BH210" s="148"/>
      <c r="BI210" s="148"/>
      <c r="BJ210" s="148"/>
      <c r="BK210" s="148"/>
      <c r="BL210" s="148"/>
      <c r="BM210" s="148"/>
      <c r="BN210" s="148"/>
      <c r="BO210" s="148"/>
      <c r="BP210" s="148"/>
      <c r="BQ210" s="148"/>
      <c r="BR210" s="148"/>
      <c r="BS210" s="148"/>
      <c r="BT210" s="148"/>
      <c r="BU210" s="148"/>
      <c r="BV210" s="148"/>
      <c r="BW210" s="148"/>
      <c r="BX210" s="148"/>
      <c r="BY210" s="148"/>
      <c r="BZ210" s="148"/>
      <c r="CA210" s="148"/>
      <c r="CB210" s="148"/>
      <c r="CC210" s="148"/>
      <c r="CD210" s="148"/>
      <c r="CE210" s="148"/>
      <c r="CF210" s="148"/>
      <c r="CG210" s="148"/>
      <c r="CH210" s="148"/>
      <c r="CI210" s="148"/>
      <c r="CJ210" s="148"/>
      <c r="CK210" s="148"/>
      <c r="CL210" s="148"/>
      <c r="CM210" s="148"/>
      <c r="CN210" s="148"/>
      <c r="CO210" s="148"/>
    </row>
    <row r="211" spans="3:93" hidden="1" x14ac:dyDescent="0.15">
      <c r="C211" s="266" t="s">
        <v>369</v>
      </c>
      <c r="F211" s="150" t="e">
        <f>F210+F206-#REF!</f>
        <v>#REF!</v>
      </c>
      <c r="G211" s="150" t="e">
        <f>G210+G206-#REF!</f>
        <v>#REF!</v>
      </c>
      <c r="H211" s="150" t="e">
        <f>H210+H206-#REF!</f>
        <v>#REF!</v>
      </c>
      <c r="I211" s="150" t="e">
        <f>I210+I206-#REF!</f>
        <v>#REF!</v>
      </c>
      <c r="J211" s="150" t="e">
        <f>J210+J206-#REF!</f>
        <v>#REF!</v>
      </c>
      <c r="K211" s="150" t="e">
        <f>K210+K206-#REF!</f>
        <v>#REF!</v>
      </c>
      <c r="L211" s="150" t="e">
        <f>L210+L206-#REF!</f>
        <v>#REF!</v>
      </c>
      <c r="M211" s="150" t="e">
        <f>M210+M206-#REF!</f>
        <v>#REF!</v>
      </c>
      <c r="N211" s="150" t="e">
        <f>N210+N206-#REF!</f>
        <v>#REF!</v>
      </c>
      <c r="O211" s="150" t="e">
        <f>O210+O206-#REF!</f>
        <v>#REF!</v>
      </c>
      <c r="P211" s="150" t="e">
        <f>P210+P206-#REF!</f>
        <v>#REF!</v>
      </c>
      <c r="Q211" s="150" t="e">
        <f>Q210+Q206-#REF!</f>
        <v>#REF!</v>
      </c>
      <c r="R211" s="150" t="e">
        <f>R210+R206-#REF!</f>
        <v>#REF!</v>
      </c>
      <c r="S211" s="150" t="e">
        <f>S210+S206-#REF!</f>
        <v>#REF!</v>
      </c>
      <c r="T211" s="150" t="e">
        <f>T210+T206-#REF!</f>
        <v>#REF!</v>
      </c>
      <c r="U211" s="150" t="e">
        <f>U210+U206-#REF!</f>
        <v>#REF!</v>
      </c>
      <c r="V211" s="150" t="e">
        <f>V210+V206-#REF!</f>
        <v>#REF!</v>
      </c>
      <c r="W211" s="150" t="e">
        <f>W210+W206-#REF!</f>
        <v>#REF!</v>
      </c>
      <c r="X211" s="150" t="e">
        <f>X210+X206-#REF!</f>
        <v>#REF!</v>
      </c>
      <c r="Y211" s="150" t="e">
        <f>Y210+Y206-#REF!</f>
        <v>#REF!</v>
      </c>
      <c r="Z211" s="150" t="e">
        <f>Z210+Z206-#REF!</f>
        <v>#REF!</v>
      </c>
      <c r="AA211" s="150" t="e">
        <f>AA210+AA206-#REF!</f>
        <v>#REF!</v>
      </c>
      <c r="AB211" s="150" t="e">
        <f>AB210+AB206-#REF!</f>
        <v>#REF!</v>
      </c>
      <c r="AC211" s="150" t="e">
        <f>AC210+AC206-#REF!</f>
        <v>#REF!</v>
      </c>
      <c r="AD211" s="150" t="e">
        <f>AD210+AD206-#REF!</f>
        <v>#REF!</v>
      </c>
      <c r="AE211" s="150" t="e">
        <f>AE210+AE206-#REF!</f>
        <v>#REF!</v>
      </c>
      <c r="AF211" s="150" t="e">
        <f>AF210+AF206-#REF!</f>
        <v>#REF!</v>
      </c>
      <c r="AG211" s="150" t="e">
        <f>AG210+AG206-#REF!</f>
        <v>#REF!</v>
      </c>
      <c r="AH211" s="150" t="e">
        <f>AH210+AH206-#REF!</f>
        <v>#REF!</v>
      </c>
      <c r="AI211" s="150" t="e">
        <f>AI210+AI206-#REF!</f>
        <v>#REF!</v>
      </c>
      <c r="AJ211" s="150" t="e">
        <f>AJ210+AJ206-#REF!</f>
        <v>#REF!</v>
      </c>
      <c r="AK211" s="150" t="e">
        <f>AK210+AK206-#REF!</f>
        <v>#REF!</v>
      </c>
      <c r="AL211" s="150" t="e">
        <f>AL210+AL206-#REF!</f>
        <v>#REF!</v>
      </c>
      <c r="AM211" s="150" t="e">
        <f>AM210+AM206-#REF!</f>
        <v>#REF!</v>
      </c>
      <c r="AN211" s="150" t="e">
        <f>AN210+AN206-#REF!</f>
        <v>#REF!</v>
      </c>
      <c r="AO211" s="150" t="e">
        <f>AO210+AO206-#REF!</f>
        <v>#REF!</v>
      </c>
      <c r="AP211" s="150" t="e">
        <f>AP210+AP206-#REF!</f>
        <v>#REF!</v>
      </c>
      <c r="AQ211" s="150" t="e">
        <f>AQ210+AQ206-#REF!</f>
        <v>#REF!</v>
      </c>
      <c r="AR211" s="150" t="e">
        <f>AR210+AR206-#REF!</f>
        <v>#REF!</v>
      </c>
      <c r="AS211" s="150" t="e">
        <f>AS210+AS206-#REF!</f>
        <v>#REF!</v>
      </c>
      <c r="AT211" s="150" t="e">
        <f>AT210+AT206-#REF!</f>
        <v>#REF!</v>
      </c>
      <c r="AU211" s="150" t="e">
        <f>AU210+AU206-#REF!</f>
        <v>#REF!</v>
      </c>
      <c r="AV211" s="150" t="e">
        <f>AV210+AV206-#REF!</f>
        <v>#REF!</v>
      </c>
      <c r="AW211" s="150" t="e">
        <f>AW210+AW206-#REF!</f>
        <v>#REF!</v>
      </c>
      <c r="AX211" s="150" t="e">
        <f>AX210+AX206-#REF!</f>
        <v>#REF!</v>
      </c>
      <c r="AY211" s="150" t="e">
        <f>AY210+AY206-#REF!</f>
        <v>#REF!</v>
      </c>
      <c r="AZ211" s="150" t="e">
        <f>AZ210+AZ206-#REF!</f>
        <v>#REF!</v>
      </c>
      <c r="BA211" s="150" t="e">
        <f>BA210+BA206-#REF!</f>
        <v>#REF!</v>
      </c>
      <c r="BB211" s="150" t="e">
        <f>BB210+BB206-#REF!</f>
        <v>#REF!</v>
      </c>
      <c r="BC211" s="150" t="e">
        <f>BC210+BC206-#REF!</f>
        <v>#REF!</v>
      </c>
      <c r="BD211" s="150" t="e">
        <f>BD210+BD206-#REF!</f>
        <v>#REF!</v>
      </c>
      <c r="BE211" s="150" t="e">
        <f>BE210+BE206-#REF!</f>
        <v>#REF!</v>
      </c>
      <c r="BF211" s="150" t="e">
        <f>BF210+BF206-#REF!</f>
        <v>#REF!</v>
      </c>
      <c r="BG211" s="150" t="e">
        <f>BG210+BG206-#REF!</f>
        <v>#REF!</v>
      </c>
      <c r="BH211" s="150"/>
      <c r="BI211" s="150"/>
      <c r="BJ211" s="150"/>
      <c r="BK211" s="150"/>
      <c r="BL211" s="150"/>
      <c r="BM211" s="150"/>
      <c r="BN211" s="150"/>
      <c r="BO211" s="150"/>
      <c r="BP211" s="150"/>
      <c r="BQ211" s="150"/>
      <c r="BR211" s="150"/>
      <c r="BS211" s="150"/>
      <c r="BT211" s="150"/>
      <c r="BU211" s="150"/>
      <c r="BV211" s="150"/>
      <c r="BW211" s="150"/>
      <c r="BX211" s="150"/>
      <c r="BY211" s="150"/>
      <c r="BZ211" s="150"/>
      <c r="CA211" s="150"/>
      <c r="CB211" s="150"/>
      <c r="CC211" s="150"/>
      <c r="CD211" s="150"/>
      <c r="CE211" s="150"/>
      <c r="CF211" s="150"/>
      <c r="CG211" s="150"/>
      <c r="CH211" s="150"/>
      <c r="CI211" s="150"/>
      <c r="CJ211" s="150"/>
      <c r="CK211" s="150"/>
      <c r="CL211" s="150"/>
      <c r="CM211" s="150"/>
      <c r="CN211" s="150"/>
      <c r="CO211" s="150"/>
    </row>
  </sheetData>
  <sheetProtection algorithmName="SHA-512" hashValue="6511JkjCxYq0j8tHzcZtJDRuNalahNWHLsglsLN7lFDklB9RLXRZMdL7Lay25x5mbvq6LCIFBbpvYLRckzyMng==" saltValue="84+j7/TwkjOqiUWC5rIVCg==" spinCount="100000" sheet="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C4DAC-EF2B-C54E-B807-FC48F20BC3BE}">
  <sheetPr>
    <tabColor rgb="FFFFFF00"/>
  </sheetPr>
  <dimension ref="A1:BQ34"/>
  <sheetViews>
    <sheetView showGridLines="0" zoomScale="119" zoomScaleNormal="85" zoomScaleSheetLayoutView="70" workbookViewId="0">
      <selection activeCell="P3" sqref="P3"/>
    </sheetView>
  </sheetViews>
  <sheetFormatPr baseColWidth="10" defaultColWidth="10.33203125" defaultRowHeight="11" x14ac:dyDescent="0.15"/>
  <cols>
    <col min="1" max="1" width="2.5" style="246" customWidth="1"/>
    <col min="2" max="2" width="3.33203125" style="173" customWidth="1"/>
    <col min="3" max="3" width="28" style="173" customWidth="1"/>
    <col min="4" max="4" width="9.83203125" style="173" bestFit="1" customWidth="1"/>
    <col min="5" max="5" width="7.5" style="173" customWidth="1"/>
    <col min="6" max="6" width="9.5" style="173" customWidth="1"/>
    <col min="7" max="39" width="7.5" style="173" customWidth="1"/>
    <col min="40" max="16384" width="10.33203125" style="173"/>
  </cols>
  <sheetData>
    <row r="1" spans="1:69" ht="23" x14ac:dyDescent="0.25">
      <c r="C1" s="267" t="s">
        <v>372</v>
      </c>
      <c r="D1" s="268"/>
    </row>
    <row r="2" spans="1:69" s="270" customFormat="1" ht="14" thickBot="1" x14ac:dyDescent="0.2">
      <c r="A2" s="269"/>
      <c r="C2" s="271" t="s">
        <v>373</v>
      </c>
      <c r="D2" s="272" t="s">
        <v>374</v>
      </c>
      <c r="E2" s="272"/>
      <c r="F2" s="272"/>
      <c r="G2" s="272"/>
      <c r="H2" s="272"/>
      <c r="I2" s="272"/>
      <c r="J2" s="272"/>
      <c r="K2" s="272"/>
      <c r="L2" s="272"/>
      <c r="M2" s="272"/>
      <c r="N2" s="272"/>
      <c r="O2" s="272"/>
      <c r="P2" s="272"/>
    </row>
    <row r="3" spans="1:69" s="270" customFormat="1" ht="13" x14ac:dyDescent="0.15">
      <c r="A3" s="273"/>
      <c r="B3" s="46"/>
      <c r="P3" s="274"/>
      <c r="Q3" s="274"/>
    </row>
    <row r="4" spans="1:69" s="270" customFormat="1" ht="13" x14ac:dyDescent="0.15">
      <c r="A4" s="269"/>
      <c r="B4" s="275"/>
      <c r="C4" s="276" t="s">
        <v>375</v>
      </c>
      <c r="D4" s="277">
        <v>45658</v>
      </c>
      <c r="E4" s="278">
        <f t="shared" ref="E4:BL4" si="0">EOMONTH(D4,1)</f>
        <v>45716</v>
      </c>
      <c r="F4" s="278">
        <f t="shared" si="0"/>
        <v>45747</v>
      </c>
      <c r="G4" s="278">
        <f t="shared" si="0"/>
        <v>45777</v>
      </c>
      <c r="H4" s="278">
        <f t="shared" si="0"/>
        <v>45808</v>
      </c>
      <c r="I4" s="278">
        <f t="shared" si="0"/>
        <v>45838</v>
      </c>
      <c r="J4" s="278">
        <f t="shared" si="0"/>
        <v>45869</v>
      </c>
      <c r="K4" s="278">
        <f t="shared" si="0"/>
        <v>45900</v>
      </c>
      <c r="L4" s="278">
        <f t="shared" si="0"/>
        <v>45930</v>
      </c>
      <c r="M4" s="278">
        <f t="shared" si="0"/>
        <v>45961</v>
      </c>
      <c r="N4" s="278">
        <f t="shared" si="0"/>
        <v>45991</v>
      </c>
      <c r="O4" s="278">
        <f t="shared" si="0"/>
        <v>46022</v>
      </c>
      <c r="P4" s="278">
        <f t="shared" si="0"/>
        <v>46053</v>
      </c>
      <c r="Q4" s="278">
        <f t="shared" si="0"/>
        <v>46081</v>
      </c>
      <c r="R4" s="278">
        <f t="shared" si="0"/>
        <v>46112</v>
      </c>
      <c r="S4" s="278">
        <f t="shared" si="0"/>
        <v>46142</v>
      </c>
      <c r="T4" s="278">
        <f t="shared" si="0"/>
        <v>46173</v>
      </c>
      <c r="U4" s="278">
        <f t="shared" si="0"/>
        <v>46203</v>
      </c>
      <c r="V4" s="278">
        <f t="shared" si="0"/>
        <v>46234</v>
      </c>
      <c r="W4" s="278">
        <f t="shared" si="0"/>
        <v>46265</v>
      </c>
      <c r="X4" s="278">
        <f t="shared" si="0"/>
        <v>46295</v>
      </c>
      <c r="Y4" s="278">
        <f t="shared" si="0"/>
        <v>46326</v>
      </c>
      <c r="Z4" s="278">
        <f t="shared" si="0"/>
        <v>46356</v>
      </c>
      <c r="AA4" s="278">
        <f t="shared" si="0"/>
        <v>46387</v>
      </c>
      <c r="AB4" s="278">
        <f t="shared" si="0"/>
        <v>46418</v>
      </c>
      <c r="AC4" s="278">
        <f t="shared" si="0"/>
        <v>46446</v>
      </c>
      <c r="AD4" s="278">
        <f t="shared" si="0"/>
        <v>46477</v>
      </c>
      <c r="AE4" s="278">
        <f t="shared" si="0"/>
        <v>46507</v>
      </c>
      <c r="AF4" s="278">
        <f t="shared" si="0"/>
        <v>46538</v>
      </c>
      <c r="AG4" s="278">
        <f t="shared" si="0"/>
        <v>46568</v>
      </c>
      <c r="AH4" s="278">
        <f t="shared" si="0"/>
        <v>46599</v>
      </c>
      <c r="AI4" s="278">
        <f t="shared" si="0"/>
        <v>46630</v>
      </c>
      <c r="AJ4" s="278">
        <f t="shared" si="0"/>
        <v>46660</v>
      </c>
      <c r="AK4" s="278">
        <f t="shared" si="0"/>
        <v>46691</v>
      </c>
      <c r="AL4" s="278">
        <f t="shared" si="0"/>
        <v>46721</v>
      </c>
      <c r="AM4" s="278">
        <f t="shared" si="0"/>
        <v>46752</v>
      </c>
      <c r="AN4" s="278">
        <f t="shared" si="0"/>
        <v>46783</v>
      </c>
      <c r="AO4" s="278">
        <f t="shared" si="0"/>
        <v>46812</v>
      </c>
      <c r="AP4" s="278">
        <f t="shared" si="0"/>
        <v>46843</v>
      </c>
      <c r="AQ4" s="278">
        <f t="shared" si="0"/>
        <v>46873</v>
      </c>
      <c r="AR4" s="278">
        <f t="shared" si="0"/>
        <v>46904</v>
      </c>
      <c r="AS4" s="278">
        <f t="shared" si="0"/>
        <v>46934</v>
      </c>
      <c r="AT4" s="278">
        <f t="shared" si="0"/>
        <v>46965</v>
      </c>
      <c r="AU4" s="278">
        <f t="shared" si="0"/>
        <v>46996</v>
      </c>
      <c r="AV4" s="278">
        <f t="shared" si="0"/>
        <v>47026</v>
      </c>
      <c r="AW4" s="278">
        <f t="shared" si="0"/>
        <v>47057</v>
      </c>
      <c r="AX4" s="278">
        <f t="shared" si="0"/>
        <v>47087</v>
      </c>
      <c r="AY4" s="278">
        <f t="shared" si="0"/>
        <v>47118</v>
      </c>
      <c r="AZ4" s="278">
        <f t="shared" si="0"/>
        <v>47149</v>
      </c>
      <c r="BA4" s="278">
        <f t="shared" si="0"/>
        <v>47177</v>
      </c>
      <c r="BB4" s="278">
        <f t="shared" si="0"/>
        <v>47208</v>
      </c>
      <c r="BC4" s="278">
        <f t="shared" si="0"/>
        <v>47238</v>
      </c>
      <c r="BD4" s="278">
        <f t="shared" si="0"/>
        <v>47269</v>
      </c>
      <c r="BE4" s="278">
        <f t="shared" si="0"/>
        <v>47299</v>
      </c>
      <c r="BF4" s="278">
        <f t="shared" si="0"/>
        <v>47330</v>
      </c>
      <c r="BG4" s="278">
        <f t="shared" si="0"/>
        <v>47361</v>
      </c>
      <c r="BH4" s="278">
        <f t="shared" si="0"/>
        <v>47391</v>
      </c>
      <c r="BI4" s="278">
        <f t="shared" si="0"/>
        <v>47422</v>
      </c>
      <c r="BJ4" s="278">
        <f t="shared" si="0"/>
        <v>47452</v>
      </c>
      <c r="BK4" s="278">
        <f t="shared" si="0"/>
        <v>47483</v>
      </c>
      <c r="BL4" s="278">
        <f t="shared" si="0"/>
        <v>47514</v>
      </c>
      <c r="BM4" s="274"/>
      <c r="BN4" s="274"/>
      <c r="BO4" s="274"/>
      <c r="BP4" s="274"/>
      <c r="BQ4" s="274"/>
    </row>
    <row r="5" spans="1:69" s="76" customFormat="1" ht="13" x14ac:dyDescent="0.15">
      <c r="A5" s="279"/>
      <c r="C5" s="280" t="s">
        <v>376</v>
      </c>
      <c r="D5" s="281">
        <f t="shared" ref="D5:BL5" si="1">YEAR(D4)</f>
        <v>2025</v>
      </c>
      <c r="E5" s="281">
        <f t="shared" si="1"/>
        <v>2025</v>
      </c>
      <c r="F5" s="281">
        <f t="shared" si="1"/>
        <v>2025</v>
      </c>
      <c r="G5" s="281">
        <f t="shared" si="1"/>
        <v>2025</v>
      </c>
      <c r="H5" s="281">
        <f t="shared" si="1"/>
        <v>2025</v>
      </c>
      <c r="I5" s="281">
        <f t="shared" si="1"/>
        <v>2025</v>
      </c>
      <c r="J5" s="281">
        <f t="shared" si="1"/>
        <v>2025</v>
      </c>
      <c r="K5" s="281">
        <f t="shared" si="1"/>
        <v>2025</v>
      </c>
      <c r="L5" s="281">
        <f t="shared" si="1"/>
        <v>2025</v>
      </c>
      <c r="M5" s="281">
        <f t="shared" si="1"/>
        <v>2025</v>
      </c>
      <c r="N5" s="281">
        <f t="shared" si="1"/>
        <v>2025</v>
      </c>
      <c r="O5" s="281">
        <f t="shared" si="1"/>
        <v>2025</v>
      </c>
      <c r="P5" s="281">
        <f t="shared" si="1"/>
        <v>2026</v>
      </c>
      <c r="Q5" s="281">
        <f t="shared" si="1"/>
        <v>2026</v>
      </c>
      <c r="R5" s="281">
        <f t="shared" si="1"/>
        <v>2026</v>
      </c>
      <c r="S5" s="281">
        <f t="shared" si="1"/>
        <v>2026</v>
      </c>
      <c r="T5" s="281">
        <f t="shared" si="1"/>
        <v>2026</v>
      </c>
      <c r="U5" s="281">
        <f t="shared" si="1"/>
        <v>2026</v>
      </c>
      <c r="V5" s="281">
        <f t="shared" si="1"/>
        <v>2026</v>
      </c>
      <c r="W5" s="281">
        <f t="shared" si="1"/>
        <v>2026</v>
      </c>
      <c r="X5" s="281">
        <f t="shared" si="1"/>
        <v>2026</v>
      </c>
      <c r="Y5" s="281">
        <f t="shared" si="1"/>
        <v>2026</v>
      </c>
      <c r="Z5" s="281">
        <f t="shared" si="1"/>
        <v>2026</v>
      </c>
      <c r="AA5" s="281">
        <f t="shared" si="1"/>
        <v>2026</v>
      </c>
      <c r="AB5" s="281">
        <f t="shared" si="1"/>
        <v>2027</v>
      </c>
      <c r="AC5" s="281">
        <f t="shared" si="1"/>
        <v>2027</v>
      </c>
      <c r="AD5" s="281">
        <f t="shared" si="1"/>
        <v>2027</v>
      </c>
      <c r="AE5" s="281">
        <f t="shared" si="1"/>
        <v>2027</v>
      </c>
      <c r="AF5" s="281">
        <f t="shared" si="1"/>
        <v>2027</v>
      </c>
      <c r="AG5" s="281">
        <f t="shared" si="1"/>
        <v>2027</v>
      </c>
      <c r="AH5" s="281">
        <f t="shared" si="1"/>
        <v>2027</v>
      </c>
      <c r="AI5" s="281">
        <f t="shared" si="1"/>
        <v>2027</v>
      </c>
      <c r="AJ5" s="281">
        <f t="shared" si="1"/>
        <v>2027</v>
      </c>
      <c r="AK5" s="281">
        <f t="shared" si="1"/>
        <v>2027</v>
      </c>
      <c r="AL5" s="281">
        <f t="shared" si="1"/>
        <v>2027</v>
      </c>
      <c r="AM5" s="281">
        <f t="shared" si="1"/>
        <v>2027</v>
      </c>
      <c r="AN5" s="281">
        <f t="shared" si="1"/>
        <v>2028</v>
      </c>
      <c r="AO5" s="281">
        <f t="shared" si="1"/>
        <v>2028</v>
      </c>
      <c r="AP5" s="281">
        <f t="shared" si="1"/>
        <v>2028</v>
      </c>
      <c r="AQ5" s="281">
        <f t="shared" si="1"/>
        <v>2028</v>
      </c>
      <c r="AR5" s="281">
        <f t="shared" si="1"/>
        <v>2028</v>
      </c>
      <c r="AS5" s="281">
        <f t="shared" si="1"/>
        <v>2028</v>
      </c>
      <c r="AT5" s="281">
        <f t="shared" si="1"/>
        <v>2028</v>
      </c>
      <c r="AU5" s="281">
        <f t="shared" si="1"/>
        <v>2028</v>
      </c>
      <c r="AV5" s="281">
        <f t="shared" si="1"/>
        <v>2028</v>
      </c>
      <c r="AW5" s="281">
        <f t="shared" si="1"/>
        <v>2028</v>
      </c>
      <c r="AX5" s="281">
        <f t="shared" si="1"/>
        <v>2028</v>
      </c>
      <c r="AY5" s="281">
        <f t="shared" si="1"/>
        <v>2028</v>
      </c>
      <c r="AZ5" s="281">
        <f t="shared" si="1"/>
        <v>2029</v>
      </c>
      <c r="BA5" s="281">
        <f t="shared" si="1"/>
        <v>2029</v>
      </c>
      <c r="BB5" s="281">
        <f t="shared" si="1"/>
        <v>2029</v>
      </c>
      <c r="BC5" s="281">
        <f t="shared" si="1"/>
        <v>2029</v>
      </c>
      <c r="BD5" s="281">
        <f t="shared" si="1"/>
        <v>2029</v>
      </c>
      <c r="BE5" s="281">
        <f t="shared" si="1"/>
        <v>2029</v>
      </c>
      <c r="BF5" s="281">
        <f t="shared" si="1"/>
        <v>2029</v>
      </c>
      <c r="BG5" s="281">
        <f t="shared" si="1"/>
        <v>2029</v>
      </c>
      <c r="BH5" s="281">
        <f t="shared" si="1"/>
        <v>2029</v>
      </c>
      <c r="BI5" s="281">
        <f t="shared" si="1"/>
        <v>2029</v>
      </c>
      <c r="BJ5" s="281">
        <f t="shared" si="1"/>
        <v>2029</v>
      </c>
      <c r="BK5" s="281">
        <f t="shared" si="1"/>
        <v>2029</v>
      </c>
      <c r="BL5" s="281">
        <f t="shared" si="1"/>
        <v>2030</v>
      </c>
      <c r="BM5" s="282"/>
      <c r="BN5" s="282"/>
      <c r="BO5" s="282"/>
      <c r="BP5" s="282"/>
      <c r="BQ5" s="282"/>
    </row>
    <row r="6" spans="1:69" s="270" customFormat="1" ht="13" x14ac:dyDescent="0.15">
      <c r="A6" s="269"/>
      <c r="C6" s="270" t="s">
        <v>377</v>
      </c>
      <c r="D6" s="283">
        <v>1390</v>
      </c>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283"/>
      <c r="AI6" s="283"/>
      <c r="AJ6" s="283"/>
      <c r="AK6" s="283"/>
      <c r="AL6" s="283"/>
      <c r="AM6" s="283"/>
      <c r="AN6" s="283"/>
      <c r="AO6" s="283"/>
      <c r="AP6" s="283"/>
      <c r="AQ6" s="283"/>
      <c r="AR6" s="283"/>
      <c r="AS6" s="283"/>
      <c r="AT6" s="283"/>
      <c r="AU6" s="283"/>
      <c r="AV6" s="283"/>
      <c r="AW6" s="283"/>
      <c r="AX6" s="283"/>
      <c r="AY6" s="283"/>
      <c r="AZ6" s="283"/>
      <c r="BA6" s="283"/>
      <c r="BB6" s="283"/>
      <c r="BC6" s="283"/>
      <c r="BD6" s="283"/>
      <c r="BE6" s="283"/>
      <c r="BF6" s="283"/>
      <c r="BG6" s="283"/>
      <c r="BH6" s="283"/>
      <c r="BI6" s="283"/>
      <c r="BJ6" s="283"/>
      <c r="BK6" s="283"/>
      <c r="BL6" s="283"/>
    </row>
    <row r="7" spans="1:69" s="270" customFormat="1" ht="13" x14ac:dyDescent="0.15">
      <c r="A7" s="269"/>
      <c r="D7" s="275"/>
      <c r="E7" s="275"/>
      <c r="F7" s="275"/>
      <c r="G7" s="275"/>
      <c r="H7" s="275"/>
      <c r="I7" s="275"/>
      <c r="J7" s="275"/>
      <c r="K7" s="275"/>
      <c r="L7" s="275"/>
      <c r="M7" s="275"/>
      <c r="N7" s="275"/>
      <c r="O7" s="275"/>
      <c r="P7" s="275"/>
      <c r="Q7" s="275"/>
      <c r="R7" s="275"/>
      <c r="S7" s="275"/>
      <c r="T7" s="275"/>
      <c r="U7" s="275"/>
      <c r="V7" s="275"/>
      <c r="W7" s="275"/>
      <c r="X7" s="275"/>
      <c r="Y7" s="275"/>
      <c r="Z7" s="275"/>
      <c r="AA7" s="275"/>
      <c r="AB7" s="275"/>
      <c r="AC7" s="275"/>
      <c r="AD7" s="275"/>
      <c r="AE7" s="275"/>
      <c r="AF7" s="275"/>
      <c r="AG7" s="275"/>
      <c r="AH7" s="275"/>
      <c r="AI7" s="275"/>
      <c r="AJ7" s="275"/>
      <c r="AK7" s="275"/>
      <c r="AL7" s="275"/>
      <c r="AM7" s="275"/>
      <c r="AN7" s="275"/>
      <c r="AO7" s="275"/>
      <c r="AP7" s="275"/>
      <c r="AQ7" s="275"/>
      <c r="AR7" s="275"/>
      <c r="AS7" s="275"/>
      <c r="AT7" s="275"/>
      <c r="AU7" s="275"/>
      <c r="AV7" s="275"/>
      <c r="AW7" s="275"/>
      <c r="AX7" s="275"/>
      <c r="AY7" s="275"/>
      <c r="AZ7" s="275"/>
      <c r="BA7" s="275"/>
      <c r="BB7" s="275"/>
      <c r="BC7" s="275"/>
      <c r="BD7" s="275"/>
      <c r="BE7" s="275"/>
      <c r="BF7" s="275"/>
      <c r="BG7" s="275"/>
      <c r="BH7" s="275"/>
      <c r="BI7" s="275"/>
      <c r="BJ7" s="275"/>
      <c r="BK7" s="275"/>
      <c r="BL7" s="275"/>
    </row>
    <row r="8" spans="1:69" s="270" customFormat="1" ht="14" thickBot="1" x14ac:dyDescent="0.2">
      <c r="A8" s="269"/>
      <c r="C8" s="271" t="s">
        <v>378</v>
      </c>
      <c r="D8" s="272" t="s">
        <v>379</v>
      </c>
      <c r="E8" s="284"/>
      <c r="F8" s="284"/>
      <c r="G8" s="285"/>
      <c r="H8" s="285"/>
      <c r="I8" s="285"/>
      <c r="J8" s="285"/>
      <c r="K8" s="285"/>
      <c r="L8" s="285"/>
      <c r="M8" s="285"/>
      <c r="N8" s="285"/>
      <c r="O8" s="285"/>
      <c r="P8" s="285"/>
      <c r="Q8" s="274"/>
      <c r="R8" s="274"/>
      <c r="S8" s="274"/>
      <c r="T8" s="274"/>
    </row>
    <row r="9" spans="1:69" s="270" customFormat="1" ht="13" x14ac:dyDescent="0.15">
      <c r="A9" s="273"/>
      <c r="B9" s="46"/>
      <c r="G9" s="274"/>
      <c r="H9" s="274"/>
      <c r="I9" s="274"/>
      <c r="J9" s="274"/>
      <c r="K9" s="274"/>
      <c r="L9" s="274"/>
      <c r="M9" s="274"/>
      <c r="N9" s="274"/>
      <c r="O9" s="274"/>
      <c r="P9" s="274"/>
      <c r="Q9" s="274"/>
      <c r="R9" s="274"/>
      <c r="S9" s="274"/>
      <c r="T9" s="274"/>
    </row>
    <row r="10" spans="1:69" s="270" customFormat="1" ht="13" x14ac:dyDescent="0.15">
      <c r="A10" s="273"/>
      <c r="B10" s="46"/>
      <c r="C10" s="46" t="s">
        <v>380</v>
      </c>
      <c r="D10" s="286" t="s">
        <v>381</v>
      </c>
      <c r="F10" s="286">
        <f>YEAR(D4)</f>
        <v>2025</v>
      </c>
      <c r="G10" s="287"/>
      <c r="H10" s="286">
        <f>F10+1</f>
        <v>2026</v>
      </c>
      <c r="I10" s="287"/>
      <c r="J10" s="286">
        <f>H10+1</f>
        <v>2027</v>
      </c>
      <c r="K10" s="288"/>
      <c r="L10" s="286">
        <f>J10+1</f>
        <v>2028</v>
      </c>
      <c r="M10" s="274"/>
      <c r="N10" s="286">
        <f>L10+1</f>
        <v>2029</v>
      </c>
      <c r="O10" s="274"/>
      <c r="P10" s="286">
        <f>N10+1</f>
        <v>2030</v>
      </c>
      <c r="Q10" s="274"/>
      <c r="R10" s="274"/>
      <c r="S10" s="274"/>
      <c r="T10" s="274"/>
    </row>
    <row r="11" spans="1:69" s="270" customFormat="1" ht="13" x14ac:dyDescent="0.15">
      <c r="A11" s="273"/>
      <c r="B11" s="46"/>
      <c r="C11" s="289"/>
      <c r="D11" s="290" t="s">
        <v>382</v>
      </c>
      <c r="E11" s="291"/>
      <c r="F11" s="290" t="s">
        <v>382</v>
      </c>
      <c r="G11" s="291"/>
      <c r="H11" s="290" t="s">
        <v>382</v>
      </c>
      <c r="I11" s="290"/>
      <c r="J11" s="290" t="s">
        <v>382</v>
      </c>
      <c r="K11" s="290"/>
      <c r="L11" s="290" t="s">
        <v>382</v>
      </c>
      <c r="M11" s="290"/>
      <c r="N11" s="290" t="s">
        <v>382</v>
      </c>
      <c r="O11" s="290"/>
      <c r="P11" s="290" t="s">
        <v>382</v>
      </c>
      <c r="Q11" s="274"/>
      <c r="R11" s="274"/>
      <c r="S11" s="274"/>
      <c r="T11" s="274"/>
    </row>
    <row r="12" spans="1:69" s="270" customFormat="1" ht="13" x14ac:dyDescent="0.15">
      <c r="A12" s="273"/>
      <c r="B12" s="46"/>
      <c r="I12" s="274"/>
      <c r="J12" s="274"/>
      <c r="K12" s="274"/>
      <c r="L12" s="274"/>
      <c r="M12" s="274"/>
      <c r="N12" s="274"/>
      <c r="O12" s="274"/>
      <c r="P12" s="274"/>
      <c r="Q12" s="274"/>
      <c r="R12" s="274"/>
      <c r="S12" s="274"/>
      <c r="T12" s="274"/>
    </row>
    <row r="13" spans="1:69" s="270" customFormat="1" ht="13" x14ac:dyDescent="0.15">
      <c r="A13" s="269"/>
      <c r="C13" s="46" t="s">
        <v>383</v>
      </c>
      <c r="D13" s="292">
        <f>SUM(F13:P13)</f>
        <v>1390</v>
      </c>
      <c r="E13" s="292"/>
      <c r="F13" s="293">
        <f>SUMIF($D$5:$BL$5,F$10,$D$6:$BL$6)</f>
        <v>1390</v>
      </c>
      <c r="G13" s="293"/>
      <c r="H13" s="293">
        <f>SUMIF($D$5:$BL$5,H$10,$D$6:$BL$6)</f>
        <v>0</v>
      </c>
      <c r="I13" s="293"/>
      <c r="J13" s="293">
        <f>SUMIF($D$5:$BL$5,J$10,$D$6:$BL$6)</f>
        <v>0</v>
      </c>
      <c r="K13" s="293"/>
      <c r="L13" s="293">
        <f>SUMIF($D$5:$BL$5,L$10,$D$6:$BL$6)</f>
        <v>0</v>
      </c>
      <c r="M13" s="293"/>
      <c r="N13" s="293">
        <f>SUMIF($D$5:$BL$5,N$10,$D$6:$BL$6)</f>
        <v>0</v>
      </c>
      <c r="O13" s="293"/>
      <c r="P13" s="293">
        <f>SUMIF($D$5:$BL$5,P$10,$D$6:$BL$6)</f>
        <v>0</v>
      </c>
      <c r="Q13" s="294"/>
      <c r="R13" s="294"/>
      <c r="S13" s="294"/>
      <c r="T13" s="294"/>
      <c r="U13" s="294"/>
      <c r="V13" s="294"/>
      <c r="W13" s="294"/>
      <c r="X13" s="294"/>
      <c r="Y13" s="294"/>
      <c r="Z13" s="294"/>
      <c r="AA13" s="294"/>
      <c r="AB13" s="294"/>
      <c r="AC13" s="294"/>
      <c r="AD13" s="294"/>
      <c r="AE13" s="294"/>
      <c r="AF13" s="294"/>
    </row>
    <row r="14" spans="1:69" s="270" customFormat="1" ht="13" x14ac:dyDescent="0.15">
      <c r="A14" s="269"/>
      <c r="C14" s="270" t="s">
        <v>384</v>
      </c>
      <c r="D14" s="295">
        <f>AVERAGE(D6:AM6)</f>
        <v>1390</v>
      </c>
      <c r="E14" s="295"/>
      <c r="F14" s="296">
        <f>F13/COUNTIF($D$5:$BL$5,F10)</f>
        <v>115.83333333333333</v>
      </c>
      <c r="G14" s="296"/>
      <c r="H14" s="296">
        <f>H13/COUNTIF($D$5:$BL$5,H10)</f>
        <v>0</v>
      </c>
      <c r="I14" s="296"/>
      <c r="J14" s="296">
        <f>J13/COUNTIF($D$5:$BL$5,J10)</f>
        <v>0</v>
      </c>
      <c r="K14" s="296"/>
      <c r="L14" s="296">
        <f>L13/COUNTIF($D$5:$BL$5,L10)</f>
        <v>0</v>
      </c>
      <c r="M14" s="296"/>
      <c r="N14" s="296">
        <f>N13/COUNTIF($D$5:$BL$5,N10)</f>
        <v>0</v>
      </c>
      <c r="O14" s="296"/>
      <c r="P14" s="296">
        <f>P13/COUNTIF($D$5:$BL$5,P10)</f>
        <v>0</v>
      </c>
      <c r="Q14" s="294"/>
      <c r="R14" s="294"/>
      <c r="S14" s="294"/>
      <c r="T14" s="294"/>
      <c r="U14" s="294"/>
      <c r="V14" s="294"/>
      <c r="W14" s="294"/>
      <c r="X14" s="294"/>
      <c r="Y14" s="294"/>
      <c r="Z14" s="294"/>
      <c r="AA14" s="294"/>
      <c r="AB14" s="294"/>
      <c r="AC14" s="294"/>
      <c r="AD14" s="294"/>
      <c r="AE14" s="294"/>
      <c r="AF14" s="294"/>
    </row>
    <row r="15" spans="1:69" s="270" customFormat="1" ht="13" x14ac:dyDescent="0.15">
      <c r="A15" s="269"/>
      <c r="C15" s="46"/>
      <c r="D15" s="297"/>
      <c r="E15" s="297"/>
      <c r="F15" s="298"/>
      <c r="G15" s="298"/>
      <c r="H15" s="298"/>
      <c r="I15" s="298"/>
      <c r="J15" s="298"/>
      <c r="K15" s="298"/>
      <c r="L15" s="298"/>
      <c r="M15" s="298"/>
      <c r="N15" s="298"/>
      <c r="O15" s="298"/>
      <c r="P15" s="298"/>
      <c r="Q15" s="294"/>
      <c r="R15" s="294"/>
      <c r="S15" s="294"/>
      <c r="T15" s="294"/>
      <c r="U15" s="294"/>
      <c r="V15" s="294"/>
      <c r="W15" s="294"/>
      <c r="X15" s="294"/>
      <c r="Y15" s="294"/>
      <c r="Z15" s="294"/>
      <c r="AA15" s="294"/>
      <c r="AB15" s="294"/>
      <c r="AC15" s="294"/>
      <c r="AD15" s="294"/>
      <c r="AE15" s="294"/>
      <c r="AF15" s="294"/>
    </row>
    <row r="16" spans="1:69" s="270" customFormat="1" ht="13" x14ac:dyDescent="0.15">
      <c r="A16" s="269"/>
      <c r="C16" s="46" t="s">
        <v>385</v>
      </c>
      <c r="D16" s="299"/>
      <c r="E16" s="299"/>
      <c r="F16" s="299">
        <f ca="1">OFFSET(PnL_Speadsheet!$A$7,0,MATCH(DATE('Saleplan&amp;PnL'!F$10,12,31),PnL_Speadsheet!$B$4:$BI$4,0))/1000</f>
        <v>1.9462162440671147</v>
      </c>
      <c r="G16" s="300"/>
      <c r="H16" s="299">
        <f ca="1">OFFSET(PnL_Speadsheet!$A$7,0,MATCH(DATE('Saleplan&amp;PnL'!H$10,12,31),PnL_Speadsheet!$B$4:$BI$4,0))/1000</f>
        <v>0</v>
      </c>
      <c r="I16" s="300"/>
      <c r="J16" s="299">
        <f ca="1">OFFSET(PnL_Speadsheet!$A$7,0,MATCH(DATE('Saleplan&amp;PnL'!J$10,12,31),PnL_Speadsheet!$B$4:$BI$4,0))/1000</f>
        <v>0</v>
      </c>
      <c r="K16" s="300"/>
      <c r="L16" s="299">
        <f ca="1">OFFSET(PnL_Speadsheet!$A$7,0,MATCH(DATE('Saleplan&amp;PnL'!L$10,12,31),PnL_Speadsheet!$B$4:$BI$4,0))/1000</f>
        <v>0</v>
      </c>
      <c r="M16" s="300"/>
      <c r="N16" s="299">
        <f ca="1">OFFSET(PnL_Speadsheet!$A$7,0,MATCH(DATE('Saleplan&amp;PnL'!N$10,12,31),PnL_Speadsheet!$B$4:$BI$4,0))/1000</f>
        <v>0</v>
      </c>
      <c r="O16" s="300"/>
      <c r="P16" s="299">
        <f ca="1">IFERROR(OFFSET(PnL_Speadsheet!$A$7,0,MATCH(DATE('Saleplan&amp;PnL'!P$10,12,31),PnL_Speadsheet!$B$4:$BI$4,0))/1000,0)</f>
        <v>0</v>
      </c>
      <c r="Q16" s="294"/>
      <c r="R16" s="294"/>
      <c r="S16" s="294"/>
      <c r="T16" s="294"/>
      <c r="U16" s="294"/>
      <c r="V16" s="294"/>
      <c r="W16" s="294"/>
      <c r="X16" s="294"/>
      <c r="Y16" s="294"/>
      <c r="Z16" s="294"/>
      <c r="AA16" s="294"/>
      <c r="AB16" s="294"/>
      <c r="AC16" s="294"/>
      <c r="AD16" s="294"/>
      <c r="AE16" s="294"/>
      <c r="AF16" s="294"/>
    </row>
    <row r="17" spans="1:32" s="270" customFormat="1" ht="13" x14ac:dyDescent="0.15">
      <c r="A17" s="269"/>
      <c r="C17" s="46" t="s">
        <v>386</v>
      </c>
      <c r="D17" s="301">
        <f ca="1">SUM(PnL_Speadsheet!B8:AK8)/1000/COUNT(PnL_Speadsheet!B3:AK3)</f>
        <v>2.4525877571372212</v>
      </c>
      <c r="E17" s="302"/>
      <c r="F17" s="301">
        <f ca="1">SUMIF(PnL_Speadsheet!$B$3:$BI$3,F$10,PnL_Speadsheet!$B8:$BI8)/1000/COUNTIF(PnL_Speadsheet!$B$3:$BI$3,'Saleplan&amp;PnL'!F$10)</f>
        <v>6.8732860876614188</v>
      </c>
      <c r="G17" s="302"/>
      <c r="H17" s="301">
        <f ca="1">SUMIF(PnL_Speadsheet!$B$3:$BI$3,H$10,PnL_Speadsheet!$B8:$BI8)/1000/COUNTIF(PnL_Speadsheet!$B$3:$BI$3,'Saleplan&amp;PnL'!H$10)</f>
        <v>0.48447718375024573</v>
      </c>
      <c r="I17" s="302"/>
      <c r="J17" s="301">
        <f ca="1">SUMIF(PnL_Speadsheet!$B$3:$BI$3,J$10,PnL_Speadsheet!$B8:$BI8)/1000/COUNTIF(PnL_Speadsheet!$B$3:$BI$3,'Saleplan&amp;PnL'!J$10)</f>
        <v>0</v>
      </c>
      <c r="K17" s="302"/>
      <c r="L17" s="301">
        <f ca="1">SUMIF(PnL_Speadsheet!$B$3:$BI$3,L$10,PnL_Speadsheet!$B8:$BI8)/1000/COUNTIF(PnL_Speadsheet!$B$3:$BI$3,'Saleplan&amp;PnL'!L$10)</f>
        <v>0</v>
      </c>
      <c r="M17" s="302"/>
      <c r="N17" s="301">
        <f ca="1">SUMIF(PnL_Speadsheet!$B$3:$BI$3,N$10,PnL_Speadsheet!$B8:$BI8)/1000/COUNTIF(PnL_Speadsheet!$B$3:$BI$3,'Saleplan&amp;PnL'!N$10)</f>
        <v>0</v>
      </c>
      <c r="O17" s="302"/>
      <c r="P17" s="301">
        <f>IFERROR(SUMIF(PnL_Speadsheet!$B$3:$BI$3,P$10,PnL_Speadsheet!$B8:$BI8)/1000/COUNTIF(PnL_Speadsheet!$B$3:$BI$3,'Saleplan&amp;PnL'!P$10),0)</f>
        <v>0</v>
      </c>
      <c r="Q17" s="294"/>
      <c r="R17" s="303"/>
      <c r="S17" s="303"/>
      <c r="T17" s="303"/>
      <c r="U17" s="303"/>
      <c r="V17" s="303"/>
      <c r="W17" s="303"/>
      <c r="X17" s="303"/>
      <c r="Y17" s="303"/>
      <c r="Z17" s="303"/>
      <c r="AA17" s="303"/>
      <c r="AB17" s="303"/>
      <c r="AC17" s="303"/>
      <c r="AD17" s="303"/>
      <c r="AE17" s="303"/>
      <c r="AF17" s="303"/>
    </row>
    <row r="18" spans="1:32" s="270" customFormat="1" ht="13" x14ac:dyDescent="0.15">
      <c r="A18" s="269"/>
      <c r="D18" s="297"/>
      <c r="E18" s="297"/>
      <c r="F18" s="297"/>
      <c r="G18" s="297"/>
      <c r="H18" s="297"/>
      <c r="I18" s="297"/>
      <c r="J18" s="297"/>
      <c r="K18" s="297"/>
      <c r="L18" s="297"/>
      <c r="M18" s="297"/>
      <c r="N18" s="297"/>
      <c r="O18" s="297"/>
      <c r="P18" s="297"/>
      <c r="Q18" s="294"/>
      <c r="R18" s="303"/>
      <c r="S18" s="303"/>
      <c r="T18" s="303"/>
      <c r="U18" s="303"/>
      <c r="V18" s="303"/>
      <c r="W18" s="303"/>
      <c r="X18" s="303"/>
      <c r="Y18" s="303"/>
      <c r="Z18" s="303"/>
      <c r="AA18" s="303"/>
      <c r="AB18" s="303"/>
      <c r="AC18" s="303"/>
      <c r="AD18" s="303"/>
      <c r="AE18" s="303"/>
      <c r="AF18" s="303"/>
    </row>
    <row r="19" spans="1:32" s="46" customFormat="1" ht="13" x14ac:dyDescent="0.15">
      <c r="A19" s="273"/>
      <c r="C19" s="46" t="s">
        <v>195</v>
      </c>
      <c r="D19" s="300">
        <f t="shared" ref="D19:D31" ca="1" si="2">SUM(F19:P19)</f>
        <v>1.8374354640579815</v>
      </c>
      <c r="E19" s="299"/>
      <c r="F19" s="299">
        <f ca="1">SUMIF(PnL_Speadsheet!$B$3:$BI$3,F$10,PnL_Speadsheet!$B9:$BI9)/1000</f>
        <v>1.8695850512042875</v>
      </c>
      <c r="G19" s="299"/>
      <c r="H19" s="299">
        <f ca="1">SUMIF(PnL_Speadsheet!$B$3:$BI$3,H$10,PnL_Speadsheet!$B9:$BI9)/1000</f>
        <v>-3.2149587146306009E-2</v>
      </c>
      <c r="I19" s="299"/>
      <c r="J19" s="299">
        <f ca="1">SUMIF(PnL_Speadsheet!$B$3:$BI$3,J$10,PnL_Speadsheet!$B9:$BI9)/1000</f>
        <v>0</v>
      </c>
      <c r="K19" s="299"/>
      <c r="L19" s="299">
        <f ca="1">SUMIF(PnL_Speadsheet!$B$3:$BI$3,L$10,PnL_Speadsheet!$B9:$BI9)/1000</f>
        <v>0</v>
      </c>
      <c r="M19" s="299"/>
      <c r="N19" s="299">
        <f ca="1">SUMIF(PnL_Speadsheet!$B$3:$BI$3,N$10,PnL_Speadsheet!$B9:$BI9)/1000</f>
        <v>0</v>
      </c>
      <c r="O19" s="299"/>
      <c r="P19" s="299">
        <f>SUMIF(PnL_Speadsheet!$B$3:$BI$3,P$10,PnL_Speadsheet!$B9:$BI9)/1000</f>
        <v>0</v>
      </c>
      <c r="Q19" s="294"/>
      <c r="R19" s="304"/>
      <c r="S19" s="304"/>
      <c r="T19" s="304"/>
      <c r="U19" s="304"/>
      <c r="V19" s="304"/>
      <c r="W19" s="304"/>
      <c r="X19" s="304"/>
      <c r="Y19" s="304"/>
      <c r="Z19" s="304"/>
      <c r="AA19" s="304"/>
      <c r="AB19" s="304"/>
      <c r="AC19" s="304"/>
      <c r="AD19" s="304"/>
      <c r="AE19" s="304"/>
      <c r="AF19" s="304"/>
    </row>
    <row r="20" spans="1:32" s="270" customFormat="1" ht="13" x14ac:dyDescent="0.15">
      <c r="A20" s="269"/>
      <c r="C20" s="305" t="s">
        <v>387</v>
      </c>
      <c r="D20" s="297">
        <f t="shared" ca="1" si="2"/>
        <v>1.6272083860802606</v>
      </c>
      <c r="E20" s="306"/>
      <c r="F20" s="298">
        <f ca="1">SUMIF(PnL_Speadsheet!$B$3:$BI$3,F$10,PnL_Speadsheet!$B11:$BI11)/1000</f>
        <v>1.6593579732265666</v>
      </c>
      <c r="G20" s="298"/>
      <c r="H20" s="298">
        <f ca="1">SUMIF(PnL_Speadsheet!$B$3:$BI$3,H$10,PnL_Speadsheet!$B11:$BI11)/1000</f>
        <v>-3.2149587146306009E-2</v>
      </c>
      <c r="I20" s="298"/>
      <c r="J20" s="298">
        <f ca="1">SUMIF(PnL_Speadsheet!$B$3:$BI$3,J$10,PnL_Speadsheet!$B11:$BI11)/1000</f>
        <v>0</v>
      </c>
      <c r="K20" s="298"/>
      <c r="L20" s="298">
        <f ca="1">SUMIF(PnL_Speadsheet!$B$3:$BI$3,L$10,PnL_Speadsheet!$B11:$BI11)/1000</f>
        <v>0</v>
      </c>
      <c r="M20" s="298"/>
      <c r="N20" s="298">
        <f ca="1">SUMIF(PnL_Speadsheet!$B$3:$BI$3,N$10,PnL_Speadsheet!$B11:$BI11)/1000</f>
        <v>0</v>
      </c>
      <c r="O20" s="298"/>
      <c r="P20" s="298">
        <f>SUMIF(PnL_Speadsheet!$B$3:$BI$3,P$10,PnL_Speadsheet!$B11:$BI11)/1000</f>
        <v>0</v>
      </c>
      <c r="Q20" s="294"/>
    </row>
    <row r="21" spans="1:32" s="270" customFormat="1" ht="13" x14ac:dyDescent="0.15">
      <c r="A21" s="269"/>
      <c r="C21" s="305" t="s">
        <v>388</v>
      </c>
      <c r="D21" s="297">
        <f t="shared" ca="1" si="2"/>
        <v>0.21022707797772067</v>
      </c>
      <c r="E21" s="306"/>
      <c r="F21" s="298">
        <f ca="1">SUMIF(PnL_Speadsheet!$B$3:$BI$3,F$10,PnL_Speadsheet!$B14:$BI14)/1000</f>
        <v>0.21022707797772067</v>
      </c>
      <c r="G21" s="298"/>
      <c r="H21" s="298">
        <f ca="1">SUMIF(PnL_Speadsheet!$B$3:$BI$3,H$10,PnL_Speadsheet!$B14:$BI14)/1000</f>
        <v>0</v>
      </c>
      <c r="I21" s="298"/>
      <c r="J21" s="298">
        <f ca="1">SUMIF(PnL_Speadsheet!$B$3:$BI$3,J$10,PnL_Speadsheet!$B14:$BI14)/1000</f>
        <v>0</v>
      </c>
      <c r="K21" s="298"/>
      <c r="L21" s="298">
        <f ca="1">SUMIF(PnL_Speadsheet!$B$3:$BI$3,L$10,PnL_Speadsheet!$B14:$BI14)/1000</f>
        <v>0</v>
      </c>
      <c r="M21" s="298"/>
      <c r="N21" s="298">
        <f ca="1">SUMIF(PnL_Speadsheet!$B$3:$BI$3,N$10,PnL_Speadsheet!$B14:$BI14)/1000</f>
        <v>0</v>
      </c>
      <c r="O21" s="298"/>
      <c r="P21" s="298">
        <f>SUMIF(PnL_Speadsheet!$B$3:$BI$3,P$10,PnL_Speadsheet!$B14:$BI14)/1000</f>
        <v>0</v>
      </c>
      <c r="Q21" s="294"/>
    </row>
    <row r="22" spans="1:32" s="270" customFormat="1" ht="13" x14ac:dyDescent="0.15">
      <c r="A22" s="269"/>
      <c r="C22" s="305" t="s">
        <v>389</v>
      </c>
      <c r="D22" s="297">
        <f t="shared" ca="1" si="2"/>
        <v>0</v>
      </c>
      <c r="E22" s="306"/>
      <c r="F22" s="298">
        <f ca="1">SUMIF(PnL_Speadsheet!$B$3:$BI$3,F$10,PnL_Speadsheet!$B18:$BI18)/1000</f>
        <v>0</v>
      </c>
      <c r="G22" s="298"/>
      <c r="H22" s="298">
        <f ca="1">SUMIF(PnL_Speadsheet!$B$3:$BI$3,H$10,PnL_Speadsheet!$B18:$BI18)/1000</f>
        <v>0</v>
      </c>
      <c r="I22" s="298"/>
      <c r="J22" s="298">
        <f ca="1">SUMIF(PnL_Speadsheet!$B$3:$BI$3,J$10,PnL_Speadsheet!$B18:$BI18)/1000</f>
        <v>0</v>
      </c>
      <c r="K22" s="298"/>
      <c r="L22" s="298">
        <f ca="1">SUMIF(PnL_Speadsheet!$B$3:$BI$3,L$10,PnL_Speadsheet!$B18:$BI18)/1000</f>
        <v>0</v>
      </c>
      <c r="M22" s="298"/>
      <c r="N22" s="298">
        <f ca="1">SUMIF(PnL_Speadsheet!$B$3:$BI$3,N$10,PnL_Speadsheet!$B18:$BI18)/1000</f>
        <v>0</v>
      </c>
      <c r="O22" s="298"/>
      <c r="P22" s="298">
        <f>SUMIF(PnL_Speadsheet!$B$3:$BI$3,P$10,PnL_Speadsheet!$B18:$BI18)/1000</f>
        <v>0</v>
      </c>
      <c r="Q22" s="294"/>
    </row>
    <row r="23" spans="1:32" s="46" customFormat="1" ht="13" x14ac:dyDescent="0.15">
      <c r="A23" s="273"/>
      <c r="C23" s="46" t="s">
        <v>201</v>
      </c>
      <c r="D23" s="300">
        <f t="shared" ca="1" si="2"/>
        <v>-1.8333046199821839</v>
      </c>
      <c r="E23" s="307"/>
      <c r="F23" s="299">
        <f ca="1">SUMIF(PnL_Speadsheet!$B$3:$BI$3,F$10,PnL_Speadsheet!$B31:$BI31)/1000</f>
        <v>-1.8193404261494595</v>
      </c>
      <c r="G23" s="299"/>
      <c r="H23" s="299">
        <f ca="1">SUMIF(PnL_Speadsheet!$B$3:$BI$3,H$10,PnL_Speadsheet!$B31:$BI31)/1000</f>
        <v>-1.3964193832724398E-2</v>
      </c>
      <c r="I23" s="299"/>
      <c r="J23" s="299">
        <f ca="1">SUMIF(PnL_Speadsheet!$B$3:$BI$3,J$10,PnL_Speadsheet!$B31:$BI31)/1000</f>
        <v>0</v>
      </c>
      <c r="K23" s="299"/>
      <c r="L23" s="299">
        <f ca="1">SUMIF(PnL_Speadsheet!$B$3:$BI$3,L$10,PnL_Speadsheet!$B31:$BI31)/1000</f>
        <v>0</v>
      </c>
      <c r="M23" s="299"/>
      <c r="N23" s="299">
        <f ca="1">SUMIF(PnL_Speadsheet!$B$3:$BI$3,N$10,PnL_Speadsheet!$B31:$BI31)/1000</f>
        <v>0</v>
      </c>
      <c r="O23" s="299"/>
      <c r="P23" s="299">
        <f>SUMIF(PnL_Speadsheet!$B$3:$BI$3,P$10,PnL_Speadsheet!$B31:$BI31)/1000</f>
        <v>0</v>
      </c>
      <c r="Q23" s="294"/>
    </row>
    <row r="24" spans="1:32" s="46" customFormat="1" ht="13" x14ac:dyDescent="0.15">
      <c r="A24" s="273"/>
      <c r="C24" s="46" t="s">
        <v>203</v>
      </c>
      <c r="D24" s="300">
        <f t="shared" ca="1" si="2"/>
        <v>-0.45935401010597482</v>
      </c>
      <c r="E24" s="307"/>
      <c r="F24" s="299">
        <f ca="1">SUMIF(PnL_Speadsheet!$B$3:$BI$3,F$10,PnL_Speadsheet!$B19:$BI19)/1000</f>
        <v>-0.45630714939786643</v>
      </c>
      <c r="G24" s="299"/>
      <c r="H24" s="299">
        <f ca="1">SUMIF(PnL_Speadsheet!$B$3:$BI$3,H$10,PnL_Speadsheet!$B19:$BI19)/1000</f>
        <v>-3.0468607081083937E-3</v>
      </c>
      <c r="I24" s="299"/>
      <c r="J24" s="299">
        <f ca="1">SUMIF(PnL_Speadsheet!$B$3:$BI$3,J$10,PnL_Speadsheet!$B19:$BI19)/1000</f>
        <v>0</v>
      </c>
      <c r="K24" s="299"/>
      <c r="L24" s="299">
        <f ca="1">SUMIF(PnL_Speadsheet!$B$3:$BI$3,L$10,PnL_Speadsheet!$B19:$BI19)/1000</f>
        <v>0</v>
      </c>
      <c r="M24" s="299"/>
      <c r="N24" s="299">
        <f ca="1">SUMIF(PnL_Speadsheet!$B$3:$BI$3,N$10,PnL_Speadsheet!$B19:$BI19)/1000</f>
        <v>0</v>
      </c>
      <c r="O24" s="299"/>
      <c r="P24" s="299">
        <f>SUMIF(PnL_Speadsheet!$B$3:$BI$3,P$10,PnL_Speadsheet!$B19:$BI19)/1000</f>
        <v>0</v>
      </c>
      <c r="Q24" s="294"/>
    </row>
    <row r="25" spans="1:32" s="270" customFormat="1" ht="13" x14ac:dyDescent="0.15">
      <c r="A25" s="269"/>
      <c r="C25" s="305" t="s">
        <v>390</v>
      </c>
      <c r="D25" s="297">
        <f t="shared" ca="1" si="2"/>
        <v>0</v>
      </c>
      <c r="E25" s="306"/>
      <c r="F25" s="298">
        <f ca="1">SUMIF(PnL_Speadsheet!$B$3:$BI$3,F$10,PnL_Speadsheet!$B21:$BI22)/1000</f>
        <v>0</v>
      </c>
      <c r="G25" s="298"/>
      <c r="H25" s="298">
        <f ca="1">SUMIF(PnL_Speadsheet!$B$3:$BI$3,H$10,PnL_Speadsheet!$B21:$BI22)/1000</f>
        <v>0</v>
      </c>
      <c r="I25" s="298"/>
      <c r="J25" s="298">
        <f ca="1">SUMIF(PnL_Speadsheet!$B$3:$BI$3,J$10,PnL_Speadsheet!$B21:$BI22)/1000</f>
        <v>0</v>
      </c>
      <c r="K25" s="298"/>
      <c r="L25" s="298">
        <f ca="1">SUMIF(PnL_Speadsheet!$B$3:$BI$3,L$10,PnL_Speadsheet!$B21:$BI22)/1000</f>
        <v>0</v>
      </c>
      <c r="M25" s="298"/>
      <c r="N25" s="298">
        <f ca="1">SUMIF(PnL_Speadsheet!$B$3:$BI$3,N$10,PnL_Speadsheet!$B21:$BI22)/1000</f>
        <v>0</v>
      </c>
      <c r="O25" s="298"/>
      <c r="P25" s="298">
        <f>SUMIF(PnL_Speadsheet!$B$3:$BI$3,P$10,PnL_Speadsheet!$B21:$BI22)/1000</f>
        <v>0</v>
      </c>
      <c r="Q25" s="294"/>
    </row>
    <row r="26" spans="1:32" s="270" customFormat="1" ht="13" x14ac:dyDescent="0.15">
      <c r="A26" s="269"/>
      <c r="C26" s="305" t="s">
        <v>228</v>
      </c>
      <c r="D26" s="297">
        <f t="shared" ca="1" si="2"/>
        <v>0</v>
      </c>
      <c r="E26" s="306"/>
      <c r="F26" s="298">
        <f ca="1">SUMIF(PnL_Speadsheet!$B$3:$BI$3,F$10,PnL_Speadsheet!$B22:$BI22)/1000</f>
        <v>0</v>
      </c>
      <c r="G26" s="298"/>
      <c r="H26" s="298">
        <f ca="1">SUMIF(PnL_Speadsheet!$B$3:$BI$3,H$10,PnL_Speadsheet!$B22:$BI22)/1000</f>
        <v>0</v>
      </c>
      <c r="I26" s="298"/>
      <c r="J26" s="298">
        <f ca="1">SUMIF(PnL_Speadsheet!$B$3:$BI$3,J$10,PnL_Speadsheet!$B22:$BI22)/1000</f>
        <v>0</v>
      </c>
      <c r="K26" s="298"/>
      <c r="L26" s="298">
        <f ca="1">SUMIF(PnL_Speadsheet!$B$3:$BI$3,L$10,PnL_Speadsheet!$B22:$BI22)/1000</f>
        <v>0</v>
      </c>
      <c r="M26" s="298"/>
      <c r="N26" s="298">
        <f ca="1">SUMIF(PnL_Speadsheet!$B$3:$BI$3,N$10,PnL_Speadsheet!$B22:$BI22)/1000</f>
        <v>0</v>
      </c>
      <c r="O26" s="298"/>
      <c r="P26" s="298">
        <f>SUMIF(PnL_Speadsheet!$B$3:$BI$3,P$10,PnL_Speadsheet!$B22:$BI22)/1000</f>
        <v>0</v>
      </c>
      <c r="Q26" s="294"/>
    </row>
    <row r="27" spans="1:32" s="270" customFormat="1" ht="13" x14ac:dyDescent="0.15">
      <c r="A27" s="269"/>
      <c r="C27" s="305" t="s">
        <v>205</v>
      </c>
      <c r="D27" s="297">
        <f t="shared" ca="1" si="2"/>
        <v>-2.0645888095542707E-2</v>
      </c>
      <c r="E27" s="306"/>
      <c r="F27" s="298">
        <f ca="1">SUMIF(PnL_Speadsheet!$B$3:$BI$3,F$10,PnL_Speadsheet!$B24:$BI24)/1000</f>
        <v>-2.0645888095542707E-2</v>
      </c>
      <c r="G27" s="298"/>
      <c r="H27" s="298">
        <f ca="1">SUMIF(PnL_Speadsheet!$B$3:$BI$3,H$10,PnL_Speadsheet!$B24:$BI24)/1000</f>
        <v>0</v>
      </c>
      <c r="I27" s="298"/>
      <c r="J27" s="298">
        <f ca="1">SUMIF(PnL_Speadsheet!$B$3:$BI$3,J$10,PnL_Speadsheet!$B24:$BI24)/1000</f>
        <v>0</v>
      </c>
      <c r="K27" s="298"/>
      <c r="L27" s="298">
        <f ca="1">SUMIF(PnL_Speadsheet!$B$3:$BI$3,L$10,PnL_Speadsheet!$B24:$BI24)/1000</f>
        <v>0</v>
      </c>
      <c r="M27" s="298"/>
      <c r="N27" s="298">
        <f ca="1">SUMIF(PnL_Speadsheet!$B$3:$BI$3,N$10,PnL_Speadsheet!$B24:$BI24)/1000</f>
        <v>0</v>
      </c>
      <c r="O27" s="298"/>
      <c r="P27" s="298">
        <f>SUMIF(PnL_Speadsheet!$B$3:$BI$3,P$10,PnL_Speadsheet!$B24:$BI24)/1000</f>
        <v>0</v>
      </c>
      <c r="Q27" s="294"/>
    </row>
    <row r="28" spans="1:32" s="270" customFormat="1" ht="13" x14ac:dyDescent="0.15">
      <c r="A28" s="269"/>
      <c r="C28" s="305" t="s">
        <v>109</v>
      </c>
      <c r="D28" s="297">
        <f t="shared" ca="1" si="2"/>
        <v>-4.4894402970022715E-2</v>
      </c>
      <c r="E28" s="306"/>
      <c r="F28" s="298">
        <f ca="1">SUMIF(PnL_Speadsheet!$B$3:$BI$3,F$10,PnL_Speadsheet!$B28:$BI28)/1000</f>
        <v>-4.1847542261914318E-2</v>
      </c>
      <c r="G28" s="298"/>
      <c r="H28" s="298">
        <f ca="1">SUMIF(PnL_Speadsheet!$B$3:$BI$3,H$10,PnL_Speadsheet!$B28:$BI28)/1000</f>
        <v>-3.0468607081083937E-3</v>
      </c>
      <c r="I28" s="298"/>
      <c r="J28" s="298">
        <f ca="1">SUMIF(PnL_Speadsheet!$B$3:$BI$3,J$10,PnL_Speadsheet!$B28:$BI28)/1000</f>
        <v>0</v>
      </c>
      <c r="K28" s="298"/>
      <c r="L28" s="298">
        <f ca="1">SUMIF(PnL_Speadsheet!$B$3:$BI$3,L$10,PnL_Speadsheet!$B28:$BI28)/1000</f>
        <v>0</v>
      </c>
      <c r="M28" s="298"/>
      <c r="N28" s="298">
        <f ca="1">SUMIF(PnL_Speadsheet!$B$3:$BI$3,N$10,PnL_Speadsheet!$B28:$BI28)/1000</f>
        <v>0</v>
      </c>
      <c r="O28" s="298"/>
      <c r="P28" s="298">
        <f>SUMIF(PnL_Speadsheet!$B$3:$BI$3,P$10,PnL_Speadsheet!$B28:$BI28)/1000</f>
        <v>0</v>
      </c>
      <c r="Q28" s="294"/>
    </row>
    <row r="29" spans="1:32" s="270" customFormat="1" ht="13" x14ac:dyDescent="0.15">
      <c r="A29" s="269"/>
      <c r="C29" s="305" t="s">
        <v>391</v>
      </c>
      <c r="D29" s="297">
        <f t="shared" ca="1" si="2"/>
        <v>-7.0210481451371331E-5</v>
      </c>
      <c r="E29" s="306"/>
      <c r="F29" s="298">
        <f ca="1">SUMIF(PnL_Speadsheet!$B$3:$BI$3,F$10,PnL_Speadsheet!$B29:$BI29)/1000</f>
        <v>-7.0210481451371331E-5</v>
      </c>
      <c r="G29" s="298"/>
      <c r="H29" s="298">
        <f ca="1">SUMIF(PnL_Speadsheet!$B$3:$BI$3,H$10,PnL_Speadsheet!$B29:$BI29)/1000</f>
        <v>0</v>
      </c>
      <c r="I29" s="298"/>
      <c r="J29" s="298">
        <f ca="1">SUMIF(PnL_Speadsheet!$B$3:$BI$3,J$10,PnL_Speadsheet!$B29:$BI29)/1000</f>
        <v>0</v>
      </c>
      <c r="K29" s="298"/>
      <c r="L29" s="298">
        <f ca="1">SUMIF(PnL_Speadsheet!$B$3:$BI$3,L$10,PnL_Speadsheet!$B29:$BI29)/1000</f>
        <v>0</v>
      </c>
      <c r="M29" s="298"/>
      <c r="N29" s="298">
        <f ca="1">SUMIF(PnL_Speadsheet!$B$3:$BI$3,N$10,PnL_Speadsheet!$B29:$BI29)/1000</f>
        <v>0</v>
      </c>
      <c r="O29" s="298"/>
      <c r="P29" s="298">
        <f>SUMIF(PnL_Speadsheet!$B$3:$BI$3,P$10,PnL_Speadsheet!$B29:$BI29)/1000</f>
        <v>0</v>
      </c>
      <c r="Q29" s="294"/>
    </row>
    <row r="30" spans="1:32" s="270" customFormat="1" ht="13" x14ac:dyDescent="0.15">
      <c r="A30" s="269"/>
      <c r="C30" s="305" t="s">
        <v>237</v>
      </c>
      <c r="D30" s="297">
        <f t="shared" ca="1" si="2"/>
        <v>-0.39374350855895818</v>
      </c>
      <c r="E30" s="306"/>
      <c r="F30" s="298">
        <f ca="1">SUMIF(PnL_Speadsheet!$B$3:$BI$3,F$10,PnL_Speadsheet!$B30:$BI30)/1000</f>
        <v>-0.39374350855895818</v>
      </c>
      <c r="G30" s="298"/>
      <c r="H30" s="298">
        <f ca="1">SUMIF(PnL_Speadsheet!$B$3:$BI$3,H$10,PnL_Speadsheet!$B30:$BI30)/1000</f>
        <v>0</v>
      </c>
      <c r="I30" s="298"/>
      <c r="J30" s="298">
        <f ca="1">SUMIF(PnL_Speadsheet!$B$3:$BI$3,J$10,PnL_Speadsheet!$B30:$BI30)/1000</f>
        <v>0</v>
      </c>
      <c r="K30" s="298"/>
      <c r="L30" s="298">
        <f ca="1">SUMIF(PnL_Speadsheet!$B$3:$BI$3,L$10,PnL_Speadsheet!$B30:$BI30)/1000</f>
        <v>0</v>
      </c>
      <c r="M30" s="298"/>
      <c r="N30" s="298">
        <f ca="1">SUMIF(PnL_Speadsheet!$B$3:$BI$3,N$10,PnL_Speadsheet!$B30:$BI30)/1000</f>
        <v>0</v>
      </c>
      <c r="O30" s="298"/>
      <c r="P30" s="298">
        <f>SUMIF(PnL_Speadsheet!$B$3:$BI$3,P$10,PnL_Speadsheet!$B30:$BI30)/1000</f>
        <v>0</v>
      </c>
      <c r="Q30" s="294"/>
    </row>
    <row r="31" spans="1:32" s="46" customFormat="1" ht="13" x14ac:dyDescent="0.15">
      <c r="A31" s="273"/>
      <c r="C31" s="46" t="s">
        <v>208</v>
      </c>
      <c r="D31" s="301">
        <f t="shared" ca="1" si="2"/>
        <v>-0.45522316603017704</v>
      </c>
      <c r="E31" s="308"/>
      <c r="F31" s="301">
        <f ca="1">SUMIF(PnL_Speadsheet!$B$3:$BI$3,F$10,PnL_Speadsheet!$B32:$BI32)/1000</f>
        <v>-0.40606252434303824</v>
      </c>
      <c r="G31" s="301"/>
      <c r="H31" s="301">
        <f ca="1">SUMIF(PnL_Speadsheet!$B$3:$BI$3,H$10,PnL_Speadsheet!$B32:$BI32)/1000</f>
        <v>-4.9160641687138809E-2</v>
      </c>
      <c r="I31" s="301"/>
      <c r="J31" s="301">
        <f ca="1">SUMIF(PnL_Speadsheet!$B$3:$BI$3,J$10,PnL_Speadsheet!$B32:$BI32)/1000</f>
        <v>0</v>
      </c>
      <c r="K31" s="301"/>
      <c r="L31" s="301">
        <f ca="1">SUMIF(PnL_Speadsheet!$B$3:$BI$3,L$10,PnL_Speadsheet!$B32:$BI32)/1000</f>
        <v>0</v>
      </c>
      <c r="M31" s="301"/>
      <c r="N31" s="301">
        <f ca="1">SUMIF(PnL_Speadsheet!$B$3:$BI$3,N$10,PnL_Speadsheet!$B32:$BI32)/1000</f>
        <v>0</v>
      </c>
      <c r="O31" s="301"/>
      <c r="P31" s="301">
        <f>SUMIF(PnL_Speadsheet!$B$3:$BI$3,P$10,PnL_Speadsheet!$B32:$BI32)/1000</f>
        <v>0</v>
      </c>
      <c r="Q31" s="294"/>
    </row>
    <row r="32" spans="1:32" s="270" customFormat="1" ht="13" x14ac:dyDescent="0.15">
      <c r="A32" s="269"/>
      <c r="C32" s="270" t="s">
        <v>392</v>
      </c>
      <c r="D32" s="309">
        <f ca="1">D19+D23+SUM(D25:D29)</f>
        <v>-6.1479657471219112E-2</v>
      </c>
      <c r="E32" s="310"/>
      <c r="F32" s="309">
        <f ca="1">F19+F23+SUM(F25:F29)</f>
        <v>-1.2319015784080317E-2</v>
      </c>
      <c r="G32" s="309"/>
      <c r="H32" s="309">
        <f ca="1">H19+H23+SUM(H25:H29)</f>
        <v>-4.9160641687138802E-2</v>
      </c>
      <c r="I32" s="309"/>
      <c r="J32" s="309">
        <f ca="1">J19+J23+SUM(J25:J29)</f>
        <v>0</v>
      </c>
      <c r="K32" s="309"/>
      <c r="L32" s="309">
        <f ca="1">L19+L23+SUM(L25:L29)</f>
        <v>0</v>
      </c>
      <c r="M32" s="309"/>
      <c r="N32" s="309">
        <f ca="1">N19+N23+SUM(N25:N29)</f>
        <v>0</v>
      </c>
      <c r="O32" s="309"/>
      <c r="P32" s="309">
        <f>P19+P23+SUM(P25:P29)</f>
        <v>0</v>
      </c>
      <c r="Q32" s="294"/>
    </row>
    <row r="33" spans="3:17" x14ac:dyDescent="0.15">
      <c r="C33" s="311"/>
      <c r="D33" s="312"/>
      <c r="F33" s="312"/>
      <c r="H33" s="312"/>
      <c r="J33" s="312"/>
      <c r="L33" s="312"/>
      <c r="N33" s="312"/>
      <c r="P33" s="312"/>
      <c r="Q33" s="313"/>
    </row>
    <row r="34" spans="3:17" x14ac:dyDescent="0.15">
      <c r="D34" s="312"/>
    </row>
  </sheetData>
  <pageMargins left="0.7" right="0.7" top="0.75" bottom="0.75" header="0.3" footer="0.3"/>
  <pageSetup orientation="landscape"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F28C8-B2E9-C048-881A-0A39523D0F67}">
  <sheetPr>
    <tabColor theme="4" tint="0.59999389629810485"/>
  </sheetPr>
  <dimension ref="A1:BJ136"/>
  <sheetViews>
    <sheetView showGridLines="0" zoomScale="101" zoomScaleNormal="70" workbookViewId="0">
      <pane xSplit="1" ySplit="6" topLeftCell="AH51" activePane="bottomRight" state="frozen"/>
      <selection activeCell="P3" sqref="P3"/>
      <selection pane="topRight" activeCell="P3" sqref="P3"/>
      <selection pane="bottomLeft" activeCell="P3" sqref="P3"/>
      <selection pane="bottomRight" activeCell="P3" sqref="P3"/>
    </sheetView>
  </sheetViews>
  <sheetFormatPr baseColWidth="10" defaultColWidth="9" defaultRowHeight="11" outlineLevelRow="1" x14ac:dyDescent="0.15"/>
  <cols>
    <col min="1" max="1" width="19.33203125" style="314" bestFit="1" customWidth="1"/>
    <col min="2" max="2" width="7.6640625" style="315" bestFit="1" customWidth="1"/>
    <col min="3" max="10" width="8.83203125" style="315" bestFit="1" customWidth="1"/>
    <col min="11" max="11" width="9.83203125" style="315" bestFit="1" customWidth="1"/>
    <col min="12" max="23" width="8.83203125" style="315" bestFit="1" customWidth="1"/>
    <col min="24" max="26" width="11.5" style="315" customWidth="1"/>
    <col min="27" max="30" width="8.83203125" style="315" bestFit="1" customWidth="1"/>
    <col min="31" max="36" width="8.1640625" style="315" bestFit="1" customWidth="1"/>
    <col min="37" max="37" width="8.1640625" style="315" customWidth="1"/>
    <col min="38" max="16384" width="9" style="315"/>
  </cols>
  <sheetData>
    <row r="1" spans="1:61" x14ac:dyDescent="0.15">
      <c r="A1" s="314" t="s">
        <v>393</v>
      </c>
      <c r="K1" s="316"/>
    </row>
    <row r="2" spans="1:61" x14ac:dyDescent="0.15">
      <c r="A2" s="314" t="s">
        <v>394</v>
      </c>
    </row>
    <row r="3" spans="1:61" x14ac:dyDescent="0.15">
      <c r="B3" s="317">
        <f t="shared" ref="B3:BI3" si="0">YEAR(B4)</f>
        <v>2025</v>
      </c>
      <c r="C3" s="317">
        <f t="shared" si="0"/>
        <v>2025</v>
      </c>
      <c r="D3" s="317">
        <f t="shared" si="0"/>
        <v>2025</v>
      </c>
      <c r="E3" s="317">
        <f t="shared" si="0"/>
        <v>2025</v>
      </c>
      <c r="F3" s="317">
        <f t="shared" si="0"/>
        <v>2025</v>
      </c>
      <c r="G3" s="317">
        <f t="shared" si="0"/>
        <v>2025</v>
      </c>
      <c r="H3" s="317">
        <f t="shared" si="0"/>
        <v>2025</v>
      </c>
      <c r="I3" s="317">
        <f t="shared" si="0"/>
        <v>2025</v>
      </c>
      <c r="J3" s="317">
        <f t="shared" si="0"/>
        <v>2025</v>
      </c>
      <c r="K3" s="317">
        <f t="shared" si="0"/>
        <v>2025</v>
      </c>
      <c r="L3" s="317">
        <f t="shared" si="0"/>
        <v>2025</v>
      </c>
      <c r="M3" s="317">
        <f t="shared" si="0"/>
        <v>2025</v>
      </c>
      <c r="N3" s="317">
        <f t="shared" si="0"/>
        <v>2026</v>
      </c>
      <c r="O3" s="317">
        <f t="shared" si="0"/>
        <v>2026</v>
      </c>
      <c r="P3" s="317">
        <f t="shared" si="0"/>
        <v>2026</v>
      </c>
      <c r="Q3" s="317">
        <f t="shared" si="0"/>
        <v>2026</v>
      </c>
      <c r="R3" s="317">
        <f t="shared" si="0"/>
        <v>2026</v>
      </c>
      <c r="S3" s="317">
        <f t="shared" si="0"/>
        <v>2026</v>
      </c>
      <c r="T3" s="317">
        <f t="shared" si="0"/>
        <v>2026</v>
      </c>
      <c r="U3" s="317">
        <f t="shared" si="0"/>
        <v>2026</v>
      </c>
      <c r="V3" s="317">
        <f t="shared" si="0"/>
        <v>2026</v>
      </c>
      <c r="W3" s="317">
        <f t="shared" si="0"/>
        <v>2026</v>
      </c>
      <c r="X3" s="317">
        <f t="shared" si="0"/>
        <v>2026</v>
      </c>
      <c r="Y3" s="317">
        <f t="shared" si="0"/>
        <v>2026</v>
      </c>
      <c r="Z3" s="317">
        <f t="shared" si="0"/>
        <v>2027</v>
      </c>
      <c r="AA3" s="317">
        <f t="shared" si="0"/>
        <v>2027</v>
      </c>
      <c r="AB3" s="317">
        <f t="shared" si="0"/>
        <v>2027</v>
      </c>
      <c r="AC3" s="317">
        <f t="shared" si="0"/>
        <v>2027</v>
      </c>
      <c r="AD3" s="317">
        <f t="shared" si="0"/>
        <v>2027</v>
      </c>
      <c r="AE3" s="317">
        <f t="shared" si="0"/>
        <v>2027</v>
      </c>
      <c r="AF3" s="317">
        <f t="shared" si="0"/>
        <v>2027</v>
      </c>
      <c r="AG3" s="317">
        <f t="shared" si="0"/>
        <v>2027</v>
      </c>
      <c r="AH3" s="317">
        <f t="shared" si="0"/>
        <v>2027</v>
      </c>
      <c r="AI3" s="317">
        <f t="shared" si="0"/>
        <v>2027</v>
      </c>
      <c r="AJ3" s="317">
        <f t="shared" si="0"/>
        <v>2027</v>
      </c>
      <c r="AK3" s="317">
        <f t="shared" si="0"/>
        <v>2027</v>
      </c>
      <c r="AL3" s="317">
        <f t="shared" si="0"/>
        <v>2028</v>
      </c>
      <c r="AM3" s="317">
        <f t="shared" si="0"/>
        <v>2028</v>
      </c>
      <c r="AN3" s="317">
        <f t="shared" si="0"/>
        <v>2028</v>
      </c>
      <c r="AO3" s="317">
        <f t="shared" si="0"/>
        <v>2028</v>
      </c>
      <c r="AP3" s="317">
        <f t="shared" si="0"/>
        <v>2028</v>
      </c>
      <c r="AQ3" s="317">
        <f t="shared" si="0"/>
        <v>2028</v>
      </c>
      <c r="AR3" s="317">
        <f t="shared" si="0"/>
        <v>2028</v>
      </c>
      <c r="AS3" s="317">
        <f t="shared" si="0"/>
        <v>2028</v>
      </c>
      <c r="AT3" s="317">
        <f t="shared" si="0"/>
        <v>2028</v>
      </c>
      <c r="AU3" s="317">
        <f t="shared" si="0"/>
        <v>2028</v>
      </c>
      <c r="AV3" s="317">
        <f t="shared" si="0"/>
        <v>2028</v>
      </c>
      <c r="AW3" s="317">
        <f t="shared" si="0"/>
        <v>2028</v>
      </c>
      <c r="AX3" s="317">
        <f t="shared" si="0"/>
        <v>2029</v>
      </c>
      <c r="AY3" s="317">
        <f t="shared" si="0"/>
        <v>2029</v>
      </c>
      <c r="AZ3" s="317">
        <f t="shared" si="0"/>
        <v>2029</v>
      </c>
      <c r="BA3" s="317">
        <f t="shared" si="0"/>
        <v>2029</v>
      </c>
      <c r="BB3" s="317">
        <f t="shared" si="0"/>
        <v>2029</v>
      </c>
      <c r="BC3" s="317">
        <f t="shared" si="0"/>
        <v>2029</v>
      </c>
      <c r="BD3" s="317">
        <f t="shared" si="0"/>
        <v>2029</v>
      </c>
      <c r="BE3" s="317">
        <f t="shared" si="0"/>
        <v>2029</v>
      </c>
      <c r="BF3" s="317">
        <f t="shared" si="0"/>
        <v>2029</v>
      </c>
      <c r="BG3" s="317">
        <f t="shared" si="0"/>
        <v>2029</v>
      </c>
      <c r="BH3" s="317">
        <f t="shared" si="0"/>
        <v>2029</v>
      </c>
      <c r="BI3" s="317">
        <f t="shared" si="0"/>
        <v>2029</v>
      </c>
    </row>
    <row r="4" spans="1:61" x14ac:dyDescent="0.15">
      <c r="A4" s="318" t="s">
        <v>375</v>
      </c>
      <c r="B4" s="319">
        <f>'Saleplan&amp;PnL'!D4</f>
        <v>45658</v>
      </c>
      <c r="C4" s="319">
        <f>'Saleplan&amp;PnL'!E4</f>
        <v>45716</v>
      </c>
      <c r="D4" s="319">
        <f>'Saleplan&amp;PnL'!F4</f>
        <v>45747</v>
      </c>
      <c r="E4" s="319">
        <f>'Saleplan&amp;PnL'!G4</f>
        <v>45777</v>
      </c>
      <c r="F4" s="319">
        <f>'Saleplan&amp;PnL'!H4</f>
        <v>45808</v>
      </c>
      <c r="G4" s="319">
        <f>'Saleplan&amp;PnL'!I4</f>
        <v>45838</v>
      </c>
      <c r="H4" s="319">
        <f>'Saleplan&amp;PnL'!J4</f>
        <v>45869</v>
      </c>
      <c r="I4" s="319">
        <f>'Saleplan&amp;PnL'!K4</f>
        <v>45900</v>
      </c>
      <c r="J4" s="319">
        <f>'Saleplan&amp;PnL'!L4</f>
        <v>45930</v>
      </c>
      <c r="K4" s="319">
        <f>'Saleplan&amp;PnL'!M4</f>
        <v>45961</v>
      </c>
      <c r="L4" s="319">
        <f>'Saleplan&amp;PnL'!N4</f>
        <v>45991</v>
      </c>
      <c r="M4" s="319">
        <f>'Saleplan&amp;PnL'!O4</f>
        <v>46022</v>
      </c>
      <c r="N4" s="319">
        <f>'Saleplan&amp;PnL'!P4</f>
        <v>46053</v>
      </c>
      <c r="O4" s="319">
        <f>'Saleplan&amp;PnL'!Q4</f>
        <v>46081</v>
      </c>
      <c r="P4" s="319">
        <f>'Saleplan&amp;PnL'!R4</f>
        <v>46112</v>
      </c>
      <c r="Q4" s="319">
        <f>'Saleplan&amp;PnL'!S4</f>
        <v>46142</v>
      </c>
      <c r="R4" s="319">
        <f>'Saleplan&amp;PnL'!T4</f>
        <v>46173</v>
      </c>
      <c r="S4" s="319">
        <f>'Saleplan&amp;PnL'!U4</f>
        <v>46203</v>
      </c>
      <c r="T4" s="319">
        <f>'Saleplan&amp;PnL'!V4</f>
        <v>46234</v>
      </c>
      <c r="U4" s="319">
        <f>'Saleplan&amp;PnL'!W4</f>
        <v>46265</v>
      </c>
      <c r="V4" s="319">
        <f>'Saleplan&amp;PnL'!X4</f>
        <v>46295</v>
      </c>
      <c r="W4" s="319">
        <f>'Saleplan&amp;PnL'!Y4</f>
        <v>46326</v>
      </c>
      <c r="X4" s="319">
        <f>'Saleplan&amp;PnL'!Z4</f>
        <v>46356</v>
      </c>
      <c r="Y4" s="319">
        <f>'Saleplan&amp;PnL'!AA4</f>
        <v>46387</v>
      </c>
      <c r="Z4" s="319">
        <f>'Saleplan&amp;PnL'!AB4</f>
        <v>46418</v>
      </c>
      <c r="AA4" s="319">
        <f>'Saleplan&amp;PnL'!AC4</f>
        <v>46446</v>
      </c>
      <c r="AB4" s="319">
        <f>'Saleplan&amp;PnL'!AD4</f>
        <v>46477</v>
      </c>
      <c r="AC4" s="319">
        <f>'Saleplan&amp;PnL'!AE4</f>
        <v>46507</v>
      </c>
      <c r="AD4" s="319">
        <f>'Saleplan&amp;PnL'!AF4</f>
        <v>46538</v>
      </c>
      <c r="AE4" s="319">
        <f>'Saleplan&amp;PnL'!AG4</f>
        <v>46568</v>
      </c>
      <c r="AF4" s="319">
        <f>'Saleplan&amp;PnL'!AH4</f>
        <v>46599</v>
      </c>
      <c r="AG4" s="319">
        <f>'Saleplan&amp;PnL'!AI4</f>
        <v>46630</v>
      </c>
      <c r="AH4" s="319">
        <f>'Saleplan&amp;PnL'!AJ4</f>
        <v>46660</v>
      </c>
      <c r="AI4" s="319">
        <f>'Saleplan&amp;PnL'!AK4</f>
        <v>46691</v>
      </c>
      <c r="AJ4" s="319">
        <f>'Saleplan&amp;PnL'!AL4</f>
        <v>46721</v>
      </c>
      <c r="AK4" s="319">
        <f>'Saleplan&amp;PnL'!AM4</f>
        <v>46752</v>
      </c>
      <c r="AL4" s="319">
        <f>'Saleplan&amp;PnL'!AN4</f>
        <v>46783</v>
      </c>
      <c r="AM4" s="319">
        <f>'Saleplan&amp;PnL'!AO4</f>
        <v>46812</v>
      </c>
      <c r="AN4" s="319">
        <f>'Saleplan&amp;PnL'!AP4</f>
        <v>46843</v>
      </c>
      <c r="AO4" s="319">
        <f>'Saleplan&amp;PnL'!AQ4</f>
        <v>46873</v>
      </c>
      <c r="AP4" s="319">
        <f>'Saleplan&amp;PnL'!AR4</f>
        <v>46904</v>
      </c>
      <c r="AQ4" s="319">
        <f>'Saleplan&amp;PnL'!AS4</f>
        <v>46934</v>
      </c>
      <c r="AR4" s="319">
        <f>'Saleplan&amp;PnL'!AT4</f>
        <v>46965</v>
      </c>
      <c r="AS4" s="319">
        <f>'Saleplan&amp;PnL'!AU4</f>
        <v>46996</v>
      </c>
      <c r="AT4" s="319">
        <f>'Saleplan&amp;PnL'!AV4</f>
        <v>47026</v>
      </c>
      <c r="AU4" s="319">
        <f>'Saleplan&amp;PnL'!AW4</f>
        <v>47057</v>
      </c>
      <c r="AV4" s="319">
        <f>'Saleplan&amp;PnL'!AX4</f>
        <v>47087</v>
      </c>
      <c r="AW4" s="319">
        <f>'Saleplan&amp;PnL'!AY4</f>
        <v>47118</v>
      </c>
      <c r="AX4" s="319">
        <f>'Saleplan&amp;PnL'!AZ4</f>
        <v>47149</v>
      </c>
      <c r="AY4" s="319">
        <f>'Saleplan&amp;PnL'!BA4</f>
        <v>47177</v>
      </c>
      <c r="AZ4" s="319">
        <f>'Saleplan&amp;PnL'!BB4</f>
        <v>47208</v>
      </c>
      <c r="BA4" s="319">
        <f>'Saleplan&amp;PnL'!BC4</f>
        <v>47238</v>
      </c>
      <c r="BB4" s="319">
        <f>'Saleplan&amp;PnL'!BD4</f>
        <v>47269</v>
      </c>
      <c r="BC4" s="319">
        <f>'Saleplan&amp;PnL'!BE4</f>
        <v>47299</v>
      </c>
      <c r="BD4" s="319">
        <f>'Saleplan&amp;PnL'!BF4</f>
        <v>47330</v>
      </c>
      <c r="BE4" s="319">
        <f>'Saleplan&amp;PnL'!BG4</f>
        <v>47361</v>
      </c>
      <c r="BF4" s="319">
        <f>'Saleplan&amp;PnL'!BH4</f>
        <v>47391</v>
      </c>
      <c r="BG4" s="319">
        <f>'Saleplan&amp;PnL'!BI4</f>
        <v>47422</v>
      </c>
      <c r="BH4" s="319">
        <f>'Saleplan&amp;PnL'!BJ4</f>
        <v>47452</v>
      </c>
      <c r="BI4" s="319">
        <f>'Saleplan&amp;PnL'!BK4</f>
        <v>47483</v>
      </c>
    </row>
    <row r="5" spans="1:61" s="314" customFormat="1" outlineLevel="1" x14ac:dyDescent="0.15">
      <c r="A5" s="320" t="s">
        <v>395</v>
      </c>
      <c r="B5" s="320">
        <v>1</v>
      </c>
      <c r="C5" s="320">
        <v>2</v>
      </c>
      <c r="D5" s="320">
        <v>3</v>
      </c>
      <c r="E5" s="320">
        <v>4</v>
      </c>
      <c r="F5" s="320">
        <v>5</v>
      </c>
      <c r="G5" s="320">
        <v>6</v>
      </c>
      <c r="H5" s="320">
        <v>7</v>
      </c>
      <c r="I5" s="320">
        <v>8</v>
      </c>
      <c r="J5" s="320">
        <v>9</v>
      </c>
      <c r="K5" s="320">
        <v>10</v>
      </c>
      <c r="L5" s="320">
        <v>11</v>
      </c>
      <c r="M5" s="320">
        <v>12</v>
      </c>
      <c r="N5" s="320">
        <v>13</v>
      </c>
      <c r="O5" s="320">
        <v>14</v>
      </c>
      <c r="P5" s="320">
        <v>15</v>
      </c>
      <c r="Q5" s="320">
        <v>16</v>
      </c>
      <c r="R5" s="320">
        <v>17</v>
      </c>
      <c r="S5" s="320">
        <v>18</v>
      </c>
      <c r="T5" s="320">
        <v>19</v>
      </c>
      <c r="U5" s="320">
        <v>20</v>
      </c>
      <c r="V5" s="320">
        <v>21</v>
      </c>
      <c r="W5" s="320">
        <v>22</v>
      </c>
      <c r="X5" s="320">
        <v>23</v>
      </c>
      <c r="Y5" s="320">
        <v>24</v>
      </c>
      <c r="Z5" s="320">
        <v>25</v>
      </c>
      <c r="AA5" s="320">
        <v>26</v>
      </c>
      <c r="AB5" s="320">
        <v>27</v>
      </c>
      <c r="AC5" s="320">
        <v>28</v>
      </c>
      <c r="AD5" s="320">
        <v>29</v>
      </c>
      <c r="AE5" s="320">
        <v>30</v>
      </c>
      <c r="AF5" s="320">
        <v>31</v>
      </c>
      <c r="AG5" s="320">
        <v>32</v>
      </c>
      <c r="AH5" s="320">
        <v>33</v>
      </c>
      <c r="AI5" s="320">
        <v>34</v>
      </c>
      <c r="AJ5" s="320">
        <v>35</v>
      </c>
      <c r="AK5" s="320">
        <v>36</v>
      </c>
      <c r="AL5" s="320">
        <f t="shared" ref="AL5:BI5" si="1">AK5+1</f>
        <v>37</v>
      </c>
      <c r="AM5" s="320">
        <f t="shared" si="1"/>
        <v>38</v>
      </c>
      <c r="AN5" s="320">
        <f t="shared" si="1"/>
        <v>39</v>
      </c>
      <c r="AO5" s="320">
        <f t="shared" si="1"/>
        <v>40</v>
      </c>
      <c r="AP5" s="320">
        <f t="shared" si="1"/>
        <v>41</v>
      </c>
      <c r="AQ5" s="320">
        <f t="shared" si="1"/>
        <v>42</v>
      </c>
      <c r="AR5" s="320">
        <f t="shared" si="1"/>
        <v>43</v>
      </c>
      <c r="AS5" s="320">
        <f t="shared" si="1"/>
        <v>44</v>
      </c>
      <c r="AT5" s="320">
        <f t="shared" si="1"/>
        <v>45</v>
      </c>
      <c r="AU5" s="320">
        <f t="shared" si="1"/>
        <v>46</v>
      </c>
      <c r="AV5" s="320">
        <f t="shared" si="1"/>
        <v>47</v>
      </c>
      <c r="AW5" s="320">
        <f t="shared" si="1"/>
        <v>48</v>
      </c>
      <c r="AX5" s="320">
        <f t="shared" si="1"/>
        <v>49</v>
      </c>
      <c r="AY5" s="320">
        <f t="shared" si="1"/>
        <v>50</v>
      </c>
      <c r="AZ5" s="320">
        <f t="shared" si="1"/>
        <v>51</v>
      </c>
      <c r="BA5" s="320">
        <f t="shared" si="1"/>
        <v>52</v>
      </c>
      <c r="BB5" s="320">
        <f t="shared" si="1"/>
        <v>53</v>
      </c>
      <c r="BC5" s="320">
        <f t="shared" si="1"/>
        <v>54</v>
      </c>
      <c r="BD5" s="320">
        <f t="shared" si="1"/>
        <v>55</v>
      </c>
      <c r="BE5" s="320">
        <f t="shared" si="1"/>
        <v>56</v>
      </c>
      <c r="BF5" s="320">
        <f t="shared" si="1"/>
        <v>57</v>
      </c>
      <c r="BG5" s="320">
        <f t="shared" si="1"/>
        <v>58</v>
      </c>
      <c r="BH5" s="320">
        <f t="shared" si="1"/>
        <v>59</v>
      </c>
      <c r="BI5" s="320">
        <f t="shared" si="1"/>
        <v>60</v>
      </c>
    </row>
    <row r="6" spans="1:61" x14ac:dyDescent="0.15">
      <c r="A6" s="315" t="s">
        <v>396</v>
      </c>
      <c r="K6" s="316"/>
    </row>
    <row r="7" spans="1:61" s="314" customFormat="1" x14ac:dyDescent="0.15">
      <c r="A7" s="314" t="s">
        <v>322</v>
      </c>
      <c r="B7" s="321" cm="1">
        <f t="array" aca="1" ref="B7" ca="1">SUMPRODUCT(B$55:B$114,TRANSPOSE(SAP_Speadsheet!$F$37:$BM$37))</f>
        <v>9903.389564752606</v>
      </c>
      <c r="C7" s="321" cm="1">
        <f t="array" aca="1" ref="C7" ca="1">SUMPRODUCT(C$55:C$114,TRANSPOSE(SAP_Speadsheet!$F$37:$BM$37))</f>
        <v>9553.8581683495722</v>
      </c>
      <c r="D7" s="321" cm="1">
        <f t="array" aca="1" ref="D7" ca="1">SUMPRODUCT(D$55:D$114,TRANSPOSE(SAP_Speadsheet!$F$37:$BM$37))</f>
        <v>9204.3267719465384</v>
      </c>
      <c r="E7" s="321" cm="1">
        <f t="array" aca="1" ref="E7" ca="1">SUMPRODUCT(E$55:E$114,TRANSPOSE(SAP_Speadsheet!$F$37:$BM$37))</f>
        <v>8854.7953755435065</v>
      </c>
      <c r="F7" s="321" cm="1">
        <f t="array" aca="1" ref="F7" ca="1">SUMPRODUCT(F$55:F$114,TRANSPOSE(SAP_Speadsheet!$F$37:$BM$37))</f>
        <v>8505.2639791404727</v>
      </c>
      <c r="G7" s="321" cm="1">
        <f t="array" aca="1" ref="G7" ca="1">SUMPRODUCT(G$55:G$114,TRANSPOSE(SAP_Speadsheet!$F$37:$BM$37))</f>
        <v>8155.7325827374398</v>
      </c>
      <c r="H7" s="321" cm="1">
        <f t="array" aca="1" ref="H7" ca="1">SUMPRODUCT(H$55:H$114,TRANSPOSE(SAP_Speadsheet!$F$37:$BM$37))</f>
        <v>7806.2011863344051</v>
      </c>
      <c r="I7" s="321" cm="1">
        <f t="array" aca="1" ref="I7" ca="1">SUMPRODUCT(I$55:I$114,TRANSPOSE(SAP_Speadsheet!$F$37:$BM$37))</f>
        <v>7456.6697899313713</v>
      </c>
      <c r="J7" s="321" cm="1">
        <f t="array" aca="1" ref="J7" ca="1">SUMPRODUCT(J$55:J$114,TRANSPOSE(SAP_Speadsheet!$F$37:$BM$37))</f>
        <v>2466.5142053206464</v>
      </c>
      <c r="K7" s="321" cm="1">
        <f t="array" aca="1" ref="K7" ca="1">SUMPRODUCT(K$55:K$114,TRANSPOSE(SAP_Speadsheet!$F$37:$BM$37))</f>
        <v>2078.8962990577484</v>
      </c>
      <c r="L7" s="321" cm="1">
        <f t="array" aca="1" ref="L7" ca="1">SUMPRODUCT(L$55:L$114,TRANSPOSE(SAP_Speadsheet!$F$37:$BM$37))</f>
        <v>1986.4298970744744</v>
      </c>
      <c r="M7" s="321" cm="1">
        <f t="array" aca="1" ref="M7" ca="1">SUMPRODUCT(M$55:M$114,TRANSPOSE(SAP_Speadsheet!$F$37:$BM$37))</f>
        <v>1946.2162440671148</v>
      </c>
      <c r="N7" s="321" cm="1">
        <f t="array" aca="1" ref="N7" ca="1">SUMPRODUCT(N$55:N$114,TRANSPOSE(SAP_Speadsheet!$F$37:$BM$37))</f>
        <v>1938.4356296606322</v>
      </c>
      <c r="O7" s="321" cm="1">
        <f t="array" aca="1" ref="O7" ca="1">SUMPRODUCT(O$55:O$114,TRANSPOSE(SAP_Speadsheet!$F$37:$BM$37))</f>
        <v>1934.7883022058393</v>
      </c>
      <c r="P7" s="321" cm="1">
        <f t="array" aca="1" ref="P7" ca="1">SUMPRODUCT(P$55:P$114,TRANSPOSE(SAP_Speadsheet!$F$37:$BM$37))</f>
        <v>1934.7883022058393</v>
      </c>
      <c r="Q7" s="321" cm="1">
        <f t="array" aca="1" ref="Q7" ca="1">SUMPRODUCT(Q$55:Q$114,TRANSPOSE(SAP_Speadsheet!$F$37:$BM$37))</f>
        <v>0</v>
      </c>
      <c r="R7" s="321" cm="1">
        <f t="array" aca="1" ref="R7" ca="1">SUMPRODUCT(R$55:R$114,TRANSPOSE(SAP_Speadsheet!$F$37:$BM$37))</f>
        <v>0</v>
      </c>
      <c r="S7" s="321" cm="1">
        <f t="array" aca="1" ref="S7" ca="1">SUMPRODUCT(S$55:S$114,TRANSPOSE(SAP_Speadsheet!$F$37:$BM$37))</f>
        <v>0</v>
      </c>
      <c r="T7" s="321" cm="1">
        <f t="array" aca="1" ref="T7" ca="1">SUMPRODUCT(T$55:T$114,TRANSPOSE(SAP_Speadsheet!$F$37:$BM$37))</f>
        <v>0</v>
      </c>
      <c r="U7" s="321" cm="1">
        <f t="array" aca="1" ref="U7" ca="1">SUMPRODUCT(U$55:U$114,TRANSPOSE(SAP_Speadsheet!$F$37:$BM$37))</f>
        <v>0</v>
      </c>
      <c r="V7" s="321" cm="1">
        <f t="array" aca="1" ref="V7" ca="1">SUMPRODUCT(V$55:V$114,TRANSPOSE(SAP_Speadsheet!$F$37:$BM$37))</f>
        <v>0</v>
      </c>
      <c r="W7" s="321" cm="1">
        <f t="array" aca="1" ref="W7" ca="1">SUMPRODUCT(W$55:W$114,TRANSPOSE(SAP_Speadsheet!$F$37:$BM$37))</f>
        <v>0</v>
      </c>
      <c r="X7" s="321" cm="1">
        <f t="array" aca="1" ref="X7" ca="1">SUMPRODUCT(X$55:X$114,TRANSPOSE(SAP_Speadsheet!$F$37:$BM$37))</f>
        <v>0</v>
      </c>
      <c r="Y7" s="321" cm="1">
        <f t="array" aca="1" ref="Y7" ca="1">SUMPRODUCT(Y$55:Y$114,TRANSPOSE(SAP_Speadsheet!$F$37:$BM$37))</f>
        <v>0</v>
      </c>
      <c r="Z7" s="321" cm="1">
        <f t="array" aca="1" ref="Z7" ca="1">SUMPRODUCT(Z$55:Z$114,TRANSPOSE(SAP_Speadsheet!$F$37:$BM$37))</f>
        <v>0</v>
      </c>
      <c r="AA7" s="321" cm="1">
        <f t="array" aca="1" ref="AA7" ca="1">SUMPRODUCT(AA$55:AA$114,TRANSPOSE(SAP_Speadsheet!$F$37:$BM$37))</f>
        <v>0</v>
      </c>
      <c r="AB7" s="321" cm="1">
        <f t="array" aca="1" ref="AB7" ca="1">SUMPRODUCT(AB$55:AB$114,TRANSPOSE(SAP_Speadsheet!$F$37:$BM$37))</f>
        <v>0</v>
      </c>
      <c r="AC7" s="321" cm="1">
        <f t="array" aca="1" ref="AC7" ca="1">SUMPRODUCT(AC$55:AC$114,TRANSPOSE(SAP_Speadsheet!$F$37:$BM$37))</f>
        <v>0</v>
      </c>
      <c r="AD7" s="321" cm="1">
        <f t="array" aca="1" ref="AD7" ca="1">SUMPRODUCT(AD$55:AD$114,TRANSPOSE(SAP_Speadsheet!$F$37:$BM$37))</f>
        <v>0</v>
      </c>
      <c r="AE7" s="321" cm="1">
        <f t="array" aca="1" ref="AE7" ca="1">SUMPRODUCT(AE$55:AE$114,TRANSPOSE(SAP_Speadsheet!$F$37:$BM$37))</f>
        <v>0</v>
      </c>
      <c r="AF7" s="321" cm="1">
        <f t="array" aca="1" ref="AF7" ca="1">SUMPRODUCT(AF$55:AF$114,TRANSPOSE(SAP_Speadsheet!$F$37:$BM$37))</f>
        <v>0</v>
      </c>
      <c r="AG7" s="321" cm="1">
        <f t="array" aca="1" ref="AG7" ca="1">SUMPRODUCT(AG$55:AG$114,TRANSPOSE(SAP_Speadsheet!$F$37:$BM$37))</f>
        <v>0</v>
      </c>
      <c r="AH7" s="321" cm="1">
        <f t="array" aca="1" ref="AH7" ca="1">SUMPRODUCT(AH$55:AH$114,TRANSPOSE(SAP_Speadsheet!$F$37:$BM$37))</f>
        <v>0</v>
      </c>
      <c r="AI7" s="321" cm="1">
        <f t="array" aca="1" ref="AI7" ca="1">SUMPRODUCT(AI$55:AI$114,TRANSPOSE(SAP_Speadsheet!$F$37:$BM$37))</f>
        <v>0</v>
      </c>
      <c r="AJ7" s="321" cm="1">
        <f t="array" aca="1" ref="AJ7" ca="1">SUMPRODUCT(AJ$55:AJ$114,TRANSPOSE(SAP_Speadsheet!$F$37:$BM$37))</f>
        <v>0</v>
      </c>
      <c r="AK7" s="321" cm="1">
        <f t="array" aca="1" ref="AK7" ca="1">SUMPRODUCT(AK$55:AK$114,TRANSPOSE(SAP_Speadsheet!$F$37:$BM$37))</f>
        <v>0</v>
      </c>
      <c r="AL7" s="321" cm="1">
        <f t="array" aca="1" ref="AL7" ca="1">SUMPRODUCT(AL$55:AL$114,TRANSPOSE(SAP_Speadsheet!$F$37:$BM$37))</f>
        <v>0</v>
      </c>
      <c r="AM7" s="321" cm="1">
        <f t="array" aca="1" ref="AM7" ca="1">SUMPRODUCT(AM$55:AM$114,TRANSPOSE(SAP_Speadsheet!$F$37:$BM$37))</f>
        <v>0</v>
      </c>
      <c r="AN7" s="321" cm="1">
        <f t="array" aca="1" ref="AN7" ca="1">SUMPRODUCT(AN$55:AN$114,TRANSPOSE(SAP_Speadsheet!$F$37:$BM$37))</f>
        <v>0</v>
      </c>
      <c r="AO7" s="321" cm="1">
        <f t="array" aca="1" ref="AO7" ca="1">SUMPRODUCT(AO$55:AO$114,TRANSPOSE(SAP_Speadsheet!$F$37:$BM$37))</f>
        <v>0</v>
      </c>
      <c r="AP7" s="321" cm="1">
        <f t="array" aca="1" ref="AP7" ca="1">SUMPRODUCT(AP$55:AP$114,TRANSPOSE(SAP_Speadsheet!$F$37:$BM$37))</f>
        <v>0</v>
      </c>
      <c r="AQ7" s="321" cm="1">
        <f t="array" aca="1" ref="AQ7" ca="1">SUMPRODUCT(AQ$55:AQ$114,TRANSPOSE(SAP_Speadsheet!$F$37:$BM$37))</f>
        <v>0</v>
      </c>
      <c r="AR7" s="321" cm="1">
        <f t="array" aca="1" ref="AR7" ca="1">SUMPRODUCT(AR$55:AR$114,TRANSPOSE(SAP_Speadsheet!$F$37:$BM$37))</f>
        <v>0</v>
      </c>
      <c r="AS7" s="321" cm="1">
        <f t="array" aca="1" ref="AS7" ca="1">SUMPRODUCT(AS$55:AS$114,TRANSPOSE(SAP_Speadsheet!$F$37:$BM$37))</f>
        <v>0</v>
      </c>
      <c r="AT7" s="321" cm="1">
        <f t="array" aca="1" ref="AT7" ca="1">SUMPRODUCT(AT$55:AT$114,TRANSPOSE(SAP_Speadsheet!$F$37:$BM$37))</f>
        <v>0</v>
      </c>
      <c r="AU7" s="321" cm="1">
        <f t="array" aca="1" ref="AU7" ca="1">SUMPRODUCT(AU$55:AU$114,TRANSPOSE(SAP_Speadsheet!$F$37:$BM$37))</f>
        <v>0</v>
      </c>
      <c r="AV7" s="321" cm="1">
        <f t="array" aca="1" ref="AV7" ca="1">SUMPRODUCT(AV$55:AV$114,TRANSPOSE(SAP_Speadsheet!$F$37:$BM$37))</f>
        <v>0</v>
      </c>
      <c r="AW7" s="321" cm="1">
        <f t="array" aca="1" ref="AW7" ca="1">SUMPRODUCT(AW$55:AW$114,TRANSPOSE(SAP_Speadsheet!$F$37:$BM$37))</f>
        <v>0</v>
      </c>
      <c r="AX7" s="321" cm="1">
        <f t="array" aca="1" ref="AX7" ca="1">SUMPRODUCT(AX$55:AX$114,TRANSPOSE(SAP_Speadsheet!$F$37:$BM$37))</f>
        <v>0</v>
      </c>
      <c r="AY7" s="321" cm="1">
        <f t="array" aca="1" ref="AY7" ca="1">SUMPRODUCT(AY$55:AY$114,TRANSPOSE(SAP_Speadsheet!$F$37:$BM$37))</f>
        <v>0</v>
      </c>
      <c r="AZ7" s="321" cm="1">
        <f t="array" aca="1" ref="AZ7" ca="1">SUMPRODUCT(AZ$55:AZ$114,TRANSPOSE(SAP_Speadsheet!$F$37:$BM$37))</f>
        <v>0</v>
      </c>
      <c r="BA7" s="321" cm="1">
        <f t="array" aca="1" ref="BA7" ca="1">SUMPRODUCT(BA$55:BA$114,TRANSPOSE(SAP_Speadsheet!$F$37:$BM$37))</f>
        <v>0</v>
      </c>
      <c r="BB7" s="321" cm="1">
        <f t="array" aca="1" ref="BB7" ca="1">SUMPRODUCT(BB$55:BB$114,TRANSPOSE(SAP_Speadsheet!$F$37:$BM$37))</f>
        <v>0</v>
      </c>
      <c r="BC7" s="321" cm="1">
        <f t="array" aca="1" ref="BC7" ca="1">SUMPRODUCT(BC$55:BC$114,TRANSPOSE(SAP_Speadsheet!$F$37:$BM$37))</f>
        <v>0</v>
      </c>
      <c r="BD7" s="321" cm="1">
        <f t="array" aca="1" ref="BD7" ca="1">SUMPRODUCT(BD$55:BD$114,TRANSPOSE(SAP_Speadsheet!$F$37:$BM$37))</f>
        <v>0</v>
      </c>
      <c r="BE7" s="321" cm="1">
        <f t="array" aca="1" ref="BE7" ca="1">SUMPRODUCT(BE$55:BE$114,TRANSPOSE(SAP_Speadsheet!$F$37:$BM$37))</f>
        <v>0</v>
      </c>
      <c r="BF7" s="321" cm="1">
        <f t="array" aca="1" ref="BF7" ca="1">SUMPRODUCT(BF$55:BF$114,TRANSPOSE(SAP_Speadsheet!$F$37:$BM$37))</f>
        <v>0</v>
      </c>
      <c r="BG7" s="321" cm="1">
        <f t="array" aca="1" ref="BG7" ca="1">SUMPRODUCT(BG$55:BG$114,TRANSPOSE(SAP_Speadsheet!$F$37:$BM$37))</f>
        <v>0</v>
      </c>
      <c r="BH7" s="321" cm="1">
        <f t="array" aca="1" ref="BH7" ca="1">SUMPRODUCT(BH$55:BH$114,TRANSPOSE(SAP_Speadsheet!$F$37:$BM$37))</f>
        <v>0</v>
      </c>
      <c r="BI7" s="321" cm="1">
        <f t="array" aca="1" ref="BI7" ca="1">SUMPRODUCT(BI$55:BI$114,TRANSPOSE(SAP_Speadsheet!$F$37:$BM$37))</f>
        <v>0</v>
      </c>
    </row>
    <row r="8" spans="1:61" s="314" customFormat="1" x14ac:dyDescent="0.15">
      <c r="A8" s="314" t="s">
        <v>193</v>
      </c>
      <c r="B8" s="321" cm="1">
        <f t="array" aca="1" ref="B8" ca="1">SUMPRODUCT(B$55:B$114,TRANSPOSE(SAP_Speadsheet!$F$43:$BM$43))</f>
        <v>10485.941892090994</v>
      </c>
      <c r="C8" s="321" cm="1">
        <f t="array" aca="1" ref="C8" ca="1">SUMPRODUCT(C$55:C$114,TRANSPOSE(SAP_Speadsheet!$F$43:$BM$43))</f>
        <v>9728.6238665510882</v>
      </c>
      <c r="D8" s="321" cm="1">
        <f t="array" aca="1" ref="D8" ca="1">SUMPRODUCT(D$55:D$114,TRANSPOSE(SAP_Speadsheet!$F$43:$BM$43))</f>
        <v>9379.0924701480562</v>
      </c>
      <c r="E8" s="321" cm="1">
        <f t="array" aca="1" ref="E8" ca="1">SUMPRODUCT(E$55:E$114,TRANSPOSE(SAP_Speadsheet!$F$43:$BM$43))</f>
        <v>9029.5610737450224</v>
      </c>
      <c r="F8" s="321" cm="1">
        <f t="array" aca="1" ref="F8" ca="1">SUMPRODUCT(F$55:F$114,TRANSPOSE(SAP_Speadsheet!$F$43:$BM$43))</f>
        <v>8680.0296773419886</v>
      </c>
      <c r="G8" s="321" cm="1">
        <f t="array" aca="1" ref="G8" ca="1">SUMPRODUCT(G$55:G$114,TRANSPOSE(SAP_Speadsheet!$F$43:$BM$43))</f>
        <v>8330.4982809389548</v>
      </c>
      <c r="H8" s="321" cm="1">
        <f t="array" aca="1" ref="H8" ca="1">SUMPRODUCT(H$55:H$114,TRANSPOSE(SAP_Speadsheet!$F$43:$BM$43))</f>
        <v>7980.966884535922</v>
      </c>
      <c r="I8" s="321" cm="1">
        <f t="array" aca="1" ref="I8" ca="1">SUMPRODUCT(I$55:I$114,TRANSPOSE(SAP_Speadsheet!$F$43:$BM$43))</f>
        <v>7631.4354881328882</v>
      </c>
      <c r="J8" s="321" cm="1">
        <f t="array" aca="1" ref="J8" ca="1">SUMPRODUCT(J$55:J$114,TRANSPOSE(SAP_Speadsheet!$F$43:$BM$43))</f>
        <v>4961.5919976260093</v>
      </c>
      <c r="K8" s="321" cm="1">
        <f t="array" aca="1" ref="K8" ca="1">SUMPRODUCT(K$55:K$114,TRANSPOSE(SAP_Speadsheet!$F$43:$BM$43))</f>
        <v>2272.7052521891974</v>
      </c>
      <c r="L8" s="321" cm="1">
        <f t="array" aca="1" ref="L8" ca="1">SUMPRODUCT(L$55:L$114,TRANSPOSE(SAP_Speadsheet!$F$43:$BM$43))</f>
        <v>2032.6630980661114</v>
      </c>
      <c r="M8" s="321" cm="1">
        <f t="array" aca="1" ref="M8" ca="1">SUMPRODUCT(M$55:M$114,TRANSPOSE(SAP_Speadsheet!$F$43:$BM$43))</f>
        <v>1966.3230705707947</v>
      </c>
      <c r="N8" s="321" cm="1">
        <f t="array" aca="1" ref="N8" ca="1">SUMPRODUCT(N$55:N$114,TRANSPOSE(SAP_Speadsheet!$F$43:$BM$43))</f>
        <v>1942.3259368638735</v>
      </c>
      <c r="O8" s="321" cm="1">
        <f t="array" aca="1" ref="O8" ca="1">SUMPRODUCT(O$55:O$114,TRANSPOSE(SAP_Speadsheet!$F$43:$BM$43))</f>
        <v>1936.6119659332358</v>
      </c>
      <c r="P8" s="321" cm="1">
        <f t="array" aca="1" ref="P8" ca="1">SUMPRODUCT(P$55:P$114,TRANSPOSE(SAP_Speadsheet!$F$43:$BM$43))</f>
        <v>1934.7883022058393</v>
      </c>
      <c r="Q8" s="321" cm="1">
        <f t="array" aca="1" ref="Q8" ca="1">SUMPRODUCT(Q$55:Q$114,TRANSPOSE(SAP_Speadsheet!$F$43:$BM$43))</f>
        <v>0</v>
      </c>
      <c r="R8" s="321" cm="1">
        <f t="array" aca="1" ref="R8" ca="1">SUMPRODUCT(R$55:R$114,TRANSPOSE(SAP_Speadsheet!$F$43:$BM$43))</f>
        <v>0</v>
      </c>
      <c r="S8" s="321" cm="1">
        <f t="array" aca="1" ref="S8" ca="1">SUMPRODUCT(S$55:S$114,TRANSPOSE(SAP_Speadsheet!$F$43:$BM$43))</f>
        <v>0</v>
      </c>
      <c r="T8" s="321" cm="1">
        <f t="array" aca="1" ref="T8" ca="1">SUMPRODUCT(T$55:T$114,TRANSPOSE(SAP_Speadsheet!$F$43:$BM$43))</f>
        <v>0</v>
      </c>
      <c r="U8" s="321" cm="1">
        <f t="array" aca="1" ref="U8" ca="1">SUMPRODUCT(U$55:U$114,TRANSPOSE(SAP_Speadsheet!$F$43:$BM$43))</f>
        <v>0</v>
      </c>
      <c r="V8" s="321" cm="1">
        <f t="array" aca="1" ref="V8" ca="1">SUMPRODUCT(V$55:V$114,TRANSPOSE(SAP_Speadsheet!$F$43:$BM$43))</f>
        <v>0</v>
      </c>
      <c r="W8" s="321" cm="1">
        <f t="array" aca="1" ref="W8" ca="1">SUMPRODUCT(W$55:W$114,TRANSPOSE(SAP_Speadsheet!$F$43:$BM$43))</f>
        <v>0</v>
      </c>
      <c r="X8" s="321" cm="1">
        <f t="array" aca="1" ref="X8" ca="1">SUMPRODUCT(X$55:X$114,TRANSPOSE(SAP_Speadsheet!$F$43:$BM$43))</f>
        <v>0</v>
      </c>
      <c r="Y8" s="321" cm="1">
        <f t="array" aca="1" ref="Y8" ca="1">SUMPRODUCT(Y$55:Y$114,TRANSPOSE(SAP_Speadsheet!$F$43:$BM$43))</f>
        <v>0</v>
      </c>
      <c r="Z8" s="321" cm="1">
        <f t="array" aca="1" ref="Z8" ca="1">SUMPRODUCT(Z$55:Z$114,TRANSPOSE(SAP_Speadsheet!$F$43:$BM$43))</f>
        <v>0</v>
      </c>
      <c r="AA8" s="321" cm="1">
        <f t="array" aca="1" ref="AA8" ca="1">SUMPRODUCT(AA$55:AA$114,TRANSPOSE(SAP_Speadsheet!$F$43:$BM$43))</f>
        <v>0</v>
      </c>
      <c r="AB8" s="321" cm="1">
        <f t="array" aca="1" ref="AB8" ca="1">SUMPRODUCT(AB$55:AB$114,TRANSPOSE(SAP_Speadsheet!$F$43:$BM$43))</f>
        <v>0</v>
      </c>
      <c r="AC8" s="321" cm="1">
        <f t="array" aca="1" ref="AC8" ca="1">SUMPRODUCT(AC$55:AC$114,TRANSPOSE(SAP_Speadsheet!$F$43:$BM$43))</f>
        <v>0</v>
      </c>
      <c r="AD8" s="321" cm="1">
        <f t="array" aca="1" ref="AD8" ca="1">SUMPRODUCT(AD$55:AD$114,TRANSPOSE(SAP_Speadsheet!$F$43:$BM$43))</f>
        <v>0</v>
      </c>
      <c r="AE8" s="321" cm="1">
        <f t="array" aca="1" ref="AE8" ca="1">SUMPRODUCT(AE$55:AE$114,TRANSPOSE(SAP_Speadsheet!$F$43:$BM$43))</f>
        <v>0</v>
      </c>
      <c r="AF8" s="321" cm="1">
        <f t="array" aca="1" ref="AF8" ca="1">SUMPRODUCT(AF$55:AF$114,TRANSPOSE(SAP_Speadsheet!$F$43:$BM$43))</f>
        <v>0</v>
      </c>
      <c r="AG8" s="321" cm="1">
        <f t="array" aca="1" ref="AG8" ca="1">SUMPRODUCT(AG$55:AG$114,TRANSPOSE(SAP_Speadsheet!$F$43:$BM$43))</f>
        <v>0</v>
      </c>
      <c r="AH8" s="321" cm="1">
        <f t="array" aca="1" ref="AH8" ca="1">SUMPRODUCT(AH$55:AH$114,TRANSPOSE(SAP_Speadsheet!$F$43:$BM$43))</f>
        <v>0</v>
      </c>
      <c r="AI8" s="321" cm="1">
        <f t="array" aca="1" ref="AI8" ca="1">SUMPRODUCT(AI$55:AI$114,TRANSPOSE(SAP_Speadsheet!$F$43:$BM$43))</f>
        <v>0</v>
      </c>
      <c r="AJ8" s="321" cm="1">
        <f t="array" aca="1" ref="AJ8" ca="1">SUMPRODUCT(AJ$55:AJ$114,TRANSPOSE(SAP_Speadsheet!$F$43:$BM$43))</f>
        <v>0</v>
      </c>
      <c r="AK8" s="321" cm="1">
        <f t="array" aca="1" ref="AK8" ca="1">SUMPRODUCT(AK$55:AK$114,TRANSPOSE(SAP_Speadsheet!$F$43:$BM$43))</f>
        <v>0</v>
      </c>
      <c r="AL8" s="321" cm="1">
        <f t="array" aca="1" ref="AL8" ca="1">SUMPRODUCT(AL$55:AL$114,TRANSPOSE(SAP_Speadsheet!$F$43:$BM$43))</f>
        <v>0</v>
      </c>
      <c r="AM8" s="321" cm="1">
        <f t="array" aca="1" ref="AM8" ca="1">SUMPRODUCT(AM$55:AM$114,TRANSPOSE(SAP_Speadsheet!$F$43:$BM$43))</f>
        <v>0</v>
      </c>
      <c r="AN8" s="321" cm="1">
        <f t="array" aca="1" ref="AN8" ca="1">SUMPRODUCT(AN$55:AN$114,TRANSPOSE(SAP_Speadsheet!$F$43:$BM$43))</f>
        <v>0</v>
      </c>
      <c r="AO8" s="321" cm="1">
        <f t="array" aca="1" ref="AO8" ca="1">SUMPRODUCT(AO$55:AO$114,TRANSPOSE(SAP_Speadsheet!$F$43:$BM$43))</f>
        <v>0</v>
      </c>
      <c r="AP8" s="321" cm="1">
        <f t="array" aca="1" ref="AP8" ca="1">SUMPRODUCT(AP$55:AP$114,TRANSPOSE(SAP_Speadsheet!$F$43:$BM$43))</f>
        <v>0</v>
      </c>
      <c r="AQ8" s="321" cm="1">
        <f t="array" aca="1" ref="AQ8" ca="1">SUMPRODUCT(AQ$55:AQ$114,TRANSPOSE(SAP_Speadsheet!$F$43:$BM$43))</f>
        <v>0</v>
      </c>
      <c r="AR8" s="321" cm="1">
        <f t="array" aca="1" ref="AR8" ca="1">SUMPRODUCT(AR$55:AR$114,TRANSPOSE(SAP_Speadsheet!$F$43:$BM$43))</f>
        <v>0</v>
      </c>
      <c r="AS8" s="321" cm="1">
        <f t="array" aca="1" ref="AS8" ca="1">SUMPRODUCT(AS$55:AS$114,TRANSPOSE(SAP_Speadsheet!$F$43:$BM$43))</f>
        <v>0</v>
      </c>
      <c r="AT8" s="321" cm="1">
        <f t="array" aca="1" ref="AT8" ca="1">SUMPRODUCT(AT$55:AT$114,TRANSPOSE(SAP_Speadsheet!$F$43:$BM$43))</f>
        <v>0</v>
      </c>
      <c r="AU8" s="321" cm="1">
        <f t="array" aca="1" ref="AU8" ca="1">SUMPRODUCT(AU$55:AU$114,TRANSPOSE(SAP_Speadsheet!$F$43:$BM$43))</f>
        <v>0</v>
      </c>
      <c r="AV8" s="321" cm="1">
        <f t="array" aca="1" ref="AV8" ca="1">SUMPRODUCT(AV$55:AV$114,TRANSPOSE(SAP_Speadsheet!$F$43:$BM$43))</f>
        <v>0</v>
      </c>
      <c r="AW8" s="321" cm="1">
        <f t="array" aca="1" ref="AW8" ca="1">SUMPRODUCT(AW$55:AW$114,TRANSPOSE(SAP_Speadsheet!$F$43:$BM$43))</f>
        <v>0</v>
      </c>
      <c r="AX8" s="321" cm="1">
        <f t="array" aca="1" ref="AX8" ca="1">SUMPRODUCT(AX$55:AX$114,TRANSPOSE(SAP_Speadsheet!$F$43:$BM$43))</f>
        <v>0</v>
      </c>
      <c r="AY8" s="321" cm="1">
        <f t="array" aca="1" ref="AY8" ca="1">SUMPRODUCT(AY$55:AY$114,TRANSPOSE(SAP_Speadsheet!$F$43:$BM$43))</f>
        <v>0</v>
      </c>
      <c r="AZ8" s="321" cm="1">
        <f t="array" aca="1" ref="AZ8" ca="1">SUMPRODUCT(AZ$55:AZ$114,TRANSPOSE(SAP_Speadsheet!$F$43:$BM$43))</f>
        <v>0</v>
      </c>
      <c r="BA8" s="321" cm="1">
        <f t="array" aca="1" ref="BA8" ca="1">SUMPRODUCT(BA$55:BA$114,TRANSPOSE(SAP_Speadsheet!$F$43:$BM$43))</f>
        <v>0</v>
      </c>
      <c r="BB8" s="321" cm="1">
        <f t="array" aca="1" ref="BB8" ca="1">SUMPRODUCT(BB$55:BB$114,TRANSPOSE(SAP_Speadsheet!$F$43:$BM$43))</f>
        <v>0</v>
      </c>
      <c r="BC8" s="321" cm="1">
        <f t="array" aca="1" ref="BC8" ca="1">SUMPRODUCT(BC$55:BC$114,TRANSPOSE(SAP_Speadsheet!$F$43:$BM$43))</f>
        <v>0</v>
      </c>
      <c r="BD8" s="321" cm="1">
        <f t="array" aca="1" ref="BD8" ca="1">SUMPRODUCT(BD$55:BD$114,TRANSPOSE(SAP_Speadsheet!$F$43:$BM$43))</f>
        <v>0</v>
      </c>
      <c r="BE8" s="321" cm="1">
        <f t="array" aca="1" ref="BE8" ca="1">SUMPRODUCT(BE$55:BE$114,TRANSPOSE(SAP_Speadsheet!$F$43:$BM$43))</f>
        <v>0</v>
      </c>
      <c r="BF8" s="321" cm="1">
        <f t="array" aca="1" ref="BF8" ca="1">SUMPRODUCT(BF$55:BF$114,TRANSPOSE(SAP_Speadsheet!$F$43:$BM$43))</f>
        <v>0</v>
      </c>
      <c r="BG8" s="321" cm="1">
        <f t="array" aca="1" ref="BG8" ca="1">SUMPRODUCT(BG$55:BG$114,TRANSPOSE(SAP_Speadsheet!$F$43:$BM$43))</f>
        <v>0</v>
      </c>
      <c r="BH8" s="321" cm="1">
        <f t="array" aca="1" ref="BH8" ca="1">SUMPRODUCT(BH$55:BH$114,TRANSPOSE(SAP_Speadsheet!$F$43:$BM$43))</f>
        <v>0</v>
      </c>
      <c r="BI8" s="321" cm="1">
        <f t="array" aca="1" ref="BI8" ca="1">SUMPRODUCT(BI$55:BI$114,TRANSPOSE(SAP_Speadsheet!$F$43:$BM$43))</f>
        <v>0</v>
      </c>
    </row>
    <row r="9" spans="1:61" s="314" customFormat="1" x14ac:dyDescent="0.15">
      <c r="A9" s="314" t="s">
        <v>195</v>
      </c>
      <c r="B9" s="321" cm="1">
        <f t="array" aca="1" ref="B9" ca="1">SUMPRODUCT(B$55:B$114,TRANSPOSE(SAP_Speadsheet!$F$48:$BM$48))</f>
        <v>467.84793201980455</v>
      </c>
      <c r="C9" s="321" cm="1">
        <f t="array" aca="1" ref="C9" ca="1">SUMPRODUCT(C$55:C$114,TRANSPOSE(SAP_Speadsheet!$F$48:$BM$48))</f>
        <v>222.29767316428027</v>
      </c>
      <c r="D9" s="321" cm="1">
        <f t="array" aca="1" ref="D9" ca="1">SUMPRODUCT(D$55:D$114,TRANSPOSE(SAP_Speadsheet!$F$48:$BM$48))</f>
        <v>208.7617404945286</v>
      </c>
      <c r="E9" s="321" cm="1">
        <f t="array" aca="1" ref="E9" ca="1">SUMPRODUCT(E$55:E$114,TRANSPOSE(SAP_Speadsheet!$F$48:$BM$48))</f>
        <v>195.72299937276878</v>
      </c>
      <c r="F9" s="321" cm="1">
        <f t="array" aca="1" ref="F9" ca="1">SUMPRODUCT(F$55:F$114,TRANSPOSE(SAP_Speadsheet!$F$48:$BM$48))</f>
        <v>183.08092241711515</v>
      </c>
      <c r="G9" s="321" cm="1">
        <f t="array" aca="1" ref="G9" ca="1">SUMPRODUCT(G$55:G$114,TRANSPOSE(SAP_Speadsheet!$F$48:$BM$48))</f>
        <v>170.76450276665491</v>
      </c>
      <c r="H9" s="321" cm="1">
        <f t="array" aca="1" ref="H9" ca="1">SUMPRODUCT(H$55:H$114,TRANSPOSE(SAP_Speadsheet!$F$48:$BM$48))</f>
        <v>158.73920178328788</v>
      </c>
      <c r="I9" s="321" cm="1">
        <f t="array" aca="1" ref="I9" ca="1">SUMPRODUCT(I$55:I$114,TRANSPOSE(SAP_Speadsheet!$F$48:$BM$48))</f>
        <v>146.97090078614423</v>
      </c>
      <c r="J9" s="321" cm="1">
        <f t="array" aca="1" ref="J9" ca="1">SUMPRODUCT(J$55:J$114,TRANSPOSE(SAP_Speadsheet!$F$48:$BM$48))</f>
        <v>148.28840677265555</v>
      </c>
      <c r="K9" s="321" cm="1">
        <f t="array" aca="1" ref="K9" ca="1">SUMPRODUCT(K$55:K$114,TRANSPOSE(SAP_Speadsheet!$F$48:$BM$48))</f>
        <v>-10.775054125319384</v>
      </c>
      <c r="L9" s="321" cm="1">
        <f t="array" aca="1" ref="L9" ca="1">SUMPRODUCT(L$55:L$114,TRANSPOSE(SAP_Speadsheet!$F$48:$BM$48))</f>
        <v>-11.24051548112484</v>
      </c>
      <c r="M9" s="321" cm="1">
        <f t="array" aca="1" ref="M9" ca="1">SUMPRODUCT(M$55:M$114,TRANSPOSE(SAP_Speadsheet!$F$48:$BM$48))</f>
        <v>-10.873658766508033</v>
      </c>
      <c r="N9" s="321" cm="1">
        <f t="array" aca="1" ref="N9" ca="1">SUMPRODUCT(N$55:N$114,TRANSPOSE(SAP_Speadsheet!$F$48:$BM$48))</f>
        <v>-10.740955932874707</v>
      </c>
      <c r="O9" s="321" cm="1">
        <f t="array" aca="1" ref="O9" ca="1">SUMPRODUCT(O$55:O$114,TRANSPOSE(SAP_Speadsheet!$F$48:$BM$48))</f>
        <v>-10.709357986926044</v>
      </c>
      <c r="P9" s="321" cm="1">
        <f t="array" aca="1" ref="P9" ca="1">SUMPRODUCT(P$55:P$114,TRANSPOSE(SAP_Speadsheet!$F$48:$BM$48))</f>
        <v>-10.699273226505261</v>
      </c>
      <c r="Q9" s="321" cm="1">
        <f t="array" aca="1" ref="Q9" ca="1">SUMPRODUCT(Q$55:Q$114,TRANSPOSE(SAP_Speadsheet!$F$48:$BM$48))</f>
        <v>0</v>
      </c>
      <c r="R9" s="321" cm="1">
        <f t="array" aca="1" ref="R9" ca="1">SUMPRODUCT(R$55:R$114,TRANSPOSE(SAP_Speadsheet!$F$48:$BM$48))</f>
        <v>0</v>
      </c>
      <c r="S9" s="321" cm="1">
        <f t="array" aca="1" ref="S9" ca="1">SUMPRODUCT(S$55:S$114,TRANSPOSE(SAP_Speadsheet!$F$48:$BM$48))</f>
        <v>0</v>
      </c>
      <c r="T9" s="321" cm="1">
        <f t="array" aca="1" ref="T9" ca="1">SUMPRODUCT(T$55:T$114,TRANSPOSE(SAP_Speadsheet!$F$48:$BM$48))</f>
        <v>0</v>
      </c>
      <c r="U9" s="321" cm="1">
        <f t="array" aca="1" ref="U9" ca="1">SUMPRODUCT(U$55:U$114,TRANSPOSE(SAP_Speadsheet!$F$48:$BM$48))</f>
        <v>0</v>
      </c>
      <c r="V9" s="321" cm="1">
        <f t="array" aca="1" ref="V9" ca="1">SUMPRODUCT(V$55:V$114,TRANSPOSE(SAP_Speadsheet!$F$48:$BM$48))</f>
        <v>0</v>
      </c>
      <c r="W9" s="321" cm="1">
        <f t="array" aca="1" ref="W9" ca="1">SUMPRODUCT(W$55:W$114,TRANSPOSE(SAP_Speadsheet!$F$48:$BM$48))</f>
        <v>0</v>
      </c>
      <c r="X9" s="321" cm="1">
        <f t="array" aca="1" ref="X9" ca="1">SUMPRODUCT(X$55:X$114,TRANSPOSE(SAP_Speadsheet!$F$48:$BM$48))</f>
        <v>0</v>
      </c>
      <c r="Y9" s="321" cm="1">
        <f t="array" aca="1" ref="Y9" ca="1">SUMPRODUCT(Y$55:Y$114,TRANSPOSE(SAP_Speadsheet!$F$48:$BM$48))</f>
        <v>0</v>
      </c>
      <c r="Z9" s="321" cm="1">
        <f t="array" aca="1" ref="Z9" ca="1">SUMPRODUCT(Z$55:Z$114,TRANSPOSE(SAP_Speadsheet!$F$48:$BM$48))</f>
        <v>0</v>
      </c>
      <c r="AA9" s="321" cm="1">
        <f t="array" aca="1" ref="AA9" ca="1">SUMPRODUCT(AA$55:AA$114,TRANSPOSE(SAP_Speadsheet!$F$48:$BM$48))</f>
        <v>0</v>
      </c>
      <c r="AB9" s="321" cm="1">
        <f t="array" aca="1" ref="AB9" ca="1">SUMPRODUCT(AB$55:AB$114,TRANSPOSE(SAP_Speadsheet!$F$48:$BM$48))</f>
        <v>0</v>
      </c>
      <c r="AC9" s="321" cm="1">
        <f t="array" aca="1" ref="AC9" ca="1">SUMPRODUCT(AC$55:AC$114,TRANSPOSE(SAP_Speadsheet!$F$48:$BM$48))</f>
        <v>0</v>
      </c>
      <c r="AD9" s="321" cm="1">
        <f t="array" aca="1" ref="AD9" ca="1">SUMPRODUCT(AD$55:AD$114,TRANSPOSE(SAP_Speadsheet!$F$48:$BM$48))</f>
        <v>0</v>
      </c>
      <c r="AE9" s="321" cm="1">
        <f t="array" aca="1" ref="AE9" ca="1">SUMPRODUCT(AE$55:AE$114,TRANSPOSE(SAP_Speadsheet!$F$48:$BM$48))</f>
        <v>0</v>
      </c>
      <c r="AF9" s="321" cm="1">
        <f t="array" aca="1" ref="AF9" ca="1">SUMPRODUCT(AF$55:AF$114,TRANSPOSE(SAP_Speadsheet!$F$48:$BM$48))</f>
        <v>0</v>
      </c>
      <c r="AG9" s="321" cm="1">
        <f t="array" aca="1" ref="AG9" ca="1">SUMPRODUCT(AG$55:AG$114,TRANSPOSE(SAP_Speadsheet!$F$48:$BM$48))</f>
        <v>0</v>
      </c>
      <c r="AH9" s="321" cm="1">
        <f t="array" aca="1" ref="AH9" ca="1">SUMPRODUCT(AH$55:AH$114,TRANSPOSE(SAP_Speadsheet!$F$48:$BM$48))</f>
        <v>0</v>
      </c>
      <c r="AI9" s="321" cm="1">
        <f t="array" aca="1" ref="AI9" ca="1">SUMPRODUCT(AI$55:AI$114,TRANSPOSE(SAP_Speadsheet!$F$48:$BM$48))</f>
        <v>0</v>
      </c>
      <c r="AJ9" s="321" cm="1">
        <f t="array" aca="1" ref="AJ9" ca="1">SUMPRODUCT(AJ$55:AJ$114,TRANSPOSE(SAP_Speadsheet!$F$48:$BM$48))</f>
        <v>0</v>
      </c>
      <c r="AK9" s="321" cm="1">
        <f t="array" aca="1" ref="AK9" ca="1">SUMPRODUCT(AK$55:AK$114,TRANSPOSE(SAP_Speadsheet!$F$48:$BM$48))</f>
        <v>0</v>
      </c>
      <c r="AL9" s="321" cm="1">
        <f t="array" aca="1" ref="AL9" ca="1">SUMPRODUCT(AL$55:AL$114,TRANSPOSE(SAP_Speadsheet!$F$48:$BM$48))</f>
        <v>0</v>
      </c>
      <c r="AM9" s="321" cm="1">
        <f t="array" aca="1" ref="AM9" ca="1">SUMPRODUCT(AM$55:AM$114,TRANSPOSE(SAP_Speadsheet!$F$48:$BM$48))</f>
        <v>0</v>
      </c>
      <c r="AN9" s="321" cm="1">
        <f t="array" aca="1" ref="AN9" ca="1">SUMPRODUCT(AN$55:AN$114,TRANSPOSE(SAP_Speadsheet!$F$48:$BM$48))</f>
        <v>0</v>
      </c>
      <c r="AO9" s="321" cm="1">
        <f t="array" aca="1" ref="AO9" ca="1">SUMPRODUCT(AO$55:AO$114,TRANSPOSE(SAP_Speadsheet!$F$48:$BM$48))</f>
        <v>0</v>
      </c>
      <c r="AP9" s="321" cm="1">
        <f t="array" aca="1" ref="AP9" ca="1">SUMPRODUCT(AP$55:AP$114,TRANSPOSE(SAP_Speadsheet!$F$48:$BM$48))</f>
        <v>0</v>
      </c>
      <c r="AQ9" s="321" cm="1">
        <f t="array" aca="1" ref="AQ9" ca="1">SUMPRODUCT(AQ$55:AQ$114,TRANSPOSE(SAP_Speadsheet!$F$48:$BM$48))</f>
        <v>0</v>
      </c>
      <c r="AR9" s="321" cm="1">
        <f t="array" aca="1" ref="AR9" ca="1">SUMPRODUCT(AR$55:AR$114,TRANSPOSE(SAP_Speadsheet!$F$48:$BM$48))</f>
        <v>0</v>
      </c>
      <c r="AS9" s="321" cm="1">
        <f t="array" aca="1" ref="AS9" ca="1">SUMPRODUCT(AS$55:AS$114,TRANSPOSE(SAP_Speadsheet!$F$48:$BM$48))</f>
        <v>0</v>
      </c>
      <c r="AT9" s="321" cm="1">
        <f t="array" aca="1" ref="AT9" ca="1">SUMPRODUCT(AT$55:AT$114,TRANSPOSE(SAP_Speadsheet!$F$48:$BM$48))</f>
        <v>0</v>
      </c>
      <c r="AU9" s="321" cm="1">
        <f t="array" aca="1" ref="AU9" ca="1">SUMPRODUCT(AU$55:AU$114,TRANSPOSE(SAP_Speadsheet!$F$48:$BM$48))</f>
        <v>0</v>
      </c>
      <c r="AV9" s="321" cm="1">
        <f t="array" aca="1" ref="AV9" ca="1">SUMPRODUCT(AV$55:AV$114,TRANSPOSE(SAP_Speadsheet!$F$48:$BM$48))</f>
        <v>0</v>
      </c>
      <c r="AW9" s="321" cm="1">
        <f t="array" aca="1" ref="AW9" ca="1">SUMPRODUCT(AW$55:AW$114,TRANSPOSE(SAP_Speadsheet!$F$48:$BM$48))</f>
        <v>0</v>
      </c>
      <c r="AX9" s="321" cm="1">
        <f t="array" aca="1" ref="AX9" ca="1">SUMPRODUCT(AX$55:AX$114,TRANSPOSE(SAP_Speadsheet!$F$48:$BM$48))</f>
        <v>0</v>
      </c>
      <c r="AY9" s="321" cm="1">
        <f t="array" aca="1" ref="AY9" ca="1">SUMPRODUCT(AY$55:AY$114,TRANSPOSE(SAP_Speadsheet!$F$48:$BM$48))</f>
        <v>0</v>
      </c>
      <c r="AZ9" s="321" cm="1">
        <f t="array" aca="1" ref="AZ9" ca="1">SUMPRODUCT(AZ$55:AZ$114,TRANSPOSE(SAP_Speadsheet!$F$48:$BM$48))</f>
        <v>0</v>
      </c>
      <c r="BA9" s="321" cm="1">
        <f t="array" aca="1" ref="BA9" ca="1">SUMPRODUCT(BA$55:BA$114,TRANSPOSE(SAP_Speadsheet!$F$48:$BM$48))</f>
        <v>0</v>
      </c>
      <c r="BB9" s="321" cm="1">
        <f t="array" aca="1" ref="BB9" ca="1">SUMPRODUCT(BB$55:BB$114,TRANSPOSE(SAP_Speadsheet!$F$48:$BM$48))</f>
        <v>0</v>
      </c>
      <c r="BC9" s="321" cm="1">
        <f t="array" aca="1" ref="BC9" ca="1">SUMPRODUCT(BC$55:BC$114,TRANSPOSE(SAP_Speadsheet!$F$48:$BM$48))</f>
        <v>0</v>
      </c>
      <c r="BD9" s="321" cm="1">
        <f t="array" aca="1" ref="BD9" ca="1">SUMPRODUCT(BD$55:BD$114,TRANSPOSE(SAP_Speadsheet!$F$48:$BM$48))</f>
        <v>0</v>
      </c>
      <c r="BE9" s="321" cm="1">
        <f t="array" aca="1" ref="BE9" ca="1">SUMPRODUCT(BE$55:BE$114,TRANSPOSE(SAP_Speadsheet!$F$48:$BM$48))</f>
        <v>0</v>
      </c>
      <c r="BF9" s="321" cm="1">
        <f t="array" aca="1" ref="BF9" ca="1">SUMPRODUCT(BF$55:BF$114,TRANSPOSE(SAP_Speadsheet!$F$48:$BM$48))</f>
        <v>0</v>
      </c>
      <c r="BG9" s="321" cm="1">
        <f t="array" aca="1" ref="BG9" ca="1">SUMPRODUCT(BG$55:BG$114,TRANSPOSE(SAP_Speadsheet!$F$48:$BM$48))</f>
        <v>0</v>
      </c>
      <c r="BH9" s="321" cm="1">
        <f t="array" aca="1" ref="BH9" ca="1">SUMPRODUCT(BH$55:BH$114,TRANSPOSE(SAP_Speadsheet!$F$48:$BM$48))</f>
        <v>0</v>
      </c>
      <c r="BI9" s="321" cm="1">
        <f t="array" aca="1" ref="BI9" ca="1">SUMPRODUCT(BI$55:BI$114,TRANSPOSE(SAP_Speadsheet!$F$48:$BM$48))</f>
        <v>0</v>
      </c>
    </row>
    <row r="10" spans="1:61" s="324" customFormat="1" x14ac:dyDescent="0.15">
      <c r="A10" s="322" t="s">
        <v>369</v>
      </c>
      <c r="B10" s="323">
        <f t="shared" ref="B10:BI10" ca="1" si="2">B9-B11-B14</f>
        <v>0</v>
      </c>
      <c r="C10" s="323">
        <f t="shared" ca="1" si="2"/>
        <v>0</v>
      </c>
      <c r="D10" s="323">
        <f t="shared" ca="1" si="2"/>
        <v>0</v>
      </c>
      <c r="E10" s="323">
        <f t="shared" ca="1" si="2"/>
        <v>0</v>
      </c>
      <c r="F10" s="323">
        <f t="shared" ca="1" si="2"/>
        <v>0</v>
      </c>
      <c r="G10" s="323">
        <f t="shared" ca="1" si="2"/>
        <v>0</v>
      </c>
      <c r="H10" s="323">
        <f t="shared" ca="1" si="2"/>
        <v>0</v>
      </c>
      <c r="I10" s="323">
        <f t="shared" ca="1" si="2"/>
        <v>0</v>
      </c>
      <c r="J10" s="323">
        <f t="shared" ca="1" si="2"/>
        <v>0</v>
      </c>
      <c r="K10" s="323">
        <f t="shared" ca="1" si="2"/>
        <v>0</v>
      </c>
      <c r="L10" s="323">
        <f t="shared" ca="1" si="2"/>
        <v>0</v>
      </c>
      <c r="M10" s="323">
        <f t="shared" ca="1" si="2"/>
        <v>0</v>
      </c>
      <c r="N10" s="323">
        <f t="shared" ca="1" si="2"/>
        <v>0</v>
      </c>
      <c r="O10" s="323">
        <f t="shared" ca="1" si="2"/>
        <v>0</v>
      </c>
      <c r="P10" s="323">
        <f t="shared" ca="1" si="2"/>
        <v>0</v>
      </c>
      <c r="Q10" s="323">
        <f t="shared" ca="1" si="2"/>
        <v>0</v>
      </c>
      <c r="R10" s="323">
        <f t="shared" ca="1" si="2"/>
        <v>0</v>
      </c>
      <c r="S10" s="323">
        <f t="shared" ca="1" si="2"/>
        <v>0</v>
      </c>
      <c r="T10" s="323">
        <f t="shared" ca="1" si="2"/>
        <v>0</v>
      </c>
      <c r="U10" s="323">
        <f t="shared" ca="1" si="2"/>
        <v>0</v>
      </c>
      <c r="V10" s="323">
        <f t="shared" ca="1" si="2"/>
        <v>0</v>
      </c>
      <c r="W10" s="323">
        <f t="shared" ca="1" si="2"/>
        <v>0</v>
      </c>
      <c r="X10" s="323">
        <f t="shared" ca="1" si="2"/>
        <v>0</v>
      </c>
      <c r="Y10" s="323">
        <f t="shared" ca="1" si="2"/>
        <v>0</v>
      </c>
      <c r="Z10" s="323">
        <f t="shared" ca="1" si="2"/>
        <v>0</v>
      </c>
      <c r="AA10" s="323">
        <f t="shared" ca="1" si="2"/>
        <v>0</v>
      </c>
      <c r="AB10" s="323">
        <f t="shared" ca="1" si="2"/>
        <v>0</v>
      </c>
      <c r="AC10" s="323">
        <f t="shared" ca="1" si="2"/>
        <v>0</v>
      </c>
      <c r="AD10" s="323">
        <f t="shared" ca="1" si="2"/>
        <v>0</v>
      </c>
      <c r="AE10" s="323">
        <f t="shared" ca="1" si="2"/>
        <v>0</v>
      </c>
      <c r="AF10" s="323">
        <f t="shared" ca="1" si="2"/>
        <v>0</v>
      </c>
      <c r="AG10" s="323">
        <f t="shared" ca="1" si="2"/>
        <v>0</v>
      </c>
      <c r="AH10" s="323">
        <f t="shared" ca="1" si="2"/>
        <v>0</v>
      </c>
      <c r="AI10" s="323">
        <f t="shared" ca="1" si="2"/>
        <v>0</v>
      </c>
      <c r="AJ10" s="323">
        <f t="shared" ca="1" si="2"/>
        <v>0</v>
      </c>
      <c r="AK10" s="323">
        <f t="shared" ca="1" si="2"/>
        <v>0</v>
      </c>
      <c r="AL10" s="323">
        <f t="shared" ca="1" si="2"/>
        <v>0</v>
      </c>
      <c r="AM10" s="323">
        <f t="shared" ca="1" si="2"/>
        <v>0</v>
      </c>
      <c r="AN10" s="323">
        <f t="shared" ca="1" si="2"/>
        <v>0</v>
      </c>
      <c r="AO10" s="323">
        <f t="shared" ca="1" si="2"/>
        <v>0</v>
      </c>
      <c r="AP10" s="323">
        <f t="shared" ca="1" si="2"/>
        <v>0</v>
      </c>
      <c r="AQ10" s="323">
        <f t="shared" ca="1" si="2"/>
        <v>0</v>
      </c>
      <c r="AR10" s="323">
        <f t="shared" ca="1" si="2"/>
        <v>0</v>
      </c>
      <c r="AS10" s="323">
        <f t="shared" ca="1" si="2"/>
        <v>0</v>
      </c>
      <c r="AT10" s="323">
        <f t="shared" ca="1" si="2"/>
        <v>0</v>
      </c>
      <c r="AU10" s="323">
        <f t="shared" ca="1" si="2"/>
        <v>0</v>
      </c>
      <c r="AV10" s="323">
        <f t="shared" ca="1" si="2"/>
        <v>0</v>
      </c>
      <c r="AW10" s="323">
        <f t="shared" ca="1" si="2"/>
        <v>0</v>
      </c>
      <c r="AX10" s="323">
        <f t="shared" ca="1" si="2"/>
        <v>0</v>
      </c>
      <c r="AY10" s="323">
        <f t="shared" ca="1" si="2"/>
        <v>0</v>
      </c>
      <c r="AZ10" s="323">
        <f t="shared" ca="1" si="2"/>
        <v>0</v>
      </c>
      <c r="BA10" s="323">
        <f t="shared" ca="1" si="2"/>
        <v>0</v>
      </c>
      <c r="BB10" s="323">
        <f t="shared" ca="1" si="2"/>
        <v>0</v>
      </c>
      <c r="BC10" s="323">
        <f t="shared" ca="1" si="2"/>
        <v>0</v>
      </c>
      <c r="BD10" s="323">
        <f t="shared" ca="1" si="2"/>
        <v>0</v>
      </c>
      <c r="BE10" s="323">
        <f t="shared" ca="1" si="2"/>
        <v>0</v>
      </c>
      <c r="BF10" s="323">
        <f t="shared" ca="1" si="2"/>
        <v>0</v>
      </c>
      <c r="BG10" s="323">
        <f t="shared" ca="1" si="2"/>
        <v>0</v>
      </c>
      <c r="BH10" s="323">
        <f t="shared" ca="1" si="2"/>
        <v>0</v>
      </c>
      <c r="BI10" s="323">
        <f t="shared" ca="1" si="2"/>
        <v>0</v>
      </c>
    </row>
    <row r="11" spans="1:61" s="314" customFormat="1" x14ac:dyDescent="0.15">
      <c r="A11" s="314" t="s">
        <v>196</v>
      </c>
      <c r="B11" s="321" cm="1">
        <f t="array" aca="1" ref="B11" ca="1">SUMPRODUCT(B$55:B$114,TRANSPOSE(SAP_Speadsheet!$F$50:$BM$50))</f>
        <v>257.62085404208386</v>
      </c>
      <c r="C11" s="321" cm="1">
        <f t="array" aca="1" ref="C11" ca="1">SUMPRODUCT(C$55:C$114,TRANSPOSE(SAP_Speadsheet!$F$50:$BM$50))</f>
        <v>222.29767316428027</v>
      </c>
      <c r="D11" s="321" cm="1">
        <f t="array" aca="1" ref="D11" ca="1">SUMPRODUCT(D$55:D$114,TRANSPOSE(SAP_Speadsheet!$F$50:$BM$50))</f>
        <v>208.7617404945286</v>
      </c>
      <c r="E11" s="321" cm="1">
        <f t="array" aca="1" ref="E11" ca="1">SUMPRODUCT(E$55:E$114,TRANSPOSE(SAP_Speadsheet!$F$50:$BM$50))</f>
        <v>195.72299937276878</v>
      </c>
      <c r="F11" s="321" cm="1">
        <f t="array" aca="1" ref="F11" ca="1">SUMPRODUCT(F$55:F$114,TRANSPOSE(SAP_Speadsheet!$F$50:$BM$50))</f>
        <v>183.08092241711515</v>
      </c>
      <c r="G11" s="321" cm="1">
        <f t="array" aca="1" ref="G11" ca="1">SUMPRODUCT(G$55:G$114,TRANSPOSE(SAP_Speadsheet!$F$50:$BM$50))</f>
        <v>170.76450276665491</v>
      </c>
      <c r="H11" s="321" cm="1">
        <f t="array" aca="1" ref="H11" ca="1">SUMPRODUCT(H$55:H$114,TRANSPOSE(SAP_Speadsheet!$F$50:$BM$50))</f>
        <v>158.73920178328788</v>
      </c>
      <c r="I11" s="321" cm="1">
        <f t="array" aca="1" ref="I11" ca="1">SUMPRODUCT(I$55:I$114,TRANSPOSE(SAP_Speadsheet!$F$50:$BM$50))</f>
        <v>146.97090078614423</v>
      </c>
      <c r="J11" s="321" cm="1">
        <f t="array" aca="1" ref="J11" ca="1">SUMPRODUCT(J$55:J$114,TRANSPOSE(SAP_Speadsheet!$F$50:$BM$50))</f>
        <v>148.28840677265555</v>
      </c>
      <c r="K11" s="321" cm="1">
        <f t="array" aca="1" ref="K11" ca="1">SUMPRODUCT(K$55:K$114,TRANSPOSE(SAP_Speadsheet!$F$50:$BM$50))</f>
        <v>-10.775054125319384</v>
      </c>
      <c r="L11" s="321" cm="1">
        <f t="array" aca="1" ref="L11" ca="1">SUMPRODUCT(L$55:L$114,TRANSPOSE(SAP_Speadsheet!$F$50:$BM$50))</f>
        <v>-11.24051548112484</v>
      </c>
      <c r="M11" s="321" cm="1">
        <f t="array" aca="1" ref="M11" ca="1">SUMPRODUCT(M$55:M$114,TRANSPOSE(SAP_Speadsheet!$F$50:$BM$50))</f>
        <v>-10.873658766508033</v>
      </c>
      <c r="N11" s="321" cm="1">
        <f t="array" aca="1" ref="N11" ca="1">SUMPRODUCT(N$55:N$114,TRANSPOSE(SAP_Speadsheet!$F$50:$BM$50))</f>
        <v>-10.740955932874707</v>
      </c>
      <c r="O11" s="321" cm="1">
        <f t="array" aca="1" ref="O11" ca="1">SUMPRODUCT(O$55:O$114,TRANSPOSE(SAP_Speadsheet!$F$50:$BM$50))</f>
        <v>-10.709357986926044</v>
      </c>
      <c r="P11" s="321" cm="1">
        <f t="array" aca="1" ref="P11" ca="1">SUMPRODUCT(P$55:P$114,TRANSPOSE(SAP_Speadsheet!$F$50:$BM$50))</f>
        <v>-10.699273226505261</v>
      </c>
      <c r="Q11" s="321" cm="1">
        <f t="array" aca="1" ref="Q11" ca="1">SUMPRODUCT(Q$55:Q$114,TRANSPOSE(SAP_Speadsheet!$F$50:$BM$50))</f>
        <v>0</v>
      </c>
      <c r="R11" s="321" cm="1">
        <f t="array" aca="1" ref="R11" ca="1">SUMPRODUCT(R$55:R$114,TRANSPOSE(SAP_Speadsheet!$F$50:$BM$50))</f>
        <v>0</v>
      </c>
      <c r="S11" s="321" cm="1">
        <f t="array" aca="1" ref="S11" ca="1">SUMPRODUCT(S$55:S$114,TRANSPOSE(SAP_Speadsheet!$F$50:$BM$50))</f>
        <v>0</v>
      </c>
      <c r="T11" s="321" cm="1">
        <f t="array" aca="1" ref="T11" ca="1">SUMPRODUCT(T$55:T$114,TRANSPOSE(SAP_Speadsheet!$F$50:$BM$50))</f>
        <v>0</v>
      </c>
      <c r="U11" s="321" cm="1">
        <f t="array" aca="1" ref="U11" ca="1">SUMPRODUCT(U$55:U$114,TRANSPOSE(SAP_Speadsheet!$F$50:$BM$50))</f>
        <v>0</v>
      </c>
      <c r="V11" s="321" cm="1">
        <f t="array" aca="1" ref="V11" ca="1">SUMPRODUCT(V$55:V$114,TRANSPOSE(SAP_Speadsheet!$F$50:$BM$50))</f>
        <v>0</v>
      </c>
      <c r="W11" s="321" cm="1">
        <f t="array" aca="1" ref="W11" ca="1">SUMPRODUCT(W$55:W$114,TRANSPOSE(SAP_Speadsheet!$F$50:$BM$50))</f>
        <v>0</v>
      </c>
      <c r="X11" s="321" cm="1">
        <f t="array" aca="1" ref="X11" ca="1">SUMPRODUCT(X$55:X$114,TRANSPOSE(SAP_Speadsheet!$F$50:$BM$50))</f>
        <v>0</v>
      </c>
      <c r="Y11" s="321" cm="1">
        <f t="array" aca="1" ref="Y11" ca="1">SUMPRODUCT(Y$55:Y$114,TRANSPOSE(SAP_Speadsheet!$F$50:$BM$50))</f>
        <v>0</v>
      </c>
      <c r="Z11" s="321" cm="1">
        <f t="array" aca="1" ref="Z11" ca="1">SUMPRODUCT(Z$55:Z$114,TRANSPOSE(SAP_Speadsheet!$F$50:$BM$50))</f>
        <v>0</v>
      </c>
      <c r="AA11" s="321" cm="1">
        <f t="array" aca="1" ref="AA11" ca="1">SUMPRODUCT(AA$55:AA$114,TRANSPOSE(SAP_Speadsheet!$F$50:$BM$50))</f>
        <v>0</v>
      </c>
      <c r="AB11" s="321" cm="1">
        <f t="array" aca="1" ref="AB11" ca="1">SUMPRODUCT(AB$55:AB$114,TRANSPOSE(SAP_Speadsheet!$F$50:$BM$50))</f>
        <v>0</v>
      </c>
      <c r="AC11" s="321" cm="1">
        <f t="array" aca="1" ref="AC11" ca="1">SUMPRODUCT(AC$55:AC$114,TRANSPOSE(SAP_Speadsheet!$F$50:$BM$50))</f>
        <v>0</v>
      </c>
      <c r="AD11" s="321" cm="1">
        <f t="array" aca="1" ref="AD11" ca="1">SUMPRODUCT(AD$55:AD$114,TRANSPOSE(SAP_Speadsheet!$F$50:$BM$50))</f>
        <v>0</v>
      </c>
      <c r="AE11" s="321" cm="1">
        <f t="array" aca="1" ref="AE11" ca="1">SUMPRODUCT(AE$55:AE$114,TRANSPOSE(SAP_Speadsheet!$F$50:$BM$50))</f>
        <v>0</v>
      </c>
      <c r="AF11" s="321" cm="1">
        <f t="array" aca="1" ref="AF11" ca="1">SUMPRODUCT(AF$55:AF$114,TRANSPOSE(SAP_Speadsheet!$F$50:$BM$50))</f>
        <v>0</v>
      </c>
      <c r="AG11" s="321" cm="1">
        <f t="array" aca="1" ref="AG11" ca="1">SUMPRODUCT(AG$55:AG$114,TRANSPOSE(SAP_Speadsheet!$F$50:$BM$50))</f>
        <v>0</v>
      </c>
      <c r="AH11" s="321" cm="1">
        <f t="array" aca="1" ref="AH11" ca="1">SUMPRODUCT(AH$55:AH$114,TRANSPOSE(SAP_Speadsheet!$F$50:$BM$50))</f>
        <v>0</v>
      </c>
      <c r="AI11" s="321" cm="1">
        <f t="array" aca="1" ref="AI11" ca="1">SUMPRODUCT(AI$55:AI$114,TRANSPOSE(SAP_Speadsheet!$F$50:$BM$50))</f>
        <v>0</v>
      </c>
      <c r="AJ11" s="321" cm="1">
        <f t="array" aca="1" ref="AJ11" ca="1">SUMPRODUCT(AJ$55:AJ$114,TRANSPOSE(SAP_Speadsheet!$F$50:$BM$50))</f>
        <v>0</v>
      </c>
      <c r="AK11" s="321" cm="1">
        <f t="array" aca="1" ref="AK11" ca="1">SUMPRODUCT(AK$55:AK$114,TRANSPOSE(SAP_Speadsheet!$F$50:$BM$50))</f>
        <v>0</v>
      </c>
      <c r="AL11" s="321" cm="1">
        <f t="array" aca="1" ref="AL11" ca="1">SUMPRODUCT(AL$55:AL$114,TRANSPOSE(SAP_Speadsheet!$F$50:$BM$50))</f>
        <v>0</v>
      </c>
      <c r="AM11" s="321" cm="1">
        <f t="array" aca="1" ref="AM11" ca="1">SUMPRODUCT(AM$55:AM$114,TRANSPOSE(SAP_Speadsheet!$F$50:$BM$50))</f>
        <v>0</v>
      </c>
      <c r="AN11" s="321" cm="1">
        <f t="array" aca="1" ref="AN11" ca="1">SUMPRODUCT(AN$55:AN$114,TRANSPOSE(SAP_Speadsheet!$F$50:$BM$50))</f>
        <v>0</v>
      </c>
      <c r="AO11" s="321" cm="1">
        <f t="array" aca="1" ref="AO11" ca="1">SUMPRODUCT(AO$55:AO$114,TRANSPOSE(SAP_Speadsheet!$F$50:$BM$50))</f>
        <v>0</v>
      </c>
      <c r="AP11" s="321" cm="1">
        <f t="array" aca="1" ref="AP11" ca="1">SUMPRODUCT(AP$55:AP$114,TRANSPOSE(SAP_Speadsheet!$F$50:$BM$50))</f>
        <v>0</v>
      </c>
      <c r="AQ11" s="321" cm="1">
        <f t="array" aca="1" ref="AQ11" ca="1">SUMPRODUCT(AQ$55:AQ$114,TRANSPOSE(SAP_Speadsheet!$F$50:$BM$50))</f>
        <v>0</v>
      </c>
      <c r="AR11" s="321" cm="1">
        <f t="array" aca="1" ref="AR11" ca="1">SUMPRODUCT(AR$55:AR$114,TRANSPOSE(SAP_Speadsheet!$F$50:$BM$50))</f>
        <v>0</v>
      </c>
      <c r="AS11" s="321" cm="1">
        <f t="array" aca="1" ref="AS11" ca="1">SUMPRODUCT(AS$55:AS$114,TRANSPOSE(SAP_Speadsheet!$F$50:$BM$50))</f>
        <v>0</v>
      </c>
      <c r="AT11" s="321" cm="1">
        <f t="array" aca="1" ref="AT11" ca="1">SUMPRODUCT(AT$55:AT$114,TRANSPOSE(SAP_Speadsheet!$F$50:$BM$50))</f>
        <v>0</v>
      </c>
      <c r="AU11" s="321" cm="1">
        <f t="array" aca="1" ref="AU11" ca="1">SUMPRODUCT(AU$55:AU$114,TRANSPOSE(SAP_Speadsheet!$F$50:$BM$50))</f>
        <v>0</v>
      </c>
      <c r="AV11" s="321" cm="1">
        <f t="array" aca="1" ref="AV11" ca="1">SUMPRODUCT(AV$55:AV$114,TRANSPOSE(SAP_Speadsheet!$F$50:$BM$50))</f>
        <v>0</v>
      </c>
      <c r="AW11" s="321" cm="1">
        <f t="array" aca="1" ref="AW11" ca="1">SUMPRODUCT(AW$55:AW$114,TRANSPOSE(SAP_Speadsheet!$F$50:$BM$50))</f>
        <v>0</v>
      </c>
      <c r="AX11" s="321" cm="1">
        <f t="array" aca="1" ref="AX11" ca="1">SUMPRODUCT(AX$55:AX$114,TRANSPOSE(SAP_Speadsheet!$F$50:$BM$50))</f>
        <v>0</v>
      </c>
      <c r="AY11" s="321" cm="1">
        <f t="array" aca="1" ref="AY11" ca="1">SUMPRODUCT(AY$55:AY$114,TRANSPOSE(SAP_Speadsheet!$F$50:$BM$50))</f>
        <v>0</v>
      </c>
      <c r="AZ11" s="321" cm="1">
        <f t="array" aca="1" ref="AZ11" ca="1">SUMPRODUCT(AZ$55:AZ$114,TRANSPOSE(SAP_Speadsheet!$F$50:$BM$50))</f>
        <v>0</v>
      </c>
      <c r="BA11" s="321" cm="1">
        <f t="array" aca="1" ref="BA11" ca="1">SUMPRODUCT(BA$55:BA$114,TRANSPOSE(SAP_Speadsheet!$F$50:$BM$50))</f>
        <v>0</v>
      </c>
      <c r="BB11" s="321" cm="1">
        <f t="array" aca="1" ref="BB11" ca="1">SUMPRODUCT(BB$55:BB$114,TRANSPOSE(SAP_Speadsheet!$F$50:$BM$50))</f>
        <v>0</v>
      </c>
      <c r="BC11" s="321" cm="1">
        <f t="array" aca="1" ref="BC11" ca="1">SUMPRODUCT(BC$55:BC$114,TRANSPOSE(SAP_Speadsheet!$F$50:$BM$50))</f>
        <v>0</v>
      </c>
      <c r="BD11" s="321" cm="1">
        <f t="array" aca="1" ref="BD11" ca="1">SUMPRODUCT(BD$55:BD$114,TRANSPOSE(SAP_Speadsheet!$F$50:$BM$50))</f>
        <v>0</v>
      </c>
      <c r="BE11" s="321" cm="1">
        <f t="array" aca="1" ref="BE11" ca="1">SUMPRODUCT(BE$55:BE$114,TRANSPOSE(SAP_Speadsheet!$F$50:$BM$50))</f>
        <v>0</v>
      </c>
      <c r="BF11" s="321" cm="1">
        <f t="array" aca="1" ref="BF11" ca="1">SUMPRODUCT(BF$55:BF$114,TRANSPOSE(SAP_Speadsheet!$F$50:$BM$50))</f>
        <v>0</v>
      </c>
      <c r="BG11" s="321" cm="1">
        <f t="array" aca="1" ref="BG11" ca="1">SUMPRODUCT(BG$55:BG$114,TRANSPOSE(SAP_Speadsheet!$F$50:$BM$50))</f>
        <v>0</v>
      </c>
      <c r="BH11" s="321" cm="1">
        <f t="array" aca="1" ref="BH11" ca="1">SUMPRODUCT(BH$55:BH$114,TRANSPOSE(SAP_Speadsheet!$F$50:$BM$50))</f>
        <v>0</v>
      </c>
      <c r="BI11" s="321" cm="1">
        <f t="array" aca="1" ref="BI11" ca="1">SUMPRODUCT(BI$55:BI$114,TRANSPOSE(SAP_Speadsheet!$F$50:$BM$50))</f>
        <v>0</v>
      </c>
    </row>
    <row r="12" spans="1:61" x14ac:dyDescent="0.15">
      <c r="A12" s="325" t="s">
        <v>218</v>
      </c>
      <c r="B12" s="326" cm="1">
        <f t="array" aca="1" ref="B12" ca="1">SUMPRODUCT(B$55:B$114,TRANSPOSE(SAP_Speadsheet!$F$51:$BM$51))</f>
        <v>315.60753775979589</v>
      </c>
      <c r="C12" s="326" cm="1">
        <f t="array" aca="1" ref="C12" ca="1">SUMPRODUCT(C$55:C$114,TRANSPOSE(SAP_Speadsheet!$F$51:$BM$51))</f>
        <v>276.09642972460199</v>
      </c>
      <c r="D12" s="326" cm="1">
        <f t="array" aca="1" ref="D12" ca="1">SUMPRODUCT(D$55:D$114,TRANSPOSE(SAP_Speadsheet!$F$51:$BM$51))</f>
        <v>260.62760759759328</v>
      </c>
      <c r="E12" s="326" cm="1">
        <f t="array" aca="1" ref="E12" ca="1">SUMPRODUCT(E$55:E$114,TRANSPOSE(SAP_Speadsheet!$F$51:$BM$51))</f>
        <v>245.65597701857638</v>
      </c>
      <c r="F12" s="326" cm="1">
        <f t="array" aca="1" ref="F12" ca="1">SUMPRODUCT(F$55:F$114,TRANSPOSE(SAP_Speadsheet!$F$51:$BM$51))</f>
        <v>231.08101060566565</v>
      </c>
      <c r="G12" s="326" cm="1">
        <f t="array" aca="1" ref="G12" ca="1">SUMPRODUCT(G$55:G$114,TRANSPOSE(SAP_Speadsheet!$F$51:$BM$51))</f>
        <v>216.83170149794836</v>
      </c>
      <c r="H12" s="326" cm="1">
        <f t="array" aca="1" ref="H12" ca="1">SUMPRODUCT(H$55:H$114,TRANSPOSE(SAP_Speadsheet!$F$51:$BM$51))</f>
        <v>202.87351105732429</v>
      </c>
      <c r="I12" s="326" cm="1">
        <f t="array" aca="1" ref="I12" ca="1">SUMPRODUCT(I$55:I$114,TRANSPOSE(SAP_Speadsheet!$F$51:$BM$51))</f>
        <v>189.17232060292355</v>
      </c>
      <c r="J12" s="326" cm="1">
        <f t="array" aca="1" ref="J12" ca="1">SUMPRODUCT(J$55:J$114,TRANSPOSE(SAP_Speadsheet!$F$51:$BM$51))</f>
        <v>175.72573847479597</v>
      </c>
      <c r="K12" s="326" cm="1">
        <f t="array" aca="1" ref="K12" ca="1">SUMPRODUCT(K$55:K$114,TRANSPOSE(SAP_Speadsheet!$F$51:$BM$51))</f>
        <v>1.7928813065637415</v>
      </c>
      <c r="L12" s="326" cm="1">
        <f t="array" aca="1" ref="L12" ca="1">SUMPRODUCT(L$55:L$114,TRANSPOSE(SAP_Speadsheet!$F$51:$BM$51))</f>
        <v>0</v>
      </c>
      <c r="M12" s="326" cm="1">
        <f t="array" aca="1" ref="M12" ca="1">SUMPRODUCT(M$55:M$114,TRANSPOSE(SAP_Speadsheet!$F$51:$BM$51))</f>
        <v>0</v>
      </c>
      <c r="N12" s="326" cm="1">
        <f t="array" aca="1" ref="N12" ca="1">SUMPRODUCT(N$55:N$114,TRANSPOSE(SAP_Speadsheet!$F$51:$BM$51))</f>
        <v>0</v>
      </c>
      <c r="O12" s="326" cm="1">
        <f t="array" aca="1" ref="O12" ca="1">SUMPRODUCT(O$55:O$114,TRANSPOSE(SAP_Speadsheet!$F$51:$BM$51))</f>
        <v>0</v>
      </c>
      <c r="P12" s="326" cm="1">
        <f t="array" aca="1" ref="P12" ca="1">SUMPRODUCT(P$55:P$114,TRANSPOSE(SAP_Speadsheet!$F$51:$BM$51))</f>
        <v>0</v>
      </c>
      <c r="Q12" s="326" cm="1">
        <f t="array" aca="1" ref="Q12" ca="1">SUMPRODUCT(Q$55:Q$114,TRANSPOSE(SAP_Speadsheet!$F$51:$BM$51))</f>
        <v>0</v>
      </c>
      <c r="R12" s="326" cm="1">
        <f t="array" aca="1" ref="R12" ca="1">SUMPRODUCT(R$55:R$114,TRANSPOSE(SAP_Speadsheet!$F$51:$BM$51))</f>
        <v>0</v>
      </c>
      <c r="S12" s="326" cm="1">
        <f t="array" aca="1" ref="S12" ca="1">SUMPRODUCT(S$55:S$114,TRANSPOSE(SAP_Speadsheet!$F$51:$BM$51))</f>
        <v>0</v>
      </c>
      <c r="T12" s="326" cm="1">
        <f t="array" aca="1" ref="T12" ca="1">SUMPRODUCT(T$55:T$114,TRANSPOSE(SAP_Speadsheet!$F$51:$BM$51))</f>
        <v>0</v>
      </c>
      <c r="U12" s="326" cm="1">
        <f t="array" aca="1" ref="U12" ca="1">SUMPRODUCT(U$55:U$114,TRANSPOSE(SAP_Speadsheet!$F$51:$BM$51))</f>
        <v>0</v>
      </c>
      <c r="V12" s="326" cm="1">
        <f t="array" aca="1" ref="V12" ca="1">SUMPRODUCT(V$55:V$114,TRANSPOSE(SAP_Speadsheet!$F$51:$BM$51))</f>
        <v>0</v>
      </c>
      <c r="W12" s="326" cm="1">
        <f t="array" aca="1" ref="W12" ca="1">SUMPRODUCT(W$55:W$114,TRANSPOSE(SAP_Speadsheet!$F$51:$BM$51))</f>
        <v>0</v>
      </c>
      <c r="X12" s="326" cm="1">
        <f t="array" aca="1" ref="X12" ca="1">SUMPRODUCT(X$55:X$114,TRANSPOSE(SAP_Speadsheet!$F$51:$BM$51))</f>
        <v>0</v>
      </c>
      <c r="Y12" s="326" cm="1">
        <f t="array" aca="1" ref="Y12" ca="1">SUMPRODUCT(Y$55:Y$114,TRANSPOSE(SAP_Speadsheet!$F$51:$BM$51))</f>
        <v>0</v>
      </c>
      <c r="Z12" s="326" cm="1">
        <f t="array" aca="1" ref="Z12" ca="1">SUMPRODUCT(Z$55:Z$114,TRANSPOSE(SAP_Speadsheet!$F$51:$BM$51))</f>
        <v>0</v>
      </c>
      <c r="AA12" s="326" cm="1">
        <f t="array" aca="1" ref="AA12" ca="1">SUMPRODUCT(AA$55:AA$114,TRANSPOSE(SAP_Speadsheet!$F$51:$BM$51))</f>
        <v>0</v>
      </c>
      <c r="AB12" s="326" cm="1">
        <f t="array" aca="1" ref="AB12" ca="1">SUMPRODUCT(AB$55:AB$114,TRANSPOSE(SAP_Speadsheet!$F$51:$BM$51))</f>
        <v>0</v>
      </c>
      <c r="AC12" s="326" cm="1">
        <f t="array" aca="1" ref="AC12" ca="1">SUMPRODUCT(AC$55:AC$114,TRANSPOSE(SAP_Speadsheet!$F$51:$BM$51))</f>
        <v>0</v>
      </c>
      <c r="AD12" s="326" cm="1">
        <f t="array" aca="1" ref="AD12" ca="1">SUMPRODUCT(AD$55:AD$114,TRANSPOSE(SAP_Speadsheet!$F$51:$BM$51))</f>
        <v>0</v>
      </c>
      <c r="AE12" s="326" cm="1">
        <f t="array" aca="1" ref="AE12" ca="1">SUMPRODUCT(AE$55:AE$114,TRANSPOSE(SAP_Speadsheet!$F$51:$BM$51))</f>
        <v>0</v>
      </c>
      <c r="AF12" s="326" cm="1">
        <f t="array" aca="1" ref="AF12" ca="1">SUMPRODUCT(AF$55:AF$114,TRANSPOSE(SAP_Speadsheet!$F$51:$BM$51))</f>
        <v>0</v>
      </c>
      <c r="AG12" s="326" cm="1">
        <f t="array" aca="1" ref="AG12" ca="1">SUMPRODUCT(AG$55:AG$114,TRANSPOSE(SAP_Speadsheet!$F$51:$BM$51))</f>
        <v>0</v>
      </c>
      <c r="AH12" s="326" cm="1">
        <f t="array" aca="1" ref="AH12" ca="1">SUMPRODUCT(AH$55:AH$114,TRANSPOSE(SAP_Speadsheet!$F$51:$BM$51))</f>
        <v>0</v>
      </c>
      <c r="AI12" s="326" cm="1">
        <f t="array" aca="1" ref="AI12" ca="1">SUMPRODUCT(AI$55:AI$114,TRANSPOSE(SAP_Speadsheet!$F$51:$BM$51))</f>
        <v>0</v>
      </c>
      <c r="AJ12" s="326" cm="1">
        <f t="array" aca="1" ref="AJ12" ca="1">SUMPRODUCT(AJ$55:AJ$114,TRANSPOSE(SAP_Speadsheet!$F$51:$BM$51))</f>
        <v>0</v>
      </c>
      <c r="AK12" s="326" cm="1">
        <f t="array" aca="1" ref="AK12" ca="1">SUMPRODUCT(AK$55:AK$114,TRANSPOSE(SAP_Speadsheet!$F$51:$BM$51))</f>
        <v>0</v>
      </c>
      <c r="AL12" s="326" cm="1">
        <f t="array" aca="1" ref="AL12" ca="1">SUMPRODUCT(AL$55:AL$114,TRANSPOSE(SAP_Speadsheet!$F$51:$BM$51))</f>
        <v>0</v>
      </c>
      <c r="AM12" s="326" cm="1">
        <f t="array" aca="1" ref="AM12" ca="1">SUMPRODUCT(AM$55:AM$114,TRANSPOSE(SAP_Speadsheet!$F$51:$BM$51))</f>
        <v>0</v>
      </c>
      <c r="AN12" s="326" cm="1">
        <f t="array" aca="1" ref="AN12" ca="1">SUMPRODUCT(AN$55:AN$114,TRANSPOSE(SAP_Speadsheet!$F$51:$BM$51))</f>
        <v>0</v>
      </c>
      <c r="AO12" s="326" cm="1">
        <f t="array" aca="1" ref="AO12" ca="1">SUMPRODUCT(AO$55:AO$114,TRANSPOSE(SAP_Speadsheet!$F$51:$BM$51))</f>
        <v>0</v>
      </c>
      <c r="AP12" s="326" cm="1">
        <f t="array" aca="1" ref="AP12" ca="1">SUMPRODUCT(AP$55:AP$114,TRANSPOSE(SAP_Speadsheet!$F$51:$BM$51))</f>
        <v>0</v>
      </c>
      <c r="AQ12" s="326" cm="1">
        <f t="array" aca="1" ref="AQ12" ca="1">SUMPRODUCT(AQ$55:AQ$114,TRANSPOSE(SAP_Speadsheet!$F$51:$BM$51))</f>
        <v>0</v>
      </c>
      <c r="AR12" s="326" cm="1">
        <f t="array" aca="1" ref="AR12" ca="1">SUMPRODUCT(AR$55:AR$114,TRANSPOSE(SAP_Speadsheet!$F$51:$BM$51))</f>
        <v>0</v>
      </c>
      <c r="AS12" s="326" cm="1">
        <f t="array" aca="1" ref="AS12" ca="1">SUMPRODUCT(AS$55:AS$114,TRANSPOSE(SAP_Speadsheet!$F$51:$BM$51))</f>
        <v>0</v>
      </c>
      <c r="AT12" s="326" cm="1">
        <f t="array" aca="1" ref="AT12" ca="1">SUMPRODUCT(AT$55:AT$114,TRANSPOSE(SAP_Speadsheet!$F$51:$BM$51))</f>
        <v>0</v>
      </c>
      <c r="AU12" s="326" cm="1">
        <f t="array" aca="1" ref="AU12" ca="1">SUMPRODUCT(AU$55:AU$114,TRANSPOSE(SAP_Speadsheet!$F$51:$BM$51))</f>
        <v>0</v>
      </c>
      <c r="AV12" s="326" cm="1">
        <f t="array" aca="1" ref="AV12" ca="1">SUMPRODUCT(AV$55:AV$114,TRANSPOSE(SAP_Speadsheet!$F$51:$BM$51))</f>
        <v>0</v>
      </c>
      <c r="AW12" s="326" cm="1">
        <f t="array" aca="1" ref="AW12" ca="1">SUMPRODUCT(AW$55:AW$114,TRANSPOSE(SAP_Speadsheet!$F$51:$BM$51))</f>
        <v>0</v>
      </c>
      <c r="AX12" s="326" cm="1">
        <f t="array" aca="1" ref="AX12" ca="1">SUMPRODUCT(AX$55:AX$114,TRANSPOSE(SAP_Speadsheet!$F$51:$BM$51))</f>
        <v>0</v>
      </c>
      <c r="AY12" s="326" cm="1">
        <f t="array" aca="1" ref="AY12" ca="1">SUMPRODUCT(AY$55:AY$114,TRANSPOSE(SAP_Speadsheet!$F$51:$BM$51))</f>
        <v>0</v>
      </c>
      <c r="AZ12" s="326" cm="1">
        <f t="array" aca="1" ref="AZ12" ca="1">SUMPRODUCT(AZ$55:AZ$114,TRANSPOSE(SAP_Speadsheet!$F$51:$BM$51))</f>
        <v>0</v>
      </c>
      <c r="BA12" s="326" cm="1">
        <f t="array" aca="1" ref="BA12" ca="1">SUMPRODUCT(BA$55:BA$114,TRANSPOSE(SAP_Speadsheet!$F$51:$BM$51))</f>
        <v>0</v>
      </c>
      <c r="BB12" s="326" cm="1">
        <f t="array" aca="1" ref="BB12" ca="1">SUMPRODUCT(BB$55:BB$114,TRANSPOSE(SAP_Speadsheet!$F$51:$BM$51))</f>
        <v>0</v>
      </c>
      <c r="BC12" s="326" cm="1">
        <f t="array" aca="1" ref="BC12" ca="1">SUMPRODUCT(BC$55:BC$114,TRANSPOSE(SAP_Speadsheet!$F$51:$BM$51))</f>
        <v>0</v>
      </c>
      <c r="BD12" s="326" cm="1">
        <f t="array" aca="1" ref="BD12" ca="1">SUMPRODUCT(BD$55:BD$114,TRANSPOSE(SAP_Speadsheet!$F$51:$BM$51))</f>
        <v>0</v>
      </c>
      <c r="BE12" s="326" cm="1">
        <f t="array" aca="1" ref="BE12" ca="1">SUMPRODUCT(BE$55:BE$114,TRANSPOSE(SAP_Speadsheet!$F$51:$BM$51))</f>
        <v>0</v>
      </c>
      <c r="BF12" s="326" cm="1">
        <f t="array" aca="1" ref="BF12" ca="1">SUMPRODUCT(BF$55:BF$114,TRANSPOSE(SAP_Speadsheet!$F$51:$BM$51))</f>
        <v>0</v>
      </c>
      <c r="BG12" s="326" cm="1">
        <f t="array" aca="1" ref="BG12" ca="1">SUMPRODUCT(BG$55:BG$114,TRANSPOSE(SAP_Speadsheet!$F$51:$BM$51))</f>
        <v>0</v>
      </c>
      <c r="BH12" s="326" cm="1">
        <f t="array" aca="1" ref="BH12" ca="1">SUMPRODUCT(BH$55:BH$114,TRANSPOSE(SAP_Speadsheet!$F$51:$BM$51))</f>
        <v>0</v>
      </c>
      <c r="BI12" s="326" cm="1">
        <f t="array" aca="1" ref="BI12" ca="1">SUMPRODUCT(BI$55:BI$114,TRANSPOSE(SAP_Speadsheet!$F$51:$BM$51))</f>
        <v>0</v>
      </c>
    </row>
    <row r="13" spans="1:61" x14ac:dyDescent="0.15">
      <c r="A13" s="325" t="s">
        <v>220</v>
      </c>
      <c r="B13" s="326" cm="1">
        <f t="array" aca="1" ref="B13" ca="1">SUMPRODUCT(B$55:B$114,TRANSPOSE(SAP_Speadsheet!$F$52:$BM$52))</f>
        <v>-57.986683717712047</v>
      </c>
      <c r="C13" s="326" cm="1">
        <f t="array" aca="1" ref="C13" ca="1">SUMPRODUCT(C$55:C$114,TRANSPOSE(SAP_Speadsheet!$F$52:$BM$52))</f>
        <v>-53.798756560321735</v>
      </c>
      <c r="D13" s="326" cm="1">
        <f t="array" aca="1" ref="D13" ca="1">SUMPRODUCT(D$55:D$114,TRANSPOSE(SAP_Speadsheet!$F$52:$BM$52))</f>
        <v>-51.865867103064666</v>
      </c>
      <c r="E13" s="326" cm="1">
        <f t="array" aca="1" ref="E13" ca="1">SUMPRODUCT(E$55:E$114,TRANSPOSE(SAP_Speadsheet!$F$52:$BM$52))</f>
        <v>-49.932977645807604</v>
      </c>
      <c r="F13" s="326" cm="1">
        <f t="array" aca="1" ref="F13" ca="1">SUMPRODUCT(F$55:F$114,TRANSPOSE(SAP_Speadsheet!$F$52:$BM$52))</f>
        <v>-48.000088188550528</v>
      </c>
      <c r="G13" s="326" cm="1">
        <f t="array" aca="1" ref="G13" ca="1">SUMPRODUCT(G$55:G$114,TRANSPOSE(SAP_Speadsheet!$F$52:$BM$52))</f>
        <v>-46.067198731293459</v>
      </c>
      <c r="H13" s="326" cm="1">
        <f t="array" aca="1" ref="H13" ca="1">SUMPRODUCT(H$55:H$114,TRANSPOSE(SAP_Speadsheet!$F$52:$BM$52))</f>
        <v>-44.13430927403639</v>
      </c>
      <c r="I13" s="326" cm="1">
        <f t="array" aca="1" ref="I13" ca="1">SUMPRODUCT(I$55:I$114,TRANSPOSE(SAP_Speadsheet!$F$52:$BM$52))</f>
        <v>-42.201419816779321</v>
      </c>
      <c r="J13" s="326" cm="1">
        <f t="array" aca="1" ref="J13" ca="1">SUMPRODUCT(J$55:J$114,TRANSPOSE(SAP_Speadsheet!$F$52:$BM$52))</f>
        <v>-27.437331702140419</v>
      </c>
      <c r="K13" s="326" cm="1">
        <f t="array" aca="1" ref="K13" ca="1">SUMPRODUCT(K$55:K$114,TRANSPOSE(SAP_Speadsheet!$F$52:$BM$52))</f>
        <v>-12.567935431883125</v>
      </c>
      <c r="L13" s="326" cm="1">
        <f t="array" aca="1" ref="L13" ca="1">SUMPRODUCT(L$55:L$114,TRANSPOSE(SAP_Speadsheet!$F$52:$BM$52))</f>
        <v>-11.24051548112484</v>
      </c>
      <c r="M13" s="326" cm="1">
        <f t="array" aca="1" ref="M13" ca="1">SUMPRODUCT(M$55:M$114,TRANSPOSE(SAP_Speadsheet!$F$52:$BM$52))</f>
        <v>-10.873658766508033</v>
      </c>
      <c r="N13" s="326" cm="1">
        <f t="array" aca="1" ref="N13" ca="1">SUMPRODUCT(N$55:N$114,TRANSPOSE(SAP_Speadsheet!$F$52:$BM$52))</f>
        <v>-10.740955932874707</v>
      </c>
      <c r="O13" s="326" cm="1">
        <f t="array" aca="1" ref="O13" ca="1">SUMPRODUCT(O$55:O$114,TRANSPOSE(SAP_Speadsheet!$F$52:$BM$52))</f>
        <v>-10.709357986926044</v>
      </c>
      <c r="P13" s="326" cm="1">
        <f t="array" aca="1" ref="P13" ca="1">SUMPRODUCT(P$55:P$114,TRANSPOSE(SAP_Speadsheet!$F$52:$BM$52))</f>
        <v>-10.699273226505261</v>
      </c>
      <c r="Q13" s="326" cm="1">
        <f t="array" aca="1" ref="Q13" ca="1">SUMPRODUCT(Q$55:Q$114,TRANSPOSE(SAP_Speadsheet!$F$52:$BM$52))</f>
        <v>0</v>
      </c>
      <c r="R13" s="326" cm="1">
        <f t="array" aca="1" ref="R13" ca="1">SUMPRODUCT(R$55:R$114,TRANSPOSE(SAP_Speadsheet!$F$52:$BM$52))</f>
        <v>0</v>
      </c>
      <c r="S13" s="326" cm="1">
        <f t="array" aca="1" ref="S13" ca="1">SUMPRODUCT(S$55:S$114,TRANSPOSE(SAP_Speadsheet!$F$52:$BM$52))</f>
        <v>0</v>
      </c>
      <c r="T13" s="326" cm="1">
        <f t="array" aca="1" ref="T13" ca="1">SUMPRODUCT(T$55:T$114,TRANSPOSE(SAP_Speadsheet!$F$52:$BM$52))</f>
        <v>0</v>
      </c>
      <c r="U13" s="326" cm="1">
        <f t="array" aca="1" ref="U13" ca="1">SUMPRODUCT(U$55:U$114,TRANSPOSE(SAP_Speadsheet!$F$52:$BM$52))</f>
        <v>0</v>
      </c>
      <c r="V13" s="326" cm="1">
        <f t="array" aca="1" ref="V13" ca="1">SUMPRODUCT(V$55:V$114,TRANSPOSE(SAP_Speadsheet!$F$52:$BM$52))</f>
        <v>0</v>
      </c>
      <c r="W13" s="326" cm="1">
        <f t="array" aca="1" ref="W13" ca="1">SUMPRODUCT(W$55:W$114,TRANSPOSE(SAP_Speadsheet!$F$52:$BM$52))</f>
        <v>0</v>
      </c>
      <c r="X13" s="326" cm="1">
        <f t="array" aca="1" ref="X13" ca="1">SUMPRODUCT(X$55:X$114,TRANSPOSE(SAP_Speadsheet!$F$52:$BM$52))</f>
        <v>0</v>
      </c>
      <c r="Y13" s="326" cm="1">
        <f t="array" aca="1" ref="Y13" ca="1">SUMPRODUCT(Y$55:Y$114,TRANSPOSE(SAP_Speadsheet!$F$52:$BM$52))</f>
        <v>0</v>
      </c>
      <c r="Z13" s="326" cm="1">
        <f t="array" aca="1" ref="Z13" ca="1">SUMPRODUCT(Z$55:Z$114,TRANSPOSE(SAP_Speadsheet!$F$52:$BM$52))</f>
        <v>0</v>
      </c>
      <c r="AA13" s="326" cm="1">
        <f t="array" aca="1" ref="AA13" ca="1">SUMPRODUCT(AA$55:AA$114,TRANSPOSE(SAP_Speadsheet!$F$52:$BM$52))</f>
        <v>0</v>
      </c>
      <c r="AB13" s="326" cm="1">
        <f t="array" aca="1" ref="AB13" ca="1">SUMPRODUCT(AB$55:AB$114,TRANSPOSE(SAP_Speadsheet!$F$52:$BM$52))</f>
        <v>0</v>
      </c>
      <c r="AC13" s="326" cm="1">
        <f t="array" aca="1" ref="AC13" ca="1">SUMPRODUCT(AC$55:AC$114,TRANSPOSE(SAP_Speadsheet!$F$52:$BM$52))</f>
        <v>0</v>
      </c>
      <c r="AD13" s="326" cm="1">
        <f t="array" aca="1" ref="AD13" ca="1">SUMPRODUCT(AD$55:AD$114,TRANSPOSE(SAP_Speadsheet!$F$52:$BM$52))</f>
        <v>0</v>
      </c>
      <c r="AE13" s="326" cm="1">
        <f t="array" aca="1" ref="AE13" ca="1">SUMPRODUCT(AE$55:AE$114,TRANSPOSE(SAP_Speadsheet!$F$52:$BM$52))</f>
        <v>0</v>
      </c>
      <c r="AF13" s="326" cm="1">
        <f t="array" aca="1" ref="AF13" ca="1">SUMPRODUCT(AF$55:AF$114,TRANSPOSE(SAP_Speadsheet!$F$52:$BM$52))</f>
        <v>0</v>
      </c>
      <c r="AG13" s="326" cm="1">
        <f t="array" aca="1" ref="AG13" ca="1">SUMPRODUCT(AG$55:AG$114,TRANSPOSE(SAP_Speadsheet!$F$52:$BM$52))</f>
        <v>0</v>
      </c>
      <c r="AH13" s="326" cm="1">
        <f t="array" aca="1" ref="AH13" ca="1">SUMPRODUCT(AH$55:AH$114,TRANSPOSE(SAP_Speadsheet!$F$52:$BM$52))</f>
        <v>0</v>
      </c>
      <c r="AI13" s="326" cm="1">
        <f t="array" aca="1" ref="AI13" ca="1">SUMPRODUCT(AI$55:AI$114,TRANSPOSE(SAP_Speadsheet!$F$52:$BM$52))</f>
        <v>0</v>
      </c>
      <c r="AJ13" s="326" cm="1">
        <f t="array" aca="1" ref="AJ13" ca="1">SUMPRODUCT(AJ$55:AJ$114,TRANSPOSE(SAP_Speadsheet!$F$52:$BM$52))</f>
        <v>0</v>
      </c>
      <c r="AK13" s="326" cm="1">
        <f t="array" aca="1" ref="AK13" ca="1">SUMPRODUCT(AK$55:AK$114,TRANSPOSE(SAP_Speadsheet!$F$52:$BM$52))</f>
        <v>0</v>
      </c>
      <c r="AL13" s="326" cm="1">
        <f t="array" aca="1" ref="AL13" ca="1">SUMPRODUCT(AL$55:AL$114,TRANSPOSE(SAP_Speadsheet!$F$52:$BM$52))</f>
        <v>0</v>
      </c>
      <c r="AM13" s="326" cm="1">
        <f t="array" aca="1" ref="AM13" ca="1">SUMPRODUCT(AM$55:AM$114,TRANSPOSE(SAP_Speadsheet!$F$52:$BM$52))</f>
        <v>0</v>
      </c>
      <c r="AN13" s="326" cm="1">
        <f t="array" aca="1" ref="AN13" ca="1">SUMPRODUCT(AN$55:AN$114,TRANSPOSE(SAP_Speadsheet!$F$52:$BM$52))</f>
        <v>0</v>
      </c>
      <c r="AO13" s="326" cm="1">
        <f t="array" aca="1" ref="AO13" ca="1">SUMPRODUCT(AO$55:AO$114,TRANSPOSE(SAP_Speadsheet!$F$52:$BM$52))</f>
        <v>0</v>
      </c>
      <c r="AP13" s="326" cm="1">
        <f t="array" aca="1" ref="AP13" ca="1">SUMPRODUCT(AP$55:AP$114,TRANSPOSE(SAP_Speadsheet!$F$52:$BM$52))</f>
        <v>0</v>
      </c>
      <c r="AQ13" s="326" cm="1">
        <f t="array" aca="1" ref="AQ13" ca="1">SUMPRODUCT(AQ$55:AQ$114,TRANSPOSE(SAP_Speadsheet!$F$52:$BM$52))</f>
        <v>0</v>
      </c>
      <c r="AR13" s="326" cm="1">
        <f t="array" aca="1" ref="AR13" ca="1">SUMPRODUCT(AR$55:AR$114,TRANSPOSE(SAP_Speadsheet!$F$52:$BM$52))</f>
        <v>0</v>
      </c>
      <c r="AS13" s="326" cm="1">
        <f t="array" aca="1" ref="AS13" ca="1">SUMPRODUCT(AS$55:AS$114,TRANSPOSE(SAP_Speadsheet!$F$52:$BM$52))</f>
        <v>0</v>
      </c>
      <c r="AT13" s="326" cm="1">
        <f t="array" aca="1" ref="AT13" ca="1">SUMPRODUCT(AT$55:AT$114,TRANSPOSE(SAP_Speadsheet!$F$52:$BM$52))</f>
        <v>0</v>
      </c>
      <c r="AU13" s="326" cm="1">
        <f t="array" aca="1" ref="AU13" ca="1">SUMPRODUCT(AU$55:AU$114,TRANSPOSE(SAP_Speadsheet!$F$52:$BM$52))</f>
        <v>0</v>
      </c>
      <c r="AV13" s="326" cm="1">
        <f t="array" aca="1" ref="AV13" ca="1">SUMPRODUCT(AV$55:AV$114,TRANSPOSE(SAP_Speadsheet!$F$52:$BM$52))</f>
        <v>0</v>
      </c>
      <c r="AW13" s="326" cm="1">
        <f t="array" aca="1" ref="AW13" ca="1">SUMPRODUCT(AW$55:AW$114,TRANSPOSE(SAP_Speadsheet!$F$52:$BM$52))</f>
        <v>0</v>
      </c>
      <c r="AX13" s="326" cm="1">
        <f t="array" aca="1" ref="AX13" ca="1">SUMPRODUCT(AX$55:AX$114,TRANSPOSE(SAP_Speadsheet!$F$52:$BM$52))</f>
        <v>0</v>
      </c>
      <c r="AY13" s="326" cm="1">
        <f t="array" aca="1" ref="AY13" ca="1">SUMPRODUCT(AY$55:AY$114,TRANSPOSE(SAP_Speadsheet!$F$52:$BM$52))</f>
        <v>0</v>
      </c>
      <c r="AZ13" s="326" cm="1">
        <f t="array" aca="1" ref="AZ13" ca="1">SUMPRODUCT(AZ$55:AZ$114,TRANSPOSE(SAP_Speadsheet!$F$52:$BM$52))</f>
        <v>0</v>
      </c>
      <c r="BA13" s="326" cm="1">
        <f t="array" aca="1" ref="BA13" ca="1">SUMPRODUCT(BA$55:BA$114,TRANSPOSE(SAP_Speadsheet!$F$52:$BM$52))</f>
        <v>0</v>
      </c>
      <c r="BB13" s="326" cm="1">
        <f t="array" aca="1" ref="BB13" ca="1">SUMPRODUCT(BB$55:BB$114,TRANSPOSE(SAP_Speadsheet!$F$52:$BM$52))</f>
        <v>0</v>
      </c>
      <c r="BC13" s="326" cm="1">
        <f t="array" aca="1" ref="BC13" ca="1">SUMPRODUCT(BC$55:BC$114,TRANSPOSE(SAP_Speadsheet!$F$52:$BM$52))</f>
        <v>0</v>
      </c>
      <c r="BD13" s="326" cm="1">
        <f t="array" aca="1" ref="BD13" ca="1">SUMPRODUCT(BD$55:BD$114,TRANSPOSE(SAP_Speadsheet!$F$52:$BM$52))</f>
        <v>0</v>
      </c>
      <c r="BE13" s="326" cm="1">
        <f t="array" aca="1" ref="BE13" ca="1">SUMPRODUCT(BE$55:BE$114,TRANSPOSE(SAP_Speadsheet!$F$52:$BM$52))</f>
        <v>0</v>
      </c>
      <c r="BF13" s="326" cm="1">
        <f t="array" aca="1" ref="BF13" ca="1">SUMPRODUCT(BF$55:BF$114,TRANSPOSE(SAP_Speadsheet!$F$52:$BM$52))</f>
        <v>0</v>
      </c>
      <c r="BG13" s="326" cm="1">
        <f t="array" aca="1" ref="BG13" ca="1">SUMPRODUCT(BG$55:BG$114,TRANSPOSE(SAP_Speadsheet!$F$52:$BM$52))</f>
        <v>0</v>
      </c>
      <c r="BH13" s="326" cm="1">
        <f t="array" aca="1" ref="BH13" ca="1">SUMPRODUCT(BH$55:BH$114,TRANSPOSE(SAP_Speadsheet!$F$52:$BM$52))</f>
        <v>0</v>
      </c>
      <c r="BI13" s="326" cm="1">
        <f t="array" aca="1" ref="BI13" ca="1">SUMPRODUCT(BI$55:BI$114,TRANSPOSE(SAP_Speadsheet!$F$52:$BM$52))</f>
        <v>0</v>
      </c>
    </row>
    <row r="14" spans="1:61" x14ac:dyDescent="0.15">
      <c r="A14" s="314" t="s">
        <v>197</v>
      </c>
      <c r="B14" s="321" cm="1">
        <f t="array" aca="1" ref="B14" ca="1">SUMPRODUCT(B$55:B$114,TRANSPOSE(SAP_Speadsheet!$F$54:$BM$54))</f>
        <v>210.22707797772065</v>
      </c>
      <c r="C14" s="321" cm="1">
        <f t="array" aca="1" ref="C14" ca="1">SUMPRODUCT(C$55:C$114,TRANSPOSE(SAP_Speadsheet!$F$54:$BM$54))</f>
        <v>0</v>
      </c>
      <c r="D14" s="321" cm="1">
        <f t="array" aca="1" ref="D14" ca="1">SUMPRODUCT(D$55:D$114,TRANSPOSE(SAP_Speadsheet!$F$54:$BM$54))</f>
        <v>0</v>
      </c>
      <c r="E14" s="321" cm="1">
        <f t="array" aca="1" ref="E14" ca="1">SUMPRODUCT(E$55:E$114,TRANSPOSE(SAP_Speadsheet!$F$54:$BM$54))</f>
        <v>0</v>
      </c>
      <c r="F14" s="321" cm="1">
        <f t="array" aca="1" ref="F14" ca="1">SUMPRODUCT(F$55:F$114,TRANSPOSE(SAP_Speadsheet!$F$54:$BM$54))</f>
        <v>0</v>
      </c>
      <c r="G14" s="321" cm="1">
        <f t="array" aca="1" ref="G14" ca="1">SUMPRODUCT(G$55:G$114,TRANSPOSE(SAP_Speadsheet!$F$54:$BM$54))</f>
        <v>0</v>
      </c>
      <c r="H14" s="321" cm="1">
        <f t="array" aca="1" ref="H14" ca="1">SUMPRODUCT(H$55:H$114,TRANSPOSE(SAP_Speadsheet!$F$54:$BM$54))</f>
        <v>0</v>
      </c>
      <c r="I14" s="321" cm="1">
        <f t="array" aca="1" ref="I14" ca="1">SUMPRODUCT(I$55:I$114,TRANSPOSE(SAP_Speadsheet!$F$54:$BM$54))</f>
        <v>0</v>
      </c>
      <c r="J14" s="321" cm="1">
        <f t="array" aca="1" ref="J14" ca="1">SUMPRODUCT(J$55:J$114,TRANSPOSE(SAP_Speadsheet!$F$54:$BM$54))</f>
        <v>0</v>
      </c>
      <c r="K14" s="321" cm="1">
        <f t="array" aca="1" ref="K14" ca="1">SUMPRODUCT(K$55:K$114,TRANSPOSE(SAP_Speadsheet!$F$54:$BM$54))</f>
        <v>0</v>
      </c>
      <c r="L14" s="321" cm="1">
        <f t="array" aca="1" ref="L14" ca="1">SUMPRODUCT(L$55:L$114,TRANSPOSE(SAP_Speadsheet!$F$54:$BM$54))</f>
        <v>0</v>
      </c>
      <c r="M14" s="321" cm="1">
        <f t="array" aca="1" ref="M14" ca="1">SUMPRODUCT(M$55:M$114,TRANSPOSE(SAP_Speadsheet!$F$54:$BM$54))</f>
        <v>0</v>
      </c>
      <c r="N14" s="321" cm="1">
        <f t="array" aca="1" ref="N14" ca="1">SUMPRODUCT(N$55:N$114,TRANSPOSE(SAP_Speadsheet!$F$54:$BM$54))</f>
        <v>0</v>
      </c>
      <c r="O14" s="321" cm="1">
        <f t="array" aca="1" ref="O14" ca="1">SUMPRODUCT(O$55:O$114,TRANSPOSE(SAP_Speadsheet!$F$54:$BM$54))</f>
        <v>0</v>
      </c>
      <c r="P14" s="321" cm="1">
        <f t="array" aca="1" ref="P14" ca="1">SUMPRODUCT(P$55:P$114,TRANSPOSE(SAP_Speadsheet!$F$54:$BM$54))</f>
        <v>0</v>
      </c>
      <c r="Q14" s="321" cm="1">
        <f t="array" aca="1" ref="Q14" ca="1">SUMPRODUCT(Q$55:Q$114,TRANSPOSE(SAP_Speadsheet!$F$54:$BM$54))</f>
        <v>0</v>
      </c>
      <c r="R14" s="321" cm="1">
        <f t="array" aca="1" ref="R14" ca="1">SUMPRODUCT(R$55:R$114,TRANSPOSE(SAP_Speadsheet!$F$54:$BM$54))</f>
        <v>0</v>
      </c>
      <c r="S14" s="321" cm="1">
        <f t="array" aca="1" ref="S14" ca="1">SUMPRODUCT(S$55:S$114,TRANSPOSE(SAP_Speadsheet!$F$54:$BM$54))</f>
        <v>0</v>
      </c>
      <c r="T14" s="321" cm="1">
        <f t="array" aca="1" ref="T14" ca="1">SUMPRODUCT(T$55:T$114,TRANSPOSE(SAP_Speadsheet!$F$54:$BM$54))</f>
        <v>0</v>
      </c>
      <c r="U14" s="321" cm="1">
        <f t="array" aca="1" ref="U14" ca="1">SUMPRODUCT(U$55:U$114,TRANSPOSE(SAP_Speadsheet!$F$54:$BM$54))</f>
        <v>0</v>
      </c>
      <c r="V14" s="321" cm="1">
        <f t="array" aca="1" ref="V14" ca="1">SUMPRODUCT(V$55:V$114,TRANSPOSE(SAP_Speadsheet!$F$54:$BM$54))</f>
        <v>0</v>
      </c>
      <c r="W14" s="321" cm="1">
        <f t="array" aca="1" ref="W14" ca="1">SUMPRODUCT(W$55:W$114,TRANSPOSE(SAP_Speadsheet!$F$54:$BM$54))</f>
        <v>0</v>
      </c>
      <c r="X14" s="321" cm="1">
        <f t="array" aca="1" ref="X14" ca="1">SUMPRODUCT(X$55:X$114,TRANSPOSE(SAP_Speadsheet!$F$54:$BM$54))</f>
        <v>0</v>
      </c>
      <c r="Y14" s="321" cm="1">
        <f t="array" aca="1" ref="Y14" ca="1">SUMPRODUCT(Y$55:Y$114,TRANSPOSE(SAP_Speadsheet!$F$54:$BM$54))</f>
        <v>0</v>
      </c>
      <c r="Z14" s="321" cm="1">
        <f t="array" aca="1" ref="Z14" ca="1">SUMPRODUCT(Z$55:Z$114,TRANSPOSE(SAP_Speadsheet!$F$54:$BM$54))</f>
        <v>0</v>
      </c>
      <c r="AA14" s="321" cm="1">
        <f t="array" aca="1" ref="AA14" ca="1">SUMPRODUCT(AA$55:AA$114,TRANSPOSE(SAP_Speadsheet!$F$54:$BM$54))</f>
        <v>0</v>
      </c>
      <c r="AB14" s="321" cm="1">
        <f t="array" aca="1" ref="AB14" ca="1">SUMPRODUCT(AB$55:AB$114,TRANSPOSE(SAP_Speadsheet!$F$54:$BM$54))</f>
        <v>0</v>
      </c>
      <c r="AC14" s="321" cm="1">
        <f t="array" aca="1" ref="AC14" ca="1">SUMPRODUCT(AC$55:AC$114,TRANSPOSE(SAP_Speadsheet!$F$54:$BM$54))</f>
        <v>0</v>
      </c>
      <c r="AD14" s="321" cm="1">
        <f t="array" aca="1" ref="AD14" ca="1">SUMPRODUCT(AD$55:AD$114,TRANSPOSE(SAP_Speadsheet!$F$54:$BM$54))</f>
        <v>0</v>
      </c>
      <c r="AE14" s="321" cm="1">
        <f t="array" aca="1" ref="AE14" ca="1">SUMPRODUCT(AE$55:AE$114,TRANSPOSE(SAP_Speadsheet!$F$54:$BM$54))</f>
        <v>0</v>
      </c>
      <c r="AF14" s="321" cm="1">
        <f t="array" aca="1" ref="AF14" ca="1">SUMPRODUCT(AF$55:AF$114,TRANSPOSE(SAP_Speadsheet!$F$54:$BM$54))</f>
        <v>0</v>
      </c>
      <c r="AG14" s="321" cm="1">
        <f t="array" aca="1" ref="AG14" ca="1">SUMPRODUCT(AG$55:AG$114,TRANSPOSE(SAP_Speadsheet!$F$54:$BM$54))</f>
        <v>0</v>
      </c>
      <c r="AH14" s="321" cm="1">
        <f t="array" aca="1" ref="AH14" ca="1">SUMPRODUCT(AH$55:AH$114,TRANSPOSE(SAP_Speadsheet!$F$54:$BM$54))</f>
        <v>0</v>
      </c>
      <c r="AI14" s="321" cm="1">
        <f t="array" aca="1" ref="AI14" ca="1">SUMPRODUCT(AI$55:AI$114,TRANSPOSE(SAP_Speadsheet!$F$54:$BM$54))</f>
        <v>0</v>
      </c>
      <c r="AJ14" s="321" cm="1">
        <f t="array" aca="1" ref="AJ14" ca="1">SUMPRODUCT(AJ$55:AJ$114,TRANSPOSE(SAP_Speadsheet!$F$54:$BM$54))</f>
        <v>0</v>
      </c>
      <c r="AK14" s="321" cm="1">
        <f t="array" aca="1" ref="AK14" ca="1">SUMPRODUCT(AK$55:AK$114,TRANSPOSE(SAP_Speadsheet!$F$54:$BM$54))</f>
        <v>0</v>
      </c>
      <c r="AL14" s="321" cm="1">
        <f t="array" aca="1" ref="AL14" ca="1">SUMPRODUCT(AL$55:AL$114,TRANSPOSE(SAP_Speadsheet!$F$54:$BM$54))</f>
        <v>0</v>
      </c>
      <c r="AM14" s="321" cm="1">
        <f t="array" aca="1" ref="AM14" ca="1">SUMPRODUCT(AM$55:AM$114,TRANSPOSE(SAP_Speadsheet!$F$54:$BM$54))</f>
        <v>0</v>
      </c>
      <c r="AN14" s="321" cm="1">
        <f t="array" aca="1" ref="AN14" ca="1">SUMPRODUCT(AN$55:AN$114,TRANSPOSE(SAP_Speadsheet!$F$54:$BM$54))</f>
        <v>0</v>
      </c>
      <c r="AO14" s="321" cm="1">
        <f t="array" aca="1" ref="AO14" ca="1">SUMPRODUCT(AO$55:AO$114,TRANSPOSE(SAP_Speadsheet!$F$54:$BM$54))</f>
        <v>0</v>
      </c>
      <c r="AP14" s="321" cm="1">
        <f t="array" aca="1" ref="AP14" ca="1">SUMPRODUCT(AP$55:AP$114,TRANSPOSE(SAP_Speadsheet!$F$54:$BM$54))</f>
        <v>0</v>
      </c>
      <c r="AQ14" s="321" cm="1">
        <f t="array" aca="1" ref="AQ14" ca="1">SUMPRODUCT(AQ$55:AQ$114,TRANSPOSE(SAP_Speadsheet!$F$54:$BM$54))</f>
        <v>0</v>
      </c>
      <c r="AR14" s="321" cm="1">
        <f t="array" aca="1" ref="AR14" ca="1">SUMPRODUCT(AR$55:AR$114,TRANSPOSE(SAP_Speadsheet!$F$54:$BM$54))</f>
        <v>0</v>
      </c>
      <c r="AS14" s="321" cm="1">
        <f t="array" aca="1" ref="AS14" ca="1">SUMPRODUCT(AS$55:AS$114,TRANSPOSE(SAP_Speadsheet!$F$54:$BM$54))</f>
        <v>0</v>
      </c>
      <c r="AT14" s="321" cm="1">
        <f t="array" aca="1" ref="AT14" ca="1">SUMPRODUCT(AT$55:AT$114,TRANSPOSE(SAP_Speadsheet!$F$54:$BM$54))</f>
        <v>0</v>
      </c>
      <c r="AU14" s="321" cm="1">
        <f t="array" aca="1" ref="AU14" ca="1">SUMPRODUCT(AU$55:AU$114,TRANSPOSE(SAP_Speadsheet!$F$54:$BM$54))</f>
        <v>0</v>
      </c>
      <c r="AV14" s="321" cm="1">
        <f t="array" aca="1" ref="AV14" ca="1">SUMPRODUCT(AV$55:AV$114,TRANSPOSE(SAP_Speadsheet!$F$54:$BM$54))</f>
        <v>0</v>
      </c>
      <c r="AW14" s="321" cm="1">
        <f t="array" aca="1" ref="AW14" ca="1">SUMPRODUCT(AW$55:AW$114,TRANSPOSE(SAP_Speadsheet!$F$54:$BM$54))</f>
        <v>0</v>
      </c>
      <c r="AX14" s="321" cm="1">
        <f t="array" aca="1" ref="AX14" ca="1">SUMPRODUCT(AX$55:AX$114,TRANSPOSE(SAP_Speadsheet!$F$54:$BM$54))</f>
        <v>0</v>
      </c>
      <c r="AY14" s="321" cm="1">
        <f t="array" aca="1" ref="AY14" ca="1">SUMPRODUCT(AY$55:AY$114,TRANSPOSE(SAP_Speadsheet!$F$54:$BM$54))</f>
        <v>0</v>
      </c>
      <c r="AZ14" s="321" cm="1">
        <f t="array" aca="1" ref="AZ14" ca="1">SUMPRODUCT(AZ$55:AZ$114,TRANSPOSE(SAP_Speadsheet!$F$54:$BM$54))</f>
        <v>0</v>
      </c>
      <c r="BA14" s="321" cm="1">
        <f t="array" aca="1" ref="BA14" ca="1">SUMPRODUCT(BA$55:BA$114,TRANSPOSE(SAP_Speadsheet!$F$54:$BM$54))</f>
        <v>0</v>
      </c>
      <c r="BB14" s="321" cm="1">
        <f t="array" aca="1" ref="BB14" ca="1">SUMPRODUCT(BB$55:BB$114,TRANSPOSE(SAP_Speadsheet!$F$54:$BM$54))</f>
        <v>0</v>
      </c>
      <c r="BC14" s="321" cm="1">
        <f t="array" aca="1" ref="BC14" ca="1">SUMPRODUCT(BC$55:BC$114,TRANSPOSE(SAP_Speadsheet!$F$54:$BM$54))</f>
        <v>0</v>
      </c>
      <c r="BD14" s="321" cm="1">
        <f t="array" aca="1" ref="BD14" ca="1">SUMPRODUCT(BD$55:BD$114,TRANSPOSE(SAP_Speadsheet!$F$54:$BM$54))</f>
        <v>0</v>
      </c>
      <c r="BE14" s="321" cm="1">
        <f t="array" aca="1" ref="BE14" ca="1">SUMPRODUCT(BE$55:BE$114,TRANSPOSE(SAP_Speadsheet!$F$54:$BM$54))</f>
        <v>0</v>
      </c>
      <c r="BF14" s="321" cm="1">
        <f t="array" aca="1" ref="BF14" ca="1">SUMPRODUCT(BF$55:BF$114,TRANSPOSE(SAP_Speadsheet!$F$54:$BM$54))</f>
        <v>0</v>
      </c>
      <c r="BG14" s="321" cm="1">
        <f t="array" aca="1" ref="BG14" ca="1">SUMPRODUCT(BG$55:BG$114,TRANSPOSE(SAP_Speadsheet!$F$54:$BM$54))</f>
        <v>0</v>
      </c>
      <c r="BH14" s="321" cm="1">
        <f t="array" aca="1" ref="BH14" ca="1">SUMPRODUCT(BH$55:BH$114,TRANSPOSE(SAP_Speadsheet!$F$54:$BM$54))</f>
        <v>0</v>
      </c>
      <c r="BI14" s="321" cm="1">
        <f t="array" aca="1" ref="BI14" ca="1">SUMPRODUCT(BI$55:BI$114,TRANSPOSE(SAP_Speadsheet!$F$54:$BM$54))</f>
        <v>0</v>
      </c>
    </row>
    <row r="15" spans="1:61" x14ac:dyDescent="0.15">
      <c r="A15" s="325" t="s">
        <v>397</v>
      </c>
      <c r="B15" s="326" cm="1">
        <f t="array" aca="1" ref="B15" ca="1">SUMPRODUCT(B$55:B$114,TRANSPOSE(SAP_Speadsheet!$F$55:$BM$55))</f>
        <v>0</v>
      </c>
      <c r="C15" s="326" cm="1">
        <f t="array" aca="1" ref="C15" ca="1">SUMPRODUCT(C$55:C$114,TRANSPOSE(SAP_Speadsheet!$F$55:$BM$55))</f>
        <v>0</v>
      </c>
      <c r="D15" s="326" cm="1">
        <f t="array" aca="1" ref="D15" ca="1">SUMPRODUCT(D$55:D$114,TRANSPOSE(SAP_Speadsheet!$F$55:$BM$55))</f>
        <v>0</v>
      </c>
      <c r="E15" s="326" cm="1">
        <f t="array" aca="1" ref="E15" ca="1">SUMPRODUCT(E$55:E$114,TRANSPOSE(SAP_Speadsheet!$F$55:$BM$55))</f>
        <v>0</v>
      </c>
      <c r="F15" s="326" cm="1">
        <f t="array" aca="1" ref="F15" ca="1">SUMPRODUCT(F$55:F$114,TRANSPOSE(SAP_Speadsheet!$F$55:$BM$55))</f>
        <v>0</v>
      </c>
      <c r="G15" s="326" cm="1">
        <f t="array" aca="1" ref="G15" ca="1">SUMPRODUCT(G$55:G$114,TRANSPOSE(SAP_Speadsheet!$F$55:$BM$55))</f>
        <v>0</v>
      </c>
      <c r="H15" s="326" cm="1">
        <f t="array" aca="1" ref="H15" ca="1">SUMPRODUCT(H$55:H$114,TRANSPOSE(SAP_Speadsheet!$F$55:$BM$55))</f>
        <v>0</v>
      </c>
      <c r="I15" s="326" cm="1">
        <f t="array" aca="1" ref="I15" ca="1">SUMPRODUCT(I$55:I$114,TRANSPOSE(SAP_Speadsheet!$F$55:$BM$55))</f>
        <v>0</v>
      </c>
      <c r="J15" s="326" cm="1">
        <f t="array" aca="1" ref="J15" ca="1">SUMPRODUCT(J$55:J$114,TRANSPOSE(SAP_Speadsheet!$F$55:$BM$55))</f>
        <v>0</v>
      </c>
      <c r="K15" s="326" cm="1">
        <f t="array" aca="1" ref="K15" ca="1">SUMPRODUCT(K$55:K$114,TRANSPOSE(SAP_Speadsheet!$F$55:$BM$55))</f>
        <v>0</v>
      </c>
      <c r="L15" s="326" cm="1">
        <f t="array" aca="1" ref="L15" ca="1">SUMPRODUCT(L$55:L$114,TRANSPOSE(SAP_Speadsheet!$F$55:$BM$55))</f>
        <v>0</v>
      </c>
      <c r="M15" s="326" cm="1">
        <f t="array" aca="1" ref="M15" ca="1">SUMPRODUCT(M$55:M$114,TRANSPOSE(SAP_Speadsheet!$F$55:$BM$55))</f>
        <v>0</v>
      </c>
      <c r="N15" s="326" cm="1">
        <f t="array" aca="1" ref="N15" ca="1">SUMPRODUCT(N$55:N$114,TRANSPOSE(SAP_Speadsheet!$F$55:$BM$55))</f>
        <v>0</v>
      </c>
      <c r="O15" s="326" cm="1">
        <f t="array" aca="1" ref="O15" ca="1">SUMPRODUCT(O$55:O$114,TRANSPOSE(SAP_Speadsheet!$F$55:$BM$55))</f>
        <v>0</v>
      </c>
      <c r="P15" s="326" cm="1">
        <f t="array" aca="1" ref="P15" ca="1">SUMPRODUCT(P$55:P$114,TRANSPOSE(SAP_Speadsheet!$F$55:$BM$55))</f>
        <v>0</v>
      </c>
      <c r="Q15" s="326" cm="1">
        <f t="array" aca="1" ref="Q15" ca="1">SUMPRODUCT(Q$55:Q$114,TRANSPOSE(SAP_Speadsheet!$F$55:$BM$55))</f>
        <v>0</v>
      </c>
      <c r="R15" s="326" cm="1">
        <f t="array" aca="1" ref="R15" ca="1">SUMPRODUCT(R$55:R$114,TRANSPOSE(SAP_Speadsheet!$F$55:$BM$55))</f>
        <v>0</v>
      </c>
      <c r="S15" s="326" cm="1">
        <f t="array" aca="1" ref="S15" ca="1">SUMPRODUCT(S$55:S$114,TRANSPOSE(SAP_Speadsheet!$F$55:$BM$55))</f>
        <v>0</v>
      </c>
      <c r="T15" s="326" cm="1">
        <f t="array" aca="1" ref="T15" ca="1">SUMPRODUCT(T$55:T$114,TRANSPOSE(SAP_Speadsheet!$F$55:$BM$55))</f>
        <v>0</v>
      </c>
      <c r="U15" s="326" cm="1">
        <f t="array" aca="1" ref="U15" ca="1">SUMPRODUCT(U$55:U$114,TRANSPOSE(SAP_Speadsheet!$F$55:$BM$55))</f>
        <v>0</v>
      </c>
      <c r="V15" s="326" cm="1">
        <f t="array" aca="1" ref="V15" ca="1">SUMPRODUCT(V$55:V$114,TRANSPOSE(SAP_Speadsheet!$F$55:$BM$55))</f>
        <v>0</v>
      </c>
      <c r="W15" s="326" cm="1">
        <f t="array" aca="1" ref="W15" ca="1">SUMPRODUCT(W$55:W$114,TRANSPOSE(SAP_Speadsheet!$F$55:$BM$55))</f>
        <v>0</v>
      </c>
      <c r="X15" s="326" cm="1">
        <f t="array" aca="1" ref="X15" ca="1">SUMPRODUCT(X$55:X$114,TRANSPOSE(SAP_Speadsheet!$F$55:$BM$55))</f>
        <v>0</v>
      </c>
      <c r="Y15" s="326" cm="1">
        <f t="array" aca="1" ref="Y15" ca="1">SUMPRODUCT(Y$55:Y$114,TRANSPOSE(SAP_Speadsheet!$F$55:$BM$55))</f>
        <v>0</v>
      </c>
      <c r="Z15" s="326" cm="1">
        <f t="array" aca="1" ref="Z15" ca="1">SUMPRODUCT(Z$55:Z$114,TRANSPOSE(SAP_Speadsheet!$F$55:$BM$55))</f>
        <v>0</v>
      </c>
      <c r="AA15" s="326" cm="1">
        <f t="array" aca="1" ref="AA15" ca="1">SUMPRODUCT(AA$55:AA$114,TRANSPOSE(SAP_Speadsheet!$F$55:$BM$55))</f>
        <v>0</v>
      </c>
      <c r="AB15" s="326" cm="1">
        <f t="array" aca="1" ref="AB15" ca="1">SUMPRODUCT(AB$55:AB$114,TRANSPOSE(SAP_Speadsheet!$F$55:$BM$55))</f>
        <v>0</v>
      </c>
      <c r="AC15" s="326" cm="1">
        <f t="array" aca="1" ref="AC15" ca="1">SUMPRODUCT(AC$55:AC$114,TRANSPOSE(SAP_Speadsheet!$F$55:$BM$55))</f>
        <v>0</v>
      </c>
      <c r="AD15" s="326" cm="1">
        <f t="array" aca="1" ref="AD15" ca="1">SUMPRODUCT(AD$55:AD$114,TRANSPOSE(SAP_Speadsheet!$F$55:$BM$55))</f>
        <v>0</v>
      </c>
      <c r="AE15" s="326" cm="1">
        <f t="array" aca="1" ref="AE15" ca="1">SUMPRODUCT(AE$55:AE$114,TRANSPOSE(SAP_Speadsheet!$F$55:$BM$55))</f>
        <v>0</v>
      </c>
      <c r="AF15" s="326" cm="1">
        <f t="array" aca="1" ref="AF15" ca="1">SUMPRODUCT(AF$55:AF$114,TRANSPOSE(SAP_Speadsheet!$F$55:$BM$55))</f>
        <v>0</v>
      </c>
      <c r="AG15" s="326" cm="1">
        <f t="array" aca="1" ref="AG15" ca="1">SUMPRODUCT(AG$55:AG$114,TRANSPOSE(SAP_Speadsheet!$F$55:$BM$55))</f>
        <v>0</v>
      </c>
      <c r="AH15" s="326" cm="1">
        <f t="array" aca="1" ref="AH15" ca="1">SUMPRODUCT(AH$55:AH$114,TRANSPOSE(SAP_Speadsheet!$F$55:$BM$55))</f>
        <v>0</v>
      </c>
      <c r="AI15" s="326" cm="1">
        <f t="array" aca="1" ref="AI15" ca="1">SUMPRODUCT(AI$55:AI$114,TRANSPOSE(SAP_Speadsheet!$F$55:$BM$55))</f>
        <v>0</v>
      </c>
      <c r="AJ15" s="326" cm="1">
        <f t="array" aca="1" ref="AJ15" ca="1">SUMPRODUCT(AJ$55:AJ$114,TRANSPOSE(SAP_Speadsheet!$F$55:$BM$55))</f>
        <v>0</v>
      </c>
      <c r="AK15" s="326" cm="1">
        <f t="array" aca="1" ref="AK15" ca="1">SUMPRODUCT(AK$55:AK$114,TRANSPOSE(SAP_Speadsheet!$F$55:$BM$55))</f>
        <v>0</v>
      </c>
      <c r="AL15" s="326" cm="1">
        <f t="array" aca="1" ref="AL15" ca="1">SUMPRODUCT(AL$55:AL$114,TRANSPOSE(SAP_Speadsheet!$F$55:$BM$55))</f>
        <v>0</v>
      </c>
      <c r="AM15" s="326" cm="1">
        <f t="array" aca="1" ref="AM15" ca="1">SUMPRODUCT(AM$55:AM$114,TRANSPOSE(SAP_Speadsheet!$F$55:$BM$55))</f>
        <v>0</v>
      </c>
      <c r="AN15" s="326" cm="1">
        <f t="array" aca="1" ref="AN15" ca="1">SUMPRODUCT(AN$55:AN$114,TRANSPOSE(SAP_Speadsheet!$F$55:$BM$55))</f>
        <v>0</v>
      </c>
      <c r="AO15" s="326" cm="1">
        <f t="array" aca="1" ref="AO15" ca="1">SUMPRODUCT(AO$55:AO$114,TRANSPOSE(SAP_Speadsheet!$F$55:$BM$55))</f>
        <v>0</v>
      </c>
      <c r="AP15" s="326" cm="1">
        <f t="array" aca="1" ref="AP15" ca="1">SUMPRODUCT(AP$55:AP$114,TRANSPOSE(SAP_Speadsheet!$F$55:$BM$55))</f>
        <v>0</v>
      </c>
      <c r="AQ15" s="326" cm="1">
        <f t="array" aca="1" ref="AQ15" ca="1">SUMPRODUCT(AQ$55:AQ$114,TRANSPOSE(SAP_Speadsheet!$F$55:$BM$55))</f>
        <v>0</v>
      </c>
      <c r="AR15" s="326" cm="1">
        <f t="array" aca="1" ref="AR15" ca="1">SUMPRODUCT(AR$55:AR$114,TRANSPOSE(SAP_Speadsheet!$F$55:$BM$55))</f>
        <v>0</v>
      </c>
      <c r="AS15" s="326" cm="1">
        <f t="array" aca="1" ref="AS15" ca="1">SUMPRODUCT(AS$55:AS$114,TRANSPOSE(SAP_Speadsheet!$F$55:$BM$55))</f>
        <v>0</v>
      </c>
      <c r="AT15" s="326" cm="1">
        <f t="array" aca="1" ref="AT15" ca="1">SUMPRODUCT(AT$55:AT$114,TRANSPOSE(SAP_Speadsheet!$F$55:$BM$55))</f>
        <v>0</v>
      </c>
      <c r="AU15" s="326" cm="1">
        <f t="array" aca="1" ref="AU15" ca="1">SUMPRODUCT(AU$55:AU$114,TRANSPOSE(SAP_Speadsheet!$F$55:$BM$55))</f>
        <v>0</v>
      </c>
      <c r="AV15" s="326" cm="1">
        <f t="array" aca="1" ref="AV15" ca="1">SUMPRODUCT(AV$55:AV$114,TRANSPOSE(SAP_Speadsheet!$F$55:$BM$55))</f>
        <v>0</v>
      </c>
      <c r="AW15" s="326" cm="1">
        <f t="array" aca="1" ref="AW15" ca="1">SUMPRODUCT(AW$55:AW$114,TRANSPOSE(SAP_Speadsheet!$F$55:$BM$55))</f>
        <v>0</v>
      </c>
      <c r="AX15" s="326" cm="1">
        <f t="array" aca="1" ref="AX15" ca="1">SUMPRODUCT(AX$55:AX$114,TRANSPOSE(SAP_Speadsheet!$F$55:$BM$55))</f>
        <v>0</v>
      </c>
      <c r="AY15" s="326" cm="1">
        <f t="array" aca="1" ref="AY15" ca="1">SUMPRODUCT(AY$55:AY$114,TRANSPOSE(SAP_Speadsheet!$F$55:$BM$55))</f>
        <v>0</v>
      </c>
      <c r="AZ15" s="326" cm="1">
        <f t="array" aca="1" ref="AZ15" ca="1">SUMPRODUCT(AZ$55:AZ$114,TRANSPOSE(SAP_Speadsheet!$F$55:$BM$55))</f>
        <v>0</v>
      </c>
      <c r="BA15" s="326" cm="1">
        <f t="array" aca="1" ref="BA15" ca="1">SUMPRODUCT(BA$55:BA$114,TRANSPOSE(SAP_Speadsheet!$F$55:$BM$55))</f>
        <v>0</v>
      </c>
      <c r="BB15" s="326" cm="1">
        <f t="array" aca="1" ref="BB15" ca="1">SUMPRODUCT(BB$55:BB$114,TRANSPOSE(SAP_Speadsheet!$F$55:$BM$55))</f>
        <v>0</v>
      </c>
      <c r="BC15" s="326" cm="1">
        <f t="array" aca="1" ref="BC15" ca="1">SUMPRODUCT(BC$55:BC$114,TRANSPOSE(SAP_Speadsheet!$F$55:$BM$55))</f>
        <v>0</v>
      </c>
      <c r="BD15" s="326" cm="1">
        <f t="array" aca="1" ref="BD15" ca="1">SUMPRODUCT(BD$55:BD$114,TRANSPOSE(SAP_Speadsheet!$F$55:$BM$55))</f>
        <v>0</v>
      </c>
      <c r="BE15" s="326" cm="1">
        <f t="array" aca="1" ref="BE15" ca="1">SUMPRODUCT(BE$55:BE$114,TRANSPOSE(SAP_Speadsheet!$F$55:$BM$55))</f>
        <v>0</v>
      </c>
      <c r="BF15" s="326" cm="1">
        <f t="array" aca="1" ref="BF15" ca="1">SUMPRODUCT(BF$55:BF$114,TRANSPOSE(SAP_Speadsheet!$F$55:$BM$55))</f>
        <v>0</v>
      </c>
      <c r="BG15" s="326" cm="1">
        <f t="array" aca="1" ref="BG15" ca="1">SUMPRODUCT(BG$55:BG$114,TRANSPOSE(SAP_Speadsheet!$F$55:$BM$55))</f>
        <v>0</v>
      </c>
      <c r="BH15" s="326" cm="1">
        <f t="array" aca="1" ref="BH15" ca="1">SUMPRODUCT(BH$55:BH$114,TRANSPOSE(SAP_Speadsheet!$F$55:$BM$55))</f>
        <v>0</v>
      </c>
      <c r="BI15" s="326" cm="1">
        <f t="array" aca="1" ref="BI15" ca="1">SUMPRODUCT(BI$55:BI$114,TRANSPOSE(SAP_Speadsheet!$F$55:$BM$55))</f>
        <v>0</v>
      </c>
    </row>
    <row r="16" spans="1:61" x14ac:dyDescent="0.15">
      <c r="A16" s="325" t="s">
        <v>63</v>
      </c>
      <c r="B16" s="326" cm="1">
        <f t="array" aca="1" ref="B16" ca="1">SUMPRODUCT(B$55:B$114,TRANSPOSE(SAP_Speadsheet!$F$56:$BM$56))</f>
        <v>0</v>
      </c>
      <c r="C16" s="326" cm="1">
        <f t="array" aca="1" ref="C16" ca="1">SUMPRODUCT(C$55:C$114,TRANSPOSE(SAP_Speadsheet!$F$56:$BM$56))</f>
        <v>0</v>
      </c>
      <c r="D16" s="326" cm="1">
        <f t="array" aca="1" ref="D16" ca="1">SUMPRODUCT(D$55:D$114,TRANSPOSE(SAP_Speadsheet!$F$56:$BM$56))</f>
        <v>0</v>
      </c>
      <c r="E16" s="326" cm="1">
        <f t="array" aca="1" ref="E16" ca="1">SUMPRODUCT(E$55:E$114,TRANSPOSE(SAP_Speadsheet!$F$56:$BM$56))</f>
        <v>0</v>
      </c>
      <c r="F16" s="326" cm="1">
        <f t="array" aca="1" ref="F16" ca="1">SUMPRODUCT(F$55:F$114,TRANSPOSE(SAP_Speadsheet!$F$56:$BM$56))</f>
        <v>0</v>
      </c>
      <c r="G16" s="326" cm="1">
        <f t="array" aca="1" ref="G16" ca="1">SUMPRODUCT(G$55:G$114,TRANSPOSE(SAP_Speadsheet!$F$56:$BM$56))</f>
        <v>0</v>
      </c>
      <c r="H16" s="326" cm="1">
        <f t="array" aca="1" ref="H16" ca="1">SUMPRODUCT(H$55:H$114,TRANSPOSE(SAP_Speadsheet!$F$56:$BM$56))</f>
        <v>0</v>
      </c>
      <c r="I16" s="326" cm="1">
        <f t="array" aca="1" ref="I16" ca="1">SUMPRODUCT(I$55:I$114,TRANSPOSE(SAP_Speadsheet!$F$56:$BM$56))</f>
        <v>0</v>
      </c>
      <c r="J16" s="326" cm="1">
        <f t="array" aca="1" ref="J16" ca="1">SUMPRODUCT(J$55:J$114,TRANSPOSE(SAP_Speadsheet!$F$56:$BM$56))</f>
        <v>0</v>
      </c>
      <c r="K16" s="326" cm="1">
        <f t="array" aca="1" ref="K16" ca="1">SUMPRODUCT(K$55:K$114,TRANSPOSE(SAP_Speadsheet!$F$56:$BM$56))</f>
        <v>0</v>
      </c>
      <c r="L16" s="326" cm="1">
        <f t="array" aca="1" ref="L16" ca="1">SUMPRODUCT(L$55:L$114,TRANSPOSE(SAP_Speadsheet!$F$56:$BM$56))</f>
        <v>0</v>
      </c>
      <c r="M16" s="326" cm="1">
        <f t="array" aca="1" ref="M16" ca="1">SUMPRODUCT(M$55:M$114,TRANSPOSE(SAP_Speadsheet!$F$56:$BM$56))</f>
        <v>0</v>
      </c>
      <c r="N16" s="326" cm="1">
        <f t="array" aca="1" ref="N16" ca="1">SUMPRODUCT(N$55:N$114,TRANSPOSE(SAP_Speadsheet!$F$56:$BM$56))</f>
        <v>0</v>
      </c>
      <c r="O16" s="326" cm="1">
        <f t="array" aca="1" ref="O16" ca="1">SUMPRODUCT(O$55:O$114,TRANSPOSE(SAP_Speadsheet!$F$56:$BM$56))</f>
        <v>0</v>
      </c>
      <c r="P16" s="326" cm="1">
        <f t="array" aca="1" ref="P16" ca="1">SUMPRODUCT(P$55:P$114,TRANSPOSE(SAP_Speadsheet!$F$56:$BM$56))</f>
        <v>0</v>
      </c>
      <c r="Q16" s="326" cm="1">
        <f t="array" aca="1" ref="Q16" ca="1">SUMPRODUCT(Q$55:Q$114,TRANSPOSE(SAP_Speadsheet!$F$56:$BM$56))</f>
        <v>0</v>
      </c>
      <c r="R16" s="326" cm="1">
        <f t="array" aca="1" ref="R16" ca="1">SUMPRODUCT(R$55:R$114,TRANSPOSE(SAP_Speadsheet!$F$56:$BM$56))</f>
        <v>0</v>
      </c>
      <c r="S16" s="326" cm="1">
        <f t="array" aca="1" ref="S16" ca="1">SUMPRODUCT(S$55:S$114,TRANSPOSE(SAP_Speadsheet!$F$56:$BM$56))</f>
        <v>0</v>
      </c>
      <c r="T16" s="326" cm="1">
        <f t="array" aca="1" ref="T16" ca="1">SUMPRODUCT(T$55:T$114,TRANSPOSE(SAP_Speadsheet!$F$56:$BM$56))</f>
        <v>0</v>
      </c>
      <c r="U16" s="326" cm="1">
        <f t="array" aca="1" ref="U16" ca="1">SUMPRODUCT(U$55:U$114,TRANSPOSE(SAP_Speadsheet!$F$56:$BM$56))</f>
        <v>0</v>
      </c>
      <c r="V16" s="326" cm="1">
        <f t="array" aca="1" ref="V16" ca="1">SUMPRODUCT(V$55:V$114,TRANSPOSE(SAP_Speadsheet!$F$56:$BM$56))</f>
        <v>0</v>
      </c>
      <c r="W16" s="326" cm="1">
        <f t="array" aca="1" ref="W16" ca="1">SUMPRODUCT(W$55:W$114,TRANSPOSE(SAP_Speadsheet!$F$56:$BM$56))</f>
        <v>0</v>
      </c>
      <c r="X16" s="326" cm="1">
        <f t="array" aca="1" ref="X16" ca="1">SUMPRODUCT(X$55:X$114,TRANSPOSE(SAP_Speadsheet!$F$56:$BM$56))</f>
        <v>0</v>
      </c>
      <c r="Y16" s="326" cm="1">
        <f t="array" aca="1" ref="Y16" ca="1">SUMPRODUCT(Y$55:Y$114,TRANSPOSE(SAP_Speadsheet!$F$56:$BM$56))</f>
        <v>0</v>
      </c>
      <c r="Z16" s="326" cm="1">
        <f t="array" aca="1" ref="Z16" ca="1">SUMPRODUCT(Z$55:Z$114,TRANSPOSE(SAP_Speadsheet!$F$56:$BM$56))</f>
        <v>0</v>
      </c>
      <c r="AA16" s="326" cm="1">
        <f t="array" aca="1" ref="AA16" ca="1">SUMPRODUCT(AA$55:AA$114,TRANSPOSE(SAP_Speadsheet!$F$56:$BM$56))</f>
        <v>0</v>
      </c>
      <c r="AB16" s="326" cm="1">
        <f t="array" aca="1" ref="AB16" ca="1">SUMPRODUCT(AB$55:AB$114,TRANSPOSE(SAP_Speadsheet!$F$56:$BM$56))</f>
        <v>0</v>
      </c>
      <c r="AC16" s="326" cm="1">
        <f t="array" aca="1" ref="AC16" ca="1">SUMPRODUCT(AC$55:AC$114,TRANSPOSE(SAP_Speadsheet!$F$56:$BM$56))</f>
        <v>0</v>
      </c>
      <c r="AD16" s="326" cm="1">
        <f t="array" aca="1" ref="AD16" ca="1">SUMPRODUCT(AD$55:AD$114,TRANSPOSE(SAP_Speadsheet!$F$56:$BM$56))</f>
        <v>0</v>
      </c>
      <c r="AE16" s="326" cm="1">
        <f t="array" aca="1" ref="AE16" ca="1">SUMPRODUCT(AE$55:AE$114,TRANSPOSE(SAP_Speadsheet!$F$56:$BM$56))</f>
        <v>0</v>
      </c>
      <c r="AF16" s="326" cm="1">
        <f t="array" aca="1" ref="AF16" ca="1">SUMPRODUCT(AF$55:AF$114,TRANSPOSE(SAP_Speadsheet!$F$56:$BM$56))</f>
        <v>0</v>
      </c>
      <c r="AG16" s="326" cm="1">
        <f t="array" aca="1" ref="AG16" ca="1">SUMPRODUCT(AG$55:AG$114,TRANSPOSE(SAP_Speadsheet!$F$56:$BM$56))</f>
        <v>0</v>
      </c>
      <c r="AH16" s="326" cm="1">
        <f t="array" aca="1" ref="AH16" ca="1">SUMPRODUCT(AH$55:AH$114,TRANSPOSE(SAP_Speadsheet!$F$56:$BM$56))</f>
        <v>0</v>
      </c>
      <c r="AI16" s="326" cm="1">
        <f t="array" aca="1" ref="AI16" ca="1">SUMPRODUCT(AI$55:AI$114,TRANSPOSE(SAP_Speadsheet!$F$56:$BM$56))</f>
        <v>0</v>
      </c>
      <c r="AJ16" s="326" cm="1">
        <f t="array" aca="1" ref="AJ16" ca="1">SUMPRODUCT(AJ$55:AJ$114,TRANSPOSE(SAP_Speadsheet!$F$56:$BM$56))</f>
        <v>0</v>
      </c>
      <c r="AK16" s="326" cm="1">
        <f t="array" aca="1" ref="AK16" ca="1">SUMPRODUCT(AK$55:AK$114,TRANSPOSE(SAP_Speadsheet!$F$56:$BM$56))</f>
        <v>0</v>
      </c>
      <c r="AL16" s="326" cm="1">
        <f t="array" aca="1" ref="AL16" ca="1">SUMPRODUCT(AL$55:AL$114,TRANSPOSE(SAP_Speadsheet!$F$56:$BM$56))</f>
        <v>0</v>
      </c>
      <c r="AM16" s="326" cm="1">
        <f t="array" aca="1" ref="AM16" ca="1">SUMPRODUCT(AM$55:AM$114,TRANSPOSE(SAP_Speadsheet!$F$56:$BM$56))</f>
        <v>0</v>
      </c>
      <c r="AN16" s="326" cm="1">
        <f t="array" aca="1" ref="AN16" ca="1">SUMPRODUCT(AN$55:AN$114,TRANSPOSE(SAP_Speadsheet!$F$56:$BM$56))</f>
        <v>0</v>
      </c>
      <c r="AO16" s="326" cm="1">
        <f t="array" aca="1" ref="AO16" ca="1">SUMPRODUCT(AO$55:AO$114,TRANSPOSE(SAP_Speadsheet!$F$56:$BM$56))</f>
        <v>0</v>
      </c>
      <c r="AP16" s="326" cm="1">
        <f t="array" aca="1" ref="AP16" ca="1">SUMPRODUCT(AP$55:AP$114,TRANSPOSE(SAP_Speadsheet!$F$56:$BM$56))</f>
        <v>0</v>
      </c>
      <c r="AQ16" s="326" cm="1">
        <f t="array" aca="1" ref="AQ16" ca="1">SUMPRODUCT(AQ$55:AQ$114,TRANSPOSE(SAP_Speadsheet!$F$56:$BM$56))</f>
        <v>0</v>
      </c>
      <c r="AR16" s="326" cm="1">
        <f t="array" aca="1" ref="AR16" ca="1">SUMPRODUCT(AR$55:AR$114,TRANSPOSE(SAP_Speadsheet!$F$56:$BM$56))</f>
        <v>0</v>
      </c>
      <c r="AS16" s="326" cm="1">
        <f t="array" aca="1" ref="AS16" ca="1">SUMPRODUCT(AS$55:AS$114,TRANSPOSE(SAP_Speadsheet!$F$56:$BM$56))</f>
        <v>0</v>
      </c>
      <c r="AT16" s="326" cm="1">
        <f t="array" aca="1" ref="AT16" ca="1">SUMPRODUCT(AT$55:AT$114,TRANSPOSE(SAP_Speadsheet!$F$56:$BM$56))</f>
        <v>0</v>
      </c>
      <c r="AU16" s="326" cm="1">
        <f t="array" aca="1" ref="AU16" ca="1">SUMPRODUCT(AU$55:AU$114,TRANSPOSE(SAP_Speadsheet!$F$56:$BM$56))</f>
        <v>0</v>
      </c>
      <c r="AV16" s="326" cm="1">
        <f t="array" aca="1" ref="AV16" ca="1">SUMPRODUCT(AV$55:AV$114,TRANSPOSE(SAP_Speadsheet!$F$56:$BM$56))</f>
        <v>0</v>
      </c>
      <c r="AW16" s="326" cm="1">
        <f t="array" aca="1" ref="AW16" ca="1">SUMPRODUCT(AW$55:AW$114,TRANSPOSE(SAP_Speadsheet!$F$56:$BM$56))</f>
        <v>0</v>
      </c>
      <c r="AX16" s="326" cm="1">
        <f t="array" aca="1" ref="AX16" ca="1">SUMPRODUCT(AX$55:AX$114,TRANSPOSE(SAP_Speadsheet!$F$56:$BM$56))</f>
        <v>0</v>
      </c>
      <c r="AY16" s="326" cm="1">
        <f t="array" aca="1" ref="AY16" ca="1">SUMPRODUCT(AY$55:AY$114,TRANSPOSE(SAP_Speadsheet!$F$56:$BM$56))</f>
        <v>0</v>
      </c>
      <c r="AZ16" s="326" cm="1">
        <f t="array" aca="1" ref="AZ16" ca="1">SUMPRODUCT(AZ$55:AZ$114,TRANSPOSE(SAP_Speadsheet!$F$56:$BM$56))</f>
        <v>0</v>
      </c>
      <c r="BA16" s="326" cm="1">
        <f t="array" aca="1" ref="BA16" ca="1">SUMPRODUCT(BA$55:BA$114,TRANSPOSE(SAP_Speadsheet!$F$56:$BM$56))</f>
        <v>0</v>
      </c>
      <c r="BB16" s="326" cm="1">
        <f t="array" aca="1" ref="BB16" ca="1">SUMPRODUCT(BB$55:BB$114,TRANSPOSE(SAP_Speadsheet!$F$56:$BM$56))</f>
        <v>0</v>
      </c>
      <c r="BC16" s="326" cm="1">
        <f t="array" aca="1" ref="BC16" ca="1">SUMPRODUCT(BC$55:BC$114,TRANSPOSE(SAP_Speadsheet!$F$56:$BM$56))</f>
        <v>0</v>
      </c>
      <c r="BD16" s="326" cm="1">
        <f t="array" aca="1" ref="BD16" ca="1">SUMPRODUCT(BD$55:BD$114,TRANSPOSE(SAP_Speadsheet!$F$56:$BM$56))</f>
        <v>0</v>
      </c>
      <c r="BE16" s="326" cm="1">
        <f t="array" aca="1" ref="BE16" ca="1">SUMPRODUCT(BE$55:BE$114,TRANSPOSE(SAP_Speadsheet!$F$56:$BM$56))</f>
        <v>0</v>
      </c>
      <c r="BF16" s="326" cm="1">
        <f t="array" aca="1" ref="BF16" ca="1">SUMPRODUCT(BF$55:BF$114,TRANSPOSE(SAP_Speadsheet!$F$56:$BM$56))</f>
        <v>0</v>
      </c>
      <c r="BG16" s="326" cm="1">
        <f t="array" aca="1" ref="BG16" ca="1">SUMPRODUCT(BG$55:BG$114,TRANSPOSE(SAP_Speadsheet!$F$56:$BM$56))</f>
        <v>0</v>
      </c>
      <c r="BH16" s="326" cm="1">
        <f t="array" aca="1" ref="BH16" ca="1">SUMPRODUCT(BH$55:BH$114,TRANSPOSE(SAP_Speadsheet!$F$56:$BM$56))</f>
        <v>0</v>
      </c>
      <c r="BI16" s="326" cm="1">
        <f t="array" aca="1" ref="BI16" ca="1">SUMPRODUCT(BI$55:BI$114,TRANSPOSE(SAP_Speadsheet!$F$56:$BM$56))</f>
        <v>0</v>
      </c>
    </row>
    <row r="17" spans="1:61" x14ac:dyDescent="0.15">
      <c r="A17" s="325" t="s">
        <v>65</v>
      </c>
      <c r="B17" s="326" cm="1">
        <f t="array" aca="1" ref="B17" ca="1">SUMPRODUCT(B$55:B$114,TRANSPOSE(SAP_Speadsheet!$F$57:$BM$57))</f>
        <v>210.22707797772065</v>
      </c>
      <c r="C17" s="326" cm="1">
        <f t="array" aca="1" ref="C17" ca="1">SUMPRODUCT(C$55:C$114,TRANSPOSE(SAP_Speadsheet!$F$57:$BM$57))</f>
        <v>0</v>
      </c>
      <c r="D17" s="326" cm="1">
        <f t="array" aca="1" ref="D17" ca="1">SUMPRODUCT(D$55:D$114,TRANSPOSE(SAP_Speadsheet!$F$57:$BM$57))</f>
        <v>0</v>
      </c>
      <c r="E17" s="326" cm="1">
        <f t="array" aca="1" ref="E17" ca="1">SUMPRODUCT(E$55:E$114,TRANSPOSE(SAP_Speadsheet!$F$57:$BM$57))</f>
        <v>0</v>
      </c>
      <c r="F17" s="326" cm="1">
        <f t="array" aca="1" ref="F17" ca="1">SUMPRODUCT(F$55:F$114,TRANSPOSE(SAP_Speadsheet!$F$57:$BM$57))</f>
        <v>0</v>
      </c>
      <c r="G17" s="326" cm="1">
        <f t="array" aca="1" ref="G17" ca="1">SUMPRODUCT(G$55:G$114,TRANSPOSE(SAP_Speadsheet!$F$57:$BM$57))</f>
        <v>0</v>
      </c>
      <c r="H17" s="326" cm="1">
        <f t="array" aca="1" ref="H17" ca="1">SUMPRODUCT(H$55:H$114,TRANSPOSE(SAP_Speadsheet!$F$57:$BM$57))</f>
        <v>0</v>
      </c>
      <c r="I17" s="326" cm="1">
        <f t="array" aca="1" ref="I17" ca="1">SUMPRODUCT(I$55:I$114,TRANSPOSE(SAP_Speadsheet!$F$57:$BM$57))</f>
        <v>0</v>
      </c>
      <c r="J17" s="326" cm="1">
        <f t="array" aca="1" ref="J17" ca="1">SUMPRODUCT(J$55:J$114,TRANSPOSE(SAP_Speadsheet!$F$57:$BM$57))</f>
        <v>0</v>
      </c>
      <c r="K17" s="326" cm="1">
        <f t="array" aca="1" ref="K17" ca="1">SUMPRODUCT(K$55:K$114,TRANSPOSE(SAP_Speadsheet!$F$57:$BM$57))</f>
        <v>0</v>
      </c>
      <c r="L17" s="326" cm="1">
        <f t="array" aca="1" ref="L17" ca="1">SUMPRODUCT(L$55:L$114,TRANSPOSE(SAP_Speadsheet!$F$57:$BM$57))</f>
        <v>0</v>
      </c>
      <c r="M17" s="326" cm="1">
        <f t="array" aca="1" ref="M17" ca="1">SUMPRODUCT(M$55:M$114,TRANSPOSE(SAP_Speadsheet!$F$57:$BM$57))</f>
        <v>0</v>
      </c>
      <c r="N17" s="326" cm="1">
        <f t="array" aca="1" ref="N17" ca="1">SUMPRODUCT(N$55:N$114,TRANSPOSE(SAP_Speadsheet!$F$57:$BM$57))</f>
        <v>0</v>
      </c>
      <c r="O17" s="326" cm="1">
        <f t="array" aca="1" ref="O17" ca="1">SUMPRODUCT(O$55:O$114,TRANSPOSE(SAP_Speadsheet!$F$57:$BM$57))</f>
        <v>0</v>
      </c>
      <c r="P17" s="326" cm="1">
        <f t="array" aca="1" ref="P17" ca="1">SUMPRODUCT(P$55:P$114,TRANSPOSE(SAP_Speadsheet!$F$57:$BM$57))</f>
        <v>0</v>
      </c>
      <c r="Q17" s="326" cm="1">
        <f t="array" aca="1" ref="Q17" ca="1">SUMPRODUCT(Q$55:Q$114,TRANSPOSE(SAP_Speadsheet!$F$57:$BM$57))</f>
        <v>0</v>
      </c>
      <c r="R17" s="326" cm="1">
        <f t="array" aca="1" ref="R17" ca="1">SUMPRODUCT(R$55:R$114,TRANSPOSE(SAP_Speadsheet!$F$57:$BM$57))</f>
        <v>0</v>
      </c>
      <c r="S17" s="326" cm="1">
        <f t="array" aca="1" ref="S17" ca="1">SUMPRODUCT(S$55:S$114,TRANSPOSE(SAP_Speadsheet!$F$57:$BM$57))</f>
        <v>0</v>
      </c>
      <c r="T17" s="326" cm="1">
        <f t="array" aca="1" ref="T17" ca="1">SUMPRODUCT(T$55:T$114,TRANSPOSE(SAP_Speadsheet!$F$57:$BM$57))</f>
        <v>0</v>
      </c>
      <c r="U17" s="326" cm="1">
        <f t="array" aca="1" ref="U17" ca="1">SUMPRODUCT(U$55:U$114,TRANSPOSE(SAP_Speadsheet!$F$57:$BM$57))</f>
        <v>0</v>
      </c>
      <c r="V17" s="326" cm="1">
        <f t="array" aca="1" ref="V17" ca="1">SUMPRODUCT(V$55:V$114,TRANSPOSE(SAP_Speadsheet!$F$57:$BM$57))</f>
        <v>0</v>
      </c>
      <c r="W17" s="326" cm="1">
        <f t="array" aca="1" ref="W17" ca="1">SUMPRODUCT(W$55:W$114,TRANSPOSE(SAP_Speadsheet!$F$57:$BM$57))</f>
        <v>0</v>
      </c>
      <c r="X17" s="326" cm="1">
        <f t="array" aca="1" ref="X17" ca="1">SUMPRODUCT(X$55:X$114,TRANSPOSE(SAP_Speadsheet!$F$57:$BM$57))</f>
        <v>0</v>
      </c>
      <c r="Y17" s="326" cm="1">
        <f t="array" aca="1" ref="Y17" ca="1">SUMPRODUCT(Y$55:Y$114,TRANSPOSE(SAP_Speadsheet!$F$57:$BM$57))</f>
        <v>0</v>
      </c>
      <c r="Z17" s="326" cm="1">
        <f t="array" aca="1" ref="Z17" ca="1">SUMPRODUCT(Z$55:Z$114,TRANSPOSE(SAP_Speadsheet!$F$57:$BM$57))</f>
        <v>0</v>
      </c>
      <c r="AA17" s="326" cm="1">
        <f t="array" aca="1" ref="AA17" ca="1">SUMPRODUCT(AA$55:AA$114,TRANSPOSE(SAP_Speadsheet!$F$57:$BM$57))</f>
        <v>0</v>
      </c>
      <c r="AB17" s="326" cm="1">
        <f t="array" aca="1" ref="AB17" ca="1">SUMPRODUCT(AB$55:AB$114,TRANSPOSE(SAP_Speadsheet!$F$57:$BM$57))</f>
        <v>0</v>
      </c>
      <c r="AC17" s="326" cm="1">
        <f t="array" aca="1" ref="AC17" ca="1">SUMPRODUCT(AC$55:AC$114,TRANSPOSE(SAP_Speadsheet!$F$57:$BM$57))</f>
        <v>0</v>
      </c>
      <c r="AD17" s="326" cm="1">
        <f t="array" aca="1" ref="AD17" ca="1">SUMPRODUCT(AD$55:AD$114,TRANSPOSE(SAP_Speadsheet!$F$57:$BM$57))</f>
        <v>0</v>
      </c>
      <c r="AE17" s="326" cm="1">
        <f t="array" aca="1" ref="AE17" ca="1">SUMPRODUCT(AE$55:AE$114,TRANSPOSE(SAP_Speadsheet!$F$57:$BM$57))</f>
        <v>0</v>
      </c>
      <c r="AF17" s="326" cm="1">
        <f t="array" aca="1" ref="AF17" ca="1">SUMPRODUCT(AF$55:AF$114,TRANSPOSE(SAP_Speadsheet!$F$57:$BM$57))</f>
        <v>0</v>
      </c>
      <c r="AG17" s="326" cm="1">
        <f t="array" aca="1" ref="AG17" ca="1">SUMPRODUCT(AG$55:AG$114,TRANSPOSE(SAP_Speadsheet!$F$57:$BM$57))</f>
        <v>0</v>
      </c>
      <c r="AH17" s="326" cm="1">
        <f t="array" aca="1" ref="AH17" ca="1">SUMPRODUCT(AH$55:AH$114,TRANSPOSE(SAP_Speadsheet!$F$57:$BM$57))</f>
        <v>0</v>
      </c>
      <c r="AI17" s="326" cm="1">
        <f t="array" aca="1" ref="AI17" ca="1">SUMPRODUCT(AI$55:AI$114,TRANSPOSE(SAP_Speadsheet!$F$57:$BM$57))</f>
        <v>0</v>
      </c>
      <c r="AJ17" s="326" cm="1">
        <f t="array" aca="1" ref="AJ17" ca="1">SUMPRODUCT(AJ$55:AJ$114,TRANSPOSE(SAP_Speadsheet!$F$57:$BM$57))</f>
        <v>0</v>
      </c>
      <c r="AK17" s="326" cm="1">
        <f t="array" aca="1" ref="AK17" ca="1">SUMPRODUCT(AK$55:AK$114,TRANSPOSE(SAP_Speadsheet!$F$57:$BM$57))</f>
        <v>0</v>
      </c>
      <c r="AL17" s="326" cm="1">
        <f t="array" aca="1" ref="AL17" ca="1">SUMPRODUCT(AL$55:AL$114,TRANSPOSE(SAP_Speadsheet!$F$57:$BM$57))</f>
        <v>0</v>
      </c>
      <c r="AM17" s="326" cm="1">
        <f t="array" aca="1" ref="AM17" ca="1">SUMPRODUCT(AM$55:AM$114,TRANSPOSE(SAP_Speadsheet!$F$57:$BM$57))</f>
        <v>0</v>
      </c>
      <c r="AN17" s="326" cm="1">
        <f t="array" aca="1" ref="AN17" ca="1">SUMPRODUCT(AN$55:AN$114,TRANSPOSE(SAP_Speadsheet!$F$57:$BM$57))</f>
        <v>0</v>
      </c>
      <c r="AO17" s="326" cm="1">
        <f t="array" aca="1" ref="AO17" ca="1">SUMPRODUCT(AO$55:AO$114,TRANSPOSE(SAP_Speadsheet!$F$57:$BM$57))</f>
        <v>0</v>
      </c>
      <c r="AP17" s="326" cm="1">
        <f t="array" aca="1" ref="AP17" ca="1">SUMPRODUCT(AP$55:AP$114,TRANSPOSE(SAP_Speadsheet!$F$57:$BM$57))</f>
        <v>0</v>
      </c>
      <c r="AQ17" s="326" cm="1">
        <f t="array" aca="1" ref="AQ17" ca="1">SUMPRODUCT(AQ$55:AQ$114,TRANSPOSE(SAP_Speadsheet!$F$57:$BM$57))</f>
        <v>0</v>
      </c>
      <c r="AR17" s="326" cm="1">
        <f t="array" aca="1" ref="AR17" ca="1">SUMPRODUCT(AR$55:AR$114,TRANSPOSE(SAP_Speadsheet!$F$57:$BM$57))</f>
        <v>0</v>
      </c>
      <c r="AS17" s="326" cm="1">
        <f t="array" aca="1" ref="AS17" ca="1">SUMPRODUCT(AS$55:AS$114,TRANSPOSE(SAP_Speadsheet!$F$57:$BM$57))</f>
        <v>0</v>
      </c>
      <c r="AT17" s="326" cm="1">
        <f t="array" aca="1" ref="AT17" ca="1">SUMPRODUCT(AT$55:AT$114,TRANSPOSE(SAP_Speadsheet!$F$57:$BM$57))</f>
        <v>0</v>
      </c>
      <c r="AU17" s="326" cm="1">
        <f t="array" aca="1" ref="AU17" ca="1">SUMPRODUCT(AU$55:AU$114,TRANSPOSE(SAP_Speadsheet!$F$57:$BM$57))</f>
        <v>0</v>
      </c>
      <c r="AV17" s="326" cm="1">
        <f t="array" aca="1" ref="AV17" ca="1">SUMPRODUCT(AV$55:AV$114,TRANSPOSE(SAP_Speadsheet!$F$57:$BM$57))</f>
        <v>0</v>
      </c>
      <c r="AW17" s="326" cm="1">
        <f t="array" aca="1" ref="AW17" ca="1">SUMPRODUCT(AW$55:AW$114,TRANSPOSE(SAP_Speadsheet!$F$57:$BM$57))</f>
        <v>0</v>
      </c>
      <c r="AX17" s="326" cm="1">
        <f t="array" aca="1" ref="AX17" ca="1">SUMPRODUCT(AX$55:AX$114,TRANSPOSE(SAP_Speadsheet!$F$57:$BM$57))</f>
        <v>0</v>
      </c>
      <c r="AY17" s="326" cm="1">
        <f t="array" aca="1" ref="AY17" ca="1">SUMPRODUCT(AY$55:AY$114,TRANSPOSE(SAP_Speadsheet!$F$57:$BM$57))</f>
        <v>0</v>
      </c>
      <c r="AZ17" s="326" cm="1">
        <f t="array" aca="1" ref="AZ17" ca="1">SUMPRODUCT(AZ$55:AZ$114,TRANSPOSE(SAP_Speadsheet!$F$57:$BM$57))</f>
        <v>0</v>
      </c>
      <c r="BA17" s="326" cm="1">
        <f t="array" aca="1" ref="BA17" ca="1">SUMPRODUCT(BA$55:BA$114,TRANSPOSE(SAP_Speadsheet!$F$57:$BM$57))</f>
        <v>0</v>
      </c>
      <c r="BB17" s="326" cm="1">
        <f t="array" aca="1" ref="BB17" ca="1">SUMPRODUCT(BB$55:BB$114,TRANSPOSE(SAP_Speadsheet!$F$57:$BM$57))</f>
        <v>0</v>
      </c>
      <c r="BC17" s="326" cm="1">
        <f t="array" aca="1" ref="BC17" ca="1">SUMPRODUCT(BC$55:BC$114,TRANSPOSE(SAP_Speadsheet!$F$57:$BM$57))</f>
        <v>0</v>
      </c>
      <c r="BD17" s="326" cm="1">
        <f t="array" aca="1" ref="BD17" ca="1">SUMPRODUCT(BD$55:BD$114,TRANSPOSE(SAP_Speadsheet!$F$57:$BM$57))</f>
        <v>0</v>
      </c>
      <c r="BE17" s="326" cm="1">
        <f t="array" aca="1" ref="BE17" ca="1">SUMPRODUCT(BE$55:BE$114,TRANSPOSE(SAP_Speadsheet!$F$57:$BM$57))</f>
        <v>0</v>
      </c>
      <c r="BF17" s="326" cm="1">
        <f t="array" aca="1" ref="BF17" ca="1">SUMPRODUCT(BF$55:BF$114,TRANSPOSE(SAP_Speadsheet!$F$57:$BM$57))</f>
        <v>0</v>
      </c>
      <c r="BG17" s="326" cm="1">
        <f t="array" aca="1" ref="BG17" ca="1">SUMPRODUCT(BG$55:BG$114,TRANSPOSE(SAP_Speadsheet!$F$57:$BM$57))</f>
        <v>0</v>
      </c>
      <c r="BH17" s="326" cm="1">
        <f t="array" aca="1" ref="BH17" ca="1">SUMPRODUCT(BH$55:BH$114,TRANSPOSE(SAP_Speadsheet!$F$57:$BM$57))</f>
        <v>0</v>
      </c>
      <c r="BI17" s="326" cm="1">
        <f t="array" aca="1" ref="BI17" ca="1">SUMPRODUCT(BI$55:BI$114,TRANSPOSE(SAP_Speadsheet!$F$57:$BM$57))</f>
        <v>0</v>
      </c>
    </row>
    <row r="18" spans="1:61" x14ac:dyDescent="0.15">
      <c r="A18" s="314" t="s">
        <v>198</v>
      </c>
      <c r="B18" s="326" cm="1">
        <f t="array" aca="1" ref="B18" ca="1">SUMPRODUCT(B$55:B$114,TRANSPOSE(SAP_Speadsheet!$F$59:$BM$59))</f>
        <v>0</v>
      </c>
      <c r="C18" s="326" cm="1">
        <f t="array" aca="1" ref="C18" ca="1">SUMPRODUCT(C$55:C$114,TRANSPOSE(SAP_Speadsheet!$F$59:$BM$59))</f>
        <v>0</v>
      </c>
      <c r="D18" s="326" cm="1">
        <f t="array" aca="1" ref="D18" ca="1">SUMPRODUCT(D$55:D$114,TRANSPOSE(SAP_Speadsheet!$F$59:$BM$59))</f>
        <v>0</v>
      </c>
      <c r="E18" s="326" cm="1">
        <f t="array" aca="1" ref="E18" ca="1">SUMPRODUCT(E$55:E$114,TRANSPOSE(SAP_Speadsheet!$F$59:$BM$59))</f>
        <v>0</v>
      </c>
      <c r="F18" s="326" cm="1">
        <f t="array" aca="1" ref="F18" ca="1">SUMPRODUCT(F$55:F$114,TRANSPOSE(SAP_Speadsheet!$F$59:$BM$59))</f>
        <v>0</v>
      </c>
      <c r="G18" s="326" cm="1">
        <f t="array" aca="1" ref="G18" ca="1">SUMPRODUCT(G$55:G$114,TRANSPOSE(SAP_Speadsheet!$F$59:$BM$59))</f>
        <v>0</v>
      </c>
      <c r="H18" s="326" cm="1">
        <f t="array" aca="1" ref="H18" ca="1">SUMPRODUCT(H$55:H$114,TRANSPOSE(SAP_Speadsheet!$F$59:$BM$59))</f>
        <v>0</v>
      </c>
      <c r="I18" s="326" cm="1">
        <f t="array" aca="1" ref="I18" ca="1">SUMPRODUCT(I$55:I$114,TRANSPOSE(SAP_Speadsheet!$F$59:$BM$59))</f>
        <v>0</v>
      </c>
      <c r="J18" s="326" cm="1">
        <f t="array" aca="1" ref="J18" ca="1">SUMPRODUCT(J$55:J$114,TRANSPOSE(SAP_Speadsheet!$F$59:$BM$59))</f>
        <v>0</v>
      </c>
      <c r="K18" s="326" cm="1">
        <f t="array" aca="1" ref="K18" ca="1">SUMPRODUCT(K$55:K$114,TRANSPOSE(SAP_Speadsheet!$F$59:$BM$59))</f>
        <v>0</v>
      </c>
      <c r="L18" s="326" cm="1">
        <f t="array" aca="1" ref="L18" ca="1">SUMPRODUCT(L$55:L$114,TRANSPOSE(SAP_Speadsheet!$F$59:$BM$59))</f>
        <v>0</v>
      </c>
      <c r="M18" s="326" cm="1">
        <f t="array" aca="1" ref="M18" ca="1">SUMPRODUCT(M$55:M$114,TRANSPOSE(SAP_Speadsheet!$F$59:$BM$59))</f>
        <v>0</v>
      </c>
      <c r="N18" s="326" cm="1">
        <f t="array" aca="1" ref="N18" ca="1">SUMPRODUCT(N$55:N$114,TRANSPOSE(SAP_Speadsheet!$F$59:$BM$59))</f>
        <v>0</v>
      </c>
      <c r="O18" s="326" cm="1">
        <f t="array" aca="1" ref="O18" ca="1">SUMPRODUCT(O$55:O$114,TRANSPOSE(SAP_Speadsheet!$F$59:$BM$59))</f>
        <v>0</v>
      </c>
      <c r="P18" s="326" cm="1">
        <f t="array" aca="1" ref="P18" ca="1">SUMPRODUCT(P$55:P$114,TRANSPOSE(SAP_Speadsheet!$F$59:$BM$59))</f>
        <v>0</v>
      </c>
      <c r="Q18" s="326" cm="1">
        <f t="array" aca="1" ref="Q18" ca="1">SUMPRODUCT(Q$55:Q$114,TRANSPOSE(SAP_Speadsheet!$F$59:$BM$59))</f>
        <v>0</v>
      </c>
      <c r="R18" s="326" cm="1">
        <f t="array" aca="1" ref="R18" ca="1">SUMPRODUCT(R$55:R$114,TRANSPOSE(SAP_Speadsheet!$F$59:$BM$59))</f>
        <v>0</v>
      </c>
      <c r="S18" s="326" cm="1">
        <f t="array" aca="1" ref="S18" ca="1">SUMPRODUCT(S$55:S$114,TRANSPOSE(SAP_Speadsheet!$F$59:$BM$59))</f>
        <v>0</v>
      </c>
      <c r="T18" s="326" cm="1">
        <f t="array" aca="1" ref="T18" ca="1">SUMPRODUCT(T$55:T$114,TRANSPOSE(SAP_Speadsheet!$F$59:$BM$59))</f>
        <v>0</v>
      </c>
      <c r="U18" s="326" cm="1">
        <f t="array" aca="1" ref="U18" ca="1">SUMPRODUCT(U$55:U$114,TRANSPOSE(SAP_Speadsheet!$F$59:$BM$59))</f>
        <v>0</v>
      </c>
      <c r="V18" s="326" cm="1">
        <f t="array" aca="1" ref="V18" ca="1">SUMPRODUCT(V$55:V$114,TRANSPOSE(SAP_Speadsheet!$F$59:$BM$59))</f>
        <v>0</v>
      </c>
      <c r="W18" s="326" cm="1">
        <f t="array" aca="1" ref="W18" ca="1">SUMPRODUCT(W$55:W$114,TRANSPOSE(SAP_Speadsheet!$F$59:$BM$59))</f>
        <v>0</v>
      </c>
      <c r="X18" s="326" cm="1">
        <f t="array" aca="1" ref="X18" ca="1">SUMPRODUCT(X$55:X$114,TRANSPOSE(SAP_Speadsheet!$F$59:$BM$59))</f>
        <v>0</v>
      </c>
      <c r="Y18" s="326" cm="1">
        <f t="array" aca="1" ref="Y18" ca="1">SUMPRODUCT(Y$55:Y$114,TRANSPOSE(SAP_Speadsheet!$F$59:$BM$59))</f>
        <v>0</v>
      </c>
      <c r="Z18" s="326" cm="1">
        <f t="array" aca="1" ref="Z18" ca="1">SUMPRODUCT(Z$55:Z$114,TRANSPOSE(SAP_Speadsheet!$F$59:$BM$59))</f>
        <v>0</v>
      </c>
      <c r="AA18" s="326" cm="1">
        <f t="array" aca="1" ref="AA18" ca="1">SUMPRODUCT(AA$55:AA$114,TRANSPOSE(SAP_Speadsheet!$F$59:$BM$59))</f>
        <v>0</v>
      </c>
      <c r="AB18" s="326" cm="1">
        <f t="array" aca="1" ref="AB18" ca="1">SUMPRODUCT(AB$55:AB$114,TRANSPOSE(SAP_Speadsheet!$F$59:$BM$59))</f>
        <v>0</v>
      </c>
      <c r="AC18" s="326" cm="1">
        <f t="array" aca="1" ref="AC18" ca="1">SUMPRODUCT(AC$55:AC$114,TRANSPOSE(SAP_Speadsheet!$F$59:$BM$59))</f>
        <v>0</v>
      </c>
      <c r="AD18" s="326" cm="1">
        <f t="array" aca="1" ref="AD18" ca="1">SUMPRODUCT(AD$55:AD$114,TRANSPOSE(SAP_Speadsheet!$F$59:$BM$59))</f>
        <v>0</v>
      </c>
      <c r="AE18" s="326" cm="1">
        <f t="array" aca="1" ref="AE18" ca="1">SUMPRODUCT(AE$55:AE$114,TRANSPOSE(SAP_Speadsheet!$F$59:$BM$59))</f>
        <v>0</v>
      </c>
      <c r="AF18" s="326" cm="1">
        <f t="array" aca="1" ref="AF18" ca="1">SUMPRODUCT(AF$55:AF$114,TRANSPOSE(SAP_Speadsheet!$F$59:$BM$59))</f>
        <v>0</v>
      </c>
      <c r="AG18" s="326" cm="1">
        <f t="array" aca="1" ref="AG18" ca="1">SUMPRODUCT(AG$55:AG$114,TRANSPOSE(SAP_Speadsheet!$F$59:$BM$59))</f>
        <v>0</v>
      </c>
      <c r="AH18" s="326" cm="1">
        <f t="array" aca="1" ref="AH18" ca="1">SUMPRODUCT(AH$55:AH$114,TRANSPOSE(SAP_Speadsheet!$F$59:$BM$59))</f>
        <v>0</v>
      </c>
      <c r="AI18" s="326" cm="1">
        <f t="array" aca="1" ref="AI18" ca="1">SUMPRODUCT(AI$55:AI$114,TRANSPOSE(SAP_Speadsheet!$F$59:$BM$59))</f>
        <v>0</v>
      </c>
      <c r="AJ18" s="326" cm="1">
        <f t="array" aca="1" ref="AJ18" ca="1">SUMPRODUCT(AJ$55:AJ$114,TRANSPOSE(SAP_Speadsheet!$F$59:$BM$59))</f>
        <v>0</v>
      </c>
      <c r="AK18" s="326" cm="1">
        <f t="array" aca="1" ref="AK18" ca="1">SUMPRODUCT(AK$55:AK$114,TRANSPOSE(SAP_Speadsheet!$F$59:$BM$59))</f>
        <v>0</v>
      </c>
      <c r="AL18" s="326" cm="1">
        <f t="array" aca="1" ref="AL18" ca="1">SUMPRODUCT(AL$55:AL$114,TRANSPOSE(SAP_Speadsheet!$F$59:$BM$59))</f>
        <v>0</v>
      </c>
      <c r="AM18" s="326" cm="1">
        <f t="array" aca="1" ref="AM18" ca="1">SUMPRODUCT(AM$55:AM$114,TRANSPOSE(SAP_Speadsheet!$F$59:$BM$59))</f>
        <v>0</v>
      </c>
      <c r="AN18" s="326" cm="1">
        <f t="array" aca="1" ref="AN18" ca="1">SUMPRODUCT(AN$55:AN$114,TRANSPOSE(SAP_Speadsheet!$F$59:$BM$59))</f>
        <v>0</v>
      </c>
      <c r="AO18" s="326" cm="1">
        <f t="array" aca="1" ref="AO18" ca="1">SUMPRODUCT(AO$55:AO$114,TRANSPOSE(SAP_Speadsheet!$F$59:$BM$59))</f>
        <v>0</v>
      </c>
      <c r="AP18" s="326" cm="1">
        <f t="array" aca="1" ref="AP18" ca="1">SUMPRODUCT(AP$55:AP$114,TRANSPOSE(SAP_Speadsheet!$F$59:$BM$59))</f>
        <v>0</v>
      </c>
      <c r="AQ18" s="326" cm="1">
        <f t="array" aca="1" ref="AQ18" ca="1">SUMPRODUCT(AQ$55:AQ$114,TRANSPOSE(SAP_Speadsheet!$F$59:$BM$59))</f>
        <v>0</v>
      </c>
      <c r="AR18" s="326" cm="1">
        <f t="array" aca="1" ref="AR18" ca="1">SUMPRODUCT(AR$55:AR$114,TRANSPOSE(SAP_Speadsheet!$F$59:$BM$59))</f>
        <v>0</v>
      </c>
      <c r="AS18" s="326" cm="1">
        <f t="array" aca="1" ref="AS18" ca="1">SUMPRODUCT(AS$55:AS$114,TRANSPOSE(SAP_Speadsheet!$F$59:$BM$59))</f>
        <v>0</v>
      </c>
      <c r="AT18" s="326" cm="1">
        <f t="array" aca="1" ref="AT18" ca="1">SUMPRODUCT(AT$55:AT$114,TRANSPOSE(SAP_Speadsheet!$F$59:$BM$59))</f>
        <v>0</v>
      </c>
      <c r="AU18" s="326" cm="1">
        <f t="array" aca="1" ref="AU18" ca="1">SUMPRODUCT(AU$55:AU$114,TRANSPOSE(SAP_Speadsheet!$F$59:$BM$59))</f>
        <v>0</v>
      </c>
      <c r="AV18" s="326" cm="1">
        <f t="array" aca="1" ref="AV18" ca="1">SUMPRODUCT(AV$55:AV$114,TRANSPOSE(SAP_Speadsheet!$F$59:$BM$59))</f>
        <v>0</v>
      </c>
      <c r="AW18" s="326" cm="1">
        <f t="array" aca="1" ref="AW18" ca="1">SUMPRODUCT(AW$55:AW$114,TRANSPOSE(SAP_Speadsheet!$F$59:$BM$59))</f>
        <v>0</v>
      </c>
      <c r="AX18" s="326" cm="1">
        <f t="array" aca="1" ref="AX18" ca="1">SUMPRODUCT(AX$55:AX$114,TRANSPOSE(SAP_Speadsheet!$F$59:$BM$59))</f>
        <v>0</v>
      </c>
      <c r="AY18" s="326" cm="1">
        <f t="array" aca="1" ref="AY18" ca="1">SUMPRODUCT(AY$55:AY$114,TRANSPOSE(SAP_Speadsheet!$F$59:$BM$59))</f>
        <v>0</v>
      </c>
      <c r="AZ18" s="326" cm="1">
        <f t="array" aca="1" ref="AZ18" ca="1">SUMPRODUCT(AZ$55:AZ$114,TRANSPOSE(SAP_Speadsheet!$F$59:$BM$59))</f>
        <v>0</v>
      </c>
      <c r="BA18" s="326" cm="1">
        <f t="array" aca="1" ref="BA18" ca="1">SUMPRODUCT(BA$55:BA$114,TRANSPOSE(SAP_Speadsheet!$F$59:$BM$59))</f>
        <v>0</v>
      </c>
      <c r="BB18" s="326" cm="1">
        <f t="array" aca="1" ref="BB18" ca="1">SUMPRODUCT(BB$55:BB$114,TRANSPOSE(SAP_Speadsheet!$F$59:$BM$59))</f>
        <v>0</v>
      </c>
      <c r="BC18" s="326" cm="1">
        <f t="array" aca="1" ref="BC18" ca="1">SUMPRODUCT(BC$55:BC$114,TRANSPOSE(SAP_Speadsheet!$F$59:$BM$59))</f>
        <v>0</v>
      </c>
      <c r="BD18" s="326" cm="1">
        <f t="array" aca="1" ref="BD18" ca="1">SUMPRODUCT(BD$55:BD$114,TRANSPOSE(SAP_Speadsheet!$F$59:$BM$59))</f>
        <v>0</v>
      </c>
      <c r="BE18" s="326" cm="1">
        <f t="array" aca="1" ref="BE18" ca="1">SUMPRODUCT(BE$55:BE$114,TRANSPOSE(SAP_Speadsheet!$F$59:$BM$59))</f>
        <v>0</v>
      </c>
      <c r="BF18" s="326" cm="1">
        <f t="array" aca="1" ref="BF18" ca="1">SUMPRODUCT(BF$55:BF$114,TRANSPOSE(SAP_Speadsheet!$F$59:$BM$59))</f>
        <v>0</v>
      </c>
      <c r="BG18" s="326" cm="1">
        <f t="array" aca="1" ref="BG18" ca="1">SUMPRODUCT(BG$55:BG$114,TRANSPOSE(SAP_Speadsheet!$F$59:$BM$59))</f>
        <v>0</v>
      </c>
      <c r="BH18" s="326" cm="1">
        <f t="array" aca="1" ref="BH18" ca="1">SUMPRODUCT(BH$55:BH$114,TRANSPOSE(SAP_Speadsheet!$F$59:$BM$59))</f>
        <v>0</v>
      </c>
      <c r="BI18" s="326" cm="1">
        <f t="array" aca="1" ref="BI18" ca="1">SUMPRODUCT(BI$55:BI$114,TRANSPOSE(SAP_Speadsheet!$F$59:$BM$59))</f>
        <v>0</v>
      </c>
    </row>
    <row r="19" spans="1:61" s="314" customFormat="1" x14ac:dyDescent="0.15">
      <c r="A19" s="314" t="s">
        <v>203</v>
      </c>
      <c r="B19" s="321">
        <f t="shared" ref="B19:BI19" ca="1" si="3">B20+B24+B28+B29+B30</f>
        <v>-76.69394934870266</v>
      </c>
      <c r="C19" s="321">
        <f t="shared" ca="1" si="3"/>
        <v>-53.69698544752957</v>
      </c>
      <c r="D19" s="321">
        <f t="shared" ca="1" si="3"/>
        <v>-51.738619054348248</v>
      </c>
      <c r="E19" s="321">
        <f t="shared" ca="1" si="3"/>
        <v>-49.780252661166926</v>
      </c>
      <c r="F19" s="321">
        <f t="shared" ca="1" si="3"/>
        <v>-47.821886267985597</v>
      </c>
      <c r="G19" s="321">
        <f t="shared" ca="1" si="3"/>
        <v>-45.863519874804282</v>
      </c>
      <c r="H19" s="321">
        <f t="shared" ca="1" si="3"/>
        <v>-43.905153481622946</v>
      </c>
      <c r="I19" s="321">
        <f t="shared" ca="1" si="3"/>
        <v>-41.946787088441624</v>
      </c>
      <c r="J19" s="321">
        <f t="shared" ca="1" si="3"/>
        <v>-41.778483054534895</v>
      </c>
      <c r="K19" s="321">
        <f t="shared" ca="1" si="3"/>
        <v>-1.0537013926459775</v>
      </c>
      <c r="L19" s="321">
        <f t="shared" ca="1" si="3"/>
        <v>-1.0068342273203674</v>
      </c>
      <c r="M19" s="321">
        <f t="shared" ca="1" si="3"/>
        <v>-1.0209774987634022</v>
      </c>
      <c r="N19" s="321">
        <f t="shared" ca="1" si="3"/>
        <v>-1.0168958186007846</v>
      </c>
      <c r="O19" s="321">
        <f t="shared" ca="1" si="3"/>
        <v>-1.0149824447538045</v>
      </c>
      <c r="P19" s="321">
        <f t="shared" ca="1" si="3"/>
        <v>-1.0149824447538045</v>
      </c>
      <c r="Q19" s="321">
        <f t="shared" ca="1" si="3"/>
        <v>0</v>
      </c>
      <c r="R19" s="321">
        <f t="shared" ca="1" si="3"/>
        <v>0</v>
      </c>
      <c r="S19" s="321">
        <f t="shared" ca="1" si="3"/>
        <v>0</v>
      </c>
      <c r="T19" s="321">
        <f t="shared" ca="1" si="3"/>
        <v>0</v>
      </c>
      <c r="U19" s="321">
        <f t="shared" ca="1" si="3"/>
        <v>0</v>
      </c>
      <c r="V19" s="321">
        <f t="shared" ca="1" si="3"/>
        <v>0</v>
      </c>
      <c r="W19" s="321">
        <f t="shared" ca="1" si="3"/>
        <v>0</v>
      </c>
      <c r="X19" s="321">
        <f t="shared" ca="1" si="3"/>
        <v>0</v>
      </c>
      <c r="Y19" s="321">
        <f t="shared" ca="1" si="3"/>
        <v>0</v>
      </c>
      <c r="Z19" s="321">
        <f t="shared" ca="1" si="3"/>
        <v>0</v>
      </c>
      <c r="AA19" s="321">
        <f t="shared" ca="1" si="3"/>
        <v>0</v>
      </c>
      <c r="AB19" s="321">
        <f t="shared" ca="1" si="3"/>
        <v>0</v>
      </c>
      <c r="AC19" s="321">
        <f t="shared" ca="1" si="3"/>
        <v>0</v>
      </c>
      <c r="AD19" s="321">
        <f t="shared" ca="1" si="3"/>
        <v>0</v>
      </c>
      <c r="AE19" s="321">
        <f t="shared" ca="1" si="3"/>
        <v>0</v>
      </c>
      <c r="AF19" s="321">
        <f t="shared" ca="1" si="3"/>
        <v>0</v>
      </c>
      <c r="AG19" s="321">
        <f t="shared" ca="1" si="3"/>
        <v>0</v>
      </c>
      <c r="AH19" s="321">
        <f t="shared" ca="1" si="3"/>
        <v>0</v>
      </c>
      <c r="AI19" s="321">
        <f t="shared" ca="1" si="3"/>
        <v>0</v>
      </c>
      <c r="AJ19" s="321">
        <f t="shared" ca="1" si="3"/>
        <v>0</v>
      </c>
      <c r="AK19" s="321">
        <f t="shared" ca="1" si="3"/>
        <v>0</v>
      </c>
      <c r="AL19" s="321">
        <f t="shared" ca="1" si="3"/>
        <v>0</v>
      </c>
      <c r="AM19" s="321">
        <f t="shared" ca="1" si="3"/>
        <v>0</v>
      </c>
      <c r="AN19" s="321">
        <f t="shared" ca="1" si="3"/>
        <v>0</v>
      </c>
      <c r="AO19" s="321">
        <f t="shared" ca="1" si="3"/>
        <v>0</v>
      </c>
      <c r="AP19" s="321">
        <f t="shared" ca="1" si="3"/>
        <v>0</v>
      </c>
      <c r="AQ19" s="321">
        <f t="shared" ca="1" si="3"/>
        <v>0</v>
      </c>
      <c r="AR19" s="321">
        <f t="shared" ca="1" si="3"/>
        <v>0</v>
      </c>
      <c r="AS19" s="321">
        <f t="shared" ca="1" si="3"/>
        <v>0</v>
      </c>
      <c r="AT19" s="321">
        <f t="shared" ca="1" si="3"/>
        <v>0</v>
      </c>
      <c r="AU19" s="321">
        <f t="shared" ca="1" si="3"/>
        <v>0</v>
      </c>
      <c r="AV19" s="321">
        <f t="shared" ca="1" si="3"/>
        <v>0</v>
      </c>
      <c r="AW19" s="321">
        <f t="shared" ca="1" si="3"/>
        <v>0</v>
      </c>
      <c r="AX19" s="321">
        <f t="shared" ca="1" si="3"/>
        <v>0</v>
      </c>
      <c r="AY19" s="321">
        <f t="shared" ca="1" si="3"/>
        <v>0</v>
      </c>
      <c r="AZ19" s="321">
        <f t="shared" ca="1" si="3"/>
        <v>0</v>
      </c>
      <c r="BA19" s="321">
        <f t="shared" ca="1" si="3"/>
        <v>0</v>
      </c>
      <c r="BB19" s="321">
        <f t="shared" ca="1" si="3"/>
        <v>0</v>
      </c>
      <c r="BC19" s="321">
        <f t="shared" ca="1" si="3"/>
        <v>0</v>
      </c>
      <c r="BD19" s="321">
        <f t="shared" ca="1" si="3"/>
        <v>0</v>
      </c>
      <c r="BE19" s="321">
        <f t="shared" ca="1" si="3"/>
        <v>0</v>
      </c>
      <c r="BF19" s="321">
        <f t="shared" ca="1" si="3"/>
        <v>0</v>
      </c>
      <c r="BG19" s="321">
        <f t="shared" ca="1" si="3"/>
        <v>0</v>
      </c>
      <c r="BH19" s="321">
        <f t="shared" ca="1" si="3"/>
        <v>0</v>
      </c>
      <c r="BI19" s="321">
        <f t="shared" ca="1" si="3"/>
        <v>0</v>
      </c>
    </row>
    <row r="20" spans="1:61" x14ac:dyDescent="0.15">
      <c r="A20" s="327" t="s">
        <v>398</v>
      </c>
      <c r="B20" s="321">
        <f ca="1">SUM(B21:B23)</f>
        <v>0</v>
      </c>
      <c r="C20" s="321">
        <f t="shared" ref="C20:BI20" ca="1" si="4">SUM(C21:C23)</f>
        <v>0</v>
      </c>
      <c r="D20" s="321">
        <f t="shared" ca="1" si="4"/>
        <v>0</v>
      </c>
      <c r="E20" s="321">
        <f t="shared" ca="1" si="4"/>
        <v>0</v>
      </c>
      <c r="F20" s="321">
        <f t="shared" ca="1" si="4"/>
        <v>0</v>
      </c>
      <c r="G20" s="321">
        <f t="shared" ca="1" si="4"/>
        <v>0</v>
      </c>
      <c r="H20" s="321">
        <f t="shared" ca="1" si="4"/>
        <v>0</v>
      </c>
      <c r="I20" s="321">
        <f t="shared" ca="1" si="4"/>
        <v>0</v>
      </c>
      <c r="J20" s="321">
        <f t="shared" ca="1" si="4"/>
        <v>0</v>
      </c>
      <c r="K20" s="321">
        <f t="shared" ca="1" si="4"/>
        <v>0</v>
      </c>
      <c r="L20" s="321">
        <f t="shared" ca="1" si="4"/>
        <v>0</v>
      </c>
      <c r="M20" s="321">
        <f t="shared" ca="1" si="4"/>
        <v>0</v>
      </c>
      <c r="N20" s="321">
        <f t="shared" ca="1" si="4"/>
        <v>0</v>
      </c>
      <c r="O20" s="321">
        <f t="shared" ca="1" si="4"/>
        <v>0</v>
      </c>
      <c r="P20" s="321">
        <f t="shared" ca="1" si="4"/>
        <v>0</v>
      </c>
      <c r="Q20" s="321">
        <f t="shared" ca="1" si="4"/>
        <v>0</v>
      </c>
      <c r="R20" s="321">
        <f t="shared" ca="1" si="4"/>
        <v>0</v>
      </c>
      <c r="S20" s="321">
        <f t="shared" ca="1" si="4"/>
        <v>0</v>
      </c>
      <c r="T20" s="321">
        <f t="shared" ca="1" si="4"/>
        <v>0</v>
      </c>
      <c r="U20" s="321">
        <f t="shared" ca="1" si="4"/>
        <v>0</v>
      </c>
      <c r="V20" s="321">
        <f t="shared" ca="1" si="4"/>
        <v>0</v>
      </c>
      <c r="W20" s="321">
        <f t="shared" ca="1" si="4"/>
        <v>0</v>
      </c>
      <c r="X20" s="321">
        <f t="shared" ca="1" si="4"/>
        <v>0</v>
      </c>
      <c r="Y20" s="321">
        <f t="shared" ca="1" si="4"/>
        <v>0</v>
      </c>
      <c r="Z20" s="321">
        <f t="shared" ca="1" si="4"/>
        <v>0</v>
      </c>
      <c r="AA20" s="321">
        <f t="shared" ca="1" si="4"/>
        <v>0</v>
      </c>
      <c r="AB20" s="321">
        <f t="shared" ca="1" si="4"/>
        <v>0</v>
      </c>
      <c r="AC20" s="321">
        <f t="shared" ca="1" si="4"/>
        <v>0</v>
      </c>
      <c r="AD20" s="321">
        <f t="shared" ca="1" si="4"/>
        <v>0</v>
      </c>
      <c r="AE20" s="321">
        <f t="shared" ca="1" si="4"/>
        <v>0</v>
      </c>
      <c r="AF20" s="321">
        <f t="shared" ca="1" si="4"/>
        <v>0</v>
      </c>
      <c r="AG20" s="321">
        <f t="shared" ca="1" si="4"/>
        <v>0</v>
      </c>
      <c r="AH20" s="321">
        <f t="shared" ca="1" si="4"/>
        <v>0</v>
      </c>
      <c r="AI20" s="321">
        <f t="shared" ca="1" si="4"/>
        <v>0</v>
      </c>
      <c r="AJ20" s="321">
        <f t="shared" ca="1" si="4"/>
        <v>0</v>
      </c>
      <c r="AK20" s="321">
        <f t="shared" ca="1" si="4"/>
        <v>0</v>
      </c>
      <c r="AL20" s="321">
        <f t="shared" ca="1" si="4"/>
        <v>0</v>
      </c>
      <c r="AM20" s="321">
        <f t="shared" ca="1" si="4"/>
        <v>0</v>
      </c>
      <c r="AN20" s="321">
        <f t="shared" ca="1" si="4"/>
        <v>0</v>
      </c>
      <c r="AO20" s="321">
        <f t="shared" ca="1" si="4"/>
        <v>0</v>
      </c>
      <c r="AP20" s="321">
        <f t="shared" ca="1" si="4"/>
        <v>0</v>
      </c>
      <c r="AQ20" s="321">
        <f t="shared" ca="1" si="4"/>
        <v>0</v>
      </c>
      <c r="AR20" s="321">
        <f t="shared" ca="1" si="4"/>
        <v>0</v>
      </c>
      <c r="AS20" s="321">
        <f t="shared" ca="1" si="4"/>
        <v>0</v>
      </c>
      <c r="AT20" s="321">
        <f t="shared" ca="1" si="4"/>
        <v>0</v>
      </c>
      <c r="AU20" s="321">
        <f t="shared" ca="1" si="4"/>
        <v>0</v>
      </c>
      <c r="AV20" s="321">
        <f t="shared" ca="1" si="4"/>
        <v>0</v>
      </c>
      <c r="AW20" s="321">
        <f t="shared" ca="1" si="4"/>
        <v>0</v>
      </c>
      <c r="AX20" s="321">
        <f t="shared" ca="1" si="4"/>
        <v>0</v>
      </c>
      <c r="AY20" s="321">
        <f t="shared" ca="1" si="4"/>
        <v>0</v>
      </c>
      <c r="AZ20" s="321">
        <f t="shared" ca="1" si="4"/>
        <v>0</v>
      </c>
      <c r="BA20" s="321">
        <f t="shared" ca="1" si="4"/>
        <v>0</v>
      </c>
      <c r="BB20" s="321">
        <f t="shared" ca="1" si="4"/>
        <v>0</v>
      </c>
      <c r="BC20" s="321">
        <f t="shared" ca="1" si="4"/>
        <v>0</v>
      </c>
      <c r="BD20" s="321">
        <f t="shared" ca="1" si="4"/>
        <v>0</v>
      </c>
      <c r="BE20" s="321">
        <f t="shared" ca="1" si="4"/>
        <v>0</v>
      </c>
      <c r="BF20" s="321">
        <f t="shared" ca="1" si="4"/>
        <v>0</v>
      </c>
      <c r="BG20" s="321">
        <f t="shared" ca="1" si="4"/>
        <v>0</v>
      </c>
      <c r="BH20" s="321">
        <f t="shared" ca="1" si="4"/>
        <v>0</v>
      </c>
      <c r="BI20" s="321">
        <f t="shared" ca="1" si="4"/>
        <v>0</v>
      </c>
    </row>
    <row r="21" spans="1:61" x14ac:dyDescent="0.15">
      <c r="A21" s="315" t="s">
        <v>225</v>
      </c>
      <c r="B21" s="326" cm="1">
        <f t="array" aca="1" ref="B21" ca="1">SUMPRODUCT(B$55:B$114,TRANSPOSE(SAP_Speadsheet!$F$64:$BM$64))</f>
        <v>0</v>
      </c>
      <c r="C21" s="326" cm="1">
        <f t="array" aca="1" ref="C21" ca="1">SUMPRODUCT(C$55:C$114,TRANSPOSE(SAP_Speadsheet!$F$64:$BM$64))</f>
        <v>0</v>
      </c>
      <c r="D21" s="326" cm="1">
        <f t="array" aca="1" ref="D21" ca="1">SUMPRODUCT(D$55:D$114,TRANSPOSE(SAP_Speadsheet!$F$64:$BM$64))</f>
        <v>0</v>
      </c>
      <c r="E21" s="326" cm="1">
        <f t="array" aca="1" ref="E21" ca="1">SUMPRODUCT(E$55:E$114,TRANSPOSE(SAP_Speadsheet!$F$64:$BM$64))</f>
        <v>0</v>
      </c>
      <c r="F21" s="326" cm="1">
        <f t="array" aca="1" ref="F21" ca="1">SUMPRODUCT(F$55:F$114,TRANSPOSE(SAP_Speadsheet!$F$64:$BM$64))</f>
        <v>0</v>
      </c>
      <c r="G21" s="326" cm="1">
        <f t="array" aca="1" ref="G21" ca="1">SUMPRODUCT(G$55:G$114,TRANSPOSE(SAP_Speadsheet!$F$64:$BM$64))</f>
        <v>0</v>
      </c>
      <c r="H21" s="326" cm="1">
        <f t="array" aca="1" ref="H21" ca="1">SUMPRODUCT(H$55:H$114,TRANSPOSE(SAP_Speadsheet!$F$64:$BM$64))</f>
        <v>0</v>
      </c>
      <c r="I21" s="326" cm="1">
        <f t="array" aca="1" ref="I21" ca="1">SUMPRODUCT(I$55:I$114,TRANSPOSE(SAP_Speadsheet!$F$64:$BM$64))</f>
        <v>0</v>
      </c>
      <c r="J21" s="326" cm="1">
        <f t="array" aca="1" ref="J21" ca="1">SUMPRODUCT(J$55:J$114,TRANSPOSE(SAP_Speadsheet!$F$64:$BM$64))</f>
        <v>0</v>
      </c>
      <c r="K21" s="326" cm="1">
        <f t="array" aca="1" ref="K21" ca="1">SUMPRODUCT(K$55:K$114,TRANSPOSE(SAP_Speadsheet!$F$64:$BM$64))</f>
        <v>0</v>
      </c>
      <c r="L21" s="326" cm="1">
        <f t="array" aca="1" ref="L21" ca="1">SUMPRODUCT(L$55:L$114,TRANSPOSE(SAP_Speadsheet!$F$64:$BM$64))</f>
        <v>0</v>
      </c>
      <c r="M21" s="326" cm="1">
        <f t="array" aca="1" ref="M21" ca="1">SUMPRODUCT(M$55:M$114,TRANSPOSE(SAP_Speadsheet!$F$64:$BM$64))</f>
        <v>0</v>
      </c>
      <c r="N21" s="326" cm="1">
        <f t="array" aca="1" ref="N21" ca="1">SUMPRODUCT(N$55:N$114,TRANSPOSE(SAP_Speadsheet!$F$64:$BM$64))</f>
        <v>0</v>
      </c>
      <c r="O21" s="326" cm="1">
        <f t="array" aca="1" ref="O21" ca="1">SUMPRODUCT(O$55:O$114,TRANSPOSE(SAP_Speadsheet!$F$64:$BM$64))</f>
        <v>0</v>
      </c>
      <c r="P21" s="326" cm="1">
        <f t="array" aca="1" ref="P21" ca="1">SUMPRODUCT(P$55:P$114,TRANSPOSE(SAP_Speadsheet!$F$64:$BM$64))</f>
        <v>0</v>
      </c>
      <c r="Q21" s="326" cm="1">
        <f t="array" aca="1" ref="Q21" ca="1">SUMPRODUCT(Q$55:Q$114,TRANSPOSE(SAP_Speadsheet!$F$64:$BM$64))</f>
        <v>0</v>
      </c>
      <c r="R21" s="326" cm="1">
        <f t="array" aca="1" ref="R21" ca="1">SUMPRODUCT(R$55:R$114,TRANSPOSE(SAP_Speadsheet!$F$64:$BM$64))</f>
        <v>0</v>
      </c>
      <c r="S21" s="326" cm="1">
        <f t="array" aca="1" ref="S21" ca="1">SUMPRODUCT(S$55:S$114,TRANSPOSE(SAP_Speadsheet!$F$64:$BM$64))</f>
        <v>0</v>
      </c>
      <c r="T21" s="326" cm="1">
        <f t="array" aca="1" ref="T21" ca="1">SUMPRODUCT(T$55:T$114,TRANSPOSE(SAP_Speadsheet!$F$64:$BM$64))</f>
        <v>0</v>
      </c>
      <c r="U21" s="326" cm="1">
        <f t="array" aca="1" ref="U21" ca="1">SUMPRODUCT(U$55:U$114,TRANSPOSE(SAP_Speadsheet!$F$64:$BM$64))</f>
        <v>0</v>
      </c>
      <c r="V21" s="326" cm="1">
        <f t="array" aca="1" ref="V21" ca="1">SUMPRODUCT(V$55:V$114,TRANSPOSE(SAP_Speadsheet!$F$64:$BM$64))</f>
        <v>0</v>
      </c>
      <c r="W21" s="326" cm="1">
        <f t="array" aca="1" ref="W21" ca="1">SUMPRODUCT(W$55:W$114,TRANSPOSE(SAP_Speadsheet!$F$64:$BM$64))</f>
        <v>0</v>
      </c>
      <c r="X21" s="326" cm="1">
        <f t="array" aca="1" ref="X21" ca="1">SUMPRODUCT(X$55:X$114,TRANSPOSE(SAP_Speadsheet!$F$64:$BM$64))</f>
        <v>0</v>
      </c>
      <c r="Y21" s="326" cm="1">
        <f t="array" aca="1" ref="Y21" ca="1">SUMPRODUCT(Y$55:Y$114,TRANSPOSE(SAP_Speadsheet!$F$64:$BM$64))</f>
        <v>0</v>
      </c>
      <c r="Z21" s="326" cm="1">
        <f t="array" aca="1" ref="Z21" ca="1">SUMPRODUCT(Z$55:Z$114,TRANSPOSE(SAP_Speadsheet!$F$64:$BM$64))</f>
        <v>0</v>
      </c>
      <c r="AA21" s="326" cm="1">
        <f t="array" aca="1" ref="AA21" ca="1">SUMPRODUCT(AA$55:AA$114,TRANSPOSE(SAP_Speadsheet!$F$64:$BM$64))</f>
        <v>0</v>
      </c>
      <c r="AB21" s="326" cm="1">
        <f t="array" aca="1" ref="AB21" ca="1">SUMPRODUCT(AB$55:AB$114,TRANSPOSE(SAP_Speadsheet!$F$64:$BM$64))</f>
        <v>0</v>
      </c>
      <c r="AC21" s="326" cm="1">
        <f t="array" aca="1" ref="AC21" ca="1">SUMPRODUCT(AC$55:AC$114,TRANSPOSE(SAP_Speadsheet!$F$64:$BM$64))</f>
        <v>0</v>
      </c>
      <c r="AD21" s="326" cm="1">
        <f t="array" aca="1" ref="AD21" ca="1">SUMPRODUCT(AD$55:AD$114,TRANSPOSE(SAP_Speadsheet!$F$64:$BM$64))</f>
        <v>0</v>
      </c>
      <c r="AE21" s="326" cm="1">
        <f t="array" aca="1" ref="AE21" ca="1">SUMPRODUCT(AE$55:AE$114,TRANSPOSE(SAP_Speadsheet!$F$64:$BM$64))</f>
        <v>0</v>
      </c>
      <c r="AF21" s="326" cm="1">
        <f t="array" aca="1" ref="AF21" ca="1">SUMPRODUCT(AF$55:AF$114,TRANSPOSE(SAP_Speadsheet!$F$64:$BM$64))</f>
        <v>0</v>
      </c>
      <c r="AG21" s="326" cm="1">
        <f t="array" aca="1" ref="AG21" ca="1">SUMPRODUCT(AG$55:AG$114,TRANSPOSE(SAP_Speadsheet!$F$64:$BM$64))</f>
        <v>0</v>
      </c>
      <c r="AH21" s="326" cm="1">
        <f t="array" aca="1" ref="AH21" ca="1">SUMPRODUCT(AH$55:AH$114,TRANSPOSE(SAP_Speadsheet!$F$64:$BM$64))</f>
        <v>0</v>
      </c>
      <c r="AI21" s="326" cm="1">
        <f t="array" aca="1" ref="AI21" ca="1">SUMPRODUCT(AI$55:AI$114,TRANSPOSE(SAP_Speadsheet!$F$64:$BM$64))</f>
        <v>0</v>
      </c>
      <c r="AJ21" s="326" cm="1">
        <f t="array" aca="1" ref="AJ21" ca="1">SUMPRODUCT(AJ$55:AJ$114,TRANSPOSE(SAP_Speadsheet!$F$64:$BM$64))</f>
        <v>0</v>
      </c>
      <c r="AK21" s="326" cm="1">
        <f t="array" aca="1" ref="AK21" ca="1">SUMPRODUCT(AK$55:AK$114,TRANSPOSE(SAP_Speadsheet!$F$64:$BM$64))</f>
        <v>0</v>
      </c>
      <c r="AL21" s="326" cm="1">
        <f t="array" aca="1" ref="AL21" ca="1">SUMPRODUCT(AL$55:AL$114,TRANSPOSE(SAP_Speadsheet!$F$64:$BM$64))</f>
        <v>0</v>
      </c>
      <c r="AM21" s="326" cm="1">
        <f t="array" aca="1" ref="AM21" ca="1">SUMPRODUCT(AM$55:AM$114,TRANSPOSE(SAP_Speadsheet!$F$64:$BM$64))</f>
        <v>0</v>
      </c>
      <c r="AN21" s="326" cm="1">
        <f t="array" aca="1" ref="AN21" ca="1">SUMPRODUCT(AN$55:AN$114,TRANSPOSE(SAP_Speadsheet!$F$64:$BM$64))</f>
        <v>0</v>
      </c>
      <c r="AO21" s="326" cm="1">
        <f t="array" aca="1" ref="AO21" ca="1">SUMPRODUCT(AO$55:AO$114,TRANSPOSE(SAP_Speadsheet!$F$64:$BM$64))</f>
        <v>0</v>
      </c>
      <c r="AP21" s="326" cm="1">
        <f t="array" aca="1" ref="AP21" ca="1">SUMPRODUCT(AP$55:AP$114,TRANSPOSE(SAP_Speadsheet!$F$64:$BM$64))</f>
        <v>0</v>
      </c>
      <c r="AQ21" s="326" cm="1">
        <f t="array" aca="1" ref="AQ21" ca="1">SUMPRODUCT(AQ$55:AQ$114,TRANSPOSE(SAP_Speadsheet!$F$64:$BM$64))</f>
        <v>0</v>
      </c>
      <c r="AR21" s="326" cm="1">
        <f t="array" aca="1" ref="AR21" ca="1">SUMPRODUCT(AR$55:AR$114,TRANSPOSE(SAP_Speadsheet!$F$64:$BM$64))</f>
        <v>0</v>
      </c>
      <c r="AS21" s="326" cm="1">
        <f t="array" aca="1" ref="AS21" ca="1">SUMPRODUCT(AS$55:AS$114,TRANSPOSE(SAP_Speadsheet!$F$64:$BM$64))</f>
        <v>0</v>
      </c>
      <c r="AT21" s="326" cm="1">
        <f t="array" aca="1" ref="AT21" ca="1">SUMPRODUCT(AT$55:AT$114,TRANSPOSE(SAP_Speadsheet!$F$64:$BM$64))</f>
        <v>0</v>
      </c>
      <c r="AU21" s="326" cm="1">
        <f t="array" aca="1" ref="AU21" ca="1">SUMPRODUCT(AU$55:AU$114,TRANSPOSE(SAP_Speadsheet!$F$64:$BM$64))</f>
        <v>0</v>
      </c>
      <c r="AV21" s="326" cm="1">
        <f t="array" aca="1" ref="AV21" ca="1">SUMPRODUCT(AV$55:AV$114,TRANSPOSE(SAP_Speadsheet!$F$64:$BM$64))</f>
        <v>0</v>
      </c>
      <c r="AW21" s="326" cm="1">
        <f t="array" aca="1" ref="AW21" ca="1">SUMPRODUCT(AW$55:AW$114,TRANSPOSE(SAP_Speadsheet!$F$64:$BM$64))</f>
        <v>0</v>
      </c>
      <c r="AX21" s="326" cm="1">
        <f t="array" aca="1" ref="AX21" ca="1">SUMPRODUCT(AX$55:AX$114,TRANSPOSE(SAP_Speadsheet!$F$64:$BM$64))</f>
        <v>0</v>
      </c>
      <c r="AY21" s="326" cm="1">
        <f t="array" aca="1" ref="AY21" ca="1">SUMPRODUCT(AY$55:AY$114,TRANSPOSE(SAP_Speadsheet!$F$64:$BM$64))</f>
        <v>0</v>
      </c>
      <c r="AZ21" s="326" cm="1">
        <f t="array" aca="1" ref="AZ21" ca="1">SUMPRODUCT(AZ$55:AZ$114,TRANSPOSE(SAP_Speadsheet!$F$64:$BM$64))</f>
        <v>0</v>
      </c>
      <c r="BA21" s="326" cm="1">
        <f t="array" aca="1" ref="BA21" ca="1">SUMPRODUCT(BA$55:BA$114,TRANSPOSE(SAP_Speadsheet!$F$64:$BM$64))</f>
        <v>0</v>
      </c>
      <c r="BB21" s="326" cm="1">
        <f t="array" aca="1" ref="BB21" ca="1">SUMPRODUCT(BB$55:BB$114,TRANSPOSE(SAP_Speadsheet!$F$64:$BM$64))</f>
        <v>0</v>
      </c>
      <c r="BC21" s="326" cm="1">
        <f t="array" aca="1" ref="BC21" ca="1">SUMPRODUCT(BC$55:BC$114,TRANSPOSE(SAP_Speadsheet!$F$64:$BM$64))</f>
        <v>0</v>
      </c>
      <c r="BD21" s="326" cm="1">
        <f t="array" aca="1" ref="BD21" ca="1">SUMPRODUCT(BD$55:BD$114,TRANSPOSE(SAP_Speadsheet!$F$64:$BM$64))</f>
        <v>0</v>
      </c>
      <c r="BE21" s="326" cm="1">
        <f t="array" aca="1" ref="BE21" ca="1">SUMPRODUCT(BE$55:BE$114,TRANSPOSE(SAP_Speadsheet!$F$64:$BM$64))</f>
        <v>0</v>
      </c>
      <c r="BF21" s="326" cm="1">
        <f t="array" aca="1" ref="BF21" ca="1">SUMPRODUCT(BF$55:BF$114,TRANSPOSE(SAP_Speadsheet!$F$64:$BM$64))</f>
        <v>0</v>
      </c>
      <c r="BG21" s="326" cm="1">
        <f t="array" aca="1" ref="BG21" ca="1">SUMPRODUCT(BG$55:BG$114,TRANSPOSE(SAP_Speadsheet!$F$64:$BM$64))</f>
        <v>0</v>
      </c>
      <c r="BH21" s="326" cm="1">
        <f t="array" aca="1" ref="BH21" ca="1">SUMPRODUCT(BH$55:BH$114,TRANSPOSE(SAP_Speadsheet!$F$64:$BM$64))</f>
        <v>0</v>
      </c>
      <c r="BI21" s="326" cm="1">
        <f t="array" aca="1" ref="BI21" ca="1">SUMPRODUCT(BI$55:BI$114,TRANSPOSE(SAP_Speadsheet!$F$64:$BM$64))</f>
        <v>0</v>
      </c>
    </row>
    <row r="22" spans="1:61" x14ac:dyDescent="0.15">
      <c r="A22" s="315" t="s">
        <v>227</v>
      </c>
      <c r="B22" s="326" cm="1">
        <f t="array" aca="1" ref="B22" ca="1">SUMPRODUCT(B$55:B$114,TRANSPOSE(SAP_Speadsheet!$F$65:$BM$65))</f>
        <v>0</v>
      </c>
      <c r="C22" s="326" cm="1">
        <f t="array" aca="1" ref="C22" ca="1">SUMPRODUCT(C$55:C$114,TRANSPOSE(SAP_Speadsheet!$F$65:$BM$65))</f>
        <v>0</v>
      </c>
      <c r="D22" s="326" cm="1">
        <f t="array" aca="1" ref="D22" ca="1">SUMPRODUCT(D$55:D$114,TRANSPOSE(SAP_Speadsheet!$F$65:$BM$65))</f>
        <v>0</v>
      </c>
      <c r="E22" s="326" cm="1">
        <f t="array" aca="1" ref="E22" ca="1">SUMPRODUCT(E$55:E$114,TRANSPOSE(SAP_Speadsheet!$F$65:$BM$65))</f>
        <v>0</v>
      </c>
      <c r="F22" s="326" cm="1">
        <f t="array" aca="1" ref="F22" ca="1">SUMPRODUCT(F$55:F$114,TRANSPOSE(SAP_Speadsheet!$F$65:$BM$65))</f>
        <v>0</v>
      </c>
      <c r="G22" s="326" cm="1">
        <f t="array" aca="1" ref="G22" ca="1">SUMPRODUCT(G$55:G$114,TRANSPOSE(SAP_Speadsheet!$F$65:$BM$65))</f>
        <v>0</v>
      </c>
      <c r="H22" s="326" cm="1">
        <f t="array" aca="1" ref="H22" ca="1">SUMPRODUCT(H$55:H$114,TRANSPOSE(SAP_Speadsheet!$F$65:$BM$65))</f>
        <v>0</v>
      </c>
      <c r="I22" s="326" cm="1">
        <f t="array" aca="1" ref="I22" ca="1">SUMPRODUCT(I$55:I$114,TRANSPOSE(SAP_Speadsheet!$F$65:$BM$65))</f>
        <v>0</v>
      </c>
      <c r="J22" s="326" cm="1">
        <f t="array" aca="1" ref="J22" ca="1">SUMPRODUCT(J$55:J$114,TRANSPOSE(SAP_Speadsheet!$F$65:$BM$65))</f>
        <v>0</v>
      </c>
      <c r="K22" s="326" cm="1">
        <f t="array" aca="1" ref="K22" ca="1">SUMPRODUCT(K$55:K$114,TRANSPOSE(SAP_Speadsheet!$F$65:$BM$65))</f>
        <v>0</v>
      </c>
      <c r="L22" s="326" cm="1">
        <f t="array" aca="1" ref="L22" ca="1">SUMPRODUCT(L$55:L$114,TRANSPOSE(SAP_Speadsheet!$F$65:$BM$65))</f>
        <v>0</v>
      </c>
      <c r="M22" s="326" cm="1">
        <f t="array" aca="1" ref="M22" ca="1">SUMPRODUCT(M$55:M$114,TRANSPOSE(SAP_Speadsheet!$F$65:$BM$65))</f>
        <v>0</v>
      </c>
      <c r="N22" s="326" cm="1">
        <f t="array" aca="1" ref="N22" ca="1">SUMPRODUCT(N$55:N$114,TRANSPOSE(SAP_Speadsheet!$F$65:$BM$65))</f>
        <v>0</v>
      </c>
      <c r="O22" s="326" cm="1">
        <f t="array" aca="1" ref="O22" ca="1">SUMPRODUCT(O$55:O$114,TRANSPOSE(SAP_Speadsheet!$F$65:$BM$65))</f>
        <v>0</v>
      </c>
      <c r="P22" s="326" cm="1">
        <f t="array" aca="1" ref="P22" ca="1">SUMPRODUCT(P$55:P$114,TRANSPOSE(SAP_Speadsheet!$F$65:$BM$65))</f>
        <v>0</v>
      </c>
      <c r="Q22" s="326" cm="1">
        <f t="array" aca="1" ref="Q22" ca="1">SUMPRODUCT(Q$55:Q$114,TRANSPOSE(SAP_Speadsheet!$F$65:$BM$65))</f>
        <v>0</v>
      </c>
      <c r="R22" s="326" cm="1">
        <f t="array" aca="1" ref="R22" ca="1">SUMPRODUCT(R$55:R$114,TRANSPOSE(SAP_Speadsheet!$F$65:$BM$65))</f>
        <v>0</v>
      </c>
      <c r="S22" s="326" cm="1">
        <f t="array" aca="1" ref="S22" ca="1">SUMPRODUCT(S$55:S$114,TRANSPOSE(SAP_Speadsheet!$F$65:$BM$65))</f>
        <v>0</v>
      </c>
      <c r="T22" s="326" cm="1">
        <f t="array" aca="1" ref="T22" ca="1">SUMPRODUCT(T$55:T$114,TRANSPOSE(SAP_Speadsheet!$F$65:$BM$65))</f>
        <v>0</v>
      </c>
      <c r="U22" s="326" cm="1">
        <f t="array" aca="1" ref="U22" ca="1">SUMPRODUCT(U$55:U$114,TRANSPOSE(SAP_Speadsheet!$F$65:$BM$65))</f>
        <v>0</v>
      </c>
      <c r="V22" s="326" cm="1">
        <f t="array" aca="1" ref="V22" ca="1">SUMPRODUCT(V$55:V$114,TRANSPOSE(SAP_Speadsheet!$F$65:$BM$65))</f>
        <v>0</v>
      </c>
      <c r="W22" s="326" cm="1">
        <f t="array" aca="1" ref="W22" ca="1">SUMPRODUCT(W$55:W$114,TRANSPOSE(SAP_Speadsheet!$F$65:$BM$65))</f>
        <v>0</v>
      </c>
      <c r="X22" s="326" cm="1">
        <f t="array" aca="1" ref="X22" ca="1">SUMPRODUCT(X$55:X$114,TRANSPOSE(SAP_Speadsheet!$F$65:$BM$65))</f>
        <v>0</v>
      </c>
      <c r="Y22" s="326" cm="1">
        <f t="array" aca="1" ref="Y22" ca="1">SUMPRODUCT(Y$55:Y$114,TRANSPOSE(SAP_Speadsheet!$F$65:$BM$65))</f>
        <v>0</v>
      </c>
      <c r="Z22" s="326" cm="1">
        <f t="array" aca="1" ref="Z22" ca="1">SUMPRODUCT(Z$55:Z$114,TRANSPOSE(SAP_Speadsheet!$F$65:$BM$65))</f>
        <v>0</v>
      </c>
      <c r="AA22" s="326" cm="1">
        <f t="array" aca="1" ref="AA22" ca="1">SUMPRODUCT(AA$55:AA$114,TRANSPOSE(SAP_Speadsheet!$F$65:$BM$65))</f>
        <v>0</v>
      </c>
      <c r="AB22" s="326" cm="1">
        <f t="array" aca="1" ref="AB22" ca="1">SUMPRODUCT(AB$55:AB$114,TRANSPOSE(SAP_Speadsheet!$F$65:$BM$65))</f>
        <v>0</v>
      </c>
      <c r="AC22" s="326" cm="1">
        <f t="array" aca="1" ref="AC22" ca="1">SUMPRODUCT(AC$55:AC$114,TRANSPOSE(SAP_Speadsheet!$F$65:$BM$65))</f>
        <v>0</v>
      </c>
      <c r="AD22" s="326" cm="1">
        <f t="array" aca="1" ref="AD22" ca="1">SUMPRODUCT(AD$55:AD$114,TRANSPOSE(SAP_Speadsheet!$F$65:$BM$65))</f>
        <v>0</v>
      </c>
      <c r="AE22" s="326" cm="1">
        <f t="array" aca="1" ref="AE22" ca="1">SUMPRODUCT(AE$55:AE$114,TRANSPOSE(SAP_Speadsheet!$F$65:$BM$65))</f>
        <v>0</v>
      </c>
      <c r="AF22" s="326" cm="1">
        <f t="array" aca="1" ref="AF22" ca="1">SUMPRODUCT(AF$55:AF$114,TRANSPOSE(SAP_Speadsheet!$F$65:$BM$65))</f>
        <v>0</v>
      </c>
      <c r="AG22" s="326" cm="1">
        <f t="array" aca="1" ref="AG22" ca="1">SUMPRODUCT(AG$55:AG$114,TRANSPOSE(SAP_Speadsheet!$F$65:$BM$65))</f>
        <v>0</v>
      </c>
      <c r="AH22" s="326" cm="1">
        <f t="array" aca="1" ref="AH22" ca="1">SUMPRODUCT(AH$55:AH$114,TRANSPOSE(SAP_Speadsheet!$F$65:$BM$65))</f>
        <v>0</v>
      </c>
      <c r="AI22" s="326" cm="1">
        <f t="array" aca="1" ref="AI22" ca="1">SUMPRODUCT(AI$55:AI$114,TRANSPOSE(SAP_Speadsheet!$F$65:$BM$65))</f>
        <v>0</v>
      </c>
      <c r="AJ22" s="326" cm="1">
        <f t="array" aca="1" ref="AJ22" ca="1">SUMPRODUCT(AJ$55:AJ$114,TRANSPOSE(SAP_Speadsheet!$F$65:$BM$65))</f>
        <v>0</v>
      </c>
      <c r="AK22" s="326" cm="1">
        <f t="array" aca="1" ref="AK22" ca="1">SUMPRODUCT(AK$55:AK$114,TRANSPOSE(SAP_Speadsheet!$F$65:$BM$65))</f>
        <v>0</v>
      </c>
      <c r="AL22" s="326" cm="1">
        <f t="array" aca="1" ref="AL22" ca="1">SUMPRODUCT(AL$55:AL$114,TRANSPOSE(SAP_Speadsheet!$F$65:$BM$65))</f>
        <v>0</v>
      </c>
      <c r="AM22" s="326" cm="1">
        <f t="array" aca="1" ref="AM22" ca="1">SUMPRODUCT(AM$55:AM$114,TRANSPOSE(SAP_Speadsheet!$F$65:$BM$65))</f>
        <v>0</v>
      </c>
      <c r="AN22" s="326" cm="1">
        <f t="array" aca="1" ref="AN22" ca="1">SUMPRODUCT(AN$55:AN$114,TRANSPOSE(SAP_Speadsheet!$F$65:$BM$65))</f>
        <v>0</v>
      </c>
      <c r="AO22" s="326" cm="1">
        <f t="array" aca="1" ref="AO22" ca="1">SUMPRODUCT(AO$55:AO$114,TRANSPOSE(SAP_Speadsheet!$F$65:$BM$65))</f>
        <v>0</v>
      </c>
      <c r="AP22" s="326" cm="1">
        <f t="array" aca="1" ref="AP22" ca="1">SUMPRODUCT(AP$55:AP$114,TRANSPOSE(SAP_Speadsheet!$F$65:$BM$65))</f>
        <v>0</v>
      </c>
      <c r="AQ22" s="326" cm="1">
        <f t="array" aca="1" ref="AQ22" ca="1">SUMPRODUCT(AQ$55:AQ$114,TRANSPOSE(SAP_Speadsheet!$F$65:$BM$65))</f>
        <v>0</v>
      </c>
      <c r="AR22" s="326" cm="1">
        <f t="array" aca="1" ref="AR22" ca="1">SUMPRODUCT(AR$55:AR$114,TRANSPOSE(SAP_Speadsheet!$F$65:$BM$65))</f>
        <v>0</v>
      </c>
      <c r="AS22" s="326" cm="1">
        <f t="array" aca="1" ref="AS22" ca="1">SUMPRODUCT(AS$55:AS$114,TRANSPOSE(SAP_Speadsheet!$F$65:$BM$65))</f>
        <v>0</v>
      </c>
      <c r="AT22" s="326" cm="1">
        <f t="array" aca="1" ref="AT22" ca="1">SUMPRODUCT(AT$55:AT$114,TRANSPOSE(SAP_Speadsheet!$F$65:$BM$65))</f>
        <v>0</v>
      </c>
      <c r="AU22" s="326" cm="1">
        <f t="array" aca="1" ref="AU22" ca="1">SUMPRODUCT(AU$55:AU$114,TRANSPOSE(SAP_Speadsheet!$F$65:$BM$65))</f>
        <v>0</v>
      </c>
      <c r="AV22" s="326" cm="1">
        <f t="array" aca="1" ref="AV22" ca="1">SUMPRODUCT(AV$55:AV$114,TRANSPOSE(SAP_Speadsheet!$F$65:$BM$65))</f>
        <v>0</v>
      </c>
      <c r="AW22" s="326" cm="1">
        <f t="array" aca="1" ref="AW22" ca="1">SUMPRODUCT(AW$55:AW$114,TRANSPOSE(SAP_Speadsheet!$F$65:$BM$65))</f>
        <v>0</v>
      </c>
      <c r="AX22" s="326" cm="1">
        <f t="array" aca="1" ref="AX22" ca="1">SUMPRODUCT(AX$55:AX$114,TRANSPOSE(SAP_Speadsheet!$F$65:$BM$65))</f>
        <v>0</v>
      </c>
      <c r="AY22" s="326" cm="1">
        <f t="array" aca="1" ref="AY22" ca="1">SUMPRODUCT(AY$55:AY$114,TRANSPOSE(SAP_Speadsheet!$F$65:$BM$65))</f>
        <v>0</v>
      </c>
      <c r="AZ22" s="326" cm="1">
        <f t="array" aca="1" ref="AZ22" ca="1">SUMPRODUCT(AZ$55:AZ$114,TRANSPOSE(SAP_Speadsheet!$F$65:$BM$65))</f>
        <v>0</v>
      </c>
      <c r="BA22" s="326" cm="1">
        <f t="array" aca="1" ref="BA22" ca="1">SUMPRODUCT(BA$55:BA$114,TRANSPOSE(SAP_Speadsheet!$F$65:$BM$65))</f>
        <v>0</v>
      </c>
      <c r="BB22" s="326" cm="1">
        <f t="array" aca="1" ref="BB22" ca="1">SUMPRODUCT(BB$55:BB$114,TRANSPOSE(SAP_Speadsheet!$F$65:$BM$65))</f>
        <v>0</v>
      </c>
      <c r="BC22" s="326" cm="1">
        <f t="array" aca="1" ref="BC22" ca="1">SUMPRODUCT(BC$55:BC$114,TRANSPOSE(SAP_Speadsheet!$F$65:$BM$65))</f>
        <v>0</v>
      </c>
      <c r="BD22" s="326" cm="1">
        <f t="array" aca="1" ref="BD22" ca="1">SUMPRODUCT(BD$55:BD$114,TRANSPOSE(SAP_Speadsheet!$F$65:$BM$65))</f>
        <v>0</v>
      </c>
      <c r="BE22" s="326" cm="1">
        <f t="array" aca="1" ref="BE22" ca="1">SUMPRODUCT(BE$55:BE$114,TRANSPOSE(SAP_Speadsheet!$F$65:$BM$65))</f>
        <v>0</v>
      </c>
      <c r="BF22" s="326" cm="1">
        <f t="array" aca="1" ref="BF22" ca="1">SUMPRODUCT(BF$55:BF$114,TRANSPOSE(SAP_Speadsheet!$F$65:$BM$65))</f>
        <v>0</v>
      </c>
      <c r="BG22" s="326" cm="1">
        <f t="array" aca="1" ref="BG22" ca="1">SUMPRODUCT(BG$55:BG$114,TRANSPOSE(SAP_Speadsheet!$F$65:$BM$65))</f>
        <v>0</v>
      </c>
      <c r="BH22" s="326" cm="1">
        <f t="array" aca="1" ref="BH22" ca="1">SUMPRODUCT(BH$55:BH$114,TRANSPOSE(SAP_Speadsheet!$F$65:$BM$65))</f>
        <v>0</v>
      </c>
      <c r="BI22" s="326" cm="1">
        <f t="array" aca="1" ref="BI22" ca="1">SUMPRODUCT(BI$55:BI$114,TRANSPOSE(SAP_Speadsheet!$F$65:$BM$65))</f>
        <v>0</v>
      </c>
    </row>
    <row r="23" spans="1:61" s="314" customFormat="1" x14ac:dyDescent="0.15">
      <c r="A23" s="315" t="s">
        <v>228</v>
      </c>
      <c r="B23" s="326" cm="1">
        <f t="array" aca="1" ref="B23" ca="1">SUMPRODUCT(B$55:B$114,TRANSPOSE(SAP_Speadsheet!$F$74:$BM$74))</f>
        <v>0</v>
      </c>
      <c r="C23" s="326" cm="1">
        <f t="array" aca="1" ref="C23" ca="1">SUMPRODUCT(C$55:C$114,TRANSPOSE(SAP_Speadsheet!$F$74:$BM$74))</f>
        <v>0</v>
      </c>
      <c r="D23" s="326" cm="1">
        <f t="array" aca="1" ref="D23" ca="1">SUMPRODUCT(D$55:D$114,TRANSPOSE(SAP_Speadsheet!$F$74:$BM$74))</f>
        <v>0</v>
      </c>
      <c r="E23" s="326" cm="1">
        <f t="array" aca="1" ref="E23" ca="1">SUMPRODUCT(E$55:E$114,TRANSPOSE(SAP_Speadsheet!$F$74:$BM$74))</f>
        <v>0</v>
      </c>
      <c r="F23" s="326" cm="1">
        <f t="array" aca="1" ref="F23" ca="1">SUMPRODUCT(F$55:F$114,TRANSPOSE(SAP_Speadsheet!$F$74:$BM$74))</f>
        <v>0</v>
      </c>
      <c r="G23" s="326" cm="1">
        <f t="array" aca="1" ref="G23" ca="1">SUMPRODUCT(G$55:G$114,TRANSPOSE(SAP_Speadsheet!$F$74:$BM$74))</f>
        <v>0</v>
      </c>
      <c r="H23" s="326" cm="1">
        <f t="array" aca="1" ref="H23" ca="1">SUMPRODUCT(H$55:H$114,TRANSPOSE(SAP_Speadsheet!$F$74:$BM$74))</f>
        <v>0</v>
      </c>
      <c r="I23" s="326" cm="1">
        <f t="array" aca="1" ref="I23" ca="1">SUMPRODUCT(I$55:I$114,TRANSPOSE(SAP_Speadsheet!$F$74:$BM$74))</f>
        <v>0</v>
      </c>
      <c r="J23" s="326" cm="1">
        <f t="array" aca="1" ref="J23" ca="1">SUMPRODUCT(J$55:J$114,TRANSPOSE(SAP_Speadsheet!$F$74:$BM$74))</f>
        <v>0</v>
      </c>
      <c r="K23" s="326" cm="1">
        <f t="array" aca="1" ref="K23" ca="1">SUMPRODUCT(K$55:K$114,TRANSPOSE(SAP_Speadsheet!$F$74:$BM$74))</f>
        <v>0</v>
      </c>
      <c r="L23" s="326" cm="1">
        <f t="array" aca="1" ref="L23" ca="1">SUMPRODUCT(L$55:L$114,TRANSPOSE(SAP_Speadsheet!$F$74:$BM$74))</f>
        <v>0</v>
      </c>
      <c r="M23" s="326" cm="1">
        <f t="array" aca="1" ref="M23" ca="1">SUMPRODUCT(M$55:M$114,TRANSPOSE(SAP_Speadsheet!$F$74:$BM$74))</f>
        <v>0</v>
      </c>
      <c r="N23" s="326" cm="1">
        <f t="array" aca="1" ref="N23" ca="1">SUMPRODUCT(N$55:N$114,TRANSPOSE(SAP_Speadsheet!$F$74:$BM$74))</f>
        <v>0</v>
      </c>
      <c r="O23" s="326" cm="1">
        <f t="array" aca="1" ref="O23" ca="1">SUMPRODUCT(O$55:O$114,TRANSPOSE(SAP_Speadsheet!$F$74:$BM$74))</f>
        <v>0</v>
      </c>
      <c r="P23" s="326" cm="1">
        <f t="array" aca="1" ref="P23" ca="1">SUMPRODUCT(P$55:P$114,TRANSPOSE(SAP_Speadsheet!$F$74:$BM$74))</f>
        <v>0</v>
      </c>
      <c r="Q23" s="326" cm="1">
        <f t="array" aca="1" ref="Q23" ca="1">SUMPRODUCT(Q$55:Q$114,TRANSPOSE(SAP_Speadsheet!$F$74:$BM$74))</f>
        <v>0</v>
      </c>
      <c r="R23" s="326" cm="1">
        <f t="array" aca="1" ref="R23" ca="1">SUMPRODUCT(R$55:R$114,TRANSPOSE(SAP_Speadsheet!$F$74:$BM$74))</f>
        <v>0</v>
      </c>
      <c r="S23" s="326" cm="1">
        <f t="array" aca="1" ref="S23" ca="1">SUMPRODUCT(S$55:S$114,TRANSPOSE(SAP_Speadsheet!$F$74:$BM$74))</f>
        <v>0</v>
      </c>
      <c r="T23" s="326" cm="1">
        <f t="array" aca="1" ref="T23" ca="1">SUMPRODUCT(T$55:T$114,TRANSPOSE(SAP_Speadsheet!$F$74:$BM$74))</f>
        <v>0</v>
      </c>
      <c r="U23" s="326" cm="1">
        <f t="array" aca="1" ref="U23" ca="1">SUMPRODUCT(U$55:U$114,TRANSPOSE(SAP_Speadsheet!$F$74:$BM$74))</f>
        <v>0</v>
      </c>
      <c r="V23" s="326" cm="1">
        <f t="array" aca="1" ref="V23" ca="1">SUMPRODUCT(V$55:V$114,TRANSPOSE(SAP_Speadsheet!$F$74:$BM$74))</f>
        <v>0</v>
      </c>
      <c r="W23" s="326" cm="1">
        <f t="array" aca="1" ref="W23" ca="1">SUMPRODUCT(W$55:W$114,TRANSPOSE(SAP_Speadsheet!$F$74:$BM$74))</f>
        <v>0</v>
      </c>
      <c r="X23" s="326" cm="1">
        <f t="array" aca="1" ref="X23" ca="1">SUMPRODUCT(X$55:X$114,TRANSPOSE(SAP_Speadsheet!$F$74:$BM$74))</f>
        <v>0</v>
      </c>
      <c r="Y23" s="326" cm="1">
        <f t="array" aca="1" ref="Y23" ca="1">SUMPRODUCT(Y$55:Y$114,TRANSPOSE(SAP_Speadsheet!$F$74:$BM$74))</f>
        <v>0</v>
      </c>
      <c r="Z23" s="326" cm="1">
        <f t="array" aca="1" ref="Z23" ca="1">SUMPRODUCT(Z$55:Z$114,TRANSPOSE(SAP_Speadsheet!$F$74:$BM$74))</f>
        <v>0</v>
      </c>
      <c r="AA23" s="326" cm="1">
        <f t="array" aca="1" ref="AA23" ca="1">SUMPRODUCT(AA$55:AA$114,TRANSPOSE(SAP_Speadsheet!$F$74:$BM$74))</f>
        <v>0</v>
      </c>
      <c r="AB23" s="326" cm="1">
        <f t="array" aca="1" ref="AB23" ca="1">SUMPRODUCT(AB$55:AB$114,TRANSPOSE(SAP_Speadsheet!$F$74:$BM$74))</f>
        <v>0</v>
      </c>
      <c r="AC23" s="326" cm="1">
        <f t="array" aca="1" ref="AC23" ca="1">SUMPRODUCT(AC$55:AC$114,TRANSPOSE(SAP_Speadsheet!$F$74:$BM$74))</f>
        <v>0</v>
      </c>
      <c r="AD23" s="326" cm="1">
        <f t="array" aca="1" ref="AD23" ca="1">SUMPRODUCT(AD$55:AD$114,TRANSPOSE(SAP_Speadsheet!$F$74:$BM$74))</f>
        <v>0</v>
      </c>
      <c r="AE23" s="326" cm="1">
        <f t="array" aca="1" ref="AE23" ca="1">SUMPRODUCT(AE$55:AE$114,TRANSPOSE(SAP_Speadsheet!$F$74:$BM$74))</f>
        <v>0</v>
      </c>
      <c r="AF23" s="326" cm="1">
        <f t="array" aca="1" ref="AF23" ca="1">SUMPRODUCT(AF$55:AF$114,TRANSPOSE(SAP_Speadsheet!$F$74:$BM$74))</f>
        <v>0</v>
      </c>
      <c r="AG23" s="326" cm="1">
        <f t="array" aca="1" ref="AG23" ca="1">SUMPRODUCT(AG$55:AG$114,TRANSPOSE(SAP_Speadsheet!$F$74:$BM$74))</f>
        <v>0</v>
      </c>
      <c r="AH23" s="326" cm="1">
        <f t="array" aca="1" ref="AH23" ca="1">SUMPRODUCT(AH$55:AH$114,TRANSPOSE(SAP_Speadsheet!$F$74:$BM$74))</f>
        <v>0</v>
      </c>
      <c r="AI23" s="326" cm="1">
        <f t="array" aca="1" ref="AI23" ca="1">SUMPRODUCT(AI$55:AI$114,TRANSPOSE(SAP_Speadsheet!$F$74:$BM$74))</f>
        <v>0</v>
      </c>
      <c r="AJ23" s="326" cm="1">
        <f t="array" aca="1" ref="AJ23" ca="1">SUMPRODUCT(AJ$55:AJ$114,TRANSPOSE(SAP_Speadsheet!$F$74:$BM$74))</f>
        <v>0</v>
      </c>
      <c r="AK23" s="326" cm="1">
        <f t="array" aca="1" ref="AK23" ca="1">SUMPRODUCT(AK$55:AK$114,TRANSPOSE(SAP_Speadsheet!$F$74:$BM$74))</f>
        <v>0</v>
      </c>
      <c r="AL23" s="326" cm="1">
        <f t="array" aca="1" ref="AL23" ca="1">SUMPRODUCT(AL$55:AL$114,TRANSPOSE(SAP_Speadsheet!$F$74:$BM$74))</f>
        <v>0</v>
      </c>
      <c r="AM23" s="326" cm="1">
        <f t="array" aca="1" ref="AM23" ca="1">SUMPRODUCT(AM$55:AM$114,TRANSPOSE(SAP_Speadsheet!$F$74:$BM$74))</f>
        <v>0</v>
      </c>
      <c r="AN23" s="326" cm="1">
        <f t="array" aca="1" ref="AN23" ca="1">SUMPRODUCT(AN$55:AN$114,TRANSPOSE(SAP_Speadsheet!$F$74:$BM$74))</f>
        <v>0</v>
      </c>
      <c r="AO23" s="326" cm="1">
        <f t="array" aca="1" ref="AO23" ca="1">SUMPRODUCT(AO$55:AO$114,TRANSPOSE(SAP_Speadsheet!$F$74:$BM$74))</f>
        <v>0</v>
      </c>
      <c r="AP23" s="326" cm="1">
        <f t="array" aca="1" ref="AP23" ca="1">SUMPRODUCT(AP$55:AP$114,TRANSPOSE(SAP_Speadsheet!$F$74:$BM$74))</f>
        <v>0</v>
      </c>
      <c r="AQ23" s="326" cm="1">
        <f t="array" aca="1" ref="AQ23" ca="1">SUMPRODUCT(AQ$55:AQ$114,TRANSPOSE(SAP_Speadsheet!$F$74:$BM$74))</f>
        <v>0</v>
      </c>
      <c r="AR23" s="326" cm="1">
        <f t="array" aca="1" ref="AR23" ca="1">SUMPRODUCT(AR$55:AR$114,TRANSPOSE(SAP_Speadsheet!$F$74:$BM$74))</f>
        <v>0</v>
      </c>
      <c r="AS23" s="326" cm="1">
        <f t="array" aca="1" ref="AS23" ca="1">SUMPRODUCT(AS$55:AS$114,TRANSPOSE(SAP_Speadsheet!$F$74:$BM$74))</f>
        <v>0</v>
      </c>
      <c r="AT23" s="326" cm="1">
        <f t="array" aca="1" ref="AT23" ca="1">SUMPRODUCT(AT$55:AT$114,TRANSPOSE(SAP_Speadsheet!$F$74:$BM$74))</f>
        <v>0</v>
      </c>
      <c r="AU23" s="326" cm="1">
        <f t="array" aca="1" ref="AU23" ca="1">SUMPRODUCT(AU$55:AU$114,TRANSPOSE(SAP_Speadsheet!$F$74:$BM$74))</f>
        <v>0</v>
      </c>
      <c r="AV23" s="326" cm="1">
        <f t="array" aca="1" ref="AV23" ca="1">SUMPRODUCT(AV$55:AV$114,TRANSPOSE(SAP_Speadsheet!$F$74:$BM$74))</f>
        <v>0</v>
      </c>
      <c r="AW23" s="326">
        <v>0</v>
      </c>
      <c r="AX23" s="326" cm="1">
        <f t="array" aca="1" ref="AX23" ca="1">SUMPRODUCT(AX$55:AX$114,TRANSPOSE(SAP_Speadsheet!$F$74:$BM$74))</f>
        <v>0</v>
      </c>
      <c r="AY23" s="326" cm="1">
        <f t="array" aca="1" ref="AY23" ca="1">SUMPRODUCT(AY$55:AY$114,TRANSPOSE(SAP_Speadsheet!$F$74:$BM$74))</f>
        <v>0</v>
      </c>
      <c r="AZ23" s="326" cm="1">
        <f t="array" aca="1" ref="AZ23" ca="1">SUMPRODUCT(AZ$55:AZ$114,TRANSPOSE(SAP_Speadsheet!$F$74:$BM$74))</f>
        <v>0</v>
      </c>
      <c r="BA23" s="326" cm="1">
        <f t="array" aca="1" ref="BA23" ca="1">SUMPRODUCT(BA$55:BA$114,TRANSPOSE(SAP_Speadsheet!$F$74:$BM$74))</f>
        <v>0</v>
      </c>
      <c r="BB23" s="326" cm="1">
        <f t="array" aca="1" ref="BB23" ca="1">SUMPRODUCT(BB$55:BB$114,TRANSPOSE(SAP_Speadsheet!$F$74:$BM$74))</f>
        <v>0</v>
      </c>
      <c r="BC23" s="326" cm="1">
        <f t="array" aca="1" ref="BC23" ca="1">SUMPRODUCT(BC$55:BC$114,TRANSPOSE(SAP_Speadsheet!$F$74:$BM$74))</f>
        <v>0</v>
      </c>
      <c r="BD23" s="326" cm="1">
        <f t="array" aca="1" ref="BD23" ca="1">SUMPRODUCT(BD$55:BD$114,TRANSPOSE(SAP_Speadsheet!$F$74:$BM$74))</f>
        <v>0</v>
      </c>
      <c r="BE23" s="326" cm="1">
        <f t="array" aca="1" ref="BE23" ca="1">SUMPRODUCT(BE$55:BE$114,TRANSPOSE(SAP_Speadsheet!$F$74:$BM$74))</f>
        <v>0</v>
      </c>
      <c r="BF23" s="326" cm="1">
        <f t="array" aca="1" ref="BF23" ca="1">SUMPRODUCT(BF$55:BF$114,TRANSPOSE(SAP_Speadsheet!$F$74:$BM$74))</f>
        <v>0</v>
      </c>
      <c r="BG23" s="326" cm="1">
        <f t="array" aca="1" ref="BG23" ca="1">SUMPRODUCT(BG$55:BG$114,TRANSPOSE(SAP_Speadsheet!$F$74:$BM$74))</f>
        <v>0</v>
      </c>
      <c r="BH23" s="326" cm="1">
        <f t="array" aca="1" ref="BH23" ca="1">SUMPRODUCT(BH$55:BH$114,TRANSPOSE(SAP_Speadsheet!$F$74:$BM$74))</f>
        <v>0</v>
      </c>
      <c r="BI23" s="326" cm="1">
        <f t="array" aca="1" ref="BI23" ca="1">SUMPRODUCT(BI$55:BI$114,TRANSPOSE(SAP_Speadsheet!$F$74:$BM$74))</f>
        <v>0</v>
      </c>
    </row>
    <row r="24" spans="1:61" x14ac:dyDescent="0.15">
      <c r="A24" s="327" t="s">
        <v>205</v>
      </c>
      <c r="B24" s="321" cm="1">
        <f t="array" aca="1" ref="B24" ca="1">SUMPRODUCT(B$55:B$114,TRANSPOSE(SAP_Speadsheet!$F$76:$BM$76))</f>
        <v>-20.645888095542706</v>
      </c>
      <c r="C24" s="321" cm="1">
        <f t="array" aca="1" ref="C24" ca="1">SUMPRODUCT(C$55:C$114,TRANSPOSE(SAP_Speadsheet!$F$76:$BM$76))</f>
        <v>0</v>
      </c>
      <c r="D24" s="321" cm="1">
        <f t="array" aca="1" ref="D24" ca="1">SUMPRODUCT(D$55:D$114,TRANSPOSE(SAP_Speadsheet!$F$76:$BM$76))</f>
        <v>0</v>
      </c>
      <c r="E24" s="321" cm="1">
        <f t="array" aca="1" ref="E24" ca="1">SUMPRODUCT(E$55:E$114,TRANSPOSE(SAP_Speadsheet!$F$76:$BM$76))</f>
        <v>0</v>
      </c>
      <c r="F24" s="321" cm="1">
        <f t="array" aca="1" ref="F24" ca="1">SUMPRODUCT(F$55:F$114,TRANSPOSE(SAP_Speadsheet!$F$76:$BM$76))</f>
        <v>0</v>
      </c>
      <c r="G24" s="321" cm="1">
        <f t="array" aca="1" ref="G24" ca="1">SUMPRODUCT(G$55:G$114,TRANSPOSE(SAP_Speadsheet!$F$76:$BM$76))</f>
        <v>0</v>
      </c>
      <c r="H24" s="321" cm="1">
        <f t="array" aca="1" ref="H24" ca="1">SUMPRODUCT(H$55:H$114,TRANSPOSE(SAP_Speadsheet!$F$76:$BM$76))</f>
        <v>0</v>
      </c>
      <c r="I24" s="321" cm="1">
        <f t="array" aca="1" ref="I24" ca="1">SUMPRODUCT(I$55:I$114,TRANSPOSE(SAP_Speadsheet!$F$76:$BM$76))</f>
        <v>0</v>
      </c>
      <c r="J24" s="321" cm="1">
        <f t="array" aca="1" ref="J24" ca="1">SUMPRODUCT(J$55:J$114,TRANSPOSE(SAP_Speadsheet!$F$76:$BM$76))</f>
        <v>0</v>
      </c>
      <c r="K24" s="321" cm="1">
        <f t="array" aca="1" ref="K24" ca="1">SUMPRODUCT(K$55:K$114,TRANSPOSE(SAP_Speadsheet!$F$76:$BM$76))</f>
        <v>0</v>
      </c>
      <c r="L24" s="321" cm="1">
        <f t="array" aca="1" ref="L24" ca="1">SUMPRODUCT(L$55:L$114,TRANSPOSE(SAP_Speadsheet!$F$76:$BM$76))</f>
        <v>0</v>
      </c>
      <c r="M24" s="321" cm="1">
        <f t="array" aca="1" ref="M24" ca="1">SUMPRODUCT(M$55:M$114,TRANSPOSE(SAP_Speadsheet!$F$76:$BM$76))</f>
        <v>0</v>
      </c>
      <c r="N24" s="321" cm="1">
        <f t="array" aca="1" ref="N24" ca="1">SUMPRODUCT(N$55:N$114,TRANSPOSE(SAP_Speadsheet!$F$76:$BM$76))</f>
        <v>0</v>
      </c>
      <c r="O24" s="321" cm="1">
        <f t="array" aca="1" ref="O24" ca="1">SUMPRODUCT(O$55:O$114,TRANSPOSE(SAP_Speadsheet!$F$76:$BM$76))</f>
        <v>0</v>
      </c>
      <c r="P24" s="321" cm="1">
        <f t="array" aca="1" ref="P24" ca="1">SUMPRODUCT(P$55:P$114,TRANSPOSE(SAP_Speadsheet!$F$76:$BM$76))</f>
        <v>0</v>
      </c>
      <c r="Q24" s="321" cm="1">
        <f t="array" aca="1" ref="Q24" ca="1">SUMPRODUCT(Q$55:Q$114,TRANSPOSE(SAP_Speadsheet!$F$76:$BM$76))</f>
        <v>0</v>
      </c>
      <c r="R24" s="321" cm="1">
        <f t="array" aca="1" ref="R24" ca="1">SUMPRODUCT(R$55:R$114,TRANSPOSE(SAP_Speadsheet!$F$76:$BM$76))</f>
        <v>0</v>
      </c>
      <c r="S24" s="321" cm="1">
        <f t="array" aca="1" ref="S24" ca="1">SUMPRODUCT(S$55:S$114,TRANSPOSE(SAP_Speadsheet!$F$76:$BM$76))</f>
        <v>0</v>
      </c>
      <c r="T24" s="321" cm="1">
        <f t="array" aca="1" ref="T24" ca="1">SUMPRODUCT(T$55:T$114,TRANSPOSE(SAP_Speadsheet!$F$76:$BM$76))</f>
        <v>0</v>
      </c>
      <c r="U24" s="321" cm="1">
        <f t="array" aca="1" ref="U24" ca="1">SUMPRODUCT(U$55:U$114,TRANSPOSE(SAP_Speadsheet!$F$76:$BM$76))</f>
        <v>0</v>
      </c>
      <c r="V24" s="321" cm="1">
        <f t="array" aca="1" ref="V24" ca="1">SUMPRODUCT(V$55:V$114,TRANSPOSE(SAP_Speadsheet!$F$76:$BM$76))</f>
        <v>0</v>
      </c>
      <c r="W24" s="321" cm="1">
        <f t="array" aca="1" ref="W24" ca="1">SUMPRODUCT(W$55:W$114,TRANSPOSE(SAP_Speadsheet!$F$76:$BM$76))</f>
        <v>0</v>
      </c>
      <c r="X24" s="321" cm="1">
        <f t="array" aca="1" ref="X24" ca="1">SUMPRODUCT(X$55:X$114,TRANSPOSE(SAP_Speadsheet!$F$76:$BM$76))</f>
        <v>0</v>
      </c>
      <c r="Y24" s="321" cm="1">
        <f t="array" aca="1" ref="Y24" ca="1">SUMPRODUCT(Y$55:Y$114,TRANSPOSE(SAP_Speadsheet!$F$76:$BM$76))</f>
        <v>0</v>
      </c>
      <c r="Z24" s="321" cm="1">
        <f t="array" aca="1" ref="Z24" ca="1">SUMPRODUCT(Z$55:Z$114,TRANSPOSE(SAP_Speadsheet!$F$76:$BM$76))</f>
        <v>0</v>
      </c>
      <c r="AA24" s="321" cm="1">
        <f t="array" aca="1" ref="AA24" ca="1">SUMPRODUCT(AA$55:AA$114,TRANSPOSE(SAP_Speadsheet!$F$76:$BM$76))</f>
        <v>0</v>
      </c>
      <c r="AB24" s="321" cm="1">
        <f t="array" aca="1" ref="AB24" ca="1">SUMPRODUCT(AB$55:AB$114,TRANSPOSE(SAP_Speadsheet!$F$76:$BM$76))</f>
        <v>0</v>
      </c>
      <c r="AC24" s="321" cm="1">
        <f t="array" aca="1" ref="AC24" ca="1">SUMPRODUCT(AC$55:AC$114,TRANSPOSE(SAP_Speadsheet!$F$76:$BM$76))</f>
        <v>0</v>
      </c>
      <c r="AD24" s="321" cm="1">
        <f t="array" aca="1" ref="AD24" ca="1">SUMPRODUCT(AD$55:AD$114,TRANSPOSE(SAP_Speadsheet!$F$76:$BM$76))</f>
        <v>0</v>
      </c>
      <c r="AE24" s="321" cm="1">
        <f t="array" aca="1" ref="AE24" ca="1">SUMPRODUCT(AE$55:AE$114,TRANSPOSE(SAP_Speadsheet!$F$76:$BM$76))</f>
        <v>0</v>
      </c>
      <c r="AF24" s="321" cm="1">
        <f t="array" aca="1" ref="AF24" ca="1">SUMPRODUCT(AF$55:AF$114,TRANSPOSE(SAP_Speadsheet!$F$76:$BM$76))</f>
        <v>0</v>
      </c>
      <c r="AG24" s="321" cm="1">
        <f t="array" aca="1" ref="AG24" ca="1">SUMPRODUCT(AG$55:AG$114,TRANSPOSE(SAP_Speadsheet!$F$76:$BM$76))</f>
        <v>0</v>
      </c>
      <c r="AH24" s="321" cm="1">
        <f t="array" aca="1" ref="AH24" ca="1">SUMPRODUCT(AH$55:AH$114,TRANSPOSE(SAP_Speadsheet!$F$76:$BM$76))</f>
        <v>0</v>
      </c>
      <c r="AI24" s="321" cm="1">
        <f t="array" aca="1" ref="AI24" ca="1">SUMPRODUCT(AI$55:AI$114,TRANSPOSE(SAP_Speadsheet!$F$76:$BM$76))</f>
        <v>0</v>
      </c>
      <c r="AJ24" s="321" cm="1">
        <f t="array" aca="1" ref="AJ24" ca="1">SUMPRODUCT(AJ$55:AJ$114,TRANSPOSE(SAP_Speadsheet!$F$76:$BM$76))</f>
        <v>0</v>
      </c>
      <c r="AK24" s="321" cm="1">
        <f t="array" aca="1" ref="AK24" ca="1">SUMPRODUCT(AK$55:AK$114,TRANSPOSE(SAP_Speadsheet!$F$76:$BM$76))</f>
        <v>0</v>
      </c>
      <c r="AL24" s="321" cm="1">
        <f t="array" aca="1" ref="AL24" ca="1">SUMPRODUCT(AL$55:AL$114,TRANSPOSE(SAP_Speadsheet!$F$76:$BM$76))</f>
        <v>0</v>
      </c>
      <c r="AM24" s="321" cm="1">
        <f t="array" aca="1" ref="AM24" ca="1">SUMPRODUCT(AM$55:AM$114,TRANSPOSE(SAP_Speadsheet!$F$76:$BM$76))</f>
        <v>0</v>
      </c>
      <c r="AN24" s="321" cm="1">
        <f t="array" aca="1" ref="AN24" ca="1">SUMPRODUCT(AN$55:AN$114,TRANSPOSE(SAP_Speadsheet!$F$76:$BM$76))</f>
        <v>0</v>
      </c>
      <c r="AO24" s="321" cm="1">
        <f t="array" aca="1" ref="AO24" ca="1">SUMPRODUCT(AO$55:AO$114,TRANSPOSE(SAP_Speadsheet!$F$76:$BM$76))</f>
        <v>0</v>
      </c>
      <c r="AP24" s="321" cm="1">
        <f t="array" aca="1" ref="AP24" ca="1">SUMPRODUCT(AP$55:AP$114,TRANSPOSE(SAP_Speadsheet!$F$76:$BM$76))</f>
        <v>0</v>
      </c>
      <c r="AQ24" s="321" cm="1">
        <f t="array" aca="1" ref="AQ24" ca="1">SUMPRODUCT(AQ$55:AQ$114,TRANSPOSE(SAP_Speadsheet!$F$76:$BM$76))</f>
        <v>0</v>
      </c>
      <c r="AR24" s="321" cm="1">
        <f t="array" aca="1" ref="AR24" ca="1">SUMPRODUCT(AR$55:AR$114,TRANSPOSE(SAP_Speadsheet!$F$76:$BM$76))</f>
        <v>0</v>
      </c>
      <c r="AS24" s="321" cm="1">
        <f t="array" aca="1" ref="AS24" ca="1">SUMPRODUCT(AS$55:AS$114,TRANSPOSE(SAP_Speadsheet!$F$76:$BM$76))</f>
        <v>0</v>
      </c>
      <c r="AT24" s="321" cm="1">
        <f t="array" aca="1" ref="AT24" ca="1">SUMPRODUCT(AT$55:AT$114,TRANSPOSE(SAP_Speadsheet!$F$76:$BM$76))</f>
        <v>0</v>
      </c>
      <c r="AU24" s="321" cm="1">
        <f t="array" aca="1" ref="AU24" ca="1">SUMPRODUCT(AU$55:AU$114,TRANSPOSE(SAP_Speadsheet!$F$76:$BM$76))</f>
        <v>0</v>
      </c>
      <c r="AV24" s="321" cm="1">
        <f t="array" aca="1" ref="AV24" ca="1">SUMPRODUCT(AV$55:AV$114,TRANSPOSE(SAP_Speadsheet!$F$76:$BM$76))</f>
        <v>0</v>
      </c>
      <c r="AW24" s="321" cm="1">
        <f t="array" aca="1" ref="AW24" ca="1">SUMPRODUCT(AW$55:AW$114,TRANSPOSE(SAP_Speadsheet!$F$76:$BM$76))</f>
        <v>0</v>
      </c>
      <c r="AX24" s="321" cm="1">
        <f t="array" aca="1" ref="AX24" ca="1">SUMPRODUCT(AX$55:AX$114,TRANSPOSE(SAP_Speadsheet!$F$76:$BM$76))</f>
        <v>0</v>
      </c>
      <c r="AY24" s="321" cm="1">
        <f t="array" aca="1" ref="AY24" ca="1">SUMPRODUCT(AY$55:AY$114,TRANSPOSE(SAP_Speadsheet!$F$76:$BM$76))</f>
        <v>0</v>
      </c>
      <c r="AZ24" s="321" cm="1">
        <f t="array" aca="1" ref="AZ24" ca="1">SUMPRODUCT(AZ$55:AZ$114,TRANSPOSE(SAP_Speadsheet!$F$76:$BM$76))</f>
        <v>0</v>
      </c>
      <c r="BA24" s="321" cm="1">
        <f t="array" aca="1" ref="BA24" ca="1">SUMPRODUCT(BA$55:BA$114,TRANSPOSE(SAP_Speadsheet!$F$76:$BM$76))</f>
        <v>0</v>
      </c>
      <c r="BB24" s="321" cm="1">
        <f t="array" aca="1" ref="BB24" ca="1">SUMPRODUCT(BB$55:BB$114,TRANSPOSE(SAP_Speadsheet!$F$76:$BM$76))</f>
        <v>0</v>
      </c>
      <c r="BC24" s="321" cm="1">
        <f t="array" aca="1" ref="BC24" ca="1">SUMPRODUCT(BC$55:BC$114,TRANSPOSE(SAP_Speadsheet!$F$76:$BM$76))</f>
        <v>0</v>
      </c>
      <c r="BD24" s="321" cm="1">
        <f t="array" aca="1" ref="BD24" ca="1">SUMPRODUCT(BD$55:BD$114,TRANSPOSE(SAP_Speadsheet!$F$76:$BM$76))</f>
        <v>0</v>
      </c>
      <c r="BE24" s="321" cm="1">
        <f t="array" aca="1" ref="BE24" ca="1">SUMPRODUCT(BE$55:BE$114,TRANSPOSE(SAP_Speadsheet!$F$76:$BM$76))</f>
        <v>0</v>
      </c>
      <c r="BF24" s="321" cm="1">
        <f t="array" aca="1" ref="BF24" ca="1">SUMPRODUCT(BF$55:BF$114,TRANSPOSE(SAP_Speadsheet!$F$76:$BM$76))</f>
        <v>0</v>
      </c>
      <c r="BG24" s="321" cm="1">
        <f t="array" aca="1" ref="BG24" ca="1">SUMPRODUCT(BG$55:BG$114,TRANSPOSE(SAP_Speadsheet!$F$76:$BM$76))</f>
        <v>0</v>
      </c>
      <c r="BH24" s="321" cm="1">
        <f t="array" aca="1" ref="BH24" ca="1">SUMPRODUCT(BH$55:BH$114,TRANSPOSE(SAP_Speadsheet!$F$76:$BM$76))</f>
        <v>0</v>
      </c>
      <c r="BI24" s="321" cm="1">
        <f t="array" aca="1" ref="BI24" ca="1">SUMPRODUCT(BI$55:BI$114,TRANSPOSE(SAP_Speadsheet!$F$76:$BM$76))</f>
        <v>0</v>
      </c>
    </row>
    <row r="25" spans="1:61" x14ac:dyDescent="0.15">
      <c r="A25" s="315" t="s">
        <v>229</v>
      </c>
      <c r="B25" s="326" cm="1">
        <f t="array" aca="1" ref="B25" ca="1">SUMPRODUCT(B$55:B$114,TRANSPOSE(SAP_Speadsheet!$F$77:$BM$77))</f>
        <v>-19.49744913238932</v>
      </c>
      <c r="C25" s="326" cm="1">
        <f t="array" aca="1" ref="C25" ca="1">SUMPRODUCT(C$55:C$114,TRANSPOSE(SAP_Speadsheet!$F$77:$BM$77))</f>
        <v>0</v>
      </c>
      <c r="D25" s="326" cm="1">
        <f t="array" aca="1" ref="D25" ca="1">SUMPRODUCT(D$55:D$114,TRANSPOSE(SAP_Speadsheet!$F$77:$BM$77))</f>
        <v>0</v>
      </c>
      <c r="E25" s="326" cm="1">
        <f t="array" aca="1" ref="E25" ca="1">SUMPRODUCT(E$55:E$114,TRANSPOSE(SAP_Speadsheet!$F$77:$BM$77))</f>
        <v>0</v>
      </c>
      <c r="F25" s="326" cm="1">
        <f t="array" aca="1" ref="F25" ca="1">SUMPRODUCT(F$55:F$114,TRANSPOSE(SAP_Speadsheet!$F$77:$BM$77))</f>
        <v>0</v>
      </c>
      <c r="G25" s="326" cm="1">
        <f t="array" aca="1" ref="G25" ca="1">SUMPRODUCT(G$55:G$114,TRANSPOSE(SAP_Speadsheet!$F$77:$BM$77))</f>
        <v>0</v>
      </c>
      <c r="H25" s="326" cm="1">
        <f t="array" aca="1" ref="H25" ca="1">SUMPRODUCT(H$55:H$114,TRANSPOSE(SAP_Speadsheet!$F$77:$BM$77))</f>
        <v>0</v>
      </c>
      <c r="I25" s="326" cm="1">
        <f t="array" aca="1" ref="I25" ca="1">SUMPRODUCT(I$55:I$114,TRANSPOSE(SAP_Speadsheet!$F$77:$BM$77))</f>
        <v>0</v>
      </c>
      <c r="J25" s="326" cm="1">
        <f t="array" aca="1" ref="J25" ca="1">SUMPRODUCT(J$55:J$114,TRANSPOSE(SAP_Speadsheet!$F$77:$BM$77))</f>
        <v>0</v>
      </c>
      <c r="K25" s="326" cm="1">
        <f t="array" aca="1" ref="K25" ca="1">SUMPRODUCT(K$55:K$114,TRANSPOSE(SAP_Speadsheet!$F$77:$BM$77))</f>
        <v>0</v>
      </c>
      <c r="L25" s="326" cm="1">
        <f t="array" aca="1" ref="L25" ca="1">SUMPRODUCT(L$55:L$114,TRANSPOSE(SAP_Speadsheet!$F$77:$BM$77))</f>
        <v>0</v>
      </c>
      <c r="M25" s="326" cm="1">
        <f t="array" aca="1" ref="M25" ca="1">SUMPRODUCT(M$55:M$114,TRANSPOSE(SAP_Speadsheet!$F$77:$BM$77))</f>
        <v>0</v>
      </c>
      <c r="N25" s="326" cm="1">
        <f t="array" aca="1" ref="N25" ca="1">SUMPRODUCT(N$55:N$114,TRANSPOSE(SAP_Speadsheet!$F$77:$BM$77))</f>
        <v>0</v>
      </c>
      <c r="O25" s="326" cm="1">
        <f t="array" aca="1" ref="O25" ca="1">SUMPRODUCT(O$55:O$114,TRANSPOSE(SAP_Speadsheet!$F$77:$BM$77))</f>
        <v>0</v>
      </c>
      <c r="P25" s="326" cm="1">
        <f t="array" aca="1" ref="P25" ca="1">SUMPRODUCT(P$55:P$114,TRANSPOSE(SAP_Speadsheet!$F$77:$BM$77))</f>
        <v>0</v>
      </c>
      <c r="Q25" s="326" cm="1">
        <f t="array" aca="1" ref="Q25" ca="1">SUMPRODUCT(Q$55:Q$114,TRANSPOSE(SAP_Speadsheet!$F$77:$BM$77))</f>
        <v>0</v>
      </c>
      <c r="R25" s="326" cm="1">
        <f t="array" aca="1" ref="R25" ca="1">SUMPRODUCT(R$55:R$114,TRANSPOSE(SAP_Speadsheet!$F$77:$BM$77))</f>
        <v>0</v>
      </c>
      <c r="S25" s="326" cm="1">
        <f t="array" aca="1" ref="S25" ca="1">SUMPRODUCT(S$55:S$114,TRANSPOSE(SAP_Speadsheet!$F$77:$BM$77))</f>
        <v>0</v>
      </c>
      <c r="T25" s="326" cm="1">
        <f t="array" aca="1" ref="T25" ca="1">SUMPRODUCT(T$55:T$114,TRANSPOSE(SAP_Speadsheet!$F$77:$BM$77))</f>
        <v>0</v>
      </c>
      <c r="U25" s="326" cm="1">
        <f t="array" aca="1" ref="U25" ca="1">SUMPRODUCT(U$55:U$114,TRANSPOSE(SAP_Speadsheet!$F$77:$BM$77))</f>
        <v>0</v>
      </c>
      <c r="V25" s="326" cm="1">
        <f t="array" aca="1" ref="V25" ca="1">SUMPRODUCT(V$55:V$114,TRANSPOSE(SAP_Speadsheet!$F$77:$BM$77))</f>
        <v>0</v>
      </c>
      <c r="W25" s="326" cm="1">
        <f t="array" aca="1" ref="W25" ca="1">SUMPRODUCT(W$55:W$114,TRANSPOSE(SAP_Speadsheet!$F$77:$BM$77))</f>
        <v>0</v>
      </c>
      <c r="X25" s="326" cm="1">
        <f t="array" aca="1" ref="X25" ca="1">SUMPRODUCT(X$55:X$114,TRANSPOSE(SAP_Speadsheet!$F$77:$BM$77))</f>
        <v>0</v>
      </c>
      <c r="Y25" s="326" cm="1">
        <f t="array" aca="1" ref="Y25" ca="1">SUMPRODUCT(Y$55:Y$114,TRANSPOSE(SAP_Speadsheet!$F$77:$BM$77))</f>
        <v>0</v>
      </c>
      <c r="Z25" s="326" cm="1">
        <f t="array" aca="1" ref="Z25" ca="1">SUMPRODUCT(Z$55:Z$114,TRANSPOSE(SAP_Speadsheet!$F$77:$BM$77))</f>
        <v>0</v>
      </c>
      <c r="AA25" s="326" cm="1">
        <f t="array" aca="1" ref="AA25" ca="1">SUMPRODUCT(AA$55:AA$114,TRANSPOSE(SAP_Speadsheet!$F$77:$BM$77))</f>
        <v>0</v>
      </c>
      <c r="AB25" s="326" cm="1">
        <f t="array" aca="1" ref="AB25" ca="1">SUMPRODUCT(AB$55:AB$114,TRANSPOSE(SAP_Speadsheet!$F$77:$BM$77))</f>
        <v>0</v>
      </c>
      <c r="AC25" s="326" cm="1">
        <f t="array" aca="1" ref="AC25" ca="1">SUMPRODUCT(AC$55:AC$114,TRANSPOSE(SAP_Speadsheet!$F$77:$BM$77))</f>
        <v>0</v>
      </c>
      <c r="AD25" s="326" cm="1">
        <f t="array" aca="1" ref="AD25" ca="1">SUMPRODUCT(AD$55:AD$114,TRANSPOSE(SAP_Speadsheet!$F$77:$BM$77))</f>
        <v>0</v>
      </c>
      <c r="AE25" s="326" cm="1">
        <f t="array" aca="1" ref="AE25" ca="1">SUMPRODUCT(AE$55:AE$114,TRANSPOSE(SAP_Speadsheet!$F$77:$BM$77))</f>
        <v>0</v>
      </c>
      <c r="AF25" s="326" cm="1">
        <f t="array" aca="1" ref="AF25" ca="1">SUMPRODUCT(AF$55:AF$114,TRANSPOSE(SAP_Speadsheet!$F$77:$BM$77))</f>
        <v>0</v>
      </c>
      <c r="AG25" s="326" cm="1">
        <f t="array" aca="1" ref="AG25" ca="1">SUMPRODUCT(AG$55:AG$114,TRANSPOSE(SAP_Speadsheet!$F$77:$BM$77))</f>
        <v>0</v>
      </c>
      <c r="AH25" s="326" cm="1">
        <f t="array" aca="1" ref="AH25" ca="1">SUMPRODUCT(AH$55:AH$114,TRANSPOSE(SAP_Speadsheet!$F$77:$BM$77))</f>
        <v>0</v>
      </c>
      <c r="AI25" s="326" cm="1">
        <f t="array" aca="1" ref="AI25" ca="1">SUMPRODUCT(AI$55:AI$114,TRANSPOSE(SAP_Speadsheet!$F$77:$BM$77))</f>
        <v>0</v>
      </c>
      <c r="AJ25" s="326" cm="1">
        <f t="array" aca="1" ref="AJ25" ca="1">SUMPRODUCT(AJ$55:AJ$114,TRANSPOSE(SAP_Speadsheet!$F$77:$BM$77))</f>
        <v>0</v>
      </c>
      <c r="AK25" s="326" cm="1">
        <f t="array" aca="1" ref="AK25" ca="1">SUMPRODUCT(AK$55:AK$114,TRANSPOSE(SAP_Speadsheet!$F$77:$BM$77))</f>
        <v>0</v>
      </c>
      <c r="AL25" s="326" cm="1">
        <f t="array" aca="1" ref="AL25" ca="1">SUMPRODUCT(AL$55:AL$114,TRANSPOSE(SAP_Speadsheet!$F$77:$BM$77))</f>
        <v>0</v>
      </c>
      <c r="AM25" s="326" cm="1">
        <f t="array" aca="1" ref="AM25" ca="1">SUMPRODUCT(AM$55:AM$114,TRANSPOSE(SAP_Speadsheet!$F$77:$BM$77))</f>
        <v>0</v>
      </c>
      <c r="AN25" s="326" cm="1">
        <f t="array" aca="1" ref="AN25" ca="1">SUMPRODUCT(AN$55:AN$114,TRANSPOSE(SAP_Speadsheet!$F$77:$BM$77))</f>
        <v>0</v>
      </c>
      <c r="AO25" s="326" cm="1">
        <f t="array" aca="1" ref="AO25" ca="1">SUMPRODUCT(AO$55:AO$114,TRANSPOSE(SAP_Speadsheet!$F$77:$BM$77))</f>
        <v>0</v>
      </c>
      <c r="AP25" s="326" cm="1">
        <f t="array" aca="1" ref="AP25" ca="1">SUMPRODUCT(AP$55:AP$114,TRANSPOSE(SAP_Speadsheet!$F$77:$BM$77))</f>
        <v>0</v>
      </c>
      <c r="AQ25" s="326" cm="1">
        <f t="array" aca="1" ref="AQ25" ca="1">SUMPRODUCT(AQ$55:AQ$114,TRANSPOSE(SAP_Speadsheet!$F$77:$BM$77))</f>
        <v>0</v>
      </c>
      <c r="AR25" s="326" cm="1">
        <f t="array" aca="1" ref="AR25" ca="1">SUMPRODUCT(AR$55:AR$114,TRANSPOSE(SAP_Speadsheet!$F$77:$BM$77))</f>
        <v>0</v>
      </c>
      <c r="AS25" s="326" cm="1">
        <f t="array" aca="1" ref="AS25" ca="1">SUMPRODUCT(AS$55:AS$114,TRANSPOSE(SAP_Speadsheet!$F$77:$BM$77))</f>
        <v>0</v>
      </c>
      <c r="AT25" s="326" cm="1">
        <f t="array" aca="1" ref="AT25" ca="1">SUMPRODUCT(AT$55:AT$114,TRANSPOSE(SAP_Speadsheet!$F$77:$BM$77))</f>
        <v>0</v>
      </c>
      <c r="AU25" s="326" cm="1">
        <f t="array" aca="1" ref="AU25" ca="1">SUMPRODUCT(AU$55:AU$114,TRANSPOSE(SAP_Speadsheet!$F$77:$BM$77))</f>
        <v>0</v>
      </c>
      <c r="AV25" s="326" cm="1">
        <f t="array" aca="1" ref="AV25" ca="1">SUMPRODUCT(AV$55:AV$114,TRANSPOSE(SAP_Speadsheet!$F$77:$BM$77))</f>
        <v>0</v>
      </c>
      <c r="AW25" s="326" cm="1">
        <f t="array" aca="1" ref="AW25" ca="1">SUMPRODUCT(AW$55:AW$114,TRANSPOSE(SAP_Speadsheet!$F$77:$BM$77))</f>
        <v>0</v>
      </c>
      <c r="AX25" s="326" cm="1">
        <f t="array" aca="1" ref="AX25" ca="1">SUMPRODUCT(AX$55:AX$114,TRANSPOSE(SAP_Speadsheet!$F$77:$BM$77))</f>
        <v>0</v>
      </c>
      <c r="AY25" s="326" cm="1">
        <f t="array" aca="1" ref="AY25" ca="1">SUMPRODUCT(AY$55:AY$114,TRANSPOSE(SAP_Speadsheet!$F$77:$BM$77))</f>
        <v>0</v>
      </c>
      <c r="AZ25" s="326" cm="1">
        <f t="array" aca="1" ref="AZ25" ca="1">SUMPRODUCT(AZ$55:AZ$114,TRANSPOSE(SAP_Speadsheet!$F$77:$BM$77))</f>
        <v>0</v>
      </c>
      <c r="BA25" s="326" cm="1">
        <f t="array" aca="1" ref="BA25" ca="1">SUMPRODUCT(BA$55:BA$114,TRANSPOSE(SAP_Speadsheet!$F$77:$BM$77))</f>
        <v>0</v>
      </c>
      <c r="BB25" s="326" cm="1">
        <f t="array" aca="1" ref="BB25" ca="1">SUMPRODUCT(BB$55:BB$114,TRANSPOSE(SAP_Speadsheet!$F$77:$BM$77))</f>
        <v>0</v>
      </c>
      <c r="BC25" s="326" cm="1">
        <f t="array" aca="1" ref="BC25" ca="1">SUMPRODUCT(BC$55:BC$114,TRANSPOSE(SAP_Speadsheet!$F$77:$BM$77))</f>
        <v>0</v>
      </c>
      <c r="BD25" s="326" cm="1">
        <f t="array" aca="1" ref="BD25" ca="1">SUMPRODUCT(BD$55:BD$114,TRANSPOSE(SAP_Speadsheet!$F$77:$BM$77))</f>
        <v>0</v>
      </c>
      <c r="BE25" s="326" cm="1">
        <f t="array" aca="1" ref="BE25" ca="1">SUMPRODUCT(BE$55:BE$114,TRANSPOSE(SAP_Speadsheet!$F$77:$BM$77))</f>
        <v>0</v>
      </c>
      <c r="BF25" s="326" cm="1">
        <f t="array" aca="1" ref="BF25" ca="1">SUMPRODUCT(BF$55:BF$114,TRANSPOSE(SAP_Speadsheet!$F$77:$BM$77))</f>
        <v>0</v>
      </c>
      <c r="BG25" s="326" cm="1">
        <f t="array" aca="1" ref="BG25" ca="1">SUMPRODUCT(BG$55:BG$114,TRANSPOSE(SAP_Speadsheet!$F$77:$BM$77))</f>
        <v>0</v>
      </c>
      <c r="BH25" s="326" cm="1">
        <f t="array" aca="1" ref="BH25" ca="1">SUMPRODUCT(BH$55:BH$114,TRANSPOSE(SAP_Speadsheet!$F$77:$BM$77))</f>
        <v>0</v>
      </c>
      <c r="BI25" s="326" cm="1">
        <f t="array" aca="1" ref="BI25" ca="1">SUMPRODUCT(BI$55:BI$114,TRANSPOSE(SAP_Speadsheet!$F$77:$BM$77))</f>
        <v>0</v>
      </c>
    </row>
    <row r="26" spans="1:61" x14ac:dyDescent="0.15">
      <c r="A26" s="315" t="s">
        <v>230</v>
      </c>
      <c r="B26" s="326" cm="1">
        <f t="array" aca="1" ref="B26" ca="1">SUMPRODUCT(B$55:B$114,TRANSPOSE(SAP_Speadsheet!$F$78:$BM$78))</f>
        <v>-1.1484389631533847</v>
      </c>
      <c r="C26" s="326" cm="1">
        <f t="array" aca="1" ref="C26" ca="1">SUMPRODUCT(C$55:C$114,TRANSPOSE(SAP_Speadsheet!$F$78:$BM$78))</f>
        <v>0</v>
      </c>
      <c r="D26" s="326" cm="1">
        <f t="array" aca="1" ref="D26" ca="1">SUMPRODUCT(D$55:D$114,TRANSPOSE(SAP_Speadsheet!$F$78:$BM$78))</f>
        <v>0</v>
      </c>
      <c r="E26" s="326" cm="1">
        <f t="array" aca="1" ref="E26" ca="1">SUMPRODUCT(E$55:E$114,TRANSPOSE(SAP_Speadsheet!$F$78:$BM$78))</f>
        <v>0</v>
      </c>
      <c r="F26" s="326" cm="1">
        <f t="array" aca="1" ref="F26" ca="1">SUMPRODUCT(F$55:F$114,TRANSPOSE(SAP_Speadsheet!$F$78:$BM$78))</f>
        <v>0</v>
      </c>
      <c r="G26" s="326" cm="1">
        <f t="array" aca="1" ref="G26" ca="1">SUMPRODUCT(G$55:G$114,TRANSPOSE(SAP_Speadsheet!$F$78:$BM$78))</f>
        <v>0</v>
      </c>
      <c r="H26" s="326" cm="1">
        <f t="array" aca="1" ref="H26" ca="1">SUMPRODUCT(H$55:H$114,TRANSPOSE(SAP_Speadsheet!$F$78:$BM$78))</f>
        <v>0</v>
      </c>
      <c r="I26" s="326" cm="1">
        <f t="array" aca="1" ref="I26" ca="1">SUMPRODUCT(I$55:I$114,TRANSPOSE(SAP_Speadsheet!$F$78:$BM$78))</f>
        <v>0</v>
      </c>
      <c r="J26" s="326" cm="1">
        <f t="array" aca="1" ref="J26" ca="1">SUMPRODUCT(J$55:J$114,TRANSPOSE(SAP_Speadsheet!$F$78:$BM$78))</f>
        <v>0</v>
      </c>
      <c r="K26" s="326" cm="1">
        <f t="array" aca="1" ref="K26" ca="1">SUMPRODUCT(K$55:K$114,TRANSPOSE(SAP_Speadsheet!$F$78:$BM$78))</f>
        <v>0</v>
      </c>
      <c r="L26" s="326" cm="1">
        <f t="array" aca="1" ref="L26" ca="1">SUMPRODUCT(L$55:L$114,TRANSPOSE(SAP_Speadsheet!$F$78:$BM$78))</f>
        <v>0</v>
      </c>
      <c r="M26" s="326" cm="1">
        <f t="array" aca="1" ref="M26" ca="1">SUMPRODUCT(M$55:M$114,TRANSPOSE(SAP_Speadsheet!$F$78:$BM$78))</f>
        <v>0</v>
      </c>
      <c r="N26" s="326" cm="1">
        <f t="array" aca="1" ref="N26" ca="1">SUMPRODUCT(N$55:N$114,TRANSPOSE(SAP_Speadsheet!$F$78:$BM$78))</f>
        <v>0</v>
      </c>
      <c r="O26" s="326" cm="1">
        <f t="array" aca="1" ref="O26" ca="1">SUMPRODUCT(O$55:O$114,TRANSPOSE(SAP_Speadsheet!$F$78:$BM$78))</f>
        <v>0</v>
      </c>
      <c r="P26" s="326" cm="1">
        <f t="array" aca="1" ref="P26" ca="1">SUMPRODUCT(P$55:P$114,TRANSPOSE(SAP_Speadsheet!$F$78:$BM$78))</f>
        <v>0</v>
      </c>
      <c r="Q26" s="326" cm="1">
        <f t="array" aca="1" ref="Q26" ca="1">SUMPRODUCT(Q$55:Q$114,TRANSPOSE(SAP_Speadsheet!$F$78:$BM$78))</f>
        <v>0</v>
      </c>
      <c r="R26" s="326" cm="1">
        <f t="array" aca="1" ref="R26" ca="1">SUMPRODUCT(R$55:R$114,TRANSPOSE(SAP_Speadsheet!$F$78:$BM$78))</f>
        <v>0</v>
      </c>
      <c r="S26" s="326" cm="1">
        <f t="array" aca="1" ref="S26" ca="1">SUMPRODUCT(S$55:S$114,TRANSPOSE(SAP_Speadsheet!$F$78:$BM$78))</f>
        <v>0</v>
      </c>
      <c r="T26" s="326" cm="1">
        <f t="array" aca="1" ref="T26" ca="1">SUMPRODUCT(T$55:T$114,TRANSPOSE(SAP_Speadsheet!$F$78:$BM$78))</f>
        <v>0</v>
      </c>
      <c r="U26" s="326" cm="1">
        <f t="array" aca="1" ref="U26" ca="1">SUMPRODUCT(U$55:U$114,TRANSPOSE(SAP_Speadsheet!$F$78:$BM$78))</f>
        <v>0</v>
      </c>
      <c r="V26" s="326" cm="1">
        <f t="array" aca="1" ref="V26" ca="1">SUMPRODUCT(V$55:V$114,TRANSPOSE(SAP_Speadsheet!$F$78:$BM$78))</f>
        <v>0</v>
      </c>
      <c r="W26" s="326" cm="1">
        <f t="array" aca="1" ref="W26" ca="1">SUMPRODUCT(W$55:W$114,TRANSPOSE(SAP_Speadsheet!$F$78:$BM$78))</f>
        <v>0</v>
      </c>
      <c r="X26" s="326" cm="1">
        <f t="array" aca="1" ref="X26" ca="1">SUMPRODUCT(X$55:X$114,TRANSPOSE(SAP_Speadsheet!$F$78:$BM$78))</f>
        <v>0</v>
      </c>
      <c r="Y26" s="326" cm="1">
        <f t="array" aca="1" ref="Y26" ca="1">SUMPRODUCT(Y$55:Y$114,TRANSPOSE(SAP_Speadsheet!$F$78:$BM$78))</f>
        <v>0</v>
      </c>
      <c r="Z26" s="326" cm="1">
        <f t="array" aca="1" ref="Z26" ca="1">SUMPRODUCT(Z$55:Z$114,TRANSPOSE(SAP_Speadsheet!$F$78:$BM$78))</f>
        <v>0</v>
      </c>
      <c r="AA26" s="326" cm="1">
        <f t="array" aca="1" ref="AA26" ca="1">SUMPRODUCT(AA$55:AA$114,TRANSPOSE(SAP_Speadsheet!$F$78:$BM$78))</f>
        <v>0</v>
      </c>
      <c r="AB26" s="326" cm="1">
        <f t="array" aca="1" ref="AB26" ca="1">SUMPRODUCT(AB$55:AB$114,TRANSPOSE(SAP_Speadsheet!$F$78:$BM$78))</f>
        <v>0</v>
      </c>
      <c r="AC26" s="326" cm="1">
        <f t="array" aca="1" ref="AC26" ca="1">SUMPRODUCT(AC$55:AC$114,TRANSPOSE(SAP_Speadsheet!$F$78:$BM$78))</f>
        <v>0</v>
      </c>
      <c r="AD26" s="326" cm="1">
        <f t="array" aca="1" ref="AD26" ca="1">SUMPRODUCT(AD$55:AD$114,TRANSPOSE(SAP_Speadsheet!$F$78:$BM$78))</f>
        <v>0</v>
      </c>
      <c r="AE26" s="326" cm="1">
        <f t="array" aca="1" ref="AE26" ca="1">SUMPRODUCT(AE$55:AE$114,TRANSPOSE(SAP_Speadsheet!$F$78:$BM$78))</f>
        <v>0</v>
      </c>
      <c r="AF26" s="326" cm="1">
        <f t="array" aca="1" ref="AF26" ca="1">SUMPRODUCT(AF$55:AF$114,TRANSPOSE(SAP_Speadsheet!$F$78:$BM$78))</f>
        <v>0</v>
      </c>
      <c r="AG26" s="326" cm="1">
        <f t="array" aca="1" ref="AG26" ca="1">SUMPRODUCT(AG$55:AG$114,TRANSPOSE(SAP_Speadsheet!$F$78:$BM$78))</f>
        <v>0</v>
      </c>
      <c r="AH26" s="326" cm="1">
        <f t="array" aca="1" ref="AH26" ca="1">SUMPRODUCT(AH$55:AH$114,TRANSPOSE(SAP_Speadsheet!$F$78:$BM$78))</f>
        <v>0</v>
      </c>
      <c r="AI26" s="326" cm="1">
        <f t="array" aca="1" ref="AI26" ca="1">SUMPRODUCT(AI$55:AI$114,TRANSPOSE(SAP_Speadsheet!$F$78:$BM$78))</f>
        <v>0</v>
      </c>
      <c r="AJ26" s="326" cm="1">
        <f t="array" aca="1" ref="AJ26" ca="1">SUMPRODUCT(AJ$55:AJ$114,TRANSPOSE(SAP_Speadsheet!$F$78:$BM$78))</f>
        <v>0</v>
      </c>
      <c r="AK26" s="326" cm="1">
        <f t="array" aca="1" ref="AK26" ca="1">SUMPRODUCT(AK$55:AK$114,TRANSPOSE(SAP_Speadsheet!$F$78:$BM$78))</f>
        <v>0</v>
      </c>
      <c r="AL26" s="326" cm="1">
        <f t="array" aca="1" ref="AL26" ca="1">SUMPRODUCT(AL$55:AL$114,TRANSPOSE(SAP_Speadsheet!$F$78:$BM$78))</f>
        <v>0</v>
      </c>
      <c r="AM26" s="326" cm="1">
        <f t="array" aca="1" ref="AM26" ca="1">SUMPRODUCT(AM$55:AM$114,TRANSPOSE(SAP_Speadsheet!$F$78:$BM$78))</f>
        <v>0</v>
      </c>
      <c r="AN26" s="326" cm="1">
        <f t="array" aca="1" ref="AN26" ca="1">SUMPRODUCT(AN$55:AN$114,TRANSPOSE(SAP_Speadsheet!$F$78:$BM$78))</f>
        <v>0</v>
      </c>
      <c r="AO26" s="326" cm="1">
        <f t="array" aca="1" ref="AO26" ca="1">SUMPRODUCT(AO$55:AO$114,TRANSPOSE(SAP_Speadsheet!$F$78:$BM$78))</f>
        <v>0</v>
      </c>
      <c r="AP26" s="326" cm="1">
        <f t="array" aca="1" ref="AP26" ca="1">SUMPRODUCT(AP$55:AP$114,TRANSPOSE(SAP_Speadsheet!$F$78:$BM$78))</f>
        <v>0</v>
      </c>
      <c r="AQ26" s="326" cm="1">
        <f t="array" aca="1" ref="AQ26" ca="1">SUMPRODUCT(AQ$55:AQ$114,TRANSPOSE(SAP_Speadsheet!$F$78:$BM$78))</f>
        <v>0</v>
      </c>
      <c r="AR26" s="326" cm="1">
        <f t="array" aca="1" ref="AR26" ca="1">SUMPRODUCT(AR$55:AR$114,TRANSPOSE(SAP_Speadsheet!$F$78:$BM$78))</f>
        <v>0</v>
      </c>
      <c r="AS26" s="326" cm="1">
        <f t="array" aca="1" ref="AS26" ca="1">SUMPRODUCT(AS$55:AS$114,TRANSPOSE(SAP_Speadsheet!$F$78:$BM$78))</f>
        <v>0</v>
      </c>
      <c r="AT26" s="326" cm="1">
        <f t="array" aca="1" ref="AT26" ca="1">SUMPRODUCT(AT$55:AT$114,TRANSPOSE(SAP_Speadsheet!$F$78:$BM$78))</f>
        <v>0</v>
      </c>
      <c r="AU26" s="326" cm="1">
        <f t="array" aca="1" ref="AU26" ca="1">SUMPRODUCT(AU$55:AU$114,TRANSPOSE(SAP_Speadsheet!$F$78:$BM$78))</f>
        <v>0</v>
      </c>
      <c r="AV26" s="326" cm="1">
        <f t="array" aca="1" ref="AV26" ca="1">SUMPRODUCT(AV$55:AV$114,TRANSPOSE(SAP_Speadsheet!$F$78:$BM$78))</f>
        <v>0</v>
      </c>
      <c r="AW26" s="326" cm="1">
        <f t="array" aca="1" ref="AW26" ca="1">SUMPRODUCT(AW$55:AW$114,TRANSPOSE(SAP_Speadsheet!$F$78:$BM$78))</f>
        <v>0</v>
      </c>
      <c r="AX26" s="326" cm="1">
        <f t="array" aca="1" ref="AX26" ca="1">SUMPRODUCT(AX$55:AX$114,TRANSPOSE(SAP_Speadsheet!$F$78:$BM$78))</f>
        <v>0</v>
      </c>
      <c r="AY26" s="326" cm="1">
        <f t="array" aca="1" ref="AY26" ca="1">SUMPRODUCT(AY$55:AY$114,TRANSPOSE(SAP_Speadsheet!$F$78:$BM$78))</f>
        <v>0</v>
      </c>
      <c r="AZ26" s="326" cm="1">
        <f t="array" aca="1" ref="AZ26" ca="1">SUMPRODUCT(AZ$55:AZ$114,TRANSPOSE(SAP_Speadsheet!$F$78:$BM$78))</f>
        <v>0</v>
      </c>
      <c r="BA26" s="326" cm="1">
        <f t="array" aca="1" ref="BA26" ca="1">SUMPRODUCT(BA$55:BA$114,TRANSPOSE(SAP_Speadsheet!$F$78:$BM$78))</f>
        <v>0</v>
      </c>
      <c r="BB26" s="326" cm="1">
        <f t="array" aca="1" ref="BB26" ca="1">SUMPRODUCT(BB$55:BB$114,TRANSPOSE(SAP_Speadsheet!$F$78:$BM$78))</f>
        <v>0</v>
      </c>
      <c r="BC26" s="326" cm="1">
        <f t="array" aca="1" ref="BC26" ca="1">SUMPRODUCT(BC$55:BC$114,TRANSPOSE(SAP_Speadsheet!$F$78:$BM$78))</f>
        <v>0</v>
      </c>
      <c r="BD26" s="326" cm="1">
        <f t="array" aca="1" ref="BD26" ca="1">SUMPRODUCT(BD$55:BD$114,TRANSPOSE(SAP_Speadsheet!$F$78:$BM$78))</f>
        <v>0</v>
      </c>
      <c r="BE26" s="326" cm="1">
        <f t="array" aca="1" ref="BE26" ca="1">SUMPRODUCT(BE$55:BE$114,TRANSPOSE(SAP_Speadsheet!$F$78:$BM$78))</f>
        <v>0</v>
      </c>
      <c r="BF26" s="326" cm="1">
        <f t="array" aca="1" ref="BF26" ca="1">SUMPRODUCT(BF$55:BF$114,TRANSPOSE(SAP_Speadsheet!$F$78:$BM$78))</f>
        <v>0</v>
      </c>
      <c r="BG26" s="326" cm="1">
        <f t="array" aca="1" ref="BG26" ca="1">SUMPRODUCT(BG$55:BG$114,TRANSPOSE(SAP_Speadsheet!$F$78:$BM$78))</f>
        <v>0</v>
      </c>
      <c r="BH26" s="326" cm="1">
        <f t="array" aca="1" ref="BH26" ca="1">SUMPRODUCT(BH$55:BH$114,TRANSPOSE(SAP_Speadsheet!$F$78:$BM$78))</f>
        <v>0</v>
      </c>
      <c r="BI26" s="326" cm="1">
        <f t="array" aca="1" ref="BI26" ca="1">SUMPRODUCT(BI$55:BI$114,TRANSPOSE(SAP_Speadsheet!$F$78:$BM$78))</f>
        <v>0</v>
      </c>
    </row>
    <row r="27" spans="1:61" x14ac:dyDescent="0.15">
      <c r="A27" s="315" t="s">
        <v>399</v>
      </c>
      <c r="B27" s="326" cm="1">
        <f t="array" aca="1" ref="B27" ca="1">SUMPRODUCT(B$55:B$114,TRANSPOSE(SAP_Speadsheet!$F$79:$BM$79))</f>
        <v>0</v>
      </c>
      <c r="C27" s="326" cm="1">
        <f t="array" aca="1" ref="C27" ca="1">SUMPRODUCT(C$55:C$114,TRANSPOSE(SAP_Speadsheet!$F$79:$BM$79))</f>
        <v>0</v>
      </c>
      <c r="D27" s="326" cm="1">
        <f t="array" aca="1" ref="D27" ca="1">SUMPRODUCT(D$55:D$114,TRANSPOSE(SAP_Speadsheet!$F$79:$BM$79))</f>
        <v>0</v>
      </c>
      <c r="E27" s="326" cm="1">
        <f t="array" aca="1" ref="E27" ca="1">SUMPRODUCT(E$55:E$114,TRANSPOSE(SAP_Speadsheet!$F$79:$BM$79))</f>
        <v>0</v>
      </c>
      <c r="F27" s="326" cm="1">
        <f t="array" aca="1" ref="F27" ca="1">SUMPRODUCT(F$55:F$114,TRANSPOSE(SAP_Speadsheet!$F$79:$BM$79))</f>
        <v>0</v>
      </c>
      <c r="G27" s="326" cm="1">
        <f t="array" aca="1" ref="G27" ca="1">SUMPRODUCT(G$55:G$114,TRANSPOSE(SAP_Speadsheet!$F$79:$BM$79))</f>
        <v>0</v>
      </c>
      <c r="H27" s="326" cm="1">
        <f t="array" aca="1" ref="H27" ca="1">SUMPRODUCT(H$55:H$114,TRANSPOSE(SAP_Speadsheet!$F$79:$BM$79))</f>
        <v>0</v>
      </c>
      <c r="I27" s="326" cm="1">
        <f t="array" aca="1" ref="I27" ca="1">SUMPRODUCT(I$55:I$114,TRANSPOSE(SAP_Speadsheet!$F$79:$BM$79))</f>
        <v>0</v>
      </c>
      <c r="J27" s="326" cm="1">
        <f t="array" aca="1" ref="J27" ca="1">SUMPRODUCT(J$55:J$114,TRANSPOSE(SAP_Speadsheet!$F$79:$BM$79))</f>
        <v>0</v>
      </c>
      <c r="K27" s="326" cm="1">
        <f t="array" aca="1" ref="K27" ca="1">SUMPRODUCT(K$55:K$114,TRANSPOSE(SAP_Speadsheet!$F$79:$BM$79))</f>
        <v>0</v>
      </c>
      <c r="L27" s="326" cm="1">
        <f t="array" aca="1" ref="L27" ca="1">SUMPRODUCT(L$55:L$114,TRANSPOSE(SAP_Speadsheet!$F$79:$BM$79))</f>
        <v>0</v>
      </c>
      <c r="M27" s="326" cm="1">
        <f t="array" aca="1" ref="M27" ca="1">SUMPRODUCT(M$55:M$114,TRANSPOSE(SAP_Speadsheet!$F$79:$BM$79))</f>
        <v>0</v>
      </c>
      <c r="N27" s="326" cm="1">
        <f t="array" aca="1" ref="N27" ca="1">SUMPRODUCT(N$55:N$114,TRANSPOSE(SAP_Speadsheet!$F$79:$BM$79))</f>
        <v>0</v>
      </c>
      <c r="O27" s="326" cm="1">
        <f t="array" aca="1" ref="O27" ca="1">SUMPRODUCT(O$55:O$114,TRANSPOSE(SAP_Speadsheet!$F$79:$BM$79))</f>
        <v>0</v>
      </c>
      <c r="P27" s="326" cm="1">
        <f t="array" aca="1" ref="P27" ca="1">SUMPRODUCT(P$55:P$114,TRANSPOSE(SAP_Speadsheet!$F$79:$BM$79))</f>
        <v>0</v>
      </c>
      <c r="Q27" s="326" cm="1">
        <f t="array" aca="1" ref="Q27" ca="1">SUMPRODUCT(Q$55:Q$114,TRANSPOSE(SAP_Speadsheet!$F$79:$BM$79))</f>
        <v>0</v>
      </c>
      <c r="R27" s="326" cm="1">
        <f t="array" aca="1" ref="R27" ca="1">SUMPRODUCT(R$55:R$114,TRANSPOSE(SAP_Speadsheet!$F$79:$BM$79))</f>
        <v>0</v>
      </c>
      <c r="S27" s="326" cm="1">
        <f t="array" aca="1" ref="S27" ca="1">SUMPRODUCT(S$55:S$114,TRANSPOSE(SAP_Speadsheet!$F$79:$BM$79))</f>
        <v>0</v>
      </c>
      <c r="T27" s="326" cm="1">
        <f t="array" aca="1" ref="T27" ca="1">SUMPRODUCT(T$55:T$114,TRANSPOSE(SAP_Speadsheet!$F$79:$BM$79))</f>
        <v>0</v>
      </c>
      <c r="U27" s="326" cm="1">
        <f t="array" aca="1" ref="U27" ca="1">SUMPRODUCT(U$55:U$114,TRANSPOSE(SAP_Speadsheet!$F$79:$BM$79))</f>
        <v>0</v>
      </c>
      <c r="V27" s="326" cm="1">
        <f t="array" aca="1" ref="V27" ca="1">SUMPRODUCT(V$55:V$114,TRANSPOSE(SAP_Speadsheet!$F$79:$BM$79))</f>
        <v>0</v>
      </c>
      <c r="W27" s="326" cm="1">
        <f t="array" aca="1" ref="W27" ca="1">SUMPRODUCT(W$55:W$114,TRANSPOSE(SAP_Speadsheet!$F$79:$BM$79))</f>
        <v>0</v>
      </c>
      <c r="X27" s="326" cm="1">
        <f t="array" aca="1" ref="X27" ca="1">SUMPRODUCT(X$55:X$114,TRANSPOSE(SAP_Speadsheet!$F$79:$BM$79))</f>
        <v>0</v>
      </c>
      <c r="Y27" s="326" cm="1">
        <f t="array" aca="1" ref="Y27" ca="1">SUMPRODUCT(Y$55:Y$114,TRANSPOSE(SAP_Speadsheet!$F$79:$BM$79))</f>
        <v>0</v>
      </c>
      <c r="Z27" s="326" cm="1">
        <f t="array" aca="1" ref="Z27" ca="1">SUMPRODUCT(Z$55:Z$114,TRANSPOSE(SAP_Speadsheet!$F$79:$BM$79))</f>
        <v>0</v>
      </c>
      <c r="AA27" s="326" cm="1">
        <f t="array" aca="1" ref="AA27" ca="1">SUMPRODUCT(AA$55:AA$114,TRANSPOSE(SAP_Speadsheet!$F$79:$BM$79))</f>
        <v>0</v>
      </c>
      <c r="AB27" s="326" cm="1">
        <f t="array" aca="1" ref="AB27" ca="1">SUMPRODUCT(AB$55:AB$114,TRANSPOSE(SAP_Speadsheet!$F$79:$BM$79))</f>
        <v>0</v>
      </c>
      <c r="AC27" s="326" cm="1">
        <f t="array" aca="1" ref="AC27" ca="1">SUMPRODUCT(AC$55:AC$114,TRANSPOSE(SAP_Speadsheet!$F$79:$BM$79))</f>
        <v>0</v>
      </c>
      <c r="AD27" s="326" cm="1">
        <f t="array" aca="1" ref="AD27" ca="1">SUMPRODUCT(AD$55:AD$114,TRANSPOSE(SAP_Speadsheet!$F$79:$BM$79))</f>
        <v>0</v>
      </c>
      <c r="AE27" s="326" cm="1">
        <f t="array" aca="1" ref="AE27" ca="1">SUMPRODUCT(AE$55:AE$114,TRANSPOSE(SAP_Speadsheet!$F$79:$BM$79))</f>
        <v>0</v>
      </c>
      <c r="AF27" s="326" cm="1">
        <f t="array" aca="1" ref="AF27" ca="1">SUMPRODUCT(AF$55:AF$114,TRANSPOSE(SAP_Speadsheet!$F$79:$BM$79))</f>
        <v>0</v>
      </c>
      <c r="AG27" s="326" cm="1">
        <f t="array" aca="1" ref="AG27" ca="1">SUMPRODUCT(AG$55:AG$114,TRANSPOSE(SAP_Speadsheet!$F$79:$BM$79))</f>
        <v>0</v>
      </c>
      <c r="AH27" s="326" cm="1">
        <f t="array" aca="1" ref="AH27" ca="1">SUMPRODUCT(AH$55:AH$114,TRANSPOSE(SAP_Speadsheet!$F$79:$BM$79))</f>
        <v>0</v>
      </c>
      <c r="AI27" s="326" cm="1">
        <f t="array" aca="1" ref="AI27" ca="1">SUMPRODUCT(AI$55:AI$114,TRANSPOSE(SAP_Speadsheet!$F$79:$BM$79))</f>
        <v>0</v>
      </c>
      <c r="AJ27" s="326" cm="1">
        <f t="array" aca="1" ref="AJ27" ca="1">SUMPRODUCT(AJ$55:AJ$114,TRANSPOSE(SAP_Speadsheet!$F$79:$BM$79))</f>
        <v>0</v>
      </c>
      <c r="AK27" s="326" cm="1">
        <f t="array" aca="1" ref="AK27" ca="1">SUMPRODUCT(AK$55:AK$114,TRANSPOSE(SAP_Speadsheet!$F$79:$BM$79))</f>
        <v>0</v>
      </c>
      <c r="AL27" s="326" cm="1">
        <f t="array" aca="1" ref="AL27" ca="1">SUMPRODUCT(AL$55:AL$114,TRANSPOSE(SAP_Speadsheet!$F$79:$BM$79))</f>
        <v>0</v>
      </c>
      <c r="AM27" s="326" cm="1">
        <f t="array" aca="1" ref="AM27" ca="1">SUMPRODUCT(AM$55:AM$114,TRANSPOSE(SAP_Speadsheet!$F$79:$BM$79))</f>
        <v>0</v>
      </c>
      <c r="AN27" s="326" cm="1">
        <f t="array" aca="1" ref="AN27" ca="1">SUMPRODUCT(AN$55:AN$114,TRANSPOSE(SAP_Speadsheet!$F$79:$BM$79))</f>
        <v>0</v>
      </c>
      <c r="AO27" s="326" cm="1">
        <f t="array" aca="1" ref="AO27" ca="1">SUMPRODUCT(AO$55:AO$114,TRANSPOSE(SAP_Speadsheet!$F$79:$BM$79))</f>
        <v>0</v>
      </c>
      <c r="AP27" s="326" cm="1">
        <f t="array" aca="1" ref="AP27" ca="1">SUMPRODUCT(AP$55:AP$114,TRANSPOSE(SAP_Speadsheet!$F$79:$BM$79))</f>
        <v>0</v>
      </c>
      <c r="AQ27" s="326" cm="1">
        <f t="array" aca="1" ref="AQ27" ca="1">SUMPRODUCT(AQ$55:AQ$114,TRANSPOSE(SAP_Speadsheet!$F$79:$BM$79))</f>
        <v>0</v>
      </c>
      <c r="AR27" s="326" cm="1">
        <f t="array" aca="1" ref="AR27" ca="1">SUMPRODUCT(AR$55:AR$114,TRANSPOSE(SAP_Speadsheet!$F$79:$BM$79))</f>
        <v>0</v>
      </c>
      <c r="AS27" s="326" cm="1">
        <f t="array" aca="1" ref="AS27" ca="1">SUMPRODUCT(AS$55:AS$114,TRANSPOSE(SAP_Speadsheet!$F$79:$BM$79))</f>
        <v>0</v>
      </c>
      <c r="AT27" s="326" cm="1">
        <f t="array" aca="1" ref="AT27" ca="1">SUMPRODUCT(AT$55:AT$114,TRANSPOSE(SAP_Speadsheet!$F$79:$BM$79))</f>
        <v>0</v>
      </c>
      <c r="AU27" s="326" cm="1">
        <f t="array" aca="1" ref="AU27" ca="1">SUMPRODUCT(AU$55:AU$114,TRANSPOSE(SAP_Speadsheet!$F$79:$BM$79))</f>
        <v>0</v>
      </c>
      <c r="AV27" s="326" cm="1">
        <f t="array" aca="1" ref="AV27" ca="1">SUMPRODUCT(AV$55:AV$114,TRANSPOSE(SAP_Speadsheet!$F$79:$BM$79))</f>
        <v>0</v>
      </c>
      <c r="AW27" s="326" cm="1">
        <f t="array" aca="1" ref="AW27" ca="1">SUMPRODUCT(AW$55:AW$114,TRANSPOSE(SAP_Speadsheet!$F$79:$BM$79))</f>
        <v>0</v>
      </c>
      <c r="AX27" s="326" cm="1">
        <f t="array" aca="1" ref="AX27" ca="1">SUMPRODUCT(AX$55:AX$114,TRANSPOSE(SAP_Speadsheet!$F$79:$BM$79))</f>
        <v>0</v>
      </c>
      <c r="AY27" s="326" cm="1">
        <f t="array" aca="1" ref="AY27" ca="1">SUMPRODUCT(AY$55:AY$114,TRANSPOSE(SAP_Speadsheet!$F$79:$BM$79))</f>
        <v>0</v>
      </c>
      <c r="AZ27" s="326" cm="1">
        <f t="array" aca="1" ref="AZ27" ca="1">SUMPRODUCT(AZ$55:AZ$114,TRANSPOSE(SAP_Speadsheet!$F$79:$BM$79))</f>
        <v>0</v>
      </c>
      <c r="BA27" s="326" cm="1">
        <f t="array" aca="1" ref="BA27" ca="1">SUMPRODUCT(BA$55:BA$114,TRANSPOSE(SAP_Speadsheet!$F$79:$BM$79))</f>
        <v>0</v>
      </c>
      <c r="BB27" s="326" cm="1">
        <f t="array" aca="1" ref="BB27" ca="1">SUMPRODUCT(BB$55:BB$114,TRANSPOSE(SAP_Speadsheet!$F$79:$BM$79))</f>
        <v>0</v>
      </c>
      <c r="BC27" s="326" cm="1">
        <f t="array" aca="1" ref="BC27" ca="1">SUMPRODUCT(BC$55:BC$114,TRANSPOSE(SAP_Speadsheet!$F$79:$BM$79))</f>
        <v>0</v>
      </c>
      <c r="BD27" s="326" cm="1">
        <f t="array" aca="1" ref="BD27" ca="1">SUMPRODUCT(BD$55:BD$114,TRANSPOSE(SAP_Speadsheet!$F$79:$BM$79))</f>
        <v>0</v>
      </c>
      <c r="BE27" s="326" cm="1">
        <f t="array" aca="1" ref="BE27" ca="1">SUMPRODUCT(BE$55:BE$114,TRANSPOSE(SAP_Speadsheet!$F$79:$BM$79))</f>
        <v>0</v>
      </c>
      <c r="BF27" s="326" cm="1">
        <f t="array" aca="1" ref="BF27" ca="1">SUMPRODUCT(BF$55:BF$114,TRANSPOSE(SAP_Speadsheet!$F$79:$BM$79))</f>
        <v>0</v>
      </c>
      <c r="BG27" s="326" cm="1">
        <f t="array" aca="1" ref="BG27" ca="1">SUMPRODUCT(BG$55:BG$114,TRANSPOSE(SAP_Speadsheet!$F$79:$BM$79))</f>
        <v>0</v>
      </c>
      <c r="BH27" s="326" cm="1">
        <f t="array" aca="1" ref="BH27" ca="1">SUMPRODUCT(BH$55:BH$114,TRANSPOSE(SAP_Speadsheet!$F$79:$BM$79))</f>
        <v>0</v>
      </c>
      <c r="BI27" s="326" cm="1">
        <f t="array" aca="1" ref="BI27" ca="1">SUMPRODUCT(BI$55:BI$114,TRANSPOSE(SAP_Speadsheet!$F$79:$BM$79))</f>
        <v>0</v>
      </c>
    </row>
    <row r="28" spans="1:61" x14ac:dyDescent="0.15">
      <c r="A28" s="327" t="s">
        <v>150</v>
      </c>
      <c r="B28" s="321" cm="1">
        <f t="array" aca="1" ref="B28" ca="1">SUMPRODUCT(B$55:B$114,TRANSPOSE(SAP_Speadsheet!$F$83:$BM$83))</f>
        <v>-5.3296277403799355</v>
      </c>
      <c r="C28" s="321" cm="1">
        <f t="array" aca="1" ref="C28" ca="1">SUMPRODUCT(C$55:C$114,TRANSPOSE(SAP_Speadsheet!$F$83:$BM$83))</f>
        <v>-4.7686142940241529</v>
      </c>
      <c r="D28" s="321" cm="1">
        <f t="array" aca="1" ref="D28" ca="1">SUMPRODUCT(D$55:D$114,TRANSPOSE(SAP_Speadsheet!$F$83:$BM$83))</f>
        <v>-4.6003102601174177</v>
      </c>
      <c r="E28" s="321" cm="1">
        <f t="array" aca="1" ref="E28" ca="1">SUMPRODUCT(E$55:E$114,TRANSPOSE(SAP_Speadsheet!$F$83:$BM$83))</f>
        <v>-4.4320062262106834</v>
      </c>
      <c r="F28" s="321" cm="1">
        <f t="array" aca="1" ref="F28" ca="1">SUMPRODUCT(F$55:F$114,TRANSPOSE(SAP_Speadsheet!$F$83:$BM$83))</f>
        <v>-4.2637021923039482</v>
      </c>
      <c r="G28" s="321" cm="1">
        <f t="array" aca="1" ref="G28" ca="1">SUMPRODUCT(G$55:G$114,TRANSPOSE(SAP_Speadsheet!$F$83:$BM$83))</f>
        <v>-4.0953981583972139</v>
      </c>
      <c r="H28" s="321" cm="1">
        <f t="array" aca="1" ref="H28" ca="1">SUMPRODUCT(H$55:H$114,TRANSPOSE(SAP_Speadsheet!$F$83:$BM$83))</f>
        <v>-3.9270941244904782</v>
      </c>
      <c r="I28" s="321" cm="1">
        <f t="array" aca="1" ref="I28" ca="1">SUMPRODUCT(I$55:I$114,TRANSPOSE(SAP_Speadsheet!$F$83:$BM$83))</f>
        <v>-3.758790090583743</v>
      </c>
      <c r="J28" s="321" cm="1">
        <f t="array" aca="1" ref="J28" ca="1">SUMPRODUCT(J$55:J$114,TRANSPOSE(SAP_Speadsheet!$F$83:$BM$83))</f>
        <v>-3.5904860566770087</v>
      </c>
      <c r="K28" s="321" cm="1">
        <f t="array" aca="1" ref="K28" ca="1">SUMPRODUCT(K$55:K$114,TRANSPOSE(SAP_Speadsheet!$F$83:$BM$83))</f>
        <v>-1.0537013926459775</v>
      </c>
      <c r="L28" s="321" cm="1">
        <f t="array" aca="1" ref="L28" ca="1">SUMPRODUCT(L$55:L$114,TRANSPOSE(SAP_Speadsheet!$F$83:$BM$83))</f>
        <v>-1.0068342273203674</v>
      </c>
      <c r="M28" s="321" cm="1">
        <f t="array" aca="1" ref="M28" ca="1">SUMPRODUCT(M$55:M$114,TRANSPOSE(SAP_Speadsheet!$F$83:$BM$83))</f>
        <v>-1.0209774987634022</v>
      </c>
      <c r="N28" s="321" cm="1">
        <f t="array" aca="1" ref="N28" ca="1">SUMPRODUCT(N$55:N$114,TRANSPOSE(SAP_Speadsheet!$F$83:$BM$83))</f>
        <v>-1.0168958186007846</v>
      </c>
      <c r="O28" s="321" cm="1">
        <f t="array" aca="1" ref="O28" ca="1">SUMPRODUCT(O$55:O$114,TRANSPOSE(SAP_Speadsheet!$F$83:$BM$83))</f>
        <v>-1.0149824447538045</v>
      </c>
      <c r="P28" s="321" cm="1">
        <f t="array" aca="1" ref="P28" ca="1">SUMPRODUCT(P$55:P$114,TRANSPOSE(SAP_Speadsheet!$F$83:$BM$83))</f>
        <v>-1.0149824447538045</v>
      </c>
      <c r="Q28" s="321" cm="1">
        <f t="array" aca="1" ref="Q28" ca="1">SUMPRODUCT(Q$55:Q$114,TRANSPOSE(SAP_Speadsheet!$F$83:$BM$83))</f>
        <v>0</v>
      </c>
      <c r="R28" s="321" cm="1">
        <f t="array" aca="1" ref="R28" ca="1">SUMPRODUCT(R$55:R$114,TRANSPOSE(SAP_Speadsheet!$F$83:$BM$83))</f>
        <v>0</v>
      </c>
      <c r="S28" s="321" cm="1">
        <f t="array" aca="1" ref="S28" ca="1">SUMPRODUCT(S$55:S$114,TRANSPOSE(SAP_Speadsheet!$F$83:$BM$83))</f>
        <v>0</v>
      </c>
      <c r="T28" s="321" cm="1">
        <f t="array" aca="1" ref="T28" ca="1">SUMPRODUCT(T$55:T$114,TRANSPOSE(SAP_Speadsheet!$F$83:$BM$83))</f>
        <v>0</v>
      </c>
      <c r="U28" s="321" cm="1">
        <f t="array" aca="1" ref="U28" ca="1">SUMPRODUCT(U$55:U$114,TRANSPOSE(SAP_Speadsheet!$F$83:$BM$83))</f>
        <v>0</v>
      </c>
      <c r="V28" s="321" cm="1">
        <f t="array" aca="1" ref="V28" ca="1">SUMPRODUCT(V$55:V$114,TRANSPOSE(SAP_Speadsheet!$F$83:$BM$83))</f>
        <v>0</v>
      </c>
      <c r="W28" s="321" cm="1">
        <f t="array" aca="1" ref="W28" ca="1">SUMPRODUCT(W$55:W$114,TRANSPOSE(SAP_Speadsheet!$F$83:$BM$83))</f>
        <v>0</v>
      </c>
      <c r="X28" s="321" cm="1">
        <f t="array" aca="1" ref="X28" ca="1">SUMPRODUCT(X$55:X$114,TRANSPOSE(SAP_Speadsheet!$F$83:$BM$83))</f>
        <v>0</v>
      </c>
      <c r="Y28" s="321" cm="1">
        <f t="array" aca="1" ref="Y28" ca="1">SUMPRODUCT(Y$55:Y$114,TRANSPOSE(SAP_Speadsheet!$F$83:$BM$83))</f>
        <v>0</v>
      </c>
      <c r="Z28" s="321" cm="1">
        <f t="array" aca="1" ref="Z28" ca="1">SUMPRODUCT(Z$55:Z$114,TRANSPOSE(SAP_Speadsheet!$F$83:$BM$83))</f>
        <v>0</v>
      </c>
      <c r="AA28" s="321" cm="1">
        <f t="array" aca="1" ref="AA28" ca="1">SUMPRODUCT(AA$55:AA$114,TRANSPOSE(SAP_Speadsheet!$F$83:$BM$83))</f>
        <v>0</v>
      </c>
      <c r="AB28" s="321" cm="1">
        <f t="array" aca="1" ref="AB28" ca="1">SUMPRODUCT(AB$55:AB$114,TRANSPOSE(SAP_Speadsheet!$F$83:$BM$83))</f>
        <v>0</v>
      </c>
      <c r="AC28" s="321" cm="1">
        <f t="array" aca="1" ref="AC28" ca="1">SUMPRODUCT(AC$55:AC$114,TRANSPOSE(SAP_Speadsheet!$F$83:$BM$83))</f>
        <v>0</v>
      </c>
      <c r="AD28" s="321" cm="1">
        <f t="array" aca="1" ref="AD28" ca="1">SUMPRODUCT(AD$55:AD$114,TRANSPOSE(SAP_Speadsheet!$F$83:$BM$83))</f>
        <v>0</v>
      </c>
      <c r="AE28" s="321" cm="1">
        <f t="array" aca="1" ref="AE28" ca="1">SUMPRODUCT(AE$55:AE$114,TRANSPOSE(SAP_Speadsheet!$F$83:$BM$83))</f>
        <v>0</v>
      </c>
      <c r="AF28" s="321" cm="1">
        <f t="array" aca="1" ref="AF28" ca="1">SUMPRODUCT(AF$55:AF$114,TRANSPOSE(SAP_Speadsheet!$F$83:$BM$83))</f>
        <v>0</v>
      </c>
      <c r="AG28" s="321" cm="1">
        <f t="array" aca="1" ref="AG28" ca="1">SUMPRODUCT(AG$55:AG$114,TRANSPOSE(SAP_Speadsheet!$F$83:$BM$83))</f>
        <v>0</v>
      </c>
      <c r="AH28" s="321" cm="1">
        <f t="array" aca="1" ref="AH28" ca="1">SUMPRODUCT(AH$55:AH$114,TRANSPOSE(SAP_Speadsheet!$F$83:$BM$83))</f>
        <v>0</v>
      </c>
      <c r="AI28" s="321" cm="1">
        <f t="array" aca="1" ref="AI28" ca="1">SUMPRODUCT(AI$55:AI$114,TRANSPOSE(SAP_Speadsheet!$F$83:$BM$83))</f>
        <v>0</v>
      </c>
      <c r="AJ28" s="321" cm="1">
        <f t="array" aca="1" ref="AJ28" ca="1">SUMPRODUCT(AJ$55:AJ$114,TRANSPOSE(SAP_Speadsheet!$F$83:$BM$83))</f>
        <v>0</v>
      </c>
      <c r="AK28" s="321" cm="1">
        <f t="array" aca="1" ref="AK28" ca="1">SUMPRODUCT(AK$55:AK$114,TRANSPOSE(SAP_Speadsheet!$F$83:$BM$83))</f>
        <v>0</v>
      </c>
      <c r="AL28" s="321" cm="1">
        <f t="array" aca="1" ref="AL28" ca="1">SUMPRODUCT(AL$55:AL$114,TRANSPOSE(SAP_Speadsheet!$F$83:$BM$83))</f>
        <v>0</v>
      </c>
      <c r="AM28" s="321" cm="1">
        <f t="array" aca="1" ref="AM28" ca="1">SUMPRODUCT(AM$55:AM$114,TRANSPOSE(SAP_Speadsheet!$F$83:$BM$83))</f>
        <v>0</v>
      </c>
      <c r="AN28" s="321" cm="1">
        <f t="array" aca="1" ref="AN28" ca="1">SUMPRODUCT(AN$55:AN$114,TRANSPOSE(SAP_Speadsheet!$F$83:$BM$83))</f>
        <v>0</v>
      </c>
      <c r="AO28" s="321" cm="1">
        <f t="array" aca="1" ref="AO28" ca="1">SUMPRODUCT(AO$55:AO$114,TRANSPOSE(SAP_Speadsheet!$F$83:$BM$83))</f>
        <v>0</v>
      </c>
      <c r="AP28" s="321" cm="1">
        <f t="array" aca="1" ref="AP28" ca="1">SUMPRODUCT(AP$55:AP$114,TRANSPOSE(SAP_Speadsheet!$F$83:$BM$83))</f>
        <v>0</v>
      </c>
      <c r="AQ28" s="321" cm="1">
        <f t="array" aca="1" ref="AQ28" ca="1">SUMPRODUCT(AQ$55:AQ$114,TRANSPOSE(SAP_Speadsheet!$F$83:$BM$83))</f>
        <v>0</v>
      </c>
      <c r="AR28" s="321" cm="1">
        <f t="array" aca="1" ref="AR28" ca="1">SUMPRODUCT(AR$55:AR$114,TRANSPOSE(SAP_Speadsheet!$F$83:$BM$83))</f>
        <v>0</v>
      </c>
      <c r="AS28" s="321" cm="1">
        <f t="array" aca="1" ref="AS28" ca="1">SUMPRODUCT(AS$55:AS$114,TRANSPOSE(SAP_Speadsheet!$F$83:$BM$83))</f>
        <v>0</v>
      </c>
      <c r="AT28" s="321" cm="1">
        <f t="array" aca="1" ref="AT28" ca="1">SUMPRODUCT(AT$55:AT$114,TRANSPOSE(SAP_Speadsheet!$F$83:$BM$83))</f>
        <v>0</v>
      </c>
      <c r="AU28" s="321" cm="1">
        <f t="array" aca="1" ref="AU28" ca="1">SUMPRODUCT(AU$55:AU$114,TRANSPOSE(SAP_Speadsheet!$F$83:$BM$83))</f>
        <v>0</v>
      </c>
      <c r="AV28" s="321" cm="1">
        <f t="array" aca="1" ref="AV28" ca="1">SUMPRODUCT(AV$55:AV$114,TRANSPOSE(SAP_Speadsheet!$F$83:$BM$83))</f>
        <v>0</v>
      </c>
      <c r="AW28" s="321" cm="1">
        <f t="array" aca="1" ref="AW28" ca="1">SUMPRODUCT(AW$55:AW$114,TRANSPOSE(SAP_Speadsheet!$F$83:$BM$83))</f>
        <v>0</v>
      </c>
      <c r="AX28" s="321" cm="1">
        <f t="array" aca="1" ref="AX28" ca="1">SUMPRODUCT(AX$55:AX$114,TRANSPOSE(SAP_Speadsheet!$F$83:$BM$83))</f>
        <v>0</v>
      </c>
      <c r="AY28" s="321" cm="1">
        <f t="array" aca="1" ref="AY28" ca="1">SUMPRODUCT(AY$55:AY$114,TRANSPOSE(SAP_Speadsheet!$F$83:$BM$83))</f>
        <v>0</v>
      </c>
      <c r="AZ28" s="321" cm="1">
        <f t="array" aca="1" ref="AZ28" ca="1">SUMPRODUCT(AZ$55:AZ$114,TRANSPOSE(SAP_Speadsheet!$F$83:$BM$83))</f>
        <v>0</v>
      </c>
      <c r="BA28" s="321" cm="1">
        <f t="array" aca="1" ref="BA28" ca="1">SUMPRODUCT(BA$55:BA$114,TRANSPOSE(SAP_Speadsheet!$F$83:$BM$83))</f>
        <v>0</v>
      </c>
      <c r="BB28" s="321" cm="1">
        <f t="array" aca="1" ref="BB28" ca="1">SUMPRODUCT(BB$55:BB$114,TRANSPOSE(SAP_Speadsheet!$F$83:$BM$83))</f>
        <v>0</v>
      </c>
      <c r="BC28" s="321" cm="1">
        <f t="array" aca="1" ref="BC28" ca="1">SUMPRODUCT(BC$55:BC$114,TRANSPOSE(SAP_Speadsheet!$F$83:$BM$83))</f>
        <v>0</v>
      </c>
      <c r="BD28" s="321" cm="1">
        <f t="array" aca="1" ref="BD28" ca="1">SUMPRODUCT(BD$55:BD$114,TRANSPOSE(SAP_Speadsheet!$F$83:$BM$83))</f>
        <v>0</v>
      </c>
      <c r="BE28" s="321" cm="1">
        <f t="array" aca="1" ref="BE28" ca="1">SUMPRODUCT(BE$55:BE$114,TRANSPOSE(SAP_Speadsheet!$F$83:$BM$83))</f>
        <v>0</v>
      </c>
      <c r="BF28" s="321" cm="1">
        <f t="array" aca="1" ref="BF28" ca="1">SUMPRODUCT(BF$55:BF$114,TRANSPOSE(SAP_Speadsheet!$F$83:$BM$83))</f>
        <v>0</v>
      </c>
      <c r="BG28" s="321" cm="1">
        <f t="array" aca="1" ref="BG28" ca="1">SUMPRODUCT(BG$55:BG$114,TRANSPOSE(SAP_Speadsheet!$F$83:$BM$83))</f>
        <v>0</v>
      </c>
      <c r="BH28" s="321" cm="1">
        <f t="array" aca="1" ref="BH28" ca="1">SUMPRODUCT(BH$55:BH$114,TRANSPOSE(SAP_Speadsheet!$F$83:$BM$83))</f>
        <v>0</v>
      </c>
      <c r="BI28" s="321" cm="1">
        <f t="array" aca="1" ref="BI28" ca="1">SUMPRODUCT(BI$55:BI$114,TRANSPOSE(SAP_Speadsheet!$F$83:$BM$83))</f>
        <v>0</v>
      </c>
    </row>
    <row r="29" spans="1:61" x14ac:dyDescent="0.15">
      <c r="A29" s="314" t="s">
        <v>391</v>
      </c>
      <c r="B29" s="321" cm="1">
        <f t="array" aca="1" ref="B29" ca="1">SUMPRODUCT(B$55:B$114,TRANSPOSE(SAP_Speadsheet!$F$87:$BM$87))</f>
        <v>-9.042258974797825E-3</v>
      </c>
      <c r="C29" s="321" cm="1">
        <f t="array" aca="1" ref="C29" ca="1">SUMPRODUCT(C$55:C$114,TRANSPOSE(SAP_Speadsheet!$F$87:$BM$87))</f>
        <v>-8.7231204227461376E-3</v>
      </c>
      <c r="D29" s="321" cm="1">
        <f t="array" aca="1" ref="D29" ca="1">SUMPRODUCT(D$55:D$114,TRANSPOSE(SAP_Speadsheet!$F$87:$BM$87))</f>
        <v>-8.4039818706944484E-3</v>
      </c>
      <c r="E29" s="321" cm="1">
        <f t="array" aca="1" ref="E29" ca="1">SUMPRODUCT(E$55:E$114,TRANSPOSE(SAP_Speadsheet!$F$87:$BM$87))</f>
        <v>-8.084843318642761E-3</v>
      </c>
      <c r="F29" s="321" cm="1">
        <f t="array" aca="1" ref="F29" ca="1">SUMPRODUCT(F$55:F$114,TRANSPOSE(SAP_Speadsheet!$F$87:$BM$87))</f>
        <v>-7.7657047665910719E-3</v>
      </c>
      <c r="G29" s="321" cm="1">
        <f t="array" aca="1" ref="G29" ca="1">SUMPRODUCT(G$55:G$114,TRANSPOSE(SAP_Speadsheet!$F$87:$BM$87))</f>
        <v>-7.4465662145393845E-3</v>
      </c>
      <c r="H29" s="321" cm="1">
        <f t="array" aca="1" ref="H29" ca="1">SUMPRODUCT(H$55:H$114,TRANSPOSE(SAP_Speadsheet!$F$87:$BM$87))</f>
        <v>-7.1274276624876962E-3</v>
      </c>
      <c r="I29" s="321" cm="1">
        <f t="array" aca="1" ref="I29" ca="1">SUMPRODUCT(I$55:I$114,TRANSPOSE(SAP_Speadsheet!$F$87:$BM$87))</f>
        <v>-6.8082891104360079E-3</v>
      </c>
      <c r="J29" s="321" cm="1">
        <f t="array" aca="1" ref="J29" ca="1">SUMPRODUCT(J$55:J$114,TRANSPOSE(SAP_Speadsheet!$F$87:$BM$87))</f>
        <v>-6.8082891104360079E-3</v>
      </c>
      <c r="K29" s="321" cm="1">
        <f t="array" aca="1" ref="K29" ca="1">SUMPRODUCT(K$55:K$114,TRANSPOSE(SAP_Speadsheet!$F$87:$BM$87))</f>
        <v>0</v>
      </c>
      <c r="L29" s="321" cm="1">
        <f t="array" aca="1" ref="L29" ca="1">SUMPRODUCT(L$55:L$114,TRANSPOSE(SAP_Speadsheet!$F$87:$BM$87))</f>
        <v>0</v>
      </c>
      <c r="M29" s="321" cm="1">
        <f t="array" aca="1" ref="M29" ca="1">SUMPRODUCT(M$55:M$114,TRANSPOSE(SAP_Speadsheet!$F$87:$BM$87))</f>
        <v>0</v>
      </c>
      <c r="N29" s="321" cm="1">
        <f t="array" aca="1" ref="N29" ca="1">SUMPRODUCT(N$55:N$114,TRANSPOSE(SAP_Speadsheet!$F$87:$BM$87))</f>
        <v>0</v>
      </c>
      <c r="O29" s="321" cm="1">
        <f t="array" aca="1" ref="O29" ca="1">SUMPRODUCT(O$55:O$114,TRANSPOSE(SAP_Speadsheet!$F$87:$BM$87))</f>
        <v>0</v>
      </c>
      <c r="P29" s="321" cm="1">
        <f t="array" aca="1" ref="P29" ca="1">SUMPRODUCT(P$55:P$114,TRANSPOSE(SAP_Speadsheet!$F$87:$BM$87))</f>
        <v>0</v>
      </c>
      <c r="Q29" s="321" cm="1">
        <f t="array" aca="1" ref="Q29" ca="1">SUMPRODUCT(Q$55:Q$114,TRANSPOSE(SAP_Speadsheet!$F$87:$BM$87))</f>
        <v>0</v>
      </c>
      <c r="R29" s="321" cm="1">
        <f t="array" aca="1" ref="R29" ca="1">SUMPRODUCT(R$55:R$114,TRANSPOSE(SAP_Speadsheet!$F$87:$BM$87))</f>
        <v>0</v>
      </c>
      <c r="S29" s="321" cm="1">
        <f t="array" aca="1" ref="S29" ca="1">SUMPRODUCT(S$55:S$114,TRANSPOSE(SAP_Speadsheet!$F$87:$BM$87))</f>
        <v>0</v>
      </c>
      <c r="T29" s="321" cm="1">
        <f t="array" aca="1" ref="T29" ca="1">SUMPRODUCT(T$55:T$114,TRANSPOSE(SAP_Speadsheet!$F$87:$BM$87))</f>
        <v>0</v>
      </c>
      <c r="U29" s="321" cm="1">
        <f t="array" aca="1" ref="U29" ca="1">SUMPRODUCT(U$55:U$114,TRANSPOSE(SAP_Speadsheet!$F$87:$BM$87))</f>
        <v>0</v>
      </c>
      <c r="V29" s="321" cm="1">
        <f t="array" aca="1" ref="V29" ca="1">SUMPRODUCT(V$55:V$114,TRANSPOSE(SAP_Speadsheet!$F$87:$BM$87))</f>
        <v>0</v>
      </c>
      <c r="W29" s="321" cm="1">
        <f t="array" aca="1" ref="W29" ca="1">SUMPRODUCT(W$55:W$114,TRANSPOSE(SAP_Speadsheet!$F$87:$BM$87))</f>
        <v>0</v>
      </c>
      <c r="X29" s="321" cm="1">
        <f t="array" aca="1" ref="X29" ca="1">SUMPRODUCT(X$55:X$114,TRANSPOSE(SAP_Speadsheet!$F$87:$BM$87))</f>
        <v>0</v>
      </c>
      <c r="Y29" s="321" cm="1">
        <f t="array" aca="1" ref="Y29" ca="1">SUMPRODUCT(Y$55:Y$114,TRANSPOSE(SAP_Speadsheet!$F$87:$BM$87))</f>
        <v>0</v>
      </c>
      <c r="Z29" s="321" cm="1">
        <f t="array" aca="1" ref="Z29" ca="1">SUMPRODUCT(Z$55:Z$114,TRANSPOSE(SAP_Speadsheet!$F$87:$BM$87))</f>
        <v>0</v>
      </c>
      <c r="AA29" s="321" cm="1">
        <f t="array" aca="1" ref="AA29" ca="1">SUMPRODUCT(AA$55:AA$114,TRANSPOSE(SAP_Speadsheet!$F$87:$BM$87))</f>
        <v>0</v>
      </c>
      <c r="AB29" s="321" cm="1">
        <f t="array" aca="1" ref="AB29" ca="1">SUMPRODUCT(AB$55:AB$114,TRANSPOSE(SAP_Speadsheet!$F$87:$BM$87))</f>
        <v>0</v>
      </c>
      <c r="AC29" s="321" cm="1">
        <f t="array" aca="1" ref="AC29" ca="1">SUMPRODUCT(AC$55:AC$114,TRANSPOSE(SAP_Speadsheet!$F$87:$BM$87))</f>
        <v>0</v>
      </c>
      <c r="AD29" s="321" cm="1">
        <f t="array" aca="1" ref="AD29" ca="1">SUMPRODUCT(AD$55:AD$114,TRANSPOSE(SAP_Speadsheet!$F$87:$BM$87))</f>
        <v>0</v>
      </c>
      <c r="AE29" s="321" cm="1">
        <f t="array" aca="1" ref="AE29" ca="1">SUMPRODUCT(AE$55:AE$114,TRANSPOSE(SAP_Speadsheet!$F$87:$BM$87))</f>
        <v>0</v>
      </c>
      <c r="AF29" s="321" cm="1">
        <f t="array" aca="1" ref="AF29" ca="1">SUMPRODUCT(AF$55:AF$114,TRANSPOSE(SAP_Speadsheet!$F$87:$BM$87))</f>
        <v>0</v>
      </c>
      <c r="AG29" s="321" cm="1">
        <f t="array" aca="1" ref="AG29" ca="1">SUMPRODUCT(AG$55:AG$114,TRANSPOSE(SAP_Speadsheet!$F$87:$BM$87))</f>
        <v>0</v>
      </c>
      <c r="AH29" s="321" cm="1">
        <f t="array" aca="1" ref="AH29" ca="1">SUMPRODUCT(AH$55:AH$114,TRANSPOSE(SAP_Speadsheet!$F$87:$BM$87))</f>
        <v>0</v>
      </c>
      <c r="AI29" s="321" cm="1">
        <f t="array" aca="1" ref="AI29" ca="1">SUMPRODUCT(AI$55:AI$114,TRANSPOSE(SAP_Speadsheet!$F$87:$BM$87))</f>
        <v>0</v>
      </c>
      <c r="AJ29" s="321" cm="1">
        <f t="array" aca="1" ref="AJ29" ca="1">SUMPRODUCT(AJ$55:AJ$114,TRANSPOSE(SAP_Speadsheet!$F$87:$BM$87))</f>
        <v>0</v>
      </c>
      <c r="AK29" s="321" cm="1">
        <f t="array" aca="1" ref="AK29" ca="1">SUMPRODUCT(AK$55:AK$114,TRANSPOSE(SAP_Speadsheet!$F$87:$BM$87))</f>
        <v>0</v>
      </c>
      <c r="AL29" s="321" cm="1">
        <f t="array" aca="1" ref="AL29" ca="1">SUMPRODUCT(AL$55:AL$114,TRANSPOSE(SAP_Speadsheet!$F$87:$BM$87))</f>
        <v>0</v>
      </c>
      <c r="AM29" s="321" cm="1">
        <f t="array" aca="1" ref="AM29" ca="1">SUMPRODUCT(AM$55:AM$114,TRANSPOSE(SAP_Speadsheet!$F$87:$BM$87))</f>
        <v>0</v>
      </c>
      <c r="AN29" s="321" cm="1">
        <f t="array" aca="1" ref="AN29" ca="1">SUMPRODUCT(AN$55:AN$114,TRANSPOSE(SAP_Speadsheet!$F$87:$BM$87))</f>
        <v>0</v>
      </c>
      <c r="AO29" s="321" cm="1">
        <f t="array" aca="1" ref="AO29" ca="1">SUMPRODUCT(AO$55:AO$114,TRANSPOSE(SAP_Speadsheet!$F$87:$BM$87))</f>
        <v>0</v>
      </c>
      <c r="AP29" s="321" cm="1">
        <f t="array" aca="1" ref="AP29" ca="1">SUMPRODUCT(AP$55:AP$114,TRANSPOSE(SAP_Speadsheet!$F$87:$BM$87))</f>
        <v>0</v>
      </c>
      <c r="AQ29" s="321" cm="1">
        <f t="array" aca="1" ref="AQ29" ca="1">SUMPRODUCT(AQ$55:AQ$114,TRANSPOSE(SAP_Speadsheet!$F$87:$BM$87))</f>
        <v>0</v>
      </c>
      <c r="AR29" s="321" cm="1">
        <f t="array" aca="1" ref="AR29" ca="1">SUMPRODUCT(AR$55:AR$114,TRANSPOSE(SAP_Speadsheet!$F$87:$BM$87))</f>
        <v>0</v>
      </c>
      <c r="AS29" s="321" cm="1">
        <f t="array" aca="1" ref="AS29" ca="1">SUMPRODUCT(AS$55:AS$114,TRANSPOSE(SAP_Speadsheet!$F$87:$BM$87))</f>
        <v>0</v>
      </c>
      <c r="AT29" s="321" cm="1">
        <f t="array" aca="1" ref="AT29" ca="1">SUMPRODUCT(AT$55:AT$114,TRANSPOSE(SAP_Speadsheet!$F$87:$BM$87))</f>
        <v>0</v>
      </c>
      <c r="AU29" s="321" cm="1">
        <f t="array" aca="1" ref="AU29" ca="1">SUMPRODUCT(AU$55:AU$114,TRANSPOSE(SAP_Speadsheet!$F$87:$BM$87))</f>
        <v>0</v>
      </c>
      <c r="AV29" s="321" cm="1">
        <f t="array" aca="1" ref="AV29" ca="1">SUMPRODUCT(AV$55:AV$114,TRANSPOSE(SAP_Speadsheet!$F$87:$BM$87))</f>
        <v>0</v>
      </c>
      <c r="AW29" s="321" cm="1">
        <f t="array" aca="1" ref="AW29" ca="1">SUMPRODUCT(AW$55:AW$114,TRANSPOSE(SAP_Speadsheet!$F$87:$BM$87))</f>
        <v>0</v>
      </c>
      <c r="AX29" s="321" cm="1">
        <f t="array" aca="1" ref="AX29" ca="1">SUMPRODUCT(AX$55:AX$114,TRANSPOSE(SAP_Speadsheet!$F$87:$BM$87))</f>
        <v>0</v>
      </c>
      <c r="AY29" s="321" cm="1">
        <f t="array" aca="1" ref="AY29" ca="1">SUMPRODUCT(AY$55:AY$114,TRANSPOSE(SAP_Speadsheet!$F$87:$BM$87))</f>
        <v>0</v>
      </c>
      <c r="AZ29" s="321" cm="1">
        <f t="array" aca="1" ref="AZ29" ca="1">SUMPRODUCT(AZ$55:AZ$114,TRANSPOSE(SAP_Speadsheet!$F$87:$BM$87))</f>
        <v>0</v>
      </c>
      <c r="BA29" s="321" cm="1">
        <f t="array" aca="1" ref="BA29" ca="1">SUMPRODUCT(BA$55:BA$114,TRANSPOSE(SAP_Speadsheet!$F$87:$BM$87))</f>
        <v>0</v>
      </c>
      <c r="BB29" s="321" cm="1">
        <f t="array" aca="1" ref="BB29" ca="1">SUMPRODUCT(BB$55:BB$114,TRANSPOSE(SAP_Speadsheet!$F$87:$BM$87))</f>
        <v>0</v>
      </c>
      <c r="BC29" s="321" cm="1">
        <f t="array" aca="1" ref="BC29" ca="1">SUMPRODUCT(BC$55:BC$114,TRANSPOSE(SAP_Speadsheet!$F$87:$BM$87))</f>
        <v>0</v>
      </c>
      <c r="BD29" s="321" cm="1">
        <f t="array" aca="1" ref="BD29" ca="1">SUMPRODUCT(BD$55:BD$114,TRANSPOSE(SAP_Speadsheet!$F$87:$BM$87))</f>
        <v>0</v>
      </c>
      <c r="BE29" s="321" cm="1">
        <f t="array" aca="1" ref="BE29" ca="1">SUMPRODUCT(BE$55:BE$114,TRANSPOSE(SAP_Speadsheet!$F$87:$BM$87))</f>
        <v>0</v>
      </c>
      <c r="BF29" s="321" cm="1">
        <f t="array" aca="1" ref="BF29" ca="1">SUMPRODUCT(BF$55:BF$114,TRANSPOSE(SAP_Speadsheet!$F$87:$BM$87))</f>
        <v>0</v>
      </c>
      <c r="BG29" s="321" cm="1">
        <f t="array" aca="1" ref="BG29" ca="1">SUMPRODUCT(BG$55:BG$114,TRANSPOSE(SAP_Speadsheet!$F$87:$BM$87))</f>
        <v>0</v>
      </c>
      <c r="BH29" s="321" cm="1">
        <f t="array" aca="1" ref="BH29" ca="1">SUMPRODUCT(BH$55:BH$114,TRANSPOSE(SAP_Speadsheet!$F$87:$BM$87))</f>
        <v>0</v>
      </c>
      <c r="BI29" s="321" cm="1">
        <f t="array" aca="1" ref="BI29" ca="1">SUMPRODUCT(BI$55:BI$114,TRANSPOSE(SAP_Speadsheet!$F$87:$BM$87))</f>
        <v>0</v>
      </c>
    </row>
    <row r="30" spans="1:61" x14ac:dyDescent="0.15">
      <c r="A30" s="314" t="s">
        <v>237</v>
      </c>
      <c r="B30" s="321" cm="1">
        <f t="array" aca="1" ref="B30" ca="1">SUMPRODUCT(B$55:B$114,TRANSPOSE(SAP_Speadsheet!$F$91:$BM$91))</f>
        <v>-50.709391253805215</v>
      </c>
      <c r="C30" s="321" cm="1">
        <f t="array" aca="1" ref="C30" ca="1">SUMPRODUCT(C$55:C$114,TRANSPOSE(SAP_Speadsheet!$F$91:$BM$91))</f>
        <v>-48.919648033082673</v>
      </c>
      <c r="D30" s="321" cm="1">
        <f t="array" aca="1" ref="D30" ca="1">SUMPRODUCT(D$55:D$114,TRANSPOSE(SAP_Speadsheet!$F$91:$BM$91))</f>
        <v>-47.129904812360138</v>
      </c>
      <c r="E30" s="321" cm="1">
        <f t="array" aca="1" ref="E30" ca="1">SUMPRODUCT(E$55:E$114,TRANSPOSE(SAP_Speadsheet!$F$91:$BM$91))</f>
        <v>-45.340161591637603</v>
      </c>
      <c r="F30" s="321" cm="1">
        <f t="array" aca="1" ref="F30" ca="1">SUMPRODUCT(F$55:F$114,TRANSPOSE(SAP_Speadsheet!$F$91:$BM$91))</f>
        <v>-43.550418370915061</v>
      </c>
      <c r="G30" s="321" cm="1">
        <f t="array" aca="1" ref="G30" ca="1">SUMPRODUCT(G$55:G$114,TRANSPOSE(SAP_Speadsheet!$F$91:$BM$91))</f>
        <v>-41.760675150192526</v>
      </c>
      <c r="H30" s="321" cm="1">
        <f t="array" aca="1" ref="H30" ca="1">SUMPRODUCT(H$55:H$114,TRANSPOSE(SAP_Speadsheet!$F$91:$BM$91))</f>
        <v>-39.970931929469984</v>
      </c>
      <c r="I30" s="321" cm="1">
        <f t="array" aca="1" ref="I30" ca="1">SUMPRODUCT(I$55:I$114,TRANSPOSE(SAP_Speadsheet!$F$91:$BM$91))</f>
        <v>-38.181188708747449</v>
      </c>
      <c r="J30" s="321" cm="1">
        <f t="array" aca="1" ref="J30" ca="1">SUMPRODUCT(J$55:J$114,TRANSPOSE(SAP_Speadsheet!$F$91:$BM$91))</f>
        <v>-38.181188708747449</v>
      </c>
      <c r="K30" s="321" cm="1">
        <f t="array" aca="1" ref="K30" ca="1">SUMPRODUCT(K$55:K$114,TRANSPOSE(SAP_Speadsheet!$F$91:$BM$91))</f>
        <v>0</v>
      </c>
      <c r="L30" s="321" cm="1">
        <f t="array" aca="1" ref="L30" ca="1">SUMPRODUCT(L$55:L$114,TRANSPOSE(SAP_Speadsheet!$F$91:$BM$91))</f>
        <v>0</v>
      </c>
      <c r="M30" s="321" cm="1">
        <f t="array" aca="1" ref="M30" ca="1">SUMPRODUCT(M$55:M$114,TRANSPOSE(SAP_Speadsheet!$F$91:$BM$91))</f>
        <v>0</v>
      </c>
      <c r="N30" s="321" cm="1">
        <f t="array" aca="1" ref="N30" ca="1">SUMPRODUCT(N$55:N$114,TRANSPOSE(SAP_Speadsheet!$F$91:$BM$91))</f>
        <v>0</v>
      </c>
      <c r="O30" s="321" cm="1">
        <f t="array" aca="1" ref="O30" ca="1">SUMPRODUCT(O$55:O$114,TRANSPOSE(SAP_Speadsheet!$F$91:$BM$91))</f>
        <v>0</v>
      </c>
      <c r="P30" s="321" cm="1">
        <f t="array" aca="1" ref="P30" ca="1">SUMPRODUCT(P$55:P$114,TRANSPOSE(SAP_Speadsheet!$F$91:$BM$91))</f>
        <v>0</v>
      </c>
      <c r="Q30" s="321" cm="1">
        <f t="array" aca="1" ref="Q30" ca="1">SUMPRODUCT(Q$55:Q$114,TRANSPOSE(SAP_Speadsheet!$F$91:$BM$91))</f>
        <v>0</v>
      </c>
      <c r="R30" s="321" cm="1">
        <f t="array" aca="1" ref="R30" ca="1">SUMPRODUCT(R$55:R$114,TRANSPOSE(SAP_Speadsheet!$F$91:$BM$91))</f>
        <v>0</v>
      </c>
      <c r="S30" s="321" cm="1">
        <f t="array" aca="1" ref="S30" ca="1">SUMPRODUCT(S$55:S$114,TRANSPOSE(SAP_Speadsheet!$F$91:$BM$91))</f>
        <v>0</v>
      </c>
      <c r="T30" s="321" cm="1">
        <f t="array" aca="1" ref="T30" ca="1">SUMPRODUCT(T$55:T$114,TRANSPOSE(SAP_Speadsheet!$F$91:$BM$91))</f>
        <v>0</v>
      </c>
      <c r="U30" s="321" cm="1">
        <f t="array" aca="1" ref="U30" ca="1">SUMPRODUCT(U$55:U$114,TRANSPOSE(SAP_Speadsheet!$F$91:$BM$91))</f>
        <v>0</v>
      </c>
      <c r="V30" s="321" cm="1">
        <f t="array" aca="1" ref="V30" ca="1">SUMPRODUCT(V$55:V$114,TRANSPOSE(SAP_Speadsheet!$F$91:$BM$91))</f>
        <v>0</v>
      </c>
      <c r="W30" s="321" cm="1">
        <f t="array" aca="1" ref="W30" ca="1">SUMPRODUCT(W$55:W$114,TRANSPOSE(SAP_Speadsheet!$F$91:$BM$91))</f>
        <v>0</v>
      </c>
      <c r="X30" s="321" cm="1">
        <f t="array" aca="1" ref="X30" ca="1">SUMPRODUCT(X$55:X$114,TRANSPOSE(SAP_Speadsheet!$F$91:$BM$91))</f>
        <v>0</v>
      </c>
      <c r="Y30" s="321" cm="1">
        <f t="array" aca="1" ref="Y30" ca="1">SUMPRODUCT(Y$55:Y$114,TRANSPOSE(SAP_Speadsheet!$F$91:$BM$91))</f>
        <v>0</v>
      </c>
      <c r="Z30" s="321" cm="1">
        <f t="array" aca="1" ref="Z30" ca="1">SUMPRODUCT(Z$55:Z$114,TRANSPOSE(SAP_Speadsheet!$F$91:$BM$91))</f>
        <v>0</v>
      </c>
      <c r="AA30" s="321" cm="1">
        <f t="array" aca="1" ref="AA30" ca="1">SUMPRODUCT(AA$55:AA$114,TRANSPOSE(SAP_Speadsheet!$F$91:$BM$91))</f>
        <v>0</v>
      </c>
      <c r="AB30" s="321" cm="1">
        <f t="array" aca="1" ref="AB30" ca="1">SUMPRODUCT(AB$55:AB$114,TRANSPOSE(SAP_Speadsheet!$F$91:$BM$91))</f>
        <v>0</v>
      </c>
      <c r="AC30" s="321" cm="1">
        <f t="array" aca="1" ref="AC30" ca="1">SUMPRODUCT(AC$55:AC$114,TRANSPOSE(SAP_Speadsheet!$F$91:$BM$91))</f>
        <v>0</v>
      </c>
      <c r="AD30" s="321" cm="1">
        <f t="array" aca="1" ref="AD30" ca="1">SUMPRODUCT(AD$55:AD$114,TRANSPOSE(SAP_Speadsheet!$F$91:$BM$91))</f>
        <v>0</v>
      </c>
      <c r="AE30" s="321" cm="1">
        <f t="array" aca="1" ref="AE30" ca="1">SUMPRODUCT(AE$55:AE$114,TRANSPOSE(SAP_Speadsheet!$F$91:$BM$91))</f>
        <v>0</v>
      </c>
      <c r="AF30" s="321" cm="1">
        <f t="array" aca="1" ref="AF30" ca="1">SUMPRODUCT(AF$55:AF$114,TRANSPOSE(SAP_Speadsheet!$F$91:$BM$91))</f>
        <v>0</v>
      </c>
      <c r="AG30" s="321" cm="1">
        <f t="array" aca="1" ref="AG30" ca="1">SUMPRODUCT(AG$55:AG$114,TRANSPOSE(SAP_Speadsheet!$F$91:$BM$91))</f>
        <v>0</v>
      </c>
      <c r="AH30" s="321" cm="1">
        <f t="array" aca="1" ref="AH30" ca="1">SUMPRODUCT(AH$55:AH$114,TRANSPOSE(SAP_Speadsheet!$F$91:$BM$91))</f>
        <v>0</v>
      </c>
      <c r="AI30" s="321" cm="1">
        <f t="array" aca="1" ref="AI30" ca="1">SUMPRODUCT(AI$55:AI$114,TRANSPOSE(SAP_Speadsheet!$F$91:$BM$91))</f>
        <v>0</v>
      </c>
      <c r="AJ30" s="321" cm="1">
        <f t="array" aca="1" ref="AJ30" ca="1">SUMPRODUCT(AJ$55:AJ$114,TRANSPOSE(SAP_Speadsheet!$F$91:$BM$91))</f>
        <v>0</v>
      </c>
      <c r="AK30" s="321" cm="1">
        <f t="array" aca="1" ref="AK30" ca="1">SUMPRODUCT(AK$55:AK$114,TRANSPOSE(SAP_Speadsheet!$F$91:$BM$91))</f>
        <v>0</v>
      </c>
      <c r="AL30" s="321" cm="1">
        <f t="array" aca="1" ref="AL30" ca="1">SUMPRODUCT(AL$55:AL$114,TRANSPOSE(SAP_Speadsheet!$F$91:$BM$91))</f>
        <v>0</v>
      </c>
      <c r="AM30" s="321" cm="1">
        <f t="array" aca="1" ref="AM30" ca="1">SUMPRODUCT(AM$55:AM$114,TRANSPOSE(SAP_Speadsheet!$F$91:$BM$91))</f>
        <v>0</v>
      </c>
      <c r="AN30" s="321" cm="1">
        <f t="array" aca="1" ref="AN30" ca="1">SUMPRODUCT(AN$55:AN$114,TRANSPOSE(SAP_Speadsheet!$F$91:$BM$91))</f>
        <v>0</v>
      </c>
      <c r="AO30" s="321" cm="1">
        <f t="array" aca="1" ref="AO30" ca="1">SUMPRODUCT(AO$55:AO$114,TRANSPOSE(SAP_Speadsheet!$F$91:$BM$91))</f>
        <v>0</v>
      </c>
      <c r="AP30" s="321" cm="1">
        <f t="array" aca="1" ref="AP30" ca="1">SUMPRODUCT(AP$55:AP$114,TRANSPOSE(SAP_Speadsheet!$F$91:$BM$91))</f>
        <v>0</v>
      </c>
      <c r="AQ30" s="321" cm="1">
        <f t="array" aca="1" ref="AQ30" ca="1">SUMPRODUCT(AQ$55:AQ$114,TRANSPOSE(SAP_Speadsheet!$F$91:$BM$91))</f>
        <v>0</v>
      </c>
      <c r="AR30" s="321" cm="1">
        <f t="array" aca="1" ref="AR30" ca="1">SUMPRODUCT(AR$55:AR$114,TRANSPOSE(SAP_Speadsheet!$F$91:$BM$91))</f>
        <v>0</v>
      </c>
      <c r="AS30" s="321" cm="1">
        <f t="array" aca="1" ref="AS30" ca="1">SUMPRODUCT(AS$55:AS$114,TRANSPOSE(SAP_Speadsheet!$F$91:$BM$91))</f>
        <v>0</v>
      </c>
      <c r="AT30" s="321" cm="1">
        <f t="array" aca="1" ref="AT30" ca="1">SUMPRODUCT(AT$55:AT$114,TRANSPOSE(SAP_Speadsheet!$F$91:$BM$91))</f>
        <v>0</v>
      </c>
      <c r="AU30" s="321" cm="1">
        <f t="array" aca="1" ref="AU30" ca="1">SUMPRODUCT(AU$55:AU$114,TRANSPOSE(SAP_Speadsheet!$F$91:$BM$91))</f>
        <v>0</v>
      </c>
      <c r="AV30" s="321" cm="1">
        <f t="array" aca="1" ref="AV30" ca="1">SUMPRODUCT(AV$55:AV$114,TRANSPOSE(SAP_Speadsheet!$F$91:$BM$91))</f>
        <v>0</v>
      </c>
      <c r="AW30" s="321" cm="1">
        <f t="array" aca="1" ref="AW30" ca="1">SUMPRODUCT(AW$55:AW$114,TRANSPOSE(SAP_Speadsheet!$F$91:$BM$91))</f>
        <v>0</v>
      </c>
      <c r="AX30" s="321" cm="1">
        <f t="array" aca="1" ref="AX30" ca="1">SUMPRODUCT(AX$55:AX$114,TRANSPOSE(SAP_Speadsheet!$F$91:$BM$91))</f>
        <v>0</v>
      </c>
      <c r="AY30" s="321" cm="1">
        <f t="array" aca="1" ref="AY30" ca="1">SUMPRODUCT(AY$55:AY$114,TRANSPOSE(SAP_Speadsheet!$F$91:$BM$91))</f>
        <v>0</v>
      </c>
      <c r="AZ30" s="321" cm="1">
        <f t="array" aca="1" ref="AZ30" ca="1">SUMPRODUCT(AZ$55:AZ$114,TRANSPOSE(SAP_Speadsheet!$F$91:$BM$91))</f>
        <v>0</v>
      </c>
      <c r="BA30" s="321" cm="1">
        <f t="array" aca="1" ref="BA30" ca="1">SUMPRODUCT(BA$55:BA$114,TRANSPOSE(SAP_Speadsheet!$F$91:$BM$91))</f>
        <v>0</v>
      </c>
      <c r="BB30" s="321" cm="1">
        <f t="array" aca="1" ref="BB30" ca="1">SUMPRODUCT(BB$55:BB$114,TRANSPOSE(SAP_Speadsheet!$F$91:$BM$91))</f>
        <v>0</v>
      </c>
      <c r="BC30" s="321" cm="1">
        <f t="array" aca="1" ref="BC30" ca="1">SUMPRODUCT(BC$55:BC$114,TRANSPOSE(SAP_Speadsheet!$F$91:$BM$91))</f>
        <v>0</v>
      </c>
      <c r="BD30" s="321" cm="1">
        <f t="array" aca="1" ref="BD30" ca="1">SUMPRODUCT(BD$55:BD$114,TRANSPOSE(SAP_Speadsheet!$F$91:$BM$91))</f>
        <v>0</v>
      </c>
      <c r="BE30" s="321" cm="1">
        <f t="array" aca="1" ref="BE30" ca="1">SUMPRODUCT(BE$55:BE$114,TRANSPOSE(SAP_Speadsheet!$F$91:$BM$91))</f>
        <v>0</v>
      </c>
      <c r="BF30" s="321" cm="1">
        <f t="array" aca="1" ref="BF30" ca="1">SUMPRODUCT(BF$55:BF$114,TRANSPOSE(SAP_Speadsheet!$F$91:$BM$91))</f>
        <v>0</v>
      </c>
      <c r="BG30" s="321" cm="1">
        <f t="array" aca="1" ref="BG30" ca="1">SUMPRODUCT(BG$55:BG$114,TRANSPOSE(SAP_Speadsheet!$F$91:$BM$91))</f>
        <v>0</v>
      </c>
      <c r="BH30" s="321" cm="1">
        <f t="array" aca="1" ref="BH30" ca="1">SUMPRODUCT(BH$55:BH$114,TRANSPOSE(SAP_Speadsheet!$F$91:$BM$91))</f>
        <v>0</v>
      </c>
      <c r="BI30" s="321" cm="1">
        <f t="array" aca="1" ref="BI30" ca="1">SUMPRODUCT(BI$55:BI$114,TRANSPOSE(SAP_Speadsheet!$F$91:$BM$91))</f>
        <v>0</v>
      </c>
    </row>
    <row r="31" spans="1:61" x14ac:dyDescent="0.15">
      <c r="A31" s="314" t="s">
        <v>201</v>
      </c>
      <c r="B31" s="321" cm="1">
        <f t="array" aca="1" ref="B31" ca="1">SUMPRODUCT(B$55:B$114,TRANSPOSE(SAP_Speadsheet!$F$171:$BM$171))</f>
        <v>-361.00194826174868</v>
      </c>
      <c r="C31" s="321" cm="1">
        <f t="array" aca="1" ref="C31" ca="1">SUMPRODUCT(C$55:C$114,TRANSPOSE(SAP_Speadsheet!$F$171:$BM$171))</f>
        <v>-158.92085342544027</v>
      </c>
      <c r="D31" s="321" cm="1">
        <f t="array" aca="1" ref="D31" ca="1">SUMPRODUCT(D$55:D$114,TRANSPOSE(SAP_Speadsheet!$F$171:$BM$171))</f>
        <v>-149.79144808146347</v>
      </c>
      <c r="E31" s="321" cm="1">
        <f t="array" aca="1" ref="E31" ca="1">SUMPRODUCT(E$55:E$114,TRANSPOSE(SAP_Speadsheet!$F$171:$BM$171))</f>
        <v>-140.9038799462229</v>
      </c>
      <c r="F31" s="321" cm="1">
        <f t="array" aca="1" ref="F31" ca="1">SUMPRODUCT(F$55:F$114,TRANSPOSE(SAP_Speadsheet!$F$171:$BM$171))</f>
        <v>-132.21485153198321</v>
      </c>
      <c r="G31" s="321" cm="1">
        <f t="array" aca="1" ref="G31" ca="1">SUMPRODUCT(G$55:G$114,TRANSPOSE(SAP_Speadsheet!$F$171:$BM$171))</f>
        <v>-123.70332499550307</v>
      </c>
      <c r="H31" s="321" cm="1">
        <f t="array" aca="1" ref="H31" ca="1">SUMPRODUCT(H$55:H$114,TRANSPOSE(SAP_Speadsheet!$F$171:$BM$171))</f>
        <v>-115.34849498450873</v>
      </c>
      <c r="I31" s="321" cm="1">
        <f t="array" aca="1" ref="I31" ca="1">SUMPRODUCT(I$55:I$114,TRANSPOSE(SAP_Speadsheet!$F$171:$BM$171))</f>
        <v>-111.08084559255866</v>
      </c>
      <c r="J31" s="321" cm="1">
        <f t="array" aca="1" ref="J31" ca="1">SUMPRODUCT(J$55:J$114,TRANSPOSE(SAP_Speadsheet!$F$171:$BM$171))</f>
        <v>-517.19893889221123</v>
      </c>
      <c r="K31" s="321" cm="1">
        <f t="array" aca="1" ref="K31" ca="1">SUMPRODUCT(K$55:K$114,TRANSPOSE(SAP_Speadsheet!$F$171:$BM$171))</f>
        <v>-3.2432827229679861</v>
      </c>
      <c r="L31" s="321" cm="1">
        <f t="array" aca="1" ref="L31" ca="1">SUMPRODUCT(L$55:L$114,TRANSPOSE(SAP_Speadsheet!$F$171:$BM$171))</f>
        <v>-3.0569683281933147</v>
      </c>
      <c r="M31" s="321" cm="1">
        <f t="array" aca="1" ref="M31" ca="1">SUMPRODUCT(M$55:M$114,TRANSPOSE(SAP_Speadsheet!$F$171:$BM$171))</f>
        <v>-2.8755893866578686</v>
      </c>
      <c r="N31" s="321" cm="1">
        <f t="array" aca="1" ref="N31" ca="1">SUMPRODUCT(N$55:N$114,TRANSPOSE(SAP_Speadsheet!$F$171:$BM$171))</f>
        <v>-2.6156624105659221</v>
      </c>
      <c r="O31" s="321" cm="1">
        <f t="array" aca="1" ref="O31" ca="1">SUMPRODUCT(O$55:O$114,TRANSPOSE(SAP_Speadsheet!$F$171:$BM$171))</f>
        <v>-6.2828328632056074</v>
      </c>
      <c r="P31" s="321" cm="1">
        <f t="array" aca="1" ref="P31" ca="1">SUMPRODUCT(P$55:P$114,TRANSPOSE(SAP_Speadsheet!$F$171:$BM$171))</f>
        <v>-5.0656985589528674</v>
      </c>
      <c r="Q31" s="321" cm="1">
        <f t="array" aca="1" ref="Q31" ca="1">SUMPRODUCT(Q$55:Q$114,TRANSPOSE(SAP_Speadsheet!$F$171:$BM$171))</f>
        <v>0</v>
      </c>
      <c r="R31" s="321" cm="1">
        <f t="array" aca="1" ref="R31" ca="1">SUMPRODUCT(R$55:R$114,TRANSPOSE(SAP_Speadsheet!$F$171:$BM$171))</f>
        <v>0</v>
      </c>
      <c r="S31" s="321" cm="1">
        <f t="array" aca="1" ref="S31" ca="1">SUMPRODUCT(S$55:S$114,TRANSPOSE(SAP_Speadsheet!$F$171:$BM$171))</f>
        <v>0</v>
      </c>
      <c r="T31" s="321" cm="1">
        <f t="array" aca="1" ref="T31" ca="1">SUMPRODUCT(T$55:T$114,TRANSPOSE(SAP_Speadsheet!$F$171:$BM$171))</f>
        <v>0</v>
      </c>
      <c r="U31" s="321" cm="1">
        <f t="array" aca="1" ref="U31" ca="1">SUMPRODUCT(U$55:U$114,TRANSPOSE(SAP_Speadsheet!$F$171:$BM$171))</f>
        <v>0</v>
      </c>
      <c r="V31" s="321" cm="1">
        <f t="array" aca="1" ref="V31" ca="1">SUMPRODUCT(V$55:V$114,TRANSPOSE(SAP_Speadsheet!$F$171:$BM$171))</f>
        <v>0</v>
      </c>
      <c r="W31" s="321" cm="1">
        <f t="array" aca="1" ref="W31" ca="1">SUMPRODUCT(W$55:W$114,TRANSPOSE(SAP_Speadsheet!$F$171:$BM$171))</f>
        <v>0</v>
      </c>
      <c r="X31" s="321" cm="1">
        <f t="array" aca="1" ref="X31" ca="1">SUMPRODUCT(X$55:X$114,TRANSPOSE(SAP_Speadsheet!$F$171:$BM$171))</f>
        <v>0</v>
      </c>
      <c r="Y31" s="321" cm="1">
        <f t="array" aca="1" ref="Y31" ca="1">SUMPRODUCT(Y$55:Y$114,TRANSPOSE(SAP_Speadsheet!$F$171:$BM$171))</f>
        <v>0</v>
      </c>
      <c r="Z31" s="321" cm="1">
        <f t="array" aca="1" ref="Z31" ca="1">SUMPRODUCT(Z$55:Z$114,TRANSPOSE(SAP_Speadsheet!$F$171:$BM$171))</f>
        <v>0</v>
      </c>
      <c r="AA31" s="321" cm="1">
        <f t="array" aca="1" ref="AA31" ca="1">SUMPRODUCT(AA$55:AA$114,TRANSPOSE(SAP_Speadsheet!$F$171:$BM$171))</f>
        <v>0</v>
      </c>
      <c r="AB31" s="321" cm="1">
        <f t="array" aca="1" ref="AB31" ca="1">SUMPRODUCT(AB$55:AB$114,TRANSPOSE(SAP_Speadsheet!$F$171:$BM$171))</f>
        <v>0</v>
      </c>
      <c r="AC31" s="321" cm="1">
        <f t="array" aca="1" ref="AC31" ca="1">SUMPRODUCT(AC$55:AC$114,TRANSPOSE(SAP_Speadsheet!$F$171:$BM$171))</f>
        <v>0</v>
      </c>
      <c r="AD31" s="321" cm="1">
        <f t="array" aca="1" ref="AD31" ca="1">SUMPRODUCT(AD$55:AD$114,TRANSPOSE(SAP_Speadsheet!$F$171:$BM$171))</f>
        <v>0</v>
      </c>
      <c r="AE31" s="321" cm="1">
        <f t="array" aca="1" ref="AE31" ca="1">SUMPRODUCT(AE$55:AE$114,TRANSPOSE(SAP_Speadsheet!$F$171:$BM$171))</f>
        <v>0</v>
      </c>
      <c r="AF31" s="321" cm="1">
        <f t="array" aca="1" ref="AF31" ca="1">SUMPRODUCT(AF$55:AF$114,TRANSPOSE(SAP_Speadsheet!$F$171:$BM$171))</f>
        <v>0</v>
      </c>
      <c r="AG31" s="321" cm="1">
        <f t="array" aca="1" ref="AG31" ca="1">SUMPRODUCT(AG$55:AG$114,TRANSPOSE(SAP_Speadsheet!$F$171:$BM$171))</f>
        <v>0</v>
      </c>
      <c r="AH31" s="321" cm="1">
        <f t="array" aca="1" ref="AH31" ca="1">SUMPRODUCT(AH$55:AH$114,TRANSPOSE(SAP_Speadsheet!$F$171:$BM$171))</f>
        <v>0</v>
      </c>
      <c r="AI31" s="321" cm="1">
        <f t="array" aca="1" ref="AI31" ca="1">SUMPRODUCT(AI$55:AI$114,TRANSPOSE(SAP_Speadsheet!$F$171:$BM$171))</f>
        <v>0</v>
      </c>
      <c r="AJ31" s="321" cm="1">
        <f t="array" aca="1" ref="AJ31" ca="1">SUMPRODUCT(AJ$55:AJ$114,TRANSPOSE(SAP_Speadsheet!$F$171:$BM$171))</f>
        <v>0</v>
      </c>
      <c r="AK31" s="321" cm="1">
        <f t="array" aca="1" ref="AK31" ca="1">SUMPRODUCT(AK$55:AK$114,TRANSPOSE(SAP_Speadsheet!$F$171:$BM$171))</f>
        <v>0</v>
      </c>
      <c r="AL31" s="321" cm="1">
        <f t="array" aca="1" ref="AL31" ca="1">SUMPRODUCT(AL$55:AL$114,TRANSPOSE(SAP_Speadsheet!$F$171:$BM$171))</f>
        <v>0</v>
      </c>
      <c r="AM31" s="321" cm="1">
        <f t="array" aca="1" ref="AM31" ca="1">SUMPRODUCT(AM$55:AM$114,TRANSPOSE(SAP_Speadsheet!$F$171:$BM$171))</f>
        <v>0</v>
      </c>
      <c r="AN31" s="321" cm="1">
        <f t="array" aca="1" ref="AN31" ca="1">SUMPRODUCT(AN$55:AN$114,TRANSPOSE(SAP_Speadsheet!$F$171:$BM$171))</f>
        <v>0</v>
      </c>
      <c r="AO31" s="321" cm="1">
        <f t="array" aca="1" ref="AO31" ca="1">SUMPRODUCT(AO$55:AO$114,TRANSPOSE(SAP_Speadsheet!$F$171:$BM$171))</f>
        <v>0</v>
      </c>
      <c r="AP31" s="321" cm="1">
        <f t="array" aca="1" ref="AP31" ca="1">SUMPRODUCT(AP$55:AP$114,TRANSPOSE(SAP_Speadsheet!$F$171:$BM$171))</f>
        <v>0</v>
      </c>
      <c r="AQ31" s="321" cm="1">
        <f t="array" aca="1" ref="AQ31" ca="1">SUMPRODUCT(AQ$55:AQ$114,TRANSPOSE(SAP_Speadsheet!$F$171:$BM$171))</f>
        <v>0</v>
      </c>
      <c r="AR31" s="321" cm="1">
        <f t="array" aca="1" ref="AR31" ca="1">SUMPRODUCT(AR$55:AR$114,TRANSPOSE(SAP_Speadsheet!$F$171:$BM$171))</f>
        <v>0</v>
      </c>
      <c r="AS31" s="321" cm="1">
        <f t="array" aca="1" ref="AS31" ca="1">SUMPRODUCT(AS$55:AS$114,TRANSPOSE(SAP_Speadsheet!$F$171:$BM$171))</f>
        <v>0</v>
      </c>
      <c r="AT31" s="321" cm="1">
        <f t="array" aca="1" ref="AT31" ca="1">SUMPRODUCT(AT$55:AT$114,TRANSPOSE(SAP_Speadsheet!$F$171:$BM$171))</f>
        <v>0</v>
      </c>
      <c r="AU31" s="321" cm="1">
        <f t="array" aca="1" ref="AU31" ca="1">SUMPRODUCT(AU$55:AU$114,TRANSPOSE(SAP_Speadsheet!$F$171:$BM$171))</f>
        <v>0</v>
      </c>
      <c r="AV31" s="321" cm="1">
        <f t="array" aca="1" ref="AV31" ca="1">SUMPRODUCT(AV$55:AV$114,TRANSPOSE(SAP_Speadsheet!$F$171:$BM$171))</f>
        <v>0</v>
      </c>
      <c r="AW31" s="321" cm="1">
        <f t="array" aca="1" ref="AW31" ca="1">SUMPRODUCT(AW$55:AW$114,TRANSPOSE(SAP_Speadsheet!$F$171:$BM$171))</f>
        <v>0</v>
      </c>
      <c r="AX31" s="321" cm="1">
        <f t="array" aca="1" ref="AX31" ca="1">SUMPRODUCT(AX$55:AX$114,TRANSPOSE(SAP_Speadsheet!$F$171:$BM$171))</f>
        <v>0</v>
      </c>
      <c r="AY31" s="321" cm="1">
        <f t="array" aca="1" ref="AY31" ca="1">SUMPRODUCT(AY$55:AY$114,TRANSPOSE(SAP_Speadsheet!$F$171:$BM$171))</f>
        <v>0</v>
      </c>
      <c r="AZ31" s="321" cm="1">
        <f t="array" aca="1" ref="AZ31" ca="1">SUMPRODUCT(AZ$55:AZ$114,TRANSPOSE(SAP_Speadsheet!$F$171:$BM$171))</f>
        <v>0</v>
      </c>
      <c r="BA31" s="321" cm="1">
        <f t="array" aca="1" ref="BA31" ca="1">SUMPRODUCT(BA$55:BA$114,TRANSPOSE(SAP_Speadsheet!$F$171:$BM$171))</f>
        <v>0</v>
      </c>
      <c r="BB31" s="321" cm="1">
        <f t="array" aca="1" ref="BB31" ca="1">SUMPRODUCT(BB$55:BB$114,TRANSPOSE(SAP_Speadsheet!$F$171:$BM$171))</f>
        <v>0</v>
      </c>
      <c r="BC31" s="321" cm="1">
        <f t="array" aca="1" ref="BC31" ca="1">SUMPRODUCT(BC$55:BC$114,TRANSPOSE(SAP_Speadsheet!$F$171:$BM$171))</f>
        <v>0</v>
      </c>
      <c r="BD31" s="321" cm="1">
        <f t="array" aca="1" ref="BD31" ca="1">SUMPRODUCT(BD$55:BD$114,TRANSPOSE(SAP_Speadsheet!$F$171:$BM$171))</f>
        <v>0</v>
      </c>
      <c r="BE31" s="321" cm="1">
        <f t="array" aca="1" ref="BE31" ca="1">SUMPRODUCT(BE$55:BE$114,TRANSPOSE(SAP_Speadsheet!$F$171:$BM$171))</f>
        <v>0</v>
      </c>
      <c r="BF31" s="321" cm="1">
        <f t="array" aca="1" ref="BF31" ca="1">SUMPRODUCT(BF$55:BF$114,TRANSPOSE(SAP_Speadsheet!$F$171:$BM$171))</f>
        <v>0</v>
      </c>
      <c r="BG31" s="321" cm="1">
        <f t="array" aca="1" ref="BG31" ca="1">SUMPRODUCT(BG$55:BG$114,TRANSPOSE(SAP_Speadsheet!$F$171:$BM$171))</f>
        <v>0</v>
      </c>
      <c r="BH31" s="321" cm="1">
        <f t="array" aca="1" ref="BH31" ca="1">SUMPRODUCT(BH$55:BH$114,TRANSPOSE(SAP_Speadsheet!$F$171:$BM$171))</f>
        <v>0</v>
      </c>
      <c r="BI31" s="321" cm="1">
        <f t="array" aca="1" ref="BI31" ca="1">SUMPRODUCT(BI$55:BI$114,TRANSPOSE(SAP_Speadsheet!$F$171:$BM$171))</f>
        <v>0</v>
      </c>
    </row>
    <row r="32" spans="1:61" x14ac:dyDescent="0.15">
      <c r="A32" s="314" t="s">
        <v>208</v>
      </c>
      <c r="B32" s="321" cm="1">
        <f t="array" aca="1" ref="B32" ca="1">SUMPRODUCT(B$55:B$114,TRANSPOSE(SAP_Speadsheet!$F$177:$BM$177))</f>
        <v>30.152034409353192</v>
      </c>
      <c r="C32" s="321" cm="1">
        <f t="array" aca="1" ref="C32" ca="1">SUMPRODUCT(C$55:C$114,TRANSPOSE(SAP_Speadsheet!$F$177:$BM$177))</f>
        <v>9.6798342913104491</v>
      </c>
      <c r="D32" s="321" cm="1">
        <f t="array" aca="1" ref="D32" ca="1">SUMPRODUCT(D$55:D$114,TRANSPOSE(SAP_Speadsheet!$F$177:$BM$177))</f>
        <v>7.2316733587168738</v>
      </c>
      <c r="E32" s="321" cm="1">
        <f t="array" aca="1" ref="E32" ca="1">SUMPRODUCT(E$55:E$114,TRANSPOSE(SAP_Speadsheet!$F$177:$BM$177))</f>
        <v>5.0388667653789367</v>
      </c>
      <c r="F32" s="321" cm="1">
        <f t="array" aca="1" ref="F32" ca="1">SUMPRODUCT(F$55:F$114,TRANSPOSE(SAP_Speadsheet!$F$177:$BM$177))</f>
        <v>3.0441846171463496</v>
      </c>
      <c r="G32" s="321" cm="1">
        <f t="array" aca="1" ref="G32" ca="1">SUMPRODUCT(G$55:G$114,TRANSPOSE(SAP_Speadsheet!$F$177:$BM$177))</f>
        <v>1.1976578963475633</v>
      </c>
      <c r="H32" s="321" cm="1">
        <f t="array" aca="1" ref="H32" ca="1">SUMPRODUCT(H$55:H$114,TRANSPOSE(SAP_Speadsheet!$F$177:$BM$177))</f>
        <v>-0.51444668284378525</v>
      </c>
      <c r="I32" s="321" cm="1">
        <f t="array" aca="1" ref="I32" ca="1">SUMPRODUCT(I$55:I$114,TRANSPOSE(SAP_Speadsheet!$F$177:$BM$177))</f>
        <v>-6.0567318948560711</v>
      </c>
      <c r="J32" s="321" cm="1">
        <f t="array" aca="1" ref="J32" ca="1">SUMPRODUCT(J$55:J$114,TRANSPOSE(SAP_Speadsheet!$F$177:$BM$177))</f>
        <v>-410.68901517409063</v>
      </c>
      <c r="K32" s="321" cm="1">
        <f t="array" aca="1" ref="K32" ca="1">SUMPRODUCT(K$55:K$114,TRANSPOSE(SAP_Speadsheet!$F$177:$BM$177))</f>
        <v>-15.072038240933347</v>
      </c>
      <c r="L32" s="321" cm="1">
        <f t="array" aca="1" ref="L32" ca="1">SUMPRODUCT(L$55:L$114,TRANSPOSE(SAP_Speadsheet!$F$177:$BM$177))</f>
        <v>-15.304318036638522</v>
      </c>
      <c r="M32" s="321" cm="1">
        <f t="array" aca="1" ref="M32" ca="1">SUMPRODUCT(M$55:M$114,TRANSPOSE(SAP_Speadsheet!$F$177:$BM$177))</f>
        <v>-14.770225651929305</v>
      </c>
      <c r="N32" s="321" cm="1">
        <f t="array" aca="1" ref="N32" ca="1">SUMPRODUCT(N$55:N$114,TRANSPOSE(SAP_Speadsheet!$F$177:$BM$177))</f>
        <v>-14.373514162041413</v>
      </c>
      <c r="O32" s="321" cm="1">
        <f t="array" aca="1" ref="O32" ca="1">SUMPRODUCT(O$55:O$114,TRANSPOSE(SAP_Speadsheet!$F$177:$BM$177))</f>
        <v>-18.007173294885458</v>
      </c>
      <c r="P32" s="321" cm="1">
        <f t="array" aca="1" ref="P32" ca="1">SUMPRODUCT(P$55:P$114,TRANSPOSE(SAP_Speadsheet!$F$177:$BM$177))</f>
        <v>-16.779954230211935</v>
      </c>
      <c r="Q32" s="321" cm="1">
        <f t="array" aca="1" ref="Q32" ca="1">SUMPRODUCT(Q$55:Q$114,TRANSPOSE(SAP_Speadsheet!$F$177:$BM$177))</f>
        <v>0</v>
      </c>
      <c r="R32" s="321" cm="1">
        <f t="array" aca="1" ref="R32" ca="1">SUMPRODUCT(R$55:R$114,TRANSPOSE(SAP_Speadsheet!$F$177:$BM$177))</f>
        <v>0</v>
      </c>
      <c r="S32" s="321" cm="1">
        <f t="array" aca="1" ref="S32" ca="1">SUMPRODUCT(S$55:S$114,TRANSPOSE(SAP_Speadsheet!$F$177:$BM$177))</f>
        <v>0</v>
      </c>
      <c r="T32" s="321" cm="1">
        <f t="array" aca="1" ref="T32" ca="1">SUMPRODUCT(T$55:T$114,TRANSPOSE(SAP_Speadsheet!$F$177:$BM$177))</f>
        <v>0</v>
      </c>
      <c r="U32" s="321" cm="1">
        <f t="array" aca="1" ref="U32" ca="1">SUMPRODUCT(U$55:U$114,TRANSPOSE(SAP_Speadsheet!$F$177:$BM$177))</f>
        <v>0</v>
      </c>
      <c r="V32" s="321" cm="1">
        <f t="array" aca="1" ref="V32" ca="1">SUMPRODUCT(V$55:V$114,TRANSPOSE(SAP_Speadsheet!$F$177:$BM$177))</f>
        <v>0</v>
      </c>
      <c r="W32" s="321" cm="1">
        <f t="array" aca="1" ref="W32" ca="1">SUMPRODUCT(W$55:W$114,TRANSPOSE(SAP_Speadsheet!$F$177:$BM$177))</f>
        <v>0</v>
      </c>
      <c r="X32" s="321" cm="1">
        <f t="array" aca="1" ref="X32" ca="1">SUMPRODUCT(X$55:X$114,TRANSPOSE(SAP_Speadsheet!$F$177:$BM$177))</f>
        <v>0</v>
      </c>
      <c r="Y32" s="321" cm="1">
        <f t="array" aca="1" ref="Y32" ca="1">SUMPRODUCT(Y$55:Y$114,TRANSPOSE(SAP_Speadsheet!$F$177:$BM$177))</f>
        <v>0</v>
      </c>
      <c r="Z32" s="321" cm="1">
        <f t="array" aca="1" ref="Z32" ca="1">SUMPRODUCT(Z$55:Z$114,TRANSPOSE(SAP_Speadsheet!$F$177:$BM$177))</f>
        <v>0</v>
      </c>
      <c r="AA32" s="321" cm="1">
        <f t="array" aca="1" ref="AA32" ca="1">SUMPRODUCT(AA$55:AA$114,TRANSPOSE(SAP_Speadsheet!$F$177:$BM$177))</f>
        <v>0</v>
      </c>
      <c r="AB32" s="321" cm="1">
        <f t="array" aca="1" ref="AB32" ca="1">SUMPRODUCT(AB$55:AB$114,TRANSPOSE(SAP_Speadsheet!$F$177:$BM$177))</f>
        <v>0</v>
      </c>
      <c r="AC32" s="321" cm="1">
        <f t="array" aca="1" ref="AC32" ca="1">SUMPRODUCT(AC$55:AC$114,TRANSPOSE(SAP_Speadsheet!$F$177:$BM$177))</f>
        <v>0</v>
      </c>
      <c r="AD32" s="321" cm="1">
        <f t="array" aca="1" ref="AD32" ca="1">SUMPRODUCT(AD$55:AD$114,TRANSPOSE(SAP_Speadsheet!$F$177:$BM$177))</f>
        <v>0</v>
      </c>
      <c r="AE32" s="321" cm="1">
        <f t="array" aca="1" ref="AE32" ca="1">SUMPRODUCT(AE$55:AE$114,TRANSPOSE(SAP_Speadsheet!$F$177:$BM$177))</f>
        <v>0</v>
      </c>
      <c r="AF32" s="321" cm="1">
        <f t="array" aca="1" ref="AF32" ca="1">SUMPRODUCT(AF$55:AF$114,TRANSPOSE(SAP_Speadsheet!$F$177:$BM$177))</f>
        <v>0</v>
      </c>
      <c r="AG32" s="321" cm="1">
        <f t="array" aca="1" ref="AG32" ca="1">SUMPRODUCT(AG$55:AG$114,TRANSPOSE(SAP_Speadsheet!$F$177:$BM$177))</f>
        <v>0</v>
      </c>
      <c r="AH32" s="321" cm="1">
        <f t="array" aca="1" ref="AH32" ca="1">SUMPRODUCT(AH$55:AH$114,TRANSPOSE(SAP_Speadsheet!$F$177:$BM$177))</f>
        <v>0</v>
      </c>
      <c r="AI32" s="321" cm="1">
        <f t="array" aca="1" ref="AI32" ca="1">SUMPRODUCT(AI$55:AI$114,TRANSPOSE(SAP_Speadsheet!$F$177:$BM$177))</f>
        <v>0</v>
      </c>
      <c r="AJ32" s="321" cm="1">
        <f t="array" aca="1" ref="AJ32" ca="1">SUMPRODUCT(AJ$55:AJ$114,TRANSPOSE(SAP_Speadsheet!$F$177:$BM$177))</f>
        <v>0</v>
      </c>
      <c r="AK32" s="321" cm="1">
        <f t="array" aca="1" ref="AK32" ca="1">SUMPRODUCT(AK$55:AK$114,TRANSPOSE(SAP_Speadsheet!$F$177:$BM$177))</f>
        <v>0</v>
      </c>
      <c r="AL32" s="321" cm="1">
        <f t="array" aca="1" ref="AL32" ca="1">SUMPRODUCT(AL$55:AL$114,TRANSPOSE(SAP_Speadsheet!$F$177:$BM$177))</f>
        <v>0</v>
      </c>
      <c r="AM32" s="321" cm="1">
        <f t="array" aca="1" ref="AM32" ca="1">SUMPRODUCT(AM$55:AM$114,TRANSPOSE(SAP_Speadsheet!$F$177:$BM$177))</f>
        <v>0</v>
      </c>
      <c r="AN32" s="321" cm="1">
        <f t="array" aca="1" ref="AN32" ca="1">SUMPRODUCT(AN$55:AN$114,TRANSPOSE(SAP_Speadsheet!$F$177:$BM$177))</f>
        <v>0</v>
      </c>
      <c r="AO32" s="321" cm="1">
        <f t="array" aca="1" ref="AO32" ca="1">SUMPRODUCT(AO$55:AO$114,TRANSPOSE(SAP_Speadsheet!$F$177:$BM$177))</f>
        <v>0</v>
      </c>
      <c r="AP32" s="321" cm="1">
        <f t="array" aca="1" ref="AP32" ca="1">SUMPRODUCT(AP$55:AP$114,TRANSPOSE(SAP_Speadsheet!$F$177:$BM$177))</f>
        <v>0</v>
      </c>
      <c r="AQ32" s="321" cm="1">
        <f t="array" aca="1" ref="AQ32" ca="1">SUMPRODUCT(AQ$55:AQ$114,TRANSPOSE(SAP_Speadsheet!$F$177:$BM$177))</f>
        <v>0</v>
      </c>
      <c r="AR32" s="321" cm="1">
        <f t="array" aca="1" ref="AR32" ca="1">SUMPRODUCT(AR$55:AR$114,TRANSPOSE(SAP_Speadsheet!$F$177:$BM$177))</f>
        <v>0</v>
      </c>
      <c r="AS32" s="321" cm="1">
        <f t="array" aca="1" ref="AS32" ca="1">SUMPRODUCT(AS$55:AS$114,TRANSPOSE(SAP_Speadsheet!$F$177:$BM$177))</f>
        <v>0</v>
      </c>
      <c r="AT32" s="321" cm="1">
        <f t="array" aca="1" ref="AT32" ca="1">SUMPRODUCT(AT$55:AT$114,TRANSPOSE(SAP_Speadsheet!$F$177:$BM$177))</f>
        <v>0</v>
      </c>
      <c r="AU32" s="321" cm="1">
        <f t="array" aca="1" ref="AU32" ca="1">SUMPRODUCT(AU$55:AU$114,TRANSPOSE(SAP_Speadsheet!$F$177:$BM$177))</f>
        <v>0</v>
      </c>
      <c r="AV32" s="321" cm="1">
        <f t="array" aca="1" ref="AV32" ca="1">SUMPRODUCT(AV$55:AV$114,TRANSPOSE(SAP_Speadsheet!$F$177:$BM$177))</f>
        <v>0</v>
      </c>
      <c r="AW32" s="321" cm="1">
        <f t="array" aca="1" ref="AW32" ca="1">SUMPRODUCT(AW$55:AW$114,TRANSPOSE(SAP_Speadsheet!$F$177:$BM$177))</f>
        <v>0</v>
      </c>
      <c r="AX32" s="321" cm="1">
        <f t="array" aca="1" ref="AX32" ca="1">SUMPRODUCT(AX$55:AX$114,TRANSPOSE(SAP_Speadsheet!$F$177:$BM$177))</f>
        <v>0</v>
      </c>
      <c r="AY32" s="321" cm="1">
        <f t="array" aca="1" ref="AY32" ca="1">SUMPRODUCT(AY$55:AY$114,TRANSPOSE(SAP_Speadsheet!$F$177:$BM$177))</f>
        <v>0</v>
      </c>
      <c r="AZ32" s="321" cm="1">
        <f t="array" aca="1" ref="AZ32" ca="1">SUMPRODUCT(AZ$55:AZ$114,TRANSPOSE(SAP_Speadsheet!$F$177:$BM$177))</f>
        <v>0</v>
      </c>
      <c r="BA32" s="321" cm="1">
        <f t="array" aca="1" ref="BA32" ca="1">SUMPRODUCT(BA$55:BA$114,TRANSPOSE(SAP_Speadsheet!$F$177:$BM$177))</f>
        <v>0</v>
      </c>
      <c r="BB32" s="321" cm="1">
        <f t="array" aca="1" ref="BB32" ca="1">SUMPRODUCT(BB$55:BB$114,TRANSPOSE(SAP_Speadsheet!$F$177:$BM$177))</f>
        <v>0</v>
      </c>
      <c r="BC32" s="321" cm="1">
        <f t="array" aca="1" ref="BC32" ca="1">SUMPRODUCT(BC$55:BC$114,TRANSPOSE(SAP_Speadsheet!$F$177:$BM$177))</f>
        <v>0</v>
      </c>
      <c r="BD32" s="321" cm="1">
        <f t="array" aca="1" ref="BD32" ca="1">SUMPRODUCT(BD$55:BD$114,TRANSPOSE(SAP_Speadsheet!$F$177:$BM$177))</f>
        <v>0</v>
      </c>
      <c r="BE32" s="321" cm="1">
        <f t="array" aca="1" ref="BE32" ca="1">SUMPRODUCT(BE$55:BE$114,TRANSPOSE(SAP_Speadsheet!$F$177:$BM$177))</f>
        <v>0</v>
      </c>
      <c r="BF32" s="321" cm="1">
        <f t="array" aca="1" ref="BF32" ca="1">SUMPRODUCT(BF$55:BF$114,TRANSPOSE(SAP_Speadsheet!$F$177:$BM$177))</f>
        <v>0</v>
      </c>
      <c r="BG32" s="321" cm="1">
        <f t="array" aca="1" ref="BG32" ca="1">SUMPRODUCT(BG$55:BG$114,TRANSPOSE(SAP_Speadsheet!$F$177:$BM$177))</f>
        <v>0</v>
      </c>
      <c r="BH32" s="321" cm="1">
        <f t="array" aca="1" ref="BH32" ca="1">SUMPRODUCT(BH$55:BH$114,TRANSPOSE(SAP_Speadsheet!$F$177:$BM$177))</f>
        <v>0</v>
      </c>
      <c r="BI32" s="321" cm="1">
        <f t="array" aca="1" ref="BI32" ca="1">SUMPRODUCT(BI$55:BI$114,TRANSPOSE(SAP_Speadsheet!$F$177:$BM$177))</f>
        <v>0</v>
      </c>
    </row>
    <row r="33" spans="1:61" s="328" customFormat="1" x14ac:dyDescent="0.15">
      <c r="A33" s="328" t="s">
        <v>369</v>
      </c>
      <c r="B33" s="329">
        <f t="shared" ref="B33:BI33" ca="1" si="5">B9+B19+B31-B32</f>
        <v>0</v>
      </c>
      <c r="C33" s="329">
        <f t="shared" ca="1" si="5"/>
        <v>0</v>
      </c>
      <c r="D33" s="329">
        <f t="shared" ca="1" si="5"/>
        <v>0</v>
      </c>
      <c r="E33" s="329">
        <f t="shared" ca="1" si="5"/>
        <v>0</v>
      </c>
      <c r="F33" s="329">
        <f t="shared" ca="1" si="5"/>
        <v>-2.1316282072803006E-14</v>
      </c>
      <c r="G33" s="329">
        <f t="shared" ca="1" si="5"/>
        <v>0</v>
      </c>
      <c r="H33" s="329">
        <f t="shared" ca="1" si="5"/>
        <v>-1.1768364061026659E-14</v>
      </c>
      <c r="I33" s="329">
        <f t="shared" ca="1" si="5"/>
        <v>1.4210854715202004E-14</v>
      </c>
      <c r="J33" s="329">
        <f t="shared" ca="1" si="5"/>
        <v>0</v>
      </c>
      <c r="K33" s="329">
        <f t="shared" ca="1" si="5"/>
        <v>0</v>
      </c>
      <c r="L33" s="329">
        <f t="shared" ca="1" si="5"/>
        <v>0</v>
      </c>
      <c r="M33" s="329">
        <f t="shared" ca="1" si="5"/>
        <v>0</v>
      </c>
      <c r="N33" s="329">
        <f t="shared" ca="1" si="5"/>
        <v>0</v>
      </c>
      <c r="O33" s="329">
        <f t="shared" ca="1" si="5"/>
        <v>0</v>
      </c>
      <c r="P33" s="329">
        <f t="shared" ca="1" si="5"/>
        <v>0</v>
      </c>
      <c r="Q33" s="329">
        <f t="shared" ca="1" si="5"/>
        <v>0</v>
      </c>
      <c r="R33" s="329">
        <f t="shared" ca="1" si="5"/>
        <v>0</v>
      </c>
      <c r="S33" s="329">
        <f t="shared" ca="1" si="5"/>
        <v>0</v>
      </c>
      <c r="T33" s="329">
        <f t="shared" ca="1" si="5"/>
        <v>0</v>
      </c>
      <c r="U33" s="329">
        <f t="shared" ca="1" si="5"/>
        <v>0</v>
      </c>
      <c r="V33" s="329">
        <f t="shared" ca="1" si="5"/>
        <v>0</v>
      </c>
      <c r="W33" s="329">
        <f t="shared" ca="1" si="5"/>
        <v>0</v>
      </c>
      <c r="X33" s="329">
        <f t="shared" ca="1" si="5"/>
        <v>0</v>
      </c>
      <c r="Y33" s="329">
        <f t="shared" ca="1" si="5"/>
        <v>0</v>
      </c>
      <c r="Z33" s="329">
        <f t="shared" ca="1" si="5"/>
        <v>0</v>
      </c>
      <c r="AA33" s="329">
        <f t="shared" ca="1" si="5"/>
        <v>0</v>
      </c>
      <c r="AB33" s="329">
        <f t="shared" ca="1" si="5"/>
        <v>0</v>
      </c>
      <c r="AC33" s="329">
        <f t="shared" ca="1" si="5"/>
        <v>0</v>
      </c>
      <c r="AD33" s="329">
        <f t="shared" ca="1" si="5"/>
        <v>0</v>
      </c>
      <c r="AE33" s="329">
        <f t="shared" ca="1" si="5"/>
        <v>0</v>
      </c>
      <c r="AF33" s="329">
        <f t="shared" ca="1" si="5"/>
        <v>0</v>
      </c>
      <c r="AG33" s="329">
        <f t="shared" ca="1" si="5"/>
        <v>0</v>
      </c>
      <c r="AH33" s="329">
        <f t="shared" ca="1" si="5"/>
        <v>0</v>
      </c>
      <c r="AI33" s="329">
        <f t="shared" ca="1" si="5"/>
        <v>0</v>
      </c>
      <c r="AJ33" s="329">
        <f t="shared" ca="1" si="5"/>
        <v>0</v>
      </c>
      <c r="AK33" s="329">
        <f t="shared" ca="1" si="5"/>
        <v>0</v>
      </c>
      <c r="AL33" s="329">
        <f t="shared" ca="1" si="5"/>
        <v>0</v>
      </c>
      <c r="AM33" s="329">
        <f t="shared" ca="1" si="5"/>
        <v>0</v>
      </c>
      <c r="AN33" s="329">
        <f t="shared" ca="1" si="5"/>
        <v>0</v>
      </c>
      <c r="AO33" s="329">
        <f t="shared" ca="1" si="5"/>
        <v>0</v>
      </c>
      <c r="AP33" s="329">
        <f t="shared" ca="1" si="5"/>
        <v>0</v>
      </c>
      <c r="AQ33" s="329">
        <f t="shared" ca="1" si="5"/>
        <v>0</v>
      </c>
      <c r="AR33" s="329">
        <f t="shared" ca="1" si="5"/>
        <v>0</v>
      </c>
      <c r="AS33" s="329">
        <f t="shared" ca="1" si="5"/>
        <v>0</v>
      </c>
      <c r="AT33" s="329">
        <f t="shared" ca="1" si="5"/>
        <v>0</v>
      </c>
      <c r="AU33" s="329">
        <f t="shared" ca="1" si="5"/>
        <v>0</v>
      </c>
      <c r="AV33" s="329">
        <f t="shared" ca="1" si="5"/>
        <v>0</v>
      </c>
      <c r="AW33" s="329">
        <f t="shared" ca="1" si="5"/>
        <v>0</v>
      </c>
      <c r="AX33" s="329">
        <f t="shared" ca="1" si="5"/>
        <v>0</v>
      </c>
      <c r="AY33" s="329">
        <f t="shared" ca="1" si="5"/>
        <v>0</v>
      </c>
      <c r="AZ33" s="329">
        <f t="shared" ca="1" si="5"/>
        <v>0</v>
      </c>
      <c r="BA33" s="329">
        <f t="shared" ca="1" si="5"/>
        <v>0</v>
      </c>
      <c r="BB33" s="329">
        <f t="shared" ca="1" si="5"/>
        <v>0</v>
      </c>
      <c r="BC33" s="329">
        <f t="shared" ca="1" si="5"/>
        <v>0</v>
      </c>
      <c r="BD33" s="329">
        <f t="shared" ca="1" si="5"/>
        <v>0</v>
      </c>
      <c r="BE33" s="329">
        <f t="shared" ca="1" si="5"/>
        <v>0</v>
      </c>
      <c r="BF33" s="329">
        <f t="shared" ca="1" si="5"/>
        <v>0</v>
      </c>
      <c r="BG33" s="329">
        <f t="shared" ca="1" si="5"/>
        <v>0</v>
      </c>
      <c r="BH33" s="329">
        <f t="shared" ca="1" si="5"/>
        <v>0</v>
      </c>
      <c r="BI33" s="329">
        <f t="shared" ca="1" si="5"/>
        <v>0</v>
      </c>
    </row>
    <row r="35" spans="1:61" x14ac:dyDescent="0.15">
      <c r="A35" s="314" t="s">
        <v>400</v>
      </c>
      <c r="D35" s="330"/>
      <c r="K35" s="331"/>
    </row>
    <row r="36" spans="1:61" x14ac:dyDescent="0.15">
      <c r="A36" s="315" t="s">
        <v>302</v>
      </c>
      <c r="B36" s="326" cm="1">
        <f t="array" aca="1" ref="B36" ca="1">SUMPRODUCT(B$55:B$114,TRANSPOSE(SAP_Speadsheet!$F$19:$BM$19))</f>
        <v>9670.9511861445881</v>
      </c>
      <c r="C36" s="326" cm="1">
        <f t="array" aca="1" ref="C36" ca="1">SUMPRODUCT(C$55:C$114,TRANSPOSE(SAP_Speadsheet!$F$19:$BM$19))</f>
        <v>9129.9517337629204</v>
      </c>
      <c r="D36" s="326" cm="1">
        <f t="array" aca="1" ref="D36" ca="1">SUMPRODUCT(D$55:D$114,TRANSPOSE(SAP_Speadsheet!$F$19:$BM$19))</f>
        <v>8605.4703434866442</v>
      </c>
      <c r="E36" s="326" cm="1">
        <f t="array" aca="1" ref="E36" ca="1">SUMPRODUCT(E$55:E$114,TRANSPOSE(SAP_Speadsheet!$F$19:$BM$19))</f>
        <v>8094.8824227934974</v>
      </c>
      <c r="F36" s="326" cm="1">
        <f t="array" aca="1" ref="F36" ca="1">SUMPRODUCT(F$55:F$114,TRANSPOSE(SAP_Speadsheet!$F$19:$BM$19))</f>
        <v>7595.7005449883873</v>
      </c>
      <c r="G36" s="326" cm="1">
        <f t="array" aca="1" ref="G36" ca="1">SUMPRODUCT(G$55:G$114,TRANSPOSE(SAP_Speadsheet!$F$19:$BM$19))</f>
        <v>7106.7160927675568</v>
      </c>
      <c r="H36" s="326" cm="1">
        <f t="array" aca="1" ref="H36" ca="1">SUMPRODUCT(H$55:H$114,TRANSPOSE(SAP_Speadsheet!$F$19:$BM$19))</f>
        <v>6626.7338053583098</v>
      </c>
      <c r="I36" s="326" cm="1">
        <f t="array" aca="1" ref="I36" ca="1">SUMPRODUCT(I$55:I$114,TRANSPOSE(SAP_Speadsheet!$F$19:$BM$19))</f>
        <v>6155.6710881460713</v>
      </c>
      <c r="J36" s="326" cm="1">
        <f t="array" aca="1" ref="J36" ca="1">SUMPRODUCT(J$55:J$114,TRANSPOSE(SAP_Speadsheet!$F$19:$BM$19))</f>
        <v>0</v>
      </c>
      <c r="K36" s="326" cm="1">
        <f t="array" aca="1" ref="K36" ca="1">SUMPRODUCT(K$55:K$114,TRANSPOSE(SAP_Speadsheet!$F$19:$BM$19))</f>
        <v>0</v>
      </c>
      <c r="L36" s="326" cm="1">
        <f t="array" aca="1" ref="L36" ca="1">SUMPRODUCT(L$55:L$114,TRANSPOSE(SAP_Speadsheet!$F$19:$BM$19))</f>
        <v>0</v>
      </c>
      <c r="M36" s="326" cm="1">
        <f t="array" aca="1" ref="M36" ca="1">SUMPRODUCT(M$55:M$114,TRANSPOSE(SAP_Speadsheet!$F$19:$BM$19))</f>
        <v>0</v>
      </c>
      <c r="N36" s="326" cm="1">
        <f t="array" aca="1" ref="N36" ca="1">SUMPRODUCT(N$55:N$114,TRANSPOSE(SAP_Speadsheet!$F$19:$BM$19))</f>
        <v>0</v>
      </c>
      <c r="O36" s="326" cm="1">
        <f t="array" aca="1" ref="O36" ca="1">SUMPRODUCT(O$55:O$114,TRANSPOSE(SAP_Speadsheet!$F$19:$BM$19))</f>
        <v>0</v>
      </c>
      <c r="P36" s="326" cm="1">
        <f t="array" aca="1" ref="P36" ca="1">SUMPRODUCT(P$55:P$114,TRANSPOSE(SAP_Speadsheet!$F$19:$BM$19))</f>
        <v>0</v>
      </c>
      <c r="Q36" s="326" cm="1">
        <f t="array" aca="1" ref="Q36" ca="1">SUMPRODUCT(Q$55:Q$114,TRANSPOSE(SAP_Speadsheet!$F$19:$BM$19))</f>
        <v>0</v>
      </c>
      <c r="R36" s="326" cm="1">
        <f t="array" aca="1" ref="R36" ca="1">SUMPRODUCT(R$55:R$114,TRANSPOSE(SAP_Speadsheet!$F$19:$BM$19))</f>
        <v>0</v>
      </c>
      <c r="S36" s="326" cm="1">
        <f t="array" aca="1" ref="S36" ca="1">SUMPRODUCT(S$55:S$114,TRANSPOSE(SAP_Speadsheet!$F$19:$BM$19))</f>
        <v>0</v>
      </c>
      <c r="T36" s="326" cm="1">
        <f t="array" aca="1" ref="T36" ca="1">SUMPRODUCT(T$55:T$114,TRANSPOSE(SAP_Speadsheet!$F$19:$BM$19))</f>
        <v>0</v>
      </c>
      <c r="U36" s="326" cm="1">
        <f t="array" aca="1" ref="U36" ca="1">SUMPRODUCT(U$55:U$114,TRANSPOSE(SAP_Speadsheet!$F$19:$BM$19))</f>
        <v>0</v>
      </c>
      <c r="V36" s="326" cm="1">
        <f t="array" aca="1" ref="V36" ca="1">SUMPRODUCT(V$55:V$114,TRANSPOSE(SAP_Speadsheet!$F$19:$BM$19))</f>
        <v>0</v>
      </c>
      <c r="W36" s="326" cm="1">
        <f t="array" aca="1" ref="W36" ca="1">SUMPRODUCT(W$55:W$114,TRANSPOSE(SAP_Speadsheet!$F$19:$BM$19))</f>
        <v>0</v>
      </c>
      <c r="X36" s="326" cm="1">
        <f t="array" aca="1" ref="X36" ca="1">SUMPRODUCT(X$55:X$114,TRANSPOSE(SAP_Speadsheet!$F$19:$BM$19))</f>
        <v>0</v>
      </c>
      <c r="Y36" s="326" cm="1">
        <f t="array" aca="1" ref="Y36" ca="1">SUMPRODUCT(Y$55:Y$114,TRANSPOSE(SAP_Speadsheet!$F$19:$BM$19))</f>
        <v>0</v>
      </c>
      <c r="Z36" s="326" cm="1">
        <f t="array" aca="1" ref="Z36" ca="1">SUMPRODUCT(Z$55:Z$114,TRANSPOSE(SAP_Speadsheet!$F$19:$BM$19))</f>
        <v>0</v>
      </c>
      <c r="AA36" s="326" cm="1">
        <f t="array" aca="1" ref="AA36" ca="1">SUMPRODUCT(AA$55:AA$114,TRANSPOSE(SAP_Speadsheet!$F$19:$BM$19))</f>
        <v>0</v>
      </c>
      <c r="AB36" s="326" cm="1">
        <f t="array" aca="1" ref="AB36" ca="1">SUMPRODUCT(AB$55:AB$114,TRANSPOSE(SAP_Speadsheet!$F$19:$BM$19))</f>
        <v>0</v>
      </c>
      <c r="AC36" s="326" cm="1">
        <f t="array" aca="1" ref="AC36" ca="1">SUMPRODUCT(AC$55:AC$114,TRANSPOSE(SAP_Speadsheet!$F$19:$BM$19))</f>
        <v>0</v>
      </c>
      <c r="AD36" s="326" cm="1">
        <f t="array" aca="1" ref="AD36" ca="1">SUMPRODUCT(AD$55:AD$114,TRANSPOSE(SAP_Speadsheet!$F$19:$BM$19))</f>
        <v>0</v>
      </c>
      <c r="AE36" s="326" cm="1">
        <f t="array" aca="1" ref="AE36" ca="1">SUMPRODUCT(AE$55:AE$114,TRANSPOSE(SAP_Speadsheet!$F$19:$BM$19))</f>
        <v>0</v>
      </c>
      <c r="AF36" s="326" cm="1">
        <f t="array" aca="1" ref="AF36" ca="1">SUMPRODUCT(AF$55:AF$114,TRANSPOSE(SAP_Speadsheet!$F$19:$BM$19))</f>
        <v>0</v>
      </c>
      <c r="AG36" s="326" cm="1">
        <f t="array" aca="1" ref="AG36" ca="1">SUMPRODUCT(AG$55:AG$114,TRANSPOSE(SAP_Speadsheet!$F$19:$BM$19))</f>
        <v>0</v>
      </c>
      <c r="AH36" s="326" cm="1">
        <f t="array" aca="1" ref="AH36" ca="1">SUMPRODUCT(AH$55:AH$114,TRANSPOSE(SAP_Speadsheet!$F$19:$BM$19))</f>
        <v>0</v>
      </c>
      <c r="AI36" s="326" cm="1">
        <f t="array" aca="1" ref="AI36" ca="1">SUMPRODUCT(AI$55:AI$114,TRANSPOSE(SAP_Speadsheet!$F$19:$BM$19))</f>
        <v>0</v>
      </c>
      <c r="AJ36" s="326" cm="1">
        <f t="array" aca="1" ref="AJ36" ca="1">SUMPRODUCT(AJ$55:AJ$114,TRANSPOSE(SAP_Speadsheet!$F$19:$BM$19))</f>
        <v>0</v>
      </c>
      <c r="AK36" s="326" cm="1">
        <f t="array" aca="1" ref="AK36" ca="1">SUMPRODUCT(AK$55:AK$114,TRANSPOSE(SAP_Speadsheet!$F$19:$BM$19))</f>
        <v>0</v>
      </c>
      <c r="AL36" s="326" cm="1">
        <f t="array" aca="1" ref="AL36" ca="1">SUMPRODUCT(AL$55:AL$114,TRANSPOSE(SAP_Speadsheet!$F$19:$BM$19))</f>
        <v>0</v>
      </c>
      <c r="AM36" s="326" cm="1">
        <f t="array" aca="1" ref="AM36" ca="1">SUMPRODUCT(AM$55:AM$114,TRANSPOSE(SAP_Speadsheet!$F$19:$BM$19))</f>
        <v>0</v>
      </c>
      <c r="AN36" s="326" cm="1">
        <f t="array" aca="1" ref="AN36" ca="1">SUMPRODUCT(AN$55:AN$114,TRANSPOSE(SAP_Speadsheet!$F$19:$BM$19))</f>
        <v>0</v>
      </c>
      <c r="AO36" s="326" cm="1">
        <f t="array" aca="1" ref="AO36" ca="1">SUMPRODUCT(AO$55:AO$114,TRANSPOSE(SAP_Speadsheet!$F$19:$BM$19))</f>
        <v>0</v>
      </c>
      <c r="AP36" s="326" cm="1">
        <f t="array" aca="1" ref="AP36" ca="1">SUMPRODUCT(AP$55:AP$114,TRANSPOSE(SAP_Speadsheet!$F$19:$BM$19))</f>
        <v>0</v>
      </c>
      <c r="AQ36" s="326" cm="1">
        <f t="array" aca="1" ref="AQ36" ca="1">SUMPRODUCT(AQ$55:AQ$114,TRANSPOSE(SAP_Speadsheet!$F$19:$BM$19))</f>
        <v>0</v>
      </c>
      <c r="AR36" s="326" cm="1">
        <f t="array" aca="1" ref="AR36" ca="1">SUMPRODUCT(AR$55:AR$114,TRANSPOSE(SAP_Speadsheet!$F$19:$BM$19))</f>
        <v>0</v>
      </c>
      <c r="AS36" s="326" cm="1">
        <f t="array" aca="1" ref="AS36" ca="1">SUMPRODUCT(AS$55:AS$114,TRANSPOSE(SAP_Speadsheet!$F$19:$BM$19))</f>
        <v>0</v>
      </c>
      <c r="AT36" s="326" cm="1">
        <f t="array" aca="1" ref="AT36" ca="1">SUMPRODUCT(AT$55:AT$114,TRANSPOSE(SAP_Speadsheet!$F$19:$BM$19))</f>
        <v>0</v>
      </c>
      <c r="AU36" s="326" cm="1">
        <f t="array" aca="1" ref="AU36" ca="1">SUMPRODUCT(AU$55:AU$114,TRANSPOSE(SAP_Speadsheet!$F$19:$BM$19))</f>
        <v>0</v>
      </c>
      <c r="AV36" s="326" cm="1">
        <f t="array" aca="1" ref="AV36" ca="1">SUMPRODUCT(AV$55:AV$114,TRANSPOSE(SAP_Speadsheet!$F$19:$BM$19))</f>
        <v>0</v>
      </c>
      <c r="AW36" s="326" cm="1">
        <f t="array" aca="1" ref="AW36" ca="1">SUMPRODUCT(AW$55:AW$114,TRANSPOSE(SAP_Speadsheet!$F$19:$BM$19))</f>
        <v>0</v>
      </c>
      <c r="AX36" s="326" cm="1">
        <f t="array" aca="1" ref="AX36" ca="1">SUMPRODUCT(AX$55:AX$114,TRANSPOSE(SAP_Speadsheet!$F$19:$BM$19))</f>
        <v>0</v>
      </c>
      <c r="AY36" s="326" cm="1">
        <f t="array" aca="1" ref="AY36" ca="1">SUMPRODUCT(AY$55:AY$114,TRANSPOSE(SAP_Speadsheet!$F$19:$BM$19))</f>
        <v>0</v>
      </c>
      <c r="AZ36" s="326" cm="1">
        <f t="array" aca="1" ref="AZ36" ca="1">SUMPRODUCT(AZ$55:AZ$114,TRANSPOSE(SAP_Speadsheet!$F$19:$BM$19))</f>
        <v>0</v>
      </c>
      <c r="BA36" s="326" cm="1">
        <f t="array" aca="1" ref="BA36" ca="1">SUMPRODUCT(BA$55:BA$114,TRANSPOSE(SAP_Speadsheet!$F$19:$BM$19))</f>
        <v>0</v>
      </c>
      <c r="BB36" s="326" cm="1">
        <f t="array" aca="1" ref="BB36" ca="1">SUMPRODUCT(BB$55:BB$114,TRANSPOSE(SAP_Speadsheet!$F$19:$BM$19))</f>
        <v>0</v>
      </c>
      <c r="BC36" s="326" cm="1">
        <f t="array" aca="1" ref="BC36" ca="1">SUMPRODUCT(BC$55:BC$114,TRANSPOSE(SAP_Speadsheet!$F$19:$BM$19))</f>
        <v>0</v>
      </c>
      <c r="BD36" s="326" cm="1">
        <f t="array" aca="1" ref="BD36" ca="1">SUMPRODUCT(BD$55:BD$114,TRANSPOSE(SAP_Speadsheet!$F$19:$BM$19))</f>
        <v>0</v>
      </c>
      <c r="BE36" s="326" cm="1">
        <f t="array" aca="1" ref="BE36" ca="1">SUMPRODUCT(BE$55:BE$114,TRANSPOSE(SAP_Speadsheet!$F$19:$BM$19))</f>
        <v>0</v>
      </c>
      <c r="BF36" s="326" cm="1">
        <f t="array" aca="1" ref="BF36" ca="1">SUMPRODUCT(BF$55:BF$114,TRANSPOSE(SAP_Speadsheet!$F$19:$BM$19))</f>
        <v>0</v>
      </c>
      <c r="BG36" s="326" cm="1">
        <f t="array" aca="1" ref="BG36" ca="1">SUMPRODUCT(BG$55:BG$114,TRANSPOSE(SAP_Speadsheet!$F$19:$BM$19))</f>
        <v>0</v>
      </c>
      <c r="BH36" s="326" cm="1">
        <f t="array" aca="1" ref="BH36" ca="1">SUMPRODUCT(BH$55:BH$114,TRANSPOSE(SAP_Speadsheet!$F$19:$BM$19))</f>
        <v>0</v>
      </c>
      <c r="BI36" s="326" cm="1">
        <f t="array" aca="1" ref="BI36" ca="1">SUMPRODUCT(BI$55:BI$114,TRANSPOSE(SAP_Speadsheet!$F$19:$BM$19))</f>
        <v>0</v>
      </c>
    </row>
    <row r="37" spans="1:61" x14ac:dyDescent="0.15">
      <c r="A37" s="315" t="s">
        <v>304</v>
      </c>
      <c r="B37" s="326" cm="1">
        <f t="array" aca="1" ref="B37" ca="1">SUMPRODUCT(B$55:B$114,TRANSPOSE(SAP_Speadsheet!$F$20:$BM$20))</f>
        <v>232.43837860801708</v>
      </c>
      <c r="C37" s="326" cm="1">
        <f t="array" aca="1" ref="C37" ca="1">SUMPRODUCT(C$55:C$114,TRANSPOSE(SAP_Speadsheet!$F$20:$BM$20))</f>
        <v>203.08997490903636</v>
      </c>
      <c r="D37" s="326" cm="1">
        <f t="array" aca="1" ref="D37" ca="1">SUMPRODUCT(D$55:D$114,TRANSPOSE(SAP_Speadsheet!$F$20:$BM$20))</f>
        <v>191.72898640902133</v>
      </c>
      <c r="E37" s="326" cm="1">
        <f t="array" aca="1" ref="E37" ca="1">SUMPRODUCT(E$55:E$114,TRANSPOSE(SAP_Speadsheet!$F$20:$BM$20))</f>
        <v>180.71487721321958</v>
      </c>
      <c r="F37" s="326" cm="1">
        <f t="array" aca="1" ref="F37" ca="1">SUMPRODUCT(F$55:F$114,TRANSPOSE(SAP_Speadsheet!$F$20:$BM$20))</f>
        <v>169.99253087866344</v>
      </c>
      <c r="G37" s="326" cm="1">
        <f t="array" aca="1" ref="G37" ca="1">SUMPRODUCT(G$55:G$114,TRANSPOSE(SAP_Speadsheet!$F$20:$BM$20))</f>
        <v>159.50971144475614</v>
      </c>
      <c r="H37" s="326" cm="1">
        <f t="array" aca="1" ref="H37" ca="1">SUMPRODUCT(H$55:H$114,TRANSPOSE(SAP_Speadsheet!$F$20:$BM$20))</f>
        <v>149.24103794811867</v>
      </c>
      <c r="I37" s="326" cm="1">
        <f t="array" aca="1" ref="I37" ca="1">SUMPRODUCT(I$55:I$114,TRANSPOSE(SAP_Speadsheet!$F$20:$BM$20))</f>
        <v>139.16140991252453</v>
      </c>
      <c r="J37" s="326" cm="1">
        <f t="array" aca="1" ref="J37" ca="1">SUMPRODUCT(J$55:J$114,TRANSPOSE(SAP_Speadsheet!$F$20:$BM$20))</f>
        <v>1231.1342176292144</v>
      </c>
      <c r="K37" s="326" cm="1">
        <f t="array" aca="1" ref="K37" ca="1">SUMPRODUCT(K$55:K$114,TRANSPOSE(SAP_Speadsheet!$F$20:$BM$20))</f>
        <v>0</v>
      </c>
      <c r="L37" s="326" cm="1">
        <f t="array" aca="1" ref="L37" ca="1">SUMPRODUCT(L$55:L$114,TRANSPOSE(SAP_Speadsheet!$F$20:$BM$20))</f>
        <v>0</v>
      </c>
      <c r="M37" s="326" cm="1">
        <f t="array" aca="1" ref="M37" ca="1">SUMPRODUCT(M$55:M$114,TRANSPOSE(SAP_Speadsheet!$F$20:$BM$20))</f>
        <v>0</v>
      </c>
      <c r="N37" s="326" cm="1">
        <f t="array" aca="1" ref="N37" ca="1">SUMPRODUCT(N$55:N$114,TRANSPOSE(SAP_Speadsheet!$F$20:$BM$20))</f>
        <v>0</v>
      </c>
      <c r="O37" s="326" cm="1">
        <f t="array" aca="1" ref="O37" ca="1">SUMPRODUCT(O$55:O$114,TRANSPOSE(SAP_Speadsheet!$F$20:$BM$20))</f>
        <v>0</v>
      </c>
      <c r="P37" s="326" cm="1">
        <f t="array" aca="1" ref="P37" ca="1">SUMPRODUCT(P$55:P$114,TRANSPOSE(SAP_Speadsheet!$F$20:$BM$20))</f>
        <v>0</v>
      </c>
      <c r="Q37" s="326" cm="1">
        <f t="array" aca="1" ref="Q37" ca="1">SUMPRODUCT(Q$55:Q$114,TRANSPOSE(SAP_Speadsheet!$F$20:$BM$20))</f>
        <v>0</v>
      </c>
      <c r="R37" s="326" cm="1">
        <f t="array" aca="1" ref="R37" ca="1">SUMPRODUCT(R$55:R$114,TRANSPOSE(SAP_Speadsheet!$F$20:$BM$20))</f>
        <v>0</v>
      </c>
      <c r="S37" s="326" cm="1">
        <f t="array" aca="1" ref="S37" ca="1">SUMPRODUCT(S$55:S$114,TRANSPOSE(SAP_Speadsheet!$F$20:$BM$20))</f>
        <v>0</v>
      </c>
      <c r="T37" s="326" cm="1">
        <f t="array" aca="1" ref="T37" ca="1">SUMPRODUCT(T$55:T$114,TRANSPOSE(SAP_Speadsheet!$F$20:$BM$20))</f>
        <v>0</v>
      </c>
      <c r="U37" s="326" cm="1">
        <f t="array" aca="1" ref="U37" ca="1">SUMPRODUCT(U$55:U$114,TRANSPOSE(SAP_Speadsheet!$F$20:$BM$20))</f>
        <v>0</v>
      </c>
      <c r="V37" s="326" cm="1">
        <f t="array" aca="1" ref="V37" ca="1">SUMPRODUCT(V$55:V$114,TRANSPOSE(SAP_Speadsheet!$F$20:$BM$20))</f>
        <v>0</v>
      </c>
      <c r="W37" s="326" cm="1">
        <f t="array" aca="1" ref="W37" ca="1">SUMPRODUCT(W$55:W$114,TRANSPOSE(SAP_Speadsheet!$F$20:$BM$20))</f>
        <v>0</v>
      </c>
      <c r="X37" s="326" cm="1">
        <f t="array" aca="1" ref="X37" ca="1">SUMPRODUCT(X$55:X$114,TRANSPOSE(SAP_Speadsheet!$F$20:$BM$20))</f>
        <v>0</v>
      </c>
      <c r="Y37" s="326" cm="1">
        <f t="array" aca="1" ref="Y37" ca="1">SUMPRODUCT(Y$55:Y$114,TRANSPOSE(SAP_Speadsheet!$F$20:$BM$20))</f>
        <v>0</v>
      </c>
      <c r="Z37" s="326" cm="1">
        <f t="array" aca="1" ref="Z37" ca="1">SUMPRODUCT(Z$55:Z$114,TRANSPOSE(SAP_Speadsheet!$F$20:$BM$20))</f>
        <v>0</v>
      </c>
      <c r="AA37" s="326" cm="1">
        <f t="array" aca="1" ref="AA37" ca="1">SUMPRODUCT(AA$55:AA$114,TRANSPOSE(SAP_Speadsheet!$F$20:$BM$20))</f>
        <v>0</v>
      </c>
      <c r="AB37" s="326" cm="1">
        <f t="array" aca="1" ref="AB37" ca="1">SUMPRODUCT(AB$55:AB$114,TRANSPOSE(SAP_Speadsheet!$F$20:$BM$20))</f>
        <v>0</v>
      </c>
      <c r="AC37" s="326" cm="1">
        <f t="array" aca="1" ref="AC37" ca="1">SUMPRODUCT(AC$55:AC$114,TRANSPOSE(SAP_Speadsheet!$F$20:$BM$20))</f>
        <v>0</v>
      </c>
      <c r="AD37" s="326" cm="1">
        <f t="array" aca="1" ref="AD37" ca="1">SUMPRODUCT(AD$55:AD$114,TRANSPOSE(SAP_Speadsheet!$F$20:$BM$20))</f>
        <v>0</v>
      </c>
      <c r="AE37" s="326" cm="1">
        <f t="array" aca="1" ref="AE37" ca="1">SUMPRODUCT(AE$55:AE$114,TRANSPOSE(SAP_Speadsheet!$F$20:$BM$20))</f>
        <v>0</v>
      </c>
      <c r="AF37" s="326" cm="1">
        <f t="array" aca="1" ref="AF37" ca="1">SUMPRODUCT(AF$55:AF$114,TRANSPOSE(SAP_Speadsheet!$F$20:$BM$20))</f>
        <v>0</v>
      </c>
      <c r="AG37" s="326" cm="1">
        <f t="array" aca="1" ref="AG37" ca="1">SUMPRODUCT(AG$55:AG$114,TRANSPOSE(SAP_Speadsheet!$F$20:$BM$20))</f>
        <v>0</v>
      </c>
      <c r="AH37" s="326" cm="1">
        <f t="array" aca="1" ref="AH37" ca="1">SUMPRODUCT(AH$55:AH$114,TRANSPOSE(SAP_Speadsheet!$F$20:$BM$20))</f>
        <v>0</v>
      </c>
      <c r="AI37" s="326" cm="1">
        <f t="array" aca="1" ref="AI37" ca="1">SUMPRODUCT(AI$55:AI$114,TRANSPOSE(SAP_Speadsheet!$F$20:$BM$20))</f>
        <v>0</v>
      </c>
      <c r="AJ37" s="326" cm="1">
        <f t="array" aca="1" ref="AJ37" ca="1">SUMPRODUCT(AJ$55:AJ$114,TRANSPOSE(SAP_Speadsheet!$F$20:$BM$20))</f>
        <v>0</v>
      </c>
      <c r="AK37" s="326" cm="1">
        <f t="array" aca="1" ref="AK37" ca="1">SUMPRODUCT(AK$55:AK$114,TRANSPOSE(SAP_Speadsheet!$F$20:$BM$20))</f>
        <v>0</v>
      </c>
      <c r="AL37" s="326" cm="1">
        <f t="array" aca="1" ref="AL37" ca="1">SUMPRODUCT(AL$55:AL$114,TRANSPOSE(SAP_Speadsheet!$F$20:$BM$20))</f>
        <v>0</v>
      </c>
      <c r="AM37" s="326" cm="1">
        <f t="array" aca="1" ref="AM37" ca="1">SUMPRODUCT(AM$55:AM$114,TRANSPOSE(SAP_Speadsheet!$F$20:$BM$20))</f>
        <v>0</v>
      </c>
      <c r="AN37" s="326" cm="1">
        <f t="array" aca="1" ref="AN37" ca="1">SUMPRODUCT(AN$55:AN$114,TRANSPOSE(SAP_Speadsheet!$F$20:$BM$20))</f>
        <v>0</v>
      </c>
      <c r="AO37" s="326" cm="1">
        <f t="array" aca="1" ref="AO37" ca="1">SUMPRODUCT(AO$55:AO$114,TRANSPOSE(SAP_Speadsheet!$F$20:$BM$20))</f>
        <v>0</v>
      </c>
      <c r="AP37" s="326" cm="1">
        <f t="array" aca="1" ref="AP37" ca="1">SUMPRODUCT(AP$55:AP$114,TRANSPOSE(SAP_Speadsheet!$F$20:$BM$20))</f>
        <v>0</v>
      </c>
      <c r="AQ37" s="326" cm="1">
        <f t="array" aca="1" ref="AQ37" ca="1">SUMPRODUCT(AQ$55:AQ$114,TRANSPOSE(SAP_Speadsheet!$F$20:$BM$20))</f>
        <v>0</v>
      </c>
      <c r="AR37" s="326" cm="1">
        <f t="array" aca="1" ref="AR37" ca="1">SUMPRODUCT(AR$55:AR$114,TRANSPOSE(SAP_Speadsheet!$F$20:$BM$20))</f>
        <v>0</v>
      </c>
      <c r="AS37" s="326" cm="1">
        <f t="array" aca="1" ref="AS37" ca="1">SUMPRODUCT(AS$55:AS$114,TRANSPOSE(SAP_Speadsheet!$F$20:$BM$20))</f>
        <v>0</v>
      </c>
      <c r="AT37" s="326" cm="1">
        <f t="array" aca="1" ref="AT37" ca="1">SUMPRODUCT(AT$55:AT$114,TRANSPOSE(SAP_Speadsheet!$F$20:$BM$20))</f>
        <v>0</v>
      </c>
      <c r="AU37" s="326" cm="1">
        <f t="array" aca="1" ref="AU37" ca="1">SUMPRODUCT(AU$55:AU$114,TRANSPOSE(SAP_Speadsheet!$F$20:$BM$20))</f>
        <v>0</v>
      </c>
      <c r="AV37" s="326" cm="1">
        <f t="array" aca="1" ref="AV37" ca="1">SUMPRODUCT(AV$55:AV$114,TRANSPOSE(SAP_Speadsheet!$F$20:$BM$20))</f>
        <v>0</v>
      </c>
      <c r="AW37" s="326" cm="1">
        <f t="array" aca="1" ref="AW37" ca="1">SUMPRODUCT(AW$55:AW$114,TRANSPOSE(SAP_Speadsheet!$F$20:$BM$20))</f>
        <v>0</v>
      </c>
      <c r="AX37" s="326" cm="1">
        <f t="array" aca="1" ref="AX37" ca="1">SUMPRODUCT(AX$55:AX$114,TRANSPOSE(SAP_Speadsheet!$F$20:$BM$20))</f>
        <v>0</v>
      </c>
      <c r="AY37" s="326" cm="1">
        <f t="array" aca="1" ref="AY37" ca="1">SUMPRODUCT(AY$55:AY$114,TRANSPOSE(SAP_Speadsheet!$F$20:$BM$20))</f>
        <v>0</v>
      </c>
      <c r="AZ37" s="326" cm="1">
        <f t="array" aca="1" ref="AZ37" ca="1">SUMPRODUCT(AZ$55:AZ$114,TRANSPOSE(SAP_Speadsheet!$F$20:$BM$20))</f>
        <v>0</v>
      </c>
      <c r="BA37" s="326" cm="1">
        <f t="array" aca="1" ref="BA37" ca="1">SUMPRODUCT(BA$55:BA$114,TRANSPOSE(SAP_Speadsheet!$F$20:$BM$20))</f>
        <v>0</v>
      </c>
      <c r="BB37" s="326" cm="1">
        <f t="array" aca="1" ref="BB37" ca="1">SUMPRODUCT(BB$55:BB$114,TRANSPOSE(SAP_Speadsheet!$F$20:$BM$20))</f>
        <v>0</v>
      </c>
      <c r="BC37" s="326" cm="1">
        <f t="array" aca="1" ref="BC37" ca="1">SUMPRODUCT(BC$55:BC$114,TRANSPOSE(SAP_Speadsheet!$F$20:$BM$20))</f>
        <v>0</v>
      </c>
      <c r="BD37" s="326" cm="1">
        <f t="array" aca="1" ref="BD37" ca="1">SUMPRODUCT(BD$55:BD$114,TRANSPOSE(SAP_Speadsheet!$F$20:$BM$20))</f>
        <v>0</v>
      </c>
      <c r="BE37" s="326" cm="1">
        <f t="array" aca="1" ref="BE37" ca="1">SUMPRODUCT(BE$55:BE$114,TRANSPOSE(SAP_Speadsheet!$F$20:$BM$20))</f>
        <v>0</v>
      </c>
      <c r="BF37" s="326" cm="1">
        <f t="array" aca="1" ref="BF37" ca="1">SUMPRODUCT(BF$55:BF$114,TRANSPOSE(SAP_Speadsheet!$F$20:$BM$20))</f>
        <v>0</v>
      </c>
      <c r="BG37" s="326" cm="1">
        <f t="array" aca="1" ref="BG37" ca="1">SUMPRODUCT(BG$55:BG$114,TRANSPOSE(SAP_Speadsheet!$F$20:$BM$20))</f>
        <v>0</v>
      </c>
      <c r="BH37" s="326" cm="1">
        <f t="array" aca="1" ref="BH37" ca="1">SUMPRODUCT(BH$55:BH$114,TRANSPOSE(SAP_Speadsheet!$F$20:$BM$20))</f>
        <v>0</v>
      </c>
      <c r="BI37" s="326" cm="1">
        <f t="array" aca="1" ref="BI37" ca="1">SUMPRODUCT(BI$55:BI$114,TRANSPOSE(SAP_Speadsheet!$F$20:$BM$20))</f>
        <v>0</v>
      </c>
    </row>
    <row r="38" spans="1:61" x14ac:dyDescent="0.15">
      <c r="A38" s="315" t="s">
        <v>305</v>
      </c>
      <c r="B38" s="326" cm="1">
        <f t="array" aca="1" ref="B38" ca="1">SUMPRODUCT(B$55:B$114,TRANSPOSE(SAP_Speadsheet!$F$21:$BM$21))</f>
        <v>0</v>
      </c>
      <c r="C38" s="326" cm="1">
        <f t="array" aca="1" ref="C38" ca="1">SUMPRODUCT(C$55:C$114,TRANSPOSE(SAP_Speadsheet!$F$21:$BM$21))</f>
        <v>220.81645967761619</v>
      </c>
      <c r="D38" s="326" cm="1">
        <f t="array" aca="1" ref="D38" ca="1">SUMPRODUCT(D$55:D$114,TRANSPOSE(SAP_Speadsheet!$F$21:$BM$21))</f>
        <v>192.93547616358455</v>
      </c>
      <c r="E38" s="326" cm="1">
        <f t="array" aca="1" ref="E38" ca="1">SUMPRODUCT(E$55:E$114,TRANSPOSE(SAP_Speadsheet!$F$21:$BM$21))</f>
        <v>182.14253708857024</v>
      </c>
      <c r="F38" s="326" cm="1">
        <f t="array" aca="1" ref="F38" ca="1">SUMPRODUCT(F$55:F$114,TRANSPOSE(SAP_Speadsheet!$F$21:$BM$21))</f>
        <v>171.67913335255858</v>
      </c>
      <c r="G38" s="326" cm="1">
        <f t="array" aca="1" ref="G38" ca="1">SUMPRODUCT(G$55:G$114,TRANSPOSE(SAP_Speadsheet!$F$21:$BM$21))</f>
        <v>161.49290433473027</v>
      </c>
      <c r="H38" s="326" cm="1">
        <f t="array" aca="1" ref="H38" ca="1">SUMPRODUCT(H$55:H$114,TRANSPOSE(SAP_Speadsheet!$F$21:$BM$21))</f>
        <v>151.53422587251833</v>
      </c>
      <c r="I38" s="326" cm="1">
        <f t="array" aca="1" ref="I38" ca="1">SUMPRODUCT(I$55:I$114,TRANSPOSE(SAP_Speadsheet!$F$21:$BM$21))</f>
        <v>141.77898605071275</v>
      </c>
      <c r="J38" s="326" cm="1">
        <f t="array" aca="1" ref="J38" ca="1">SUMPRODUCT(J$55:J$114,TRANSPOSE(SAP_Speadsheet!$F$21:$BM$21))</f>
        <v>97.412986938767162</v>
      </c>
      <c r="K38" s="326" cm="1">
        <f t="array" aca="1" ref="K38" ca="1">SUMPRODUCT(K$55:K$114,TRANSPOSE(SAP_Speadsheet!$F$21:$BM$21))</f>
        <v>861.79395234044989</v>
      </c>
      <c r="L38" s="326" cm="1">
        <f t="array" aca="1" ref="L38" ca="1">SUMPRODUCT(L$55:L$114,TRANSPOSE(SAP_Speadsheet!$F$21:$BM$21))</f>
        <v>0</v>
      </c>
      <c r="M38" s="326" cm="1">
        <f t="array" aca="1" ref="M38" ca="1">SUMPRODUCT(M$55:M$114,TRANSPOSE(SAP_Speadsheet!$F$21:$BM$21))</f>
        <v>0</v>
      </c>
      <c r="N38" s="326" cm="1">
        <f t="array" aca="1" ref="N38" ca="1">SUMPRODUCT(N$55:N$114,TRANSPOSE(SAP_Speadsheet!$F$21:$BM$21))</f>
        <v>0</v>
      </c>
      <c r="O38" s="326" cm="1">
        <f t="array" aca="1" ref="O38" ca="1">SUMPRODUCT(O$55:O$114,TRANSPOSE(SAP_Speadsheet!$F$21:$BM$21))</f>
        <v>0</v>
      </c>
      <c r="P38" s="326" cm="1">
        <f t="array" aca="1" ref="P38" ca="1">SUMPRODUCT(P$55:P$114,TRANSPOSE(SAP_Speadsheet!$F$21:$BM$21))</f>
        <v>0</v>
      </c>
      <c r="Q38" s="326" cm="1">
        <f t="array" aca="1" ref="Q38" ca="1">SUMPRODUCT(Q$55:Q$114,TRANSPOSE(SAP_Speadsheet!$F$21:$BM$21))</f>
        <v>0</v>
      </c>
      <c r="R38" s="326" cm="1">
        <f t="array" aca="1" ref="R38" ca="1">SUMPRODUCT(R$55:R$114,TRANSPOSE(SAP_Speadsheet!$F$21:$BM$21))</f>
        <v>0</v>
      </c>
      <c r="S38" s="326" cm="1">
        <f t="array" aca="1" ref="S38" ca="1">SUMPRODUCT(S$55:S$114,TRANSPOSE(SAP_Speadsheet!$F$21:$BM$21))</f>
        <v>0</v>
      </c>
      <c r="T38" s="326" cm="1">
        <f t="array" aca="1" ref="T38" ca="1">SUMPRODUCT(T$55:T$114,TRANSPOSE(SAP_Speadsheet!$F$21:$BM$21))</f>
        <v>0</v>
      </c>
      <c r="U38" s="326" cm="1">
        <f t="array" aca="1" ref="U38" ca="1">SUMPRODUCT(U$55:U$114,TRANSPOSE(SAP_Speadsheet!$F$21:$BM$21))</f>
        <v>0</v>
      </c>
      <c r="V38" s="326" cm="1">
        <f t="array" aca="1" ref="V38" ca="1">SUMPRODUCT(V$55:V$114,TRANSPOSE(SAP_Speadsheet!$F$21:$BM$21))</f>
        <v>0</v>
      </c>
      <c r="W38" s="326" cm="1">
        <f t="array" aca="1" ref="W38" ca="1">SUMPRODUCT(W$55:W$114,TRANSPOSE(SAP_Speadsheet!$F$21:$BM$21))</f>
        <v>0</v>
      </c>
      <c r="X38" s="326" cm="1">
        <f t="array" aca="1" ref="X38" ca="1">SUMPRODUCT(X$55:X$114,TRANSPOSE(SAP_Speadsheet!$F$21:$BM$21))</f>
        <v>0</v>
      </c>
      <c r="Y38" s="326" cm="1">
        <f t="array" aca="1" ref="Y38" ca="1">SUMPRODUCT(Y$55:Y$114,TRANSPOSE(SAP_Speadsheet!$F$21:$BM$21))</f>
        <v>0</v>
      </c>
      <c r="Z38" s="326" cm="1">
        <f t="array" aca="1" ref="Z38" ca="1">SUMPRODUCT(Z$55:Z$114,TRANSPOSE(SAP_Speadsheet!$F$21:$BM$21))</f>
        <v>0</v>
      </c>
      <c r="AA38" s="326" cm="1">
        <f t="array" aca="1" ref="AA38" ca="1">SUMPRODUCT(AA$55:AA$114,TRANSPOSE(SAP_Speadsheet!$F$21:$BM$21))</f>
        <v>0</v>
      </c>
      <c r="AB38" s="326" cm="1">
        <f t="array" aca="1" ref="AB38" ca="1">SUMPRODUCT(AB$55:AB$114,TRANSPOSE(SAP_Speadsheet!$F$21:$BM$21))</f>
        <v>0</v>
      </c>
      <c r="AC38" s="326" cm="1">
        <f t="array" aca="1" ref="AC38" ca="1">SUMPRODUCT(AC$55:AC$114,TRANSPOSE(SAP_Speadsheet!$F$21:$BM$21))</f>
        <v>0</v>
      </c>
      <c r="AD38" s="326" cm="1">
        <f t="array" aca="1" ref="AD38" ca="1">SUMPRODUCT(AD$55:AD$114,TRANSPOSE(SAP_Speadsheet!$F$21:$BM$21))</f>
        <v>0</v>
      </c>
      <c r="AE38" s="326" cm="1">
        <f t="array" aca="1" ref="AE38" ca="1">SUMPRODUCT(AE$55:AE$114,TRANSPOSE(SAP_Speadsheet!$F$21:$BM$21))</f>
        <v>0</v>
      </c>
      <c r="AF38" s="326" cm="1">
        <f t="array" aca="1" ref="AF38" ca="1">SUMPRODUCT(AF$55:AF$114,TRANSPOSE(SAP_Speadsheet!$F$21:$BM$21))</f>
        <v>0</v>
      </c>
      <c r="AG38" s="326" cm="1">
        <f t="array" aca="1" ref="AG38" ca="1">SUMPRODUCT(AG$55:AG$114,TRANSPOSE(SAP_Speadsheet!$F$21:$BM$21))</f>
        <v>0</v>
      </c>
      <c r="AH38" s="326" cm="1">
        <f t="array" aca="1" ref="AH38" ca="1">SUMPRODUCT(AH$55:AH$114,TRANSPOSE(SAP_Speadsheet!$F$21:$BM$21))</f>
        <v>0</v>
      </c>
      <c r="AI38" s="326" cm="1">
        <f t="array" aca="1" ref="AI38" ca="1">SUMPRODUCT(AI$55:AI$114,TRANSPOSE(SAP_Speadsheet!$F$21:$BM$21))</f>
        <v>0</v>
      </c>
      <c r="AJ38" s="326" cm="1">
        <f t="array" aca="1" ref="AJ38" ca="1">SUMPRODUCT(AJ$55:AJ$114,TRANSPOSE(SAP_Speadsheet!$F$21:$BM$21))</f>
        <v>0</v>
      </c>
      <c r="AK38" s="326" cm="1">
        <f t="array" aca="1" ref="AK38" ca="1">SUMPRODUCT(AK$55:AK$114,TRANSPOSE(SAP_Speadsheet!$F$21:$BM$21))</f>
        <v>0</v>
      </c>
      <c r="AL38" s="326" cm="1">
        <f t="array" aca="1" ref="AL38" ca="1">SUMPRODUCT(AL$55:AL$114,TRANSPOSE(SAP_Speadsheet!$F$21:$BM$21))</f>
        <v>0</v>
      </c>
      <c r="AM38" s="326" cm="1">
        <f t="array" aca="1" ref="AM38" ca="1">SUMPRODUCT(AM$55:AM$114,TRANSPOSE(SAP_Speadsheet!$F$21:$BM$21))</f>
        <v>0</v>
      </c>
      <c r="AN38" s="326" cm="1">
        <f t="array" aca="1" ref="AN38" ca="1">SUMPRODUCT(AN$55:AN$114,TRANSPOSE(SAP_Speadsheet!$F$21:$BM$21))</f>
        <v>0</v>
      </c>
      <c r="AO38" s="326" cm="1">
        <f t="array" aca="1" ref="AO38" ca="1">SUMPRODUCT(AO$55:AO$114,TRANSPOSE(SAP_Speadsheet!$F$21:$BM$21))</f>
        <v>0</v>
      </c>
      <c r="AP38" s="326" cm="1">
        <f t="array" aca="1" ref="AP38" ca="1">SUMPRODUCT(AP$55:AP$114,TRANSPOSE(SAP_Speadsheet!$F$21:$BM$21))</f>
        <v>0</v>
      </c>
      <c r="AQ38" s="326" cm="1">
        <f t="array" aca="1" ref="AQ38" ca="1">SUMPRODUCT(AQ$55:AQ$114,TRANSPOSE(SAP_Speadsheet!$F$21:$BM$21))</f>
        <v>0</v>
      </c>
      <c r="AR38" s="326" cm="1">
        <f t="array" aca="1" ref="AR38" ca="1">SUMPRODUCT(AR$55:AR$114,TRANSPOSE(SAP_Speadsheet!$F$21:$BM$21))</f>
        <v>0</v>
      </c>
      <c r="AS38" s="326" cm="1">
        <f t="array" aca="1" ref="AS38" ca="1">SUMPRODUCT(AS$55:AS$114,TRANSPOSE(SAP_Speadsheet!$F$21:$BM$21))</f>
        <v>0</v>
      </c>
      <c r="AT38" s="326" cm="1">
        <f t="array" aca="1" ref="AT38" ca="1">SUMPRODUCT(AT$55:AT$114,TRANSPOSE(SAP_Speadsheet!$F$21:$BM$21))</f>
        <v>0</v>
      </c>
      <c r="AU38" s="326" cm="1">
        <f t="array" aca="1" ref="AU38" ca="1">SUMPRODUCT(AU$55:AU$114,TRANSPOSE(SAP_Speadsheet!$F$21:$BM$21))</f>
        <v>0</v>
      </c>
      <c r="AV38" s="326" cm="1">
        <f t="array" aca="1" ref="AV38" ca="1">SUMPRODUCT(AV$55:AV$114,TRANSPOSE(SAP_Speadsheet!$F$21:$BM$21))</f>
        <v>0</v>
      </c>
      <c r="AW38" s="326" cm="1">
        <f t="array" aca="1" ref="AW38" ca="1">SUMPRODUCT(AW$55:AW$114,TRANSPOSE(SAP_Speadsheet!$F$21:$BM$21))</f>
        <v>0</v>
      </c>
      <c r="AX38" s="326" cm="1">
        <f t="array" aca="1" ref="AX38" ca="1">SUMPRODUCT(AX$55:AX$114,TRANSPOSE(SAP_Speadsheet!$F$21:$BM$21))</f>
        <v>0</v>
      </c>
      <c r="AY38" s="326" cm="1">
        <f t="array" aca="1" ref="AY38" ca="1">SUMPRODUCT(AY$55:AY$114,TRANSPOSE(SAP_Speadsheet!$F$21:$BM$21))</f>
        <v>0</v>
      </c>
      <c r="AZ38" s="326" cm="1">
        <f t="array" aca="1" ref="AZ38" ca="1">SUMPRODUCT(AZ$55:AZ$114,TRANSPOSE(SAP_Speadsheet!$F$21:$BM$21))</f>
        <v>0</v>
      </c>
      <c r="BA38" s="326" cm="1">
        <f t="array" aca="1" ref="BA38" ca="1">SUMPRODUCT(BA$55:BA$114,TRANSPOSE(SAP_Speadsheet!$F$21:$BM$21))</f>
        <v>0</v>
      </c>
      <c r="BB38" s="326" cm="1">
        <f t="array" aca="1" ref="BB38" ca="1">SUMPRODUCT(BB$55:BB$114,TRANSPOSE(SAP_Speadsheet!$F$21:$BM$21))</f>
        <v>0</v>
      </c>
      <c r="BC38" s="326" cm="1">
        <f t="array" aca="1" ref="BC38" ca="1">SUMPRODUCT(BC$55:BC$114,TRANSPOSE(SAP_Speadsheet!$F$21:$BM$21))</f>
        <v>0</v>
      </c>
      <c r="BD38" s="326" cm="1">
        <f t="array" aca="1" ref="BD38" ca="1">SUMPRODUCT(BD$55:BD$114,TRANSPOSE(SAP_Speadsheet!$F$21:$BM$21))</f>
        <v>0</v>
      </c>
      <c r="BE38" s="326" cm="1">
        <f t="array" aca="1" ref="BE38" ca="1">SUMPRODUCT(BE$55:BE$114,TRANSPOSE(SAP_Speadsheet!$F$21:$BM$21))</f>
        <v>0</v>
      </c>
      <c r="BF38" s="326" cm="1">
        <f t="array" aca="1" ref="BF38" ca="1">SUMPRODUCT(BF$55:BF$114,TRANSPOSE(SAP_Speadsheet!$F$21:$BM$21))</f>
        <v>0</v>
      </c>
      <c r="BG38" s="326" cm="1">
        <f t="array" aca="1" ref="BG38" ca="1">SUMPRODUCT(BG$55:BG$114,TRANSPOSE(SAP_Speadsheet!$F$21:$BM$21))</f>
        <v>0</v>
      </c>
      <c r="BH38" s="326" cm="1">
        <f t="array" aca="1" ref="BH38" ca="1">SUMPRODUCT(BH$55:BH$114,TRANSPOSE(SAP_Speadsheet!$F$21:$BM$21))</f>
        <v>0</v>
      </c>
      <c r="BI38" s="326" cm="1">
        <f t="array" aca="1" ref="BI38" ca="1">SUMPRODUCT(BI$55:BI$114,TRANSPOSE(SAP_Speadsheet!$F$21:$BM$21))</f>
        <v>0</v>
      </c>
    </row>
    <row r="39" spans="1:61" x14ac:dyDescent="0.15">
      <c r="A39" s="315" t="s">
        <v>306</v>
      </c>
      <c r="B39" s="326" cm="1">
        <f t="array" aca="1" ref="B39" ca="1">SUMPRODUCT(B$55:B$114,TRANSPOSE(SAP_Speadsheet!$F$22:$BM$22))</f>
        <v>0</v>
      </c>
      <c r="C39" s="326" cm="1">
        <f t="array" aca="1" ref="C39" ca="1">SUMPRODUCT(C$55:C$114,TRANSPOSE(SAP_Speadsheet!$F$22:$BM$22))</f>
        <v>0</v>
      </c>
      <c r="D39" s="326" cm="1">
        <f t="array" aca="1" ref="D39" ca="1">SUMPRODUCT(D$55:D$114,TRANSPOSE(SAP_Speadsheet!$F$22:$BM$22))</f>
        <v>214.19196588728769</v>
      </c>
      <c r="E39" s="326" cm="1">
        <f t="array" aca="1" ref="E39" ca="1">SUMPRODUCT(E$55:E$114,TRANSPOSE(SAP_Speadsheet!$F$22:$BM$22))</f>
        <v>187.14741187867699</v>
      </c>
      <c r="F39" s="326" cm="1">
        <f t="array" aca="1" ref="F39" ca="1">SUMPRODUCT(F$55:F$114,TRANSPOSE(SAP_Speadsheet!$F$22:$BM$22))</f>
        <v>176.6782609759131</v>
      </c>
      <c r="G39" s="326" cm="1">
        <f t="array" aca="1" ref="G39" ca="1">SUMPRODUCT(G$55:G$114,TRANSPOSE(SAP_Speadsheet!$F$22:$BM$22))</f>
        <v>166.52875935198182</v>
      </c>
      <c r="H39" s="326" cm="1">
        <f t="array" aca="1" ref="H39" ca="1">SUMPRODUCT(H$55:H$114,TRANSPOSE(SAP_Speadsheet!$F$22:$BM$22))</f>
        <v>156.64811720468836</v>
      </c>
      <c r="I39" s="326" cm="1">
        <f t="array" aca="1" ref="I39" ca="1">SUMPRODUCT(I$55:I$114,TRANSPOSE(SAP_Speadsheet!$F$22:$BM$22))</f>
        <v>146.98819909634275</v>
      </c>
      <c r="J39" s="326" cm="1">
        <f t="array" aca="1" ref="J39" ca="1">SUMPRODUCT(J$55:J$114,TRANSPOSE(SAP_Speadsheet!$F$22:$BM$22))</f>
        <v>127.60108744564145</v>
      </c>
      <c r="K39" s="326" cm="1">
        <f t="array" aca="1" ref="K39" ca="1">SUMPRODUCT(K$55:K$114,TRANSPOSE(SAP_Speadsheet!$F$22:$BM$22))</f>
        <v>87.671688244890461</v>
      </c>
      <c r="L39" s="326" cm="1">
        <f t="array" aca="1" ref="L39" ca="1">SUMPRODUCT(L$55:L$114,TRANSPOSE(SAP_Speadsheet!$F$22:$BM$22))</f>
        <v>775.61455710640496</v>
      </c>
      <c r="M39" s="326" cm="1">
        <f t="array" aca="1" ref="M39" ca="1">SUMPRODUCT(M$55:M$114,TRANSPOSE(SAP_Speadsheet!$F$22:$BM$22))</f>
        <v>0</v>
      </c>
      <c r="N39" s="326" cm="1">
        <f t="array" aca="1" ref="N39" ca="1">SUMPRODUCT(N$55:N$114,TRANSPOSE(SAP_Speadsheet!$F$22:$BM$22))</f>
        <v>0</v>
      </c>
      <c r="O39" s="326" cm="1">
        <f t="array" aca="1" ref="O39" ca="1">SUMPRODUCT(O$55:O$114,TRANSPOSE(SAP_Speadsheet!$F$22:$BM$22))</f>
        <v>0</v>
      </c>
      <c r="P39" s="326" cm="1">
        <f t="array" aca="1" ref="P39" ca="1">SUMPRODUCT(P$55:P$114,TRANSPOSE(SAP_Speadsheet!$F$22:$BM$22))</f>
        <v>0</v>
      </c>
      <c r="Q39" s="326" cm="1">
        <f t="array" aca="1" ref="Q39" ca="1">SUMPRODUCT(Q$55:Q$114,TRANSPOSE(SAP_Speadsheet!$F$22:$BM$22))</f>
        <v>0</v>
      </c>
      <c r="R39" s="326" cm="1">
        <f t="array" aca="1" ref="R39" ca="1">SUMPRODUCT(R$55:R$114,TRANSPOSE(SAP_Speadsheet!$F$22:$BM$22))</f>
        <v>0</v>
      </c>
      <c r="S39" s="326" cm="1">
        <f t="array" aca="1" ref="S39" ca="1">SUMPRODUCT(S$55:S$114,TRANSPOSE(SAP_Speadsheet!$F$22:$BM$22))</f>
        <v>0</v>
      </c>
      <c r="T39" s="326" cm="1">
        <f t="array" aca="1" ref="T39" ca="1">SUMPRODUCT(T$55:T$114,TRANSPOSE(SAP_Speadsheet!$F$22:$BM$22))</f>
        <v>0</v>
      </c>
      <c r="U39" s="326" cm="1">
        <f t="array" aca="1" ref="U39" ca="1">SUMPRODUCT(U$55:U$114,TRANSPOSE(SAP_Speadsheet!$F$22:$BM$22))</f>
        <v>0</v>
      </c>
      <c r="V39" s="326" cm="1">
        <f t="array" aca="1" ref="V39" ca="1">SUMPRODUCT(V$55:V$114,TRANSPOSE(SAP_Speadsheet!$F$22:$BM$22))</f>
        <v>0</v>
      </c>
      <c r="W39" s="326" cm="1">
        <f t="array" aca="1" ref="W39" ca="1">SUMPRODUCT(W$55:W$114,TRANSPOSE(SAP_Speadsheet!$F$22:$BM$22))</f>
        <v>0</v>
      </c>
      <c r="X39" s="326" cm="1">
        <f t="array" aca="1" ref="X39" ca="1">SUMPRODUCT(X$55:X$114,TRANSPOSE(SAP_Speadsheet!$F$22:$BM$22))</f>
        <v>0</v>
      </c>
      <c r="Y39" s="326" cm="1">
        <f t="array" aca="1" ref="Y39" ca="1">SUMPRODUCT(Y$55:Y$114,TRANSPOSE(SAP_Speadsheet!$F$22:$BM$22))</f>
        <v>0</v>
      </c>
      <c r="Z39" s="326" cm="1">
        <f t="array" aca="1" ref="Z39" ca="1">SUMPRODUCT(Z$55:Z$114,TRANSPOSE(SAP_Speadsheet!$F$22:$BM$22))</f>
        <v>0</v>
      </c>
      <c r="AA39" s="326" cm="1">
        <f t="array" aca="1" ref="AA39" ca="1">SUMPRODUCT(AA$55:AA$114,TRANSPOSE(SAP_Speadsheet!$F$22:$BM$22))</f>
        <v>0</v>
      </c>
      <c r="AB39" s="326" cm="1">
        <f t="array" aca="1" ref="AB39" ca="1">SUMPRODUCT(AB$55:AB$114,TRANSPOSE(SAP_Speadsheet!$F$22:$BM$22))</f>
        <v>0</v>
      </c>
      <c r="AC39" s="326" cm="1">
        <f t="array" aca="1" ref="AC39" ca="1">SUMPRODUCT(AC$55:AC$114,TRANSPOSE(SAP_Speadsheet!$F$22:$BM$22))</f>
        <v>0</v>
      </c>
      <c r="AD39" s="326" cm="1">
        <f t="array" aca="1" ref="AD39" ca="1">SUMPRODUCT(AD$55:AD$114,TRANSPOSE(SAP_Speadsheet!$F$22:$BM$22))</f>
        <v>0</v>
      </c>
      <c r="AE39" s="326" cm="1">
        <f t="array" aca="1" ref="AE39" ca="1">SUMPRODUCT(AE$55:AE$114,TRANSPOSE(SAP_Speadsheet!$F$22:$BM$22))</f>
        <v>0</v>
      </c>
      <c r="AF39" s="326" cm="1">
        <f t="array" aca="1" ref="AF39" ca="1">SUMPRODUCT(AF$55:AF$114,TRANSPOSE(SAP_Speadsheet!$F$22:$BM$22))</f>
        <v>0</v>
      </c>
      <c r="AG39" s="326" cm="1">
        <f t="array" aca="1" ref="AG39" ca="1">SUMPRODUCT(AG$55:AG$114,TRANSPOSE(SAP_Speadsheet!$F$22:$BM$22))</f>
        <v>0</v>
      </c>
      <c r="AH39" s="326" cm="1">
        <f t="array" aca="1" ref="AH39" ca="1">SUMPRODUCT(AH$55:AH$114,TRANSPOSE(SAP_Speadsheet!$F$22:$BM$22))</f>
        <v>0</v>
      </c>
      <c r="AI39" s="326" cm="1">
        <f t="array" aca="1" ref="AI39" ca="1">SUMPRODUCT(AI$55:AI$114,TRANSPOSE(SAP_Speadsheet!$F$22:$BM$22))</f>
        <v>0</v>
      </c>
      <c r="AJ39" s="326" cm="1">
        <f t="array" aca="1" ref="AJ39" ca="1">SUMPRODUCT(AJ$55:AJ$114,TRANSPOSE(SAP_Speadsheet!$F$22:$BM$22))</f>
        <v>0</v>
      </c>
      <c r="AK39" s="326" cm="1">
        <f t="array" aca="1" ref="AK39" ca="1">SUMPRODUCT(AK$55:AK$114,TRANSPOSE(SAP_Speadsheet!$F$22:$BM$22))</f>
        <v>0</v>
      </c>
      <c r="AL39" s="326" cm="1">
        <f t="array" aca="1" ref="AL39" ca="1">SUMPRODUCT(AL$55:AL$114,TRANSPOSE(SAP_Speadsheet!$F$22:$BM$22))</f>
        <v>0</v>
      </c>
      <c r="AM39" s="326" cm="1">
        <f t="array" aca="1" ref="AM39" ca="1">SUMPRODUCT(AM$55:AM$114,TRANSPOSE(SAP_Speadsheet!$F$22:$BM$22))</f>
        <v>0</v>
      </c>
      <c r="AN39" s="326" cm="1">
        <f t="array" aca="1" ref="AN39" ca="1">SUMPRODUCT(AN$55:AN$114,TRANSPOSE(SAP_Speadsheet!$F$22:$BM$22))</f>
        <v>0</v>
      </c>
      <c r="AO39" s="326" cm="1">
        <f t="array" aca="1" ref="AO39" ca="1">SUMPRODUCT(AO$55:AO$114,TRANSPOSE(SAP_Speadsheet!$F$22:$BM$22))</f>
        <v>0</v>
      </c>
      <c r="AP39" s="326" cm="1">
        <f t="array" aca="1" ref="AP39" ca="1">SUMPRODUCT(AP$55:AP$114,TRANSPOSE(SAP_Speadsheet!$F$22:$BM$22))</f>
        <v>0</v>
      </c>
      <c r="AQ39" s="326" cm="1">
        <f t="array" aca="1" ref="AQ39" ca="1">SUMPRODUCT(AQ$55:AQ$114,TRANSPOSE(SAP_Speadsheet!$F$22:$BM$22))</f>
        <v>0</v>
      </c>
      <c r="AR39" s="326" cm="1">
        <f t="array" aca="1" ref="AR39" ca="1">SUMPRODUCT(AR$55:AR$114,TRANSPOSE(SAP_Speadsheet!$F$22:$BM$22))</f>
        <v>0</v>
      </c>
      <c r="AS39" s="326" cm="1">
        <f t="array" aca="1" ref="AS39" ca="1">SUMPRODUCT(AS$55:AS$114,TRANSPOSE(SAP_Speadsheet!$F$22:$BM$22))</f>
        <v>0</v>
      </c>
      <c r="AT39" s="326" cm="1">
        <f t="array" aca="1" ref="AT39" ca="1">SUMPRODUCT(AT$55:AT$114,TRANSPOSE(SAP_Speadsheet!$F$22:$BM$22))</f>
        <v>0</v>
      </c>
      <c r="AU39" s="326" cm="1">
        <f t="array" aca="1" ref="AU39" ca="1">SUMPRODUCT(AU$55:AU$114,TRANSPOSE(SAP_Speadsheet!$F$22:$BM$22))</f>
        <v>0</v>
      </c>
      <c r="AV39" s="326" cm="1">
        <f t="array" aca="1" ref="AV39" ca="1">SUMPRODUCT(AV$55:AV$114,TRANSPOSE(SAP_Speadsheet!$F$22:$BM$22))</f>
        <v>0</v>
      </c>
      <c r="AW39" s="326" cm="1">
        <f t="array" aca="1" ref="AW39" ca="1">SUMPRODUCT(AW$55:AW$114,TRANSPOSE(SAP_Speadsheet!$F$22:$BM$22))</f>
        <v>0</v>
      </c>
      <c r="AX39" s="326" cm="1">
        <f t="array" aca="1" ref="AX39" ca="1">SUMPRODUCT(AX$55:AX$114,TRANSPOSE(SAP_Speadsheet!$F$22:$BM$22))</f>
        <v>0</v>
      </c>
      <c r="AY39" s="326" cm="1">
        <f t="array" aca="1" ref="AY39" ca="1">SUMPRODUCT(AY$55:AY$114,TRANSPOSE(SAP_Speadsheet!$F$22:$BM$22))</f>
        <v>0</v>
      </c>
      <c r="AZ39" s="326" cm="1">
        <f t="array" aca="1" ref="AZ39" ca="1">SUMPRODUCT(AZ$55:AZ$114,TRANSPOSE(SAP_Speadsheet!$F$22:$BM$22))</f>
        <v>0</v>
      </c>
      <c r="BA39" s="326" cm="1">
        <f t="array" aca="1" ref="BA39" ca="1">SUMPRODUCT(BA$55:BA$114,TRANSPOSE(SAP_Speadsheet!$F$22:$BM$22))</f>
        <v>0</v>
      </c>
      <c r="BB39" s="326" cm="1">
        <f t="array" aca="1" ref="BB39" ca="1">SUMPRODUCT(BB$55:BB$114,TRANSPOSE(SAP_Speadsheet!$F$22:$BM$22))</f>
        <v>0</v>
      </c>
      <c r="BC39" s="326" cm="1">
        <f t="array" aca="1" ref="BC39" ca="1">SUMPRODUCT(BC$55:BC$114,TRANSPOSE(SAP_Speadsheet!$F$22:$BM$22))</f>
        <v>0</v>
      </c>
      <c r="BD39" s="326" cm="1">
        <f t="array" aca="1" ref="BD39" ca="1">SUMPRODUCT(BD$55:BD$114,TRANSPOSE(SAP_Speadsheet!$F$22:$BM$22))</f>
        <v>0</v>
      </c>
      <c r="BE39" s="326" cm="1">
        <f t="array" aca="1" ref="BE39" ca="1">SUMPRODUCT(BE$55:BE$114,TRANSPOSE(SAP_Speadsheet!$F$22:$BM$22))</f>
        <v>0</v>
      </c>
      <c r="BF39" s="326" cm="1">
        <f t="array" aca="1" ref="BF39" ca="1">SUMPRODUCT(BF$55:BF$114,TRANSPOSE(SAP_Speadsheet!$F$22:$BM$22))</f>
        <v>0</v>
      </c>
      <c r="BG39" s="326" cm="1">
        <f t="array" aca="1" ref="BG39" ca="1">SUMPRODUCT(BG$55:BG$114,TRANSPOSE(SAP_Speadsheet!$F$22:$BM$22))</f>
        <v>0</v>
      </c>
      <c r="BH39" s="326" cm="1">
        <f t="array" aca="1" ref="BH39" ca="1">SUMPRODUCT(BH$55:BH$114,TRANSPOSE(SAP_Speadsheet!$F$22:$BM$22))</f>
        <v>0</v>
      </c>
      <c r="BI39" s="326" cm="1">
        <f t="array" aca="1" ref="BI39" ca="1">SUMPRODUCT(BI$55:BI$114,TRANSPOSE(SAP_Speadsheet!$F$22:$BM$22))</f>
        <v>0</v>
      </c>
    </row>
    <row r="40" spans="1:61" x14ac:dyDescent="0.15">
      <c r="A40" s="315" t="s">
        <v>308</v>
      </c>
      <c r="B40" s="326" cm="1">
        <f t="array" aca="1" ref="B40" ca="1">SUMPRODUCT(B$55:B$114,TRANSPOSE(SAP_Speadsheet!$F$23:$BM$23))</f>
        <v>0</v>
      </c>
      <c r="C40" s="326" cm="1">
        <f t="array" aca="1" ref="C40" ca="1">SUMPRODUCT(C$55:C$114,TRANSPOSE(SAP_Speadsheet!$F$23:$BM$23))</f>
        <v>0</v>
      </c>
      <c r="D40" s="326" cm="1">
        <f t="array" aca="1" ref="D40" ca="1">SUMPRODUCT(D$55:D$114,TRANSPOSE(SAP_Speadsheet!$F$23:$BM$23))</f>
        <v>0</v>
      </c>
      <c r="E40" s="326" cm="1">
        <f t="array" aca="1" ref="E40" ca="1">SUMPRODUCT(E$55:E$114,TRANSPOSE(SAP_Speadsheet!$F$23:$BM$23))</f>
        <v>209.90812656954193</v>
      </c>
      <c r="F40" s="326" cm="1">
        <f t="array" aca="1" ref="F40" ca="1">SUMPRODUCT(F$55:F$114,TRANSPOSE(SAP_Speadsheet!$F$23:$BM$23))</f>
        <v>183.40446364110346</v>
      </c>
      <c r="G40" s="326" cm="1">
        <f t="array" aca="1" ref="G40" ca="1">SUMPRODUCT(G$55:G$114,TRANSPOSE(SAP_Speadsheet!$F$23:$BM$23))</f>
        <v>173.14469575639487</v>
      </c>
      <c r="H40" s="326" cm="1">
        <f t="array" aca="1" ref="H40" ca="1">SUMPRODUCT(H$55:H$114,TRANSPOSE(SAP_Speadsheet!$F$23:$BM$23))</f>
        <v>163.19818416494218</v>
      </c>
      <c r="I40" s="326" cm="1">
        <f t="array" aca="1" ref="I40" ca="1">SUMPRODUCT(I$55:I$114,TRANSPOSE(SAP_Speadsheet!$F$23:$BM$23))</f>
        <v>153.51515486059458</v>
      </c>
      <c r="J40" s="326" cm="1">
        <f t="array" aca="1" ref="J40" ca="1">SUMPRODUCT(J$55:J$114,TRANSPOSE(SAP_Speadsheet!$F$23:$BM$23))</f>
        <v>139.63878914152562</v>
      </c>
      <c r="K40" s="326" cm="1">
        <f t="array" aca="1" ref="K40" ca="1">SUMPRODUCT(K$55:K$114,TRANSPOSE(SAP_Speadsheet!$F$23:$BM$23))</f>
        <v>121.22103307335938</v>
      </c>
      <c r="L40" s="326" cm="1">
        <f t="array" aca="1" ref="L40" ca="1">SUMPRODUCT(L$55:L$114,TRANSPOSE(SAP_Speadsheet!$F$23:$BM$23))</f>
        <v>83.28810383264593</v>
      </c>
      <c r="M40" s="326" cm="1">
        <f t="array" aca="1" ref="M40" ca="1">SUMPRODUCT(M$55:M$114,TRANSPOSE(SAP_Speadsheet!$F$23:$BM$23))</f>
        <v>736.83382925108469</v>
      </c>
      <c r="N40" s="326" cm="1">
        <f t="array" aca="1" ref="N40" ca="1">SUMPRODUCT(N$55:N$114,TRANSPOSE(SAP_Speadsheet!$F$23:$BM$23))</f>
        <v>0</v>
      </c>
      <c r="O40" s="326" cm="1">
        <f t="array" aca="1" ref="O40" ca="1">SUMPRODUCT(O$55:O$114,TRANSPOSE(SAP_Speadsheet!$F$23:$BM$23))</f>
        <v>0</v>
      </c>
      <c r="P40" s="326" cm="1">
        <f t="array" aca="1" ref="P40" ca="1">SUMPRODUCT(P$55:P$114,TRANSPOSE(SAP_Speadsheet!$F$23:$BM$23))</f>
        <v>0</v>
      </c>
      <c r="Q40" s="326" cm="1">
        <f t="array" aca="1" ref="Q40" ca="1">SUMPRODUCT(Q$55:Q$114,TRANSPOSE(SAP_Speadsheet!$F$23:$BM$23))</f>
        <v>0</v>
      </c>
      <c r="R40" s="326" cm="1">
        <f t="array" aca="1" ref="R40" ca="1">SUMPRODUCT(R$55:R$114,TRANSPOSE(SAP_Speadsheet!$F$23:$BM$23))</f>
        <v>0</v>
      </c>
      <c r="S40" s="326" cm="1">
        <f t="array" aca="1" ref="S40" ca="1">SUMPRODUCT(S$55:S$114,TRANSPOSE(SAP_Speadsheet!$F$23:$BM$23))</f>
        <v>0</v>
      </c>
      <c r="T40" s="326" cm="1">
        <f t="array" aca="1" ref="T40" ca="1">SUMPRODUCT(T$55:T$114,TRANSPOSE(SAP_Speadsheet!$F$23:$BM$23))</f>
        <v>0</v>
      </c>
      <c r="U40" s="326" cm="1">
        <f t="array" aca="1" ref="U40" ca="1">SUMPRODUCT(U$55:U$114,TRANSPOSE(SAP_Speadsheet!$F$23:$BM$23))</f>
        <v>0</v>
      </c>
      <c r="V40" s="326" cm="1">
        <f t="array" aca="1" ref="V40" ca="1">SUMPRODUCT(V$55:V$114,TRANSPOSE(SAP_Speadsheet!$F$23:$BM$23))</f>
        <v>0</v>
      </c>
      <c r="W40" s="326" cm="1">
        <f t="array" aca="1" ref="W40" ca="1">SUMPRODUCT(W$55:W$114,TRANSPOSE(SAP_Speadsheet!$F$23:$BM$23))</f>
        <v>0</v>
      </c>
      <c r="X40" s="326" cm="1">
        <f t="array" aca="1" ref="X40" ca="1">SUMPRODUCT(X$55:X$114,TRANSPOSE(SAP_Speadsheet!$F$23:$BM$23))</f>
        <v>0</v>
      </c>
      <c r="Y40" s="326" cm="1">
        <f t="array" aca="1" ref="Y40" ca="1">SUMPRODUCT(Y$55:Y$114,TRANSPOSE(SAP_Speadsheet!$F$23:$BM$23))</f>
        <v>0</v>
      </c>
      <c r="Z40" s="326" cm="1">
        <f t="array" aca="1" ref="Z40" ca="1">SUMPRODUCT(Z$55:Z$114,TRANSPOSE(SAP_Speadsheet!$F$23:$BM$23))</f>
        <v>0</v>
      </c>
      <c r="AA40" s="326" cm="1">
        <f t="array" aca="1" ref="AA40" ca="1">SUMPRODUCT(AA$55:AA$114,TRANSPOSE(SAP_Speadsheet!$F$23:$BM$23))</f>
        <v>0</v>
      </c>
      <c r="AB40" s="326" cm="1">
        <f t="array" aca="1" ref="AB40" ca="1">SUMPRODUCT(AB$55:AB$114,TRANSPOSE(SAP_Speadsheet!$F$23:$BM$23))</f>
        <v>0</v>
      </c>
      <c r="AC40" s="326" cm="1">
        <f t="array" aca="1" ref="AC40" ca="1">SUMPRODUCT(AC$55:AC$114,TRANSPOSE(SAP_Speadsheet!$F$23:$BM$23))</f>
        <v>0</v>
      </c>
      <c r="AD40" s="326" cm="1">
        <f t="array" aca="1" ref="AD40" ca="1">SUMPRODUCT(AD$55:AD$114,TRANSPOSE(SAP_Speadsheet!$F$23:$BM$23))</f>
        <v>0</v>
      </c>
      <c r="AE40" s="326" cm="1">
        <f t="array" aca="1" ref="AE40" ca="1">SUMPRODUCT(AE$55:AE$114,TRANSPOSE(SAP_Speadsheet!$F$23:$BM$23))</f>
        <v>0</v>
      </c>
      <c r="AF40" s="326" cm="1">
        <f t="array" aca="1" ref="AF40" ca="1">SUMPRODUCT(AF$55:AF$114,TRANSPOSE(SAP_Speadsheet!$F$23:$BM$23))</f>
        <v>0</v>
      </c>
      <c r="AG40" s="326" cm="1">
        <f t="array" aca="1" ref="AG40" ca="1">SUMPRODUCT(AG$55:AG$114,TRANSPOSE(SAP_Speadsheet!$F$23:$BM$23))</f>
        <v>0</v>
      </c>
      <c r="AH40" s="326" cm="1">
        <f t="array" aca="1" ref="AH40" ca="1">SUMPRODUCT(AH$55:AH$114,TRANSPOSE(SAP_Speadsheet!$F$23:$BM$23))</f>
        <v>0</v>
      </c>
      <c r="AI40" s="326" cm="1">
        <f t="array" aca="1" ref="AI40" ca="1">SUMPRODUCT(AI$55:AI$114,TRANSPOSE(SAP_Speadsheet!$F$23:$BM$23))</f>
        <v>0</v>
      </c>
      <c r="AJ40" s="326" cm="1">
        <f t="array" aca="1" ref="AJ40" ca="1">SUMPRODUCT(AJ$55:AJ$114,TRANSPOSE(SAP_Speadsheet!$F$23:$BM$23))</f>
        <v>0</v>
      </c>
      <c r="AK40" s="326" cm="1">
        <f t="array" aca="1" ref="AK40" ca="1">SUMPRODUCT(AK$55:AK$114,TRANSPOSE(SAP_Speadsheet!$F$23:$BM$23))</f>
        <v>0</v>
      </c>
      <c r="AL40" s="326" cm="1">
        <f t="array" aca="1" ref="AL40" ca="1">SUMPRODUCT(AL$55:AL$114,TRANSPOSE(SAP_Speadsheet!$F$23:$BM$23))</f>
        <v>0</v>
      </c>
      <c r="AM40" s="326" cm="1">
        <f t="array" aca="1" ref="AM40" ca="1">SUMPRODUCT(AM$55:AM$114,TRANSPOSE(SAP_Speadsheet!$F$23:$BM$23))</f>
        <v>0</v>
      </c>
      <c r="AN40" s="326" cm="1">
        <f t="array" aca="1" ref="AN40" ca="1">SUMPRODUCT(AN$55:AN$114,TRANSPOSE(SAP_Speadsheet!$F$23:$BM$23))</f>
        <v>0</v>
      </c>
      <c r="AO40" s="326" cm="1">
        <f t="array" aca="1" ref="AO40" ca="1">SUMPRODUCT(AO$55:AO$114,TRANSPOSE(SAP_Speadsheet!$F$23:$BM$23))</f>
        <v>0</v>
      </c>
      <c r="AP40" s="326" cm="1">
        <f t="array" aca="1" ref="AP40" ca="1">SUMPRODUCT(AP$55:AP$114,TRANSPOSE(SAP_Speadsheet!$F$23:$BM$23))</f>
        <v>0</v>
      </c>
      <c r="AQ40" s="326" cm="1">
        <f t="array" aca="1" ref="AQ40" ca="1">SUMPRODUCT(AQ$55:AQ$114,TRANSPOSE(SAP_Speadsheet!$F$23:$BM$23))</f>
        <v>0</v>
      </c>
      <c r="AR40" s="326" cm="1">
        <f t="array" aca="1" ref="AR40" ca="1">SUMPRODUCT(AR$55:AR$114,TRANSPOSE(SAP_Speadsheet!$F$23:$BM$23))</f>
        <v>0</v>
      </c>
      <c r="AS40" s="326" cm="1">
        <f t="array" aca="1" ref="AS40" ca="1">SUMPRODUCT(AS$55:AS$114,TRANSPOSE(SAP_Speadsheet!$F$23:$BM$23))</f>
        <v>0</v>
      </c>
      <c r="AT40" s="326" cm="1">
        <f t="array" aca="1" ref="AT40" ca="1">SUMPRODUCT(AT$55:AT$114,TRANSPOSE(SAP_Speadsheet!$F$23:$BM$23))</f>
        <v>0</v>
      </c>
      <c r="AU40" s="326" cm="1">
        <f t="array" aca="1" ref="AU40" ca="1">SUMPRODUCT(AU$55:AU$114,TRANSPOSE(SAP_Speadsheet!$F$23:$BM$23))</f>
        <v>0</v>
      </c>
      <c r="AV40" s="326" cm="1">
        <f t="array" aca="1" ref="AV40" ca="1">SUMPRODUCT(AV$55:AV$114,TRANSPOSE(SAP_Speadsheet!$F$23:$BM$23))</f>
        <v>0</v>
      </c>
      <c r="AW40" s="326" cm="1">
        <f t="array" aca="1" ref="AW40" ca="1">SUMPRODUCT(AW$55:AW$114,TRANSPOSE(SAP_Speadsheet!$F$23:$BM$23))</f>
        <v>0</v>
      </c>
      <c r="AX40" s="326" cm="1">
        <f t="array" aca="1" ref="AX40" ca="1">SUMPRODUCT(AX$55:AX$114,TRANSPOSE(SAP_Speadsheet!$F$23:$BM$23))</f>
        <v>0</v>
      </c>
      <c r="AY40" s="326" cm="1">
        <f t="array" aca="1" ref="AY40" ca="1">SUMPRODUCT(AY$55:AY$114,TRANSPOSE(SAP_Speadsheet!$F$23:$BM$23))</f>
        <v>0</v>
      </c>
      <c r="AZ40" s="326" cm="1">
        <f t="array" aca="1" ref="AZ40" ca="1">SUMPRODUCT(AZ$55:AZ$114,TRANSPOSE(SAP_Speadsheet!$F$23:$BM$23))</f>
        <v>0</v>
      </c>
      <c r="BA40" s="326" cm="1">
        <f t="array" aca="1" ref="BA40" ca="1">SUMPRODUCT(BA$55:BA$114,TRANSPOSE(SAP_Speadsheet!$F$23:$BM$23))</f>
        <v>0</v>
      </c>
      <c r="BB40" s="326" cm="1">
        <f t="array" aca="1" ref="BB40" ca="1">SUMPRODUCT(BB$55:BB$114,TRANSPOSE(SAP_Speadsheet!$F$23:$BM$23))</f>
        <v>0</v>
      </c>
      <c r="BC40" s="326" cm="1">
        <f t="array" aca="1" ref="BC40" ca="1">SUMPRODUCT(BC$55:BC$114,TRANSPOSE(SAP_Speadsheet!$F$23:$BM$23))</f>
        <v>0</v>
      </c>
      <c r="BD40" s="326" cm="1">
        <f t="array" aca="1" ref="BD40" ca="1">SUMPRODUCT(BD$55:BD$114,TRANSPOSE(SAP_Speadsheet!$F$23:$BM$23))</f>
        <v>0</v>
      </c>
      <c r="BE40" s="326" cm="1">
        <f t="array" aca="1" ref="BE40" ca="1">SUMPRODUCT(BE$55:BE$114,TRANSPOSE(SAP_Speadsheet!$F$23:$BM$23))</f>
        <v>0</v>
      </c>
      <c r="BF40" s="326" cm="1">
        <f t="array" aca="1" ref="BF40" ca="1">SUMPRODUCT(BF$55:BF$114,TRANSPOSE(SAP_Speadsheet!$F$23:$BM$23))</f>
        <v>0</v>
      </c>
      <c r="BG40" s="326" cm="1">
        <f t="array" aca="1" ref="BG40" ca="1">SUMPRODUCT(BG$55:BG$114,TRANSPOSE(SAP_Speadsheet!$F$23:$BM$23))</f>
        <v>0</v>
      </c>
      <c r="BH40" s="326" cm="1">
        <f t="array" aca="1" ref="BH40" ca="1">SUMPRODUCT(BH$55:BH$114,TRANSPOSE(SAP_Speadsheet!$F$23:$BM$23))</f>
        <v>0</v>
      </c>
      <c r="BI40" s="326" cm="1">
        <f t="array" aca="1" ref="BI40" ca="1">SUMPRODUCT(BI$55:BI$114,TRANSPOSE(SAP_Speadsheet!$F$23:$BM$23))</f>
        <v>0</v>
      </c>
    </row>
    <row r="41" spans="1:61" x14ac:dyDescent="0.15">
      <c r="A41" s="315" t="s">
        <v>309</v>
      </c>
      <c r="B41" s="326" cm="1">
        <f t="array" aca="1" ref="B41" ca="1">SUMPRODUCT(B$55:B$114,TRANSPOSE(SAP_Speadsheet!$F$24:$BM$24))</f>
        <v>0</v>
      </c>
      <c r="C41" s="326" cm="1">
        <f t="array" aca="1" ref="C41" ca="1">SUMPRODUCT(C$55:C$114,TRANSPOSE(SAP_Speadsheet!$F$24:$BM$24))</f>
        <v>0</v>
      </c>
      <c r="D41" s="326" cm="1">
        <f t="array" aca="1" ref="D41" ca="1">SUMPRODUCT(D$55:D$114,TRANSPOSE(SAP_Speadsheet!$F$24:$BM$24))</f>
        <v>0</v>
      </c>
      <c r="E41" s="326" cm="1">
        <f t="array" aca="1" ref="E41" ca="1">SUMPRODUCT(E$55:E$114,TRANSPOSE(SAP_Speadsheet!$F$24:$BM$24))</f>
        <v>0</v>
      </c>
      <c r="F41" s="326" cm="1">
        <f t="array" aca="1" ref="F41" ca="1">SUMPRODUCT(F$55:F$114,TRANSPOSE(SAP_Speadsheet!$F$24:$BM$24))</f>
        <v>207.80904530384652</v>
      </c>
      <c r="G41" s="326" cm="1">
        <f t="array" aca="1" ref="G41" ca="1">SUMPRODUCT(G$55:G$114,TRANSPOSE(SAP_Speadsheet!$F$24:$BM$24))</f>
        <v>181.57041900469244</v>
      </c>
      <c r="H41" s="326" cm="1">
        <f t="array" aca="1" ref="H41" ca="1">SUMPRODUCT(H$55:H$114,TRANSPOSE(SAP_Speadsheet!$F$24:$BM$24))</f>
        <v>171.41324879883092</v>
      </c>
      <c r="I41" s="326" cm="1">
        <f t="array" aca="1" ref="I41" ca="1">SUMPRODUCT(I$55:I$114,TRANSPOSE(SAP_Speadsheet!$F$24:$BM$24))</f>
        <v>161.56620232329274</v>
      </c>
      <c r="J41" s="326" cm="1">
        <f t="array" aca="1" ref="J41" ca="1">SUMPRODUCT(J$55:J$114,TRANSPOSE(SAP_Speadsheet!$F$24:$BM$24))</f>
        <v>151.98000331198864</v>
      </c>
      <c r="K41" s="326" cm="1">
        <f t="array" aca="1" ref="K41" ca="1">SUMPRODUCT(K$55:K$114,TRANSPOSE(SAP_Speadsheet!$F$24:$BM$24))</f>
        <v>138.24240125011036</v>
      </c>
      <c r="L41" s="326" cm="1">
        <f t="array" aca="1" ref="L41" ca="1">SUMPRODUCT(L$55:L$114,TRANSPOSE(SAP_Speadsheet!$F$24:$BM$24))</f>
        <v>120.00882274262578</v>
      </c>
      <c r="M41" s="326" cm="1">
        <f t="array" aca="1" ref="M41" ca="1">SUMPRODUCT(M$55:M$114,TRANSPOSE(SAP_Speadsheet!$F$24:$BM$24))</f>
        <v>82.455222794319468</v>
      </c>
      <c r="N41" s="326" cm="1">
        <f t="array" aca="1" ref="N41" ca="1">SUMPRODUCT(N$55:N$114,TRANSPOSE(SAP_Speadsheet!$F$24:$BM$24))</f>
        <v>729.46549095857381</v>
      </c>
      <c r="O41" s="326" cm="1">
        <f t="array" aca="1" ref="O41" ca="1">SUMPRODUCT(O$55:O$114,TRANSPOSE(SAP_Speadsheet!$F$24:$BM$24))</f>
        <v>0</v>
      </c>
      <c r="P41" s="326" cm="1">
        <f t="array" aca="1" ref="P41" ca="1">SUMPRODUCT(P$55:P$114,TRANSPOSE(SAP_Speadsheet!$F$24:$BM$24))</f>
        <v>0</v>
      </c>
      <c r="Q41" s="326" cm="1">
        <f t="array" aca="1" ref="Q41" ca="1">SUMPRODUCT(Q$55:Q$114,TRANSPOSE(SAP_Speadsheet!$F$24:$BM$24))</f>
        <v>0</v>
      </c>
      <c r="R41" s="326" cm="1">
        <f t="array" aca="1" ref="R41" ca="1">SUMPRODUCT(R$55:R$114,TRANSPOSE(SAP_Speadsheet!$F$24:$BM$24))</f>
        <v>0</v>
      </c>
      <c r="S41" s="326" cm="1">
        <f t="array" aca="1" ref="S41" ca="1">SUMPRODUCT(S$55:S$114,TRANSPOSE(SAP_Speadsheet!$F$24:$BM$24))</f>
        <v>0</v>
      </c>
      <c r="T41" s="326" cm="1">
        <f t="array" aca="1" ref="T41" ca="1">SUMPRODUCT(T$55:T$114,TRANSPOSE(SAP_Speadsheet!$F$24:$BM$24))</f>
        <v>0</v>
      </c>
      <c r="U41" s="326" cm="1">
        <f t="array" aca="1" ref="U41" ca="1">SUMPRODUCT(U$55:U$114,TRANSPOSE(SAP_Speadsheet!$F$24:$BM$24))</f>
        <v>0</v>
      </c>
      <c r="V41" s="326" cm="1">
        <f t="array" aca="1" ref="V41" ca="1">SUMPRODUCT(V$55:V$114,TRANSPOSE(SAP_Speadsheet!$F$24:$BM$24))</f>
        <v>0</v>
      </c>
      <c r="W41" s="326" cm="1">
        <f t="array" aca="1" ref="W41" ca="1">SUMPRODUCT(W$55:W$114,TRANSPOSE(SAP_Speadsheet!$F$24:$BM$24))</f>
        <v>0</v>
      </c>
      <c r="X41" s="326" cm="1">
        <f t="array" aca="1" ref="X41" ca="1">SUMPRODUCT(X$55:X$114,TRANSPOSE(SAP_Speadsheet!$F$24:$BM$24))</f>
        <v>0</v>
      </c>
      <c r="Y41" s="326" cm="1">
        <f t="array" aca="1" ref="Y41" ca="1">SUMPRODUCT(Y$55:Y$114,TRANSPOSE(SAP_Speadsheet!$F$24:$BM$24))</f>
        <v>0</v>
      </c>
      <c r="Z41" s="326" cm="1">
        <f t="array" aca="1" ref="Z41" ca="1">SUMPRODUCT(Z$55:Z$114,TRANSPOSE(SAP_Speadsheet!$F$24:$BM$24))</f>
        <v>0</v>
      </c>
      <c r="AA41" s="326" cm="1">
        <f t="array" aca="1" ref="AA41" ca="1">SUMPRODUCT(AA$55:AA$114,TRANSPOSE(SAP_Speadsheet!$F$24:$BM$24))</f>
        <v>0</v>
      </c>
      <c r="AB41" s="326" cm="1">
        <f t="array" aca="1" ref="AB41" ca="1">SUMPRODUCT(AB$55:AB$114,TRANSPOSE(SAP_Speadsheet!$F$24:$BM$24))</f>
        <v>0</v>
      </c>
      <c r="AC41" s="326" cm="1">
        <f t="array" aca="1" ref="AC41" ca="1">SUMPRODUCT(AC$55:AC$114,TRANSPOSE(SAP_Speadsheet!$F$24:$BM$24))</f>
        <v>0</v>
      </c>
      <c r="AD41" s="326" cm="1">
        <f t="array" aca="1" ref="AD41" ca="1">SUMPRODUCT(AD$55:AD$114,TRANSPOSE(SAP_Speadsheet!$F$24:$BM$24))</f>
        <v>0</v>
      </c>
      <c r="AE41" s="326" cm="1">
        <f t="array" aca="1" ref="AE41" ca="1">SUMPRODUCT(AE$55:AE$114,TRANSPOSE(SAP_Speadsheet!$F$24:$BM$24))</f>
        <v>0</v>
      </c>
      <c r="AF41" s="326" cm="1">
        <f t="array" aca="1" ref="AF41" ca="1">SUMPRODUCT(AF$55:AF$114,TRANSPOSE(SAP_Speadsheet!$F$24:$BM$24))</f>
        <v>0</v>
      </c>
      <c r="AG41" s="326" cm="1">
        <f t="array" aca="1" ref="AG41" ca="1">SUMPRODUCT(AG$55:AG$114,TRANSPOSE(SAP_Speadsheet!$F$24:$BM$24))</f>
        <v>0</v>
      </c>
      <c r="AH41" s="326" cm="1">
        <f t="array" aca="1" ref="AH41" ca="1">SUMPRODUCT(AH$55:AH$114,TRANSPOSE(SAP_Speadsheet!$F$24:$BM$24))</f>
        <v>0</v>
      </c>
      <c r="AI41" s="326" cm="1">
        <f t="array" aca="1" ref="AI41" ca="1">SUMPRODUCT(AI$55:AI$114,TRANSPOSE(SAP_Speadsheet!$F$24:$BM$24))</f>
        <v>0</v>
      </c>
      <c r="AJ41" s="326" cm="1">
        <f t="array" aca="1" ref="AJ41" ca="1">SUMPRODUCT(AJ$55:AJ$114,TRANSPOSE(SAP_Speadsheet!$F$24:$BM$24))</f>
        <v>0</v>
      </c>
      <c r="AK41" s="326" cm="1">
        <f t="array" aca="1" ref="AK41" ca="1">SUMPRODUCT(AK$55:AK$114,TRANSPOSE(SAP_Speadsheet!$F$24:$BM$24))</f>
        <v>0</v>
      </c>
      <c r="AL41" s="326" cm="1">
        <f t="array" aca="1" ref="AL41" ca="1">SUMPRODUCT(AL$55:AL$114,TRANSPOSE(SAP_Speadsheet!$F$24:$BM$24))</f>
        <v>0</v>
      </c>
      <c r="AM41" s="326" cm="1">
        <f t="array" aca="1" ref="AM41" ca="1">SUMPRODUCT(AM$55:AM$114,TRANSPOSE(SAP_Speadsheet!$F$24:$BM$24))</f>
        <v>0</v>
      </c>
      <c r="AN41" s="326" cm="1">
        <f t="array" aca="1" ref="AN41" ca="1">SUMPRODUCT(AN$55:AN$114,TRANSPOSE(SAP_Speadsheet!$F$24:$BM$24))</f>
        <v>0</v>
      </c>
      <c r="AO41" s="326" cm="1">
        <f t="array" aca="1" ref="AO41" ca="1">SUMPRODUCT(AO$55:AO$114,TRANSPOSE(SAP_Speadsheet!$F$24:$BM$24))</f>
        <v>0</v>
      </c>
      <c r="AP41" s="326" cm="1">
        <f t="array" aca="1" ref="AP41" ca="1">SUMPRODUCT(AP$55:AP$114,TRANSPOSE(SAP_Speadsheet!$F$24:$BM$24))</f>
        <v>0</v>
      </c>
      <c r="AQ41" s="326" cm="1">
        <f t="array" aca="1" ref="AQ41" ca="1">SUMPRODUCT(AQ$55:AQ$114,TRANSPOSE(SAP_Speadsheet!$F$24:$BM$24))</f>
        <v>0</v>
      </c>
      <c r="AR41" s="326" cm="1">
        <f t="array" aca="1" ref="AR41" ca="1">SUMPRODUCT(AR$55:AR$114,TRANSPOSE(SAP_Speadsheet!$F$24:$BM$24))</f>
        <v>0</v>
      </c>
      <c r="AS41" s="326" cm="1">
        <f t="array" aca="1" ref="AS41" ca="1">SUMPRODUCT(AS$55:AS$114,TRANSPOSE(SAP_Speadsheet!$F$24:$BM$24))</f>
        <v>0</v>
      </c>
      <c r="AT41" s="326" cm="1">
        <f t="array" aca="1" ref="AT41" ca="1">SUMPRODUCT(AT$55:AT$114,TRANSPOSE(SAP_Speadsheet!$F$24:$BM$24))</f>
        <v>0</v>
      </c>
      <c r="AU41" s="326" cm="1">
        <f t="array" aca="1" ref="AU41" ca="1">SUMPRODUCT(AU$55:AU$114,TRANSPOSE(SAP_Speadsheet!$F$24:$BM$24))</f>
        <v>0</v>
      </c>
      <c r="AV41" s="326" cm="1">
        <f t="array" aca="1" ref="AV41" ca="1">SUMPRODUCT(AV$55:AV$114,TRANSPOSE(SAP_Speadsheet!$F$24:$BM$24))</f>
        <v>0</v>
      </c>
      <c r="AW41" s="326" cm="1">
        <f t="array" aca="1" ref="AW41" ca="1">SUMPRODUCT(AW$55:AW$114,TRANSPOSE(SAP_Speadsheet!$F$24:$BM$24))</f>
        <v>0</v>
      </c>
      <c r="AX41" s="326" cm="1">
        <f t="array" aca="1" ref="AX41" ca="1">SUMPRODUCT(AX$55:AX$114,TRANSPOSE(SAP_Speadsheet!$F$24:$BM$24))</f>
        <v>0</v>
      </c>
      <c r="AY41" s="326" cm="1">
        <f t="array" aca="1" ref="AY41" ca="1">SUMPRODUCT(AY$55:AY$114,TRANSPOSE(SAP_Speadsheet!$F$24:$BM$24))</f>
        <v>0</v>
      </c>
      <c r="AZ41" s="326" cm="1">
        <f t="array" aca="1" ref="AZ41" ca="1">SUMPRODUCT(AZ$55:AZ$114,TRANSPOSE(SAP_Speadsheet!$F$24:$BM$24))</f>
        <v>0</v>
      </c>
      <c r="BA41" s="326" cm="1">
        <f t="array" aca="1" ref="BA41" ca="1">SUMPRODUCT(BA$55:BA$114,TRANSPOSE(SAP_Speadsheet!$F$24:$BM$24))</f>
        <v>0</v>
      </c>
      <c r="BB41" s="326" cm="1">
        <f t="array" aca="1" ref="BB41" ca="1">SUMPRODUCT(BB$55:BB$114,TRANSPOSE(SAP_Speadsheet!$F$24:$BM$24))</f>
        <v>0</v>
      </c>
      <c r="BC41" s="326" cm="1">
        <f t="array" aca="1" ref="BC41" ca="1">SUMPRODUCT(BC$55:BC$114,TRANSPOSE(SAP_Speadsheet!$F$24:$BM$24))</f>
        <v>0</v>
      </c>
      <c r="BD41" s="326" cm="1">
        <f t="array" aca="1" ref="BD41" ca="1">SUMPRODUCT(BD$55:BD$114,TRANSPOSE(SAP_Speadsheet!$F$24:$BM$24))</f>
        <v>0</v>
      </c>
      <c r="BE41" s="326" cm="1">
        <f t="array" aca="1" ref="BE41" ca="1">SUMPRODUCT(BE$55:BE$114,TRANSPOSE(SAP_Speadsheet!$F$24:$BM$24))</f>
        <v>0</v>
      </c>
      <c r="BF41" s="326" cm="1">
        <f t="array" aca="1" ref="BF41" ca="1">SUMPRODUCT(BF$55:BF$114,TRANSPOSE(SAP_Speadsheet!$F$24:$BM$24))</f>
        <v>0</v>
      </c>
      <c r="BG41" s="326" cm="1">
        <f t="array" aca="1" ref="BG41" ca="1">SUMPRODUCT(BG$55:BG$114,TRANSPOSE(SAP_Speadsheet!$F$24:$BM$24))</f>
        <v>0</v>
      </c>
      <c r="BH41" s="326" cm="1">
        <f t="array" aca="1" ref="BH41" ca="1">SUMPRODUCT(BH$55:BH$114,TRANSPOSE(SAP_Speadsheet!$F$24:$BM$24))</f>
        <v>0</v>
      </c>
      <c r="BI41" s="326" cm="1">
        <f t="array" aca="1" ref="BI41" ca="1">SUMPRODUCT(BI$55:BI$114,TRANSPOSE(SAP_Speadsheet!$F$24:$BM$24))</f>
        <v>0</v>
      </c>
    </row>
    <row r="42" spans="1:61" x14ac:dyDescent="0.15">
      <c r="A42" s="315" t="s">
        <v>310</v>
      </c>
      <c r="B42" s="326" cm="1">
        <f t="array" aca="1" ref="B42" ca="1">SUMPRODUCT(B$55:B$114,TRANSPOSE(SAP_Speadsheet!$F$25:$BM$25))</f>
        <v>0</v>
      </c>
      <c r="C42" s="326" cm="1">
        <f t="array" aca="1" ref="C42" ca="1">SUMPRODUCT(C$55:C$114,TRANSPOSE(SAP_Speadsheet!$F$25:$BM$25))</f>
        <v>0</v>
      </c>
      <c r="D42" s="326" cm="1">
        <f t="array" aca="1" ref="D42" ca="1">SUMPRODUCT(D$55:D$114,TRANSPOSE(SAP_Speadsheet!$F$25:$BM$25))</f>
        <v>0</v>
      </c>
      <c r="E42" s="326" cm="1">
        <f t="array" aca="1" ref="E42" ca="1">SUMPRODUCT(E$55:E$114,TRANSPOSE(SAP_Speadsheet!$F$25:$BM$25))</f>
        <v>0</v>
      </c>
      <c r="F42" s="326" cm="1">
        <f t="array" aca="1" ref="F42" ca="1">SUMPRODUCT(F$55:F$114,TRANSPOSE(SAP_Speadsheet!$F$25:$BM$25))</f>
        <v>0</v>
      </c>
      <c r="G42" s="326" cm="1">
        <f t="array" aca="1" ref="G42" ca="1">SUMPRODUCT(G$55:G$114,TRANSPOSE(SAP_Speadsheet!$F$25:$BM$25))</f>
        <v>206.77000007732727</v>
      </c>
      <c r="H42" s="326" cm="1">
        <f t="array" aca="1" ref="H42" ca="1">SUMPRODUCT(H$55:H$114,TRANSPOSE(SAP_Speadsheet!$F$25:$BM$25))</f>
        <v>180.66256690966898</v>
      </c>
      <c r="I42" s="326" cm="1">
        <f t="array" aca="1" ref="I42" ca="1">SUMPRODUCT(I$55:I$114,TRANSPOSE(SAP_Speadsheet!$F$25:$BM$25))</f>
        <v>170.55618255483674</v>
      </c>
      <c r="J42" s="326" cm="1">
        <f t="array" aca="1" ref="J42" ca="1">SUMPRODUCT(J$55:J$114,TRANSPOSE(SAP_Speadsheet!$F$25:$BM$25))</f>
        <v>160.75837131167629</v>
      </c>
      <c r="K42" s="326" cm="1">
        <f t="array" aca="1" ref="K42" ca="1">SUMPRODUCT(K$55:K$114,TRANSPOSE(SAP_Speadsheet!$F$25:$BM$25))</f>
        <v>151.22010329542871</v>
      </c>
      <c r="L42" s="326" cm="1">
        <f t="array" aca="1" ref="L42" ca="1">SUMPRODUCT(L$55:L$114,TRANSPOSE(SAP_Speadsheet!$F$25:$BM$25))</f>
        <v>137.55118924385982</v>
      </c>
      <c r="M42" s="326" cm="1">
        <f t="array" aca="1" ref="M42" ca="1">SUMPRODUCT(M$55:M$114,TRANSPOSE(SAP_Speadsheet!$F$25:$BM$25))</f>
        <v>119.40877862891266</v>
      </c>
      <c r="N42" s="326" cm="1">
        <f t="array" aca="1" ref="N42" ca="1">SUMPRODUCT(N$55:N$114,TRANSPOSE(SAP_Speadsheet!$F$25:$BM$25))</f>
        <v>82.042946680347868</v>
      </c>
      <c r="O42" s="326" cm="1">
        <f t="array" aca="1" ref="O42" ca="1">SUMPRODUCT(O$55:O$114,TRANSPOSE(SAP_Speadsheet!$F$25:$BM$25))</f>
        <v>725.81816350378097</v>
      </c>
      <c r="P42" s="326" cm="1">
        <f t="array" aca="1" ref="P42" ca="1">SUMPRODUCT(P$55:P$114,TRANSPOSE(SAP_Speadsheet!$F$25:$BM$25))</f>
        <v>0</v>
      </c>
      <c r="Q42" s="326" cm="1">
        <f t="array" aca="1" ref="Q42" ca="1">SUMPRODUCT(Q$55:Q$114,TRANSPOSE(SAP_Speadsheet!$F$25:$BM$25))</f>
        <v>0</v>
      </c>
      <c r="R42" s="326" cm="1">
        <f t="array" aca="1" ref="R42" ca="1">SUMPRODUCT(R$55:R$114,TRANSPOSE(SAP_Speadsheet!$F$25:$BM$25))</f>
        <v>0</v>
      </c>
      <c r="S42" s="326" cm="1">
        <f t="array" aca="1" ref="S42" ca="1">SUMPRODUCT(S$55:S$114,TRANSPOSE(SAP_Speadsheet!$F$25:$BM$25))</f>
        <v>0</v>
      </c>
      <c r="T42" s="326" cm="1">
        <f t="array" aca="1" ref="T42" ca="1">SUMPRODUCT(T$55:T$114,TRANSPOSE(SAP_Speadsheet!$F$25:$BM$25))</f>
        <v>0</v>
      </c>
      <c r="U42" s="326" cm="1">
        <f t="array" aca="1" ref="U42" ca="1">SUMPRODUCT(U$55:U$114,TRANSPOSE(SAP_Speadsheet!$F$25:$BM$25))</f>
        <v>0</v>
      </c>
      <c r="V42" s="326" cm="1">
        <f t="array" aca="1" ref="V42" ca="1">SUMPRODUCT(V$55:V$114,TRANSPOSE(SAP_Speadsheet!$F$25:$BM$25))</f>
        <v>0</v>
      </c>
      <c r="W42" s="326" cm="1">
        <f t="array" aca="1" ref="W42" ca="1">SUMPRODUCT(W$55:W$114,TRANSPOSE(SAP_Speadsheet!$F$25:$BM$25))</f>
        <v>0</v>
      </c>
      <c r="X42" s="326" cm="1">
        <f t="array" aca="1" ref="X42" ca="1">SUMPRODUCT(X$55:X$114,TRANSPOSE(SAP_Speadsheet!$F$25:$BM$25))</f>
        <v>0</v>
      </c>
      <c r="Y42" s="326" cm="1">
        <f t="array" aca="1" ref="Y42" ca="1">SUMPRODUCT(Y$55:Y$114,TRANSPOSE(SAP_Speadsheet!$F$25:$BM$25))</f>
        <v>0</v>
      </c>
      <c r="Z42" s="326" cm="1">
        <f t="array" aca="1" ref="Z42" ca="1">SUMPRODUCT(Z$55:Z$114,TRANSPOSE(SAP_Speadsheet!$F$25:$BM$25))</f>
        <v>0</v>
      </c>
      <c r="AA42" s="326" cm="1">
        <f t="array" aca="1" ref="AA42" ca="1">SUMPRODUCT(AA$55:AA$114,TRANSPOSE(SAP_Speadsheet!$F$25:$BM$25))</f>
        <v>0</v>
      </c>
      <c r="AB42" s="326" cm="1">
        <f t="array" aca="1" ref="AB42" ca="1">SUMPRODUCT(AB$55:AB$114,TRANSPOSE(SAP_Speadsheet!$F$25:$BM$25))</f>
        <v>0</v>
      </c>
      <c r="AC42" s="326" cm="1">
        <f t="array" aca="1" ref="AC42" ca="1">SUMPRODUCT(AC$55:AC$114,TRANSPOSE(SAP_Speadsheet!$F$25:$BM$25))</f>
        <v>0</v>
      </c>
      <c r="AD42" s="326" cm="1">
        <f t="array" aca="1" ref="AD42" ca="1">SUMPRODUCT(AD$55:AD$114,TRANSPOSE(SAP_Speadsheet!$F$25:$BM$25))</f>
        <v>0</v>
      </c>
      <c r="AE42" s="326" cm="1">
        <f t="array" aca="1" ref="AE42" ca="1">SUMPRODUCT(AE$55:AE$114,TRANSPOSE(SAP_Speadsheet!$F$25:$BM$25))</f>
        <v>0</v>
      </c>
      <c r="AF42" s="326" cm="1">
        <f t="array" aca="1" ref="AF42" ca="1">SUMPRODUCT(AF$55:AF$114,TRANSPOSE(SAP_Speadsheet!$F$25:$BM$25))</f>
        <v>0</v>
      </c>
      <c r="AG42" s="326" cm="1">
        <f t="array" aca="1" ref="AG42" ca="1">SUMPRODUCT(AG$55:AG$114,TRANSPOSE(SAP_Speadsheet!$F$25:$BM$25))</f>
        <v>0</v>
      </c>
      <c r="AH42" s="326" cm="1">
        <f t="array" aca="1" ref="AH42" ca="1">SUMPRODUCT(AH$55:AH$114,TRANSPOSE(SAP_Speadsheet!$F$25:$BM$25))</f>
        <v>0</v>
      </c>
      <c r="AI42" s="326" cm="1">
        <f t="array" aca="1" ref="AI42" ca="1">SUMPRODUCT(AI$55:AI$114,TRANSPOSE(SAP_Speadsheet!$F$25:$BM$25))</f>
        <v>0</v>
      </c>
      <c r="AJ42" s="326" cm="1">
        <f t="array" aca="1" ref="AJ42" ca="1">SUMPRODUCT(AJ$55:AJ$114,TRANSPOSE(SAP_Speadsheet!$F$25:$BM$25))</f>
        <v>0</v>
      </c>
      <c r="AK42" s="326" cm="1">
        <f t="array" aca="1" ref="AK42" ca="1">SUMPRODUCT(AK$55:AK$114,TRANSPOSE(SAP_Speadsheet!$F$25:$BM$25))</f>
        <v>0</v>
      </c>
      <c r="AL42" s="326" cm="1">
        <f t="array" aca="1" ref="AL42" ca="1">SUMPRODUCT(AL$55:AL$114,TRANSPOSE(SAP_Speadsheet!$F$25:$BM$25))</f>
        <v>0</v>
      </c>
      <c r="AM42" s="326" cm="1">
        <f t="array" aca="1" ref="AM42" ca="1">SUMPRODUCT(AM$55:AM$114,TRANSPOSE(SAP_Speadsheet!$F$25:$BM$25))</f>
        <v>0</v>
      </c>
      <c r="AN42" s="326" cm="1">
        <f t="array" aca="1" ref="AN42" ca="1">SUMPRODUCT(AN$55:AN$114,TRANSPOSE(SAP_Speadsheet!$F$25:$BM$25))</f>
        <v>0</v>
      </c>
      <c r="AO42" s="326" cm="1">
        <f t="array" aca="1" ref="AO42" ca="1">SUMPRODUCT(AO$55:AO$114,TRANSPOSE(SAP_Speadsheet!$F$25:$BM$25))</f>
        <v>0</v>
      </c>
      <c r="AP42" s="326" cm="1">
        <f t="array" aca="1" ref="AP42" ca="1">SUMPRODUCT(AP$55:AP$114,TRANSPOSE(SAP_Speadsheet!$F$25:$BM$25))</f>
        <v>0</v>
      </c>
      <c r="AQ42" s="326" cm="1">
        <f t="array" aca="1" ref="AQ42" ca="1">SUMPRODUCT(AQ$55:AQ$114,TRANSPOSE(SAP_Speadsheet!$F$25:$BM$25))</f>
        <v>0</v>
      </c>
      <c r="AR42" s="326" cm="1">
        <f t="array" aca="1" ref="AR42" ca="1">SUMPRODUCT(AR$55:AR$114,TRANSPOSE(SAP_Speadsheet!$F$25:$BM$25))</f>
        <v>0</v>
      </c>
      <c r="AS42" s="326" cm="1">
        <f t="array" aca="1" ref="AS42" ca="1">SUMPRODUCT(AS$55:AS$114,TRANSPOSE(SAP_Speadsheet!$F$25:$BM$25))</f>
        <v>0</v>
      </c>
      <c r="AT42" s="326" cm="1">
        <f t="array" aca="1" ref="AT42" ca="1">SUMPRODUCT(AT$55:AT$114,TRANSPOSE(SAP_Speadsheet!$F$25:$BM$25))</f>
        <v>0</v>
      </c>
      <c r="AU42" s="326" cm="1">
        <f t="array" aca="1" ref="AU42" ca="1">SUMPRODUCT(AU$55:AU$114,TRANSPOSE(SAP_Speadsheet!$F$25:$BM$25))</f>
        <v>0</v>
      </c>
      <c r="AV42" s="326" cm="1">
        <f t="array" aca="1" ref="AV42" ca="1">SUMPRODUCT(AV$55:AV$114,TRANSPOSE(SAP_Speadsheet!$F$25:$BM$25))</f>
        <v>0</v>
      </c>
      <c r="AW42" s="326" cm="1">
        <f t="array" aca="1" ref="AW42" ca="1">SUMPRODUCT(AW$55:AW$114,TRANSPOSE(SAP_Speadsheet!$F$25:$BM$25))</f>
        <v>0</v>
      </c>
      <c r="AX42" s="326" cm="1">
        <f t="array" aca="1" ref="AX42" ca="1">SUMPRODUCT(AX$55:AX$114,TRANSPOSE(SAP_Speadsheet!$F$25:$BM$25))</f>
        <v>0</v>
      </c>
      <c r="AY42" s="326" cm="1">
        <f t="array" aca="1" ref="AY42" ca="1">SUMPRODUCT(AY$55:AY$114,TRANSPOSE(SAP_Speadsheet!$F$25:$BM$25))</f>
        <v>0</v>
      </c>
      <c r="AZ42" s="326" cm="1">
        <f t="array" aca="1" ref="AZ42" ca="1">SUMPRODUCT(AZ$55:AZ$114,TRANSPOSE(SAP_Speadsheet!$F$25:$BM$25))</f>
        <v>0</v>
      </c>
      <c r="BA42" s="326" cm="1">
        <f t="array" aca="1" ref="BA42" ca="1">SUMPRODUCT(BA$55:BA$114,TRANSPOSE(SAP_Speadsheet!$F$25:$BM$25))</f>
        <v>0</v>
      </c>
      <c r="BB42" s="326" cm="1">
        <f t="array" aca="1" ref="BB42" ca="1">SUMPRODUCT(BB$55:BB$114,TRANSPOSE(SAP_Speadsheet!$F$25:$BM$25))</f>
        <v>0</v>
      </c>
      <c r="BC42" s="326" cm="1">
        <f t="array" aca="1" ref="BC42" ca="1">SUMPRODUCT(BC$55:BC$114,TRANSPOSE(SAP_Speadsheet!$F$25:$BM$25))</f>
        <v>0</v>
      </c>
      <c r="BD42" s="326" cm="1">
        <f t="array" aca="1" ref="BD42" ca="1">SUMPRODUCT(BD$55:BD$114,TRANSPOSE(SAP_Speadsheet!$F$25:$BM$25))</f>
        <v>0</v>
      </c>
      <c r="BE42" s="326" cm="1">
        <f t="array" aca="1" ref="BE42" ca="1">SUMPRODUCT(BE$55:BE$114,TRANSPOSE(SAP_Speadsheet!$F$25:$BM$25))</f>
        <v>0</v>
      </c>
      <c r="BF42" s="326" cm="1">
        <f t="array" aca="1" ref="BF42" ca="1">SUMPRODUCT(BF$55:BF$114,TRANSPOSE(SAP_Speadsheet!$F$25:$BM$25))</f>
        <v>0</v>
      </c>
      <c r="BG42" s="326" cm="1">
        <f t="array" aca="1" ref="BG42" ca="1">SUMPRODUCT(BG$55:BG$114,TRANSPOSE(SAP_Speadsheet!$F$25:$BM$25))</f>
        <v>0</v>
      </c>
      <c r="BH42" s="326" cm="1">
        <f t="array" aca="1" ref="BH42" ca="1">SUMPRODUCT(BH$55:BH$114,TRANSPOSE(SAP_Speadsheet!$F$25:$BM$25))</f>
        <v>0</v>
      </c>
      <c r="BI42" s="326" cm="1">
        <f t="array" aca="1" ref="BI42" ca="1">SUMPRODUCT(BI$55:BI$114,TRANSPOSE(SAP_Speadsheet!$F$25:$BM$25))</f>
        <v>0</v>
      </c>
    </row>
    <row r="43" spans="1:61" x14ac:dyDescent="0.15">
      <c r="A43" s="315" t="s">
        <v>312</v>
      </c>
      <c r="B43" s="326" cm="1">
        <f t="array" aca="1" ref="B43" ca="1">SUMPRODUCT(B$55:B$114,TRANSPOSE(SAP_Speadsheet!$F$26:$BM$26))</f>
        <v>0</v>
      </c>
      <c r="C43" s="326" cm="1">
        <f t="array" aca="1" ref="C43" ca="1">SUMPRODUCT(C$55:C$114,TRANSPOSE(SAP_Speadsheet!$F$26:$BM$26))</f>
        <v>0</v>
      </c>
      <c r="D43" s="326" cm="1">
        <f t="array" aca="1" ref="D43" ca="1">SUMPRODUCT(D$55:D$114,TRANSPOSE(SAP_Speadsheet!$F$26:$BM$26))</f>
        <v>0</v>
      </c>
      <c r="E43" s="326" cm="1">
        <f t="array" aca="1" ref="E43" ca="1">SUMPRODUCT(E$55:E$114,TRANSPOSE(SAP_Speadsheet!$F$26:$BM$26))</f>
        <v>0</v>
      </c>
      <c r="F43" s="326" cm="1">
        <f t="array" aca="1" ref="F43" ca="1">SUMPRODUCT(F$55:F$114,TRANSPOSE(SAP_Speadsheet!$F$26:$BM$26))</f>
        <v>0</v>
      </c>
      <c r="G43" s="326" cm="1">
        <f t="array" aca="1" ref="G43" ca="1">SUMPRODUCT(G$55:G$114,TRANSPOSE(SAP_Speadsheet!$F$26:$BM$26))</f>
        <v>0</v>
      </c>
      <c r="H43" s="326" cm="1">
        <f t="array" aca="1" ref="H43" ca="1">SUMPRODUCT(H$55:H$114,TRANSPOSE(SAP_Speadsheet!$F$26:$BM$26))</f>
        <v>206.77000007732727</v>
      </c>
      <c r="I43" s="326" cm="1">
        <f t="array" aca="1" ref="I43" ca="1">SUMPRODUCT(I$55:I$114,TRANSPOSE(SAP_Speadsheet!$F$26:$BM$26))</f>
        <v>180.66256690966898</v>
      </c>
      <c r="J43" s="326" cm="1">
        <f t="array" aca="1" ref="J43" ca="1">SUMPRODUCT(J$55:J$114,TRANSPOSE(SAP_Speadsheet!$F$26:$BM$26))</f>
        <v>170.55618255483674</v>
      </c>
      <c r="K43" s="326" cm="1">
        <f t="array" aca="1" ref="K43" ca="1">SUMPRODUCT(K$55:K$114,TRANSPOSE(SAP_Speadsheet!$F$26:$BM$26))</f>
        <v>160.75837131167629</v>
      </c>
      <c r="L43" s="326" cm="1">
        <f t="array" aca="1" ref="L43" ca="1">SUMPRODUCT(L$55:L$114,TRANSPOSE(SAP_Speadsheet!$F$26:$BM$26))</f>
        <v>151.22010329542871</v>
      </c>
      <c r="M43" s="326" cm="1">
        <f t="array" aca="1" ref="M43" ca="1">SUMPRODUCT(M$55:M$114,TRANSPOSE(SAP_Speadsheet!$F$26:$BM$26))</f>
        <v>137.55118924385982</v>
      </c>
      <c r="N43" s="326" cm="1">
        <f t="array" aca="1" ref="N43" ca="1">SUMPRODUCT(N$55:N$114,TRANSPOSE(SAP_Speadsheet!$F$26:$BM$26))</f>
        <v>119.40877862891266</v>
      </c>
      <c r="O43" s="326" cm="1">
        <f t="array" aca="1" ref="O43" ca="1">SUMPRODUCT(O$55:O$114,TRANSPOSE(SAP_Speadsheet!$F$26:$BM$26))</f>
        <v>82.042946680347868</v>
      </c>
      <c r="P43" s="326" cm="1">
        <f t="array" aca="1" ref="P43" ca="1">SUMPRODUCT(P$55:P$114,TRANSPOSE(SAP_Speadsheet!$F$26:$BM$26))</f>
        <v>725.81816350378097</v>
      </c>
      <c r="Q43" s="326" cm="1">
        <f t="array" aca="1" ref="Q43" ca="1">SUMPRODUCT(Q$55:Q$114,TRANSPOSE(SAP_Speadsheet!$F$26:$BM$26))</f>
        <v>0</v>
      </c>
      <c r="R43" s="326" cm="1">
        <f t="array" aca="1" ref="R43" ca="1">SUMPRODUCT(R$55:R$114,TRANSPOSE(SAP_Speadsheet!$F$26:$BM$26))</f>
        <v>0</v>
      </c>
      <c r="S43" s="326" cm="1">
        <f t="array" aca="1" ref="S43" ca="1">SUMPRODUCT(S$55:S$114,TRANSPOSE(SAP_Speadsheet!$F$26:$BM$26))</f>
        <v>0</v>
      </c>
      <c r="T43" s="326" cm="1">
        <f t="array" aca="1" ref="T43" ca="1">SUMPRODUCT(T$55:T$114,TRANSPOSE(SAP_Speadsheet!$F$26:$BM$26))</f>
        <v>0</v>
      </c>
      <c r="U43" s="326" cm="1">
        <f t="array" aca="1" ref="U43" ca="1">SUMPRODUCT(U$55:U$114,TRANSPOSE(SAP_Speadsheet!$F$26:$BM$26))</f>
        <v>0</v>
      </c>
      <c r="V43" s="326" cm="1">
        <f t="array" aca="1" ref="V43" ca="1">SUMPRODUCT(V$55:V$114,TRANSPOSE(SAP_Speadsheet!$F$26:$BM$26))</f>
        <v>0</v>
      </c>
      <c r="W43" s="326" cm="1">
        <f t="array" aca="1" ref="W43" ca="1">SUMPRODUCT(W$55:W$114,TRANSPOSE(SAP_Speadsheet!$F$26:$BM$26))</f>
        <v>0</v>
      </c>
      <c r="X43" s="326" cm="1">
        <f t="array" aca="1" ref="X43" ca="1">SUMPRODUCT(X$55:X$114,TRANSPOSE(SAP_Speadsheet!$F$26:$BM$26))</f>
        <v>0</v>
      </c>
      <c r="Y43" s="326" cm="1">
        <f t="array" aca="1" ref="Y43" ca="1">SUMPRODUCT(Y$55:Y$114,TRANSPOSE(SAP_Speadsheet!$F$26:$BM$26))</f>
        <v>0</v>
      </c>
      <c r="Z43" s="326" cm="1">
        <f t="array" aca="1" ref="Z43" ca="1">SUMPRODUCT(Z$55:Z$114,TRANSPOSE(SAP_Speadsheet!$F$26:$BM$26))</f>
        <v>0</v>
      </c>
      <c r="AA43" s="326" cm="1">
        <f t="array" aca="1" ref="AA43" ca="1">SUMPRODUCT(AA$55:AA$114,TRANSPOSE(SAP_Speadsheet!$F$26:$BM$26))</f>
        <v>0</v>
      </c>
      <c r="AB43" s="326" cm="1">
        <f t="array" aca="1" ref="AB43" ca="1">SUMPRODUCT(AB$55:AB$114,TRANSPOSE(SAP_Speadsheet!$F$26:$BM$26))</f>
        <v>0</v>
      </c>
      <c r="AC43" s="326" cm="1">
        <f t="array" aca="1" ref="AC43" ca="1">SUMPRODUCT(AC$55:AC$114,TRANSPOSE(SAP_Speadsheet!$F$26:$BM$26))</f>
        <v>0</v>
      </c>
      <c r="AD43" s="326" cm="1">
        <f t="array" aca="1" ref="AD43" ca="1">SUMPRODUCT(AD$55:AD$114,TRANSPOSE(SAP_Speadsheet!$F$26:$BM$26))</f>
        <v>0</v>
      </c>
      <c r="AE43" s="326" cm="1">
        <f t="array" aca="1" ref="AE43" ca="1">SUMPRODUCT(AE$55:AE$114,TRANSPOSE(SAP_Speadsheet!$F$26:$BM$26))</f>
        <v>0</v>
      </c>
      <c r="AF43" s="326" cm="1">
        <f t="array" aca="1" ref="AF43" ca="1">SUMPRODUCT(AF$55:AF$114,TRANSPOSE(SAP_Speadsheet!$F$26:$BM$26))</f>
        <v>0</v>
      </c>
      <c r="AG43" s="326" cm="1">
        <f t="array" aca="1" ref="AG43" ca="1">SUMPRODUCT(AG$55:AG$114,TRANSPOSE(SAP_Speadsheet!$F$26:$BM$26))</f>
        <v>0</v>
      </c>
      <c r="AH43" s="326" cm="1">
        <f t="array" aca="1" ref="AH43" ca="1">SUMPRODUCT(AH$55:AH$114,TRANSPOSE(SAP_Speadsheet!$F$26:$BM$26))</f>
        <v>0</v>
      </c>
      <c r="AI43" s="326" cm="1">
        <f t="array" aca="1" ref="AI43" ca="1">SUMPRODUCT(AI$55:AI$114,TRANSPOSE(SAP_Speadsheet!$F$26:$BM$26))</f>
        <v>0</v>
      </c>
      <c r="AJ43" s="326" cm="1">
        <f t="array" aca="1" ref="AJ43" ca="1">SUMPRODUCT(AJ$55:AJ$114,TRANSPOSE(SAP_Speadsheet!$F$26:$BM$26))</f>
        <v>0</v>
      </c>
      <c r="AK43" s="326" cm="1">
        <f t="array" aca="1" ref="AK43" ca="1">SUMPRODUCT(AK$55:AK$114,TRANSPOSE(SAP_Speadsheet!$F$26:$BM$26))</f>
        <v>0</v>
      </c>
      <c r="AL43" s="326" cm="1">
        <f t="array" aca="1" ref="AL43" ca="1">SUMPRODUCT(AL$55:AL$114,TRANSPOSE(SAP_Speadsheet!$F$26:$BM$26))</f>
        <v>0</v>
      </c>
      <c r="AM43" s="326" cm="1">
        <f t="array" aca="1" ref="AM43" ca="1">SUMPRODUCT(AM$55:AM$114,TRANSPOSE(SAP_Speadsheet!$F$26:$BM$26))</f>
        <v>0</v>
      </c>
      <c r="AN43" s="326" cm="1">
        <f t="array" aca="1" ref="AN43" ca="1">SUMPRODUCT(AN$55:AN$114,TRANSPOSE(SAP_Speadsheet!$F$26:$BM$26))</f>
        <v>0</v>
      </c>
      <c r="AO43" s="326" cm="1">
        <f t="array" aca="1" ref="AO43" ca="1">SUMPRODUCT(AO$55:AO$114,TRANSPOSE(SAP_Speadsheet!$F$26:$BM$26))</f>
        <v>0</v>
      </c>
      <c r="AP43" s="326" cm="1">
        <f t="array" aca="1" ref="AP43" ca="1">SUMPRODUCT(AP$55:AP$114,TRANSPOSE(SAP_Speadsheet!$F$26:$BM$26))</f>
        <v>0</v>
      </c>
      <c r="AQ43" s="326" cm="1">
        <f t="array" aca="1" ref="AQ43" ca="1">SUMPRODUCT(AQ$55:AQ$114,TRANSPOSE(SAP_Speadsheet!$F$26:$BM$26))</f>
        <v>0</v>
      </c>
      <c r="AR43" s="326" cm="1">
        <f t="array" aca="1" ref="AR43" ca="1">SUMPRODUCT(AR$55:AR$114,TRANSPOSE(SAP_Speadsheet!$F$26:$BM$26))</f>
        <v>0</v>
      </c>
      <c r="AS43" s="326" cm="1">
        <f t="array" aca="1" ref="AS43" ca="1">SUMPRODUCT(AS$55:AS$114,TRANSPOSE(SAP_Speadsheet!$F$26:$BM$26))</f>
        <v>0</v>
      </c>
      <c r="AT43" s="326" cm="1">
        <f t="array" aca="1" ref="AT43" ca="1">SUMPRODUCT(AT$55:AT$114,TRANSPOSE(SAP_Speadsheet!$F$26:$BM$26))</f>
        <v>0</v>
      </c>
      <c r="AU43" s="326" cm="1">
        <f t="array" aca="1" ref="AU43" ca="1">SUMPRODUCT(AU$55:AU$114,TRANSPOSE(SAP_Speadsheet!$F$26:$BM$26))</f>
        <v>0</v>
      </c>
      <c r="AV43" s="326" cm="1">
        <f t="array" aca="1" ref="AV43" ca="1">SUMPRODUCT(AV$55:AV$114,TRANSPOSE(SAP_Speadsheet!$F$26:$BM$26))</f>
        <v>0</v>
      </c>
      <c r="AW43" s="326" cm="1">
        <f t="array" aca="1" ref="AW43" ca="1">SUMPRODUCT(AW$55:AW$114,TRANSPOSE(SAP_Speadsheet!$F$26:$BM$26))</f>
        <v>0</v>
      </c>
      <c r="AX43" s="326" cm="1">
        <f t="array" aca="1" ref="AX43" ca="1">SUMPRODUCT(AX$55:AX$114,TRANSPOSE(SAP_Speadsheet!$F$26:$BM$26))</f>
        <v>0</v>
      </c>
      <c r="AY43" s="326" cm="1">
        <f t="array" aca="1" ref="AY43" ca="1">SUMPRODUCT(AY$55:AY$114,TRANSPOSE(SAP_Speadsheet!$F$26:$BM$26))</f>
        <v>0</v>
      </c>
      <c r="AZ43" s="326" cm="1">
        <f t="array" aca="1" ref="AZ43" ca="1">SUMPRODUCT(AZ$55:AZ$114,TRANSPOSE(SAP_Speadsheet!$F$26:$BM$26))</f>
        <v>0</v>
      </c>
      <c r="BA43" s="326" cm="1">
        <f t="array" aca="1" ref="BA43" ca="1">SUMPRODUCT(BA$55:BA$114,TRANSPOSE(SAP_Speadsheet!$F$26:$BM$26))</f>
        <v>0</v>
      </c>
      <c r="BB43" s="326" cm="1">
        <f t="array" aca="1" ref="BB43" ca="1">SUMPRODUCT(BB$55:BB$114,TRANSPOSE(SAP_Speadsheet!$F$26:$BM$26))</f>
        <v>0</v>
      </c>
      <c r="BC43" s="326" cm="1">
        <f t="array" aca="1" ref="BC43" ca="1">SUMPRODUCT(BC$55:BC$114,TRANSPOSE(SAP_Speadsheet!$F$26:$BM$26))</f>
        <v>0</v>
      </c>
      <c r="BD43" s="326" cm="1">
        <f t="array" aca="1" ref="BD43" ca="1">SUMPRODUCT(BD$55:BD$114,TRANSPOSE(SAP_Speadsheet!$F$26:$BM$26))</f>
        <v>0</v>
      </c>
      <c r="BE43" s="326" cm="1">
        <f t="array" aca="1" ref="BE43" ca="1">SUMPRODUCT(BE$55:BE$114,TRANSPOSE(SAP_Speadsheet!$F$26:$BM$26))</f>
        <v>0</v>
      </c>
      <c r="BF43" s="326" cm="1">
        <f t="array" aca="1" ref="BF43" ca="1">SUMPRODUCT(BF$55:BF$114,TRANSPOSE(SAP_Speadsheet!$F$26:$BM$26))</f>
        <v>0</v>
      </c>
      <c r="BG43" s="326" cm="1">
        <f t="array" aca="1" ref="BG43" ca="1">SUMPRODUCT(BG$55:BG$114,TRANSPOSE(SAP_Speadsheet!$F$26:$BM$26))</f>
        <v>0</v>
      </c>
      <c r="BH43" s="326" cm="1">
        <f t="array" aca="1" ref="BH43" ca="1">SUMPRODUCT(BH$55:BH$114,TRANSPOSE(SAP_Speadsheet!$F$26:$BM$26))</f>
        <v>0</v>
      </c>
      <c r="BI43" s="326" cm="1">
        <f t="array" aca="1" ref="BI43" ca="1">SUMPRODUCT(BI$55:BI$114,TRANSPOSE(SAP_Speadsheet!$F$26:$BM$26))</f>
        <v>0</v>
      </c>
    </row>
    <row r="44" spans="1:61" x14ac:dyDescent="0.15">
      <c r="A44" s="315" t="s">
        <v>313</v>
      </c>
      <c r="B44" s="326" cm="1">
        <f t="array" aca="1" ref="B44" ca="1">SUMPRODUCT(B$55:B$114,TRANSPOSE(SAP_Speadsheet!$F$27:$BM$27))</f>
        <v>0</v>
      </c>
      <c r="C44" s="326" cm="1">
        <f t="array" aca="1" ref="C44" ca="1">SUMPRODUCT(C$55:C$114,TRANSPOSE(SAP_Speadsheet!$F$27:$BM$27))</f>
        <v>0</v>
      </c>
      <c r="D44" s="326" cm="1">
        <f t="array" aca="1" ref="D44" ca="1">SUMPRODUCT(D$55:D$114,TRANSPOSE(SAP_Speadsheet!$F$27:$BM$27))</f>
        <v>0</v>
      </c>
      <c r="E44" s="326" cm="1">
        <f t="array" aca="1" ref="E44" ca="1">SUMPRODUCT(E$55:E$114,TRANSPOSE(SAP_Speadsheet!$F$27:$BM$27))</f>
        <v>0</v>
      </c>
      <c r="F44" s="326" cm="1">
        <f t="array" aca="1" ref="F44" ca="1">SUMPRODUCT(F$55:F$114,TRANSPOSE(SAP_Speadsheet!$F$27:$BM$27))</f>
        <v>0</v>
      </c>
      <c r="G44" s="326" cm="1">
        <f t="array" aca="1" ref="G44" ca="1">SUMPRODUCT(G$55:G$114,TRANSPOSE(SAP_Speadsheet!$F$27:$BM$27))</f>
        <v>0</v>
      </c>
      <c r="H44" s="326" cm="1">
        <f t="array" aca="1" ref="H44" ca="1">SUMPRODUCT(H$55:H$114,TRANSPOSE(SAP_Speadsheet!$F$27:$BM$27))</f>
        <v>0</v>
      </c>
      <c r="I44" s="326" cm="1">
        <f t="array" aca="1" ref="I44" ca="1">SUMPRODUCT(I$55:I$114,TRANSPOSE(SAP_Speadsheet!$F$27:$BM$27))</f>
        <v>206.77000007732727</v>
      </c>
      <c r="J44" s="326" cm="1">
        <f t="array" aca="1" ref="J44" ca="1">SUMPRODUCT(J$55:J$114,TRANSPOSE(SAP_Speadsheet!$F$27:$BM$27))</f>
        <v>180.66256690966898</v>
      </c>
      <c r="K44" s="326" cm="1">
        <f t="array" aca="1" ref="K44" ca="1">SUMPRODUCT(K$55:K$114,TRANSPOSE(SAP_Speadsheet!$F$27:$BM$27))</f>
        <v>170.55618255483674</v>
      </c>
      <c r="L44" s="326" cm="1">
        <f t="array" aca="1" ref="L44" ca="1">SUMPRODUCT(L$55:L$114,TRANSPOSE(SAP_Speadsheet!$F$27:$BM$27))</f>
        <v>160.75837131167629</v>
      </c>
      <c r="M44" s="326" cm="1">
        <f t="array" aca="1" ref="M44" ca="1">SUMPRODUCT(M$55:M$114,TRANSPOSE(SAP_Speadsheet!$F$27:$BM$27))</f>
        <v>151.22010329542871</v>
      </c>
      <c r="N44" s="326" cm="1">
        <f t="array" aca="1" ref="N44" ca="1">SUMPRODUCT(N$55:N$114,TRANSPOSE(SAP_Speadsheet!$F$27:$BM$27))</f>
        <v>137.55118924385982</v>
      </c>
      <c r="O44" s="326" cm="1">
        <f t="array" aca="1" ref="O44" ca="1">SUMPRODUCT(O$55:O$114,TRANSPOSE(SAP_Speadsheet!$F$27:$BM$27))</f>
        <v>119.40877862891266</v>
      </c>
      <c r="P44" s="326" cm="1">
        <f t="array" aca="1" ref="P44" ca="1">SUMPRODUCT(P$55:P$114,TRANSPOSE(SAP_Speadsheet!$F$27:$BM$27))</f>
        <v>82.042946680347868</v>
      </c>
      <c r="Q44" s="326" cm="1">
        <f t="array" aca="1" ref="Q44" ca="1">SUMPRODUCT(Q$55:Q$114,TRANSPOSE(SAP_Speadsheet!$F$27:$BM$27))</f>
        <v>0</v>
      </c>
      <c r="R44" s="326" cm="1">
        <f t="array" aca="1" ref="R44" ca="1">SUMPRODUCT(R$55:R$114,TRANSPOSE(SAP_Speadsheet!$F$27:$BM$27))</f>
        <v>0</v>
      </c>
      <c r="S44" s="326" cm="1">
        <f t="array" aca="1" ref="S44" ca="1">SUMPRODUCT(S$55:S$114,TRANSPOSE(SAP_Speadsheet!$F$27:$BM$27))</f>
        <v>0</v>
      </c>
      <c r="T44" s="326" cm="1">
        <f t="array" aca="1" ref="T44" ca="1">SUMPRODUCT(T$55:T$114,TRANSPOSE(SAP_Speadsheet!$F$27:$BM$27))</f>
        <v>0</v>
      </c>
      <c r="U44" s="326" cm="1">
        <f t="array" aca="1" ref="U44" ca="1">SUMPRODUCT(U$55:U$114,TRANSPOSE(SAP_Speadsheet!$F$27:$BM$27))</f>
        <v>0</v>
      </c>
      <c r="V44" s="326" cm="1">
        <f t="array" aca="1" ref="V44" ca="1">SUMPRODUCT(V$55:V$114,TRANSPOSE(SAP_Speadsheet!$F$27:$BM$27))</f>
        <v>0</v>
      </c>
      <c r="W44" s="326" cm="1">
        <f t="array" aca="1" ref="W44" ca="1">SUMPRODUCT(W$55:W$114,TRANSPOSE(SAP_Speadsheet!$F$27:$BM$27))</f>
        <v>0</v>
      </c>
      <c r="X44" s="326" cm="1">
        <f t="array" aca="1" ref="X44" ca="1">SUMPRODUCT(X$55:X$114,TRANSPOSE(SAP_Speadsheet!$F$27:$BM$27))</f>
        <v>0</v>
      </c>
      <c r="Y44" s="326" cm="1">
        <f t="array" aca="1" ref="Y44" ca="1">SUMPRODUCT(Y$55:Y$114,TRANSPOSE(SAP_Speadsheet!$F$27:$BM$27))</f>
        <v>0</v>
      </c>
      <c r="Z44" s="326" cm="1">
        <f t="array" aca="1" ref="Z44" ca="1">SUMPRODUCT(Z$55:Z$114,TRANSPOSE(SAP_Speadsheet!$F$27:$BM$27))</f>
        <v>0</v>
      </c>
      <c r="AA44" s="326" cm="1">
        <f t="array" aca="1" ref="AA44" ca="1">SUMPRODUCT(AA$55:AA$114,TRANSPOSE(SAP_Speadsheet!$F$27:$BM$27))</f>
        <v>0</v>
      </c>
      <c r="AB44" s="326" cm="1">
        <f t="array" aca="1" ref="AB44" ca="1">SUMPRODUCT(AB$55:AB$114,TRANSPOSE(SAP_Speadsheet!$F$27:$BM$27))</f>
        <v>0</v>
      </c>
      <c r="AC44" s="326" cm="1">
        <f t="array" aca="1" ref="AC44" ca="1">SUMPRODUCT(AC$55:AC$114,TRANSPOSE(SAP_Speadsheet!$F$27:$BM$27))</f>
        <v>0</v>
      </c>
      <c r="AD44" s="326" cm="1">
        <f t="array" aca="1" ref="AD44" ca="1">SUMPRODUCT(AD$55:AD$114,TRANSPOSE(SAP_Speadsheet!$F$27:$BM$27))</f>
        <v>0</v>
      </c>
      <c r="AE44" s="326" cm="1">
        <f t="array" aca="1" ref="AE44" ca="1">SUMPRODUCT(AE$55:AE$114,TRANSPOSE(SAP_Speadsheet!$F$27:$BM$27))</f>
        <v>0</v>
      </c>
      <c r="AF44" s="326" cm="1">
        <f t="array" aca="1" ref="AF44" ca="1">SUMPRODUCT(AF$55:AF$114,TRANSPOSE(SAP_Speadsheet!$F$27:$BM$27))</f>
        <v>0</v>
      </c>
      <c r="AG44" s="326" cm="1">
        <f t="array" aca="1" ref="AG44" ca="1">SUMPRODUCT(AG$55:AG$114,TRANSPOSE(SAP_Speadsheet!$F$27:$BM$27))</f>
        <v>0</v>
      </c>
      <c r="AH44" s="326" cm="1">
        <f t="array" aca="1" ref="AH44" ca="1">SUMPRODUCT(AH$55:AH$114,TRANSPOSE(SAP_Speadsheet!$F$27:$BM$27))</f>
        <v>0</v>
      </c>
      <c r="AI44" s="326" cm="1">
        <f t="array" aca="1" ref="AI44" ca="1">SUMPRODUCT(AI$55:AI$114,TRANSPOSE(SAP_Speadsheet!$F$27:$BM$27))</f>
        <v>0</v>
      </c>
      <c r="AJ44" s="326" cm="1">
        <f t="array" aca="1" ref="AJ44" ca="1">SUMPRODUCT(AJ$55:AJ$114,TRANSPOSE(SAP_Speadsheet!$F$27:$BM$27))</f>
        <v>0</v>
      </c>
      <c r="AK44" s="326" cm="1">
        <f t="array" aca="1" ref="AK44" ca="1">SUMPRODUCT(AK$55:AK$114,TRANSPOSE(SAP_Speadsheet!$F$27:$BM$27))</f>
        <v>0</v>
      </c>
      <c r="AL44" s="326" cm="1">
        <f t="array" aca="1" ref="AL44" ca="1">SUMPRODUCT(AL$55:AL$114,TRANSPOSE(SAP_Speadsheet!$F$27:$BM$27))</f>
        <v>0</v>
      </c>
      <c r="AM44" s="326" cm="1">
        <f t="array" aca="1" ref="AM44" ca="1">SUMPRODUCT(AM$55:AM$114,TRANSPOSE(SAP_Speadsheet!$F$27:$BM$27))</f>
        <v>0</v>
      </c>
      <c r="AN44" s="326" cm="1">
        <f t="array" aca="1" ref="AN44" ca="1">SUMPRODUCT(AN$55:AN$114,TRANSPOSE(SAP_Speadsheet!$F$27:$BM$27))</f>
        <v>0</v>
      </c>
      <c r="AO44" s="326" cm="1">
        <f t="array" aca="1" ref="AO44" ca="1">SUMPRODUCT(AO$55:AO$114,TRANSPOSE(SAP_Speadsheet!$F$27:$BM$27))</f>
        <v>0</v>
      </c>
      <c r="AP44" s="326" cm="1">
        <f t="array" aca="1" ref="AP44" ca="1">SUMPRODUCT(AP$55:AP$114,TRANSPOSE(SAP_Speadsheet!$F$27:$BM$27))</f>
        <v>0</v>
      </c>
      <c r="AQ44" s="326" cm="1">
        <f t="array" aca="1" ref="AQ44" ca="1">SUMPRODUCT(AQ$55:AQ$114,TRANSPOSE(SAP_Speadsheet!$F$27:$BM$27))</f>
        <v>0</v>
      </c>
      <c r="AR44" s="326" cm="1">
        <f t="array" aca="1" ref="AR44" ca="1">SUMPRODUCT(AR$55:AR$114,TRANSPOSE(SAP_Speadsheet!$F$27:$BM$27))</f>
        <v>0</v>
      </c>
      <c r="AS44" s="326" cm="1">
        <f t="array" aca="1" ref="AS44" ca="1">SUMPRODUCT(AS$55:AS$114,TRANSPOSE(SAP_Speadsheet!$F$27:$BM$27))</f>
        <v>0</v>
      </c>
      <c r="AT44" s="326" cm="1">
        <f t="array" aca="1" ref="AT44" ca="1">SUMPRODUCT(AT$55:AT$114,TRANSPOSE(SAP_Speadsheet!$F$27:$BM$27))</f>
        <v>0</v>
      </c>
      <c r="AU44" s="326" cm="1">
        <f t="array" aca="1" ref="AU44" ca="1">SUMPRODUCT(AU$55:AU$114,TRANSPOSE(SAP_Speadsheet!$F$27:$BM$27))</f>
        <v>0</v>
      </c>
      <c r="AV44" s="326" cm="1">
        <f t="array" aca="1" ref="AV44" ca="1">SUMPRODUCT(AV$55:AV$114,TRANSPOSE(SAP_Speadsheet!$F$27:$BM$27))</f>
        <v>0</v>
      </c>
      <c r="AW44" s="326" cm="1">
        <f t="array" aca="1" ref="AW44" ca="1">SUMPRODUCT(AW$55:AW$114,TRANSPOSE(SAP_Speadsheet!$F$27:$BM$27))</f>
        <v>0</v>
      </c>
      <c r="AX44" s="326" cm="1">
        <f t="array" aca="1" ref="AX44" ca="1">SUMPRODUCT(AX$55:AX$114,TRANSPOSE(SAP_Speadsheet!$F$27:$BM$27))</f>
        <v>0</v>
      </c>
      <c r="AY44" s="326" cm="1">
        <f t="array" aca="1" ref="AY44" ca="1">SUMPRODUCT(AY$55:AY$114,TRANSPOSE(SAP_Speadsheet!$F$27:$BM$27))</f>
        <v>0</v>
      </c>
      <c r="AZ44" s="326" cm="1">
        <f t="array" aca="1" ref="AZ44" ca="1">SUMPRODUCT(AZ$55:AZ$114,TRANSPOSE(SAP_Speadsheet!$F$27:$BM$27))</f>
        <v>0</v>
      </c>
      <c r="BA44" s="326" cm="1">
        <f t="array" aca="1" ref="BA44" ca="1">SUMPRODUCT(BA$55:BA$114,TRANSPOSE(SAP_Speadsheet!$F$27:$BM$27))</f>
        <v>0</v>
      </c>
      <c r="BB44" s="326" cm="1">
        <f t="array" aca="1" ref="BB44" ca="1">SUMPRODUCT(BB$55:BB$114,TRANSPOSE(SAP_Speadsheet!$F$27:$BM$27))</f>
        <v>0</v>
      </c>
      <c r="BC44" s="326" cm="1">
        <f t="array" aca="1" ref="BC44" ca="1">SUMPRODUCT(BC$55:BC$114,TRANSPOSE(SAP_Speadsheet!$F$27:$BM$27))</f>
        <v>0</v>
      </c>
      <c r="BD44" s="326" cm="1">
        <f t="array" aca="1" ref="BD44" ca="1">SUMPRODUCT(BD$55:BD$114,TRANSPOSE(SAP_Speadsheet!$F$27:$BM$27))</f>
        <v>0</v>
      </c>
      <c r="BE44" s="326" cm="1">
        <f t="array" aca="1" ref="BE44" ca="1">SUMPRODUCT(BE$55:BE$114,TRANSPOSE(SAP_Speadsheet!$F$27:$BM$27))</f>
        <v>0</v>
      </c>
      <c r="BF44" s="326" cm="1">
        <f t="array" aca="1" ref="BF44" ca="1">SUMPRODUCT(BF$55:BF$114,TRANSPOSE(SAP_Speadsheet!$F$27:$BM$27))</f>
        <v>0</v>
      </c>
      <c r="BG44" s="326" cm="1">
        <f t="array" aca="1" ref="BG44" ca="1">SUMPRODUCT(BG$55:BG$114,TRANSPOSE(SAP_Speadsheet!$F$27:$BM$27))</f>
        <v>0</v>
      </c>
      <c r="BH44" s="326" cm="1">
        <f t="array" aca="1" ref="BH44" ca="1">SUMPRODUCT(BH$55:BH$114,TRANSPOSE(SAP_Speadsheet!$F$27:$BM$27))</f>
        <v>0</v>
      </c>
      <c r="BI44" s="326" cm="1">
        <f t="array" aca="1" ref="BI44" ca="1">SUMPRODUCT(BI$55:BI$114,TRANSPOSE(SAP_Speadsheet!$F$27:$BM$27))</f>
        <v>0</v>
      </c>
    </row>
    <row r="45" spans="1:61" x14ac:dyDescent="0.15">
      <c r="A45" s="315" t="s">
        <v>314</v>
      </c>
      <c r="B45" s="326" cm="1">
        <f t="array" aca="1" ref="B45" ca="1">SUMPRODUCT(B$55:B$114,TRANSPOSE(SAP_Speadsheet!$F$28:$BM$28))</f>
        <v>0</v>
      </c>
      <c r="C45" s="326" cm="1">
        <f t="array" aca="1" ref="C45" ca="1">SUMPRODUCT(C$55:C$114,TRANSPOSE(SAP_Speadsheet!$F$28:$BM$28))</f>
        <v>0</v>
      </c>
      <c r="D45" s="326" cm="1">
        <f t="array" aca="1" ref="D45" ca="1">SUMPRODUCT(D$55:D$114,TRANSPOSE(SAP_Speadsheet!$F$28:$BM$28))</f>
        <v>0</v>
      </c>
      <c r="E45" s="326" cm="1">
        <f t="array" aca="1" ref="E45" ca="1">SUMPRODUCT(E$55:E$114,TRANSPOSE(SAP_Speadsheet!$F$28:$BM$28))</f>
        <v>0</v>
      </c>
      <c r="F45" s="326" cm="1">
        <f t="array" aca="1" ref="F45" ca="1">SUMPRODUCT(F$55:F$114,TRANSPOSE(SAP_Speadsheet!$F$28:$BM$28))</f>
        <v>0</v>
      </c>
      <c r="G45" s="326" cm="1">
        <f t="array" aca="1" ref="G45" ca="1">SUMPRODUCT(G$55:G$114,TRANSPOSE(SAP_Speadsheet!$F$28:$BM$28))</f>
        <v>0</v>
      </c>
      <c r="H45" s="326" cm="1">
        <f t="array" aca="1" ref="H45" ca="1">SUMPRODUCT(H$55:H$114,TRANSPOSE(SAP_Speadsheet!$F$28:$BM$28))</f>
        <v>0</v>
      </c>
      <c r="I45" s="326" cm="1">
        <f t="array" aca="1" ref="I45" ca="1">SUMPRODUCT(I$55:I$114,TRANSPOSE(SAP_Speadsheet!$F$28:$BM$28))</f>
        <v>0</v>
      </c>
      <c r="J45" s="326" cm="1">
        <f t="array" aca="1" ref="J45" ca="1">SUMPRODUCT(J$55:J$114,TRANSPOSE(SAP_Speadsheet!$F$28:$BM$28))</f>
        <v>206.77000007732727</v>
      </c>
      <c r="K45" s="326" cm="1">
        <f t="array" aca="1" ref="K45" ca="1">SUMPRODUCT(K$55:K$114,TRANSPOSE(SAP_Speadsheet!$F$28:$BM$28))</f>
        <v>180.66256690966898</v>
      </c>
      <c r="L45" s="326" cm="1">
        <f t="array" aca="1" ref="L45" ca="1">SUMPRODUCT(L$55:L$114,TRANSPOSE(SAP_Speadsheet!$F$28:$BM$28))</f>
        <v>170.55618255483674</v>
      </c>
      <c r="M45" s="326" cm="1">
        <f t="array" aca="1" ref="M45" ca="1">SUMPRODUCT(M$55:M$114,TRANSPOSE(SAP_Speadsheet!$F$28:$BM$28))</f>
        <v>160.75837131167629</v>
      </c>
      <c r="N45" s="326" cm="1">
        <f t="array" aca="1" ref="N45" ca="1">SUMPRODUCT(N$55:N$114,TRANSPOSE(SAP_Speadsheet!$F$28:$BM$28))</f>
        <v>151.22010329542871</v>
      </c>
      <c r="O45" s="326" cm="1">
        <f t="array" aca="1" ref="O45" ca="1">SUMPRODUCT(O$55:O$114,TRANSPOSE(SAP_Speadsheet!$F$28:$BM$28))</f>
        <v>137.55118924385982</v>
      </c>
      <c r="P45" s="326" cm="1">
        <f t="array" aca="1" ref="P45" ca="1">SUMPRODUCT(P$55:P$114,TRANSPOSE(SAP_Speadsheet!$F$28:$BM$28))</f>
        <v>119.40877862891266</v>
      </c>
      <c r="Q45" s="326" cm="1">
        <f t="array" aca="1" ref="Q45" ca="1">SUMPRODUCT(Q$55:Q$114,TRANSPOSE(SAP_Speadsheet!$F$28:$BM$28))</f>
        <v>0</v>
      </c>
      <c r="R45" s="326" cm="1">
        <f t="array" aca="1" ref="R45" ca="1">SUMPRODUCT(R$55:R$114,TRANSPOSE(SAP_Speadsheet!$F$28:$BM$28))</f>
        <v>0</v>
      </c>
      <c r="S45" s="326" cm="1">
        <f t="array" aca="1" ref="S45" ca="1">SUMPRODUCT(S$55:S$114,TRANSPOSE(SAP_Speadsheet!$F$28:$BM$28))</f>
        <v>0</v>
      </c>
      <c r="T45" s="326" cm="1">
        <f t="array" aca="1" ref="T45" ca="1">SUMPRODUCT(T$55:T$114,TRANSPOSE(SAP_Speadsheet!$F$28:$BM$28))</f>
        <v>0</v>
      </c>
      <c r="U45" s="326" cm="1">
        <f t="array" aca="1" ref="U45" ca="1">SUMPRODUCT(U$55:U$114,TRANSPOSE(SAP_Speadsheet!$F$28:$BM$28))</f>
        <v>0</v>
      </c>
      <c r="V45" s="326" cm="1">
        <f t="array" aca="1" ref="V45" ca="1">SUMPRODUCT(V$55:V$114,TRANSPOSE(SAP_Speadsheet!$F$28:$BM$28))</f>
        <v>0</v>
      </c>
      <c r="W45" s="326" cm="1">
        <f t="array" aca="1" ref="W45" ca="1">SUMPRODUCT(W$55:W$114,TRANSPOSE(SAP_Speadsheet!$F$28:$BM$28))</f>
        <v>0</v>
      </c>
      <c r="X45" s="326" cm="1">
        <f t="array" aca="1" ref="X45" ca="1">SUMPRODUCT(X$55:X$114,TRANSPOSE(SAP_Speadsheet!$F$28:$BM$28))</f>
        <v>0</v>
      </c>
      <c r="Y45" s="326" cm="1">
        <f t="array" aca="1" ref="Y45" ca="1">SUMPRODUCT(Y$55:Y$114,TRANSPOSE(SAP_Speadsheet!$F$28:$BM$28))</f>
        <v>0</v>
      </c>
      <c r="Z45" s="326" cm="1">
        <f t="array" aca="1" ref="Z45" ca="1">SUMPRODUCT(Z$55:Z$114,TRANSPOSE(SAP_Speadsheet!$F$28:$BM$28))</f>
        <v>0</v>
      </c>
      <c r="AA45" s="326" cm="1">
        <f t="array" aca="1" ref="AA45" ca="1">SUMPRODUCT(AA$55:AA$114,TRANSPOSE(SAP_Speadsheet!$F$28:$BM$28))</f>
        <v>0</v>
      </c>
      <c r="AB45" s="326" cm="1">
        <f t="array" aca="1" ref="AB45" ca="1">SUMPRODUCT(AB$55:AB$114,TRANSPOSE(SAP_Speadsheet!$F$28:$BM$28))</f>
        <v>0</v>
      </c>
      <c r="AC45" s="326" cm="1">
        <f t="array" aca="1" ref="AC45" ca="1">SUMPRODUCT(AC$55:AC$114,TRANSPOSE(SAP_Speadsheet!$F$28:$BM$28))</f>
        <v>0</v>
      </c>
      <c r="AD45" s="326" cm="1">
        <f t="array" aca="1" ref="AD45" ca="1">SUMPRODUCT(AD$55:AD$114,TRANSPOSE(SAP_Speadsheet!$F$28:$BM$28))</f>
        <v>0</v>
      </c>
      <c r="AE45" s="326" cm="1">
        <f t="array" aca="1" ref="AE45" ca="1">SUMPRODUCT(AE$55:AE$114,TRANSPOSE(SAP_Speadsheet!$F$28:$BM$28))</f>
        <v>0</v>
      </c>
      <c r="AF45" s="326" cm="1">
        <f t="array" aca="1" ref="AF45" ca="1">SUMPRODUCT(AF$55:AF$114,TRANSPOSE(SAP_Speadsheet!$F$28:$BM$28))</f>
        <v>0</v>
      </c>
      <c r="AG45" s="326" cm="1">
        <f t="array" aca="1" ref="AG45" ca="1">SUMPRODUCT(AG$55:AG$114,TRANSPOSE(SAP_Speadsheet!$F$28:$BM$28))</f>
        <v>0</v>
      </c>
      <c r="AH45" s="326" cm="1">
        <f t="array" aca="1" ref="AH45" ca="1">SUMPRODUCT(AH$55:AH$114,TRANSPOSE(SAP_Speadsheet!$F$28:$BM$28))</f>
        <v>0</v>
      </c>
      <c r="AI45" s="326" cm="1">
        <f t="array" aca="1" ref="AI45" ca="1">SUMPRODUCT(AI$55:AI$114,TRANSPOSE(SAP_Speadsheet!$F$28:$BM$28))</f>
        <v>0</v>
      </c>
      <c r="AJ45" s="326" cm="1">
        <f t="array" aca="1" ref="AJ45" ca="1">SUMPRODUCT(AJ$55:AJ$114,TRANSPOSE(SAP_Speadsheet!$F$28:$BM$28))</f>
        <v>0</v>
      </c>
      <c r="AK45" s="326" cm="1">
        <f t="array" aca="1" ref="AK45" ca="1">SUMPRODUCT(AK$55:AK$114,TRANSPOSE(SAP_Speadsheet!$F$28:$BM$28))</f>
        <v>0</v>
      </c>
      <c r="AL45" s="326" cm="1">
        <f t="array" aca="1" ref="AL45" ca="1">SUMPRODUCT(AL$55:AL$114,TRANSPOSE(SAP_Speadsheet!$F$28:$BM$28))</f>
        <v>0</v>
      </c>
      <c r="AM45" s="326" cm="1">
        <f t="array" aca="1" ref="AM45" ca="1">SUMPRODUCT(AM$55:AM$114,TRANSPOSE(SAP_Speadsheet!$F$28:$BM$28))</f>
        <v>0</v>
      </c>
      <c r="AN45" s="326" cm="1">
        <f t="array" aca="1" ref="AN45" ca="1">SUMPRODUCT(AN$55:AN$114,TRANSPOSE(SAP_Speadsheet!$F$28:$BM$28))</f>
        <v>0</v>
      </c>
      <c r="AO45" s="326" cm="1">
        <f t="array" aca="1" ref="AO45" ca="1">SUMPRODUCT(AO$55:AO$114,TRANSPOSE(SAP_Speadsheet!$F$28:$BM$28))</f>
        <v>0</v>
      </c>
      <c r="AP45" s="326" cm="1">
        <f t="array" aca="1" ref="AP45" ca="1">SUMPRODUCT(AP$55:AP$114,TRANSPOSE(SAP_Speadsheet!$F$28:$BM$28))</f>
        <v>0</v>
      </c>
      <c r="AQ45" s="326" cm="1">
        <f t="array" aca="1" ref="AQ45" ca="1">SUMPRODUCT(AQ$55:AQ$114,TRANSPOSE(SAP_Speadsheet!$F$28:$BM$28))</f>
        <v>0</v>
      </c>
      <c r="AR45" s="326" cm="1">
        <f t="array" aca="1" ref="AR45" ca="1">SUMPRODUCT(AR$55:AR$114,TRANSPOSE(SAP_Speadsheet!$F$28:$BM$28))</f>
        <v>0</v>
      </c>
      <c r="AS45" s="326" cm="1">
        <f t="array" aca="1" ref="AS45" ca="1">SUMPRODUCT(AS$55:AS$114,TRANSPOSE(SAP_Speadsheet!$F$28:$BM$28))</f>
        <v>0</v>
      </c>
      <c r="AT45" s="326" cm="1">
        <f t="array" aca="1" ref="AT45" ca="1">SUMPRODUCT(AT$55:AT$114,TRANSPOSE(SAP_Speadsheet!$F$28:$BM$28))</f>
        <v>0</v>
      </c>
      <c r="AU45" s="326" cm="1">
        <f t="array" aca="1" ref="AU45" ca="1">SUMPRODUCT(AU$55:AU$114,TRANSPOSE(SAP_Speadsheet!$F$28:$BM$28))</f>
        <v>0</v>
      </c>
      <c r="AV45" s="326" cm="1">
        <f t="array" aca="1" ref="AV45" ca="1">SUMPRODUCT(AV$55:AV$114,TRANSPOSE(SAP_Speadsheet!$F$28:$BM$28))</f>
        <v>0</v>
      </c>
      <c r="AW45" s="326" cm="1">
        <f t="array" aca="1" ref="AW45" ca="1">SUMPRODUCT(AW$55:AW$114,TRANSPOSE(SAP_Speadsheet!$F$28:$BM$28))</f>
        <v>0</v>
      </c>
      <c r="AX45" s="326" cm="1">
        <f t="array" aca="1" ref="AX45" ca="1">SUMPRODUCT(AX$55:AX$114,TRANSPOSE(SAP_Speadsheet!$F$28:$BM$28))</f>
        <v>0</v>
      </c>
      <c r="AY45" s="326" cm="1">
        <f t="array" aca="1" ref="AY45" ca="1">SUMPRODUCT(AY$55:AY$114,TRANSPOSE(SAP_Speadsheet!$F$28:$BM$28))</f>
        <v>0</v>
      </c>
      <c r="AZ45" s="326" cm="1">
        <f t="array" aca="1" ref="AZ45" ca="1">SUMPRODUCT(AZ$55:AZ$114,TRANSPOSE(SAP_Speadsheet!$F$28:$BM$28))</f>
        <v>0</v>
      </c>
      <c r="BA45" s="326" cm="1">
        <f t="array" aca="1" ref="BA45" ca="1">SUMPRODUCT(BA$55:BA$114,TRANSPOSE(SAP_Speadsheet!$F$28:$BM$28))</f>
        <v>0</v>
      </c>
      <c r="BB45" s="326" cm="1">
        <f t="array" aca="1" ref="BB45" ca="1">SUMPRODUCT(BB$55:BB$114,TRANSPOSE(SAP_Speadsheet!$F$28:$BM$28))</f>
        <v>0</v>
      </c>
      <c r="BC45" s="326" cm="1">
        <f t="array" aca="1" ref="BC45" ca="1">SUMPRODUCT(BC$55:BC$114,TRANSPOSE(SAP_Speadsheet!$F$28:$BM$28))</f>
        <v>0</v>
      </c>
      <c r="BD45" s="326" cm="1">
        <f t="array" aca="1" ref="BD45" ca="1">SUMPRODUCT(BD$55:BD$114,TRANSPOSE(SAP_Speadsheet!$F$28:$BM$28))</f>
        <v>0</v>
      </c>
      <c r="BE45" s="326" cm="1">
        <f t="array" aca="1" ref="BE45" ca="1">SUMPRODUCT(BE$55:BE$114,TRANSPOSE(SAP_Speadsheet!$F$28:$BM$28))</f>
        <v>0</v>
      </c>
      <c r="BF45" s="326" cm="1">
        <f t="array" aca="1" ref="BF45" ca="1">SUMPRODUCT(BF$55:BF$114,TRANSPOSE(SAP_Speadsheet!$F$28:$BM$28))</f>
        <v>0</v>
      </c>
      <c r="BG45" s="326" cm="1">
        <f t="array" aca="1" ref="BG45" ca="1">SUMPRODUCT(BG$55:BG$114,TRANSPOSE(SAP_Speadsheet!$F$28:$BM$28))</f>
        <v>0</v>
      </c>
      <c r="BH45" s="326" cm="1">
        <f t="array" aca="1" ref="BH45" ca="1">SUMPRODUCT(BH$55:BH$114,TRANSPOSE(SAP_Speadsheet!$F$28:$BM$28))</f>
        <v>0</v>
      </c>
      <c r="BI45" s="326" cm="1">
        <f t="array" aca="1" ref="BI45" ca="1">SUMPRODUCT(BI$55:BI$114,TRANSPOSE(SAP_Speadsheet!$F$28:$BM$28))</f>
        <v>0</v>
      </c>
    </row>
    <row r="46" spans="1:61" x14ac:dyDescent="0.15">
      <c r="A46" s="315" t="s">
        <v>315</v>
      </c>
      <c r="B46" s="326" cm="1">
        <f t="array" aca="1" ref="B46" ca="1">SUMPRODUCT(B$55:B$114,TRANSPOSE(SAP_Speadsheet!$F$29:$BM$29))</f>
        <v>0</v>
      </c>
      <c r="C46" s="326" cm="1">
        <f t="array" aca="1" ref="C46" ca="1">SUMPRODUCT(C$55:C$114,TRANSPOSE(SAP_Speadsheet!$F$29:$BM$29))</f>
        <v>0</v>
      </c>
      <c r="D46" s="326" cm="1">
        <f t="array" aca="1" ref="D46" ca="1">SUMPRODUCT(D$55:D$114,TRANSPOSE(SAP_Speadsheet!$F$29:$BM$29))</f>
        <v>0</v>
      </c>
      <c r="E46" s="326" cm="1">
        <f t="array" aca="1" ref="E46" ca="1">SUMPRODUCT(E$55:E$114,TRANSPOSE(SAP_Speadsheet!$F$29:$BM$29))</f>
        <v>0</v>
      </c>
      <c r="F46" s="326" cm="1">
        <f t="array" aca="1" ref="F46" ca="1">SUMPRODUCT(F$55:F$114,TRANSPOSE(SAP_Speadsheet!$F$29:$BM$29))</f>
        <v>0</v>
      </c>
      <c r="G46" s="326" cm="1">
        <f t="array" aca="1" ref="G46" ca="1">SUMPRODUCT(G$55:G$114,TRANSPOSE(SAP_Speadsheet!$F$29:$BM$29))</f>
        <v>0</v>
      </c>
      <c r="H46" s="326" cm="1">
        <f t="array" aca="1" ref="H46" ca="1">SUMPRODUCT(H$55:H$114,TRANSPOSE(SAP_Speadsheet!$F$29:$BM$29))</f>
        <v>0</v>
      </c>
      <c r="I46" s="326" cm="1">
        <f t="array" aca="1" ref="I46" ca="1">SUMPRODUCT(I$55:I$114,TRANSPOSE(SAP_Speadsheet!$F$29:$BM$29))</f>
        <v>0</v>
      </c>
      <c r="J46" s="326" cm="1">
        <f t="array" aca="1" ref="J46" ca="1">SUMPRODUCT(J$55:J$114,TRANSPOSE(SAP_Speadsheet!$F$29:$BM$29))</f>
        <v>0</v>
      </c>
      <c r="K46" s="326" cm="1">
        <f t="array" aca="1" ref="K46" ca="1">SUMPRODUCT(K$55:K$114,TRANSPOSE(SAP_Speadsheet!$F$29:$BM$29))</f>
        <v>206.77000007732727</v>
      </c>
      <c r="L46" s="326" cm="1">
        <f t="array" aca="1" ref="L46" ca="1">SUMPRODUCT(L$55:L$114,TRANSPOSE(SAP_Speadsheet!$F$29:$BM$29))</f>
        <v>180.66256690966898</v>
      </c>
      <c r="M46" s="326" cm="1">
        <f t="array" aca="1" ref="M46" ca="1">SUMPRODUCT(M$55:M$114,TRANSPOSE(SAP_Speadsheet!$F$29:$BM$29))</f>
        <v>170.55618255483674</v>
      </c>
      <c r="N46" s="326" cm="1">
        <f t="array" aca="1" ref="N46" ca="1">SUMPRODUCT(N$55:N$114,TRANSPOSE(SAP_Speadsheet!$F$29:$BM$29))</f>
        <v>160.75837131167629</v>
      </c>
      <c r="O46" s="326" cm="1">
        <f t="array" aca="1" ref="O46" ca="1">SUMPRODUCT(O$55:O$114,TRANSPOSE(SAP_Speadsheet!$F$29:$BM$29))</f>
        <v>151.22010329542871</v>
      </c>
      <c r="P46" s="326" cm="1">
        <f t="array" aca="1" ref="P46" ca="1">SUMPRODUCT(P$55:P$114,TRANSPOSE(SAP_Speadsheet!$F$29:$BM$29))</f>
        <v>137.55118924385982</v>
      </c>
      <c r="Q46" s="326" cm="1">
        <f t="array" aca="1" ref="Q46" ca="1">SUMPRODUCT(Q$55:Q$114,TRANSPOSE(SAP_Speadsheet!$F$29:$BM$29))</f>
        <v>0</v>
      </c>
      <c r="R46" s="326" cm="1">
        <f t="array" aca="1" ref="R46" ca="1">SUMPRODUCT(R$55:R$114,TRANSPOSE(SAP_Speadsheet!$F$29:$BM$29))</f>
        <v>0</v>
      </c>
      <c r="S46" s="326" cm="1">
        <f t="array" aca="1" ref="S46" ca="1">SUMPRODUCT(S$55:S$114,TRANSPOSE(SAP_Speadsheet!$F$29:$BM$29))</f>
        <v>0</v>
      </c>
      <c r="T46" s="326" cm="1">
        <f t="array" aca="1" ref="T46" ca="1">SUMPRODUCT(T$55:T$114,TRANSPOSE(SAP_Speadsheet!$F$29:$BM$29))</f>
        <v>0</v>
      </c>
      <c r="U46" s="326" cm="1">
        <f t="array" aca="1" ref="U46" ca="1">SUMPRODUCT(U$55:U$114,TRANSPOSE(SAP_Speadsheet!$F$29:$BM$29))</f>
        <v>0</v>
      </c>
      <c r="V46" s="326" cm="1">
        <f t="array" aca="1" ref="V46" ca="1">SUMPRODUCT(V$55:V$114,TRANSPOSE(SAP_Speadsheet!$F$29:$BM$29))</f>
        <v>0</v>
      </c>
      <c r="W46" s="326" cm="1">
        <f t="array" aca="1" ref="W46" ca="1">SUMPRODUCT(W$55:W$114,TRANSPOSE(SAP_Speadsheet!$F$29:$BM$29))</f>
        <v>0</v>
      </c>
      <c r="X46" s="326" cm="1">
        <f t="array" aca="1" ref="X46" ca="1">SUMPRODUCT(X$55:X$114,TRANSPOSE(SAP_Speadsheet!$F$29:$BM$29))</f>
        <v>0</v>
      </c>
      <c r="Y46" s="326" cm="1">
        <f t="array" aca="1" ref="Y46" ca="1">SUMPRODUCT(Y$55:Y$114,TRANSPOSE(SAP_Speadsheet!$F$29:$BM$29))</f>
        <v>0</v>
      </c>
      <c r="Z46" s="326" cm="1">
        <f t="array" aca="1" ref="Z46" ca="1">SUMPRODUCT(Z$55:Z$114,TRANSPOSE(SAP_Speadsheet!$F$29:$BM$29))</f>
        <v>0</v>
      </c>
      <c r="AA46" s="326" cm="1">
        <f t="array" aca="1" ref="AA46" ca="1">SUMPRODUCT(AA$55:AA$114,TRANSPOSE(SAP_Speadsheet!$F$29:$BM$29))</f>
        <v>0</v>
      </c>
      <c r="AB46" s="326" cm="1">
        <f t="array" aca="1" ref="AB46" ca="1">SUMPRODUCT(AB$55:AB$114,TRANSPOSE(SAP_Speadsheet!$F$29:$BM$29))</f>
        <v>0</v>
      </c>
      <c r="AC46" s="326" cm="1">
        <f t="array" aca="1" ref="AC46" ca="1">SUMPRODUCT(AC$55:AC$114,TRANSPOSE(SAP_Speadsheet!$F$29:$BM$29))</f>
        <v>0</v>
      </c>
      <c r="AD46" s="326" cm="1">
        <f t="array" aca="1" ref="AD46" ca="1">SUMPRODUCT(AD$55:AD$114,TRANSPOSE(SAP_Speadsheet!$F$29:$BM$29))</f>
        <v>0</v>
      </c>
      <c r="AE46" s="326" cm="1">
        <f t="array" aca="1" ref="AE46" ca="1">SUMPRODUCT(AE$55:AE$114,TRANSPOSE(SAP_Speadsheet!$F$29:$BM$29))</f>
        <v>0</v>
      </c>
      <c r="AF46" s="326" cm="1">
        <f t="array" aca="1" ref="AF46" ca="1">SUMPRODUCT(AF$55:AF$114,TRANSPOSE(SAP_Speadsheet!$F$29:$BM$29))</f>
        <v>0</v>
      </c>
      <c r="AG46" s="326" cm="1">
        <f t="array" aca="1" ref="AG46" ca="1">SUMPRODUCT(AG$55:AG$114,TRANSPOSE(SAP_Speadsheet!$F$29:$BM$29))</f>
        <v>0</v>
      </c>
      <c r="AH46" s="326" cm="1">
        <f t="array" aca="1" ref="AH46" ca="1">SUMPRODUCT(AH$55:AH$114,TRANSPOSE(SAP_Speadsheet!$F$29:$BM$29))</f>
        <v>0</v>
      </c>
      <c r="AI46" s="326" cm="1">
        <f t="array" aca="1" ref="AI46" ca="1">SUMPRODUCT(AI$55:AI$114,TRANSPOSE(SAP_Speadsheet!$F$29:$BM$29))</f>
        <v>0</v>
      </c>
      <c r="AJ46" s="326" cm="1">
        <f t="array" aca="1" ref="AJ46" ca="1">SUMPRODUCT(AJ$55:AJ$114,TRANSPOSE(SAP_Speadsheet!$F$29:$BM$29))</f>
        <v>0</v>
      </c>
      <c r="AK46" s="326" cm="1">
        <f t="array" aca="1" ref="AK46" ca="1">SUMPRODUCT(AK$55:AK$114,TRANSPOSE(SAP_Speadsheet!$F$29:$BM$29))</f>
        <v>0</v>
      </c>
      <c r="AL46" s="326" cm="1">
        <f t="array" aca="1" ref="AL46" ca="1">SUMPRODUCT(AL$55:AL$114,TRANSPOSE(SAP_Speadsheet!$F$29:$BM$29))</f>
        <v>0</v>
      </c>
      <c r="AM46" s="326" cm="1">
        <f t="array" aca="1" ref="AM46" ca="1">SUMPRODUCT(AM$55:AM$114,TRANSPOSE(SAP_Speadsheet!$F$29:$BM$29))</f>
        <v>0</v>
      </c>
      <c r="AN46" s="326" cm="1">
        <f t="array" aca="1" ref="AN46" ca="1">SUMPRODUCT(AN$55:AN$114,TRANSPOSE(SAP_Speadsheet!$F$29:$BM$29))</f>
        <v>0</v>
      </c>
      <c r="AO46" s="326" cm="1">
        <f t="array" aca="1" ref="AO46" ca="1">SUMPRODUCT(AO$55:AO$114,TRANSPOSE(SAP_Speadsheet!$F$29:$BM$29))</f>
        <v>0</v>
      </c>
      <c r="AP46" s="326" cm="1">
        <f t="array" aca="1" ref="AP46" ca="1">SUMPRODUCT(AP$55:AP$114,TRANSPOSE(SAP_Speadsheet!$F$29:$BM$29))</f>
        <v>0</v>
      </c>
      <c r="AQ46" s="326" cm="1">
        <f t="array" aca="1" ref="AQ46" ca="1">SUMPRODUCT(AQ$55:AQ$114,TRANSPOSE(SAP_Speadsheet!$F$29:$BM$29))</f>
        <v>0</v>
      </c>
      <c r="AR46" s="326" cm="1">
        <f t="array" aca="1" ref="AR46" ca="1">SUMPRODUCT(AR$55:AR$114,TRANSPOSE(SAP_Speadsheet!$F$29:$BM$29))</f>
        <v>0</v>
      </c>
      <c r="AS46" s="326" cm="1">
        <f t="array" aca="1" ref="AS46" ca="1">SUMPRODUCT(AS$55:AS$114,TRANSPOSE(SAP_Speadsheet!$F$29:$BM$29))</f>
        <v>0</v>
      </c>
      <c r="AT46" s="326" cm="1">
        <f t="array" aca="1" ref="AT46" ca="1">SUMPRODUCT(AT$55:AT$114,TRANSPOSE(SAP_Speadsheet!$F$29:$BM$29))</f>
        <v>0</v>
      </c>
      <c r="AU46" s="326" cm="1">
        <f t="array" aca="1" ref="AU46" ca="1">SUMPRODUCT(AU$55:AU$114,TRANSPOSE(SAP_Speadsheet!$F$29:$BM$29))</f>
        <v>0</v>
      </c>
      <c r="AV46" s="326" cm="1">
        <f t="array" aca="1" ref="AV46" ca="1">SUMPRODUCT(AV$55:AV$114,TRANSPOSE(SAP_Speadsheet!$F$29:$BM$29))</f>
        <v>0</v>
      </c>
      <c r="AW46" s="326" cm="1">
        <f t="array" aca="1" ref="AW46" ca="1">SUMPRODUCT(AW$55:AW$114,TRANSPOSE(SAP_Speadsheet!$F$29:$BM$29))</f>
        <v>0</v>
      </c>
      <c r="AX46" s="326" cm="1">
        <f t="array" aca="1" ref="AX46" ca="1">SUMPRODUCT(AX$55:AX$114,TRANSPOSE(SAP_Speadsheet!$F$29:$BM$29))</f>
        <v>0</v>
      </c>
      <c r="AY46" s="326" cm="1">
        <f t="array" aca="1" ref="AY46" ca="1">SUMPRODUCT(AY$55:AY$114,TRANSPOSE(SAP_Speadsheet!$F$29:$BM$29))</f>
        <v>0</v>
      </c>
      <c r="AZ46" s="326" cm="1">
        <f t="array" aca="1" ref="AZ46" ca="1">SUMPRODUCT(AZ$55:AZ$114,TRANSPOSE(SAP_Speadsheet!$F$29:$BM$29))</f>
        <v>0</v>
      </c>
      <c r="BA46" s="326" cm="1">
        <f t="array" aca="1" ref="BA46" ca="1">SUMPRODUCT(BA$55:BA$114,TRANSPOSE(SAP_Speadsheet!$F$29:$BM$29))</f>
        <v>0</v>
      </c>
      <c r="BB46" s="326" cm="1">
        <f t="array" aca="1" ref="BB46" ca="1">SUMPRODUCT(BB$55:BB$114,TRANSPOSE(SAP_Speadsheet!$F$29:$BM$29))</f>
        <v>0</v>
      </c>
      <c r="BC46" s="326" cm="1">
        <f t="array" aca="1" ref="BC46" ca="1">SUMPRODUCT(BC$55:BC$114,TRANSPOSE(SAP_Speadsheet!$F$29:$BM$29))</f>
        <v>0</v>
      </c>
      <c r="BD46" s="326" cm="1">
        <f t="array" aca="1" ref="BD46" ca="1">SUMPRODUCT(BD$55:BD$114,TRANSPOSE(SAP_Speadsheet!$F$29:$BM$29))</f>
        <v>0</v>
      </c>
      <c r="BE46" s="326" cm="1">
        <f t="array" aca="1" ref="BE46" ca="1">SUMPRODUCT(BE$55:BE$114,TRANSPOSE(SAP_Speadsheet!$F$29:$BM$29))</f>
        <v>0</v>
      </c>
      <c r="BF46" s="326" cm="1">
        <f t="array" aca="1" ref="BF46" ca="1">SUMPRODUCT(BF$55:BF$114,TRANSPOSE(SAP_Speadsheet!$F$29:$BM$29))</f>
        <v>0</v>
      </c>
      <c r="BG46" s="326" cm="1">
        <f t="array" aca="1" ref="BG46" ca="1">SUMPRODUCT(BG$55:BG$114,TRANSPOSE(SAP_Speadsheet!$F$29:$BM$29))</f>
        <v>0</v>
      </c>
      <c r="BH46" s="326" cm="1">
        <f t="array" aca="1" ref="BH46" ca="1">SUMPRODUCT(BH$55:BH$114,TRANSPOSE(SAP_Speadsheet!$F$29:$BM$29))</f>
        <v>0</v>
      </c>
      <c r="BI46" s="326" cm="1">
        <f t="array" aca="1" ref="BI46" ca="1">SUMPRODUCT(BI$55:BI$114,TRANSPOSE(SAP_Speadsheet!$F$29:$BM$29))</f>
        <v>0</v>
      </c>
    </row>
    <row r="47" spans="1:61" x14ac:dyDescent="0.15">
      <c r="A47" s="315" t="s">
        <v>316</v>
      </c>
      <c r="B47" s="326" cm="1">
        <f t="array" aca="1" ref="B47" ca="1">SUMPRODUCT(B$55:B$114,TRANSPOSE(SAP_Speadsheet!$F$30:$BM$30))</f>
        <v>0</v>
      </c>
      <c r="C47" s="326" cm="1">
        <f t="array" aca="1" ref="C47" ca="1">SUMPRODUCT(C$55:C$114,TRANSPOSE(SAP_Speadsheet!$F$30:$BM$30))</f>
        <v>0</v>
      </c>
      <c r="D47" s="326" cm="1">
        <f t="array" aca="1" ref="D47" ca="1">SUMPRODUCT(D$55:D$114,TRANSPOSE(SAP_Speadsheet!$F$30:$BM$30))</f>
        <v>0</v>
      </c>
      <c r="E47" s="326" cm="1">
        <f t="array" aca="1" ref="E47" ca="1">SUMPRODUCT(E$55:E$114,TRANSPOSE(SAP_Speadsheet!$F$30:$BM$30))</f>
        <v>0</v>
      </c>
      <c r="F47" s="326" cm="1">
        <f t="array" aca="1" ref="F47" ca="1">SUMPRODUCT(F$55:F$114,TRANSPOSE(SAP_Speadsheet!$F$30:$BM$30))</f>
        <v>0</v>
      </c>
      <c r="G47" s="326" cm="1">
        <f t="array" aca="1" ref="G47" ca="1">SUMPRODUCT(G$55:G$114,TRANSPOSE(SAP_Speadsheet!$F$30:$BM$30))</f>
        <v>0</v>
      </c>
      <c r="H47" s="326" cm="1">
        <f t="array" aca="1" ref="H47" ca="1">SUMPRODUCT(H$55:H$114,TRANSPOSE(SAP_Speadsheet!$F$30:$BM$30))</f>
        <v>0</v>
      </c>
      <c r="I47" s="326" cm="1">
        <f t="array" aca="1" ref="I47" ca="1">SUMPRODUCT(I$55:I$114,TRANSPOSE(SAP_Speadsheet!$F$30:$BM$30))</f>
        <v>0</v>
      </c>
      <c r="J47" s="326" cm="1">
        <f t="array" aca="1" ref="J47" ca="1">SUMPRODUCT(J$55:J$114,TRANSPOSE(SAP_Speadsheet!$F$30:$BM$30))</f>
        <v>0</v>
      </c>
      <c r="K47" s="326" cm="1">
        <f t="array" aca="1" ref="K47" ca="1">SUMPRODUCT(K$55:K$114,TRANSPOSE(SAP_Speadsheet!$F$30:$BM$30))</f>
        <v>0</v>
      </c>
      <c r="L47" s="326" cm="1">
        <f t="array" aca="1" ref="L47" ca="1">SUMPRODUCT(L$55:L$114,TRANSPOSE(SAP_Speadsheet!$F$30:$BM$30))</f>
        <v>206.77000007732727</v>
      </c>
      <c r="M47" s="326" cm="1">
        <f t="array" aca="1" ref="M47" ca="1">SUMPRODUCT(M$55:M$114,TRANSPOSE(SAP_Speadsheet!$F$30:$BM$30))</f>
        <v>180.66256690966898</v>
      </c>
      <c r="N47" s="326" cm="1">
        <f t="array" aca="1" ref="N47" ca="1">SUMPRODUCT(N$55:N$114,TRANSPOSE(SAP_Speadsheet!$F$30:$BM$30))</f>
        <v>170.55618255483674</v>
      </c>
      <c r="O47" s="326" cm="1">
        <f t="array" aca="1" ref="O47" ca="1">SUMPRODUCT(O$55:O$114,TRANSPOSE(SAP_Speadsheet!$F$30:$BM$30))</f>
        <v>160.75837131167629</v>
      </c>
      <c r="P47" s="326" cm="1">
        <f t="array" aca="1" ref="P47" ca="1">SUMPRODUCT(P$55:P$114,TRANSPOSE(SAP_Speadsheet!$F$30:$BM$30))</f>
        <v>151.22010329542871</v>
      </c>
      <c r="Q47" s="326" cm="1">
        <f t="array" aca="1" ref="Q47" ca="1">SUMPRODUCT(Q$55:Q$114,TRANSPOSE(SAP_Speadsheet!$F$30:$BM$30))</f>
        <v>0</v>
      </c>
      <c r="R47" s="326" cm="1">
        <f t="array" aca="1" ref="R47" ca="1">SUMPRODUCT(R$55:R$114,TRANSPOSE(SAP_Speadsheet!$F$30:$BM$30))</f>
        <v>0</v>
      </c>
      <c r="S47" s="326" cm="1">
        <f t="array" aca="1" ref="S47" ca="1">SUMPRODUCT(S$55:S$114,TRANSPOSE(SAP_Speadsheet!$F$30:$BM$30))</f>
        <v>0</v>
      </c>
      <c r="T47" s="326" cm="1">
        <f t="array" aca="1" ref="T47" ca="1">SUMPRODUCT(T$55:T$114,TRANSPOSE(SAP_Speadsheet!$F$30:$BM$30))</f>
        <v>0</v>
      </c>
      <c r="U47" s="326" cm="1">
        <f t="array" aca="1" ref="U47" ca="1">SUMPRODUCT(U$55:U$114,TRANSPOSE(SAP_Speadsheet!$F$30:$BM$30))</f>
        <v>0</v>
      </c>
      <c r="V47" s="326" cm="1">
        <f t="array" aca="1" ref="V47" ca="1">SUMPRODUCT(V$55:V$114,TRANSPOSE(SAP_Speadsheet!$F$30:$BM$30))</f>
        <v>0</v>
      </c>
      <c r="W47" s="326" cm="1">
        <f t="array" aca="1" ref="W47" ca="1">SUMPRODUCT(W$55:W$114,TRANSPOSE(SAP_Speadsheet!$F$30:$BM$30))</f>
        <v>0</v>
      </c>
      <c r="X47" s="326" cm="1">
        <f t="array" aca="1" ref="X47" ca="1">SUMPRODUCT(X$55:X$114,TRANSPOSE(SAP_Speadsheet!$F$30:$BM$30))</f>
        <v>0</v>
      </c>
      <c r="Y47" s="326" cm="1">
        <f t="array" aca="1" ref="Y47" ca="1">SUMPRODUCT(Y$55:Y$114,TRANSPOSE(SAP_Speadsheet!$F$30:$BM$30))</f>
        <v>0</v>
      </c>
      <c r="Z47" s="326" cm="1">
        <f t="array" aca="1" ref="Z47" ca="1">SUMPRODUCT(Z$55:Z$114,TRANSPOSE(SAP_Speadsheet!$F$30:$BM$30))</f>
        <v>0</v>
      </c>
      <c r="AA47" s="326" cm="1">
        <f t="array" aca="1" ref="AA47" ca="1">SUMPRODUCT(AA$55:AA$114,TRANSPOSE(SAP_Speadsheet!$F$30:$BM$30))</f>
        <v>0</v>
      </c>
      <c r="AB47" s="326" cm="1">
        <f t="array" aca="1" ref="AB47" ca="1">SUMPRODUCT(AB$55:AB$114,TRANSPOSE(SAP_Speadsheet!$F$30:$BM$30))</f>
        <v>0</v>
      </c>
      <c r="AC47" s="326" cm="1">
        <f t="array" aca="1" ref="AC47" ca="1">SUMPRODUCT(AC$55:AC$114,TRANSPOSE(SAP_Speadsheet!$F$30:$BM$30))</f>
        <v>0</v>
      </c>
      <c r="AD47" s="326" cm="1">
        <f t="array" aca="1" ref="AD47" ca="1">SUMPRODUCT(AD$55:AD$114,TRANSPOSE(SAP_Speadsheet!$F$30:$BM$30))</f>
        <v>0</v>
      </c>
      <c r="AE47" s="326" cm="1">
        <f t="array" aca="1" ref="AE47" ca="1">SUMPRODUCT(AE$55:AE$114,TRANSPOSE(SAP_Speadsheet!$F$30:$BM$30))</f>
        <v>0</v>
      </c>
      <c r="AF47" s="326" cm="1">
        <f t="array" aca="1" ref="AF47" ca="1">SUMPRODUCT(AF$55:AF$114,TRANSPOSE(SAP_Speadsheet!$F$30:$BM$30))</f>
        <v>0</v>
      </c>
      <c r="AG47" s="326" cm="1">
        <f t="array" aca="1" ref="AG47" ca="1">SUMPRODUCT(AG$55:AG$114,TRANSPOSE(SAP_Speadsheet!$F$30:$BM$30))</f>
        <v>0</v>
      </c>
      <c r="AH47" s="326" cm="1">
        <f t="array" aca="1" ref="AH47" ca="1">SUMPRODUCT(AH$55:AH$114,TRANSPOSE(SAP_Speadsheet!$F$30:$BM$30))</f>
        <v>0</v>
      </c>
      <c r="AI47" s="326" cm="1">
        <f t="array" aca="1" ref="AI47" ca="1">SUMPRODUCT(AI$55:AI$114,TRANSPOSE(SAP_Speadsheet!$F$30:$BM$30))</f>
        <v>0</v>
      </c>
      <c r="AJ47" s="326" cm="1">
        <f t="array" aca="1" ref="AJ47" ca="1">SUMPRODUCT(AJ$55:AJ$114,TRANSPOSE(SAP_Speadsheet!$F$30:$BM$30))</f>
        <v>0</v>
      </c>
      <c r="AK47" s="326" cm="1">
        <f t="array" aca="1" ref="AK47" ca="1">SUMPRODUCT(AK$55:AK$114,TRANSPOSE(SAP_Speadsheet!$F$30:$BM$30))</f>
        <v>0</v>
      </c>
      <c r="AL47" s="326" cm="1">
        <f t="array" aca="1" ref="AL47" ca="1">SUMPRODUCT(AL$55:AL$114,TRANSPOSE(SAP_Speadsheet!$F$30:$BM$30))</f>
        <v>0</v>
      </c>
      <c r="AM47" s="326" cm="1">
        <f t="array" aca="1" ref="AM47" ca="1">SUMPRODUCT(AM$55:AM$114,TRANSPOSE(SAP_Speadsheet!$F$30:$BM$30))</f>
        <v>0</v>
      </c>
      <c r="AN47" s="326" cm="1">
        <f t="array" aca="1" ref="AN47" ca="1">SUMPRODUCT(AN$55:AN$114,TRANSPOSE(SAP_Speadsheet!$F$30:$BM$30))</f>
        <v>0</v>
      </c>
      <c r="AO47" s="326" cm="1">
        <f t="array" aca="1" ref="AO47" ca="1">SUMPRODUCT(AO$55:AO$114,TRANSPOSE(SAP_Speadsheet!$F$30:$BM$30))</f>
        <v>0</v>
      </c>
      <c r="AP47" s="326" cm="1">
        <f t="array" aca="1" ref="AP47" ca="1">SUMPRODUCT(AP$55:AP$114,TRANSPOSE(SAP_Speadsheet!$F$30:$BM$30))</f>
        <v>0</v>
      </c>
      <c r="AQ47" s="326" cm="1">
        <f t="array" aca="1" ref="AQ47" ca="1">SUMPRODUCT(AQ$55:AQ$114,TRANSPOSE(SAP_Speadsheet!$F$30:$BM$30))</f>
        <v>0</v>
      </c>
      <c r="AR47" s="326" cm="1">
        <f t="array" aca="1" ref="AR47" ca="1">SUMPRODUCT(AR$55:AR$114,TRANSPOSE(SAP_Speadsheet!$F$30:$BM$30))</f>
        <v>0</v>
      </c>
      <c r="AS47" s="326" cm="1">
        <f t="array" aca="1" ref="AS47" ca="1">SUMPRODUCT(AS$55:AS$114,TRANSPOSE(SAP_Speadsheet!$F$30:$BM$30))</f>
        <v>0</v>
      </c>
      <c r="AT47" s="326" cm="1">
        <f t="array" aca="1" ref="AT47" ca="1">SUMPRODUCT(AT$55:AT$114,TRANSPOSE(SAP_Speadsheet!$F$30:$BM$30))</f>
        <v>0</v>
      </c>
      <c r="AU47" s="326" cm="1">
        <f t="array" aca="1" ref="AU47" ca="1">SUMPRODUCT(AU$55:AU$114,TRANSPOSE(SAP_Speadsheet!$F$30:$BM$30))</f>
        <v>0</v>
      </c>
      <c r="AV47" s="326" cm="1">
        <f t="array" aca="1" ref="AV47" ca="1">SUMPRODUCT(AV$55:AV$114,TRANSPOSE(SAP_Speadsheet!$F$30:$BM$30))</f>
        <v>0</v>
      </c>
      <c r="AW47" s="326" cm="1">
        <f t="array" aca="1" ref="AW47" ca="1">SUMPRODUCT(AW$55:AW$114,TRANSPOSE(SAP_Speadsheet!$F$30:$BM$30))</f>
        <v>0</v>
      </c>
      <c r="AX47" s="326" cm="1">
        <f t="array" aca="1" ref="AX47" ca="1">SUMPRODUCT(AX$55:AX$114,TRANSPOSE(SAP_Speadsheet!$F$30:$BM$30))</f>
        <v>0</v>
      </c>
      <c r="AY47" s="326" cm="1">
        <f t="array" aca="1" ref="AY47" ca="1">SUMPRODUCT(AY$55:AY$114,TRANSPOSE(SAP_Speadsheet!$F$30:$BM$30))</f>
        <v>0</v>
      </c>
      <c r="AZ47" s="326" cm="1">
        <f t="array" aca="1" ref="AZ47" ca="1">SUMPRODUCT(AZ$55:AZ$114,TRANSPOSE(SAP_Speadsheet!$F$30:$BM$30))</f>
        <v>0</v>
      </c>
      <c r="BA47" s="326" cm="1">
        <f t="array" aca="1" ref="BA47" ca="1">SUMPRODUCT(BA$55:BA$114,TRANSPOSE(SAP_Speadsheet!$F$30:$BM$30))</f>
        <v>0</v>
      </c>
      <c r="BB47" s="326" cm="1">
        <f t="array" aca="1" ref="BB47" ca="1">SUMPRODUCT(BB$55:BB$114,TRANSPOSE(SAP_Speadsheet!$F$30:$BM$30))</f>
        <v>0</v>
      </c>
      <c r="BC47" s="326" cm="1">
        <f t="array" aca="1" ref="BC47" ca="1">SUMPRODUCT(BC$55:BC$114,TRANSPOSE(SAP_Speadsheet!$F$30:$BM$30))</f>
        <v>0</v>
      </c>
      <c r="BD47" s="326" cm="1">
        <f t="array" aca="1" ref="BD47" ca="1">SUMPRODUCT(BD$55:BD$114,TRANSPOSE(SAP_Speadsheet!$F$30:$BM$30))</f>
        <v>0</v>
      </c>
      <c r="BE47" s="326" cm="1">
        <f t="array" aca="1" ref="BE47" ca="1">SUMPRODUCT(BE$55:BE$114,TRANSPOSE(SAP_Speadsheet!$F$30:$BM$30))</f>
        <v>0</v>
      </c>
      <c r="BF47" s="326" cm="1">
        <f t="array" aca="1" ref="BF47" ca="1">SUMPRODUCT(BF$55:BF$114,TRANSPOSE(SAP_Speadsheet!$F$30:$BM$30))</f>
        <v>0</v>
      </c>
      <c r="BG47" s="326" cm="1">
        <f t="array" aca="1" ref="BG47" ca="1">SUMPRODUCT(BG$55:BG$114,TRANSPOSE(SAP_Speadsheet!$F$30:$BM$30))</f>
        <v>0</v>
      </c>
      <c r="BH47" s="326" cm="1">
        <f t="array" aca="1" ref="BH47" ca="1">SUMPRODUCT(BH$55:BH$114,TRANSPOSE(SAP_Speadsheet!$F$30:$BM$30))</f>
        <v>0</v>
      </c>
      <c r="BI47" s="326" cm="1">
        <f t="array" aca="1" ref="BI47" ca="1">SUMPRODUCT(BI$55:BI$114,TRANSPOSE(SAP_Speadsheet!$F$30:$BM$30))</f>
        <v>0</v>
      </c>
    </row>
    <row r="48" spans="1:61" x14ac:dyDescent="0.15">
      <c r="A48" s="315" t="s">
        <v>317</v>
      </c>
      <c r="B48" s="326" cm="1">
        <f t="array" aca="1" ref="B48" ca="1">SUMPRODUCT(B$55:B$114,TRANSPOSE(SAP_Speadsheet!$F$31:$BM$31))</f>
        <v>0</v>
      </c>
      <c r="C48" s="326" cm="1">
        <f t="array" aca="1" ref="C48" ca="1">SUMPRODUCT(C$55:C$114,TRANSPOSE(SAP_Speadsheet!$F$31:$BM$31))</f>
        <v>0</v>
      </c>
      <c r="D48" s="326" cm="1">
        <f t="array" aca="1" ref="D48" ca="1">SUMPRODUCT(D$55:D$114,TRANSPOSE(SAP_Speadsheet!$F$31:$BM$31))</f>
        <v>0</v>
      </c>
      <c r="E48" s="326" cm="1">
        <f t="array" aca="1" ref="E48" ca="1">SUMPRODUCT(E$55:E$114,TRANSPOSE(SAP_Speadsheet!$F$31:$BM$31))</f>
        <v>0</v>
      </c>
      <c r="F48" s="326" cm="1">
        <f t="array" aca="1" ref="F48" ca="1">SUMPRODUCT(F$55:F$114,TRANSPOSE(SAP_Speadsheet!$F$31:$BM$31))</f>
        <v>0</v>
      </c>
      <c r="G48" s="326" cm="1">
        <f t="array" aca="1" ref="G48" ca="1">SUMPRODUCT(G$55:G$114,TRANSPOSE(SAP_Speadsheet!$F$31:$BM$31))</f>
        <v>0</v>
      </c>
      <c r="H48" s="326" cm="1">
        <f t="array" aca="1" ref="H48" ca="1">SUMPRODUCT(H$55:H$114,TRANSPOSE(SAP_Speadsheet!$F$31:$BM$31))</f>
        <v>0</v>
      </c>
      <c r="I48" s="326" cm="1">
        <f t="array" aca="1" ref="I48" ca="1">SUMPRODUCT(I$55:I$114,TRANSPOSE(SAP_Speadsheet!$F$31:$BM$31))</f>
        <v>0</v>
      </c>
      <c r="J48" s="326" cm="1">
        <f t="array" aca="1" ref="J48" ca="1">SUMPRODUCT(J$55:J$114,TRANSPOSE(SAP_Speadsheet!$F$31:$BM$31))</f>
        <v>0</v>
      </c>
      <c r="K48" s="326" cm="1">
        <f t="array" aca="1" ref="K48" ca="1">SUMPRODUCT(K$55:K$114,TRANSPOSE(SAP_Speadsheet!$F$31:$BM$31))</f>
        <v>0</v>
      </c>
      <c r="L48" s="326" cm="1">
        <f t="array" aca="1" ref="L48" ca="1">SUMPRODUCT(L$55:L$114,TRANSPOSE(SAP_Speadsheet!$F$31:$BM$31))</f>
        <v>0</v>
      </c>
      <c r="M48" s="326" cm="1">
        <f t="array" aca="1" ref="M48" ca="1">SUMPRODUCT(M$55:M$114,TRANSPOSE(SAP_Speadsheet!$F$31:$BM$31))</f>
        <v>206.77000007732727</v>
      </c>
      <c r="N48" s="326" cm="1">
        <f t="array" aca="1" ref="N48" ca="1">SUMPRODUCT(N$55:N$114,TRANSPOSE(SAP_Speadsheet!$F$31:$BM$31))</f>
        <v>180.66256690966898</v>
      </c>
      <c r="O48" s="326" cm="1">
        <f t="array" aca="1" ref="O48" ca="1">SUMPRODUCT(O$55:O$114,TRANSPOSE(SAP_Speadsheet!$F$31:$BM$31))</f>
        <v>170.55618255483674</v>
      </c>
      <c r="P48" s="326" cm="1">
        <f t="array" aca="1" ref="P48" ca="1">SUMPRODUCT(P$55:P$114,TRANSPOSE(SAP_Speadsheet!$F$31:$BM$31))</f>
        <v>160.75837131167629</v>
      </c>
      <c r="Q48" s="326" cm="1">
        <f t="array" aca="1" ref="Q48" ca="1">SUMPRODUCT(Q$55:Q$114,TRANSPOSE(SAP_Speadsheet!$F$31:$BM$31))</f>
        <v>0</v>
      </c>
      <c r="R48" s="326" cm="1">
        <f t="array" aca="1" ref="R48" ca="1">SUMPRODUCT(R$55:R$114,TRANSPOSE(SAP_Speadsheet!$F$31:$BM$31))</f>
        <v>0</v>
      </c>
      <c r="S48" s="326" cm="1">
        <f t="array" aca="1" ref="S48" ca="1">SUMPRODUCT(S$55:S$114,TRANSPOSE(SAP_Speadsheet!$F$31:$BM$31))</f>
        <v>0</v>
      </c>
      <c r="T48" s="326" cm="1">
        <f t="array" aca="1" ref="T48" ca="1">SUMPRODUCT(T$55:T$114,TRANSPOSE(SAP_Speadsheet!$F$31:$BM$31))</f>
        <v>0</v>
      </c>
      <c r="U48" s="326" cm="1">
        <f t="array" aca="1" ref="U48" ca="1">SUMPRODUCT(U$55:U$114,TRANSPOSE(SAP_Speadsheet!$F$31:$BM$31))</f>
        <v>0</v>
      </c>
      <c r="V48" s="326" cm="1">
        <f t="array" aca="1" ref="V48" ca="1">SUMPRODUCT(V$55:V$114,TRANSPOSE(SAP_Speadsheet!$F$31:$BM$31))</f>
        <v>0</v>
      </c>
      <c r="W48" s="326" cm="1">
        <f t="array" aca="1" ref="W48" ca="1">SUMPRODUCT(W$55:W$114,TRANSPOSE(SAP_Speadsheet!$F$31:$BM$31))</f>
        <v>0</v>
      </c>
      <c r="X48" s="326" cm="1">
        <f t="array" aca="1" ref="X48" ca="1">SUMPRODUCT(X$55:X$114,TRANSPOSE(SAP_Speadsheet!$F$31:$BM$31))</f>
        <v>0</v>
      </c>
      <c r="Y48" s="326" cm="1">
        <f t="array" aca="1" ref="Y48" ca="1">SUMPRODUCT(Y$55:Y$114,TRANSPOSE(SAP_Speadsheet!$F$31:$BM$31))</f>
        <v>0</v>
      </c>
      <c r="Z48" s="326" cm="1">
        <f t="array" aca="1" ref="Z48" ca="1">SUMPRODUCT(Z$55:Z$114,TRANSPOSE(SAP_Speadsheet!$F$31:$BM$31))</f>
        <v>0</v>
      </c>
      <c r="AA48" s="326" cm="1">
        <f t="array" aca="1" ref="AA48" ca="1">SUMPRODUCT(AA$55:AA$114,TRANSPOSE(SAP_Speadsheet!$F$31:$BM$31))</f>
        <v>0</v>
      </c>
      <c r="AB48" s="326" cm="1">
        <f t="array" aca="1" ref="AB48" ca="1">SUMPRODUCT(AB$55:AB$114,TRANSPOSE(SAP_Speadsheet!$F$31:$BM$31))</f>
        <v>0</v>
      </c>
      <c r="AC48" s="326" cm="1">
        <f t="array" aca="1" ref="AC48" ca="1">SUMPRODUCT(AC$55:AC$114,TRANSPOSE(SAP_Speadsheet!$F$31:$BM$31))</f>
        <v>0</v>
      </c>
      <c r="AD48" s="326" cm="1">
        <f t="array" aca="1" ref="AD48" ca="1">SUMPRODUCT(AD$55:AD$114,TRANSPOSE(SAP_Speadsheet!$F$31:$BM$31))</f>
        <v>0</v>
      </c>
      <c r="AE48" s="326" cm="1">
        <f t="array" aca="1" ref="AE48" ca="1">SUMPRODUCT(AE$55:AE$114,TRANSPOSE(SAP_Speadsheet!$F$31:$BM$31))</f>
        <v>0</v>
      </c>
      <c r="AF48" s="326" cm="1">
        <f t="array" aca="1" ref="AF48" ca="1">SUMPRODUCT(AF$55:AF$114,TRANSPOSE(SAP_Speadsheet!$F$31:$BM$31))</f>
        <v>0</v>
      </c>
      <c r="AG48" s="326" cm="1">
        <f t="array" aca="1" ref="AG48" ca="1">SUMPRODUCT(AG$55:AG$114,TRANSPOSE(SAP_Speadsheet!$F$31:$BM$31))</f>
        <v>0</v>
      </c>
      <c r="AH48" s="326" cm="1">
        <f t="array" aca="1" ref="AH48" ca="1">SUMPRODUCT(AH$55:AH$114,TRANSPOSE(SAP_Speadsheet!$F$31:$BM$31))</f>
        <v>0</v>
      </c>
      <c r="AI48" s="326" cm="1">
        <f t="array" aca="1" ref="AI48" ca="1">SUMPRODUCT(AI$55:AI$114,TRANSPOSE(SAP_Speadsheet!$F$31:$BM$31))</f>
        <v>0</v>
      </c>
      <c r="AJ48" s="326" cm="1">
        <f t="array" aca="1" ref="AJ48" ca="1">SUMPRODUCT(AJ$55:AJ$114,TRANSPOSE(SAP_Speadsheet!$F$31:$BM$31))</f>
        <v>0</v>
      </c>
      <c r="AK48" s="326" cm="1">
        <f t="array" aca="1" ref="AK48" ca="1">SUMPRODUCT(AK$55:AK$114,TRANSPOSE(SAP_Speadsheet!$F$31:$BM$31))</f>
        <v>0</v>
      </c>
      <c r="AL48" s="326" cm="1">
        <f t="array" aca="1" ref="AL48" ca="1">SUMPRODUCT(AL$55:AL$114,TRANSPOSE(SAP_Speadsheet!$F$31:$BM$31))</f>
        <v>0</v>
      </c>
      <c r="AM48" s="326" cm="1">
        <f t="array" aca="1" ref="AM48" ca="1">SUMPRODUCT(AM$55:AM$114,TRANSPOSE(SAP_Speadsheet!$F$31:$BM$31))</f>
        <v>0</v>
      </c>
      <c r="AN48" s="326" cm="1">
        <f t="array" aca="1" ref="AN48" ca="1">SUMPRODUCT(AN$55:AN$114,TRANSPOSE(SAP_Speadsheet!$F$31:$BM$31))</f>
        <v>0</v>
      </c>
      <c r="AO48" s="326" cm="1">
        <f t="array" aca="1" ref="AO48" ca="1">SUMPRODUCT(AO$55:AO$114,TRANSPOSE(SAP_Speadsheet!$F$31:$BM$31))</f>
        <v>0</v>
      </c>
      <c r="AP48" s="326" cm="1">
        <f t="array" aca="1" ref="AP48" ca="1">SUMPRODUCT(AP$55:AP$114,TRANSPOSE(SAP_Speadsheet!$F$31:$BM$31))</f>
        <v>0</v>
      </c>
      <c r="AQ48" s="326" cm="1">
        <f t="array" aca="1" ref="AQ48" ca="1">SUMPRODUCT(AQ$55:AQ$114,TRANSPOSE(SAP_Speadsheet!$F$31:$BM$31))</f>
        <v>0</v>
      </c>
      <c r="AR48" s="326" cm="1">
        <f t="array" aca="1" ref="AR48" ca="1">SUMPRODUCT(AR$55:AR$114,TRANSPOSE(SAP_Speadsheet!$F$31:$BM$31))</f>
        <v>0</v>
      </c>
      <c r="AS48" s="326" cm="1">
        <f t="array" aca="1" ref="AS48" ca="1">SUMPRODUCT(AS$55:AS$114,TRANSPOSE(SAP_Speadsheet!$F$31:$BM$31))</f>
        <v>0</v>
      </c>
      <c r="AT48" s="326" cm="1">
        <f t="array" aca="1" ref="AT48" ca="1">SUMPRODUCT(AT$55:AT$114,TRANSPOSE(SAP_Speadsheet!$F$31:$BM$31))</f>
        <v>0</v>
      </c>
      <c r="AU48" s="326" cm="1">
        <f t="array" aca="1" ref="AU48" ca="1">SUMPRODUCT(AU$55:AU$114,TRANSPOSE(SAP_Speadsheet!$F$31:$BM$31))</f>
        <v>0</v>
      </c>
      <c r="AV48" s="326" cm="1">
        <f t="array" aca="1" ref="AV48" ca="1">SUMPRODUCT(AV$55:AV$114,TRANSPOSE(SAP_Speadsheet!$F$31:$BM$31))</f>
        <v>0</v>
      </c>
      <c r="AW48" s="326" cm="1">
        <f t="array" aca="1" ref="AW48" ca="1">SUMPRODUCT(AW$55:AW$114,TRANSPOSE(SAP_Speadsheet!$F$31:$BM$31))</f>
        <v>0</v>
      </c>
      <c r="AX48" s="326" cm="1">
        <f t="array" aca="1" ref="AX48" ca="1">SUMPRODUCT(AX$55:AX$114,TRANSPOSE(SAP_Speadsheet!$F$31:$BM$31))</f>
        <v>0</v>
      </c>
      <c r="AY48" s="326" cm="1">
        <f t="array" aca="1" ref="AY48" ca="1">SUMPRODUCT(AY$55:AY$114,TRANSPOSE(SAP_Speadsheet!$F$31:$BM$31))</f>
        <v>0</v>
      </c>
      <c r="AZ48" s="326" cm="1">
        <f t="array" aca="1" ref="AZ48" ca="1">SUMPRODUCT(AZ$55:AZ$114,TRANSPOSE(SAP_Speadsheet!$F$31:$BM$31))</f>
        <v>0</v>
      </c>
      <c r="BA48" s="326" cm="1">
        <f t="array" aca="1" ref="BA48" ca="1">SUMPRODUCT(BA$55:BA$114,TRANSPOSE(SAP_Speadsheet!$F$31:$BM$31))</f>
        <v>0</v>
      </c>
      <c r="BB48" s="326" cm="1">
        <f t="array" aca="1" ref="BB48" ca="1">SUMPRODUCT(BB$55:BB$114,TRANSPOSE(SAP_Speadsheet!$F$31:$BM$31))</f>
        <v>0</v>
      </c>
      <c r="BC48" s="326" cm="1">
        <f t="array" aca="1" ref="BC48" ca="1">SUMPRODUCT(BC$55:BC$114,TRANSPOSE(SAP_Speadsheet!$F$31:$BM$31))</f>
        <v>0</v>
      </c>
      <c r="BD48" s="326" cm="1">
        <f t="array" aca="1" ref="BD48" ca="1">SUMPRODUCT(BD$55:BD$114,TRANSPOSE(SAP_Speadsheet!$F$31:$BM$31))</f>
        <v>0</v>
      </c>
      <c r="BE48" s="326" cm="1">
        <f t="array" aca="1" ref="BE48" ca="1">SUMPRODUCT(BE$55:BE$114,TRANSPOSE(SAP_Speadsheet!$F$31:$BM$31))</f>
        <v>0</v>
      </c>
      <c r="BF48" s="326" cm="1">
        <f t="array" aca="1" ref="BF48" ca="1">SUMPRODUCT(BF$55:BF$114,TRANSPOSE(SAP_Speadsheet!$F$31:$BM$31))</f>
        <v>0</v>
      </c>
      <c r="BG48" s="326" cm="1">
        <f t="array" aca="1" ref="BG48" ca="1">SUMPRODUCT(BG$55:BG$114,TRANSPOSE(SAP_Speadsheet!$F$31:$BM$31))</f>
        <v>0</v>
      </c>
      <c r="BH48" s="326" cm="1">
        <f t="array" aca="1" ref="BH48" ca="1">SUMPRODUCT(BH$55:BH$114,TRANSPOSE(SAP_Speadsheet!$F$31:$BM$31))</f>
        <v>0</v>
      </c>
      <c r="BI48" s="326" cm="1">
        <f t="array" aca="1" ref="BI48" ca="1">SUMPRODUCT(BI$55:BI$114,TRANSPOSE(SAP_Speadsheet!$F$31:$BM$31))</f>
        <v>0</v>
      </c>
    </row>
    <row r="49" spans="1:62" x14ac:dyDescent="0.15">
      <c r="A49" s="315" t="s">
        <v>401</v>
      </c>
      <c r="B49" s="326" cm="1">
        <f t="array" aca="1" ref="B49" ca="1">SUMPRODUCT(B$55:B$114,TRANSPOSE(SAP_Speadsheet!$F$32:$BM$32))</f>
        <v>0</v>
      </c>
      <c r="C49" s="326" cm="1">
        <f t="array" aca="1" ref="C49" ca="1">SUMPRODUCT(C$55:C$114,TRANSPOSE(SAP_Speadsheet!$F$32:$BM$32))</f>
        <v>0</v>
      </c>
      <c r="D49" s="326" cm="1">
        <f t="array" aca="1" ref="D49" ca="1">SUMPRODUCT(D$55:D$114,TRANSPOSE(SAP_Speadsheet!$F$32:$BM$32))</f>
        <v>0</v>
      </c>
      <c r="E49" s="326" cm="1">
        <f t="array" aca="1" ref="E49" ca="1">SUMPRODUCT(E$55:E$114,TRANSPOSE(SAP_Speadsheet!$F$32:$BM$32))</f>
        <v>0</v>
      </c>
      <c r="F49" s="326" cm="1">
        <f t="array" aca="1" ref="F49" ca="1">SUMPRODUCT(F$55:F$114,TRANSPOSE(SAP_Speadsheet!$F$32:$BM$32))</f>
        <v>0</v>
      </c>
      <c r="G49" s="326" cm="1">
        <f t="array" aca="1" ref="G49" ca="1">SUMPRODUCT(G$55:G$114,TRANSPOSE(SAP_Speadsheet!$F$32:$BM$32))</f>
        <v>0</v>
      </c>
      <c r="H49" s="326" cm="1">
        <f t="array" aca="1" ref="H49" ca="1">SUMPRODUCT(H$55:H$114,TRANSPOSE(SAP_Speadsheet!$F$32:$BM$32))</f>
        <v>0</v>
      </c>
      <c r="I49" s="326" cm="1">
        <f t="array" aca="1" ref="I49" ca="1">SUMPRODUCT(I$55:I$114,TRANSPOSE(SAP_Speadsheet!$F$32:$BM$32))</f>
        <v>0</v>
      </c>
      <c r="J49" s="326" cm="1">
        <f t="array" aca="1" ref="J49" ca="1">SUMPRODUCT(J$55:J$114,TRANSPOSE(SAP_Speadsheet!$F$32:$BM$32))</f>
        <v>0</v>
      </c>
      <c r="K49" s="326" cm="1">
        <f t="array" aca="1" ref="K49" ca="1">SUMPRODUCT(K$55:K$114,TRANSPOSE(SAP_Speadsheet!$F$32:$BM$32))</f>
        <v>0</v>
      </c>
      <c r="L49" s="326" cm="1">
        <f t="array" aca="1" ref="L49" ca="1">SUMPRODUCT(L$55:L$114,TRANSPOSE(SAP_Speadsheet!$F$32:$BM$32))</f>
        <v>0</v>
      </c>
      <c r="M49" s="326" cm="1">
        <f t="array" aca="1" ref="M49" ca="1">SUMPRODUCT(M$55:M$114,TRANSPOSE(SAP_Speadsheet!$F$32:$BM$32))</f>
        <v>0</v>
      </c>
      <c r="N49" s="326" cm="1">
        <f t="array" aca="1" ref="N49" ca="1">SUMPRODUCT(N$55:N$114,TRANSPOSE(SAP_Speadsheet!$F$32:$BM$32))</f>
        <v>206.77000007732727</v>
      </c>
      <c r="O49" s="326" cm="1">
        <f t="array" aca="1" ref="O49" ca="1">SUMPRODUCT(O$55:O$114,TRANSPOSE(SAP_Speadsheet!$F$32:$BM$32))</f>
        <v>180.66256690966898</v>
      </c>
      <c r="P49" s="326" cm="1">
        <f t="array" aca="1" ref="P49" ca="1">SUMPRODUCT(P$55:P$114,TRANSPOSE(SAP_Speadsheet!$F$32:$BM$32))</f>
        <v>170.55618255483674</v>
      </c>
      <c r="Q49" s="326" cm="1">
        <f t="array" aca="1" ref="Q49" ca="1">SUMPRODUCT(Q$55:Q$114,TRANSPOSE(SAP_Speadsheet!$F$32:$BM$32))</f>
        <v>0</v>
      </c>
      <c r="R49" s="326" cm="1">
        <f t="array" aca="1" ref="R49" ca="1">SUMPRODUCT(R$55:R$114,TRANSPOSE(SAP_Speadsheet!$F$32:$BM$32))</f>
        <v>0</v>
      </c>
      <c r="S49" s="326" cm="1">
        <f t="array" aca="1" ref="S49" ca="1">SUMPRODUCT(S$55:S$114,TRANSPOSE(SAP_Speadsheet!$F$32:$BM$32))</f>
        <v>0</v>
      </c>
      <c r="T49" s="326" cm="1">
        <f t="array" aca="1" ref="T49" ca="1">SUMPRODUCT(T$55:T$114,TRANSPOSE(SAP_Speadsheet!$F$32:$BM$32))</f>
        <v>0</v>
      </c>
      <c r="U49" s="326" cm="1">
        <f t="array" aca="1" ref="U49" ca="1">SUMPRODUCT(U$55:U$114,TRANSPOSE(SAP_Speadsheet!$F$32:$BM$32))</f>
        <v>0</v>
      </c>
      <c r="V49" s="326" cm="1">
        <f t="array" aca="1" ref="V49" ca="1">SUMPRODUCT(V$55:V$114,TRANSPOSE(SAP_Speadsheet!$F$32:$BM$32))</f>
        <v>0</v>
      </c>
      <c r="W49" s="326" cm="1">
        <f t="array" aca="1" ref="W49" ca="1">SUMPRODUCT(W$55:W$114,TRANSPOSE(SAP_Speadsheet!$F$32:$BM$32))</f>
        <v>0</v>
      </c>
      <c r="X49" s="326" cm="1">
        <f t="array" aca="1" ref="X49" ca="1">SUMPRODUCT(X$55:X$114,TRANSPOSE(SAP_Speadsheet!$F$32:$BM$32))</f>
        <v>0</v>
      </c>
      <c r="Y49" s="326" cm="1">
        <f t="array" aca="1" ref="Y49" ca="1">SUMPRODUCT(Y$55:Y$114,TRANSPOSE(SAP_Speadsheet!$F$32:$BM$32))</f>
        <v>0</v>
      </c>
      <c r="Z49" s="326" cm="1">
        <f t="array" aca="1" ref="Z49" ca="1">SUMPRODUCT(Z$55:Z$114,TRANSPOSE(SAP_Speadsheet!$F$32:$BM$32))</f>
        <v>0</v>
      </c>
      <c r="AA49" s="326" cm="1">
        <f t="array" aca="1" ref="AA49" ca="1">SUMPRODUCT(AA$55:AA$114,TRANSPOSE(SAP_Speadsheet!$F$32:$BM$32))</f>
        <v>0</v>
      </c>
      <c r="AB49" s="326" cm="1">
        <f t="array" aca="1" ref="AB49" ca="1">SUMPRODUCT(AB$55:AB$114,TRANSPOSE(SAP_Speadsheet!$F$32:$BM$32))</f>
        <v>0</v>
      </c>
      <c r="AC49" s="326" cm="1">
        <f t="array" aca="1" ref="AC49" ca="1">SUMPRODUCT(AC$55:AC$114,TRANSPOSE(SAP_Speadsheet!$F$32:$BM$32))</f>
        <v>0</v>
      </c>
      <c r="AD49" s="326" cm="1">
        <f t="array" aca="1" ref="AD49" ca="1">SUMPRODUCT(AD$55:AD$114,TRANSPOSE(SAP_Speadsheet!$F$32:$BM$32))</f>
        <v>0</v>
      </c>
      <c r="AE49" s="326" cm="1">
        <f t="array" aca="1" ref="AE49" ca="1">SUMPRODUCT(AE$55:AE$114,TRANSPOSE(SAP_Speadsheet!$F$32:$BM$32))</f>
        <v>0</v>
      </c>
      <c r="AF49" s="326" cm="1">
        <f t="array" aca="1" ref="AF49" ca="1">SUMPRODUCT(AF$55:AF$114,TRANSPOSE(SAP_Speadsheet!$F$32:$BM$32))</f>
        <v>0</v>
      </c>
      <c r="AG49" s="326" cm="1">
        <f t="array" aca="1" ref="AG49" ca="1">SUMPRODUCT(AG$55:AG$114,TRANSPOSE(SAP_Speadsheet!$F$32:$BM$32))</f>
        <v>0</v>
      </c>
      <c r="AH49" s="326" cm="1">
        <f t="array" aca="1" ref="AH49" ca="1">SUMPRODUCT(AH$55:AH$114,TRANSPOSE(SAP_Speadsheet!$F$32:$BM$32))</f>
        <v>0</v>
      </c>
      <c r="AI49" s="326" cm="1">
        <f t="array" aca="1" ref="AI49" ca="1">SUMPRODUCT(AI$55:AI$114,TRANSPOSE(SAP_Speadsheet!$F$32:$BM$32))</f>
        <v>0</v>
      </c>
      <c r="AJ49" s="326" cm="1">
        <f t="array" aca="1" ref="AJ49" ca="1">SUMPRODUCT(AJ$55:AJ$114,TRANSPOSE(SAP_Speadsheet!$F$32:$BM$32))</f>
        <v>0</v>
      </c>
      <c r="AK49" s="326" cm="1">
        <f t="array" aca="1" ref="AK49" ca="1">SUMPRODUCT(AK$55:AK$114,TRANSPOSE(SAP_Speadsheet!$F$32:$BM$32))</f>
        <v>0</v>
      </c>
      <c r="AL49" s="326" cm="1">
        <f t="array" aca="1" ref="AL49" ca="1">SUMPRODUCT(AL$55:AL$114,TRANSPOSE(SAP_Speadsheet!$F$32:$BM$32))</f>
        <v>0</v>
      </c>
      <c r="AM49" s="326" cm="1">
        <f t="array" aca="1" ref="AM49" ca="1">SUMPRODUCT(AM$55:AM$114,TRANSPOSE(SAP_Speadsheet!$F$32:$BM$32))</f>
        <v>0</v>
      </c>
      <c r="AN49" s="326" cm="1">
        <f t="array" aca="1" ref="AN49" ca="1">SUMPRODUCT(AN$55:AN$114,TRANSPOSE(SAP_Speadsheet!$F$32:$BM$32))</f>
        <v>0</v>
      </c>
      <c r="AO49" s="326" cm="1">
        <f t="array" aca="1" ref="AO49" ca="1">SUMPRODUCT(AO$55:AO$114,TRANSPOSE(SAP_Speadsheet!$F$32:$BM$32))</f>
        <v>0</v>
      </c>
      <c r="AP49" s="326" cm="1">
        <f t="array" aca="1" ref="AP49" ca="1">SUMPRODUCT(AP$55:AP$114,TRANSPOSE(SAP_Speadsheet!$F$32:$BM$32))</f>
        <v>0</v>
      </c>
      <c r="AQ49" s="326" cm="1">
        <f t="array" aca="1" ref="AQ49" ca="1">SUMPRODUCT(AQ$55:AQ$114,TRANSPOSE(SAP_Speadsheet!$F$32:$BM$32))</f>
        <v>0</v>
      </c>
      <c r="AR49" s="326" cm="1">
        <f t="array" aca="1" ref="AR49" ca="1">SUMPRODUCT(AR$55:AR$114,TRANSPOSE(SAP_Speadsheet!$F$32:$BM$32))</f>
        <v>0</v>
      </c>
      <c r="AS49" s="326" cm="1">
        <f t="array" aca="1" ref="AS49" ca="1">SUMPRODUCT(AS$55:AS$114,TRANSPOSE(SAP_Speadsheet!$F$32:$BM$32))</f>
        <v>0</v>
      </c>
      <c r="AT49" s="326" cm="1">
        <f t="array" aca="1" ref="AT49" ca="1">SUMPRODUCT(AT$55:AT$114,TRANSPOSE(SAP_Speadsheet!$F$32:$BM$32))</f>
        <v>0</v>
      </c>
      <c r="AU49" s="326" cm="1">
        <f t="array" aca="1" ref="AU49" ca="1">SUMPRODUCT(AU$55:AU$114,TRANSPOSE(SAP_Speadsheet!$F$32:$BM$32))</f>
        <v>0</v>
      </c>
      <c r="AV49" s="326" cm="1">
        <f t="array" aca="1" ref="AV49" ca="1">SUMPRODUCT(AV$55:AV$114,TRANSPOSE(SAP_Speadsheet!$F$32:$BM$32))</f>
        <v>0</v>
      </c>
      <c r="AW49" s="326" cm="1">
        <f t="array" aca="1" ref="AW49" ca="1">SUMPRODUCT(AW$55:AW$114,TRANSPOSE(SAP_Speadsheet!$F$32:$BM$32))</f>
        <v>0</v>
      </c>
      <c r="AX49" s="326" cm="1">
        <f t="array" aca="1" ref="AX49" ca="1">SUMPRODUCT(AX$55:AX$114,TRANSPOSE(SAP_Speadsheet!$F$32:$BM$32))</f>
        <v>0</v>
      </c>
      <c r="AY49" s="326" cm="1">
        <f t="array" aca="1" ref="AY49" ca="1">SUMPRODUCT(AY$55:AY$114,TRANSPOSE(SAP_Speadsheet!$F$32:$BM$32))</f>
        <v>0</v>
      </c>
      <c r="AZ49" s="326" cm="1">
        <f t="array" aca="1" ref="AZ49" ca="1">SUMPRODUCT(AZ$55:AZ$114,TRANSPOSE(SAP_Speadsheet!$F$32:$BM$32))</f>
        <v>0</v>
      </c>
      <c r="BA49" s="326" cm="1">
        <f t="array" aca="1" ref="BA49" ca="1">SUMPRODUCT(BA$55:BA$114,TRANSPOSE(SAP_Speadsheet!$F$32:$BM$32))</f>
        <v>0</v>
      </c>
      <c r="BB49" s="326" cm="1">
        <f t="array" aca="1" ref="BB49" ca="1">SUMPRODUCT(BB$55:BB$114,TRANSPOSE(SAP_Speadsheet!$F$32:$BM$32))</f>
        <v>0</v>
      </c>
      <c r="BC49" s="326" cm="1">
        <f t="array" aca="1" ref="BC49" ca="1">SUMPRODUCT(BC$55:BC$114,TRANSPOSE(SAP_Speadsheet!$F$32:$BM$32))</f>
        <v>0</v>
      </c>
      <c r="BD49" s="326" cm="1">
        <f t="array" aca="1" ref="BD49" ca="1">SUMPRODUCT(BD$55:BD$114,TRANSPOSE(SAP_Speadsheet!$F$32:$BM$32))</f>
        <v>0</v>
      </c>
      <c r="BE49" s="326" cm="1">
        <f t="array" aca="1" ref="BE49" ca="1">SUMPRODUCT(BE$55:BE$114,TRANSPOSE(SAP_Speadsheet!$F$32:$BM$32))</f>
        <v>0</v>
      </c>
      <c r="BF49" s="326" cm="1">
        <f t="array" aca="1" ref="BF49" ca="1">SUMPRODUCT(BF$55:BF$114,TRANSPOSE(SAP_Speadsheet!$F$32:$BM$32))</f>
        <v>0</v>
      </c>
      <c r="BG49" s="326" cm="1">
        <f t="array" aca="1" ref="BG49" ca="1">SUMPRODUCT(BG$55:BG$114,TRANSPOSE(SAP_Speadsheet!$F$32:$BM$32))</f>
        <v>0</v>
      </c>
      <c r="BH49" s="326" cm="1">
        <f t="array" aca="1" ref="BH49" ca="1">SUMPRODUCT(BH$55:BH$114,TRANSPOSE(SAP_Speadsheet!$F$32:$BM$32))</f>
        <v>0</v>
      </c>
      <c r="BI49" s="326" cm="1">
        <f t="array" aca="1" ref="BI49" ca="1">SUMPRODUCT(BI$55:BI$114,TRANSPOSE(SAP_Speadsheet!$F$32:$BM$32))</f>
        <v>0</v>
      </c>
    </row>
    <row r="50" spans="1:62" x14ac:dyDescent="0.15">
      <c r="A50" s="315" t="s">
        <v>321</v>
      </c>
      <c r="B50" s="326" cm="1">
        <f t="array" aca="1" ref="B50" ca="1">SUMPRODUCT(B$55:B$114,TRANSPOSE(SAP_Speadsheet!$F$33:$BM$33))</f>
        <v>0</v>
      </c>
      <c r="C50" s="326" cm="1">
        <f t="array" aca="1" ref="C50" ca="1">SUMPRODUCT(C$55:C$114,TRANSPOSE(SAP_Speadsheet!$F$33:$BM$33))</f>
        <v>0</v>
      </c>
      <c r="D50" s="326" cm="1">
        <f t="array" aca="1" ref="D50" ca="1">SUMPRODUCT(D$55:D$114,TRANSPOSE(SAP_Speadsheet!$F$33:$BM$33))</f>
        <v>0</v>
      </c>
      <c r="E50" s="326" cm="1">
        <f t="array" aca="1" ref="E50" ca="1">SUMPRODUCT(E$55:E$114,TRANSPOSE(SAP_Speadsheet!$F$33:$BM$33))</f>
        <v>0</v>
      </c>
      <c r="F50" s="326" cm="1">
        <f t="array" aca="1" ref="F50" ca="1">SUMPRODUCT(F$55:F$114,TRANSPOSE(SAP_Speadsheet!$F$33:$BM$33))</f>
        <v>0</v>
      </c>
      <c r="G50" s="326" cm="1">
        <f t="array" aca="1" ref="G50" ca="1">SUMPRODUCT(G$55:G$114,TRANSPOSE(SAP_Speadsheet!$F$33:$BM$33))</f>
        <v>0</v>
      </c>
      <c r="H50" s="326" cm="1">
        <f t="array" aca="1" ref="H50" ca="1">SUMPRODUCT(H$55:H$114,TRANSPOSE(SAP_Speadsheet!$F$33:$BM$33))</f>
        <v>0</v>
      </c>
      <c r="I50" s="326" cm="1">
        <f t="array" aca="1" ref="I50" ca="1">SUMPRODUCT(I$55:I$114,TRANSPOSE(SAP_Speadsheet!$F$33:$BM$33))</f>
        <v>0</v>
      </c>
      <c r="J50" s="326" cm="1">
        <f t="array" aca="1" ref="J50" ca="1">SUMPRODUCT(J$55:J$114,TRANSPOSE(SAP_Speadsheet!$F$33:$BM$33))</f>
        <v>0</v>
      </c>
      <c r="K50" s="326" cm="1">
        <f t="array" aca="1" ref="K50" ca="1">SUMPRODUCT(K$55:K$114,TRANSPOSE(SAP_Speadsheet!$F$33:$BM$33))</f>
        <v>0</v>
      </c>
      <c r="L50" s="326" cm="1">
        <f t="array" aca="1" ref="L50" ca="1">SUMPRODUCT(L$55:L$114,TRANSPOSE(SAP_Speadsheet!$F$33:$BM$33))</f>
        <v>0</v>
      </c>
      <c r="M50" s="326" cm="1">
        <f t="array" aca="1" ref="M50" ca="1">SUMPRODUCT(M$55:M$114,TRANSPOSE(SAP_Speadsheet!$F$33:$BM$33))</f>
        <v>0</v>
      </c>
      <c r="N50" s="326" cm="1">
        <f t="array" aca="1" ref="N50" ca="1">SUMPRODUCT(N$55:N$114,TRANSPOSE(SAP_Speadsheet!$F$33:$BM$33))</f>
        <v>0</v>
      </c>
      <c r="O50" s="326" cm="1">
        <f t="array" aca="1" ref="O50" ca="1">SUMPRODUCT(O$55:O$114,TRANSPOSE(SAP_Speadsheet!$F$33:$BM$33))</f>
        <v>206.77000007732727</v>
      </c>
      <c r="P50" s="326" cm="1">
        <f t="array" aca="1" ref="P50" ca="1">SUMPRODUCT(P$55:P$114,TRANSPOSE(SAP_Speadsheet!$F$33:$BM$33))</f>
        <v>387.43256698699622</v>
      </c>
      <c r="Q50" s="326" cm="1">
        <f t="array" aca="1" ref="Q50" ca="1">SUMPRODUCT(Q$55:Q$114,TRANSPOSE(SAP_Speadsheet!$F$33:$BM$33))</f>
        <v>0</v>
      </c>
      <c r="R50" s="326" cm="1">
        <f t="array" aca="1" ref="R50" ca="1">SUMPRODUCT(R$55:R$114,TRANSPOSE(SAP_Speadsheet!$F$33:$BM$33))</f>
        <v>0</v>
      </c>
      <c r="S50" s="326" cm="1">
        <f t="array" aca="1" ref="S50" ca="1">SUMPRODUCT(S$55:S$114,TRANSPOSE(SAP_Speadsheet!$F$33:$BM$33))</f>
        <v>0</v>
      </c>
      <c r="T50" s="326" cm="1">
        <f t="array" aca="1" ref="T50" ca="1">SUMPRODUCT(T$55:T$114,TRANSPOSE(SAP_Speadsheet!$F$33:$BM$33))</f>
        <v>0</v>
      </c>
      <c r="U50" s="326" cm="1">
        <f t="array" aca="1" ref="U50" ca="1">SUMPRODUCT(U$55:U$114,TRANSPOSE(SAP_Speadsheet!$F$33:$BM$33))</f>
        <v>0</v>
      </c>
      <c r="V50" s="326" cm="1">
        <f t="array" aca="1" ref="V50" ca="1">SUMPRODUCT(V$55:V$114,TRANSPOSE(SAP_Speadsheet!$F$33:$BM$33))</f>
        <v>0</v>
      </c>
      <c r="W50" s="326" cm="1">
        <f t="array" aca="1" ref="W50" ca="1">SUMPRODUCT(W$55:W$114,TRANSPOSE(SAP_Speadsheet!$F$33:$BM$33))</f>
        <v>0</v>
      </c>
      <c r="X50" s="326" cm="1">
        <f t="array" aca="1" ref="X50" ca="1">SUMPRODUCT(X$55:X$114,TRANSPOSE(SAP_Speadsheet!$F$33:$BM$33))</f>
        <v>0</v>
      </c>
      <c r="Y50" s="326" cm="1">
        <f t="array" aca="1" ref="Y50" ca="1">SUMPRODUCT(Y$55:Y$114,TRANSPOSE(SAP_Speadsheet!$F$33:$BM$33))</f>
        <v>0</v>
      </c>
      <c r="Z50" s="326" cm="1">
        <f t="array" aca="1" ref="Z50" ca="1">SUMPRODUCT(Z$55:Z$114,TRANSPOSE(SAP_Speadsheet!$F$33:$BM$33))</f>
        <v>0</v>
      </c>
      <c r="AA50" s="326" cm="1">
        <f t="array" aca="1" ref="AA50" ca="1">SUMPRODUCT(AA$55:AA$114,TRANSPOSE(SAP_Speadsheet!$F$33:$BM$33))</f>
        <v>0</v>
      </c>
      <c r="AB50" s="326" cm="1">
        <f t="array" aca="1" ref="AB50" ca="1">SUMPRODUCT(AB$55:AB$114,TRANSPOSE(SAP_Speadsheet!$F$33:$BM$33))</f>
        <v>0</v>
      </c>
      <c r="AC50" s="326" cm="1">
        <f t="array" aca="1" ref="AC50" ca="1">SUMPRODUCT(AC$55:AC$114,TRANSPOSE(SAP_Speadsheet!$F$33:$BM$33))</f>
        <v>0</v>
      </c>
      <c r="AD50" s="326" cm="1">
        <f t="array" aca="1" ref="AD50" ca="1">SUMPRODUCT(AD$55:AD$114,TRANSPOSE(SAP_Speadsheet!$F$33:$BM$33))</f>
        <v>0</v>
      </c>
      <c r="AE50" s="326" cm="1">
        <f t="array" aca="1" ref="AE50" ca="1">SUMPRODUCT(AE$55:AE$114,TRANSPOSE(SAP_Speadsheet!$F$33:$BM$33))</f>
        <v>0</v>
      </c>
      <c r="AF50" s="326" cm="1">
        <f t="array" aca="1" ref="AF50" ca="1">SUMPRODUCT(AF$55:AF$114,TRANSPOSE(SAP_Speadsheet!$F$33:$BM$33))</f>
        <v>0</v>
      </c>
      <c r="AG50" s="326" cm="1">
        <f t="array" aca="1" ref="AG50" ca="1">SUMPRODUCT(AG$55:AG$114,TRANSPOSE(SAP_Speadsheet!$F$33:$BM$33))</f>
        <v>0</v>
      </c>
      <c r="AH50" s="326" cm="1">
        <f t="array" aca="1" ref="AH50" ca="1">SUMPRODUCT(AH$55:AH$114,TRANSPOSE(SAP_Speadsheet!$F$33:$BM$33))</f>
        <v>0</v>
      </c>
      <c r="AI50" s="326" cm="1">
        <f t="array" aca="1" ref="AI50" ca="1">SUMPRODUCT(AI$55:AI$114,TRANSPOSE(SAP_Speadsheet!$F$33:$BM$33))</f>
        <v>0</v>
      </c>
      <c r="AJ50" s="326" cm="1">
        <f t="array" aca="1" ref="AJ50" ca="1">SUMPRODUCT(AJ$55:AJ$114,TRANSPOSE(SAP_Speadsheet!$F$33:$BM$33))</f>
        <v>0</v>
      </c>
      <c r="AK50" s="326" cm="1">
        <f t="array" aca="1" ref="AK50" ca="1">SUMPRODUCT(AK$55:AK$114,TRANSPOSE(SAP_Speadsheet!$F$33:$BM$33))</f>
        <v>0</v>
      </c>
      <c r="AL50" s="326" cm="1">
        <f t="array" aca="1" ref="AL50" ca="1">SUMPRODUCT(AL$55:AL$114,TRANSPOSE(SAP_Speadsheet!$F$33:$BM$33))</f>
        <v>0</v>
      </c>
      <c r="AM50" s="326" cm="1">
        <f t="array" aca="1" ref="AM50" ca="1">SUMPRODUCT(AM$55:AM$114,TRANSPOSE(SAP_Speadsheet!$F$33:$BM$33))</f>
        <v>0</v>
      </c>
      <c r="AN50" s="326" cm="1">
        <f t="array" aca="1" ref="AN50" ca="1">SUMPRODUCT(AN$55:AN$114,TRANSPOSE(SAP_Speadsheet!$F$33:$BM$33))</f>
        <v>0</v>
      </c>
      <c r="AO50" s="326" cm="1">
        <f t="array" aca="1" ref="AO50" ca="1">SUMPRODUCT(AO$55:AO$114,TRANSPOSE(SAP_Speadsheet!$F$33:$BM$33))</f>
        <v>0</v>
      </c>
      <c r="AP50" s="326" cm="1">
        <f t="array" aca="1" ref="AP50" ca="1">SUMPRODUCT(AP$55:AP$114,TRANSPOSE(SAP_Speadsheet!$F$33:$BM$33))</f>
        <v>0</v>
      </c>
      <c r="AQ50" s="326" cm="1">
        <f t="array" aca="1" ref="AQ50" ca="1">SUMPRODUCT(AQ$55:AQ$114,TRANSPOSE(SAP_Speadsheet!$F$33:$BM$33))</f>
        <v>0</v>
      </c>
      <c r="AR50" s="326" cm="1">
        <f t="array" aca="1" ref="AR50" ca="1">SUMPRODUCT(AR$55:AR$114,TRANSPOSE(SAP_Speadsheet!$F$33:$BM$33))</f>
        <v>0</v>
      </c>
      <c r="AS50" s="326" cm="1">
        <f t="array" aca="1" ref="AS50" ca="1">SUMPRODUCT(AS$55:AS$114,TRANSPOSE(SAP_Speadsheet!$F$33:$BM$33))</f>
        <v>0</v>
      </c>
      <c r="AT50" s="326" cm="1">
        <f t="array" aca="1" ref="AT50" ca="1">SUMPRODUCT(AT$55:AT$114,TRANSPOSE(SAP_Speadsheet!$F$33:$BM$33))</f>
        <v>0</v>
      </c>
      <c r="AU50" s="326" cm="1">
        <f t="array" aca="1" ref="AU50" ca="1">SUMPRODUCT(AU$55:AU$114,TRANSPOSE(SAP_Speadsheet!$F$33:$BM$33))</f>
        <v>0</v>
      </c>
      <c r="AV50" s="326" cm="1">
        <f t="array" aca="1" ref="AV50" ca="1">SUMPRODUCT(AV$55:AV$114,TRANSPOSE(SAP_Speadsheet!$F$33:$BM$33))</f>
        <v>0</v>
      </c>
      <c r="AW50" s="326" cm="1">
        <f t="array" aca="1" ref="AW50" ca="1">SUMPRODUCT(AW$55:AW$114,TRANSPOSE(SAP_Speadsheet!$F$33:$BM$33))</f>
        <v>0</v>
      </c>
      <c r="AX50" s="326" cm="1">
        <f t="array" aca="1" ref="AX50" ca="1">SUMPRODUCT(AX$55:AX$114,TRANSPOSE(SAP_Speadsheet!$F$33:$BM$33))</f>
        <v>0</v>
      </c>
      <c r="AY50" s="326" cm="1">
        <f t="array" aca="1" ref="AY50" ca="1">SUMPRODUCT(AY$55:AY$114,TRANSPOSE(SAP_Speadsheet!$F$33:$BM$33))</f>
        <v>0</v>
      </c>
      <c r="AZ50" s="326" cm="1">
        <f t="array" aca="1" ref="AZ50" ca="1">SUMPRODUCT(AZ$55:AZ$114,TRANSPOSE(SAP_Speadsheet!$F$33:$BM$33))</f>
        <v>0</v>
      </c>
      <c r="BA50" s="326" cm="1">
        <f t="array" aca="1" ref="BA50" ca="1">SUMPRODUCT(BA$55:BA$114,TRANSPOSE(SAP_Speadsheet!$F$33:$BM$33))</f>
        <v>0</v>
      </c>
      <c r="BB50" s="326" cm="1">
        <f t="array" aca="1" ref="BB50" ca="1">SUMPRODUCT(BB$55:BB$114,TRANSPOSE(SAP_Speadsheet!$F$33:$BM$33))</f>
        <v>0</v>
      </c>
      <c r="BC50" s="326" cm="1">
        <f t="array" aca="1" ref="BC50" ca="1">SUMPRODUCT(BC$55:BC$114,TRANSPOSE(SAP_Speadsheet!$F$33:$BM$33))</f>
        <v>0</v>
      </c>
      <c r="BD50" s="326" cm="1">
        <f t="array" aca="1" ref="BD50" ca="1">SUMPRODUCT(BD$55:BD$114,TRANSPOSE(SAP_Speadsheet!$F$33:$BM$33))</f>
        <v>0</v>
      </c>
      <c r="BE50" s="326" cm="1">
        <f t="array" aca="1" ref="BE50" ca="1">SUMPRODUCT(BE$55:BE$114,TRANSPOSE(SAP_Speadsheet!$F$33:$BM$33))</f>
        <v>0</v>
      </c>
      <c r="BF50" s="326" cm="1">
        <f t="array" aca="1" ref="BF50" ca="1">SUMPRODUCT(BF$55:BF$114,TRANSPOSE(SAP_Speadsheet!$F$33:$BM$33))</f>
        <v>0</v>
      </c>
      <c r="BG50" s="326" cm="1">
        <f t="array" aca="1" ref="BG50" ca="1">SUMPRODUCT(BG$55:BG$114,TRANSPOSE(SAP_Speadsheet!$F$33:$BM$33))</f>
        <v>0</v>
      </c>
      <c r="BH50" s="326" cm="1">
        <f t="array" aca="1" ref="BH50" ca="1">SUMPRODUCT(BH$55:BH$114,TRANSPOSE(SAP_Speadsheet!$F$33:$BM$33))</f>
        <v>0</v>
      </c>
      <c r="BI50" s="326" cm="1">
        <f t="array" aca="1" ref="BI50" ca="1">SUMPRODUCT(BI$55:BI$114,TRANSPOSE(SAP_Speadsheet!$F$33:$BM$33))</f>
        <v>0</v>
      </c>
    </row>
    <row r="51" spans="1:62" s="333" customFormat="1" x14ac:dyDescent="0.15">
      <c r="A51" s="328" t="s">
        <v>369</v>
      </c>
      <c r="B51" s="332">
        <f t="shared" ref="B51:BI51" ca="1" si="6">SUM(B36:B50)-B7</f>
        <v>0</v>
      </c>
      <c r="C51" s="332">
        <f t="shared" ca="1" si="6"/>
        <v>0</v>
      </c>
      <c r="D51" s="332">
        <f t="shared" ca="1" si="6"/>
        <v>0</v>
      </c>
      <c r="E51" s="332">
        <f t="shared" ca="1" si="6"/>
        <v>0</v>
      </c>
      <c r="F51" s="332">
        <f t="shared" ca="1" si="6"/>
        <v>0</v>
      </c>
      <c r="G51" s="332">
        <f t="shared" ca="1" si="6"/>
        <v>0</v>
      </c>
      <c r="H51" s="332">
        <f t="shared" ca="1" si="6"/>
        <v>0</v>
      </c>
      <c r="I51" s="332">
        <f t="shared" ca="1" si="6"/>
        <v>0</v>
      </c>
      <c r="J51" s="332">
        <f t="shared" ca="1" si="6"/>
        <v>0</v>
      </c>
      <c r="K51" s="332">
        <f t="shared" ca="1" si="6"/>
        <v>0</v>
      </c>
      <c r="L51" s="332">
        <f t="shared" ca="1" si="6"/>
        <v>0</v>
      </c>
      <c r="M51" s="332">
        <f t="shared" ca="1" si="6"/>
        <v>0</v>
      </c>
      <c r="N51" s="332">
        <f t="shared" ca="1" si="6"/>
        <v>0</v>
      </c>
      <c r="O51" s="332">
        <f t="shared" ca="1" si="6"/>
        <v>0</v>
      </c>
      <c r="P51" s="332">
        <f t="shared" ca="1" si="6"/>
        <v>0</v>
      </c>
      <c r="Q51" s="332">
        <f t="shared" ca="1" si="6"/>
        <v>0</v>
      </c>
      <c r="R51" s="332">
        <f t="shared" ca="1" si="6"/>
        <v>0</v>
      </c>
      <c r="S51" s="332">
        <f t="shared" ca="1" si="6"/>
        <v>0</v>
      </c>
      <c r="T51" s="332">
        <f t="shared" ca="1" si="6"/>
        <v>0</v>
      </c>
      <c r="U51" s="332">
        <f t="shared" ca="1" si="6"/>
        <v>0</v>
      </c>
      <c r="V51" s="332">
        <f t="shared" ca="1" si="6"/>
        <v>0</v>
      </c>
      <c r="W51" s="332">
        <f t="shared" ca="1" si="6"/>
        <v>0</v>
      </c>
      <c r="X51" s="332">
        <f t="shared" ca="1" si="6"/>
        <v>0</v>
      </c>
      <c r="Y51" s="332">
        <f t="shared" ca="1" si="6"/>
        <v>0</v>
      </c>
      <c r="Z51" s="332">
        <f t="shared" ca="1" si="6"/>
        <v>0</v>
      </c>
      <c r="AA51" s="332">
        <f t="shared" ca="1" si="6"/>
        <v>0</v>
      </c>
      <c r="AB51" s="332">
        <f t="shared" ca="1" si="6"/>
        <v>0</v>
      </c>
      <c r="AC51" s="332">
        <f t="shared" ca="1" si="6"/>
        <v>0</v>
      </c>
      <c r="AD51" s="332">
        <f t="shared" ca="1" si="6"/>
        <v>0</v>
      </c>
      <c r="AE51" s="332">
        <f t="shared" ca="1" si="6"/>
        <v>0</v>
      </c>
      <c r="AF51" s="332">
        <f t="shared" ca="1" si="6"/>
        <v>0</v>
      </c>
      <c r="AG51" s="332">
        <f t="shared" ca="1" si="6"/>
        <v>0</v>
      </c>
      <c r="AH51" s="332">
        <f t="shared" ca="1" si="6"/>
        <v>0</v>
      </c>
      <c r="AI51" s="332">
        <f t="shared" ca="1" si="6"/>
        <v>0</v>
      </c>
      <c r="AJ51" s="332">
        <f t="shared" ca="1" si="6"/>
        <v>0</v>
      </c>
      <c r="AK51" s="332">
        <f t="shared" ca="1" si="6"/>
        <v>0</v>
      </c>
      <c r="AL51" s="332">
        <f t="shared" ca="1" si="6"/>
        <v>0</v>
      </c>
      <c r="AM51" s="332">
        <f t="shared" ca="1" si="6"/>
        <v>0</v>
      </c>
      <c r="AN51" s="332">
        <f t="shared" ca="1" si="6"/>
        <v>0</v>
      </c>
      <c r="AO51" s="332">
        <f t="shared" ca="1" si="6"/>
        <v>0</v>
      </c>
      <c r="AP51" s="332">
        <f t="shared" ca="1" si="6"/>
        <v>0</v>
      </c>
      <c r="AQ51" s="332">
        <f t="shared" ca="1" si="6"/>
        <v>0</v>
      </c>
      <c r="AR51" s="332">
        <f t="shared" ca="1" si="6"/>
        <v>0</v>
      </c>
      <c r="AS51" s="332">
        <f t="shared" ca="1" si="6"/>
        <v>0</v>
      </c>
      <c r="AT51" s="332">
        <f t="shared" ca="1" si="6"/>
        <v>0</v>
      </c>
      <c r="AU51" s="332">
        <f t="shared" ca="1" si="6"/>
        <v>0</v>
      </c>
      <c r="AV51" s="332">
        <f t="shared" ca="1" si="6"/>
        <v>0</v>
      </c>
      <c r="AW51" s="332">
        <f t="shared" ca="1" si="6"/>
        <v>0</v>
      </c>
      <c r="AX51" s="332">
        <f t="shared" ca="1" si="6"/>
        <v>0</v>
      </c>
      <c r="AY51" s="332">
        <f t="shared" ca="1" si="6"/>
        <v>0</v>
      </c>
      <c r="AZ51" s="332">
        <f t="shared" ca="1" si="6"/>
        <v>0</v>
      </c>
      <c r="BA51" s="332">
        <f t="shared" ca="1" si="6"/>
        <v>0</v>
      </c>
      <c r="BB51" s="332">
        <f t="shared" ca="1" si="6"/>
        <v>0</v>
      </c>
      <c r="BC51" s="332">
        <f t="shared" ca="1" si="6"/>
        <v>0</v>
      </c>
      <c r="BD51" s="332">
        <f t="shared" ca="1" si="6"/>
        <v>0</v>
      </c>
      <c r="BE51" s="332">
        <f t="shared" ca="1" si="6"/>
        <v>0</v>
      </c>
      <c r="BF51" s="332">
        <f t="shared" ca="1" si="6"/>
        <v>0</v>
      </c>
      <c r="BG51" s="332">
        <f t="shared" ca="1" si="6"/>
        <v>0</v>
      </c>
      <c r="BH51" s="332">
        <f t="shared" ca="1" si="6"/>
        <v>0</v>
      </c>
      <c r="BI51" s="332">
        <f t="shared" ca="1" si="6"/>
        <v>0</v>
      </c>
    </row>
    <row r="52" spans="1:62" x14ac:dyDescent="0.15">
      <c r="A52" s="328"/>
      <c r="B52" s="332"/>
      <c r="C52" s="332"/>
      <c r="D52" s="332"/>
      <c r="E52" s="332"/>
      <c r="F52" s="332"/>
      <c r="G52" s="332"/>
      <c r="H52" s="332"/>
      <c r="I52" s="332"/>
      <c r="J52" s="332"/>
      <c r="K52" s="332"/>
      <c r="L52" s="332"/>
      <c r="M52" s="332"/>
      <c r="N52" s="332"/>
      <c r="O52" s="332"/>
      <c r="P52" s="332"/>
      <c r="Q52" s="332"/>
      <c r="R52" s="332"/>
      <c r="S52" s="332"/>
      <c r="T52" s="332"/>
      <c r="U52" s="332"/>
      <c r="V52" s="332"/>
      <c r="W52" s="332"/>
      <c r="X52" s="332"/>
      <c r="Y52" s="332"/>
      <c r="Z52" s="332"/>
      <c r="AA52" s="332"/>
      <c r="AB52" s="332"/>
      <c r="AC52" s="332"/>
      <c r="AD52" s="332"/>
      <c r="AE52" s="332"/>
      <c r="AF52" s="332"/>
      <c r="AG52" s="332"/>
      <c r="AH52" s="332"/>
      <c r="AI52" s="332"/>
      <c r="AJ52" s="332"/>
      <c r="AK52" s="332"/>
      <c r="AL52" s="332"/>
      <c r="AM52" s="332"/>
      <c r="AN52" s="332"/>
      <c r="AO52" s="332"/>
      <c r="AP52" s="332"/>
      <c r="AQ52" s="332"/>
      <c r="AR52" s="332"/>
      <c r="AS52" s="332"/>
      <c r="AT52" s="332"/>
      <c r="AU52" s="332"/>
      <c r="AV52" s="332"/>
      <c r="AW52" s="332"/>
      <c r="AX52" s="332"/>
      <c r="AY52" s="332"/>
      <c r="AZ52" s="332"/>
      <c r="BA52" s="332"/>
      <c r="BB52" s="332"/>
      <c r="BC52" s="332"/>
      <c r="BD52" s="332"/>
      <c r="BE52" s="332"/>
      <c r="BF52" s="332"/>
      <c r="BG52" s="332"/>
      <c r="BH52" s="332"/>
      <c r="BI52" s="332"/>
    </row>
    <row r="53" spans="1:62" s="333" customFormat="1" x14ac:dyDescent="0.15">
      <c r="A53" s="328"/>
    </row>
    <row r="54" spans="1:62" s="314" customFormat="1" outlineLevel="1" x14ac:dyDescent="0.15">
      <c r="A54" s="334" t="s">
        <v>402</v>
      </c>
      <c r="B54" s="335">
        <f>ROUND('Saleplan&amp;PnL'!D6,0)</f>
        <v>1390</v>
      </c>
      <c r="C54" s="335">
        <f>ROUND('Saleplan&amp;PnL'!E6,0)</f>
        <v>0</v>
      </c>
      <c r="D54" s="335">
        <f>ROUND('Saleplan&amp;PnL'!F6,0)</f>
        <v>0</v>
      </c>
      <c r="E54" s="335">
        <f>ROUND('Saleplan&amp;PnL'!G6,0)</f>
        <v>0</v>
      </c>
      <c r="F54" s="335">
        <f>ROUND('Saleplan&amp;PnL'!H6,0)</f>
        <v>0</v>
      </c>
      <c r="G54" s="335">
        <f>ROUND('Saleplan&amp;PnL'!I6,0)</f>
        <v>0</v>
      </c>
      <c r="H54" s="335">
        <f>ROUND('Saleplan&amp;PnL'!J6,0)</f>
        <v>0</v>
      </c>
      <c r="I54" s="335">
        <f>ROUND('Saleplan&amp;PnL'!K6,0)</f>
        <v>0</v>
      </c>
      <c r="J54" s="335">
        <f>ROUND('Saleplan&amp;PnL'!L6,0)</f>
        <v>0</v>
      </c>
      <c r="K54" s="335">
        <f>ROUND('Saleplan&amp;PnL'!M6,0)</f>
        <v>0</v>
      </c>
      <c r="L54" s="335">
        <f>ROUND('Saleplan&amp;PnL'!N6,0)</f>
        <v>0</v>
      </c>
      <c r="M54" s="335">
        <f>ROUND('Saleplan&amp;PnL'!O6,0)</f>
        <v>0</v>
      </c>
      <c r="N54" s="335">
        <f>ROUND('Saleplan&amp;PnL'!P6,0)</f>
        <v>0</v>
      </c>
      <c r="O54" s="335">
        <f>ROUND('Saleplan&amp;PnL'!Q6,0)</f>
        <v>0</v>
      </c>
      <c r="P54" s="335">
        <f>ROUND('Saleplan&amp;PnL'!R6,0)</f>
        <v>0</v>
      </c>
      <c r="Q54" s="335">
        <f>ROUND('Saleplan&amp;PnL'!S6,0)</f>
        <v>0</v>
      </c>
      <c r="R54" s="335">
        <f>ROUND('Saleplan&amp;PnL'!T6,0)</f>
        <v>0</v>
      </c>
      <c r="S54" s="335">
        <f>ROUND('Saleplan&amp;PnL'!U6,0)</f>
        <v>0</v>
      </c>
      <c r="T54" s="335">
        <f>ROUND('Saleplan&amp;PnL'!V6,0)</f>
        <v>0</v>
      </c>
      <c r="U54" s="335">
        <f>ROUND('Saleplan&amp;PnL'!W6,0)</f>
        <v>0</v>
      </c>
      <c r="V54" s="335">
        <f>ROUND('Saleplan&amp;PnL'!X6,0)</f>
        <v>0</v>
      </c>
      <c r="W54" s="335">
        <f>ROUND('Saleplan&amp;PnL'!Y6,0)</f>
        <v>0</v>
      </c>
      <c r="X54" s="335">
        <f>ROUND('Saleplan&amp;PnL'!Z6,0)</f>
        <v>0</v>
      </c>
      <c r="Y54" s="335">
        <f>ROUND('Saleplan&amp;PnL'!AA6,0)</f>
        <v>0</v>
      </c>
      <c r="Z54" s="335">
        <f>ROUND('Saleplan&amp;PnL'!AB6,0)</f>
        <v>0</v>
      </c>
      <c r="AA54" s="335">
        <f>ROUND('Saleplan&amp;PnL'!AC6,0)</f>
        <v>0</v>
      </c>
      <c r="AB54" s="335">
        <f>ROUND('Saleplan&amp;PnL'!AD6,0)</f>
        <v>0</v>
      </c>
      <c r="AC54" s="335">
        <f>ROUND('Saleplan&amp;PnL'!AE6,0)</f>
        <v>0</v>
      </c>
      <c r="AD54" s="335">
        <f>ROUND('Saleplan&amp;PnL'!AF6,0)</f>
        <v>0</v>
      </c>
      <c r="AE54" s="335">
        <f>ROUND('Saleplan&amp;PnL'!AG6,0)</f>
        <v>0</v>
      </c>
      <c r="AF54" s="335">
        <f>ROUND('Saleplan&amp;PnL'!AH6,0)</f>
        <v>0</v>
      </c>
      <c r="AG54" s="335">
        <f>ROUND('Saleplan&amp;PnL'!AI6,0)</f>
        <v>0</v>
      </c>
      <c r="AH54" s="335">
        <f>ROUND('Saleplan&amp;PnL'!AJ6,0)</f>
        <v>0</v>
      </c>
      <c r="AI54" s="335">
        <f>ROUND('Saleplan&amp;PnL'!AK6,0)</f>
        <v>0</v>
      </c>
      <c r="AJ54" s="335">
        <f>ROUND('Saleplan&amp;PnL'!AL6,0)</f>
        <v>0</v>
      </c>
      <c r="AK54" s="335">
        <f>ROUND('Saleplan&amp;PnL'!AM6,0)</f>
        <v>0</v>
      </c>
      <c r="AL54" s="335">
        <f>ROUND('Saleplan&amp;PnL'!AN6,0)</f>
        <v>0</v>
      </c>
      <c r="AM54" s="335">
        <f>ROUND('Saleplan&amp;PnL'!AO6,0)</f>
        <v>0</v>
      </c>
      <c r="AN54" s="335">
        <f>ROUND('Saleplan&amp;PnL'!AP6,0)</f>
        <v>0</v>
      </c>
      <c r="AO54" s="335">
        <f>ROUND('Saleplan&amp;PnL'!AQ6,0)</f>
        <v>0</v>
      </c>
      <c r="AP54" s="335">
        <f>ROUND('Saleplan&amp;PnL'!AR6,0)</f>
        <v>0</v>
      </c>
      <c r="AQ54" s="335">
        <f>ROUND('Saleplan&amp;PnL'!AS6,0)</f>
        <v>0</v>
      </c>
      <c r="AR54" s="335">
        <f>ROUND('Saleplan&amp;PnL'!AT6,0)</f>
        <v>0</v>
      </c>
      <c r="AS54" s="335">
        <f>ROUND('Saleplan&amp;PnL'!AU6,0)</f>
        <v>0</v>
      </c>
      <c r="AT54" s="335">
        <f>ROUND('Saleplan&amp;PnL'!AV6,0)</f>
        <v>0</v>
      </c>
      <c r="AU54" s="335">
        <f>ROUND('Saleplan&amp;PnL'!AW6,0)</f>
        <v>0</v>
      </c>
      <c r="AV54" s="335">
        <f>ROUND('Saleplan&amp;PnL'!AX6,0)</f>
        <v>0</v>
      </c>
      <c r="AW54" s="335">
        <f>ROUND('Saleplan&amp;PnL'!AY6,0)</f>
        <v>0</v>
      </c>
      <c r="AX54" s="335">
        <f>ROUND('Saleplan&amp;PnL'!AZ6,0)</f>
        <v>0</v>
      </c>
      <c r="AY54" s="335">
        <f>ROUND('Saleplan&amp;PnL'!BA6,0)</f>
        <v>0</v>
      </c>
      <c r="AZ54" s="335">
        <f>ROUND('Saleplan&amp;PnL'!BB6,0)</f>
        <v>0</v>
      </c>
      <c r="BA54" s="335">
        <f>ROUND('Saleplan&amp;PnL'!BC6,0)</f>
        <v>0</v>
      </c>
      <c r="BB54" s="335">
        <f>ROUND('Saleplan&amp;PnL'!BD6,0)</f>
        <v>0</v>
      </c>
      <c r="BC54" s="335">
        <f>ROUND('Saleplan&amp;PnL'!BE6,0)</f>
        <v>0</v>
      </c>
      <c r="BD54" s="335">
        <f>ROUND('Saleplan&amp;PnL'!BF6,0)</f>
        <v>0</v>
      </c>
      <c r="BE54" s="335">
        <f>ROUND('Saleplan&amp;PnL'!BG6,0)</f>
        <v>0</v>
      </c>
      <c r="BF54" s="335">
        <f>ROUND('Saleplan&amp;PnL'!BH6,0)</f>
        <v>0</v>
      </c>
      <c r="BG54" s="335">
        <f>ROUND('Saleplan&amp;PnL'!BI6,0)</f>
        <v>0</v>
      </c>
      <c r="BH54" s="335">
        <f>ROUND('Saleplan&amp;PnL'!BJ6,0)</f>
        <v>0</v>
      </c>
      <c r="BI54" s="335">
        <f>ROUND('Saleplan&amp;PnL'!BK6,0)</f>
        <v>0</v>
      </c>
    </row>
    <row r="55" spans="1:62" outlineLevel="1" x14ac:dyDescent="0.15">
      <c r="A55" s="336">
        <v>1</v>
      </c>
      <c r="B55" s="326">
        <f t="shared" ref="B55:Q86" ca="1" si="7">IF($A55&gt;B$5,"",OFFSET(B$54,0,-($A55-1)))</f>
        <v>1390</v>
      </c>
      <c r="C55" s="326">
        <f t="shared" ca="1" si="7"/>
        <v>0</v>
      </c>
      <c r="D55" s="326">
        <f t="shared" ca="1" si="7"/>
        <v>0</v>
      </c>
      <c r="E55" s="326">
        <f t="shared" ca="1" si="7"/>
        <v>0</v>
      </c>
      <c r="F55" s="326">
        <f t="shared" ca="1" si="7"/>
        <v>0</v>
      </c>
      <c r="G55" s="326">
        <f t="shared" ca="1" si="7"/>
        <v>0</v>
      </c>
      <c r="H55" s="326">
        <f t="shared" ca="1" si="7"/>
        <v>0</v>
      </c>
      <c r="I55" s="326">
        <f t="shared" ca="1" si="7"/>
        <v>0</v>
      </c>
      <c r="J55" s="326">
        <f t="shared" ca="1" si="7"/>
        <v>0</v>
      </c>
      <c r="K55" s="326">
        <f t="shared" ca="1" si="7"/>
        <v>0</v>
      </c>
      <c r="L55" s="326">
        <f t="shared" ca="1" si="7"/>
        <v>0</v>
      </c>
      <c r="M55" s="326">
        <f t="shared" ca="1" si="7"/>
        <v>0</v>
      </c>
      <c r="N55" s="326">
        <f t="shared" ca="1" si="7"/>
        <v>0</v>
      </c>
      <c r="O55" s="326">
        <f t="shared" ca="1" si="7"/>
        <v>0</v>
      </c>
      <c r="P55" s="326">
        <f t="shared" ca="1" si="7"/>
        <v>0</v>
      </c>
      <c r="Q55" s="326">
        <f t="shared" ca="1" si="7"/>
        <v>0</v>
      </c>
      <c r="R55" s="326">
        <f t="shared" ref="R55:BX60" ca="1" si="8">IF($A55&gt;R$5,"",OFFSET(R$54,0,-($A55-1)))</f>
        <v>0</v>
      </c>
      <c r="S55" s="326">
        <f t="shared" ca="1" si="8"/>
        <v>0</v>
      </c>
      <c r="T55" s="326">
        <f t="shared" ca="1" si="8"/>
        <v>0</v>
      </c>
      <c r="U55" s="326">
        <f t="shared" ca="1" si="8"/>
        <v>0</v>
      </c>
      <c r="V55" s="326">
        <f t="shared" ca="1" si="8"/>
        <v>0</v>
      </c>
      <c r="W55" s="326">
        <f t="shared" ca="1" si="8"/>
        <v>0</v>
      </c>
      <c r="X55" s="326">
        <f t="shared" ca="1" si="8"/>
        <v>0</v>
      </c>
      <c r="Y55" s="326">
        <f t="shared" ca="1" si="8"/>
        <v>0</v>
      </c>
      <c r="Z55" s="326">
        <f t="shared" ca="1" si="8"/>
        <v>0</v>
      </c>
      <c r="AA55" s="326">
        <f t="shared" ca="1" si="8"/>
        <v>0</v>
      </c>
      <c r="AB55" s="326">
        <f t="shared" ca="1" si="8"/>
        <v>0</v>
      </c>
      <c r="AC55" s="326">
        <f t="shared" ca="1" si="8"/>
        <v>0</v>
      </c>
      <c r="AD55" s="326">
        <f t="shared" ca="1" si="8"/>
        <v>0</v>
      </c>
      <c r="AE55" s="326">
        <f t="shared" ca="1" si="8"/>
        <v>0</v>
      </c>
      <c r="AF55" s="326">
        <f t="shared" ca="1" si="8"/>
        <v>0</v>
      </c>
      <c r="AG55" s="326">
        <f t="shared" ca="1" si="8"/>
        <v>0</v>
      </c>
      <c r="AH55" s="326">
        <f t="shared" ca="1" si="8"/>
        <v>0</v>
      </c>
      <c r="AI55" s="326">
        <f t="shared" ca="1" si="8"/>
        <v>0</v>
      </c>
      <c r="AJ55" s="326">
        <f t="shared" ca="1" si="8"/>
        <v>0</v>
      </c>
      <c r="AK55" s="326">
        <f t="shared" ca="1" si="8"/>
        <v>0</v>
      </c>
      <c r="AL55" s="326">
        <f t="shared" ca="1" si="8"/>
        <v>0</v>
      </c>
      <c r="AM55" s="326">
        <f t="shared" ca="1" si="8"/>
        <v>0</v>
      </c>
      <c r="AN55" s="326">
        <f t="shared" ca="1" si="8"/>
        <v>0</v>
      </c>
      <c r="AO55" s="326">
        <f t="shared" ca="1" si="8"/>
        <v>0</v>
      </c>
      <c r="AP55" s="326">
        <f t="shared" ca="1" si="8"/>
        <v>0</v>
      </c>
      <c r="AQ55" s="326">
        <f t="shared" ca="1" si="8"/>
        <v>0</v>
      </c>
      <c r="AR55" s="326">
        <f t="shared" ca="1" si="8"/>
        <v>0</v>
      </c>
      <c r="AS55" s="326">
        <f t="shared" ca="1" si="8"/>
        <v>0</v>
      </c>
      <c r="AT55" s="326">
        <f t="shared" ca="1" si="8"/>
        <v>0</v>
      </c>
      <c r="AU55" s="326">
        <f t="shared" ca="1" si="8"/>
        <v>0</v>
      </c>
      <c r="AV55" s="326">
        <f t="shared" ca="1" si="8"/>
        <v>0</v>
      </c>
      <c r="AW55" s="326">
        <f t="shared" ca="1" si="8"/>
        <v>0</v>
      </c>
      <c r="AX55" s="326">
        <f t="shared" ca="1" si="8"/>
        <v>0</v>
      </c>
      <c r="AY55" s="326">
        <f t="shared" ca="1" si="8"/>
        <v>0</v>
      </c>
      <c r="AZ55" s="326">
        <f t="shared" ca="1" si="8"/>
        <v>0</v>
      </c>
      <c r="BA55" s="326">
        <f t="shared" ca="1" si="8"/>
        <v>0</v>
      </c>
      <c r="BB55" s="326">
        <f t="shared" ca="1" si="8"/>
        <v>0</v>
      </c>
      <c r="BC55" s="326">
        <f t="shared" ca="1" si="8"/>
        <v>0</v>
      </c>
      <c r="BD55" s="326">
        <f t="shared" ca="1" si="8"/>
        <v>0</v>
      </c>
      <c r="BE55" s="326">
        <f t="shared" ca="1" si="8"/>
        <v>0</v>
      </c>
      <c r="BF55" s="326">
        <f t="shared" ca="1" si="8"/>
        <v>0</v>
      </c>
      <c r="BG55" s="326">
        <f t="shared" ca="1" si="8"/>
        <v>0</v>
      </c>
      <c r="BH55" s="326">
        <f t="shared" ca="1" si="8"/>
        <v>0</v>
      </c>
      <c r="BI55" s="326">
        <f t="shared" ca="1" si="8"/>
        <v>0</v>
      </c>
      <c r="BJ55" s="326"/>
    </row>
    <row r="56" spans="1:62" outlineLevel="1" x14ac:dyDescent="0.15">
      <c r="A56" s="336">
        <v>2</v>
      </c>
      <c r="B56" s="326" t="str">
        <f t="shared" ca="1" si="7"/>
        <v/>
      </c>
      <c r="C56" s="326">
        <f t="shared" ca="1" si="7"/>
        <v>1390</v>
      </c>
      <c r="D56" s="326">
        <f t="shared" ca="1" si="7"/>
        <v>0</v>
      </c>
      <c r="E56" s="326">
        <f t="shared" ca="1" si="7"/>
        <v>0</v>
      </c>
      <c r="F56" s="326">
        <f t="shared" ca="1" si="7"/>
        <v>0</v>
      </c>
      <c r="G56" s="326">
        <f t="shared" ca="1" si="7"/>
        <v>0</v>
      </c>
      <c r="H56" s="326">
        <f t="shared" ca="1" si="7"/>
        <v>0</v>
      </c>
      <c r="I56" s="326">
        <f t="shared" ca="1" si="7"/>
        <v>0</v>
      </c>
      <c r="J56" s="326">
        <f t="shared" ca="1" si="7"/>
        <v>0</v>
      </c>
      <c r="K56" s="326">
        <f t="shared" ca="1" si="7"/>
        <v>0</v>
      </c>
      <c r="L56" s="326">
        <f t="shared" ca="1" si="7"/>
        <v>0</v>
      </c>
      <c r="M56" s="326">
        <f t="shared" ca="1" si="7"/>
        <v>0</v>
      </c>
      <c r="N56" s="326">
        <f t="shared" ca="1" si="7"/>
        <v>0</v>
      </c>
      <c r="O56" s="326">
        <f t="shared" ca="1" si="7"/>
        <v>0</v>
      </c>
      <c r="P56" s="326">
        <f t="shared" ca="1" si="7"/>
        <v>0</v>
      </c>
      <c r="Q56" s="326">
        <f t="shared" ca="1" si="7"/>
        <v>0</v>
      </c>
      <c r="R56" s="326">
        <f t="shared" ca="1" si="8"/>
        <v>0</v>
      </c>
      <c r="S56" s="326">
        <f t="shared" ca="1" si="8"/>
        <v>0</v>
      </c>
      <c r="T56" s="326">
        <f t="shared" ca="1" si="8"/>
        <v>0</v>
      </c>
      <c r="U56" s="326">
        <f t="shared" ca="1" si="8"/>
        <v>0</v>
      </c>
      <c r="V56" s="326">
        <f t="shared" ca="1" si="8"/>
        <v>0</v>
      </c>
      <c r="W56" s="326">
        <f t="shared" ca="1" si="8"/>
        <v>0</v>
      </c>
      <c r="X56" s="326">
        <f t="shared" ca="1" si="8"/>
        <v>0</v>
      </c>
      <c r="Y56" s="326">
        <f t="shared" ca="1" si="8"/>
        <v>0</v>
      </c>
      <c r="Z56" s="326">
        <f t="shared" ca="1" si="8"/>
        <v>0</v>
      </c>
      <c r="AA56" s="326">
        <f t="shared" ca="1" si="8"/>
        <v>0</v>
      </c>
      <c r="AB56" s="326">
        <f t="shared" ca="1" si="8"/>
        <v>0</v>
      </c>
      <c r="AC56" s="326">
        <f t="shared" ca="1" si="8"/>
        <v>0</v>
      </c>
      <c r="AD56" s="326">
        <f t="shared" ca="1" si="8"/>
        <v>0</v>
      </c>
      <c r="AE56" s="326">
        <f t="shared" ca="1" si="8"/>
        <v>0</v>
      </c>
      <c r="AF56" s="326">
        <f t="shared" ca="1" si="8"/>
        <v>0</v>
      </c>
      <c r="AG56" s="326">
        <f t="shared" ca="1" si="8"/>
        <v>0</v>
      </c>
      <c r="AH56" s="326">
        <f t="shared" ca="1" si="8"/>
        <v>0</v>
      </c>
      <c r="AI56" s="326">
        <f t="shared" ca="1" si="8"/>
        <v>0</v>
      </c>
      <c r="AJ56" s="326">
        <f t="shared" ca="1" si="8"/>
        <v>0</v>
      </c>
      <c r="AK56" s="326">
        <f t="shared" ca="1" si="8"/>
        <v>0</v>
      </c>
      <c r="AL56" s="326">
        <f t="shared" ca="1" si="8"/>
        <v>0</v>
      </c>
      <c r="AM56" s="326">
        <f t="shared" ca="1" si="8"/>
        <v>0</v>
      </c>
      <c r="AN56" s="326">
        <f t="shared" ca="1" si="8"/>
        <v>0</v>
      </c>
      <c r="AO56" s="326">
        <f t="shared" ca="1" si="8"/>
        <v>0</v>
      </c>
      <c r="AP56" s="326">
        <f t="shared" ca="1" si="8"/>
        <v>0</v>
      </c>
      <c r="AQ56" s="326">
        <f t="shared" ca="1" si="8"/>
        <v>0</v>
      </c>
      <c r="AR56" s="326">
        <f t="shared" ca="1" si="8"/>
        <v>0</v>
      </c>
      <c r="AS56" s="326">
        <f t="shared" ca="1" si="8"/>
        <v>0</v>
      </c>
      <c r="AT56" s="326">
        <f t="shared" ca="1" si="8"/>
        <v>0</v>
      </c>
      <c r="AU56" s="326">
        <f t="shared" ca="1" si="8"/>
        <v>0</v>
      </c>
      <c r="AV56" s="326">
        <f t="shared" ca="1" si="8"/>
        <v>0</v>
      </c>
      <c r="AW56" s="326">
        <f t="shared" ca="1" si="8"/>
        <v>0</v>
      </c>
      <c r="AX56" s="326">
        <f t="shared" ca="1" si="8"/>
        <v>0</v>
      </c>
      <c r="AY56" s="326">
        <f t="shared" ca="1" si="8"/>
        <v>0</v>
      </c>
      <c r="AZ56" s="326">
        <f t="shared" ca="1" si="8"/>
        <v>0</v>
      </c>
      <c r="BA56" s="326">
        <f t="shared" ca="1" si="8"/>
        <v>0</v>
      </c>
      <c r="BB56" s="326">
        <f t="shared" ca="1" si="8"/>
        <v>0</v>
      </c>
      <c r="BC56" s="326">
        <f t="shared" ca="1" si="8"/>
        <v>0</v>
      </c>
      <c r="BD56" s="326">
        <f t="shared" ca="1" si="8"/>
        <v>0</v>
      </c>
      <c r="BE56" s="326">
        <f t="shared" ca="1" si="8"/>
        <v>0</v>
      </c>
      <c r="BF56" s="326">
        <f t="shared" ca="1" si="8"/>
        <v>0</v>
      </c>
      <c r="BG56" s="326">
        <f t="shared" ca="1" si="8"/>
        <v>0</v>
      </c>
      <c r="BH56" s="326">
        <f t="shared" ca="1" si="8"/>
        <v>0</v>
      </c>
      <c r="BI56" s="326">
        <f t="shared" ca="1" si="8"/>
        <v>0</v>
      </c>
      <c r="BJ56" s="326"/>
    </row>
    <row r="57" spans="1:62" outlineLevel="1" x14ac:dyDescent="0.15">
      <c r="A57" s="336">
        <v>3</v>
      </c>
      <c r="B57" s="326" t="str">
        <f t="shared" ca="1" si="7"/>
        <v/>
      </c>
      <c r="C57" s="326" t="str">
        <f t="shared" ca="1" si="7"/>
        <v/>
      </c>
      <c r="D57" s="326">
        <f t="shared" ca="1" si="7"/>
        <v>1390</v>
      </c>
      <c r="E57" s="326">
        <f t="shared" ca="1" si="7"/>
        <v>0</v>
      </c>
      <c r="F57" s="326">
        <f t="shared" ca="1" si="7"/>
        <v>0</v>
      </c>
      <c r="G57" s="326">
        <f t="shared" ca="1" si="7"/>
        <v>0</v>
      </c>
      <c r="H57" s="326">
        <f t="shared" ca="1" si="7"/>
        <v>0</v>
      </c>
      <c r="I57" s="326">
        <f t="shared" ca="1" si="7"/>
        <v>0</v>
      </c>
      <c r="J57" s="326">
        <f t="shared" ca="1" si="7"/>
        <v>0</v>
      </c>
      <c r="K57" s="326">
        <f t="shared" ca="1" si="7"/>
        <v>0</v>
      </c>
      <c r="L57" s="326">
        <f t="shared" ca="1" si="7"/>
        <v>0</v>
      </c>
      <c r="M57" s="326">
        <f t="shared" ca="1" si="7"/>
        <v>0</v>
      </c>
      <c r="N57" s="326">
        <f t="shared" ca="1" si="7"/>
        <v>0</v>
      </c>
      <c r="O57" s="326">
        <f t="shared" ca="1" si="7"/>
        <v>0</v>
      </c>
      <c r="P57" s="326">
        <f t="shared" ca="1" si="7"/>
        <v>0</v>
      </c>
      <c r="Q57" s="326">
        <f t="shared" ca="1" si="7"/>
        <v>0</v>
      </c>
      <c r="R57" s="326">
        <f t="shared" ca="1" si="8"/>
        <v>0</v>
      </c>
      <c r="S57" s="326">
        <f t="shared" ca="1" si="8"/>
        <v>0</v>
      </c>
      <c r="T57" s="326">
        <f t="shared" ca="1" si="8"/>
        <v>0</v>
      </c>
      <c r="U57" s="326">
        <f t="shared" ca="1" si="8"/>
        <v>0</v>
      </c>
      <c r="V57" s="326">
        <f t="shared" ca="1" si="8"/>
        <v>0</v>
      </c>
      <c r="W57" s="326">
        <f t="shared" ca="1" si="8"/>
        <v>0</v>
      </c>
      <c r="X57" s="326">
        <f t="shared" ca="1" si="8"/>
        <v>0</v>
      </c>
      <c r="Y57" s="326">
        <f t="shared" ca="1" si="8"/>
        <v>0</v>
      </c>
      <c r="Z57" s="326">
        <f t="shared" ca="1" si="8"/>
        <v>0</v>
      </c>
      <c r="AA57" s="326">
        <f t="shared" ca="1" si="8"/>
        <v>0</v>
      </c>
      <c r="AB57" s="326">
        <f t="shared" ca="1" si="8"/>
        <v>0</v>
      </c>
      <c r="AC57" s="326">
        <f t="shared" ca="1" si="8"/>
        <v>0</v>
      </c>
      <c r="AD57" s="326">
        <f t="shared" ca="1" si="8"/>
        <v>0</v>
      </c>
      <c r="AE57" s="326">
        <f t="shared" ca="1" si="8"/>
        <v>0</v>
      </c>
      <c r="AF57" s="326">
        <f t="shared" ca="1" si="8"/>
        <v>0</v>
      </c>
      <c r="AG57" s="326">
        <f t="shared" ca="1" si="8"/>
        <v>0</v>
      </c>
      <c r="AH57" s="326">
        <f t="shared" ca="1" si="8"/>
        <v>0</v>
      </c>
      <c r="AI57" s="326">
        <f t="shared" ca="1" si="8"/>
        <v>0</v>
      </c>
      <c r="AJ57" s="326">
        <f t="shared" ca="1" si="8"/>
        <v>0</v>
      </c>
      <c r="AK57" s="326">
        <f t="shared" ca="1" si="8"/>
        <v>0</v>
      </c>
      <c r="AL57" s="326">
        <f t="shared" ca="1" si="8"/>
        <v>0</v>
      </c>
      <c r="AM57" s="326">
        <f t="shared" ca="1" si="8"/>
        <v>0</v>
      </c>
      <c r="AN57" s="326">
        <f t="shared" ca="1" si="8"/>
        <v>0</v>
      </c>
      <c r="AO57" s="326">
        <f t="shared" ca="1" si="8"/>
        <v>0</v>
      </c>
      <c r="AP57" s="326">
        <f t="shared" ca="1" si="8"/>
        <v>0</v>
      </c>
      <c r="AQ57" s="326">
        <f t="shared" ca="1" si="8"/>
        <v>0</v>
      </c>
      <c r="AR57" s="326">
        <f t="shared" ca="1" si="8"/>
        <v>0</v>
      </c>
      <c r="AS57" s="326">
        <f t="shared" ca="1" si="8"/>
        <v>0</v>
      </c>
      <c r="AT57" s="326">
        <f t="shared" ca="1" si="8"/>
        <v>0</v>
      </c>
      <c r="AU57" s="326">
        <f t="shared" ca="1" si="8"/>
        <v>0</v>
      </c>
      <c r="AV57" s="326">
        <f t="shared" ca="1" si="8"/>
        <v>0</v>
      </c>
      <c r="AW57" s="326">
        <f t="shared" ca="1" si="8"/>
        <v>0</v>
      </c>
      <c r="AX57" s="326">
        <f t="shared" ca="1" si="8"/>
        <v>0</v>
      </c>
      <c r="AY57" s="326">
        <f t="shared" ca="1" si="8"/>
        <v>0</v>
      </c>
      <c r="AZ57" s="326">
        <f t="shared" ca="1" si="8"/>
        <v>0</v>
      </c>
      <c r="BA57" s="326">
        <f t="shared" ca="1" si="8"/>
        <v>0</v>
      </c>
      <c r="BB57" s="326">
        <f t="shared" ca="1" si="8"/>
        <v>0</v>
      </c>
      <c r="BC57" s="326">
        <f t="shared" ca="1" si="8"/>
        <v>0</v>
      </c>
      <c r="BD57" s="326">
        <f t="shared" ca="1" si="8"/>
        <v>0</v>
      </c>
      <c r="BE57" s="326">
        <f t="shared" ca="1" si="8"/>
        <v>0</v>
      </c>
      <c r="BF57" s="326">
        <f t="shared" ca="1" si="8"/>
        <v>0</v>
      </c>
      <c r="BG57" s="326">
        <f t="shared" ca="1" si="8"/>
        <v>0</v>
      </c>
      <c r="BH57" s="326">
        <f t="shared" ca="1" si="8"/>
        <v>0</v>
      </c>
      <c r="BI57" s="326">
        <f t="shared" ca="1" si="8"/>
        <v>0</v>
      </c>
      <c r="BJ57" s="326"/>
    </row>
    <row r="58" spans="1:62" outlineLevel="1" x14ac:dyDescent="0.15">
      <c r="A58" s="336">
        <v>4</v>
      </c>
      <c r="B58" s="326" t="str">
        <f t="shared" ca="1" si="7"/>
        <v/>
      </c>
      <c r="C58" s="326" t="str">
        <f t="shared" ca="1" si="7"/>
        <v/>
      </c>
      <c r="D58" s="326" t="str">
        <f t="shared" ca="1" si="7"/>
        <v/>
      </c>
      <c r="E58" s="326">
        <f t="shared" ca="1" si="7"/>
        <v>1390</v>
      </c>
      <c r="F58" s="326">
        <f t="shared" ca="1" si="7"/>
        <v>0</v>
      </c>
      <c r="G58" s="326">
        <f t="shared" ca="1" si="7"/>
        <v>0</v>
      </c>
      <c r="H58" s="326">
        <f t="shared" ca="1" si="7"/>
        <v>0</v>
      </c>
      <c r="I58" s="326">
        <f t="shared" ca="1" si="7"/>
        <v>0</v>
      </c>
      <c r="J58" s="326">
        <f t="shared" ca="1" si="7"/>
        <v>0</v>
      </c>
      <c r="K58" s="326">
        <f t="shared" ca="1" si="7"/>
        <v>0</v>
      </c>
      <c r="L58" s="326">
        <f t="shared" ca="1" si="7"/>
        <v>0</v>
      </c>
      <c r="M58" s="326">
        <f t="shared" ca="1" si="7"/>
        <v>0</v>
      </c>
      <c r="N58" s="326">
        <f t="shared" ca="1" si="7"/>
        <v>0</v>
      </c>
      <c r="O58" s="326">
        <f t="shared" ca="1" si="7"/>
        <v>0</v>
      </c>
      <c r="P58" s="326">
        <f t="shared" ca="1" si="7"/>
        <v>0</v>
      </c>
      <c r="Q58" s="326">
        <f t="shared" ca="1" si="7"/>
        <v>0</v>
      </c>
      <c r="R58" s="326">
        <f t="shared" ca="1" si="8"/>
        <v>0</v>
      </c>
      <c r="S58" s="326">
        <f t="shared" ca="1" si="8"/>
        <v>0</v>
      </c>
      <c r="T58" s="326">
        <f t="shared" ca="1" si="8"/>
        <v>0</v>
      </c>
      <c r="U58" s="326">
        <f t="shared" ca="1" si="8"/>
        <v>0</v>
      </c>
      <c r="V58" s="326">
        <f t="shared" ca="1" si="8"/>
        <v>0</v>
      </c>
      <c r="W58" s="326">
        <f t="shared" ca="1" si="8"/>
        <v>0</v>
      </c>
      <c r="X58" s="326">
        <f t="shared" ca="1" si="8"/>
        <v>0</v>
      </c>
      <c r="Y58" s="326">
        <f t="shared" ca="1" si="8"/>
        <v>0</v>
      </c>
      <c r="Z58" s="326">
        <f t="shared" ca="1" si="8"/>
        <v>0</v>
      </c>
      <c r="AA58" s="326">
        <f t="shared" ca="1" si="8"/>
        <v>0</v>
      </c>
      <c r="AB58" s="326">
        <f t="shared" ca="1" si="8"/>
        <v>0</v>
      </c>
      <c r="AC58" s="326">
        <f t="shared" ca="1" si="8"/>
        <v>0</v>
      </c>
      <c r="AD58" s="326">
        <f t="shared" ca="1" si="8"/>
        <v>0</v>
      </c>
      <c r="AE58" s="326">
        <f t="shared" ca="1" si="8"/>
        <v>0</v>
      </c>
      <c r="AF58" s="326">
        <f t="shared" ca="1" si="8"/>
        <v>0</v>
      </c>
      <c r="AG58" s="326">
        <f t="shared" ca="1" si="8"/>
        <v>0</v>
      </c>
      <c r="AH58" s="326">
        <f t="shared" ca="1" si="8"/>
        <v>0</v>
      </c>
      <c r="AI58" s="326">
        <f t="shared" ca="1" si="8"/>
        <v>0</v>
      </c>
      <c r="AJ58" s="326">
        <f t="shared" ca="1" si="8"/>
        <v>0</v>
      </c>
      <c r="AK58" s="326">
        <f t="shared" ca="1" si="8"/>
        <v>0</v>
      </c>
      <c r="AL58" s="326">
        <f t="shared" ca="1" si="8"/>
        <v>0</v>
      </c>
      <c r="AM58" s="326">
        <f t="shared" ca="1" si="8"/>
        <v>0</v>
      </c>
      <c r="AN58" s="326">
        <f t="shared" ca="1" si="8"/>
        <v>0</v>
      </c>
      <c r="AO58" s="326">
        <f t="shared" ca="1" si="8"/>
        <v>0</v>
      </c>
      <c r="AP58" s="326">
        <f t="shared" ca="1" si="8"/>
        <v>0</v>
      </c>
      <c r="AQ58" s="326">
        <f t="shared" ca="1" si="8"/>
        <v>0</v>
      </c>
      <c r="AR58" s="326">
        <f t="shared" ca="1" si="8"/>
        <v>0</v>
      </c>
      <c r="AS58" s="326">
        <f t="shared" ca="1" si="8"/>
        <v>0</v>
      </c>
      <c r="AT58" s="326">
        <f t="shared" ca="1" si="8"/>
        <v>0</v>
      </c>
      <c r="AU58" s="326">
        <f t="shared" ca="1" si="8"/>
        <v>0</v>
      </c>
      <c r="AV58" s="326">
        <f t="shared" ca="1" si="8"/>
        <v>0</v>
      </c>
      <c r="AW58" s="326">
        <f t="shared" ca="1" si="8"/>
        <v>0</v>
      </c>
      <c r="AX58" s="326">
        <f t="shared" ca="1" si="8"/>
        <v>0</v>
      </c>
      <c r="AY58" s="326">
        <f t="shared" ca="1" si="8"/>
        <v>0</v>
      </c>
      <c r="AZ58" s="326">
        <f t="shared" ca="1" si="8"/>
        <v>0</v>
      </c>
      <c r="BA58" s="326">
        <f t="shared" ca="1" si="8"/>
        <v>0</v>
      </c>
      <c r="BB58" s="326">
        <f t="shared" ca="1" si="8"/>
        <v>0</v>
      </c>
      <c r="BC58" s="326">
        <f t="shared" ca="1" si="8"/>
        <v>0</v>
      </c>
      <c r="BD58" s="326">
        <f t="shared" ca="1" si="8"/>
        <v>0</v>
      </c>
      <c r="BE58" s="326">
        <f t="shared" ca="1" si="8"/>
        <v>0</v>
      </c>
      <c r="BF58" s="326">
        <f t="shared" ca="1" si="8"/>
        <v>0</v>
      </c>
      <c r="BG58" s="326">
        <f t="shared" ca="1" si="8"/>
        <v>0</v>
      </c>
      <c r="BH58" s="326">
        <f t="shared" ca="1" si="8"/>
        <v>0</v>
      </c>
      <c r="BI58" s="326">
        <f t="shared" ca="1" si="8"/>
        <v>0</v>
      </c>
      <c r="BJ58" s="326"/>
    </row>
    <row r="59" spans="1:62" outlineLevel="1" x14ac:dyDescent="0.15">
      <c r="A59" s="336">
        <v>5</v>
      </c>
      <c r="B59" s="326" t="str">
        <f t="shared" ca="1" si="7"/>
        <v/>
      </c>
      <c r="C59" s="326" t="str">
        <f t="shared" ca="1" si="7"/>
        <v/>
      </c>
      <c r="D59" s="326" t="str">
        <f t="shared" ca="1" si="7"/>
        <v/>
      </c>
      <c r="E59" s="326" t="str">
        <f t="shared" ca="1" si="7"/>
        <v/>
      </c>
      <c r="F59" s="326">
        <f t="shared" ca="1" si="7"/>
        <v>1390</v>
      </c>
      <c r="G59" s="326">
        <f t="shared" ca="1" si="7"/>
        <v>0</v>
      </c>
      <c r="H59" s="326">
        <f t="shared" ca="1" si="7"/>
        <v>0</v>
      </c>
      <c r="I59" s="326">
        <f t="shared" ca="1" si="7"/>
        <v>0</v>
      </c>
      <c r="J59" s="326">
        <f t="shared" ca="1" si="7"/>
        <v>0</v>
      </c>
      <c r="K59" s="326">
        <f t="shared" ca="1" si="7"/>
        <v>0</v>
      </c>
      <c r="L59" s="326">
        <f t="shared" ca="1" si="7"/>
        <v>0</v>
      </c>
      <c r="M59" s="326">
        <f t="shared" ca="1" si="7"/>
        <v>0</v>
      </c>
      <c r="N59" s="326">
        <f t="shared" ca="1" si="7"/>
        <v>0</v>
      </c>
      <c r="O59" s="326">
        <f t="shared" ca="1" si="7"/>
        <v>0</v>
      </c>
      <c r="P59" s="326">
        <f t="shared" ca="1" si="7"/>
        <v>0</v>
      </c>
      <c r="Q59" s="326">
        <f t="shared" ca="1" si="7"/>
        <v>0</v>
      </c>
      <c r="R59" s="326">
        <f t="shared" ca="1" si="8"/>
        <v>0</v>
      </c>
      <c r="S59" s="326">
        <f t="shared" ca="1" si="8"/>
        <v>0</v>
      </c>
      <c r="T59" s="326">
        <f t="shared" ca="1" si="8"/>
        <v>0</v>
      </c>
      <c r="U59" s="326">
        <f t="shared" ca="1" si="8"/>
        <v>0</v>
      </c>
      <c r="V59" s="326">
        <f t="shared" ca="1" si="8"/>
        <v>0</v>
      </c>
      <c r="W59" s="326">
        <f t="shared" ca="1" si="8"/>
        <v>0</v>
      </c>
      <c r="X59" s="326">
        <f t="shared" ca="1" si="8"/>
        <v>0</v>
      </c>
      <c r="Y59" s="326">
        <f t="shared" ca="1" si="8"/>
        <v>0</v>
      </c>
      <c r="Z59" s="326">
        <f t="shared" ca="1" si="8"/>
        <v>0</v>
      </c>
      <c r="AA59" s="326">
        <f t="shared" ca="1" si="8"/>
        <v>0</v>
      </c>
      <c r="AB59" s="326">
        <f t="shared" ca="1" si="8"/>
        <v>0</v>
      </c>
      <c r="AC59" s="326">
        <f t="shared" ca="1" si="8"/>
        <v>0</v>
      </c>
      <c r="AD59" s="326">
        <f t="shared" ca="1" si="8"/>
        <v>0</v>
      </c>
      <c r="AE59" s="326">
        <f t="shared" ca="1" si="8"/>
        <v>0</v>
      </c>
      <c r="AF59" s="326">
        <f t="shared" ca="1" si="8"/>
        <v>0</v>
      </c>
      <c r="AG59" s="326">
        <f t="shared" ca="1" si="8"/>
        <v>0</v>
      </c>
      <c r="AH59" s="326">
        <f t="shared" ca="1" si="8"/>
        <v>0</v>
      </c>
      <c r="AI59" s="326">
        <f t="shared" ca="1" si="8"/>
        <v>0</v>
      </c>
      <c r="AJ59" s="326">
        <f t="shared" ca="1" si="8"/>
        <v>0</v>
      </c>
      <c r="AK59" s="326">
        <f t="shared" ca="1" si="8"/>
        <v>0</v>
      </c>
      <c r="AL59" s="326">
        <f t="shared" ca="1" si="8"/>
        <v>0</v>
      </c>
      <c r="AM59" s="326">
        <f t="shared" ca="1" si="8"/>
        <v>0</v>
      </c>
      <c r="AN59" s="326">
        <f t="shared" ca="1" si="8"/>
        <v>0</v>
      </c>
      <c r="AO59" s="326">
        <f t="shared" ca="1" si="8"/>
        <v>0</v>
      </c>
      <c r="AP59" s="326">
        <f t="shared" ca="1" si="8"/>
        <v>0</v>
      </c>
      <c r="AQ59" s="326">
        <f t="shared" ca="1" si="8"/>
        <v>0</v>
      </c>
      <c r="AR59" s="326">
        <f t="shared" ca="1" si="8"/>
        <v>0</v>
      </c>
      <c r="AS59" s="326">
        <f t="shared" ca="1" si="8"/>
        <v>0</v>
      </c>
      <c r="AT59" s="326">
        <f t="shared" ca="1" si="8"/>
        <v>0</v>
      </c>
      <c r="AU59" s="326">
        <f t="shared" ca="1" si="8"/>
        <v>0</v>
      </c>
      <c r="AV59" s="326">
        <f t="shared" ca="1" si="8"/>
        <v>0</v>
      </c>
      <c r="AW59" s="326">
        <f t="shared" ca="1" si="8"/>
        <v>0</v>
      </c>
      <c r="AX59" s="326">
        <f t="shared" ca="1" si="8"/>
        <v>0</v>
      </c>
      <c r="AY59" s="326">
        <f t="shared" ca="1" si="8"/>
        <v>0</v>
      </c>
      <c r="AZ59" s="326">
        <f t="shared" ca="1" si="8"/>
        <v>0</v>
      </c>
      <c r="BA59" s="326">
        <f t="shared" ca="1" si="8"/>
        <v>0</v>
      </c>
      <c r="BB59" s="326">
        <f t="shared" ca="1" si="8"/>
        <v>0</v>
      </c>
      <c r="BC59" s="326">
        <f t="shared" ca="1" si="8"/>
        <v>0</v>
      </c>
      <c r="BD59" s="326">
        <f t="shared" ca="1" si="8"/>
        <v>0</v>
      </c>
      <c r="BE59" s="326">
        <f t="shared" ca="1" si="8"/>
        <v>0</v>
      </c>
      <c r="BF59" s="326">
        <f t="shared" ca="1" si="8"/>
        <v>0</v>
      </c>
      <c r="BG59" s="326">
        <f t="shared" ca="1" si="8"/>
        <v>0</v>
      </c>
      <c r="BH59" s="326">
        <f t="shared" ca="1" si="8"/>
        <v>0</v>
      </c>
      <c r="BI59" s="326">
        <f t="shared" ca="1" si="8"/>
        <v>0</v>
      </c>
      <c r="BJ59" s="326"/>
    </row>
    <row r="60" spans="1:62" outlineLevel="1" x14ac:dyDescent="0.15">
      <c r="A60" s="336">
        <v>6</v>
      </c>
      <c r="B60" s="326" t="str">
        <f t="shared" ca="1" si="7"/>
        <v/>
      </c>
      <c r="C60" s="326" t="str">
        <f t="shared" ca="1" si="7"/>
        <v/>
      </c>
      <c r="D60" s="326" t="str">
        <f t="shared" ca="1" si="7"/>
        <v/>
      </c>
      <c r="E60" s="326" t="str">
        <f t="shared" ca="1" si="7"/>
        <v/>
      </c>
      <c r="F60" s="326" t="str">
        <f t="shared" ca="1" si="7"/>
        <v/>
      </c>
      <c r="G60" s="326">
        <f t="shared" ca="1" si="7"/>
        <v>1390</v>
      </c>
      <c r="H60" s="326">
        <f t="shared" ca="1" si="7"/>
        <v>0</v>
      </c>
      <c r="I60" s="326">
        <f t="shared" ca="1" si="7"/>
        <v>0</v>
      </c>
      <c r="J60" s="326">
        <f t="shared" ca="1" si="7"/>
        <v>0</v>
      </c>
      <c r="K60" s="326">
        <f t="shared" ca="1" si="7"/>
        <v>0</v>
      </c>
      <c r="L60" s="326">
        <f t="shared" ca="1" si="7"/>
        <v>0</v>
      </c>
      <c r="M60" s="326">
        <f t="shared" ca="1" si="7"/>
        <v>0</v>
      </c>
      <c r="N60" s="326">
        <f t="shared" ca="1" si="7"/>
        <v>0</v>
      </c>
      <c r="O60" s="326">
        <f t="shared" ca="1" si="7"/>
        <v>0</v>
      </c>
      <c r="P60" s="326">
        <f t="shared" ca="1" si="7"/>
        <v>0</v>
      </c>
      <c r="Q60" s="326">
        <f t="shared" ca="1" si="7"/>
        <v>0</v>
      </c>
      <c r="R60" s="326">
        <f t="shared" ca="1" si="8"/>
        <v>0</v>
      </c>
      <c r="S60" s="326">
        <f t="shared" ca="1" si="8"/>
        <v>0</v>
      </c>
      <c r="T60" s="326">
        <f t="shared" ca="1" si="8"/>
        <v>0</v>
      </c>
      <c r="U60" s="326">
        <f t="shared" ca="1" si="8"/>
        <v>0</v>
      </c>
      <c r="V60" s="326">
        <f t="shared" ca="1" si="8"/>
        <v>0</v>
      </c>
      <c r="W60" s="326">
        <f t="shared" ca="1" si="8"/>
        <v>0</v>
      </c>
      <c r="X60" s="326">
        <f t="shared" ca="1" si="8"/>
        <v>0</v>
      </c>
      <c r="Y60" s="326">
        <f t="shared" ca="1" si="8"/>
        <v>0</v>
      </c>
      <c r="Z60" s="326">
        <f t="shared" ca="1" si="8"/>
        <v>0</v>
      </c>
      <c r="AA60" s="326">
        <f t="shared" ca="1" si="8"/>
        <v>0</v>
      </c>
      <c r="AB60" s="326">
        <f t="shared" ca="1" si="8"/>
        <v>0</v>
      </c>
      <c r="AC60" s="326">
        <f t="shared" ca="1" si="8"/>
        <v>0</v>
      </c>
      <c r="AD60" s="326">
        <f t="shared" ca="1" si="8"/>
        <v>0</v>
      </c>
      <c r="AE60" s="326">
        <f t="shared" ca="1" si="8"/>
        <v>0</v>
      </c>
      <c r="AF60" s="326">
        <f t="shared" ca="1" si="8"/>
        <v>0</v>
      </c>
      <c r="AG60" s="326">
        <f t="shared" ca="1" si="8"/>
        <v>0</v>
      </c>
      <c r="AH60" s="326">
        <f t="shared" ca="1" si="8"/>
        <v>0</v>
      </c>
      <c r="AI60" s="326">
        <f t="shared" ca="1" si="8"/>
        <v>0</v>
      </c>
      <c r="AJ60" s="326">
        <f t="shared" ca="1" si="8"/>
        <v>0</v>
      </c>
      <c r="AK60" s="326">
        <f t="shared" ca="1" si="8"/>
        <v>0</v>
      </c>
      <c r="AL60" s="326">
        <f t="shared" ca="1" si="8"/>
        <v>0</v>
      </c>
      <c r="AM60" s="326">
        <f t="shared" ca="1" si="8"/>
        <v>0</v>
      </c>
      <c r="AN60" s="326">
        <f t="shared" ca="1" si="8"/>
        <v>0</v>
      </c>
      <c r="AO60" s="326">
        <f t="shared" ca="1" si="8"/>
        <v>0</v>
      </c>
      <c r="AP60" s="326">
        <f t="shared" ca="1" si="8"/>
        <v>0</v>
      </c>
      <c r="AQ60" s="326">
        <f t="shared" ca="1" si="8"/>
        <v>0</v>
      </c>
      <c r="AR60" s="326">
        <f t="shared" ca="1" si="8"/>
        <v>0</v>
      </c>
      <c r="AS60" s="326">
        <f t="shared" ca="1" si="8"/>
        <v>0</v>
      </c>
      <c r="AT60" s="326">
        <f t="shared" ca="1" si="8"/>
        <v>0</v>
      </c>
      <c r="AU60" s="326">
        <f t="shared" ca="1" si="8"/>
        <v>0</v>
      </c>
      <c r="AV60" s="326">
        <f t="shared" ca="1" si="8"/>
        <v>0</v>
      </c>
      <c r="AW60" s="326">
        <f t="shared" ca="1" si="8"/>
        <v>0</v>
      </c>
      <c r="AX60" s="326">
        <f t="shared" ca="1" si="8"/>
        <v>0</v>
      </c>
      <c r="AY60" s="326">
        <f t="shared" ca="1" si="8"/>
        <v>0</v>
      </c>
      <c r="AZ60" s="326">
        <f t="shared" ca="1" si="8"/>
        <v>0</v>
      </c>
      <c r="BA60" s="326">
        <f t="shared" ref="BA60:DG64" ca="1" si="9">IF($A60&gt;BA$5,"",OFFSET(BA$54,0,-($A60-1)))</f>
        <v>0</v>
      </c>
      <c r="BB60" s="326">
        <f t="shared" ca="1" si="9"/>
        <v>0</v>
      </c>
      <c r="BC60" s="326">
        <f t="shared" ca="1" si="9"/>
        <v>0</v>
      </c>
      <c r="BD60" s="326">
        <f t="shared" ca="1" si="9"/>
        <v>0</v>
      </c>
      <c r="BE60" s="326">
        <f t="shared" ca="1" si="9"/>
        <v>0</v>
      </c>
      <c r="BF60" s="326">
        <f t="shared" ca="1" si="9"/>
        <v>0</v>
      </c>
      <c r="BG60" s="326">
        <f t="shared" ca="1" si="9"/>
        <v>0</v>
      </c>
      <c r="BH60" s="326">
        <f t="shared" ca="1" si="9"/>
        <v>0</v>
      </c>
      <c r="BI60" s="326">
        <f t="shared" ca="1" si="9"/>
        <v>0</v>
      </c>
      <c r="BJ60" s="326"/>
    </row>
    <row r="61" spans="1:62" outlineLevel="1" x14ac:dyDescent="0.15">
      <c r="A61" s="336">
        <v>7</v>
      </c>
      <c r="B61" s="326" t="str">
        <f t="shared" ca="1" si="7"/>
        <v/>
      </c>
      <c r="C61" s="326" t="str">
        <f t="shared" ca="1" si="7"/>
        <v/>
      </c>
      <c r="D61" s="326" t="str">
        <f t="shared" ca="1" si="7"/>
        <v/>
      </c>
      <c r="E61" s="326" t="str">
        <f t="shared" ca="1" si="7"/>
        <v/>
      </c>
      <c r="F61" s="326" t="str">
        <f t="shared" ca="1" si="7"/>
        <v/>
      </c>
      <c r="G61" s="326" t="str">
        <f t="shared" ca="1" si="7"/>
        <v/>
      </c>
      <c r="H61" s="326">
        <f t="shared" ca="1" si="7"/>
        <v>1390</v>
      </c>
      <c r="I61" s="326">
        <f t="shared" ca="1" si="7"/>
        <v>0</v>
      </c>
      <c r="J61" s="326">
        <f t="shared" ca="1" si="7"/>
        <v>0</v>
      </c>
      <c r="K61" s="326">
        <f t="shared" ca="1" si="7"/>
        <v>0</v>
      </c>
      <c r="L61" s="326">
        <f t="shared" ca="1" si="7"/>
        <v>0</v>
      </c>
      <c r="M61" s="326">
        <f t="shared" ca="1" si="7"/>
        <v>0</v>
      </c>
      <c r="N61" s="326">
        <f t="shared" ca="1" si="7"/>
        <v>0</v>
      </c>
      <c r="O61" s="326">
        <f t="shared" ca="1" si="7"/>
        <v>0</v>
      </c>
      <c r="P61" s="326">
        <f t="shared" ca="1" si="7"/>
        <v>0</v>
      </c>
      <c r="Q61" s="326">
        <f t="shared" ca="1" si="7"/>
        <v>0</v>
      </c>
      <c r="R61" s="326">
        <f t="shared" ref="R61:BX66" ca="1" si="10">IF($A61&gt;R$5,"",OFFSET(R$54,0,-($A61-1)))</f>
        <v>0</v>
      </c>
      <c r="S61" s="326">
        <f t="shared" ca="1" si="10"/>
        <v>0</v>
      </c>
      <c r="T61" s="326">
        <f t="shared" ca="1" si="10"/>
        <v>0</v>
      </c>
      <c r="U61" s="326">
        <f t="shared" ca="1" si="10"/>
        <v>0</v>
      </c>
      <c r="V61" s="326">
        <f t="shared" ca="1" si="10"/>
        <v>0</v>
      </c>
      <c r="W61" s="326">
        <f t="shared" ca="1" si="10"/>
        <v>0</v>
      </c>
      <c r="X61" s="326">
        <f t="shared" ca="1" si="10"/>
        <v>0</v>
      </c>
      <c r="Y61" s="326">
        <f t="shared" ca="1" si="10"/>
        <v>0</v>
      </c>
      <c r="Z61" s="326">
        <f t="shared" ca="1" si="10"/>
        <v>0</v>
      </c>
      <c r="AA61" s="326">
        <f t="shared" ca="1" si="10"/>
        <v>0</v>
      </c>
      <c r="AB61" s="326">
        <f t="shared" ca="1" si="10"/>
        <v>0</v>
      </c>
      <c r="AC61" s="326">
        <f t="shared" ca="1" si="10"/>
        <v>0</v>
      </c>
      <c r="AD61" s="326">
        <f t="shared" ca="1" si="10"/>
        <v>0</v>
      </c>
      <c r="AE61" s="326">
        <f t="shared" ca="1" si="10"/>
        <v>0</v>
      </c>
      <c r="AF61" s="326">
        <f t="shared" ca="1" si="10"/>
        <v>0</v>
      </c>
      <c r="AG61" s="326">
        <f t="shared" ca="1" si="10"/>
        <v>0</v>
      </c>
      <c r="AH61" s="326">
        <f t="shared" ca="1" si="10"/>
        <v>0</v>
      </c>
      <c r="AI61" s="326">
        <f t="shared" ca="1" si="10"/>
        <v>0</v>
      </c>
      <c r="AJ61" s="326">
        <f t="shared" ca="1" si="10"/>
        <v>0</v>
      </c>
      <c r="AK61" s="326">
        <f t="shared" ca="1" si="10"/>
        <v>0</v>
      </c>
      <c r="AL61" s="326">
        <f t="shared" ca="1" si="10"/>
        <v>0</v>
      </c>
      <c r="AM61" s="326">
        <f t="shared" ca="1" si="10"/>
        <v>0</v>
      </c>
      <c r="AN61" s="326">
        <f t="shared" ca="1" si="10"/>
        <v>0</v>
      </c>
      <c r="AO61" s="326">
        <f t="shared" ca="1" si="10"/>
        <v>0</v>
      </c>
      <c r="AP61" s="326">
        <f t="shared" ca="1" si="10"/>
        <v>0</v>
      </c>
      <c r="AQ61" s="326">
        <f t="shared" ca="1" si="10"/>
        <v>0</v>
      </c>
      <c r="AR61" s="326">
        <f t="shared" ca="1" si="10"/>
        <v>0</v>
      </c>
      <c r="AS61" s="326">
        <f t="shared" ca="1" si="10"/>
        <v>0</v>
      </c>
      <c r="AT61" s="326">
        <f t="shared" ca="1" si="10"/>
        <v>0</v>
      </c>
      <c r="AU61" s="326">
        <f t="shared" ca="1" si="10"/>
        <v>0</v>
      </c>
      <c r="AV61" s="326">
        <f t="shared" ca="1" si="10"/>
        <v>0</v>
      </c>
      <c r="AW61" s="326">
        <f t="shared" ca="1" si="10"/>
        <v>0</v>
      </c>
      <c r="AX61" s="326">
        <f t="shared" ca="1" si="10"/>
        <v>0</v>
      </c>
      <c r="AY61" s="326">
        <f t="shared" ca="1" si="10"/>
        <v>0</v>
      </c>
      <c r="AZ61" s="326">
        <f t="shared" ca="1" si="10"/>
        <v>0</v>
      </c>
      <c r="BA61" s="326">
        <f t="shared" ca="1" si="10"/>
        <v>0</v>
      </c>
      <c r="BB61" s="326">
        <f t="shared" ca="1" si="10"/>
        <v>0</v>
      </c>
      <c r="BC61" s="326">
        <f t="shared" ca="1" si="10"/>
        <v>0</v>
      </c>
      <c r="BD61" s="326">
        <f t="shared" ca="1" si="10"/>
        <v>0</v>
      </c>
      <c r="BE61" s="326">
        <f t="shared" ca="1" si="10"/>
        <v>0</v>
      </c>
      <c r="BF61" s="326">
        <f t="shared" ca="1" si="10"/>
        <v>0</v>
      </c>
      <c r="BG61" s="326">
        <f t="shared" ca="1" si="10"/>
        <v>0</v>
      </c>
      <c r="BH61" s="326">
        <f t="shared" ca="1" si="10"/>
        <v>0</v>
      </c>
      <c r="BI61" s="326">
        <f t="shared" ca="1" si="10"/>
        <v>0</v>
      </c>
      <c r="BJ61" s="326"/>
    </row>
    <row r="62" spans="1:62" outlineLevel="1" x14ac:dyDescent="0.15">
      <c r="A62" s="336">
        <v>8</v>
      </c>
      <c r="B62" s="326" t="str">
        <f t="shared" ca="1" si="7"/>
        <v/>
      </c>
      <c r="C62" s="326" t="str">
        <f t="shared" ca="1" si="7"/>
        <v/>
      </c>
      <c r="D62" s="326" t="str">
        <f t="shared" ca="1" si="7"/>
        <v/>
      </c>
      <c r="E62" s="326" t="str">
        <f t="shared" ca="1" si="7"/>
        <v/>
      </c>
      <c r="F62" s="326" t="str">
        <f t="shared" ca="1" si="7"/>
        <v/>
      </c>
      <c r="G62" s="326" t="str">
        <f t="shared" ca="1" si="7"/>
        <v/>
      </c>
      <c r="H62" s="326" t="str">
        <f t="shared" ca="1" si="7"/>
        <v/>
      </c>
      <c r="I62" s="326">
        <f t="shared" ca="1" si="7"/>
        <v>1390</v>
      </c>
      <c r="J62" s="326">
        <f t="shared" ca="1" si="7"/>
        <v>0</v>
      </c>
      <c r="K62" s="326">
        <f t="shared" ca="1" si="7"/>
        <v>0</v>
      </c>
      <c r="L62" s="326">
        <f t="shared" ca="1" si="7"/>
        <v>0</v>
      </c>
      <c r="M62" s="326">
        <f t="shared" ca="1" si="7"/>
        <v>0</v>
      </c>
      <c r="N62" s="326">
        <f t="shared" ca="1" si="7"/>
        <v>0</v>
      </c>
      <c r="O62" s="326">
        <f t="shared" ca="1" si="7"/>
        <v>0</v>
      </c>
      <c r="P62" s="326">
        <f t="shared" ca="1" si="7"/>
        <v>0</v>
      </c>
      <c r="Q62" s="326">
        <f t="shared" ca="1" si="7"/>
        <v>0</v>
      </c>
      <c r="R62" s="326">
        <f t="shared" ca="1" si="10"/>
        <v>0</v>
      </c>
      <c r="S62" s="326">
        <f t="shared" ca="1" si="10"/>
        <v>0</v>
      </c>
      <c r="T62" s="326">
        <f t="shared" ca="1" si="10"/>
        <v>0</v>
      </c>
      <c r="U62" s="326">
        <f t="shared" ca="1" si="10"/>
        <v>0</v>
      </c>
      <c r="V62" s="326">
        <f t="shared" ca="1" si="10"/>
        <v>0</v>
      </c>
      <c r="W62" s="326">
        <f t="shared" ca="1" si="10"/>
        <v>0</v>
      </c>
      <c r="X62" s="326">
        <f t="shared" ca="1" si="10"/>
        <v>0</v>
      </c>
      <c r="Y62" s="326">
        <f t="shared" ca="1" si="10"/>
        <v>0</v>
      </c>
      <c r="Z62" s="326">
        <f t="shared" ca="1" si="10"/>
        <v>0</v>
      </c>
      <c r="AA62" s="326">
        <f t="shared" ca="1" si="10"/>
        <v>0</v>
      </c>
      <c r="AB62" s="326">
        <f t="shared" ca="1" si="10"/>
        <v>0</v>
      </c>
      <c r="AC62" s="326">
        <f t="shared" ca="1" si="10"/>
        <v>0</v>
      </c>
      <c r="AD62" s="326">
        <f t="shared" ca="1" si="10"/>
        <v>0</v>
      </c>
      <c r="AE62" s="326">
        <f t="shared" ca="1" si="10"/>
        <v>0</v>
      </c>
      <c r="AF62" s="326">
        <f t="shared" ca="1" si="10"/>
        <v>0</v>
      </c>
      <c r="AG62" s="326">
        <f t="shared" ca="1" si="10"/>
        <v>0</v>
      </c>
      <c r="AH62" s="326">
        <f t="shared" ca="1" si="10"/>
        <v>0</v>
      </c>
      <c r="AI62" s="326">
        <f t="shared" ca="1" si="10"/>
        <v>0</v>
      </c>
      <c r="AJ62" s="326">
        <f t="shared" ca="1" si="10"/>
        <v>0</v>
      </c>
      <c r="AK62" s="326">
        <f t="shared" ca="1" si="10"/>
        <v>0</v>
      </c>
      <c r="AL62" s="326">
        <f t="shared" ca="1" si="10"/>
        <v>0</v>
      </c>
      <c r="AM62" s="326">
        <f t="shared" ca="1" si="10"/>
        <v>0</v>
      </c>
      <c r="AN62" s="326">
        <f t="shared" ca="1" si="10"/>
        <v>0</v>
      </c>
      <c r="AO62" s="326">
        <f t="shared" ca="1" si="10"/>
        <v>0</v>
      </c>
      <c r="AP62" s="326">
        <f t="shared" ca="1" si="10"/>
        <v>0</v>
      </c>
      <c r="AQ62" s="326">
        <f t="shared" ca="1" si="10"/>
        <v>0</v>
      </c>
      <c r="AR62" s="326">
        <f t="shared" ca="1" si="10"/>
        <v>0</v>
      </c>
      <c r="AS62" s="326">
        <f t="shared" ca="1" si="10"/>
        <v>0</v>
      </c>
      <c r="AT62" s="326">
        <f t="shared" ca="1" si="10"/>
        <v>0</v>
      </c>
      <c r="AU62" s="326">
        <f t="shared" ca="1" si="10"/>
        <v>0</v>
      </c>
      <c r="AV62" s="326">
        <f t="shared" ca="1" si="10"/>
        <v>0</v>
      </c>
      <c r="AW62" s="326">
        <f t="shared" ca="1" si="10"/>
        <v>0</v>
      </c>
      <c r="AX62" s="326">
        <f t="shared" ca="1" si="10"/>
        <v>0</v>
      </c>
      <c r="AY62" s="326">
        <f t="shared" ca="1" si="10"/>
        <v>0</v>
      </c>
      <c r="AZ62" s="326">
        <f t="shared" ca="1" si="10"/>
        <v>0</v>
      </c>
      <c r="BA62" s="326">
        <f t="shared" ca="1" si="10"/>
        <v>0</v>
      </c>
      <c r="BB62" s="326">
        <f t="shared" ca="1" si="10"/>
        <v>0</v>
      </c>
      <c r="BC62" s="326">
        <f t="shared" ca="1" si="10"/>
        <v>0</v>
      </c>
      <c r="BD62" s="326">
        <f t="shared" ca="1" si="10"/>
        <v>0</v>
      </c>
      <c r="BE62" s="326">
        <f t="shared" ca="1" si="10"/>
        <v>0</v>
      </c>
      <c r="BF62" s="326">
        <f t="shared" ca="1" si="10"/>
        <v>0</v>
      </c>
      <c r="BG62" s="326">
        <f t="shared" ca="1" si="10"/>
        <v>0</v>
      </c>
      <c r="BH62" s="326">
        <f t="shared" ca="1" si="10"/>
        <v>0</v>
      </c>
      <c r="BI62" s="326">
        <f t="shared" ca="1" si="10"/>
        <v>0</v>
      </c>
      <c r="BJ62" s="326"/>
    </row>
    <row r="63" spans="1:62" outlineLevel="1" x14ac:dyDescent="0.15">
      <c r="A63" s="336">
        <v>9</v>
      </c>
      <c r="B63" s="326" t="str">
        <f t="shared" ca="1" si="7"/>
        <v/>
      </c>
      <c r="C63" s="326" t="str">
        <f t="shared" ca="1" si="7"/>
        <v/>
      </c>
      <c r="D63" s="326" t="str">
        <f t="shared" ca="1" si="7"/>
        <v/>
      </c>
      <c r="E63" s="326" t="str">
        <f t="shared" ca="1" si="7"/>
        <v/>
      </c>
      <c r="F63" s="326" t="str">
        <f t="shared" ca="1" si="7"/>
        <v/>
      </c>
      <c r="G63" s="326" t="str">
        <f t="shared" ca="1" si="7"/>
        <v/>
      </c>
      <c r="H63" s="326" t="str">
        <f t="shared" ca="1" si="7"/>
        <v/>
      </c>
      <c r="I63" s="326" t="str">
        <f t="shared" ca="1" si="7"/>
        <v/>
      </c>
      <c r="J63" s="326">
        <f t="shared" ca="1" si="7"/>
        <v>1390</v>
      </c>
      <c r="K63" s="326">
        <f t="shared" ca="1" si="7"/>
        <v>0</v>
      </c>
      <c r="L63" s="326">
        <f t="shared" ca="1" si="7"/>
        <v>0</v>
      </c>
      <c r="M63" s="326">
        <f t="shared" ca="1" si="7"/>
        <v>0</v>
      </c>
      <c r="N63" s="326">
        <f t="shared" ca="1" si="7"/>
        <v>0</v>
      </c>
      <c r="O63" s="326">
        <f t="shared" ca="1" si="7"/>
        <v>0</v>
      </c>
      <c r="P63" s="326">
        <f t="shared" ca="1" si="7"/>
        <v>0</v>
      </c>
      <c r="Q63" s="326">
        <f t="shared" ca="1" si="7"/>
        <v>0</v>
      </c>
      <c r="R63" s="326">
        <f t="shared" ca="1" si="10"/>
        <v>0</v>
      </c>
      <c r="S63" s="326">
        <f t="shared" ca="1" si="10"/>
        <v>0</v>
      </c>
      <c r="T63" s="326">
        <f t="shared" ca="1" si="10"/>
        <v>0</v>
      </c>
      <c r="U63" s="326">
        <f t="shared" ca="1" si="10"/>
        <v>0</v>
      </c>
      <c r="V63" s="326">
        <f t="shared" ca="1" si="10"/>
        <v>0</v>
      </c>
      <c r="W63" s="326">
        <f t="shared" ca="1" si="10"/>
        <v>0</v>
      </c>
      <c r="X63" s="326">
        <f t="shared" ca="1" si="10"/>
        <v>0</v>
      </c>
      <c r="Y63" s="326">
        <f t="shared" ca="1" si="10"/>
        <v>0</v>
      </c>
      <c r="Z63" s="326">
        <f t="shared" ca="1" si="10"/>
        <v>0</v>
      </c>
      <c r="AA63" s="326">
        <f t="shared" ca="1" si="10"/>
        <v>0</v>
      </c>
      <c r="AB63" s="326">
        <f t="shared" ca="1" si="10"/>
        <v>0</v>
      </c>
      <c r="AC63" s="326">
        <f t="shared" ca="1" si="10"/>
        <v>0</v>
      </c>
      <c r="AD63" s="326">
        <f t="shared" ca="1" si="10"/>
        <v>0</v>
      </c>
      <c r="AE63" s="326">
        <f t="shared" ca="1" si="10"/>
        <v>0</v>
      </c>
      <c r="AF63" s="326">
        <f t="shared" ca="1" si="10"/>
        <v>0</v>
      </c>
      <c r="AG63" s="326">
        <f t="shared" ca="1" si="10"/>
        <v>0</v>
      </c>
      <c r="AH63" s="326">
        <f t="shared" ca="1" si="10"/>
        <v>0</v>
      </c>
      <c r="AI63" s="326">
        <f t="shared" ca="1" si="10"/>
        <v>0</v>
      </c>
      <c r="AJ63" s="326">
        <f t="shared" ca="1" si="10"/>
        <v>0</v>
      </c>
      <c r="AK63" s="326">
        <f t="shared" ca="1" si="10"/>
        <v>0</v>
      </c>
      <c r="AL63" s="326">
        <f t="shared" ca="1" si="10"/>
        <v>0</v>
      </c>
      <c r="AM63" s="326">
        <f t="shared" ca="1" si="10"/>
        <v>0</v>
      </c>
      <c r="AN63" s="326">
        <f t="shared" ca="1" si="10"/>
        <v>0</v>
      </c>
      <c r="AO63" s="326">
        <f t="shared" ca="1" si="10"/>
        <v>0</v>
      </c>
      <c r="AP63" s="326">
        <f t="shared" ca="1" si="10"/>
        <v>0</v>
      </c>
      <c r="AQ63" s="326">
        <f t="shared" ca="1" si="10"/>
        <v>0</v>
      </c>
      <c r="AR63" s="326">
        <f t="shared" ca="1" si="10"/>
        <v>0</v>
      </c>
      <c r="AS63" s="326">
        <f t="shared" ca="1" si="10"/>
        <v>0</v>
      </c>
      <c r="AT63" s="326">
        <f t="shared" ca="1" si="10"/>
        <v>0</v>
      </c>
      <c r="AU63" s="326">
        <f t="shared" ca="1" si="10"/>
        <v>0</v>
      </c>
      <c r="AV63" s="326">
        <f t="shared" ca="1" si="10"/>
        <v>0</v>
      </c>
      <c r="AW63" s="326">
        <f t="shared" ca="1" si="10"/>
        <v>0</v>
      </c>
      <c r="AX63" s="326">
        <f t="shared" ca="1" si="10"/>
        <v>0</v>
      </c>
      <c r="AY63" s="326">
        <f t="shared" ca="1" si="10"/>
        <v>0</v>
      </c>
      <c r="AZ63" s="326">
        <f t="shared" ca="1" si="10"/>
        <v>0</v>
      </c>
      <c r="BA63" s="326">
        <f t="shared" ca="1" si="10"/>
        <v>0</v>
      </c>
      <c r="BB63" s="326">
        <f t="shared" ca="1" si="10"/>
        <v>0</v>
      </c>
      <c r="BC63" s="326">
        <f t="shared" ca="1" si="10"/>
        <v>0</v>
      </c>
      <c r="BD63" s="326">
        <f t="shared" ca="1" si="10"/>
        <v>0</v>
      </c>
      <c r="BE63" s="326">
        <f t="shared" ca="1" si="10"/>
        <v>0</v>
      </c>
      <c r="BF63" s="326">
        <f t="shared" ca="1" si="10"/>
        <v>0</v>
      </c>
      <c r="BG63" s="326">
        <f t="shared" ca="1" si="10"/>
        <v>0</v>
      </c>
      <c r="BH63" s="326">
        <f t="shared" ca="1" si="10"/>
        <v>0</v>
      </c>
      <c r="BI63" s="326">
        <f t="shared" ca="1" si="10"/>
        <v>0</v>
      </c>
      <c r="BJ63" s="326"/>
    </row>
    <row r="64" spans="1:62" outlineLevel="1" x14ac:dyDescent="0.15">
      <c r="A64" s="336">
        <v>10</v>
      </c>
      <c r="B64" s="326" t="str">
        <f t="shared" ca="1" si="7"/>
        <v/>
      </c>
      <c r="C64" s="326" t="str">
        <f t="shared" ca="1" si="7"/>
        <v/>
      </c>
      <c r="D64" s="326" t="str">
        <f t="shared" ca="1" si="7"/>
        <v/>
      </c>
      <c r="E64" s="326" t="str">
        <f t="shared" ca="1" si="7"/>
        <v/>
      </c>
      <c r="F64" s="326" t="str">
        <f t="shared" ca="1" si="7"/>
        <v/>
      </c>
      <c r="G64" s="326" t="str">
        <f t="shared" ca="1" si="7"/>
        <v/>
      </c>
      <c r="H64" s="326" t="str">
        <f t="shared" ca="1" si="7"/>
        <v/>
      </c>
      <c r="I64" s="326" t="str">
        <f t="shared" ca="1" si="7"/>
        <v/>
      </c>
      <c r="J64" s="326" t="str">
        <f t="shared" ca="1" si="7"/>
        <v/>
      </c>
      <c r="K64" s="326">
        <f t="shared" ca="1" si="7"/>
        <v>1390</v>
      </c>
      <c r="L64" s="326">
        <f t="shared" ca="1" si="7"/>
        <v>0</v>
      </c>
      <c r="M64" s="326">
        <f t="shared" ca="1" si="7"/>
        <v>0</v>
      </c>
      <c r="N64" s="326">
        <f t="shared" ca="1" si="7"/>
        <v>0</v>
      </c>
      <c r="O64" s="326">
        <f t="shared" ca="1" si="7"/>
        <v>0</v>
      </c>
      <c r="P64" s="326">
        <f t="shared" ca="1" si="7"/>
        <v>0</v>
      </c>
      <c r="Q64" s="326">
        <f t="shared" ca="1" si="7"/>
        <v>0</v>
      </c>
      <c r="R64" s="326">
        <f t="shared" ca="1" si="10"/>
        <v>0</v>
      </c>
      <c r="S64" s="326">
        <f t="shared" ca="1" si="10"/>
        <v>0</v>
      </c>
      <c r="T64" s="326">
        <f t="shared" ca="1" si="10"/>
        <v>0</v>
      </c>
      <c r="U64" s="326">
        <f t="shared" ca="1" si="10"/>
        <v>0</v>
      </c>
      <c r="V64" s="326">
        <f t="shared" ca="1" si="10"/>
        <v>0</v>
      </c>
      <c r="W64" s="326">
        <f t="shared" ca="1" si="10"/>
        <v>0</v>
      </c>
      <c r="X64" s="326">
        <f t="shared" ca="1" si="10"/>
        <v>0</v>
      </c>
      <c r="Y64" s="326">
        <f t="shared" ca="1" si="10"/>
        <v>0</v>
      </c>
      <c r="Z64" s="326">
        <f t="shared" ca="1" si="10"/>
        <v>0</v>
      </c>
      <c r="AA64" s="326">
        <f t="shared" ca="1" si="10"/>
        <v>0</v>
      </c>
      <c r="AB64" s="326">
        <f t="shared" ca="1" si="10"/>
        <v>0</v>
      </c>
      <c r="AC64" s="326">
        <f t="shared" ca="1" si="10"/>
        <v>0</v>
      </c>
      <c r="AD64" s="326">
        <f t="shared" ca="1" si="10"/>
        <v>0</v>
      </c>
      <c r="AE64" s="326">
        <f t="shared" ca="1" si="10"/>
        <v>0</v>
      </c>
      <c r="AF64" s="326">
        <f t="shared" ca="1" si="10"/>
        <v>0</v>
      </c>
      <c r="AG64" s="326">
        <f t="shared" ca="1" si="10"/>
        <v>0</v>
      </c>
      <c r="AH64" s="326">
        <f t="shared" ca="1" si="10"/>
        <v>0</v>
      </c>
      <c r="AI64" s="326">
        <f t="shared" ca="1" si="10"/>
        <v>0</v>
      </c>
      <c r="AJ64" s="326">
        <f t="shared" ca="1" si="10"/>
        <v>0</v>
      </c>
      <c r="AK64" s="326">
        <f t="shared" ca="1" si="10"/>
        <v>0</v>
      </c>
      <c r="AL64" s="326">
        <f t="shared" ca="1" si="10"/>
        <v>0</v>
      </c>
      <c r="AM64" s="326">
        <f t="shared" ca="1" si="10"/>
        <v>0</v>
      </c>
      <c r="AN64" s="326">
        <f t="shared" ca="1" si="10"/>
        <v>0</v>
      </c>
      <c r="AO64" s="326">
        <f t="shared" ca="1" si="10"/>
        <v>0</v>
      </c>
      <c r="AP64" s="326">
        <f t="shared" ca="1" si="10"/>
        <v>0</v>
      </c>
      <c r="AQ64" s="326">
        <f t="shared" ca="1" si="10"/>
        <v>0</v>
      </c>
      <c r="AR64" s="326">
        <f t="shared" ca="1" si="10"/>
        <v>0</v>
      </c>
      <c r="AS64" s="326">
        <f t="shared" ca="1" si="10"/>
        <v>0</v>
      </c>
      <c r="AT64" s="326">
        <f t="shared" ca="1" si="10"/>
        <v>0</v>
      </c>
      <c r="AU64" s="326">
        <f t="shared" ca="1" si="10"/>
        <v>0</v>
      </c>
      <c r="AV64" s="326">
        <f t="shared" ca="1" si="10"/>
        <v>0</v>
      </c>
      <c r="AW64" s="326">
        <f t="shared" ca="1" si="10"/>
        <v>0</v>
      </c>
      <c r="AX64" s="326">
        <f t="shared" ca="1" si="10"/>
        <v>0</v>
      </c>
      <c r="AY64" s="326">
        <f t="shared" ca="1" si="10"/>
        <v>0</v>
      </c>
      <c r="AZ64" s="326">
        <f t="shared" ca="1" si="10"/>
        <v>0</v>
      </c>
      <c r="BA64" s="326">
        <f t="shared" ca="1" si="10"/>
        <v>0</v>
      </c>
      <c r="BB64" s="326">
        <f t="shared" ca="1" si="10"/>
        <v>0</v>
      </c>
      <c r="BC64" s="326">
        <f t="shared" ca="1" si="10"/>
        <v>0</v>
      </c>
      <c r="BD64" s="326">
        <f t="shared" ca="1" si="10"/>
        <v>0</v>
      </c>
      <c r="BE64" s="326">
        <f t="shared" ca="1" si="10"/>
        <v>0</v>
      </c>
      <c r="BF64" s="326">
        <f t="shared" ca="1" si="10"/>
        <v>0</v>
      </c>
      <c r="BG64" s="326">
        <f t="shared" ca="1" si="10"/>
        <v>0</v>
      </c>
      <c r="BH64" s="326">
        <f t="shared" ca="1" si="10"/>
        <v>0</v>
      </c>
      <c r="BI64" s="326">
        <f t="shared" ca="1" si="10"/>
        <v>0</v>
      </c>
    </row>
    <row r="65" spans="1:61" outlineLevel="1" x14ac:dyDescent="0.15">
      <c r="A65" s="336">
        <v>11</v>
      </c>
      <c r="B65" s="326" t="str">
        <f t="shared" ca="1" si="7"/>
        <v/>
      </c>
      <c r="C65" s="326" t="str">
        <f t="shared" ca="1" si="7"/>
        <v/>
      </c>
      <c r="D65" s="326" t="str">
        <f t="shared" ca="1" si="7"/>
        <v/>
      </c>
      <c r="E65" s="326" t="str">
        <f t="shared" ca="1" si="7"/>
        <v/>
      </c>
      <c r="F65" s="326" t="str">
        <f t="shared" ca="1" si="7"/>
        <v/>
      </c>
      <c r="G65" s="326" t="str">
        <f t="shared" ca="1" si="7"/>
        <v/>
      </c>
      <c r="H65" s="326" t="str">
        <f t="shared" ca="1" si="7"/>
        <v/>
      </c>
      <c r="I65" s="326" t="str">
        <f t="shared" ca="1" si="7"/>
        <v/>
      </c>
      <c r="J65" s="326" t="str">
        <f t="shared" ca="1" si="7"/>
        <v/>
      </c>
      <c r="K65" s="326" t="str">
        <f t="shared" ca="1" si="7"/>
        <v/>
      </c>
      <c r="L65" s="326">
        <f t="shared" ca="1" si="7"/>
        <v>1390</v>
      </c>
      <c r="M65" s="326">
        <f t="shared" ca="1" si="7"/>
        <v>0</v>
      </c>
      <c r="N65" s="326">
        <f t="shared" ca="1" si="7"/>
        <v>0</v>
      </c>
      <c r="O65" s="326">
        <f t="shared" ca="1" si="7"/>
        <v>0</v>
      </c>
      <c r="P65" s="326">
        <f t="shared" ca="1" si="7"/>
        <v>0</v>
      </c>
      <c r="Q65" s="326">
        <f t="shared" ca="1" si="7"/>
        <v>0</v>
      </c>
      <c r="R65" s="326">
        <f t="shared" ca="1" si="10"/>
        <v>0</v>
      </c>
      <c r="S65" s="326">
        <f t="shared" ca="1" si="10"/>
        <v>0</v>
      </c>
      <c r="T65" s="326">
        <f t="shared" ca="1" si="10"/>
        <v>0</v>
      </c>
      <c r="U65" s="326">
        <f t="shared" ca="1" si="10"/>
        <v>0</v>
      </c>
      <c r="V65" s="326">
        <f t="shared" ca="1" si="10"/>
        <v>0</v>
      </c>
      <c r="W65" s="326">
        <f t="shared" ca="1" si="10"/>
        <v>0</v>
      </c>
      <c r="X65" s="326">
        <f t="shared" ca="1" si="10"/>
        <v>0</v>
      </c>
      <c r="Y65" s="326">
        <f t="shared" ca="1" si="10"/>
        <v>0</v>
      </c>
      <c r="Z65" s="326">
        <f t="shared" ca="1" si="10"/>
        <v>0</v>
      </c>
      <c r="AA65" s="326">
        <f t="shared" ca="1" si="10"/>
        <v>0</v>
      </c>
      <c r="AB65" s="326">
        <f t="shared" ca="1" si="10"/>
        <v>0</v>
      </c>
      <c r="AC65" s="326">
        <f t="shared" ca="1" si="10"/>
        <v>0</v>
      </c>
      <c r="AD65" s="326">
        <f t="shared" ca="1" si="10"/>
        <v>0</v>
      </c>
      <c r="AE65" s="326">
        <f t="shared" ca="1" si="10"/>
        <v>0</v>
      </c>
      <c r="AF65" s="326">
        <f t="shared" ca="1" si="10"/>
        <v>0</v>
      </c>
      <c r="AG65" s="326">
        <f t="shared" ca="1" si="10"/>
        <v>0</v>
      </c>
      <c r="AH65" s="326">
        <f t="shared" ca="1" si="10"/>
        <v>0</v>
      </c>
      <c r="AI65" s="326">
        <f t="shared" ca="1" si="10"/>
        <v>0</v>
      </c>
      <c r="AJ65" s="326">
        <f t="shared" ca="1" si="10"/>
        <v>0</v>
      </c>
      <c r="AK65" s="326">
        <f t="shared" ca="1" si="10"/>
        <v>0</v>
      </c>
      <c r="AL65" s="326">
        <f t="shared" ca="1" si="10"/>
        <v>0</v>
      </c>
      <c r="AM65" s="326">
        <f t="shared" ca="1" si="10"/>
        <v>0</v>
      </c>
      <c r="AN65" s="326">
        <f t="shared" ca="1" si="10"/>
        <v>0</v>
      </c>
      <c r="AO65" s="326">
        <f t="shared" ca="1" si="10"/>
        <v>0</v>
      </c>
      <c r="AP65" s="326">
        <f t="shared" ca="1" si="10"/>
        <v>0</v>
      </c>
      <c r="AQ65" s="326">
        <f t="shared" ca="1" si="10"/>
        <v>0</v>
      </c>
      <c r="AR65" s="326">
        <f t="shared" ca="1" si="10"/>
        <v>0</v>
      </c>
      <c r="AS65" s="326">
        <f t="shared" ca="1" si="10"/>
        <v>0</v>
      </c>
      <c r="AT65" s="326">
        <f t="shared" ca="1" si="10"/>
        <v>0</v>
      </c>
      <c r="AU65" s="326">
        <f t="shared" ca="1" si="10"/>
        <v>0</v>
      </c>
      <c r="AV65" s="326">
        <f t="shared" ca="1" si="10"/>
        <v>0</v>
      </c>
      <c r="AW65" s="326">
        <f t="shared" ca="1" si="10"/>
        <v>0</v>
      </c>
      <c r="AX65" s="326">
        <f t="shared" ca="1" si="10"/>
        <v>0</v>
      </c>
      <c r="AY65" s="326">
        <f t="shared" ca="1" si="10"/>
        <v>0</v>
      </c>
      <c r="AZ65" s="326">
        <f t="shared" ca="1" si="10"/>
        <v>0</v>
      </c>
      <c r="BA65" s="326">
        <f t="shared" ca="1" si="10"/>
        <v>0</v>
      </c>
      <c r="BB65" s="326">
        <f t="shared" ca="1" si="10"/>
        <v>0</v>
      </c>
      <c r="BC65" s="326">
        <f t="shared" ca="1" si="10"/>
        <v>0</v>
      </c>
      <c r="BD65" s="326">
        <f t="shared" ca="1" si="10"/>
        <v>0</v>
      </c>
      <c r="BE65" s="326">
        <f t="shared" ca="1" si="10"/>
        <v>0</v>
      </c>
      <c r="BF65" s="326">
        <f t="shared" ca="1" si="10"/>
        <v>0</v>
      </c>
      <c r="BG65" s="326">
        <f t="shared" ca="1" si="10"/>
        <v>0</v>
      </c>
      <c r="BH65" s="326">
        <f t="shared" ca="1" si="10"/>
        <v>0</v>
      </c>
      <c r="BI65" s="326">
        <f t="shared" ca="1" si="10"/>
        <v>0</v>
      </c>
    </row>
    <row r="66" spans="1:61" outlineLevel="1" x14ac:dyDescent="0.15">
      <c r="A66" s="336">
        <v>12</v>
      </c>
      <c r="B66" s="326" t="str">
        <f t="shared" ca="1" si="7"/>
        <v/>
      </c>
      <c r="C66" s="326" t="str">
        <f t="shared" ca="1" si="7"/>
        <v/>
      </c>
      <c r="D66" s="326" t="str">
        <f t="shared" ca="1" si="7"/>
        <v/>
      </c>
      <c r="E66" s="326" t="str">
        <f t="shared" ca="1" si="7"/>
        <v/>
      </c>
      <c r="F66" s="326" t="str">
        <f t="shared" ca="1" si="7"/>
        <v/>
      </c>
      <c r="G66" s="326" t="str">
        <f t="shared" ca="1" si="7"/>
        <v/>
      </c>
      <c r="H66" s="326" t="str">
        <f t="shared" ca="1" si="7"/>
        <v/>
      </c>
      <c r="I66" s="326" t="str">
        <f t="shared" ca="1" si="7"/>
        <v/>
      </c>
      <c r="J66" s="326" t="str">
        <f t="shared" ca="1" si="7"/>
        <v/>
      </c>
      <c r="K66" s="326" t="str">
        <f t="shared" ca="1" si="7"/>
        <v/>
      </c>
      <c r="L66" s="326" t="str">
        <f t="shared" ca="1" si="7"/>
        <v/>
      </c>
      <c r="M66" s="326">
        <f t="shared" ca="1" si="7"/>
        <v>1390</v>
      </c>
      <c r="N66" s="326">
        <f t="shared" ca="1" si="7"/>
        <v>0</v>
      </c>
      <c r="O66" s="326">
        <f t="shared" ca="1" si="7"/>
        <v>0</v>
      </c>
      <c r="P66" s="326">
        <f t="shared" ca="1" si="7"/>
        <v>0</v>
      </c>
      <c r="Q66" s="326">
        <f t="shared" ca="1" si="7"/>
        <v>0</v>
      </c>
      <c r="R66" s="326">
        <f t="shared" ca="1" si="10"/>
        <v>0</v>
      </c>
      <c r="S66" s="326">
        <f t="shared" ca="1" si="10"/>
        <v>0</v>
      </c>
      <c r="T66" s="326">
        <f t="shared" ca="1" si="10"/>
        <v>0</v>
      </c>
      <c r="U66" s="326">
        <f t="shared" ca="1" si="10"/>
        <v>0</v>
      </c>
      <c r="V66" s="326">
        <f t="shared" ca="1" si="10"/>
        <v>0</v>
      </c>
      <c r="W66" s="326">
        <f t="shared" ca="1" si="10"/>
        <v>0</v>
      </c>
      <c r="X66" s="326">
        <f t="shared" ca="1" si="10"/>
        <v>0</v>
      </c>
      <c r="Y66" s="326">
        <f t="shared" ca="1" si="10"/>
        <v>0</v>
      </c>
      <c r="Z66" s="326">
        <f t="shared" ca="1" si="10"/>
        <v>0</v>
      </c>
      <c r="AA66" s="326">
        <f t="shared" ca="1" si="10"/>
        <v>0</v>
      </c>
      <c r="AB66" s="326">
        <f t="shared" ca="1" si="10"/>
        <v>0</v>
      </c>
      <c r="AC66" s="326">
        <f t="shared" ca="1" si="10"/>
        <v>0</v>
      </c>
      <c r="AD66" s="326">
        <f t="shared" ca="1" si="10"/>
        <v>0</v>
      </c>
      <c r="AE66" s="326">
        <f t="shared" ca="1" si="10"/>
        <v>0</v>
      </c>
      <c r="AF66" s="326">
        <f t="shared" ca="1" si="10"/>
        <v>0</v>
      </c>
      <c r="AG66" s="326">
        <f t="shared" ca="1" si="10"/>
        <v>0</v>
      </c>
      <c r="AH66" s="326">
        <f t="shared" ca="1" si="10"/>
        <v>0</v>
      </c>
      <c r="AI66" s="326">
        <f t="shared" ca="1" si="10"/>
        <v>0</v>
      </c>
      <c r="AJ66" s="326">
        <f t="shared" ca="1" si="10"/>
        <v>0</v>
      </c>
      <c r="AK66" s="326">
        <f t="shared" ca="1" si="10"/>
        <v>0</v>
      </c>
      <c r="AL66" s="326">
        <f t="shared" ca="1" si="10"/>
        <v>0</v>
      </c>
      <c r="AM66" s="326">
        <f t="shared" ca="1" si="10"/>
        <v>0</v>
      </c>
      <c r="AN66" s="326">
        <f t="shared" ca="1" si="10"/>
        <v>0</v>
      </c>
      <c r="AO66" s="326">
        <f t="shared" ca="1" si="10"/>
        <v>0</v>
      </c>
      <c r="AP66" s="326">
        <f t="shared" ca="1" si="10"/>
        <v>0</v>
      </c>
      <c r="AQ66" s="326">
        <f t="shared" ca="1" si="10"/>
        <v>0</v>
      </c>
      <c r="AR66" s="326">
        <f t="shared" ca="1" si="10"/>
        <v>0</v>
      </c>
      <c r="AS66" s="326">
        <f t="shared" ca="1" si="10"/>
        <v>0</v>
      </c>
      <c r="AT66" s="326">
        <f t="shared" ca="1" si="10"/>
        <v>0</v>
      </c>
      <c r="AU66" s="326">
        <f t="shared" ca="1" si="10"/>
        <v>0</v>
      </c>
      <c r="AV66" s="326">
        <f t="shared" ca="1" si="10"/>
        <v>0</v>
      </c>
      <c r="AW66" s="326">
        <f t="shared" ca="1" si="10"/>
        <v>0</v>
      </c>
      <c r="AX66" s="326">
        <f t="shared" ca="1" si="10"/>
        <v>0</v>
      </c>
      <c r="AY66" s="326">
        <f t="shared" ca="1" si="10"/>
        <v>0</v>
      </c>
      <c r="AZ66" s="326">
        <f t="shared" ca="1" si="10"/>
        <v>0</v>
      </c>
      <c r="BA66" s="326">
        <f t="shared" ref="BA66:DG71" ca="1" si="11">IF($A66&gt;BA$5,"",OFFSET(BA$54,0,-($A66-1)))</f>
        <v>0</v>
      </c>
      <c r="BB66" s="326">
        <f t="shared" ca="1" si="11"/>
        <v>0</v>
      </c>
      <c r="BC66" s="326">
        <f t="shared" ca="1" si="11"/>
        <v>0</v>
      </c>
      <c r="BD66" s="326">
        <f t="shared" ca="1" si="11"/>
        <v>0</v>
      </c>
      <c r="BE66" s="326">
        <f t="shared" ca="1" si="11"/>
        <v>0</v>
      </c>
      <c r="BF66" s="326">
        <f t="shared" ca="1" si="11"/>
        <v>0</v>
      </c>
      <c r="BG66" s="326">
        <f t="shared" ca="1" si="11"/>
        <v>0</v>
      </c>
      <c r="BH66" s="326">
        <f t="shared" ca="1" si="11"/>
        <v>0</v>
      </c>
      <c r="BI66" s="326">
        <f t="shared" ca="1" si="11"/>
        <v>0</v>
      </c>
    </row>
    <row r="67" spans="1:61" outlineLevel="1" x14ac:dyDescent="0.15">
      <c r="A67" s="336">
        <v>13</v>
      </c>
      <c r="B67" s="326" t="str">
        <f t="shared" ca="1" si="7"/>
        <v/>
      </c>
      <c r="C67" s="326" t="str">
        <f t="shared" ca="1" si="7"/>
        <v/>
      </c>
      <c r="D67" s="326" t="str">
        <f t="shared" ca="1" si="7"/>
        <v/>
      </c>
      <c r="E67" s="326" t="str">
        <f t="shared" ca="1" si="7"/>
        <v/>
      </c>
      <c r="F67" s="326" t="str">
        <f t="shared" ca="1" si="7"/>
        <v/>
      </c>
      <c r="G67" s="326" t="str">
        <f t="shared" ca="1" si="7"/>
        <v/>
      </c>
      <c r="H67" s="326" t="str">
        <f t="shared" ca="1" si="7"/>
        <v/>
      </c>
      <c r="I67" s="326" t="str">
        <f t="shared" ca="1" si="7"/>
        <v/>
      </c>
      <c r="J67" s="326" t="str">
        <f t="shared" ca="1" si="7"/>
        <v/>
      </c>
      <c r="K67" s="326" t="str">
        <f t="shared" ca="1" si="7"/>
        <v/>
      </c>
      <c r="L67" s="326" t="str">
        <f t="shared" ca="1" si="7"/>
        <v/>
      </c>
      <c r="M67" s="326" t="str">
        <f t="shared" ca="1" si="7"/>
        <v/>
      </c>
      <c r="N67" s="326">
        <f t="shared" ca="1" si="7"/>
        <v>1390</v>
      </c>
      <c r="O67" s="326">
        <f t="shared" ca="1" si="7"/>
        <v>0</v>
      </c>
      <c r="P67" s="326">
        <f t="shared" ca="1" si="7"/>
        <v>0</v>
      </c>
      <c r="Q67" s="326">
        <f t="shared" ca="1" si="7"/>
        <v>0</v>
      </c>
      <c r="R67" s="326">
        <f t="shared" ref="R67:BX72" ca="1" si="12">IF($A67&gt;R$5,"",OFFSET(R$54,0,-($A67-1)))</f>
        <v>0</v>
      </c>
      <c r="S67" s="326">
        <f t="shared" ca="1" si="12"/>
        <v>0</v>
      </c>
      <c r="T67" s="326">
        <f t="shared" ca="1" si="12"/>
        <v>0</v>
      </c>
      <c r="U67" s="326">
        <f t="shared" ca="1" si="12"/>
        <v>0</v>
      </c>
      <c r="V67" s="326">
        <f t="shared" ca="1" si="12"/>
        <v>0</v>
      </c>
      <c r="W67" s="326">
        <f t="shared" ca="1" si="12"/>
        <v>0</v>
      </c>
      <c r="X67" s="326">
        <f t="shared" ca="1" si="12"/>
        <v>0</v>
      </c>
      <c r="Y67" s="326">
        <f t="shared" ca="1" si="12"/>
        <v>0</v>
      </c>
      <c r="Z67" s="326">
        <f t="shared" ca="1" si="12"/>
        <v>0</v>
      </c>
      <c r="AA67" s="326">
        <f t="shared" ca="1" si="12"/>
        <v>0</v>
      </c>
      <c r="AB67" s="326">
        <f t="shared" ca="1" si="12"/>
        <v>0</v>
      </c>
      <c r="AC67" s="326">
        <f t="shared" ca="1" si="12"/>
        <v>0</v>
      </c>
      <c r="AD67" s="326">
        <f t="shared" ca="1" si="12"/>
        <v>0</v>
      </c>
      <c r="AE67" s="326">
        <f t="shared" ca="1" si="12"/>
        <v>0</v>
      </c>
      <c r="AF67" s="326">
        <f t="shared" ca="1" si="12"/>
        <v>0</v>
      </c>
      <c r="AG67" s="326">
        <f t="shared" ca="1" si="12"/>
        <v>0</v>
      </c>
      <c r="AH67" s="326">
        <f t="shared" ca="1" si="12"/>
        <v>0</v>
      </c>
      <c r="AI67" s="326">
        <f t="shared" ca="1" si="12"/>
        <v>0</v>
      </c>
      <c r="AJ67" s="326">
        <f t="shared" ca="1" si="12"/>
        <v>0</v>
      </c>
      <c r="AK67" s="326">
        <f t="shared" ca="1" si="12"/>
        <v>0</v>
      </c>
      <c r="AL67" s="326">
        <f t="shared" ca="1" si="12"/>
        <v>0</v>
      </c>
      <c r="AM67" s="326">
        <f t="shared" ca="1" si="12"/>
        <v>0</v>
      </c>
      <c r="AN67" s="326">
        <f t="shared" ca="1" si="12"/>
        <v>0</v>
      </c>
      <c r="AO67" s="326">
        <f t="shared" ca="1" si="12"/>
        <v>0</v>
      </c>
      <c r="AP67" s="326">
        <f t="shared" ca="1" si="12"/>
        <v>0</v>
      </c>
      <c r="AQ67" s="326">
        <f t="shared" ca="1" si="12"/>
        <v>0</v>
      </c>
      <c r="AR67" s="326">
        <f t="shared" ca="1" si="12"/>
        <v>0</v>
      </c>
      <c r="AS67" s="326">
        <f t="shared" ca="1" si="12"/>
        <v>0</v>
      </c>
      <c r="AT67" s="326">
        <f t="shared" ca="1" si="12"/>
        <v>0</v>
      </c>
      <c r="AU67" s="326">
        <f t="shared" ca="1" si="12"/>
        <v>0</v>
      </c>
      <c r="AV67" s="326">
        <f t="shared" ca="1" si="12"/>
        <v>0</v>
      </c>
      <c r="AW67" s="326">
        <f t="shared" ca="1" si="12"/>
        <v>0</v>
      </c>
      <c r="AX67" s="326">
        <f t="shared" ca="1" si="12"/>
        <v>0</v>
      </c>
      <c r="AY67" s="326">
        <f t="shared" ca="1" si="12"/>
        <v>0</v>
      </c>
      <c r="AZ67" s="326">
        <f t="shared" ca="1" si="12"/>
        <v>0</v>
      </c>
      <c r="BA67" s="326">
        <f t="shared" ca="1" si="12"/>
        <v>0</v>
      </c>
      <c r="BB67" s="326">
        <f t="shared" ca="1" si="12"/>
        <v>0</v>
      </c>
      <c r="BC67" s="326">
        <f t="shared" ca="1" si="12"/>
        <v>0</v>
      </c>
      <c r="BD67" s="326">
        <f t="shared" ca="1" si="12"/>
        <v>0</v>
      </c>
      <c r="BE67" s="326">
        <f t="shared" ca="1" si="12"/>
        <v>0</v>
      </c>
      <c r="BF67" s="326">
        <f t="shared" ca="1" si="12"/>
        <v>0</v>
      </c>
      <c r="BG67" s="326">
        <f t="shared" ca="1" si="12"/>
        <v>0</v>
      </c>
      <c r="BH67" s="326">
        <f t="shared" ca="1" si="12"/>
        <v>0</v>
      </c>
      <c r="BI67" s="326">
        <f t="shared" ca="1" si="12"/>
        <v>0</v>
      </c>
    </row>
    <row r="68" spans="1:61" outlineLevel="1" x14ac:dyDescent="0.15">
      <c r="A68" s="336">
        <v>14</v>
      </c>
      <c r="B68" s="326" t="str">
        <f t="shared" ca="1" si="7"/>
        <v/>
      </c>
      <c r="C68" s="326" t="str">
        <f t="shared" ca="1" si="7"/>
        <v/>
      </c>
      <c r="D68" s="326" t="str">
        <f t="shared" ca="1" si="7"/>
        <v/>
      </c>
      <c r="E68" s="326" t="str">
        <f t="shared" ca="1" si="7"/>
        <v/>
      </c>
      <c r="F68" s="326" t="str">
        <f t="shared" ca="1" si="7"/>
        <v/>
      </c>
      <c r="G68" s="326" t="str">
        <f t="shared" ca="1" si="7"/>
        <v/>
      </c>
      <c r="H68" s="326" t="str">
        <f t="shared" ca="1" si="7"/>
        <v/>
      </c>
      <c r="I68" s="326" t="str">
        <f t="shared" ca="1" si="7"/>
        <v/>
      </c>
      <c r="J68" s="326" t="str">
        <f t="shared" ca="1" si="7"/>
        <v/>
      </c>
      <c r="K68" s="326" t="str">
        <f t="shared" ca="1" si="7"/>
        <v/>
      </c>
      <c r="L68" s="326" t="str">
        <f t="shared" ca="1" si="7"/>
        <v/>
      </c>
      <c r="M68" s="326" t="str">
        <f t="shared" ca="1" si="7"/>
        <v/>
      </c>
      <c r="N68" s="326" t="str">
        <f t="shared" ca="1" si="7"/>
        <v/>
      </c>
      <c r="O68" s="326">
        <f t="shared" ca="1" si="7"/>
        <v>1390</v>
      </c>
      <c r="P68" s="326">
        <f t="shared" ca="1" si="7"/>
        <v>0</v>
      </c>
      <c r="Q68" s="326">
        <f t="shared" ca="1" si="7"/>
        <v>0</v>
      </c>
      <c r="R68" s="326">
        <f t="shared" ca="1" si="12"/>
        <v>0</v>
      </c>
      <c r="S68" s="326">
        <f t="shared" ca="1" si="12"/>
        <v>0</v>
      </c>
      <c r="T68" s="326">
        <f t="shared" ca="1" si="12"/>
        <v>0</v>
      </c>
      <c r="U68" s="326">
        <f t="shared" ca="1" si="12"/>
        <v>0</v>
      </c>
      <c r="V68" s="326">
        <f t="shared" ca="1" si="12"/>
        <v>0</v>
      </c>
      <c r="W68" s="326">
        <f t="shared" ca="1" si="12"/>
        <v>0</v>
      </c>
      <c r="X68" s="326">
        <f t="shared" ca="1" si="12"/>
        <v>0</v>
      </c>
      <c r="Y68" s="326">
        <f t="shared" ca="1" si="12"/>
        <v>0</v>
      </c>
      <c r="Z68" s="326">
        <f t="shared" ca="1" si="12"/>
        <v>0</v>
      </c>
      <c r="AA68" s="326">
        <f t="shared" ca="1" si="12"/>
        <v>0</v>
      </c>
      <c r="AB68" s="326">
        <f t="shared" ca="1" si="12"/>
        <v>0</v>
      </c>
      <c r="AC68" s="326">
        <f t="shared" ca="1" si="12"/>
        <v>0</v>
      </c>
      <c r="AD68" s="326">
        <f t="shared" ca="1" si="12"/>
        <v>0</v>
      </c>
      <c r="AE68" s="326">
        <f t="shared" ca="1" si="12"/>
        <v>0</v>
      </c>
      <c r="AF68" s="326">
        <f t="shared" ca="1" si="12"/>
        <v>0</v>
      </c>
      <c r="AG68" s="326">
        <f t="shared" ca="1" si="12"/>
        <v>0</v>
      </c>
      <c r="AH68" s="326">
        <f t="shared" ca="1" si="12"/>
        <v>0</v>
      </c>
      <c r="AI68" s="326">
        <f t="shared" ca="1" si="12"/>
        <v>0</v>
      </c>
      <c r="AJ68" s="326">
        <f t="shared" ca="1" si="12"/>
        <v>0</v>
      </c>
      <c r="AK68" s="326">
        <f t="shared" ca="1" si="12"/>
        <v>0</v>
      </c>
      <c r="AL68" s="326">
        <f t="shared" ca="1" si="12"/>
        <v>0</v>
      </c>
      <c r="AM68" s="326">
        <f t="shared" ca="1" si="12"/>
        <v>0</v>
      </c>
      <c r="AN68" s="326">
        <f t="shared" ca="1" si="12"/>
        <v>0</v>
      </c>
      <c r="AO68" s="326">
        <f t="shared" ca="1" si="12"/>
        <v>0</v>
      </c>
      <c r="AP68" s="326">
        <f t="shared" ca="1" si="12"/>
        <v>0</v>
      </c>
      <c r="AQ68" s="326">
        <f t="shared" ca="1" si="12"/>
        <v>0</v>
      </c>
      <c r="AR68" s="326">
        <f t="shared" ca="1" si="12"/>
        <v>0</v>
      </c>
      <c r="AS68" s="326">
        <f t="shared" ca="1" si="12"/>
        <v>0</v>
      </c>
      <c r="AT68" s="326">
        <f t="shared" ca="1" si="12"/>
        <v>0</v>
      </c>
      <c r="AU68" s="326">
        <f t="shared" ca="1" si="12"/>
        <v>0</v>
      </c>
      <c r="AV68" s="326">
        <f t="shared" ca="1" si="12"/>
        <v>0</v>
      </c>
      <c r="AW68" s="326">
        <f t="shared" ca="1" si="12"/>
        <v>0</v>
      </c>
      <c r="AX68" s="326">
        <f t="shared" ca="1" si="12"/>
        <v>0</v>
      </c>
      <c r="AY68" s="326">
        <f t="shared" ca="1" si="12"/>
        <v>0</v>
      </c>
      <c r="AZ68" s="326">
        <f t="shared" ca="1" si="12"/>
        <v>0</v>
      </c>
      <c r="BA68" s="326">
        <f t="shared" ca="1" si="12"/>
        <v>0</v>
      </c>
      <c r="BB68" s="326">
        <f t="shared" ca="1" si="12"/>
        <v>0</v>
      </c>
      <c r="BC68" s="326">
        <f t="shared" ca="1" si="12"/>
        <v>0</v>
      </c>
      <c r="BD68" s="326">
        <f t="shared" ca="1" si="12"/>
        <v>0</v>
      </c>
      <c r="BE68" s="326">
        <f t="shared" ca="1" si="12"/>
        <v>0</v>
      </c>
      <c r="BF68" s="326">
        <f t="shared" ca="1" si="12"/>
        <v>0</v>
      </c>
      <c r="BG68" s="326">
        <f t="shared" ca="1" si="12"/>
        <v>0</v>
      </c>
      <c r="BH68" s="326">
        <f t="shared" ca="1" si="12"/>
        <v>0</v>
      </c>
      <c r="BI68" s="326">
        <f t="shared" ca="1" si="12"/>
        <v>0</v>
      </c>
    </row>
    <row r="69" spans="1:61" outlineLevel="1" x14ac:dyDescent="0.15">
      <c r="A69" s="336">
        <v>15</v>
      </c>
      <c r="B69" s="326" t="str">
        <f t="shared" ca="1" si="7"/>
        <v/>
      </c>
      <c r="C69" s="326" t="str">
        <f t="shared" ca="1" si="7"/>
        <v/>
      </c>
      <c r="D69" s="326" t="str">
        <f t="shared" ca="1" si="7"/>
        <v/>
      </c>
      <c r="E69" s="326" t="str">
        <f t="shared" ca="1" si="7"/>
        <v/>
      </c>
      <c r="F69" s="326" t="str">
        <f t="shared" ca="1" si="7"/>
        <v/>
      </c>
      <c r="G69" s="326" t="str">
        <f t="shared" ca="1" si="7"/>
        <v/>
      </c>
      <c r="H69" s="326" t="str">
        <f t="shared" ca="1" si="7"/>
        <v/>
      </c>
      <c r="I69" s="326" t="str">
        <f t="shared" ca="1" si="7"/>
        <v/>
      </c>
      <c r="J69" s="326" t="str">
        <f t="shared" ca="1" si="7"/>
        <v/>
      </c>
      <c r="K69" s="326" t="str">
        <f t="shared" ca="1" si="7"/>
        <v/>
      </c>
      <c r="L69" s="326" t="str">
        <f t="shared" ca="1" si="7"/>
        <v/>
      </c>
      <c r="M69" s="326" t="str">
        <f t="shared" ca="1" si="7"/>
        <v/>
      </c>
      <c r="N69" s="326" t="str">
        <f t="shared" ca="1" si="7"/>
        <v/>
      </c>
      <c r="O69" s="326" t="str">
        <f t="shared" ca="1" si="7"/>
        <v/>
      </c>
      <c r="P69" s="326">
        <f t="shared" ca="1" si="7"/>
        <v>1390</v>
      </c>
      <c r="Q69" s="326">
        <f t="shared" ca="1" si="7"/>
        <v>0</v>
      </c>
      <c r="R69" s="326">
        <f t="shared" ca="1" si="12"/>
        <v>0</v>
      </c>
      <c r="S69" s="326">
        <f t="shared" ca="1" si="12"/>
        <v>0</v>
      </c>
      <c r="T69" s="326">
        <f t="shared" ca="1" si="12"/>
        <v>0</v>
      </c>
      <c r="U69" s="326">
        <f t="shared" ca="1" si="12"/>
        <v>0</v>
      </c>
      <c r="V69" s="326">
        <f t="shared" ca="1" si="12"/>
        <v>0</v>
      </c>
      <c r="W69" s="326">
        <f t="shared" ca="1" si="12"/>
        <v>0</v>
      </c>
      <c r="X69" s="326">
        <f t="shared" ca="1" si="12"/>
        <v>0</v>
      </c>
      <c r="Y69" s="326">
        <f t="shared" ca="1" si="12"/>
        <v>0</v>
      </c>
      <c r="Z69" s="326">
        <f t="shared" ca="1" si="12"/>
        <v>0</v>
      </c>
      <c r="AA69" s="326">
        <f t="shared" ca="1" si="12"/>
        <v>0</v>
      </c>
      <c r="AB69" s="326">
        <f t="shared" ca="1" si="12"/>
        <v>0</v>
      </c>
      <c r="AC69" s="326">
        <f t="shared" ca="1" si="12"/>
        <v>0</v>
      </c>
      <c r="AD69" s="326">
        <f t="shared" ca="1" si="12"/>
        <v>0</v>
      </c>
      <c r="AE69" s="326">
        <f t="shared" ca="1" si="12"/>
        <v>0</v>
      </c>
      <c r="AF69" s="326">
        <f t="shared" ca="1" si="12"/>
        <v>0</v>
      </c>
      <c r="AG69" s="326">
        <f t="shared" ca="1" si="12"/>
        <v>0</v>
      </c>
      <c r="AH69" s="326">
        <f t="shared" ca="1" si="12"/>
        <v>0</v>
      </c>
      <c r="AI69" s="326">
        <f t="shared" ca="1" si="12"/>
        <v>0</v>
      </c>
      <c r="AJ69" s="326">
        <f t="shared" ca="1" si="12"/>
        <v>0</v>
      </c>
      <c r="AK69" s="326">
        <f t="shared" ca="1" si="12"/>
        <v>0</v>
      </c>
      <c r="AL69" s="326">
        <f t="shared" ca="1" si="12"/>
        <v>0</v>
      </c>
      <c r="AM69" s="326">
        <f t="shared" ca="1" si="12"/>
        <v>0</v>
      </c>
      <c r="AN69" s="326">
        <f t="shared" ca="1" si="12"/>
        <v>0</v>
      </c>
      <c r="AO69" s="326">
        <f t="shared" ca="1" si="12"/>
        <v>0</v>
      </c>
      <c r="AP69" s="326">
        <f t="shared" ca="1" si="12"/>
        <v>0</v>
      </c>
      <c r="AQ69" s="326">
        <f t="shared" ca="1" si="12"/>
        <v>0</v>
      </c>
      <c r="AR69" s="326">
        <f t="shared" ca="1" si="12"/>
        <v>0</v>
      </c>
      <c r="AS69" s="326">
        <f t="shared" ca="1" si="12"/>
        <v>0</v>
      </c>
      <c r="AT69" s="326">
        <f t="shared" ca="1" si="12"/>
        <v>0</v>
      </c>
      <c r="AU69" s="326">
        <f t="shared" ca="1" si="12"/>
        <v>0</v>
      </c>
      <c r="AV69" s="326">
        <f t="shared" ca="1" si="12"/>
        <v>0</v>
      </c>
      <c r="AW69" s="326">
        <f t="shared" ca="1" si="12"/>
        <v>0</v>
      </c>
      <c r="AX69" s="326">
        <f t="shared" ca="1" si="12"/>
        <v>0</v>
      </c>
      <c r="AY69" s="326">
        <f t="shared" ca="1" si="12"/>
        <v>0</v>
      </c>
      <c r="AZ69" s="326">
        <f t="shared" ca="1" si="12"/>
        <v>0</v>
      </c>
      <c r="BA69" s="326">
        <f t="shared" ca="1" si="12"/>
        <v>0</v>
      </c>
      <c r="BB69" s="326">
        <f t="shared" ca="1" si="12"/>
        <v>0</v>
      </c>
      <c r="BC69" s="326">
        <f t="shared" ca="1" si="12"/>
        <v>0</v>
      </c>
      <c r="BD69" s="326">
        <f t="shared" ca="1" si="12"/>
        <v>0</v>
      </c>
      <c r="BE69" s="326">
        <f t="shared" ca="1" si="12"/>
        <v>0</v>
      </c>
      <c r="BF69" s="326">
        <f t="shared" ca="1" si="12"/>
        <v>0</v>
      </c>
      <c r="BG69" s="326">
        <f t="shared" ca="1" si="12"/>
        <v>0</v>
      </c>
      <c r="BH69" s="326">
        <f t="shared" ca="1" si="12"/>
        <v>0</v>
      </c>
      <c r="BI69" s="326">
        <f t="shared" ca="1" si="12"/>
        <v>0</v>
      </c>
    </row>
    <row r="70" spans="1:61" outlineLevel="1" x14ac:dyDescent="0.15">
      <c r="A70" s="336">
        <v>16</v>
      </c>
      <c r="B70" s="326" t="str">
        <f t="shared" ca="1" si="7"/>
        <v/>
      </c>
      <c r="C70" s="326" t="str">
        <f t="shared" ca="1" si="7"/>
        <v/>
      </c>
      <c r="D70" s="326" t="str">
        <f t="shared" ca="1" si="7"/>
        <v/>
      </c>
      <c r="E70" s="326" t="str">
        <f t="shared" ca="1" si="7"/>
        <v/>
      </c>
      <c r="F70" s="326" t="str">
        <f t="shared" ca="1" si="7"/>
        <v/>
      </c>
      <c r="G70" s="326" t="str">
        <f t="shared" ca="1" si="7"/>
        <v/>
      </c>
      <c r="H70" s="326" t="str">
        <f t="shared" ca="1" si="7"/>
        <v/>
      </c>
      <c r="I70" s="326" t="str">
        <f t="shared" ca="1" si="7"/>
        <v/>
      </c>
      <c r="J70" s="326" t="str">
        <f t="shared" ca="1" si="7"/>
        <v/>
      </c>
      <c r="K70" s="326" t="str">
        <f t="shared" ca="1" si="7"/>
        <v/>
      </c>
      <c r="L70" s="326" t="str">
        <f t="shared" ca="1" si="7"/>
        <v/>
      </c>
      <c r="M70" s="326" t="str">
        <f t="shared" ca="1" si="7"/>
        <v/>
      </c>
      <c r="N70" s="326" t="str">
        <f t="shared" ca="1" si="7"/>
        <v/>
      </c>
      <c r="O70" s="326" t="str">
        <f t="shared" ca="1" si="7"/>
        <v/>
      </c>
      <c r="P70" s="326" t="str">
        <f t="shared" ca="1" si="7"/>
        <v/>
      </c>
      <c r="Q70" s="326">
        <f t="shared" ref="Q70:BW75" ca="1" si="13">IF($A70&gt;Q$5,"",OFFSET(Q$54,0,-($A70-1)))</f>
        <v>1390</v>
      </c>
      <c r="R70" s="326">
        <f t="shared" ca="1" si="13"/>
        <v>0</v>
      </c>
      <c r="S70" s="326">
        <f t="shared" ca="1" si="13"/>
        <v>0</v>
      </c>
      <c r="T70" s="326">
        <f t="shared" ca="1" si="13"/>
        <v>0</v>
      </c>
      <c r="U70" s="326">
        <f t="shared" ca="1" si="13"/>
        <v>0</v>
      </c>
      <c r="V70" s="326">
        <f t="shared" ca="1" si="13"/>
        <v>0</v>
      </c>
      <c r="W70" s="326">
        <f t="shared" ca="1" si="13"/>
        <v>0</v>
      </c>
      <c r="X70" s="326">
        <f t="shared" ca="1" si="13"/>
        <v>0</v>
      </c>
      <c r="Y70" s="326">
        <f t="shared" ca="1" si="13"/>
        <v>0</v>
      </c>
      <c r="Z70" s="326">
        <f t="shared" ca="1" si="13"/>
        <v>0</v>
      </c>
      <c r="AA70" s="326">
        <f t="shared" ca="1" si="13"/>
        <v>0</v>
      </c>
      <c r="AB70" s="326">
        <f t="shared" ca="1" si="13"/>
        <v>0</v>
      </c>
      <c r="AC70" s="326">
        <f t="shared" ca="1" si="13"/>
        <v>0</v>
      </c>
      <c r="AD70" s="326">
        <f t="shared" ca="1" si="13"/>
        <v>0</v>
      </c>
      <c r="AE70" s="326">
        <f t="shared" ca="1" si="13"/>
        <v>0</v>
      </c>
      <c r="AF70" s="326">
        <f t="shared" ca="1" si="13"/>
        <v>0</v>
      </c>
      <c r="AG70" s="326">
        <f t="shared" ca="1" si="13"/>
        <v>0</v>
      </c>
      <c r="AH70" s="326">
        <f t="shared" ca="1" si="13"/>
        <v>0</v>
      </c>
      <c r="AI70" s="326">
        <f t="shared" ca="1" si="13"/>
        <v>0</v>
      </c>
      <c r="AJ70" s="326">
        <f t="shared" ca="1" si="13"/>
        <v>0</v>
      </c>
      <c r="AK70" s="326">
        <f t="shared" ca="1" si="13"/>
        <v>0</v>
      </c>
      <c r="AL70" s="326">
        <f t="shared" ca="1" si="13"/>
        <v>0</v>
      </c>
      <c r="AM70" s="326">
        <f t="shared" ca="1" si="13"/>
        <v>0</v>
      </c>
      <c r="AN70" s="326">
        <f t="shared" ca="1" si="13"/>
        <v>0</v>
      </c>
      <c r="AO70" s="326">
        <f t="shared" ca="1" si="13"/>
        <v>0</v>
      </c>
      <c r="AP70" s="326">
        <f t="shared" ca="1" si="13"/>
        <v>0</v>
      </c>
      <c r="AQ70" s="326">
        <f t="shared" ca="1" si="13"/>
        <v>0</v>
      </c>
      <c r="AR70" s="326">
        <f t="shared" ca="1" si="13"/>
        <v>0</v>
      </c>
      <c r="AS70" s="326">
        <f t="shared" ca="1" si="13"/>
        <v>0</v>
      </c>
      <c r="AT70" s="326">
        <f t="shared" ca="1" si="13"/>
        <v>0</v>
      </c>
      <c r="AU70" s="326">
        <f t="shared" ca="1" si="13"/>
        <v>0</v>
      </c>
      <c r="AV70" s="326">
        <f t="shared" ca="1" si="13"/>
        <v>0</v>
      </c>
      <c r="AW70" s="326">
        <f t="shared" ca="1" si="13"/>
        <v>0</v>
      </c>
      <c r="AX70" s="326">
        <f t="shared" ca="1" si="13"/>
        <v>0</v>
      </c>
      <c r="AY70" s="326">
        <f t="shared" ca="1" si="13"/>
        <v>0</v>
      </c>
      <c r="AZ70" s="326">
        <f t="shared" ca="1" si="13"/>
        <v>0</v>
      </c>
      <c r="BA70" s="326">
        <f t="shared" ca="1" si="13"/>
        <v>0</v>
      </c>
      <c r="BB70" s="326">
        <f t="shared" ca="1" si="13"/>
        <v>0</v>
      </c>
      <c r="BC70" s="326">
        <f t="shared" ca="1" si="13"/>
        <v>0</v>
      </c>
      <c r="BD70" s="326">
        <f t="shared" ca="1" si="13"/>
        <v>0</v>
      </c>
      <c r="BE70" s="326">
        <f t="shared" ca="1" si="13"/>
        <v>0</v>
      </c>
      <c r="BF70" s="326">
        <f t="shared" ca="1" si="13"/>
        <v>0</v>
      </c>
      <c r="BG70" s="326">
        <f t="shared" ca="1" si="13"/>
        <v>0</v>
      </c>
      <c r="BH70" s="326">
        <f t="shared" ca="1" si="13"/>
        <v>0</v>
      </c>
      <c r="BI70" s="326">
        <f t="shared" ca="1" si="13"/>
        <v>0</v>
      </c>
    </row>
    <row r="71" spans="1:61" outlineLevel="1" x14ac:dyDescent="0.15">
      <c r="A71" s="336">
        <v>17</v>
      </c>
      <c r="B71" s="326" t="str">
        <f t="shared" ref="B71:Q102" ca="1" si="14">IF($A71&gt;B$5,"",OFFSET(B$54,0,-($A71-1)))</f>
        <v/>
      </c>
      <c r="C71" s="326" t="str">
        <f t="shared" ca="1" si="14"/>
        <v/>
      </c>
      <c r="D71" s="326" t="str">
        <f t="shared" ca="1" si="14"/>
        <v/>
      </c>
      <c r="E71" s="326" t="str">
        <f t="shared" ca="1" si="14"/>
        <v/>
      </c>
      <c r="F71" s="326" t="str">
        <f t="shared" ca="1" si="14"/>
        <v/>
      </c>
      <c r="G71" s="326" t="str">
        <f t="shared" ca="1" si="14"/>
        <v/>
      </c>
      <c r="H71" s="326" t="str">
        <f t="shared" ca="1" si="14"/>
        <v/>
      </c>
      <c r="I71" s="326" t="str">
        <f t="shared" ca="1" si="14"/>
        <v/>
      </c>
      <c r="J71" s="326" t="str">
        <f t="shared" ca="1" si="14"/>
        <v/>
      </c>
      <c r="K71" s="326" t="str">
        <f t="shared" ca="1" si="14"/>
        <v/>
      </c>
      <c r="L71" s="326" t="str">
        <f t="shared" ca="1" si="14"/>
        <v/>
      </c>
      <c r="M71" s="326" t="str">
        <f t="shared" ca="1" si="14"/>
        <v/>
      </c>
      <c r="N71" s="326" t="str">
        <f t="shared" ca="1" si="14"/>
        <v/>
      </c>
      <c r="O71" s="326" t="str">
        <f t="shared" ca="1" si="14"/>
        <v/>
      </c>
      <c r="P71" s="326" t="str">
        <f t="shared" ca="1" si="14"/>
        <v/>
      </c>
      <c r="Q71" s="326" t="str">
        <f t="shared" ca="1" si="14"/>
        <v/>
      </c>
      <c r="R71" s="326">
        <f t="shared" ca="1" si="13"/>
        <v>1390</v>
      </c>
      <c r="S71" s="326">
        <f t="shared" ca="1" si="13"/>
        <v>0</v>
      </c>
      <c r="T71" s="326">
        <f t="shared" ca="1" si="13"/>
        <v>0</v>
      </c>
      <c r="U71" s="326">
        <f t="shared" ca="1" si="13"/>
        <v>0</v>
      </c>
      <c r="V71" s="326">
        <f t="shared" ca="1" si="13"/>
        <v>0</v>
      </c>
      <c r="W71" s="326">
        <f t="shared" ca="1" si="13"/>
        <v>0</v>
      </c>
      <c r="X71" s="326">
        <f t="shared" ca="1" si="13"/>
        <v>0</v>
      </c>
      <c r="Y71" s="326">
        <f t="shared" ca="1" si="13"/>
        <v>0</v>
      </c>
      <c r="Z71" s="326">
        <f t="shared" ca="1" si="13"/>
        <v>0</v>
      </c>
      <c r="AA71" s="326">
        <f t="shared" ca="1" si="13"/>
        <v>0</v>
      </c>
      <c r="AB71" s="326">
        <f t="shared" ca="1" si="13"/>
        <v>0</v>
      </c>
      <c r="AC71" s="326">
        <f t="shared" ca="1" si="13"/>
        <v>0</v>
      </c>
      <c r="AD71" s="326">
        <f t="shared" ca="1" si="13"/>
        <v>0</v>
      </c>
      <c r="AE71" s="326">
        <f t="shared" ca="1" si="13"/>
        <v>0</v>
      </c>
      <c r="AF71" s="326">
        <f t="shared" ca="1" si="13"/>
        <v>0</v>
      </c>
      <c r="AG71" s="326">
        <f t="shared" ca="1" si="13"/>
        <v>0</v>
      </c>
      <c r="AH71" s="326">
        <f t="shared" ca="1" si="13"/>
        <v>0</v>
      </c>
      <c r="AI71" s="326">
        <f t="shared" ca="1" si="13"/>
        <v>0</v>
      </c>
      <c r="AJ71" s="326">
        <f t="shared" ca="1" si="13"/>
        <v>0</v>
      </c>
      <c r="AK71" s="326">
        <f t="shared" ca="1" si="13"/>
        <v>0</v>
      </c>
      <c r="AL71" s="326">
        <f t="shared" ca="1" si="13"/>
        <v>0</v>
      </c>
      <c r="AM71" s="326">
        <f t="shared" ca="1" si="13"/>
        <v>0</v>
      </c>
      <c r="AN71" s="326">
        <f t="shared" ca="1" si="13"/>
        <v>0</v>
      </c>
      <c r="AO71" s="326">
        <f t="shared" ca="1" si="13"/>
        <v>0</v>
      </c>
      <c r="AP71" s="326">
        <f t="shared" ca="1" si="13"/>
        <v>0</v>
      </c>
      <c r="AQ71" s="326">
        <f t="shared" ca="1" si="13"/>
        <v>0</v>
      </c>
      <c r="AR71" s="326">
        <f t="shared" ca="1" si="13"/>
        <v>0</v>
      </c>
      <c r="AS71" s="326">
        <f t="shared" ca="1" si="13"/>
        <v>0</v>
      </c>
      <c r="AT71" s="326">
        <f t="shared" ca="1" si="13"/>
        <v>0</v>
      </c>
      <c r="AU71" s="326">
        <f t="shared" ca="1" si="13"/>
        <v>0</v>
      </c>
      <c r="AV71" s="326">
        <f t="shared" ca="1" si="13"/>
        <v>0</v>
      </c>
      <c r="AW71" s="326">
        <f t="shared" ca="1" si="13"/>
        <v>0</v>
      </c>
      <c r="AX71" s="326">
        <f t="shared" ca="1" si="13"/>
        <v>0</v>
      </c>
      <c r="AY71" s="326">
        <f t="shared" ca="1" si="13"/>
        <v>0</v>
      </c>
      <c r="AZ71" s="326">
        <f t="shared" ca="1" si="13"/>
        <v>0</v>
      </c>
      <c r="BA71" s="326">
        <f t="shared" ca="1" si="13"/>
        <v>0</v>
      </c>
      <c r="BB71" s="326">
        <f t="shared" ca="1" si="13"/>
        <v>0</v>
      </c>
      <c r="BC71" s="326">
        <f t="shared" ca="1" si="13"/>
        <v>0</v>
      </c>
      <c r="BD71" s="326">
        <f t="shared" ca="1" si="13"/>
        <v>0</v>
      </c>
      <c r="BE71" s="326">
        <f t="shared" ca="1" si="13"/>
        <v>0</v>
      </c>
      <c r="BF71" s="326">
        <f t="shared" ca="1" si="13"/>
        <v>0</v>
      </c>
      <c r="BG71" s="326">
        <f t="shared" ca="1" si="13"/>
        <v>0</v>
      </c>
      <c r="BH71" s="326">
        <f t="shared" ca="1" si="13"/>
        <v>0</v>
      </c>
      <c r="BI71" s="326">
        <f t="shared" ca="1" si="13"/>
        <v>0</v>
      </c>
    </row>
    <row r="72" spans="1:61" outlineLevel="1" x14ac:dyDescent="0.15">
      <c r="A72" s="336">
        <v>18</v>
      </c>
      <c r="B72" s="326" t="str">
        <f t="shared" ca="1" si="14"/>
        <v/>
      </c>
      <c r="C72" s="326" t="str">
        <f t="shared" ca="1" si="14"/>
        <v/>
      </c>
      <c r="D72" s="326" t="str">
        <f t="shared" ca="1" si="14"/>
        <v/>
      </c>
      <c r="E72" s="326" t="str">
        <f t="shared" ca="1" si="14"/>
        <v/>
      </c>
      <c r="F72" s="326" t="str">
        <f t="shared" ca="1" si="14"/>
        <v/>
      </c>
      <c r="G72" s="326" t="str">
        <f t="shared" ca="1" si="14"/>
        <v/>
      </c>
      <c r="H72" s="326" t="str">
        <f t="shared" ca="1" si="14"/>
        <v/>
      </c>
      <c r="I72" s="326" t="str">
        <f t="shared" ca="1" si="14"/>
        <v/>
      </c>
      <c r="J72" s="326" t="str">
        <f t="shared" ca="1" si="14"/>
        <v/>
      </c>
      <c r="K72" s="326" t="str">
        <f t="shared" ca="1" si="14"/>
        <v/>
      </c>
      <c r="L72" s="326" t="str">
        <f t="shared" ca="1" si="14"/>
        <v/>
      </c>
      <c r="M72" s="326" t="str">
        <f t="shared" ca="1" si="14"/>
        <v/>
      </c>
      <c r="N72" s="326" t="str">
        <f t="shared" ca="1" si="14"/>
        <v/>
      </c>
      <c r="O72" s="326" t="str">
        <f t="shared" ca="1" si="14"/>
        <v/>
      </c>
      <c r="P72" s="326" t="str">
        <f t="shared" ca="1" si="14"/>
        <v/>
      </c>
      <c r="Q72" s="326" t="str">
        <f t="shared" ca="1" si="14"/>
        <v/>
      </c>
      <c r="R72" s="326" t="str">
        <f t="shared" ca="1" si="13"/>
        <v/>
      </c>
      <c r="S72" s="326">
        <f t="shared" ca="1" si="13"/>
        <v>1390</v>
      </c>
      <c r="T72" s="326">
        <f t="shared" ca="1" si="13"/>
        <v>0</v>
      </c>
      <c r="U72" s="326">
        <f t="shared" ca="1" si="13"/>
        <v>0</v>
      </c>
      <c r="V72" s="326">
        <f t="shared" ca="1" si="13"/>
        <v>0</v>
      </c>
      <c r="W72" s="326">
        <f t="shared" ca="1" si="13"/>
        <v>0</v>
      </c>
      <c r="X72" s="326">
        <f t="shared" ca="1" si="13"/>
        <v>0</v>
      </c>
      <c r="Y72" s="326">
        <f t="shared" ca="1" si="13"/>
        <v>0</v>
      </c>
      <c r="Z72" s="326">
        <f t="shared" ca="1" si="13"/>
        <v>0</v>
      </c>
      <c r="AA72" s="326">
        <f t="shared" ca="1" si="13"/>
        <v>0</v>
      </c>
      <c r="AB72" s="326">
        <f t="shared" ca="1" si="13"/>
        <v>0</v>
      </c>
      <c r="AC72" s="326">
        <f t="shared" ca="1" si="13"/>
        <v>0</v>
      </c>
      <c r="AD72" s="326">
        <f t="shared" ca="1" si="13"/>
        <v>0</v>
      </c>
      <c r="AE72" s="326">
        <f t="shared" ca="1" si="13"/>
        <v>0</v>
      </c>
      <c r="AF72" s="326">
        <f t="shared" ca="1" si="13"/>
        <v>0</v>
      </c>
      <c r="AG72" s="326">
        <f t="shared" ca="1" si="13"/>
        <v>0</v>
      </c>
      <c r="AH72" s="326">
        <f t="shared" ca="1" si="13"/>
        <v>0</v>
      </c>
      <c r="AI72" s="326">
        <f t="shared" ca="1" si="13"/>
        <v>0</v>
      </c>
      <c r="AJ72" s="326">
        <f t="shared" ca="1" si="13"/>
        <v>0</v>
      </c>
      <c r="AK72" s="326">
        <f t="shared" ca="1" si="13"/>
        <v>0</v>
      </c>
      <c r="AL72" s="326">
        <f t="shared" ca="1" si="13"/>
        <v>0</v>
      </c>
      <c r="AM72" s="326">
        <f t="shared" ca="1" si="13"/>
        <v>0</v>
      </c>
      <c r="AN72" s="326">
        <f t="shared" ca="1" si="13"/>
        <v>0</v>
      </c>
      <c r="AO72" s="326">
        <f t="shared" ca="1" si="13"/>
        <v>0</v>
      </c>
      <c r="AP72" s="326">
        <f t="shared" ca="1" si="13"/>
        <v>0</v>
      </c>
      <c r="AQ72" s="326">
        <f t="shared" ca="1" si="13"/>
        <v>0</v>
      </c>
      <c r="AR72" s="326">
        <f t="shared" ca="1" si="13"/>
        <v>0</v>
      </c>
      <c r="AS72" s="326">
        <f t="shared" ca="1" si="13"/>
        <v>0</v>
      </c>
      <c r="AT72" s="326">
        <f t="shared" ca="1" si="13"/>
        <v>0</v>
      </c>
      <c r="AU72" s="326">
        <f t="shared" ca="1" si="13"/>
        <v>0</v>
      </c>
      <c r="AV72" s="326">
        <f t="shared" ca="1" si="13"/>
        <v>0</v>
      </c>
      <c r="AW72" s="326">
        <f t="shared" ca="1" si="13"/>
        <v>0</v>
      </c>
      <c r="AX72" s="326">
        <f t="shared" ca="1" si="13"/>
        <v>0</v>
      </c>
      <c r="AY72" s="326">
        <f t="shared" ca="1" si="13"/>
        <v>0</v>
      </c>
      <c r="AZ72" s="326">
        <f t="shared" ca="1" si="13"/>
        <v>0</v>
      </c>
      <c r="BA72" s="326">
        <f t="shared" ca="1" si="13"/>
        <v>0</v>
      </c>
      <c r="BB72" s="326">
        <f t="shared" ca="1" si="13"/>
        <v>0</v>
      </c>
      <c r="BC72" s="326">
        <f t="shared" ca="1" si="13"/>
        <v>0</v>
      </c>
      <c r="BD72" s="326">
        <f t="shared" ca="1" si="13"/>
        <v>0</v>
      </c>
      <c r="BE72" s="326">
        <f t="shared" ca="1" si="13"/>
        <v>0</v>
      </c>
      <c r="BF72" s="326">
        <f t="shared" ca="1" si="13"/>
        <v>0</v>
      </c>
      <c r="BG72" s="326">
        <f t="shared" ca="1" si="13"/>
        <v>0</v>
      </c>
      <c r="BH72" s="326">
        <f t="shared" ca="1" si="13"/>
        <v>0</v>
      </c>
      <c r="BI72" s="326">
        <f t="shared" ca="1" si="13"/>
        <v>0</v>
      </c>
    </row>
    <row r="73" spans="1:61" outlineLevel="1" x14ac:dyDescent="0.15">
      <c r="A73" s="336">
        <v>19</v>
      </c>
      <c r="B73" s="326" t="str">
        <f t="shared" ca="1" si="14"/>
        <v/>
      </c>
      <c r="C73" s="326" t="str">
        <f t="shared" ca="1" si="14"/>
        <v/>
      </c>
      <c r="D73" s="326" t="str">
        <f t="shared" ca="1" si="14"/>
        <v/>
      </c>
      <c r="E73" s="326" t="str">
        <f t="shared" ca="1" si="14"/>
        <v/>
      </c>
      <c r="F73" s="326" t="str">
        <f t="shared" ca="1" si="14"/>
        <v/>
      </c>
      <c r="G73" s="326" t="str">
        <f t="shared" ca="1" si="14"/>
        <v/>
      </c>
      <c r="H73" s="326" t="str">
        <f t="shared" ca="1" si="14"/>
        <v/>
      </c>
      <c r="I73" s="326" t="str">
        <f t="shared" ca="1" si="14"/>
        <v/>
      </c>
      <c r="J73" s="326" t="str">
        <f t="shared" ca="1" si="14"/>
        <v/>
      </c>
      <c r="K73" s="326" t="str">
        <f t="shared" ca="1" si="14"/>
        <v/>
      </c>
      <c r="L73" s="326" t="str">
        <f t="shared" ca="1" si="14"/>
        <v/>
      </c>
      <c r="M73" s="326" t="str">
        <f t="shared" ca="1" si="14"/>
        <v/>
      </c>
      <c r="N73" s="326" t="str">
        <f t="shared" ca="1" si="14"/>
        <v/>
      </c>
      <c r="O73" s="326" t="str">
        <f t="shared" ca="1" si="14"/>
        <v/>
      </c>
      <c r="P73" s="326" t="str">
        <f t="shared" ca="1" si="14"/>
        <v/>
      </c>
      <c r="Q73" s="326" t="str">
        <f t="shared" ca="1" si="14"/>
        <v/>
      </c>
      <c r="R73" s="326" t="str">
        <f t="shared" ca="1" si="13"/>
        <v/>
      </c>
      <c r="S73" s="326" t="str">
        <f t="shared" ca="1" si="13"/>
        <v/>
      </c>
      <c r="T73" s="326">
        <f t="shared" ca="1" si="13"/>
        <v>1390</v>
      </c>
      <c r="U73" s="326">
        <f t="shared" ca="1" si="13"/>
        <v>0</v>
      </c>
      <c r="V73" s="326">
        <f t="shared" ca="1" si="13"/>
        <v>0</v>
      </c>
      <c r="W73" s="326">
        <f t="shared" ca="1" si="13"/>
        <v>0</v>
      </c>
      <c r="X73" s="326">
        <f t="shared" ca="1" si="13"/>
        <v>0</v>
      </c>
      <c r="Y73" s="326">
        <f t="shared" ca="1" si="13"/>
        <v>0</v>
      </c>
      <c r="Z73" s="326">
        <f t="shared" ca="1" si="13"/>
        <v>0</v>
      </c>
      <c r="AA73" s="326">
        <f t="shared" ca="1" si="13"/>
        <v>0</v>
      </c>
      <c r="AB73" s="326">
        <f t="shared" ca="1" si="13"/>
        <v>0</v>
      </c>
      <c r="AC73" s="326">
        <f t="shared" ca="1" si="13"/>
        <v>0</v>
      </c>
      <c r="AD73" s="326">
        <f t="shared" ca="1" si="13"/>
        <v>0</v>
      </c>
      <c r="AE73" s="326">
        <f t="shared" ca="1" si="13"/>
        <v>0</v>
      </c>
      <c r="AF73" s="326">
        <f t="shared" ca="1" si="13"/>
        <v>0</v>
      </c>
      <c r="AG73" s="326">
        <f t="shared" ca="1" si="13"/>
        <v>0</v>
      </c>
      <c r="AH73" s="326">
        <f t="shared" ca="1" si="13"/>
        <v>0</v>
      </c>
      <c r="AI73" s="326">
        <f t="shared" ca="1" si="13"/>
        <v>0</v>
      </c>
      <c r="AJ73" s="326">
        <f t="shared" ca="1" si="13"/>
        <v>0</v>
      </c>
      <c r="AK73" s="326">
        <f t="shared" ca="1" si="13"/>
        <v>0</v>
      </c>
      <c r="AL73" s="326">
        <f t="shared" ca="1" si="13"/>
        <v>0</v>
      </c>
      <c r="AM73" s="326">
        <f t="shared" ca="1" si="13"/>
        <v>0</v>
      </c>
      <c r="AN73" s="326">
        <f t="shared" ca="1" si="13"/>
        <v>0</v>
      </c>
      <c r="AO73" s="326">
        <f t="shared" ca="1" si="13"/>
        <v>0</v>
      </c>
      <c r="AP73" s="326">
        <f t="shared" ca="1" si="13"/>
        <v>0</v>
      </c>
      <c r="AQ73" s="326">
        <f t="shared" ca="1" si="13"/>
        <v>0</v>
      </c>
      <c r="AR73" s="326">
        <f t="shared" ca="1" si="13"/>
        <v>0</v>
      </c>
      <c r="AS73" s="326">
        <f t="shared" ca="1" si="13"/>
        <v>0</v>
      </c>
      <c r="AT73" s="326">
        <f t="shared" ca="1" si="13"/>
        <v>0</v>
      </c>
      <c r="AU73" s="326">
        <f t="shared" ca="1" si="13"/>
        <v>0</v>
      </c>
      <c r="AV73" s="326">
        <f t="shared" ca="1" si="13"/>
        <v>0</v>
      </c>
      <c r="AW73" s="326">
        <f t="shared" ca="1" si="13"/>
        <v>0</v>
      </c>
      <c r="AX73" s="326">
        <f t="shared" ca="1" si="13"/>
        <v>0</v>
      </c>
      <c r="AY73" s="326">
        <f t="shared" ca="1" si="13"/>
        <v>0</v>
      </c>
      <c r="AZ73" s="326">
        <f t="shared" ca="1" si="13"/>
        <v>0</v>
      </c>
      <c r="BA73" s="326">
        <f t="shared" ca="1" si="13"/>
        <v>0</v>
      </c>
      <c r="BB73" s="326">
        <f t="shared" ca="1" si="13"/>
        <v>0</v>
      </c>
      <c r="BC73" s="326">
        <f t="shared" ca="1" si="13"/>
        <v>0</v>
      </c>
      <c r="BD73" s="326">
        <f t="shared" ca="1" si="13"/>
        <v>0</v>
      </c>
      <c r="BE73" s="326">
        <f t="shared" ca="1" si="13"/>
        <v>0</v>
      </c>
      <c r="BF73" s="326">
        <f t="shared" ca="1" si="13"/>
        <v>0</v>
      </c>
      <c r="BG73" s="326">
        <f t="shared" ca="1" si="13"/>
        <v>0</v>
      </c>
      <c r="BH73" s="326">
        <f t="shared" ca="1" si="13"/>
        <v>0</v>
      </c>
      <c r="BI73" s="326">
        <f t="shared" ca="1" si="13"/>
        <v>0</v>
      </c>
    </row>
    <row r="74" spans="1:61" outlineLevel="1" x14ac:dyDescent="0.15">
      <c r="A74" s="336">
        <v>20</v>
      </c>
      <c r="B74" s="326" t="str">
        <f t="shared" ca="1" si="14"/>
        <v/>
      </c>
      <c r="C74" s="326" t="str">
        <f t="shared" ca="1" si="14"/>
        <v/>
      </c>
      <c r="D74" s="326" t="str">
        <f t="shared" ca="1" si="14"/>
        <v/>
      </c>
      <c r="E74" s="326" t="str">
        <f t="shared" ca="1" si="14"/>
        <v/>
      </c>
      <c r="F74" s="326" t="str">
        <f t="shared" ca="1" si="14"/>
        <v/>
      </c>
      <c r="G74" s="326" t="str">
        <f t="shared" ca="1" si="14"/>
        <v/>
      </c>
      <c r="H74" s="326" t="str">
        <f t="shared" ca="1" si="14"/>
        <v/>
      </c>
      <c r="I74" s="326" t="str">
        <f t="shared" ca="1" si="14"/>
        <v/>
      </c>
      <c r="J74" s="326" t="str">
        <f t="shared" ca="1" si="14"/>
        <v/>
      </c>
      <c r="K74" s="326" t="str">
        <f t="shared" ca="1" si="14"/>
        <v/>
      </c>
      <c r="L74" s="326" t="str">
        <f t="shared" ca="1" si="14"/>
        <v/>
      </c>
      <c r="M74" s="326" t="str">
        <f t="shared" ca="1" si="14"/>
        <v/>
      </c>
      <c r="N74" s="326" t="str">
        <f t="shared" ca="1" si="14"/>
        <v/>
      </c>
      <c r="O74" s="326" t="str">
        <f t="shared" ca="1" si="14"/>
        <v/>
      </c>
      <c r="P74" s="326" t="str">
        <f t="shared" ca="1" si="14"/>
        <v/>
      </c>
      <c r="Q74" s="326" t="str">
        <f t="shared" ca="1" si="14"/>
        <v/>
      </c>
      <c r="R74" s="326" t="str">
        <f t="shared" ca="1" si="13"/>
        <v/>
      </c>
      <c r="S74" s="326" t="str">
        <f t="shared" ca="1" si="13"/>
        <v/>
      </c>
      <c r="T74" s="326" t="str">
        <f t="shared" ca="1" si="13"/>
        <v/>
      </c>
      <c r="U74" s="326">
        <f t="shared" ca="1" si="13"/>
        <v>1390</v>
      </c>
      <c r="V74" s="326">
        <f t="shared" ca="1" si="13"/>
        <v>0</v>
      </c>
      <c r="W74" s="326">
        <f t="shared" ca="1" si="13"/>
        <v>0</v>
      </c>
      <c r="X74" s="326">
        <f t="shared" ca="1" si="13"/>
        <v>0</v>
      </c>
      <c r="Y74" s="326">
        <f t="shared" ca="1" si="13"/>
        <v>0</v>
      </c>
      <c r="Z74" s="326">
        <f t="shared" ca="1" si="13"/>
        <v>0</v>
      </c>
      <c r="AA74" s="326">
        <f t="shared" ca="1" si="13"/>
        <v>0</v>
      </c>
      <c r="AB74" s="326">
        <f t="shared" ca="1" si="13"/>
        <v>0</v>
      </c>
      <c r="AC74" s="326">
        <f t="shared" ca="1" si="13"/>
        <v>0</v>
      </c>
      <c r="AD74" s="326">
        <f t="shared" ca="1" si="13"/>
        <v>0</v>
      </c>
      <c r="AE74" s="326">
        <f t="shared" ca="1" si="13"/>
        <v>0</v>
      </c>
      <c r="AF74" s="326">
        <f t="shared" ca="1" si="13"/>
        <v>0</v>
      </c>
      <c r="AG74" s="326">
        <f t="shared" ca="1" si="13"/>
        <v>0</v>
      </c>
      <c r="AH74" s="326">
        <f t="shared" ca="1" si="13"/>
        <v>0</v>
      </c>
      <c r="AI74" s="326">
        <f t="shared" ca="1" si="13"/>
        <v>0</v>
      </c>
      <c r="AJ74" s="326">
        <f t="shared" ca="1" si="13"/>
        <v>0</v>
      </c>
      <c r="AK74" s="326">
        <f t="shared" ca="1" si="13"/>
        <v>0</v>
      </c>
      <c r="AL74" s="326">
        <f t="shared" ca="1" si="13"/>
        <v>0</v>
      </c>
      <c r="AM74" s="326">
        <f t="shared" ca="1" si="13"/>
        <v>0</v>
      </c>
      <c r="AN74" s="326">
        <f t="shared" ca="1" si="13"/>
        <v>0</v>
      </c>
      <c r="AO74" s="326">
        <f t="shared" ca="1" si="13"/>
        <v>0</v>
      </c>
      <c r="AP74" s="326">
        <f t="shared" ca="1" si="13"/>
        <v>0</v>
      </c>
      <c r="AQ74" s="326">
        <f t="shared" ca="1" si="13"/>
        <v>0</v>
      </c>
      <c r="AR74" s="326">
        <f t="shared" ca="1" si="13"/>
        <v>0</v>
      </c>
      <c r="AS74" s="326">
        <f t="shared" ca="1" si="13"/>
        <v>0</v>
      </c>
      <c r="AT74" s="326">
        <f t="shared" ca="1" si="13"/>
        <v>0</v>
      </c>
      <c r="AU74" s="326">
        <f t="shared" ca="1" si="13"/>
        <v>0</v>
      </c>
      <c r="AV74" s="326">
        <f t="shared" ca="1" si="13"/>
        <v>0</v>
      </c>
      <c r="AW74" s="326">
        <f t="shared" ca="1" si="13"/>
        <v>0</v>
      </c>
      <c r="AX74" s="326">
        <f t="shared" ca="1" si="13"/>
        <v>0</v>
      </c>
      <c r="AY74" s="326">
        <f t="shared" ca="1" si="13"/>
        <v>0</v>
      </c>
      <c r="AZ74" s="326">
        <f t="shared" ca="1" si="13"/>
        <v>0</v>
      </c>
      <c r="BA74" s="326">
        <f t="shared" ca="1" si="13"/>
        <v>0</v>
      </c>
      <c r="BB74" s="326">
        <f t="shared" ca="1" si="13"/>
        <v>0</v>
      </c>
      <c r="BC74" s="326">
        <f t="shared" ca="1" si="13"/>
        <v>0</v>
      </c>
      <c r="BD74" s="326">
        <f t="shared" ca="1" si="13"/>
        <v>0</v>
      </c>
      <c r="BE74" s="326">
        <f t="shared" ca="1" si="13"/>
        <v>0</v>
      </c>
      <c r="BF74" s="326">
        <f t="shared" ca="1" si="13"/>
        <v>0</v>
      </c>
      <c r="BG74" s="326">
        <f t="shared" ca="1" si="13"/>
        <v>0</v>
      </c>
      <c r="BH74" s="326">
        <f t="shared" ca="1" si="13"/>
        <v>0</v>
      </c>
      <c r="BI74" s="326">
        <f t="shared" ca="1" si="13"/>
        <v>0</v>
      </c>
    </row>
    <row r="75" spans="1:61" outlineLevel="1" x14ac:dyDescent="0.15">
      <c r="A75" s="336">
        <v>21</v>
      </c>
      <c r="B75" s="326" t="str">
        <f t="shared" ca="1" si="14"/>
        <v/>
      </c>
      <c r="C75" s="326" t="str">
        <f t="shared" ca="1" si="14"/>
        <v/>
      </c>
      <c r="D75" s="326" t="str">
        <f t="shared" ca="1" si="14"/>
        <v/>
      </c>
      <c r="E75" s="326" t="str">
        <f t="shared" ca="1" si="14"/>
        <v/>
      </c>
      <c r="F75" s="326" t="str">
        <f t="shared" ca="1" si="14"/>
        <v/>
      </c>
      <c r="G75" s="326" t="str">
        <f t="shared" ca="1" si="14"/>
        <v/>
      </c>
      <c r="H75" s="326" t="str">
        <f t="shared" ca="1" si="14"/>
        <v/>
      </c>
      <c r="I75" s="326" t="str">
        <f t="shared" ca="1" si="14"/>
        <v/>
      </c>
      <c r="J75" s="326" t="str">
        <f t="shared" ca="1" si="14"/>
        <v/>
      </c>
      <c r="K75" s="326" t="str">
        <f t="shared" ca="1" si="14"/>
        <v/>
      </c>
      <c r="L75" s="326" t="str">
        <f t="shared" ca="1" si="14"/>
        <v/>
      </c>
      <c r="M75" s="326" t="str">
        <f t="shared" ca="1" si="14"/>
        <v/>
      </c>
      <c r="N75" s="326" t="str">
        <f t="shared" ca="1" si="14"/>
        <v/>
      </c>
      <c r="O75" s="326" t="str">
        <f t="shared" ca="1" si="14"/>
        <v/>
      </c>
      <c r="P75" s="326" t="str">
        <f t="shared" ca="1" si="14"/>
        <v/>
      </c>
      <c r="Q75" s="326" t="str">
        <f t="shared" ca="1" si="14"/>
        <v/>
      </c>
      <c r="R75" s="326" t="str">
        <f t="shared" ca="1" si="13"/>
        <v/>
      </c>
      <c r="S75" s="326" t="str">
        <f t="shared" ca="1" si="13"/>
        <v/>
      </c>
      <c r="T75" s="326" t="str">
        <f t="shared" ca="1" si="13"/>
        <v/>
      </c>
      <c r="U75" s="326" t="str">
        <f t="shared" ca="1" si="13"/>
        <v/>
      </c>
      <c r="V75" s="326">
        <f t="shared" ca="1" si="13"/>
        <v>1390</v>
      </c>
      <c r="W75" s="326">
        <f t="shared" ca="1" si="13"/>
        <v>0</v>
      </c>
      <c r="X75" s="326">
        <f t="shared" ca="1" si="13"/>
        <v>0</v>
      </c>
      <c r="Y75" s="326">
        <f t="shared" ca="1" si="13"/>
        <v>0</v>
      </c>
      <c r="Z75" s="326">
        <f t="shared" ca="1" si="13"/>
        <v>0</v>
      </c>
      <c r="AA75" s="326">
        <f t="shared" ca="1" si="13"/>
        <v>0</v>
      </c>
      <c r="AB75" s="326">
        <f t="shared" ca="1" si="13"/>
        <v>0</v>
      </c>
      <c r="AC75" s="326">
        <f t="shared" ca="1" si="13"/>
        <v>0</v>
      </c>
      <c r="AD75" s="326">
        <f t="shared" ca="1" si="13"/>
        <v>0</v>
      </c>
      <c r="AE75" s="326">
        <f t="shared" ca="1" si="13"/>
        <v>0</v>
      </c>
      <c r="AF75" s="326">
        <f t="shared" ca="1" si="13"/>
        <v>0</v>
      </c>
      <c r="AG75" s="326">
        <f t="shared" ca="1" si="13"/>
        <v>0</v>
      </c>
      <c r="AH75" s="326">
        <f t="shared" ca="1" si="13"/>
        <v>0</v>
      </c>
      <c r="AI75" s="326">
        <f t="shared" ca="1" si="13"/>
        <v>0</v>
      </c>
      <c r="AJ75" s="326">
        <f t="shared" ca="1" si="13"/>
        <v>0</v>
      </c>
      <c r="AK75" s="326">
        <f t="shared" ca="1" si="13"/>
        <v>0</v>
      </c>
      <c r="AL75" s="326">
        <f t="shared" ca="1" si="13"/>
        <v>0</v>
      </c>
      <c r="AM75" s="326">
        <f t="shared" ca="1" si="13"/>
        <v>0</v>
      </c>
      <c r="AN75" s="326">
        <f t="shared" ca="1" si="13"/>
        <v>0</v>
      </c>
      <c r="AO75" s="326">
        <f t="shared" ca="1" si="13"/>
        <v>0</v>
      </c>
      <c r="AP75" s="326">
        <f t="shared" ca="1" si="13"/>
        <v>0</v>
      </c>
      <c r="AQ75" s="326">
        <f t="shared" ca="1" si="13"/>
        <v>0</v>
      </c>
      <c r="AR75" s="326">
        <f t="shared" ca="1" si="13"/>
        <v>0</v>
      </c>
      <c r="AS75" s="326">
        <f t="shared" ca="1" si="13"/>
        <v>0</v>
      </c>
      <c r="AT75" s="326">
        <f t="shared" ca="1" si="13"/>
        <v>0</v>
      </c>
      <c r="AU75" s="326">
        <f t="shared" ca="1" si="13"/>
        <v>0</v>
      </c>
      <c r="AV75" s="326">
        <f t="shared" ca="1" si="13"/>
        <v>0</v>
      </c>
      <c r="AW75" s="326">
        <f t="shared" ca="1" si="13"/>
        <v>0</v>
      </c>
      <c r="AX75" s="326">
        <f t="shared" ca="1" si="13"/>
        <v>0</v>
      </c>
      <c r="AY75" s="326">
        <f t="shared" ca="1" si="13"/>
        <v>0</v>
      </c>
      <c r="AZ75" s="326">
        <f t="shared" ref="AZ75:DF79" ca="1" si="15">IF($A75&gt;AZ$5,"",OFFSET(AZ$54,0,-($A75-1)))</f>
        <v>0</v>
      </c>
      <c r="BA75" s="326">
        <f t="shared" ca="1" si="15"/>
        <v>0</v>
      </c>
      <c r="BB75" s="326">
        <f t="shared" ca="1" si="15"/>
        <v>0</v>
      </c>
      <c r="BC75" s="326">
        <f t="shared" ca="1" si="15"/>
        <v>0</v>
      </c>
      <c r="BD75" s="326">
        <f t="shared" ca="1" si="15"/>
        <v>0</v>
      </c>
      <c r="BE75" s="326">
        <f t="shared" ca="1" si="15"/>
        <v>0</v>
      </c>
      <c r="BF75" s="326">
        <f t="shared" ca="1" si="15"/>
        <v>0</v>
      </c>
      <c r="BG75" s="326">
        <f t="shared" ca="1" si="15"/>
        <v>0</v>
      </c>
      <c r="BH75" s="326">
        <f t="shared" ca="1" si="15"/>
        <v>0</v>
      </c>
      <c r="BI75" s="326">
        <f t="shared" ca="1" si="15"/>
        <v>0</v>
      </c>
    </row>
    <row r="76" spans="1:61" outlineLevel="1" x14ac:dyDescent="0.15">
      <c r="A76" s="336">
        <v>22</v>
      </c>
      <c r="B76" s="326" t="str">
        <f t="shared" ca="1" si="14"/>
        <v/>
      </c>
      <c r="C76" s="326" t="str">
        <f t="shared" ca="1" si="14"/>
        <v/>
      </c>
      <c r="D76" s="326" t="str">
        <f t="shared" ca="1" si="14"/>
        <v/>
      </c>
      <c r="E76" s="326" t="str">
        <f t="shared" ca="1" si="14"/>
        <v/>
      </c>
      <c r="F76" s="326" t="str">
        <f t="shared" ca="1" si="14"/>
        <v/>
      </c>
      <c r="G76" s="326" t="str">
        <f t="shared" ca="1" si="14"/>
        <v/>
      </c>
      <c r="H76" s="326" t="str">
        <f t="shared" ca="1" si="14"/>
        <v/>
      </c>
      <c r="I76" s="326" t="str">
        <f t="shared" ca="1" si="14"/>
        <v/>
      </c>
      <c r="J76" s="326" t="str">
        <f t="shared" ca="1" si="14"/>
        <v/>
      </c>
      <c r="K76" s="326" t="str">
        <f t="shared" ca="1" si="14"/>
        <v/>
      </c>
      <c r="L76" s="326" t="str">
        <f t="shared" ca="1" si="14"/>
        <v/>
      </c>
      <c r="M76" s="326" t="str">
        <f t="shared" ca="1" si="14"/>
        <v/>
      </c>
      <c r="N76" s="326" t="str">
        <f t="shared" ca="1" si="14"/>
        <v/>
      </c>
      <c r="O76" s="326" t="str">
        <f t="shared" ca="1" si="14"/>
        <v/>
      </c>
      <c r="P76" s="326" t="str">
        <f t="shared" ca="1" si="14"/>
        <v/>
      </c>
      <c r="Q76" s="326" t="str">
        <f t="shared" ca="1" si="14"/>
        <v/>
      </c>
      <c r="R76" s="326" t="str">
        <f t="shared" ref="R76:BX81" ca="1" si="16">IF($A76&gt;R$5,"",OFFSET(R$54,0,-($A76-1)))</f>
        <v/>
      </c>
      <c r="S76" s="326" t="str">
        <f t="shared" ca="1" si="16"/>
        <v/>
      </c>
      <c r="T76" s="326" t="str">
        <f t="shared" ca="1" si="16"/>
        <v/>
      </c>
      <c r="U76" s="326" t="str">
        <f t="shared" ca="1" si="16"/>
        <v/>
      </c>
      <c r="V76" s="326" t="str">
        <f t="shared" ca="1" si="16"/>
        <v/>
      </c>
      <c r="W76" s="326">
        <f t="shared" ca="1" si="16"/>
        <v>1390</v>
      </c>
      <c r="X76" s="326">
        <f t="shared" ca="1" si="16"/>
        <v>0</v>
      </c>
      <c r="Y76" s="326">
        <f t="shared" ca="1" si="16"/>
        <v>0</v>
      </c>
      <c r="Z76" s="326">
        <f t="shared" ca="1" si="16"/>
        <v>0</v>
      </c>
      <c r="AA76" s="326">
        <f t="shared" ca="1" si="16"/>
        <v>0</v>
      </c>
      <c r="AB76" s="326">
        <f t="shared" ca="1" si="16"/>
        <v>0</v>
      </c>
      <c r="AC76" s="326">
        <f t="shared" ca="1" si="16"/>
        <v>0</v>
      </c>
      <c r="AD76" s="326">
        <f t="shared" ca="1" si="16"/>
        <v>0</v>
      </c>
      <c r="AE76" s="326">
        <f t="shared" ca="1" si="16"/>
        <v>0</v>
      </c>
      <c r="AF76" s="326">
        <f t="shared" ca="1" si="16"/>
        <v>0</v>
      </c>
      <c r="AG76" s="326">
        <f t="shared" ca="1" si="16"/>
        <v>0</v>
      </c>
      <c r="AH76" s="326">
        <f t="shared" ca="1" si="16"/>
        <v>0</v>
      </c>
      <c r="AI76" s="326">
        <f t="shared" ca="1" si="16"/>
        <v>0</v>
      </c>
      <c r="AJ76" s="326">
        <f t="shared" ca="1" si="16"/>
        <v>0</v>
      </c>
      <c r="AK76" s="326">
        <f t="shared" ca="1" si="16"/>
        <v>0</v>
      </c>
      <c r="AL76" s="326">
        <f t="shared" ca="1" si="16"/>
        <v>0</v>
      </c>
      <c r="AM76" s="326">
        <f t="shared" ca="1" si="16"/>
        <v>0</v>
      </c>
      <c r="AN76" s="326">
        <f t="shared" ca="1" si="16"/>
        <v>0</v>
      </c>
      <c r="AO76" s="326">
        <f t="shared" ca="1" si="16"/>
        <v>0</v>
      </c>
      <c r="AP76" s="326">
        <f t="shared" ca="1" si="16"/>
        <v>0</v>
      </c>
      <c r="AQ76" s="326">
        <f t="shared" ca="1" si="16"/>
        <v>0</v>
      </c>
      <c r="AR76" s="326">
        <f t="shared" ca="1" si="16"/>
        <v>0</v>
      </c>
      <c r="AS76" s="326">
        <f t="shared" ca="1" si="16"/>
        <v>0</v>
      </c>
      <c r="AT76" s="326">
        <f t="shared" ca="1" si="16"/>
        <v>0</v>
      </c>
      <c r="AU76" s="326">
        <f t="shared" ca="1" si="16"/>
        <v>0</v>
      </c>
      <c r="AV76" s="326">
        <f t="shared" ca="1" si="16"/>
        <v>0</v>
      </c>
      <c r="AW76" s="326">
        <f t="shared" ca="1" si="16"/>
        <v>0</v>
      </c>
      <c r="AX76" s="326">
        <f t="shared" ca="1" si="16"/>
        <v>0</v>
      </c>
      <c r="AY76" s="326">
        <f t="shared" ca="1" si="16"/>
        <v>0</v>
      </c>
      <c r="AZ76" s="326">
        <f t="shared" ca="1" si="16"/>
        <v>0</v>
      </c>
      <c r="BA76" s="326">
        <f t="shared" ca="1" si="16"/>
        <v>0</v>
      </c>
      <c r="BB76" s="326">
        <f t="shared" ca="1" si="15"/>
        <v>0</v>
      </c>
      <c r="BC76" s="326">
        <f t="shared" ca="1" si="15"/>
        <v>0</v>
      </c>
      <c r="BD76" s="326">
        <f t="shared" ca="1" si="15"/>
        <v>0</v>
      </c>
      <c r="BE76" s="326">
        <f t="shared" ca="1" si="15"/>
        <v>0</v>
      </c>
      <c r="BF76" s="326">
        <f t="shared" ca="1" si="15"/>
        <v>0</v>
      </c>
      <c r="BG76" s="326">
        <f t="shared" ca="1" si="15"/>
        <v>0</v>
      </c>
      <c r="BH76" s="326">
        <f t="shared" ca="1" si="15"/>
        <v>0</v>
      </c>
      <c r="BI76" s="326">
        <f t="shared" ca="1" si="15"/>
        <v>0</v>
      </c>
    </row>
    <row r="77" spans="1:61" outlineLevel="1" x14ac:dyDescent="0.15">
      <c r="A77" s="336">
        <v>23</v>
      </c>
      <c r="B77" s="326" t="str">
        <f t="shared" ca="1" si="14"/>
        <v/>
      </c>
      <c r="C77" s="326" t="str">
        <f t="shared" ca="1" si="14"/>
        <v/>
      </c>
      <c r="D77" s="326" t="str">
        <f t="shared" ca="1" si="14"/>
        <v/>
      </c>
      <c r="E77" s="326" t="str">
        <f t="shared" ca="1" si="14"/>
        <v/>
      </c>
      <c r="F77" s="326" t="str">
        <f t="shared" ca="1" si="14"/>
        <v/>
      </c>
      <c r="G77" s="326" t="str">
        <f t="shared" ca="1" si="14"/>
        <v/>
      </c>
      <c r="H77" s="326" t="str">
        <f t="shared" ca="1" si="14"/>
        <v/>
      </c>
      <c r="I77" s="326" t="str">
        <f t="shared" ca="1" si="14"/>
        <v/>
      </c>
      <c r="J77" s="326" t="str">
        <f t="shared" ca="1" si="14"/>
        <v/>
      </c>
      <c r="K77" s="326" t="str">
        <f t="shared" ca="1" si="14"/>
        <v/>
      </c>
      <c r="L77" s="326" t="str">
        <f t="shared" ca="1" si="14"/>
        <v/>
      </c>
      <c r="M77" s="326" t="str">
        <f t="shared" ca="1" si="14"/>
        <v/>
      </c>
      <c r="N77" s="326" t="str">
        <f t="shared" ca="1" si="14"/>
        <v/>
      </c>
      <c r="O77" s="326" t="str">
        <f t="shared" ca="1" si="14"/>
        <v/>
      </c>
      <c r="P77" s="326" t="str">
        <f t="shared" ca="1" si="14"/>
        <v/>
      </c>
      <c r="Q77" s="326" t="str">
        <f t="shared" ca="1" si="14"/>
        <v/>
      </c>
      <c r="R77" s="326" t="str">
        <f t="shared" ca="1" si="16"/>
        <v/>
      </c>
      <c r="S77" s="326" t="str">
        <f t="shared" ca="1" si="16"/>
        <v/>
      </c>
      <c r="T77" s="326" t="str">
        <f t="shared" ca="1" si="16"/>
        <v/>
      </c>
      <c r="U77" s="326" t="str">
        <f t="shared" ca="1" si="16"/>
        <v/>
      </c>
      <c r="V77" s="326" t="str">
        <f t="shared" ca="1" si="16"/>
        <v/>
      </c>
      <c r="W77" s="326" t="str">
        <f t="shared" ca="1" si="16"/>
        <v/>
      </c>
      <c r="X77" s="326">
        <f t="shared" ca="1" si="16"/>
        <v>1390</v>
      </c>
      <c r="Y77" s="326">
        <f t="shared" ca="1" si="16"/>
        <v>0</v>
      </c>
      <c r="Z77" s="326">
        <f t="shared" ca="1" si="16"/>
        <v>0</v>
      </c>
      <c r="AA77" s="326">
        <f t="shared" ca="1" si="16"/>
        <v>0</v>
      </c>
      <c r="AB77" s="326">
        <f t="shared" ca="1" si="16"/>
        <v>0</v>
      </c>
      <c r="AC77" s="326">
        <f t="shared" ca="1" si="16"/>
        <v>0</v>
      </c>
      <c r="AD77" s="326">
        <f t="shared" ca="1" si="16"/>
        <v>0</v>
      </c>
      <c r="AE77" s="326">
        <f t="shared" ca="1" si="16"/>
        <v>0</v>
      </c>
      <c r="AF77" s="326">
        <f t="shared" ca="1" si="16"/>
        <v>0</v>
      </c>
      <c r="AG77" s="326">
        <f t="shared" ca="1" si="16"/>
        <v>0</v>
      </c>
      <c r="AH77" s="326">
        <f t="shared" ca="1" si="16"/>
        <v>0</v>
      </c>
      <c r="AI77" s="326">
        <f t="shared" ca="1" si="16"/>
        <v>0</v>
      </c>
      <c r="AJ77" s="326">
        <f t="shared" ca="1" si="16"/>
        <v>0</v>
      </c>
      <c r="AK77" s="326">
        <f t="shared" ca="1" si="16"/>
        <v>0</v>
      </c>
      <c r="AL77" s="326">
        <f t="shared" ca="1" si="16"/>
        <v>0</v>
      </c>
      <c r="AM77" s="326">
        <f t="shared" ca="1" si="16"/>
        <v>0</v>
      </c>
      <c r="AN77" s="326">
        <f t="shared" ca="1" si="16"/>
        <v>0</v>
      </c>
      <c r="AO77" s="326">
        <f t="shared" ca="1" si="16"/>
        <v>0</v>
      </c>
      <c r="AP77" s="326">
        <f t="shared" ca="1" si="16"/>
        <v>0</v>
      </c>
      <c r="AQ77" s="326">
        <f t="shared" ca="1" si="16"/>
        <v>0</v>
      </c>
      <c r="AR77" s="326">
        <f t="shared" ca="1" si="16"/>
        <v>0</v>
      </c>
      <c r="AS77" s="326">
        <f t="shared" ca="1" si="16"/>
        <v>0</v>
      </c>
      <c r="AT77" s="326">
        <f t="shared" ca="1" si="16"/>
        <v>0</v>
      </c>
      <c r="AU77" s="326">
        <f t="shared" ca="1" si="16"/>
        <v>0</v>
      </c>
      <c r="AV77" s="326">
        <f t="shared" ca="1" si="16"/>
        <v>0</v>
      </c>
      <c r="AW77" s="326">
        <f t="shared" ca="1" si="16"/>
        <v>0</v>
      </c>
      <c r="AX77" s="326">
        <f t="shared" ca="1" si="16"/>
        <v>0</v>
      </c>
      <c r="AY77" s="326">
        <f t="shared" ca="1" si="16"/>
        <v>0</v>
      </c>
      <c r="AZ77" s="326">
        <f t="shared" ca="1" si="16"/>
        <v>0</v>
      </c>
      <c r="BA77" s="326">
        <f t="shared" ca="1" si="16"/>
        <v>0</v>
      </c>
      <c r="BB77" s="326">
        <f t="shared" ca="1" si="16"/>
        <v>0</v>
      </c>
      <c r="BC77" s="326">
        <f t="shared" ca="1" si="16"/>
        <v>0</v>
      </c>
      <c r="BD77" s="326">
        <f t="shared" ca="1" si="16"/>
        <v>0</v>
      </c>
      <c r="BE77" s="326">
        <f t="shared" ca="1" si="16"/>
        <v>0</v>
      </c>
      <c r="BF77" s="326">
        <f t="shared" ca="1" si="16"/>
        <v>0</v>
      </c>
      <c r="BG77" s="326">
        <f t="shared" ca="1" si="16"/>
        <v>0</v>
      </c>
      <c r="BH77" s="326">
        <f t="shared" ca="1" si="16"/>
        <v>0</v>
      </c>
      <c r="BI77" s="326">
        <f t="shared" ca="1" si="16"/>
        <v>0</v>
      </c>
    </row>
    <row r="78" spans="1:61" outlineLevel="1" x14ac:dyDescent="0.15">
      <c r="A78" s="336">
        <v>24</v>
      </c>
      <c r="B78" s="326" t="str">
        <f t="shared" ca="1" si="14"/>
        <v/>
      </c>
      <c r="C78" s="326" t="str">
        <f t="shared" ca="1" si="14"/>
        <v/>
      </c>
      <c r="D78" s="326" t="str">
        <f t="shared" ca="1" si="14"/>
        <v/>
      </c>
      <c r="E78" s="326" t="str">
        <f t="shared" ca="1" si="14"/>
        <v/>
      </c>
      <c r="F78" s="326" t="str">
        <f t="shared" ca="1" si="14"/>
        <v/>
      </c>
      <c r="G78" s="326" t="str">
        <f t="shared" ca="1" si="14"/>
        <v/>
      </c>
      <c r="H78" s="326" t="str">
        <f t="shared" ca="1" si="14"/>
        <v/>
      </c>
      <c r="I78" s="326" t="str">
        <f t="shared" ca="1" si="14"/>
        <v/>
      </c>
      <c r="J78" s="326" t="str">
        <f t="shared" ca="1" si="14"/>
        <v/>
      </c>
      <c r="K78" s="326" t="str">
        <f t="shared" ca="1" si="14"/>
        <v/>
      </c>
      <c r="L78" s="326" t="str">
        <f t="shared" ca="1" si="14"/>
        <v/>
      </c>
      <c r="M78" s="326" t="str">
        <f t="shared" ca="1" si="14"/>
        <v/>
      </c>
      <c r="N78" s="326" t="str">
        <f t="shared" ca="1" si="14"/>
        <v/>
      </c>
      <c r="O78" s="326" t="str">
        <f t="shared" ca="1" si="14"/>
        <v/>
      </c>
      <c r="P78" s="326" t="str">
        <f t="shared" ca="1" si="14"/>
        <v/>
      </c>
      <c r="Q78" s="326" t="str">
        <f t="shared" ca="1" si="14"/>
        <v/>
      </c>
      <c r="R78" s="326" t="str">
        <f t="shared" ca="1" si="16"/>
        <v/>
      </c>
      <c r="S78" s="326" t="str">
        <f t="shared" ca="1" si="16"/>
        <v/>
      </c>
      <c r="T78" s="326" t="str">
        <f t="shared" ca="1" si="16"/>
        <v/>
      </c>
      <c r="U78" s="326" t="str">
        <f t="shared" ca="1" si="16"/>
        <v/>
      </c>
      <c r="V78" s="326" t="str">
        <f t="shared" ca="1" si="16"/>
        <v/>
      </c>
      <c r="W78" s="326" t="str">
        <f t="shared" ca="1" si="16"/>
        <v/>
      </c>
      <c r="X78" s="326" t="str">
        <f t="shared" ca="1" si="16"/>
        <v/>
      </c>
      <c r="Y78" s="326">
        <f t="shared" ca="1" si="16"/>
        <v>1390</v>
      </c>
      <c r="Z78" s="326">
        <f t="shared" ca="1" si="16"/>
        <v>0</v>
      </c>
      <c r="AA78" s="326">
        <f t="shared" ca="1" si="16"/>
        <v>0</v>
      </c>
      <c r="AB78" s="326">
        <f t="shared" ca="1" si="16"/>
        <v>0</v>
      </c>
      <c r="AC78" s="326">
        <f t="shared" ca="1" si="16"/>
        <v>0</v>
      </c>
      <c r="AD78" s="326">
        <f t="shared" ca="1" si="16"/>
        <v>0</v>
      </c>
      <c r="AE78" s="326">
        <f t="shared" ca="1" si="16"/>
        <v>0</v>
      </c>
      <c r="AF78" s="326">
        <f t="shared" ca="1" si="16"/>
        <v>0</v>
      </c>
      <c r="AG78" s="326">
        <f t="shared" ca="1" si="16"/>
        <v>0</v>
      </c>
      <c r="AH78" s="326">
        <f t="shared" ca="1" si="16"/>
        <v>0</v>
      </c>
      <c r="AI78" s="326">
        <f t="shared" ca="1" si="16"/>
        <v>0</v>
      </c>
      <c r="AJ78" s="326">
        <f t="shared" ca="1" si="16"/>
        <v>0</v>
      </c>
      <c r="AK78" s="326">
        <f t="shared" ca="1" si="16"/>
        <v>0</v>
      </c>
      <c r="AL78" s="326">
        <f t="shared" ca="1" si="16"/>
        <v>0</v>
      </c>
      <c r="AM78" s="326">
        <f t="shared" ca="1" si="16"/>
        <v>0</v>
      </c>
      <c r="AN78" s="326">
        <f t="shared" ca="1" si="16"/>
        <v>0</v>
      </c>
      <c r="AO78" s="326">
        <f t="shared" ca="1" si="16"/>
        <v>0</v>
      </c>
      <c r="AP78" s="326">
        <f t="shared" ca="1" si="16"/>
        <v>0</v>
      </c>
      <c r="AQ78" s="326">
        <f t="shared" ca="1" si="16"/>
        <v>0</v>
      </c>
      <c r="AR78" s="326">
        <f t="shared" ca="1" si="16"/>
        <v>0</v>
      </c>
      <c r="AS78" s="326">
        <f t="shared" ca="1" si="16"/>
        <v>0</v>
      </c>
      <c r="AT78" s="326">
        <f t="shared" ca="1" si="16"/>
        <v>0</v>
      </c>
      <c r="AU78" s="326">
        <f t="shared" ca="1" si="16"/>
        <v>0</v>
      </c>
      <c r="AV78" s="326">
        <f t="shared" ca="1" si="16"/>
        <v>0</v>
      </c>
      <c r="AW78" s="326">
        <f t="shared" ca="1" si="16"/>
        <v>0</v>
      </c>
      <c r="AX78" s="326">
        <f t="shared" ca="1" si="16"/>
        <v>0</v>
      </c>
      <c r="AY78" s="326">
        <f t="shared" ca="1" si="16"/>
        <v>0</v>
      </c>
      <c r="AZ78" s="326">
        <f t="shared" ca="1" si="16"/>
        <v>0</v>
      </c>
      <c r="BA78" s="326">
        <f t="shared" ca="1" si="16"/>
        <v>0</v>
      </c>
      <c r="BB78" s="326">
        <f t="shared" ca="1" si="16"/>
        <v>0</v>
      </c>
      <c r="BC78" s="326">
        <f t="shared" ca="1" si="16"/>
        <v>0</v>
      </c>
      <c r="BD78" s="326">
        <f t="shared" ca="1" si="16"/>
        <v>0</v>
      </c>
      <c r="BE78" s="326">
        <f t="shared" ca="1" si="16"/>
        <v>0</v>
      </c>
      <c r="BF78" s="326">
        <f t="shared" ca="1" si="16"/>
        <v>0</v>
      </c>
      <c r="BG78" s="326">
        <f t="shared" ca="1" si="16"/>
        <v>0</v>
      </c>
      <c r="BH78" s="326">
        <f t="shared" ca="1" si="16"/>
        <v>0</v>
      </c>
      <c r="BI78" s="326">
        <f t="shared" ca="1" si="16"/>
        <v>0</v>
      </c>
    </row>
    <row r="79" spans="1:61" outlineLevel="1" x14ac:dyDescent="0.15">
      <c r="A79" s="336">
        <v>25</v>
      </c>
      <c r="B79" s="326" t="str">
        <f t="shared" ca="1" si="14"/>
        <v/>
      </c>
      <c r="C79" s="326" t="str">
        <f t="shared" ca="1" si="14"/>
        <v/>
      </c>
      <c r="D79" s="326" t="str">
        <f t="shared" ca="1" si="14"/>
        <v/>
      </c>
      <c r="E79" s="326" t="str">
        <f t="shared" ca="1" si="14"/>
        <v/>
      </c>
      <c r="F79" s="326" t="str">
        <f t="shared" ca="1" si="14"/>
        <v/>
      </c>
      <c r="G79" s="326" t="str">
        <f t="shared" ca="1" si="14"/>
        <v/>
      </c>
      <c r="H79" s="326" t="str">
        <f t="shared" ca="1" si="14"/>
        <v/>
      </c>
      <c r="I79" s="326" t="str">
        <f t="shared" ca="1" si="14"/>
        <v/>
      </c>
      <c r="J79" s="326" t="str">
        <f t="shared" ca="1" si="14"/>
        <v/>
      </c>
      <c r="K79" s="326" t="str">
        <f t="shared" ca="1" si="14"/>
        <v/>
      </c>
      <c r="L79" s="326" t="str">
        <f t="shared" ca="1" si="14"/>
        <v/>
      </c>
      <c r="M79" s="326" t="str">
        <f t="shared" ca="1" si="14"/>
        <v/>
      </c>
      <c r="N79" s="326" t="str">
        <f t="shared" ca="1" si="14"/>
        <v/>
      </c>
      <c r="O79" s="326" t="str">
        <f t="shared" ca="1" si="14"/>
        <v/>
      </c>
      <c r="P79" s="326" t="str">
        <f t="shared" ca="1" si="14"/>
        <v/>
      </c>
      <c r="Q79" s="326" t="str">
        <f t="shared" ca="1" si="14"/>
        <v/>
      </c>
      <c r="R79" s="326" t="str">
        <f t="shared" ca="1" si="16"/>
        <v/>
      </c>
      <c r="S79" s="326" t="str">
        <f t="shared" ca="1" si="16"/>
        <v/>
      </c>
      <c r="T79" s="326" t="str">
        <f t="shared" ca="1" si="16"/>
        <v/>
      </c>
      <c r="U79" s="326" t="str">
        <f t="shared" ca="1" si="16"/>
        <v/>
      </c>
      <c r="V79" s="326" t="str">
        <f t="shared" ca="1" si="16"/>
        <v/>
      </c>
      <c r="W79" s="326" t="str">
        <f t="shared" ca="1" si="16"/>
        <v/>
      </c>
      <c r="X79" s="326" t="str">
        <f t="shared" ca="1" si="16"/>
        <v/>
      </c>
      <c r="Y79" s="326" t="str">
        <f t="shared" ca="1" si="16"/>
        <v/>
      </c>
      <c r="Z79" s="326">
        <f t="shared" ca="1" si="16"/>
        <v>1390</v>
      </c>
      <c r="AA79" s="326">
        <f t="shared" ca="1" si="16"/>
        <v>0</v>
      </c>
      <c r="AB79" s="326">
        <f t="shared" ca="1" si="16"/>
        <v>0</v>
      </c>
      <c r="AC79" s="326">
        <f t="shared" ca="1" si="16"/>
        <v>0</v>
      </c>
      <c r="AD79" s="326">
        <f t="shared" ca="1" si="16"/>
        <v>0</v>
      </c>
      <c r="AE79" s="326">
        <f t="shared" ca="1" si="16"/>
        <v>0</v>
      </c>
      <c r="AF79" s="326">
        <f t="shared" ca="1" si="16"/>
        <v>0</v>
      </c>
      <c r="AG79" s="326">
        <f t="shared" ca="1" si="16"/>
        <v>0</v>
      </c>
      <c r="AH79" s="326">
        <f t="shared" ca="1" si="16"/>
        <v>0</v>
      </c>
      <c r="AI79" s="326">
        <f t="shared" ca="1" si="16"/>
        <v>0</v>
      </c>
      <c r="AJ79" s="326">
        <f t="shared" ca="1" si="16"/>
        <v>0</v>
      </c>
      <c r="AK79" s="326">
        <f t="shared" ca="1" si="16"/>
        <v>0</v>
      </c>
      <c r="AL79" s="326">
        <f t="shared" ca="1" si="16"/>
        <v>0</v>
      </c>
      <c r="AM79" s="326">
        <f t="shared" ca="1" si="16"/>
        <v>0</v>
      </c>
      <c r="AN79" s="326">
        <f t="shared" ca="1" si="16"/>
        <v>0</v>
      </c>
      <c r="AO79" s="326">
        <f t="shared" ca="1" si="16"/>
        <v>0</v>
      </c>
      <c r="AP79" s="326">
        <f t="shared" ca="1" si="16"/>
        <v>0</v>
      </c>
      <c r="AQ79" s="326">
        <f t="shared" ca="1" si="16"/>
        <v>0</v>
      </c>
      <c r="AR79" s="326">
        <f t="shared" ca="1" si="16"/>
        <v>0</v>
      </c>
      <c r="AS79" s="326">
        <f t="shared" ca="1" si="16"/>
        <v>0</v>
      </c>
      <c r="AT79" s="326">
        <f t="shared" ca="1" si="16"/>
        <v>0</v>
      </c>
      <c r="AU79" s="326">
        <f t="shared" ca="1" si="16"/>
        <v>0</v>
      </c>
      <c r="AV79" s="326">
        <f t="shared" ca="1" si="16"/>
        <v>0</v>
      </c>
      <c r="AW79" s="326">
        <f t="shared" ca="1" si="16"/>
        <v>0</v>
      </c>
      <c r="AX79" s="326">
        <f t="shared" ca="1" si="16"/>
        <v>0</v>
      </c>
      <c r="AY79" s="326">
        <f t="shared" ca="1" si="16"/>
        <v>0</v>
      </c>
      <c r="AZ79" s="326">
        <f t="shared" ca="1" si="16"/>
        <v>0</v>
      </c>
      <c r="BA79" s="326">
        <f t="shared" ca="1" si="16"/>
        <v>0</v>
      </c>
      <c r="BB79" s="326">
        <f t="shared" ca="1" si="16"/>
        <v>0</v>
      </c>
      <c r="BC79" s="326">
        <f t="shared" ca="1" si="16"/>
        <v>0</v>
      </c>
      <c r="BD79" s="326">
        <f t="shared" ca="1" si="16"/>
        <v>0</v>
      </c>
      <c r="BE79" s="326">
        <f t="shared" ca="1" si="16"/>
        <v>0</v>
      </c>
      <c r="BF79" s="326">
        <f t="shared" ca="1" si="16"/>
        <v>0</v>
      </c>
      <c r="BG79" s="326">
        <f t="shared" ca="1" si="16"/>
        <v>0</v>
      </c>
      <c r="BH79" s="326">
        <f t="shared" ca="1" si="16"/>
        <v>0</v>
      </c>
      <c r="BI79" s="326">
        <f t="shared" ca="1" si="16"/>
        <v>0</v>
      </c>
    </row>
    <row r="80" spans="1:61" outlineLevel="1" x14ac:dyDescent="0.15">
      <c r="A80" s="336">
        <v>26</v>
      </c>
      <c r="B80" s="326" t="str">
        <f t="shared" ca="1" si="14"/>
        <v/>
      </c>
      <c r="C80" s="326" t="str">
        <f t="shared" ca="1" si="14"/>
        <v/>
      </c>
      <c r="D80" s="326" t="str">
        <f t="shared" ca="1" si="14"/>
        <v/>
      </c>
      <c r="E80" s="326" t="str">
        <f t="shared" ca="1" si="14"/>
        <v/>
      </c>
      <c r="F80" s="326" t="str">
        <f t="shared" ca="1" si="14"/>
        <v/>
      </c>
      <c r="G80" s="326" t="str">
        <f t="shared" ca="1" si="14"/>
        <v/>
      </c>
      <c r="H80" s="326" t="str">
        <f t="shared" ca="1" si="14"/>
        <v/>
      </c>
      <c r="I80" s="326" t="str">
        <f t="shared" ca="1" si="14"/>
        <v/>
      </c>
      <c r="J80" s="326" t="str">
        <f t="shared" ca="1" si="14"/>
        <v/>
      </c>
      <c r="K80" s="326" t="str">
        <f t="shared" ca="1" si="14"/>
        <v/>
      </c>
      <c r="L80" s="326" t="str">
        <f t="shared" ca="1" si="14"/>
        <v/>
      </c>
      <c r="M80" s="326" t="str">
        <f t="shared" ca="1" si="14"/>
        <v/>
      </c>
      <c r="N80" s="326" t="str">
        <f t="shared" ca="1" si="14"/>
        <v/>
      </c>
      <c r="O80" s="326" t="str">
        <f t="shared" ca="1" si="14"/>
        <v/>
      </c>
      <c r="P80" s="326" t="str">
        <f t="shared" ca="1" si="14"/>
        <v/>
      </c>
      <c r="Q80" s="326" t="str">
        <f t="shared" ca="1" si="14"/>
        <v/>
      </c>
      <c r="R80" s="326" t="str">
        <f t="shared" ca="1" si="16"/>
        <v/>
      </c>
      <c r="S80" s="326" t="str">
        <f t="shared" ca="1" si="16"/>
        <v/>
      </c>
      <c r="T80" s="326" t="str">
        <f t="shared" ca="1" si="16"/>
        <v/>
      </c>
      <c r="U80" s="326" t="str">
        <f t="shared" ca="1" si="16"/>
        <v/>
      </c>
      <c r="V80" s="326" t="str">
        <f t="shared" ca="1" si="16"/>
        <v/>
      </c>
      <c r="W80" s="326" t="str">
        <f t="shared" ca="1" si="16"/>
        <v/>
      </c>
      <c r="X80" s="326" t="str">
        <f t="shared" ca="1" si="16"/>
        <v/>
      </c>
      <c r="Y80" s="326" t="str">
        <f t="shared" ca="1" si="16"/>
        <v/>
      </c>
      <c r="Z80" s="326" t="str">
        <f t="shared" ca="1" si="16"/>
        <v/>
      </c>
      <c r="AA80" s="326">
        <f t="shared" ca="1" si="16"/>
        <v>1390</v>
      </c>
      <c r="AB80" s="326">
        <f t="shared" ca="1" si="16"/>
        <v>0</v>
      </c>
      <c r="AC80" s="326">
        <f t="shared" ca="1" si="16"/>
        <v>0</v>
      </c>
      <c r="AD80" s="326">
        <f t="shared" ca="1" si="16"/>
        <v>0</v>
      </c>
      <c r="AE80" s="326">
        <f t="shared" ca="1" si="16"/>
        <v>0</v>
      </c>
      <c r="AF80" s="326">
        <f t="shared" ca="1" si="16"/>
        <v>0</v>
      </c>
      <c r="AG80" s="326">
        <f t="shared" ca="1" si="16"/>
        <v>0</v>
      </c>
      <c r="AH80" s="326">
        <f t="shared" ca="1" si="16"/>
        <v>0</v>
      </c>
      <c r="AI80" s="326">
        <f t="shared" ca="1" si="16"/>
        <v>0</v>
      </c>
      <c r="AJ80" s="326">
        <f t="shared" ca="1" si="16"/>
        <v>0</v>
      </c>
      <c r="AK80" s="326">
        <f t="shared" ca="1" si="16"/>
        <v>0</v>
      </c>
      <c r="AL80" s="326">
        <f t="shared" ca="1" si="16"/>
        <v>0</v>
      </c>
      <c r="AM80" s="326">
        <f t="shared" ca="1" si="16"/>
        <v>0</v>
      </c>
      <c r="AN80" s="326">
        <f t="shared" ca="1" si="16"/>
        <v>0</v>
      </c>
      <c r="AO80" s="326">
        <f t="shared" ca="1" si="16"/>
        <v>0</v>
      </c>
      <c r="AP80" s="326">
        <f t="shared" ca="1" si="16"/>
        <v>0</v>
      </c>
      <c r="AQ80" s="326">
        <f t="shared" ca="1" si="16"/>
        <v>0</v>
      </c>
      <c r="AR80" s="326">
        <f t="shared" ca="1" si="16"/>
        <v>0</v>
      </c>
      <c r="AS80" s="326">
        <f t="shared" ca="1" si="16"/>
        <v>0</v>
      </c>
      <c r="AT80" s="326">
        <f t="shared" ca="1" si="16"/>
        <v>0</v>
      </c>
      <c r="AU80" s="326">
        <f t="shared" ca="1" si="16"/>
        <v>0</v>
      </c>
      <c r="AV80" s="326">
        <f t="shared" ca="1" si="16"/>
        <v>0</v>
      </c>
      <c r="AW80" s="326">
        <f t="shared" ca="1" si="16"/>
        <v>0</v>
      </c>
      <c r="AX80" s="326">
        <f t="shared" ca="1" si="16"/>
        <v>0</v>
      </c>
      <c r="AY80" s="326">
        <f t="shared" ca="1" si="16"/>
        <v>0</v>
      </c>
      <c r="AZ80" s="326">
        <f t="shared" ca="1" si="16"/>
        <v>0</v>
      </c>
      <c r="BA80" s="326">
        <f t="shared" ca="1" si="16"/>
        <v>0</v>
      </c>
      <c r="BB80" s="326">
        <f t="shared" ca="1" si="16"/>
        <v>0</v>
      </c>
      <c r="BC80" s="326">
        <f t="shared" ca="1" si="16"/>
        <v>0</v>
      </c>
      <c r="BD80" s="326">
        <f t="shared" ca="1" si="16"/>
        <v>0</v>
      </c>
      <c r="BE80" s="326">
        <f t="shared" ca="1" si="16"/>
        <v>0</v>
      </c>
      <c r="BF80" s="326">
        <f t="shared" ca="1" si="16"/>
        <v>0</v>
      </c>
      <c r="BG80" s="326">
        <f t="shared" ca="1" si="16"/>
        <v>0</v>
      </c>
      <c r="BH80" s="326">
        <f t="shared" ca="1" si="16"/>
        <v>0</v>
      </c>
      <c r="BI80" s="326">
        <f t="shared" ca="1" si="16"/>
        <v>0</v>
      </c>
    </row>
    <row r="81" spans="1:61" outlineLevel="1" x14ac:dyDescent="0.15">
      <c r="A81" s="336">
        <v>27</v>
      </c>
      <c r="B81" s="326" t="str">
        <f t="shared" ca="1" si="14"/>
        <v/>
      </c>
      <c r="C81" s="326" t="str">
        <f t="shared" ca="1" si="14"/>
        <v/>
      </c>
      <c r="D81" s="326" t="str">
        <f t="shared" ca="1" si="14"/>
        <v/>
      </c>
      <c r="E81" s="326" t="str">
        <f t="shared" ca="1" si="14"/>
        <v/>
      </c>
      <c r="F81" s="326" t="str">
        <f t="shared" ca="1" si="14"/>
        <v/>
      </c>
      <c r="G81" s="326" t="str">
        <f t="shared" ca="1" si="14"/>
        <v/>
      </c>
      <c r="H81" s="326" t="str">
        <f t="shared" ca="1" si="14"/>
        <v/>
      </c>
      <c r="I81" s="326" t="str">
        <f t="shared" ca="1" si="14"/>
        <v/>
      </c>
      <c r="J81" s="326" t="str">
        <f t="shared" ca="1" si="14"/>
        <v/>
      </c>
      <c r="K81" s="326" t="str">
        <f t="shared" ca="1" si="14"/>
        <v/>
      </c>
      <c r="L81" s="326" t="str">
        <f t="shared" ca="1" si="14"/>
        <v/>
      </c>
      <c r="M81" s="326" t="str">
        <f t="shared" ca="1" si="14"/>
        <v/>
      </c>
      <c r="N81" s="326" t="str">
        <f t="shared" ca="1" si="14"/>
        <v/>
      </c>
      <c r="O81" s="326" t="str">
        <f t="shared" ca="1" si="14"/>
        <v/>
      </c>
      <c r="P81" s="326" t="str">
        <f t="shared" ca="1" si="14"/>
        <v/>
      </c>
      <c r="Q81" s="326" t="str">
        <f t="shared" ca="1" si="14"/>
        <v/>
      </c>
      <c r="R81" s="326" t="str">
        <f t="shared" ca="1" si="16"/>
        <v/>
      </c>
      <c r="S81" s="326" t="str">
        <f t="shared" ca="1" si="16"/>
        <v/>
      </c>
      <c r="T81" s="326" t="str">
        <f t="shared" ca="1" si="16"/>
        <v/>
      </c>
      <c r="U81" s="326" t="str">
        <f t="shared" ca="1" si="16"/>
        <v/>
      </c>
      <c r="V81" s="326" t="str">
        <f t="shared" ca="1" si="16"/>
        <v/>
      </c>
      <c r="W81" s="326" t="str">
        <f t="shared" ca="1" si="16"/>
        <v/>
      </c>
      <c r="X81" s="326" t="str">
        <f t="shared" ca="1" si="16"/>
        <v/>
      </c>
      <c r="Y81" s="326" t="str">
        <f t="shared" ca="1" si="16"/>
        <v/>
      </c>
      <c r="Z81" s="326" t="str">
        <f t="shared" ca="1" si="16"/>
        <v/>
      </c>
      <c r="AA81" s="326" t="str">
        <f t="shared" ca="1" si="16"/>
        <v/>
      </c>
      <c r="AB81" s="326">
        <f t="shared" ca="1" si="16"/>
        <v>1390</v>
      </c>
      <c r="AC81" s="326">
        <f t="shared" ca="1" si="16"/>
        <v>0</v>
      </c>
      <c r="AD81" s="326">
        <f t="shared" ca="1" si="16"/>
        <v>0</v>
      </c>
      <c r="AE81" s="326">
        <f t="shared" ca="1" si="16"/>
        <v>0</v>
      </c>
      <c r="AF81" s="326">
        <f t="shared" ca="1" si="16"/>
        <v>0</v>
      </c>
      <c r="AG81" s="326">
        <f t="shared" ca="1" si="16"/>
        <v>0</v>
      </c>
      <c r="AH81" s="326">
        <f t="shared" ca="1" si="16"/>
        <v>0</v>
      </c>
      <c r="AI81" s="326">
        <f t="shared" ca="1" si="16"/>
        <v>0</v>
      </c>
      <c r="AJ81" s="326">
        <f t="shared" ca="1" si="16"/>
        <v>0</v>
      </c>
      <c r="AK81" s="326">
        <f t="shared" ca="1" si="16"/>
        <v>0</v>
      </c>
      <c r="AL81" s="326">
        <f t="shared" ca="1" si="16"/>
        <v>0</v>
      </c>
      <c r="AM81" s="326">
        <f t="shared" ca="1" si="16"/>
        <v>0</v>
      </c>
      <c r="AN81" s="326">
        <f t="shared" ca="1" si="16"/>
        <v>0</v>
      </c>
      <c r="AO81" s="326">
        <f t="shared" ca="1" si="16"/>
        <v>0</v>
      </c>
      <c r="AP81" s="326">
        <f t="shared" ca="1" si="16"/>
        <v>0</v>
      </c>
      <c r="AQ81" s="326">
        <f t="shared" ca="1" si="16"/>
        <v>0</v>
      </c>
      <c r="AR81" s="326">
        <f t="shared" ca="1" si="16"/>
        <v>0</v>
      </c>
      <c r="AS81" s="326">
        <f t="shared" ca="1" si="16"/>
        <v>0</v>
      </c>
      <c r="AT81" s="326">
        <f t="shared" ca="1" si="16"/>
        <v>0</v>
      </c>
      <c r="AU81" s="326">
        <f t="shared" ca="1" si="16"/>
        <v>0</v>
      </c>
      <c r="AV81" s="326">
        <f t="shared" ca="1" si="16"/>
        <v>0</v>
      </c>
      <c r="AW81" s="326">
        <f t="shared" ca="1" si="16"/>
        <v>0</v>
      </c>
      <c r="AX81" s="326">
        <f t="shared" ca="1" si="16"/>
        <v>0</v>
      </c>
      <c r="AY81" s="326">
        <f t="shared" ca="1" si="16"/>
        <v>0</v>
      </c>
      <c r="AZ81" s="326">
        <f t="shared" ca="1" si="16"/>
        <v>0</v>
      </c>
      <c r="BA81" s="326">
        <f t="shared" ca="1" si="16"/>
        <v>0</v>
      </c>
      <c r="BB81" s="326">
        <f t="shared" ca="1" si="16"/>
        <v>0</v>
      </c>
      <c r="BC81" s="326">
        <f t="shared" ca="1" si="16"/>
        <v>0</v>
      </c>
      <c r="BD81" s="326">
        <f t="shared" ca="1" si="16"/>
        <v>0</v>
      </c>
      <c r="BE81" s="326">
        <f t="shared" ca="1" si="16"/>
        <v>0</v>
      </c>
      <c r="BF81" s="326">
        <f t="shared" ca="1" si="16"/>
        <v>0</v>
      </c>
      <c r="BG81" s="326">
        <f t="shared" ca="1" si="16"/>
        <v>0</v>
      </c>
      <c r="BH81" s="326">
        <f t="shared" ca="1" si="16"/>
        <v>0</v>
      </c>
      <c r="BI81" s="326">
        <f t="shared" ref="BI81:DO85" ca="1" si="17">IF($A81&gt;BI$5,"",OFFSET(BI$54,0,-($A81-1)))</f>
        <v>0</v>
      </c>
    </row>
    <row r="82" spans="1:61" outlineLevel="1" x14ac:dyDescent="0.15">
      <c r="A82" s="336">
        <v>28</v>
      </c>
      <c r="B82" s="326" t="str">
        <f t="shared" ca="1" si="14"/>
        <v/>
      </c>
      <c r="C82" s="326" t="str">
        <f t="shared" ca="1" si="14"/>
        <v/>
      </c>
      <c r="D82" s="326" t="str">
        <f t="shared" ca="1" si="14"/>
        <v/>
      </c>
      <c r="E82" s="326" t="str">
        <f t="shared" ca="1" si="14"/>
        <v/>
      </c>
      <c r="F82" s="326" t="str">
        <f t="shared" ca="1" si="14"/>
        <v/>
      </c>
      <c r="G82" s="326" t="str">
        <f t="shared" ca="1" si="14"/>
        <v/>
      </c>
      <c r="H82" s="326" t="str">
        <f t="shared" ca="1" si="14"/>
        <v/>
      </c>
      <c r="I82" s="326" t="str">
        <f t="shared" ca="1" si="14"/>
        <v/>
      </c>
      <c r="J82" s="326" t="str">
        <f t="shared" ca="1" si="14"/>
        <v/>
      </c>
      <c r="K82" s="326" t="str">
        <f t="shared" ca="1" si="14"/>
        <v/>
      </c>
      <c r="L82" s="326" t="str">
        <f t="shared" ca="1" si="14"/>
        <v/>
      </c>
      <c r="M82" s="326" t="str">
        <f t="shared" ca="1" si="14"/>
        <v/>
      </c>
      <c r="N82" s="326" t="str">
        <f t="shared" ca="1" si="14"/>
        <v/>
      </c>
      <c r="O82" s="326" t="str">
        <f t="shared" ca="1" si="14"/>
        <v/>
      </c>
      <c r="P82" s="326" t="str">
        <f t="shared" ca="1" si="14"/>
        <v/>
      </c>
      <c r="Q82" s="326" t="str">
        <f t="shared" ca="1" si="14"/>
        <v/>
      </c>
      <c r="R82" s="326" t="str">
        <f t="shared" ref="R82:BX86" ca="1" si="18">IF($A82&gt;R$5,"",OFFSET(R$54,0,-($A82-1)))</f>
        <v/>
      </c>
      <c r="S82" s="326" t="str">
        <f t="shared" ca="1" si="18"/>
        <v/>
      </c>
      <c r="T82" s="326" t="str">
        <f t="shared" ca="1" si="18"/>
        <v/>
      </c>
      <c r="U82" s="326" t="str">
        <f t="shared" ca="1" si="18"/>
        <v/>
      </c>
      <c r="V82" s="326" t="str">
        <f t="shared" ca="1" si="18"/>
        <v/>
      </c>
      <c r="W82" s="326" t="str">
        <f t="shared" ca="1" si="18"/>
        <v/>
      </c>
      <c r="X82" s="326" t="str">
        <f t="shared" ca="1" si="18"/>
        <v/>
      </c>
      <c r="Y82" s="326" t="str">
        <f t="shared" ca="1" si="18"/>
        <v/>
      </c>
      <c r="Z82" s="326" t="str">
        <f t="shared" ca="1" si="18"/>
        <v/>
      </c>
      <c r="AA82" s="326" t="str">
        <f t="shared" ca="1" si="18"/>
        <v/>
      </c>
      <c r="AB82" s="326" t="str">
        <f t="shared" ca="1" si="18"/>
        <v/>
      </c>
      <c r="AC82" s="326">
        <f t="shared" ca="1" si="18"/>
        <v>1390</v>
      </c>
      <c r="AD82" s="326">
        <f t="shared" ca="1" si="18"/>
        <v>0</v>
      </c>
      <c r="AE82" s="326">
        <f t="shared" ca="1" si="18"/>
        <v>0</v>
      </c>
      <c r="AF82" s="326">
        <f t="shared" ca="1" si="18"/>
        <v>0</v>
      </c>
      <c r="AG82" s="326">
        <f t="shared" ca="1" si="18"/>
        <v>0</v>
      </c>
      <c r="AH82" s="326">
        <f t="shared" ca="1" si="18"/>
        <v>0</v>
      </c>
      <c r="AI82" s="326">
        <f t="shared" ca="1" si="18"/>
        <v>0</v>
      </c>
      <c r="AJ82" s="326">
        <f t="shared" ca="1" si="18"/>
        <v>0</v>
      </c>
      <c r="AK82" s="326">
        <f t="shared" ca="1" si="18"/>
        <v>0</v>
      </c>
      <c r="AL82" s="326">
        <f t="shared" ca="1" si="18"/>
        <v>0</v>
      </c>
      <c r="AM82" s="326">
        <f t="shared" ca="1" si="18"/>
        <v>0</v>
      </c>
      <c r="AN82" s="326">
        <f t="shared" ca="1" si="18"/>
        <v>0</v>
      </c>
      <c r="AO82" s="326">
        <f t="shared" ca="1" si="18"/>
        <v>0</v>
      </c>
      <c r="AP82" s="326">
        <f t="shared" ca="1" si="18"/>
        <v>0</v>
      </c>
      <c r="AQ82" s="326">
        <f t="shared" ca="1" si="18"/>
        <v>0</v>
      </c>
      <c r="AR82" s="326">
        <f t="shared" ca="1" si="18"/>
        <v>0</v>
      </c>
      <c r="AS82" s="326">
        <f t="shared" ca="1" si="18"/>
        <v>0</v>
      </c>
      <c r="AT82" s="326">
        <f t="shared" ca="1" si="18"/>
        <v>0</v>
      </c>
      <c r="AU82" s="326">
        <f t="shared" ca="1" si="18"/>
        <v>0</v>
      </c>
      <c r="AV82" s="326">
        <f t="shared" ca="1" si="18"/>
        <v>0</v>
      </c>
      <c r="AW82" s="326">
        <f t="shared" ca="1" si="18"/>
        <v>0</v>
      </c>
      <c r="AX82" s="326">
        <f t="shared" ca="1" si="18"/>
        <v>0</v>
      </c>
      <c r="AY82" s="326">
        <f t="shared" ca="1" si="18"/>
        <v>0</v>
      </c>
      <c r="AZ82" s="326">
        <f t="shared" ca="1" si="18"/>
        <v>0</v>
      </c>
      <c r="BA82" s="326">
        <f t="shared" ca="1" si="18"/>
        <v>0</v>
      </c>
      <c r="BB82" s="326">
        <f t="shared" ca="1" si="18"/>
        <v>0</v>
      </c>
      <c r="BC82" s="326">
        <f t="shared" ca="1" si="18"/>
        <v>0</v>
      </c>
      <c r="BD82" s="326">
        <f t="shared" ca="1" si="18"/>
        <v>0</v>
      </c>
      <c r="BE82" s="326">
        <f t="shared" ca="1" si="18"/>
        <v>0</v>
      </c>
      <c r="BF82" s="326">
        <f t="shared" ca="1" si="18"/>
        <v>0</v>
      </c>
      <c r="BG82" s="326">
        <f t="shared" ca="1" si="18"/>
        <v>0</v>
      </c>
      <c r="BH82" s="326">
        <f t="shared" ca="1" si="18"/>
        <v>0</v>
      </c>
      <c r="BI82" s="326">
        <f t="shared" ca="1" si="18"/>
        <v>0</v>
      </c>
    </row>
    <row r="83" spans="1:61" outlineLevel="1" x14ac:dyDescent="0.15">
      <c r="A83" s="336">
        <v>29</v>
      </c>
      <c r="B83" s="326" t="str">
        <f t="shared" ca="1" si="14"/>
        <v/>
      </c>
      <c r="C83" s="326" t="str">
        <f t="shared" ca="1" si="14"/>
        <v/>
      </c>
      <c r="D83" s="326" t="str">
        <f t="shared" ca="1" si="14"/>
        <v/>
      </c>
      <c r="E83" s="326" t="str">
        <f t="shared" ca="1" si="14"/>
        <v/>
      </c>
      <c r="F83" s="326" t="str">
        <f t="shared" ca="1" si="14"/>
        <v/>
      </c>
      <c r="G83" s="326" t="str">
        <f t="shared" ca="1" si="14"/>
        <v/>
      </c>
      <c r="H83" s="326" t="str">
        <f t="shared" ca="1" si="14"/>
        <v/>
      </c>
      <c r="I83" s="326" t="str">
        <f t="shared" ca="1" si="14"/>
        <v/>
      </c>
      <c r="J83" s="326" t="str">
        <f t="shared" ca="1" si="14"/>
        <v/>
      </c>
      <c r="K83" s="326" t="str">
        <f t="shared" ca="1" si="14"/>
        <v/>
      </c>
      <c r="L83" s="326" t="str">
        <f t="shared" ca="1" si="14"/>
        <v/>
      </c>
      <c r="M83" s="326" t="str">
        <f t="shared" ca="1" si="14"/>
        <v/>
      </c>
      <c r="N83" s="326" t="str">
        <f t="shared" ca="1" si="14"/>
        <v/>
      </c>
      <c r="O83" s="326" t="str">
        <f t="shared" ca="1" si="14"/>
        <v/>
      </c>
      <c r="P83" s="326" t="str">
        <f t="shared" ca="1" si="14"/>
        <v/>
      </c>
      <c r="Q83" s="326" t="str">
        <f t="shared" ca="1" si="14"/>
        <v/>
      </c>
      <c r="R83" s="326" t="str">
        <f t="shared" ca="1" si="18"/>
        <v/>
      </c>
      <c r="S83" s="326" t="str">
        <f t="shared" ca="1" si="18"/>
        <v/>
      </c>
      <c r="T83" s="326" t="str">
        <f t="shared" ca="1" si="18"/>
        <v/>
      </c>
      <c r="U83" s="326" t="str">
        <f t="shared" ca="1" si="18"/>
        <v/>
      </c>
      <c r="V83" s="326" t="str">
        <f t="shared" ca="1" si="18"/>
        <v/>
      </c>
      <c r="W83" s="326" t="str">
        <f t="shared" ca="1" si="18"/>
        <v/>
      </c>
      <c r="X83" s="326" t="str">
        <f t="shared" ca="1" si="18"/>
        <v/>
      </c>
      <c r="Y83" s="326" t="str">
        <f t="shared" ca="1" si="18"/>
        <v/>
      </c>
      <c r="Z83" s="326" t="str">
        <f t="shared" ca="1" si="18"/>
        <v/>
      </c>
      <c r="AA83" s="326" t="str">
        <f t="shared" ca="1" si="18"/>
        <v/>
      </c>
      <c r="AB83" s="326" t="str">
        <f t="shared" ca="1" si="18"/>
        <v/>
      </c>
      <c r="AC83" s="326" t="str">
        <f t="shared" ca="1" si="18"/>
        <v/>
      </c>
      <c r="AD83" s="326">
        <f t="shared" ca="1" si="18"/>
        <v>1390</v>
      </c>
      <c r="AE83" s="326">
        <f t="shared" ca="1" si="18"/>
        <v>0</v>
      </c>
      <c r="AF83" s="326">
        <f t="shared" ca="1" si="18"/>
        <v>0</v>
      </c>
      <c r="AG83" s="326">
        <f t="shared" ca="1" si="18"/>
        <v>0</v>
      </c>
      <c r="AH83" s="326">
        <f t="shared" ca="1" si="18"/>
        <v>0</v>
      </c>
      <c r="AI83" s="326">
        <f t="shared" ca="1" si="18"/>
        <v>0</v>
      </c>
      <c r="AJ83" s="326">
        <f t="shared" ca="1" si="18"/>
        <v>0</v>
      </c>
      <c r="AK83" s="326">
        <f t="shared" ca="1" si="18"/>
        <v>0</v>
      </c>
      <c r="AL83" s="326">
        <f t="shared" ca="1" si="18"/>
        <v>0</v>
      </c>
      <c r="AM83" s="326">
        <f t="shared" ca="1" si="18"/>
        <v>0</v>
      </c>
      <c r="AN83" s="326">
        <f t="shared" ca="1" si="18"/>
        <v>0</v>
      </c>
      <c r="AO83" s="326">
        <f t="shared" ca="1" si="18"/>
        <v>0</v>
      </c>
      <c r="AP83" s="326">
        <f t="shared" ca="1" si="18"/>
        <v>0</v>
      </c>
      <c r="AQ83" s="326">
        <f t="shared" ca="1" si="18"/>
        <v>0</v>
      </c>
      <c r="AR83" s="326">
        <f t="shared" ca="1" si="18"/>
        <v>0</v>
      </c>
      <c r="AS83" s="326">
        <f t="shared" ca="1" si="18"/>
        <v>0</v>
      </c>
      <c r="AT83" s="326">
        <f t="shared" ca="1" si="18"/>
        <v>0</v>
      </c>
      <c r="AU83" s="326">
        <f t="shared" ca="1" si="18"/>
        <v>0</v>
      </c>
      <c r="AV83" s="326">
        <f t="shared" ca="1" si="18"/>
        <v>0</v>
      </c>
      <c r="AW83" s="326">
        <f t="shared" ca="1" si="18"/>
        <v>0</v>
      </c>
      <c r="AX83" s="326">
        <f t="shared" ca="1" si="18"/>
        <v>0</v>
      </c>
      <c r="AY83" s="326">
        <f t="shared" ca="1" si="18"/>
        <v>0</v>
      </c>
      <c r="AZ83" s="326">
        <f t="shared" ca="1" si="18"/>
        <v>0</v>
      </c>
      <c r="BA83" s="326">
        <f t="shared" ca="1" si="18"/>
        <v>0</v>
      </c>
      <c r="BB83" s="326">
        <f t="shared" ca="1" si="18"/>
        <v>0</v>
      </c>
      <c r="BC83" s="326">
        <f t="shared" ca="1" si="18"/>
        <v>0</v>
      </c>
      <c r="BD83" s="326">
        <f t="shared" ca="1" si="18"/>
        <v>0</v>
      </c>
      <c r="BE83" s="326">
        <f t="shared" ca="1" si="18"/>
        <v>0</v>
      </c>
      <c r="BF83" s="326">
        <f t="shared" ca="1" si="18"/>
        <v>0</v>
      </c>
      <c r="BG83" s="326">
        <f t="shared" ca="1" si="18"/>
        <v>0</v>
      </c>
      <c r="BH83" s="326">
        <f t="shared" ca="1" si="18"/>
        <v>0</v>
      </c>
      <c r="BI83" s="326">
        <f t="shared" ca="1" si="18"/>
        <v>0</v>
      </c>
    </row>
    <row r="84" spans="1:61" outlineLevel="1" x14ac:dyDescent="0.15">
      <c r="A84" s="336">
        <v>30</v>
      </c>
      <c r="B84" s="326" t="str">
        <f t="shared" ca="1" si="14"/>
        <v/>
      </c>
      <c r="C84" s="326" t="str">
        <f t="shared" ca="1" si="14"/>
        <v/>
      </c>
      <c r="D84" s="326" t="str">
        <f t="shared" ca="1" si="14"/>
        <v/>
      </c>
      <c r="E84" s="326" t="str">
        <f t="shared" ca="1" si="14"/>
        <v/>
      </c>
      <c r="F84" s="326" t="str">
        <f t="shared" ca="1" si="14"/>
        <v/>
      </c>
      <c r="G84" s="326" t="str">
        <f t="shared" ca="1" si="14"/>
        <v/>
      </c>
      <c r="H84" s="326" t="str">
        <f t="shared" ca="1" si="14"/>
        <v/>
      </c>
      <c r="I84" s="326" t="str">
        <f t="shared" ca="1" si="14"/>
        <v/>
      </c>
      <c r="J84" s="326" t="str">
        <f t="shared" ca="1" si="14"/>
        <v/>
      </c>
      <c r="K84" s="326" t="str">
        <f t="shared" ca="1" si="14"/>
        <v/>
      </c>
      <c r="L84" s="326" t="str">
        <f t="shared" ca="1" si="14"/>
        <v/>
      </c>
      <c r="M84" s="326" t="str">
        <f t="shared" ca="1" si="14"/>
        <v/>
      </c>
      <c r="N84" s="326" t="str">
        <f t="shared" ca="1" si="14"/>
        <v/>
      </c>
      <c r="O84" s="326" t="str">
        <f t="shared" ca="1" si="14"/>
        <v/>
      </c>
      <c r="P84" s="326" t="str">
        <f t="shared" ca="1" si="14"/>
        <v/>
      </c>
      <c r="Q84" s="326" t="str">
        <f t="shared" ca="1" si="14"/>
        <v/>
      </c>
      <c r="R84" s="326" t="str">
        <f t="shared" ca="1" si="18"/>
        <v/>
      </c>
      <c r="S84" s="326" t="str">
        <f t="shared" ca="1" si="18"/>
        <v/>
      </c>
      <c r="T84" s="326" t="str">
        <f t="shared" ca="1" si="18"/>
        <v/>
      </c>
      <c r="U84" s="326" t="str">
        <f t="shared" ca="1" si="18"/>
        <v/>
      </c>
      <c r="V84" s="326" t="str">
        <f t="shared" ca="1" si="18"/>
        <v/>
      </c>
      <c r="W84" s="326" t="str">
        <f t="shared" ca="1" si="18"/>
        <v/>
      </c>
      <c r="X84" s="326" t="str">
        <f t="shared" ca="1" si="18"/>
        <v/>
      </c>
      <c r="Y84" s="326" t="str">
        <f t="shared" ca="1" si="18"/>
        <v/>
      </c>
      <c r="Z84" s="326" t="str">
        <f t="shared" ca="1" si="18"/>
        <v/>
      </c>
      <c r="AA84" s="326" t="str">
        <f t="shared" ca="1" si="18"/>
        <v/>
      </c>
      <c r="AB84" s="326" t="str">
        <f t="shared" ca="1" si="18"/>
        <v/>
      </c>
      <c r="AC84" s="326" t="str">
        <f t="shared" ca="1" si="18"/>
        <v/>
      </c>
      <c r="AD84" s="326" t="str">
        <f t="shared" ca="1" si="18"/>
        <v/>
      </c>
      <c r="AE84" s="326">
        <f t="shared" ca="1" si="18"/>
        <v>1390</v>
      </c>
      <c r="AF84" s="326">
        <f t="shared" ca="1" si="18"/>
        <v>0</v>
      </c>
      <c r="AG84" s="326">
        <f t="shared" ca="1" si="18"/>
        <v>0</v>
      </c>
      <c r="AH84" s="326">
        <f t="shared" ca="1" si="18"/>
        <v>0</v>
      </c>
      <c r="AI84" s="326">
        <f t="shared" ca="1" si="18"/>
        <v>0</v>
      </c>
      <c r="AJ84" s="326">
        <f t="shared" ca="1" si="18"/>
        <v>0</v>
      </c>
      <c r="AK84" s="326">
        <f t="shared" ca="1" si="18"/>
        <v>0</v>
      </c>
      <c r="AL84" s="326">
        <f t="shared" ca="1" si="18"/>
        <v>0</v>
      </c>
      <c r="AM84" s="326">
        <f t="shared" ca="1" si="18"/>
        <v>0</v>
      </c>
      <c r="AN84" s="326">
        <f t="shared" ca="1" si="18"/>
        <v>0</v>
      </c>
      <c r="AO84" s="326">
        <f t="shared" ca="1" si="18"/>
        <v>0</v>
      </c>
      <c r="AP84" s="326">
        <f t="shared" ca="1" si="18"/>
        <v>0</v>
      </c>
      <c r="AQ84" s="326">
        <f t="shared" ca="1" si="18"/>
        <v>0</v>
      </c>
      <c r="AR84" s="326">
        <f t="shared" ca="1" si="18"/>
        <v>0</v>
      </c>
      <c r="AS84" s="326">
        <f t="shared" ca="1" si="18"/>
        <v>0</v>
      </c>
      <c r="AT84" s="326">
        <f t="shared" ca="1" si="18"/>
        <v>0</v>
      </c>
      <c r="AU84" s="326">
        <f t="shared" ca="1" si="18"/>
        <v>0</v>
      </c>
      <c r="AV84" s="326">
        <f t="shared" ca="1" si="18"/>
        <v>0</v>
      </c>
      <c r="AW84" s="326">
        <f t="shared" ca="1" si="18"/>
        <v>0</v>
      </c>
      <c r="AX84" s="326">
        <f t="shared" ca="1" si="18"/>
        <v>0</v>
      </c>
      <c r="AY84" s="326">
        <f t="shared" ca="1" si="18"/>
        <v>0</v>
      </c>
      <c r="AZ84" s="326">
        <f t="shared" ca="1" si="18"/>
        <v>0</v>
      </c>
      <c r="BA84" s="326">
        <f t="shared" ca="1" si="18"/>
        <v>0</v>
      </c>
      <c r="BB84" s="326">
        <f t="shared" ca="1" si="18"/>
        <v>0</v>
      </c>
      <c r="BC84" s="326">
        <f t="shared" ca="1" si="18"/>
        <v>0</v>
      </c>
      <c r="BD84" s="326">
        <f t="shared" ca="1" si="18"/>
        <v>0</v>
      </c>
      <c r="BE84" s="326">
        <f t="shared" ca="1" si="18"/>
        <v>0</v>
      </c>
      <c r="BF84" s="326">
        <f t="shared" ca="1" si="18"/>
        <v>0</v>
      </c>
      <c r="BG84" s="326">
        <f t="shared" ca="1" si="18"/>
        <v>0</v>
      </c>
      <c r="BH84" s="326">
        <f t="shared" ca="1" si="18"/>
        <v>0</v>
      </c>
      <c r="BI84" s="326">
        <f t="shared" ca="1" si="18"/>
        <v>0</v>
      </c>
    </row>
    <row r="85" spans="1:61" outlineLevel="1" x14ac:dyDescent="0.15">
      <c r="A85" s="336">
        <v>31</v>
      </c>
      <c r="B85" s="326" t="str">
        <f t="shared" ca="1" si="14"/>
        <v/>
      </c>
      <c r="C85" s="326" t="str">
        <f t="shared" ca="1" si="14"/>
        <v/>
      </c>
      <c r="D85" s="326" t="str">
        <f t="shared" ca="1" si="14"/>
        <v/>
      </c>
      <c r="E85" s="326" t="str">
        <f t="shared" ca="1" si="14"/>
        <v/>
      </c>
      <c r="F85" s="326" t="str">
        <f t="shared" ca="1" si="14"/>
        <v/>
      </c>
      <c r="G85" s="326" t="str">
        <f t="shared" ca="1" si="14"/>
        <v/>
      </c>
      <c r="H85" s="326" t="str">
        <f t="shared" ca="1" si="14"/>
        <v/>
      </c>
      <c r="I85" s="326" t="str">
        <f t="shared" ca="1" si="14"/>
        <v/>
      </c>
      <c r="J85" s="326" t="str">
        <f t="shared" ca="1" si="14"/>
        <v/>
      </c>
      <c r="K85" s="326" t="str">
        <f t="shared" ca="1" si="14"/>
        <v/>
      </c>
      <c r="L85" s="326" t="str">
        <f t="shared" ca="1" si="14"/>
        <v/>
      </c>
      <c r="M85" s="326" t="str">
        <f t="shared" ca="1" si="14"/>
        <v/>
      </c>
      <c r="N85" s="326" t="str">
        <f t="shared" ca="1" si="14"/>
        <v/>
      </c>
      <c r="O85" s="326" t="str">
        <f t="shared" ca="1" si="14"/>
        <v/>
      </c>
      <c r="P85" s="326" t="str">
        <f t="shared" ca="1" si="14"/>
        <v/>
      </c>
      <c r="Q85" s="326" t="str">
        <f t="shared" ca="1" si="14"/>
        <v/>
      </c>
      <c r="R85" s="326" t="str">
        <f t="shared" ca="1" si="18"/>
        <v/>
      </c>
      <c r="S85" s="326" t="str">
        <f t="shared" ca="1" si="18"/>
        <v/>
      </c>
      <c r="T85" s="326" t="str">
        <f t="shared" ca="1" si="18"/>
        <v/>
      </c>
      <c r="U85" s="326" t="str">
        <f t="shared" ca="1" si="18"/>
        <v/>
      </c>
      <c r="V85" s="326" t="str">
        <f t="shared" ca="1" si="18"/>
        <v/>
      </c>
      <c r="W85" s="326" t="str">
        <f t="shared" ca="1" si="18"/>
        <v/>
      </c>
      <c r="X85" s="326" t="str">
        <f t="shared" ca="1" si="18"/>
        <v/>
      </c>
      <c r="Y85" s="326" t="str">
        <f t="shared" ca="1" si="18"/>
        <v/>
      </c>
      <c r="Z85" s="326" t="str">
        <f t="shared" ca="1" si="18"/>
        <v/>
      </c>
      <c r="AA85" s="326" t="str">
        <f t="shared" ca="1" si="18"/>
        <v/>
      </c>
      <c r="AB85" s="326" t="str">
        <f t="shared" ca="1" si="18"/>
        <v/>
      </c>
      <c r="AC85" s="326" t="str">
        <f t="shared" ca="1" si="18"/>
        <v/>
      </c>
      <c r="AD85" s="326" t="str">
        <f t="shared" ca="1" si="18"/>
        <v/>
      </c>
      <c r="AE85" s="326" t="str">
        <f t="shared" ca="1" si="18"/>
        <v/>
      </c>
      <c r="AF85" s="326">
        <f t="shared" ca="1" si="18"/>
        <v>1390</v>
      </c>
      <c r="AG85" s="326">
        <f t="shared" ca="1" si="18"/>
        <v>0</v>
      </c>
      <c r="AH85" s="326">
        <f t="shared" ca="1" si="18"/>
        <v>0</v>
      </c>
      <c r="AI85" s="326">
        <f t="shared" ca="1" si="18"/>
        <v>0</v>
      </c>
      <c r="AJ85" s="326">
        <f t="shared" ca="1" si="18"/>
        <v>0</v>
      </c>
      <c r="AK85" s="326">
        <f t="shared" ca="1" si="18"/>
        <v>0</v>
      </c>
      <c r="AL85" s="326">
        <f t="shared" ca="1" si="18"/>
        <v>0</v>
      </c>
      <c r="AM85" s="326">
        <f t="shared" ca="1" si="18"/>
        <v>0</v>
      </c>
      <c r="AN85" s="326">
        <f t="shared" ca="1" si="18"/>
        <v>0</v>
      </c>
      <c r="AO85" s="326">
        <f t="shared" ca="1" si="18"/>
        <v>0</v>
      </c>
      <c r="AP85" s="326">
        <f t="shared" ca="1" si="18"/>
        <v>0</v>
      </c>
      <c r="AQ85" s="326">
        <f t="shared" ca="1" si="18"/>
        <v>0</v>
      </c>
      <c r="AR85" s="326">
        <f t="shared" ca="1" si="18"/>
        <v>0</v>
      </c>
      <c r="AS85" s="326">
        <f t="shared" ca="1" si="18"/>
        <v>0</v>
      </c>
      <c r="AT85" s="326">
        <f t="shared" ca="1" si="18"/>
        <v>0</v>
      </c>
      <c r="AU85" s="326">
        <f t="shared" ca="1" si="18"/>
        <v>0</v>
      </c>
      <c r="AV85" s="326">
        <f t="shared" ca="1" si="18"/>
        <v>0</v>
      </c>
      <c r="AW85" s="326">
        <f t="shared" ca="1" si="18"/>
        <v>0</v>
      </c>
      <c r="AX85" s="326">
        <f t="shared" ca="1" si="18"/>
        <v>0</v>
      </c>
      <c r="AY85" s="326">
        <f t="shared" ca="1" si="18"/>
        <v>0</v>
      </c>
      <c r="AZ85" s="326">
        <f t="shared" ca="1" si="18"/>
        <v>0</v>
      </c>
      <c r="BA85" s="326">
        <f t="shared" ca="1" si="18"/>
        <v>0</v>
      </c>
      <c r="BB85" s="326">
        <f t="shared" ca="1" si="18"/>
        <v>0</v>
      </c>
      <c r="BC85" s="326">
        <f t="shared" ca="1" si="18"/>
        <v>0</v>
      </c>
      <c r="BD85" s="326">
        <f t="shared" ca="1" si="18"/>
        <v>0</v>
      </c>
      <c r="BE85" s="326">
        <f t="shared" ca="1" si="18"/>
        <v>0</v>
      </c>
      <c r="BF85" s="326">
        <f t="shared" ca="1" si="18"/>
        <v>0</v>
      </c>
      <c r="BG85" s="326">
        <f t="shared" ca="1" si="18"/>
        <v>0</v>
      </c>
      <c r="BH85" s="326">
        <f t="shared" ca="1" si="18"/>
        <v>0</v>
      </c>
      <c r="BI85" s="326">
        <f t="shared" ca="1" si="18"/>
        <v>0</v>
      </c>
    </row>
    <row r="86" spans="1:61" outlineLevel="1" x14ac:dyDescent="0.15">
      <c r="A86" s="336">
        <v>32</v>
      </c>
      <c r="B86" s="326" t="str">
        <f t="shared" ca="1" si="14"/>
        <v/>
      </c>
      <c r="C86" s="326" t="str">
        <f t="shared" ca="1" si="14"/>
        <v/>
      </c>
      <c r="D86" s="326" t="str">
        <f t="shared" ca="1" si="14"/>
        <v/>
      </c>
      <c r="E86" s="326" t="str">
        <f t="shared" ca="1" si="14"/>
        <v/>
      </c>
      <c r="F86" s="326" t="str">
        <f t="shared" ca="1" si="14"/>
        <v/>
      </c>
      <c r="G86" s="326" t="str">
        <f t="shared" ca="1" si="14"/>
        <v/>
      </c>
      <c r="H86" s="326" t="str">
        <f t="shared" ca="1" si="14"/>
        <v/>
      </c>
      <c r="I86" s="326" t="str">
        <f t="shared" ca="1" si="14"/>
        <v/>
      </c>
      <c r="J86" s="326" t="str">
        <f t="shared" ca="1" si="14"/>
        <v/>
      </c>
      <c r="K86" s="326" t="str">
        <f t="shared" ca="1" si="14"/>
        <v/>
      </c>
      <c r="L86" s="326" t="str">
        <f t="shared" ca="1" si="14"/>
        <v/>
      </c>
      <c r="M86" s="326" t="str">
        <f t="shared" ca="1" si="14"/>
        <v/>
      </c>
      <c r="N86" s="326" t="str">
        <f t="shared" ca="1" si="14"/>
        <v/>
      </c>
      <c r="O86" s="326" t="str">
        <f t="shared" ca="1" si="14"/>
        <v/>
      </c>
      <c r="P86" s="326" t="str">
        <f t="shared" ca="1" si="14"/>
        <v/>
      </c>
      <c r="Q86" s="326" t="str">
        <f t="shared" ref="Q86:BW91" ca="1" si="19">IF($A86&gt;Q$5,"",OFFSET(Q$54,0,-($A86-1)))</f>
        <v/>
      </c>
      <c r="R86" s="326" t="str">
        <f t="shared" ca="1" si="19"/>
        <v/>
      </c>
      <c r="S86" s="326" t="str">
        <f t="shared" ca="1" si="19"/>
        <v/>
      </c>
      <c r="T86" s="326" t="str">
        <f t="shared" ca="1" si="19"/>
        <v/>
      </c>
      <c r="U86" s="326" t="str">
        <f t="shared" ca="1" si="19"/>
        <v/>
      </c>
      <c r="V86" s="326" t="str">
        <f t="shared" ca="1" si="19"/>
        <v/>
      </c>
      <c r="W86" s="326" t="str">
        <f t="shared" ca="1" si="19"/>
        <v/>
      </c>
      <c r="X86" s="326" t="str">
        <f t="shared" ca="1" si="19"/>
        <v/>
      </c>
      <c r="Y86" s="326" t="str">
        <f t="shared" ca="1" si="19"/>
        <v/>
      </c>
      <c r="Z86" s="326" t="str">
        <f t="shared" ca="1" si="19"/>
        <v/>
      </c>
      <c r="AA86" s="326" t="str">
        <f t="shared" ca="1" si="19"/>
        <v/>
      </c>
      <c r="AB86" s="326" t="str">
        <f t="shared" ca="1" si="19"/>
        <v/>
      </c>
      <c r="AC86" s="326" t="str">
        <f t="shared" ca="1" si="19"/>
        <v/>
      </c>
      <c r="AD86" s="326" t="str">
        <f t="shared" ca="1" si="19"/>
        <v/>
      </c>
      <c r="AE86" s="326" t="str">
        <f t="shared" ca="1" si="19"/>
        <v/>
      </c>
      <c r="AF86" s="326" t="str">
        <f t="shared" ca="1" si="19"/>
        <v/>
      </c>
      <c r="AG86" s="326">
        <f t="shared" ca="1" si="19"/>
        <v>1390</v>
      </c>
      <c r="AH86" s="326">
        <f t="shared" ca="1" si="19"/>
        <v>0</v>
      </c>
      <c r="AI86" s="326">
        <f t="shared" ca="1" si="19"/>
        <v>0</v>
      </c>
      <c r="AJ86" s="326">
        <f t="shared" ca="1" si="19"/>
        <v>0</v>
      </c>
      <c r="AK86" s="326">
        <f t="shared" ca="1" si="19"/>
        <v>0</v>
      </c>
      <c r="AL86" s="326">
        <f t="shared" ca="1" si="19"/>
        <v>0</v>
      </c>
      <c r="AM86" s="326">
        <f t="shared" ca="1" si="19"/>
        <v>0</v>
      </c>
      <c r="AN86" s="326">
        <f t="shared" ca="1" si="19"/>
        <v>0</v>
      </c>
      <c r="AO86" s="326">
        <f t="shared" ca="1" si="19"/>
        <v>0</v>
      </c>
      <c r="AP86" s="326">
        <f t="shared" ca="1" si="19"/>
        <v>0</v>
      </c>
      <c r="AQ86" s="326">
        <f t="shared" ca="1" si="19"/>
        <v>0</v>
      </c>
      <c r="AR86" s="326">
        <f t="shared" ca="1" si="19"/>
        <v>0</v>
      </c>
      <c r="AS86" s="326">
        <f t="shared" ca="1" si="19"/>
        <v>0</v>
      </c>
      <c r="AT86" s="326">
        <f t="shared" ca="1" si="19"/>
        <v>0</v>
      </c>
      <c r="AU86" s="326">
        <f t="shared" ca="1" si="19"/>
        <v>0</v>
      </c>
      <c r="AV86" s="326">
        <f t="shared" ca="1" si="19"/>
        <v>0</v>
      </c>
      <c r="AW86" s="326">
        <f t="shared" ca="1" si="19"/>
        <v>0</v>
      </c>
      <c r="AX86" s="326">
        <f t="shared" ca="1" si="19"/>
        <v>0</v>
      </c>
      <c r="AY86" s="326">
        <f t="shared" ca="1" si="19"/>
        <v>0</v>
      </c>
      <c r="AZ86" s="326">
        <f t="shared" ca="1" si="19"/>
        <v>0</v>
      </c>
      <c r="BA86" s="326">
        <f t="shared" ca="1" si="19"/>
        <v>0</v>
      </c>
      <c r="BB86" s="326">
        <f t="shared" ca="1" si="19"/>
        <v>0</v>
      </c>
      <c r="BC86" s="326">
        <f t="shared" ca="1" si="19"/>
        <v>0</v>
      </c>
      <c r="BD86" s="326">
        <f t="shared" ca="1" si="19"/>
        <v>0</v>
      </c>
      <c r="BE86" s="326">
        <f t="shared" ca="1" si="19"/>
        <v>0</v>
      </c>
      <c r="BF86" s="326">
        <f t="shared" ca="1" si="19"/>
        <v>0</v>
      </c>
      <c r="BG86" s="326">
        <f t="shared" ca="1" si="19"/>
        <v>0</v>
      </c>
      <c r="BH86" s="326">
        <f t="shared" ca="1" si="19"/>
        <v>0</v>
      </c>
      <c r="BI86" s="326">
        <f t="shared" ca="1" si="19"/>
        <v>0</v>
      </c>
    </row>
    <row r="87" spans="1:61" outlineLevel="1" x14ac:dyDescent="0.15">
      <c r="A87" s="336">
        <v>33</v>
      </c>
      <c r="B87" s="326" t="str">
        <f t="shared" ref="B87:Q114" ca="1" si="20">IF($A87&gt;B$5,"",OFFSET(B$54,0,-($A87-1)))</f>
        <v/>
      </c>
      <c r="C87" s="326" t="str">
        <f t="shared" ca="1" si="20"/>
        <v/>
      </c>
      <c r="D87" s="326" t="str">
        <f t="shared" ca="1" si="20"/>
        <v/>
      </c>
      <c r="E87" s="326" t="str">
        <f t="shared" ca="1" si="20"/>
        <v/>
      </c>
      <c r="F87" s="326" t="str">
        <f t="shared" ca="1" si="20"/>
        <v/>
      </c>
      <c r="G87" s="326" t="str">
        <f t="shared" ca="1" si="20"/>
        <v/>
      </c>
      <c r="H87" s="326" t="str">
        <f t="shared" ca="1" si="20"/>
        <v/>
      </c>
      <c r="I87" s="326" t="str">
        <f t="shared" ca="1" si="20"/>
        <v/>
      </c>
      <c r="J87" s="326" t="str">
        <f t="shared" ca="1" si="20"/>
        <v/>
      </c>
      <c r="K87" s="326" t="str">
        <f t="shared" ca="1" si="20"/>
        <v/>
      </c>
      <c r="L87" s="326" t="str">
        <f t="shared" ca="1" si="20"/>
        <v/>
      </c>
      <c r="M87" s="326" t="str">
        <f t="shared" ca="1" si="20"/>
        <v/>
      </c>
      <c r="N87" s="326" t="str">
        <f t="shared" ca="1" si="20"/>
        <v/>
      </c>
      <c r="O87" s="326" t="str">
        <f t="shared" ca="1" si="20"/>
        <v/>
      </c>
      <c r="P87" s="326" t="str">
        <f t="shared" ca="1" si="20"/>
        <v/>
      </c>
      <c r="Q87" s="326" t="str">
        <f t="shared" ca="1" si="20"/>
        <v/>
      </c>
      <c r="R87" s="326" t="str">
        <f t="shared" ca="1" si="19"/>
        <v/>
      </c>
      <c r="S87" s="326" t="str">
        <f t="shared" ca="1" si="19"/>
        <v/>
      </c>
      <c r="T87" s="326" t="str">
        <f t="shared" ca="1" si="19"/>
        <v/>
      </c>
      <c r="U87" s="326" t="str">
        <f t="shared" ca="1" si="19"/>
        <v/>
      </c>
      <c r="V87" s="326" t="str">
        <f t="shared" ca="1" si="19"/>
        <v/>
      </c>
      <c r="W87" s="326" t="str">
        <f t="shared" ca="1" si="19"/>
        <v/>
      </c>
      <c r="X87" s="326" t="str">
        <f t="shared" ca="1" si="19"/>
        <v/>
      </c>
      <c r="Y87" s="326" t="str">
        <f t="shared" ca="1" si="19"/>
        <v/>
      </c>
      <c r="Z87" s="326" t="str">
        <f t="shared" ca="1" si="19"/>
        <v/>
      </c>
      <c r="AA87" s="326" t="str">
        <f t="shared" ca="1" si="19"/>
        <v/>
      </c>
      <c r="AB87" s="326" t="str">
        <f t="shared" ca="1" si="19"/>
        <v/>
      </c>
      <c r="AC87" s="326" t="str">
        <f t="shared" ca="1" si="19"/>
        <v/>
      </c>
      <c r="AD87" s="326" t="str">
        <f t="shared" ca="1" si="19"/>
        <v/>
      </c>
      <c r="AE87" s="326" t="str">
        <f t="shared" ca="1" si="19"/>
        <v/>
      </c>
      <c r="AF87" s="326" t="str">
        <f t="shared" ca="1" si="19"/>
        <v/>
      </c>
      <c r="AG87" s="326" t="str">
        <f t="shared" ca="1" si="19"/>
        <v/>
      </c>
      <c r="AH87" s="326">
        <f t="shared" ca="1" si="19"/>
        <v>1390</v>
      </c>
      <c r="AI87" s="326">
        <f t="shared" ca="1" si="19"/>
        <v>0</v>
      </c>
      <c r="AJ87" s="326">
        <f t="shared" ca="1" si="19"/>
        <v>0</v>
      </c>
      <c r="AK87" s="326">
        <f t="shared" ca="1" si="19"/>
        <v>0</v>
      </c>
      <c r="AL87" s="326">
        <f t="shared" ca="1" si="19"/>
        <v>0</v>
      </c>
      <c r="AM87" s="326">
        <f t="shared" ca="1" si="19"/>
        <v>0</v>
      </c>
      <c r="AN87" s="326">
        <f t="shared" ca="1" si="19"/>
        <v>0</v>
      </c>
      <c r="AO87" s="326">
        <f t="shared" ca="1" si="19"/>
        <v>0</v>
      </c>
      <c r="AP87" s="326">
        <f t="shared" ca="1" si="19"/>
        <v>0</v>
      </c>
      <c r="AQ87" s="326">
        <f t="shared" ca="1" si="19"/>
        <v>0</v>
      </c>
      <c r="AR87" s="326">
        <f t="shared" ca="1" si="19"/>
        <v>0</v>
      </c>
      <c r="AS87" s="326">
        <f t="shared" ca="1" si="19"/>
        <v>0</v>
      </c>
      <c r="AT87" s="326">
        <f t="shared" ca="1" si="19"/>
        <v>0</v>
      </c>
      <c r="AU87" s="326">
        <f t="shared" ca="1" si="19"/>
        <v>0</v>
      </c>
      <c r="AV87" s="326">
        <f t="shared" ca="1" si="19"/>
        <v>0</v>
      </c>
      <c r="AW87" s="326">
        <f t="shared" ca="1" si="19"/>
        <v>0</v>
      </c>
      <c r="AX87" s="326">
        <f t="shared" ca="1" si="19"/>
        <v>0</v>
      </c>
      <c r="AY87" s="326">
        <f t="shared" ca="1" si="19"/>
        <v>0</v>
      </c>
      <c r="AZ87" s="326">
        <f t="shared" ca="1" si="19"/>
        <v>0</v>
      </c>
      <c r="BA87" s="326">
        <f t="shared" ca="1" si="19"/>
        <v>0</v>
      </c>
      <c r="BB87" s="326">
        <f t="shared" ca="1" si="19"/>
        <v>0</v>
      </c>
      <c r="BC87" s="326">
        <f t="shared" ca="1" si="19"/>
        <v>0</v>
      </c>
      <c r="BD87" s="326">
        <f t="shared" ca="1" si="19"/>
        <v>0</v>
      </c>
      <c r="BE87" s="326">
        <f t="shared" ca="1" si="19"/>
        <v>0</v>
      </c>
      <c r="BF87" s="326">
        <f t="shared" ca="1" si="19"/>
        <v>0</v>
      </c>
      <c r="BG87" s="326">
        <f t="shared" ca="1" si="19"/>
        <v>0</v>
      </c>
      <c r="BH87" s="326">
        <f t="shared" ca="1" si="19"/>
        <v>0</v>
      </c>
      <c r="BI87" s="326">
        <f t="shared" ca="1" si="19"/>
        <v>0</v>
      </c>
    </row>
    <row r="88" spans="1:61" outlineLevel="1" x14ac:dyDescent="0.15">
      <c r="A88" s="336">
        <v>34</v>
      </c>
      <c r="B88" s="326" t="str">
        <f t="shared" ca="1" si="20"/>
        <v/>
      </c>
      <c r="C88" s="326" t="str">
        <f t="shared" ca="1" si="20"/>
        <v/>
      </c>
      <c r="D88" s="326" t="str">
        <f t="shared" ca="1" si="20"/>
        <v/>
      </c>
      <c r="E88" s="326" t="str">
        <f t="shared" ca="1" si="20"/>
        <v/>
      </c>
      <c r="F88" s="326" t="str">
        <f t="shared" ca="1" si="20"/>
        <v/>
      </c>
      <c r="G88" s="326" t="str">
        <f t="shared" ca="1" si="20"/>
        <v/>
      </c>
      <c r="H88" s="326" t="str">
        <f t="shared" ca="1" si="20"/>
        <v/>
      </c>
      <c r="I88" s="326" t="str">
        <f t="shared" ca="1" si="20"/>
        <v/>
      </c>
      <c r="J88" s="326" t="str">
        <f t="shared" ca="1" si="20"/>
        <v/>
      </c>
      <c r="K88" s="326" t="str">
        <f t="shared" ca="1" si="20"/>
        <v/>
      </c>
      <c r="L88" s="326" t="str">
        <f t="shared" ca="1" si="20"/>
        <v/>
      </c>
      <c r="M88" s="326" t="str">
        <f t="shared" ca="1" si="20"/>
        <v/>
      </c>
      <c r="N88" s="326" t="str">
        <f t="shared" ca="1" si="20"/>
        <v/>
      </c>
      <c r="O88" s="326" t="str">
        <f t="shared" ca="1" si="20"/>
        <v/>
      </c>
      <c r="P88" s="326" t="str">
        <f t="shared" ca="1" si="20"/>
        <v/>
      </c>
      <c r="Q88" s="326" t="str">
        <f t="shared" ca="1" si="20"/>
        <v/>
      </c>
      <c r="R88" s="326" t="str">
        <f t="shared" ca="1" si="19"/>
        <v/>
      </c>
      <c r="S88" s="326" t="str">
        <f t="shared" ca="1" si="19"/>
        <v/>
      </c>
      <c r="T88" s="326" t="str">
        <f t="shared" ca="1" si="19"/>
        <v/>
      </c>
      <c r="U88" s="326" t="str">
        <f t="shared" ca="1" si="19"/>
        <v/>
      </c>
      <c r="V88" s="326" t="str">
        <f t="shared" ca="1" si="19"/>
        <v/>
      </c>
      <c r="W88" s="326" t="str">
        <f t="shared" ca="1" si="19"/>
        <v/>
      </c>
      <c r="X88" s="326" t="str">
        <f t="shared" ca="1" si="19"/>
        <v/>
      </c>
      <c r="Y88" s="326" t="str">
        <f t="shared" ca="1" si="19"/>
        <v/>
      </c>
      <c r="Z88" s="326" t="str">
        <f t="shared" ca="1" si="19"/>
        <v/>
      </c>
      <c r="AA88" s="326" t="str">
        <f t="shared" ca="1" si="19"/>
        <v/>
      </c>
      <c r="AB88" s="326" t="str">
        <f t="shared" ca="1" si="19"/>
        <v/>
      </c>
      <c r="AC88" s="326" t="str">
        <f t="shared" ca="1" si="19"/>
        <v/>
      </c>
      <c r="AD88" s="326" t="str">
        <f t="shared" ca="1" si="19"/>
        <v/>
      </c>
      <c r="AE88" s="326" t="str">
        <f t="shared" ca="1" si="19"/>
        <v/>
      </c>
      <c r="AF88" s="326" t="str">
        <f t="shared" ca="1" si="19"/>
        <v/>
      </c>
      <c r="AG88" s="326" t="str">
        <f t="shared" ca="1" si="19"/>
        <v/>
      </c>
      <c r="AH88" s="326" t="str">
        <f t="shared" ca="1" si="19"/>
        <v/>
      </c>
      <c r="AI88" s="326">
        <f t="shared" ca="1" si="19"/>
        <v>1390</v>
      </c>
      <c r="AJ88" s="326">
        <f t="shared" ca="1" si="19"/>
        <v>0</v>
      </c>
      <c r="AK88" s="326">
        <f t="shared" ca="1" si="19"/>
        <v>0</v>
      </c>
      <c r="AL88" s="326">
        <f t="shared" ca="1" si="19"/>
        <v>0</v>
      </c>
      <c r="AM88" s="326">
        <f t="shared" ca="1" si="19"/>
        <v>0</v>
      </c>
      <c r="AN88" s="326">
        <f t="shared" ca="1" si="19"/>
        <v>0</v>
      </c>
      <c r="AO88" s="326">
        <f t="shared" ca="1" si="19"/>
        <v>0</v>
      </c>
      <c r="AP88" s="326">
        <f t="shared" ca="1" si="19"/>
        <v>0</v>
      </c>
      <c r="AQ88" s="326">
        <f t="shared" ca="1" si="19"/>
        <v>0</v>
      </c>
      <c r="AR88" s="326">
        <f t="shared" ca="1" si="19"/>
        <v>0</v>
      </c>
      <c r="AS88" s="326">
        <f t="shared" ca="1" si="19"/>
        <v>0</v>
      </c>
      <c r="AT88" s="326">
        <f t="shared" ca="1" si="19"/>
        <v>0</v>
      </c>
      <c r="AU88" s="326">
        <f t="shared" ca="1" si="19"/>
        <v>0</v>
      </c>
      <c r="AV88" s="326">
        <f t="shared" ca="1" si="19"/>
        <v>0</v>
      </c>
      <c r="AW88" s="326">
        <f t="shared" ca="1" si="19"/>
        <v>0</v>
      </c>
      <c r="AX88" s="326">
        <f t="shared" ca="1" si="19"/>
        <v>0</v>
      </c>
      <c r="AY88" s="326">
        <f t="shared" ca="1" si="19"/>
        <v>0</v>
      </c>
      <c r="AZ88" s="326">
        <f t="shared" ca="1" si="19"/>
        <v>0</v>
      </c>
      <c r="BA88" s="326">
        <f t="shared" ca="1" si="19"/>
        <v>0</v>
      </c>
      <c r="BB88" s="326">
        <f t="shared" ca="1" si="19"/>
        <v>0</v>
      </c>
      <c r="BC88" s="326">
        <f t="shared" ca="1" si="19"/>
        <v>0</v>
      </c>
      <c r="BD88" s="326">
        <f t="shared" ca="1" si="19"/>
        <v>0</v>
      </c>
      <c r="BE88" s="326">
        <f t="shared" ca="1" si="19"/>
        <v>0</v>
      </c>
      <c r="BF88" s="326">
        <f t="shared" ca="1" si="19"/>
        <v>0</v>
      </c>
      <c r="BG88" s="326">
        <f t="shared" ca="1" si="19"/>
        <v>0</v>
      </c>
      <c r="BH88" s="326">
        <f t="shared" ca="1" si="19"/>
        <v>0</v>
      </c>
      <c r="BI88" s="326">
        <f t="shared" ca="1" si="19"/>
        <v>0</v>
      </c>
    </row>
    <row r="89" spans="1:61" outlineLevel="1" x14ac:dyDescent="0.15">
      <c r="A89" s="336">
        <v>35</v>
      </c>
      <c r="B89" s="326" t="str">
        <f t="shared" ca="1" si="20"/>
        <v/>
      </c>
      <c r="C89" s="326" t="str">
        <f t="shared" ca="1" si="20"/>
        <v/>
      </c>
      <c r="D89" s="326" t="str">
        <f t="shared" ca="1" si="20"/>
        <v/>
      </c>
      <c r="E89" s="326" t="str">
        <f t="shared" ca="1" si="20"/>
        <v/>
      </c>
      <c r="F89" s="326" t="str">
        <f t="shared" ca="1" si="20"/>
        <v/>
      </c>
      <c r="G89" s="326" t="str">
        <f t="shared" ca="1" si="20"/>
        <v/>
      </c>
      <c r="H89" s="326" t="str">
        <f t="shared" ca="1" si="20"/>
        <v/>
      </c>
      <c r="I89" s="326" t="str">
        <f t="shared" ca="1" si="20"/>
        <v/>
      </c>
      <c r="J89" s="326" t="str">
        <f t="shared" ca="1" si="20"/>
        <v/>
      </c>
      <c r="K89" s="326" t="str">
        <f t="shared" ca="1" si="20"/>
        <v/>
      </c>
      <c r="L89" s="326" t="str">
        <f t="shared" ca="1" si="20"/>
        <v/>
      </c>
      <c r="M89" s="326" t="str">
        <f t="shared" ca="1" si="20"/>
        <v/>
      </c>
      <c r="N89" s="326" t="str">
        <f t="shared" ca="1" si="20"/>
        <v/>
      </c>
      <c r="O89" s="326" t="str">
        <f t="shared" ca="1" si="20"/>
        <v/>
      </c>
      <c r="P89" s="326" t="str">
        <f t="shared" ca="1" si="20"/>
        <v/>
      </c>
      <c r="Q89" s="326" t="str">
        <f t="shared" ca="1" si="20"/>
        <v/>
      </c>
      <c r="R89" s="326" t="str">
        <f t="shared" ca="1" si="19"/>
        <v/>
      </c>
      <c r="S89" s="326" t="str">
        <f t="shared" ca="1" si="19"/>
        <v/>
      </c>
      <c r="T89" s="326" t="str">
        <f t="shared" ca="1" si="19"/>
        <v/>
      </c>
      <c r="U89" s="326" t="str">
        <f t="shared" ca="1" si="19"/>
        <v/>
      </c>
      <c r="V89" s="326" t="str">
        <f t="shared" ca="1" si="19"/>
        <v/>
      </c>
      <c r="W89" s="326" t="str">
        <f t="shared" ca="1" si="19"/>
        <v/>
      </c>
      <c r="X89" s="326" t="str">
        <f t="shared" ca="1" si="19"/>
        <v/>
      </c>
      <c r="Y89" s="326" t="str">
        <f t="shared" ca="1" si="19"/>
        <v/>
      </c>
      <c r="Z89" s="326" t="str">
        <f t="shared" ca="1" si="19"/>
        <v/>
      </c>
      <c r="AA89" s="326" t="str">
        <f t="shared" ca="1" si="19"/>
        <v/>
      </c>
      <c r="AB89" s="326" t="str">
        <f t="shared" ca="1" si="19"/>
        <v/>
      </c>
      <c r="AC89" s="326" t="str">
        <f t="shared" ca="1" si="19"/>
        <v/>
      </c>
      <c r="AD89" s="326" t="str">
        <f t="shared" ca="1" si="19"/>
        <v/>
      </c>
      <c r="AE89" s="326" t="str">
        <f t="shared" ca="1" si="19"/>
        <v/>
      </c>
      <c r="AF89" s="326" t="str">
        <f t="shared" ca="1" si="19"/>
        <v/>
      </c>
      <c r="AG89" s="326" t="str">
        <f t="shared" ca="1" si="19"/>
        <v/>
      </c>
      <c r="AH89" s="326" t="str">
        <f t="shared" ca="1" si="19"/>
        <v/>
      </c>
      <c r="AI89" s="326" t="str">
        <f t="shared" ca="1" si="19"/>
        <v/>
      </c>
      <c r="AJ89" s="326">
        <f t="shared" ca="1" si="19"/>
        <v>1390</v>
      </c>
      <c r="AK89" s="326">
        <f t="shared" ca="1" si="19"/>
        <v>0</v>
      </c>
      <c r="AL89" s="326">
        <f t="shared" ca="1" si="19"/>
        <v>0</v>
      </c>
      <c r="AM89" s="326">
        <f t="shared" ca="1" si="19"/>
        <v>0</v>
      </c>
      <c r="AN89" s="326">
        <f t="shared" ca="1" si="19"/>
        <v>0</v>
      </c>
      <c r="AO89" s="326">
        <f t="shared" ca="1" si="19"/>
        <v>0</v>
      </c>
      <c r="AP89" s="326">
        <f t="shared" ca="1" si="19"/>
        <v>0</v>
      </c>
      <c r="AQ89" s="326">
        <f t="shared" ca="1" si="19"/>
        <v>0</v>
      </c>
      <c r="AR89" s="326">
        <f t="shared" ca="1" si="19"/>
        <v>0</v>
      </c>
      <c r="AS89" s="326">
        <f t="shared" ca="1" si="19"/>
        <v>0</v>
      </c>
      <c r="AT89" s="326">
        <f t="shared" ca="1" si="19"/>
        <v>0</v>
      </c>
      <c r="AU89" s="326">
        <f t="shared" ca="1" si="19"/>
        <v>0</v>
      </c>
      <c r="AV89" s="326">
        <f t="shared" ca="1" si="19"/>
        <v>0</v>
      </c>
      <c r="AW89" s="326">
        <f t="shared" ca="1" si="19"/>
        <v>0</v>
      </c>
      <c r="AX89" s="326">
        <f t="shared" ca="1" si="19"/>
        <v>0</v>
      </c>
      <c r="AY89" s="326">
        <f t="shared" ca="1" si="19"/>
        <v>0</v>
      </c>
      <c r="AZ89" s="326">
        <f t="shared" ca="1" si="19"/>
        <v>0</v>
      </c>
      <c r="BA89" s="326">
        <f t="shared" ca="1" si="19"/>
        <v>0</v>
      </c>
      <c r="BB89" s="326">
        <f t="shared" ca="1" si="19"/>
        <v>0</v>
      </c>
      <c r="BC89" s="326">
        <f t="shared" ca="1" si="19"/>
        <v>0</v>
      </c>
      <c r="BD89" s="326">
        <f t="shared" ca="1" si="19"/>
        <v>0</v>
      </c>
      <c r="BE89" s="326">
        <f t="shared" ca="1" si="19"/>
        <v>0</v>
      </c>
      <c r="BF89" s="326">
        <f t="shared" ca="1" si="19"/>
        <v>0</v>
      </c>
      <c r="BG89" s="326">
        <f t="shared" ca="1" si="19"/>
        <v>0</v>
      </c>
      <c r="BH89" s="326">
        <f t="shared" ca="1" si="19"/>
        <v>0</v>
      </c>
      <c r="BI89" s="326">
        <f t="shared" ca="1" si="19"/>
        <v>0</v>
      </c>
    </row>
    <row r="90" spans="1:61" outlineLevel="1" x14ac:dyDescent="0.15">
      <c r="A90" s="336">
        <v>36</v>
      </c>
      <c r="B90" s="326" t="str">
        <f t="shared" ca="1" si="20"/>
        <v/>
      </c>
      <c r="C90" s="326" t="str">
        <f t="shared" ca="1" si="20"/>
        <v/>
      </c>
      <c r="D90" s="326" t="str">
        <f t="shared" ca="1" si="20"/>
        <v/>
      </c>
      <c r="E90" s="326" t="str">
        <f t="shared" ca="1" si="20"/>
        <v/>
      </c>
      <c r="F90" s="326" t="str">
        <f t="shared" ca="1" si="20"/>
        <v/>
      </c>
      <c r="G90" s="326" t="str">
        <f t="shared" ca="1" si="20"/>
        <v/>
      </c>
      <c r="H90" s="326" t="str">
        <f t="shared" ca="1" si="20"/>
        <v/>
      </c>
      <c r="I90" s="326" t="str">
        <f t="shared" ca="1" si="20"/>
        <v/>
      </c>
      <c r="J90" s="326" t="str">
        <f t="shared" ca="1" si="20"/>
        <v/>
      </c>
      <c r="K90" s="326" t="str">
        <f t="shared" ca="1" si="20"/>
        <v/>
      </c>
      <c r="L90" s="326" t="str">
        <f t="shared" ca="1" si="20"/>
        <v/>
      </c>
      <c r="M90" s="326" t="str">
        <f t="shared" ca="1" si="20"/>
        <v/>
      </c>
      <c r="N90" s="326" t="str">
        <f t="shared" ca="1" si="20"/>
        <v/>
      </c>
      <c r="O90" s="326" t="str">
        <f t="shared" ca="1" si="20"/>
        <v/>
      </c>
      <c r="P90" s="326" t="str">
        <f t="shared" ca="1" si="20"/>
        <v/>
      </c>
      <c r="Q90" s="326" t="str">
        <f t="shared" ca="1" si="20"/>
        <v/>
      </c>
      <c r="R90" s="326" t="str">
        <f t="shared" ca="1" si="19"/>
        <v/>
      </c>
      <c r="S90" s="326" t="str">
        <f t="shared" ca="1" si="19"/>
        <v/>
      </c>
      <c r="T90" s="326" t="str">
        <f t="shared" ca="1" si="19"/>
        <v/>
      </c>
      <c r="U90" s="326" t="str">
        <f t="shared" ca="1" si="19"/>
        <v/>
      </c>
      <c r="V90" s="326" t="str">
        <f t="shared" ca="1" si="19"/>
        <v/>
      </c>
      <c r="W90" s="326" t="str">
        <f t="shared" ca="1" si="19"/>
        <v/>
      </c>
      <c r="X90" s="326" t="str">
        <f t="shared" ca="1" si="19"/>
        <v/>
      </c>
      <c r="Y90" s="326" t="str">
        <f t="shared" ca="1" si="19"/>
        <v/>
      </c>
      <c r="Z90" s="326" t="str">
        <f t="shared" ca="1" si="19"/>
        <v/>
      </c>
      <c r="AA90" s="326" t="str">
        <f t="shared" ca="1" si="19"/>
        <v/>
      </c>
      <c r="AB90" s="326" t="str">
        <f t="shared" ca="1" si="19"/>
        <v/>
      </c>
      <c r="AC90" s="326" t="str">
        <f t="shared" ca="1" si="19"/>
        <v/>
      </c>
      <c r="AD90" s="326" t="str">
        <f t="shared" ca="1" si="19"/>
        <v/>
      </c>
      <c r="AE90" s="326" t="str">
        <f t="shared" ca="1" si="19"/>
        <v/>
      </c>
      <c r="AF90" s="326" t="str">
        <f t="shared" ca="1" si="19"/>
        <v/>
      </c>
      <c r="AG90" s="326" t="str">
        <f t="shared" ca="1" si="19"/>
        <v/>
      </c>
      <c r="AH90" s="326" t="str">
        <f t="shared" ca="1" si="19"/>
        <v/>
      </c>
      <c r="AI90" s="326" t="str">
        <f t="shared" ca="1" si="19"/>
        <v/>
      </c>
      <c r="AJ90" s="326" t="str">
        <f t="shared" ca="1" si="19"/>
        <v/>
      </c>
      <c r="AK90" s="326">
        <f t="shared" ca="1" si="19"/>
        <v>1390</v>
      </c>
      <c r="AL90" s="326">
        <f t="shared" ca="1" si="19"/>
        <v>0</v>
      </c>
      <c r="AM90" s="326">
        <f t="shared" ca="1" si="19"/>
        <v>0</v>
      </c>
      <c r="AN90" s="326">
        <f t="shared" ca="1" si="19"/>
        <v>0</v>
      </c>
      <c r="AO90" s="326">
        <f t="shared" ca="1" si="19"/>
        <v>0</v>
      </c>
      <c r="AP90" s="326">
        <f t="shared" ca="1" si="19"/>
        <v>0</v>
      </c>
      <c r="AQ90" s="326">
        <f t="shared" ca="1" si="19"/>
        <v>0</v>
      </c>
      <c r="AR90" s="326">
        <f t="shared" ca="1" si="19"/>
        <v>0</v>
      </c>
      <c r="AS90" s="326">
        <f t="shared" ca="1" si="19"/>
        <v>0</v>
      </c>
      <c r="AT90" s="326">
        <f t="shared" ca="1" si="19"/>
        <v>0</v>
      </c>
      <c r="AU90" s="326">
        <f t="shared" ca="1" si="19"/>
        <v>0</v>
      </c>
      <c r="AV90" s="326">
        <f t="shared" ca="1" si="19"/>
        <v>0</v>
      </c>
      <c r="AW90" s="326">
        <f t="shared" ca="1" si="19"/>
        <v>0</v>
      </c>
      <c r="AX90" s="326">
        <f t="shared" ca="1" si="19"/>
        <v>0</v>
      </c>
      <c r="AY90" s="326">
        <f t="shared" ca="1" si="19"/>
        <v>0</v>
      </c>
      <c r="AZ90" s="326">
        <f t="shared" ca="1" si="19"/>
        <v>0</v>
      </c>
      <c r="BA90" s="326">
        <f t="shared" ca="1" si="19"/>
        <v>0</v>
      </c>
      <c r="BB90" s="326">
        <f t="shared" ca="1" si="19"/>
        <v>0</v>
      </c>
      <c r="BC90" s="326">
        <f t="shared" ca="1" si="19"/>
        <v>0</v>
      </c>
      <c r="BD90" s="326">
        <f t="shared" ca="1" si="19"/>
        <v>0</v>
      </c>
      <c r="BE90" s="326">
        <f t="shared" ca="1" si="19"/>
        <v>0</v>
      </c>
      <c r="BF90" s="326">
        <f t="shared" ca="1" si="19"/>
        <v>0</v>
      </c>
      <c r="BG90" s="326">
        <f t="shared" ca="1" si="19"/>
        <v>0</v>
      </c>
      <c r="BH90" s="326">
        <f t="shared" ca="1" si="19"/>
        <v>0</v>
      </c>
      <c r="BI90" s="326">
        <f t="shared" ca="1" si="19"/>
        <v>0</v>
      </c>
    </row>
    <row r="91" spans="1:61" outlineLevel="1" x14ac:dyDescent="0.15">
      <c r="A91" s="336">
        <v>37</v>
      </c>
      <c r="B91" s="326" t="str">
        <f t="shared" ca="1" si="20"/>
        <v/>
      </c>
      <c r="C91" s="326" t="str">
        <f t="shared" ca="1" si="20"/>
        <v/>
      </c>
      <c r="D91" s="326" t="str">
        <f t="shared" ca="1" si="20"/>
        <v/>
      </c>
      <c r="E91" s="326" t="str">
        <f t="shared" ca="1" si="20"/>
        <v/>
      </c>
      <c r="F91" s="326" t="str">
        <f t="shared" ca="1" si="20"/>
        <v/>
      </c>
      <c r="G91" s="326" t="str">
        <f t="shared" ca="1" si="20"/>
        <v/>
      </c>
      <c r="H91" s="326" t="str">
        <f t="shared" ca="1" si="20"/>
        <v/>
      </c>
      <c r="I91" s="326" t="str">
        <f t="shared" ca="1" si="20"/>
        <v/>
      </c>
      <c r="J91" s="326" t="str">
        <f t="shared" ca="1" si="20"/>
        <v/>
      </c>
      <c r="K91" s="326" t="str">
        <f t="shared" ca="1" si="20"/>
        <v/>
      </c>
      <c r="L91" s="326" t="str">
        <f t="shared" ca="1" si="20"/>
        <v/>
      </c>
      <c r="M91" s="326" t="str">
        <f t="shared" ca="1" si="20"/>
        <v/>
      </c>
      <c r="N91" s="326" t="str">
        <f t="shared" ca="1" si="20"/>
        <v/>
      </c>
      <c r="O91" s="326" t="str">
        <f t="shared" ca="1" si="20"/>
        <v/>
      </c>
      <c r="P91" s="326" t="str">
        <f t="shared" ca="1" si="20"/>
        <v/>
      </c>
      <c r="Q91" s="326" t="str">
        <f t="shared" ca="1" si="20"/>
        <v/>
      </c>
      <c r="R91" s="326" t="str">
        <f t="shared" ca="1" si="19"/>
        <v/>
      </c>
      <c r="S91" s="326" t="str">
        <f t="shared" ca="1" si="19"/>
        <v/>
      </c>
      <c r="T91" s="326" t="str">
        <f t="shared" ca="1" si="19"/>
        <v/>
      </c>
      <c r="U91" s="326" t="str">
        <f t="shared" ca="1" si="19"/>
        <v/>
      </c>
      <c r="V91" s="326" t="str">
        <f t="shared" ca="1" si="19"/>
        <v/>
      </c>
      <c r="W91" s="326" t="str">
        <f t="shared" ca="1" si="19"/>
        <v/>
      </c>
      <c r="X91" s="326" t="str">
        <f t="shared" ca="1" si="19"/>
        <v/>
      </c>
      <c r="Y91" s="326" t="str">
        <f t="shared" ca="1" si="19"/>
        <v/>
      </c>
      <c r="Z91" s="326" t="str">
        <f t="shared" ca="1" si="19"/>
        <v/>
      </c>
      <c r="AA91" s="326" t="str">
        <f t="shared" ca="1" si="19"/>
        <v/>
      </c>
      <c r="AB91" s="326" t="str">
        <f t="shared" ca="1" si="19"/>
        <v/>
      </c>
      <c r="AC91" s="326" t="str">
        <f t="shared" ca="1" si="19"/>
        <v/>
      </c>
      <c r="AD91" s="326" t="str">
        <f t="shared" ca="1" si="19"/>
        <v/>
      </c>
      <c r="AE91" s="326" t="str">
        <f t="shared" ca="1" si="19"/>
        <v/>
      </c>
      <c r="AF91" s="326" t="str">
        <f t="shared" ca="1" si="19"/>
        <v/>
      </c>
      <c r="AG91" s="326" t="str">
        <f t="shared" ca="1" si="19"/>
        <v/>
      </c>
      <c r="AH91" s="326" t="str">
        <f t="shared" ca="1" si="19"/>
        <v/>
      </c>
      <c r="AI91" s="326" t="str">
        <f t="shared" ca="1" si="19"/>
        <v/>
      </c>
      <c r="AJ91" s="326" t="str">
        <f t="shared" ca="1" si="19"/>
        <v/>
      </c>
      <c r="AK91" s="326" t="str">
        <f t="shared" ca="1" si="19"/>
        <v/>
      </c>
      <c r="AL91" s="326">
        <f t="shared" ca="1" si="19"/>
        <v>1390</v>
      </c>
      <c r="AM91" s="326">
        <f t="shared" ca="1" si="19"/>
        <v>0</v>
      </c>
      <c r="AN91" s="326">
        <f t="shared" ca="1" si="19"/>
        <v>0</v>
      </c>
      <c r="AO91" s="326">
        <f t="shared" ca="1" si="19"/>
        <v>0</v>
      </c>
      <c r="AP91" s="326">
        <f t="shared" ca="1" si="19"/>
        <v>0</v>
      </c>
      <c r="AQ91" s="326">
        <f t="shared" ca="1" si="19"/>
        <v>0</v>
      </c>
      <c r="AR91" s="326">
        <f t="shared" ca="1" si="19"/>
        <v>0</v>
      </c>
      <c r="AS91" s="326">
        <f t="shared" ca="1" si="19"/>
        <v>0</v>
      </c>
      <c r="AT91" s="326">
        <f t="shared" ca="1" si="19"/>
        <v>0</v>
      </c>
      <c r="AU91" s="326">
        <f t="shared" ca="1" si="19"/>
        <v>0</v>
      </c>
      <c r="AV91" s="326">
        <f t="shared" ca="1" si="19"/>
        <v>0</v>
      </c>
      <c r="AW91" s="326">
        <f t="shared" ca="1" si="19"/>
        <v>0</v>
      </c>
      <c r="AX91" s="326">
        <f t="shared" ca="1" si="19"/>
        <v>0</v>
      </c>
      <c r="AY91" s="326">
        <f t="shared" ca="1" si="19"/>
        <v>0</v>
      </c>
      <c r="AZ91" s="326">
        <f t="shared" ref="AZ91:DF96" ca="1" si="21">IF($A91&gt;AZ$5,"",OFFSET(AZ$54,0,-($A91-1)))</f>
        <v>0</v>
      </c>
      <c r="BA91" s="326">
        <f t="shared" ca="1" si="21"/>
        <v>0</v>
      </c>
      <c r="BB91" s="326">
        <f t="shared" ca="1" si="21"/>
        <v>0</v>
      </c>
      <c r="BC91" s="326">
        <f t="shared" ca="1" si="21"/>
        <v>0</v>
      </c>
      <c r="BD91" s="326">
        <f t="shared" ca="1" si="21"/>
        <v>0</v>
      </c>
      <c r="BE91" s="326">
        <f t="shared" ca="1" si="21"/>
        <v>0</v>
      </c>
      <c r="BF91" s="326">
        <f t="shared" ca="1" si="21"/>
        <v>0</v>
      </c>
      <c r="BG91" s="326">
        <f t="shared" ca="1" si="21"/>
        <v>0</v>
      </c>
      <c r="BH91" s="326">
        <f t="shared" ca="1" si="21"/>
        <v>0</v>
      </c>
      <c r="BI91" s="326">
        <f t="shared" ca="1" si="21"/>
        <v>0</v>
      </c>
    </row>
    <row r="92" spans="1:61" outlineLevel="1" x14ac:dyDescent="0.15">
      <c r="A92" s="336">
        <v>38</v>
      </c>
      <c r="B92" s="326" t="str">
        <f t="shared" ca="1" si="20"/>
        <v/>
      </c>
      <c r="C92" s="326" t="str">
        <f t="shared" ca="1" si="20"/>
        <v/>
      </c>
      <c r="D92" s="326" t="str">
        <f t="shared" ca="1" si="20"/>
        <v/>
      </c>
      <c r="E92" s="326" t="str">
        <f t="shared" ca="1" si="20"/>
        <v/>
      </c>
      <c r="F92" s="326" t="str">
        <f t="shared" ca="1" si="20"/>
        <v/>
      </c>
      <c r="G92" s="326" t="str">
        <f t="shared" ca="1" si="20"/>
        <v/>
      </c>
      <c r="H92" s="326" t="str">
        <f t="shared" ca="1" si="20"/>
        <v/>
      </c>
      <c r="I92" s="326" t="str">
        <f t="shared" ca="1" si="20"/>
        <v/>
      </c>
      <c r="J92" s="326" t="str">
        <f t="shared" ca="1" si="20"/>
        <v/>
      </c>
      <c r="K92" s="326" t="str">
        <f t="shared" ca="1" si="20"/>
        <v/>
      </c>
      <c r="L92" s="326" t="str">
        <f t="shared" ca="1" si="20"/>
        <v/>
      </c>
      <c r="M92" s="326" t="str">
        <f t="shared" ca="1" si="20"/>
        <v/>
      </c>
      <c r="N92" s="326" t="str">
        <f t="shared" ca="1" si="20"/>
        <v/>
      </c>
      <c r="O92" s="326" t="str">
        <f t="shared" ca="1" si="20"/>
        <v/>
      </c>
      <c r="P92" s="326" t="str">
        <f t="shared" ca="1" si="20"/>
        <v/>
      </c>
      <c r="Q92" s="326" t="str">
        <f t="shared" ca="1" si="20"/>
        <v/>
      </c>
      <c r="R92" s="326" t="str">
        <f t="shared" ref="R92:BX97" ca="1" si="22">IF($A92&gt;R$5,"",OFFSET(R$54,0,-($A92-1)))</f>
        <v/>
      </c>
      <c r="S92" s="326" t="str">
        <f t="shared" ca="1" si="22"/>
        <v/>
      </c>
      <c r="T92" s="326" t="str">
        <f t="shared" ca="1" si="22"/>
        <v/>
      </c>
      <c r="U92" s="326" t="str">
        <f t="shared" ca="1" si="22"/>
        <v/>
      </c>
      <c r="V92" s="326" t="str">
        <f t="shared" ca="1" si="22"/>
        <v/>
      </c>
      <c r="W92" s="326" t="str">
        <f t="shared" ca="1" si="22"/>
        <v/>
      </c>
      <c r="X92" s="326" t="str">
        <f t="shared" ca="1" si="22"/>
        <v/>
      </c>
      <c r="Y92" s="326" t="str">
        <f t="shared" ca="1" si="22"/>
        <v/>
      </c>
      <c r="Z92" s="326" t="str">
        <f t="shared" ca="1" si="22"/>
        <v/>
      </c>
      <c r="AA92" s="326" t="str">
        <f t="shared" ca="1" si="22"/>
        <v/>
      </c>
      <c r="AB92" s="326" t="str">
        <f t="shared" ca="1" si="22"/>
        <v/>
      </c>
      <c r="AC92" s="326" t="str">
        <f t="shared" ca="1" si="22"/>
        <v/>
      </c>
      <c r="AD92" s="326" t="str">
        <f t="shared" ca="1" si="22"/>
        <v/>
      </c>
      <c r="AE92" s="326" t="str">
        <f t="shared" ca="1" si="22"/>
        <v/>
      </c>
      <c r="AF92" s="326" t="str">
        <f t="shared" ca="1" si="22"/>
        <v/>
      </c>
      <c r="AG92" s="326" t="str">
        <f t="shared" ca="1" si="22"/>
        <v/>
      </c>
      <c r="AH92" s="326" t="str">
        <f t="shared" ca="1" si="22"/>
        <v/>
      </c>
      <c r="AI92" s="326" t="str">
        <f t="shared" ca="1" si="22"/>
        <v/>
      </c>
      <c r="AJ92" s="326" t="str">
        <f t="shared" ca="1" si="22"/>
        <v/>
      </c>
      <c r="AK92" s="326" t="str">
        <f t="shared" ca="1" si="22"/>
        <v/>
      </c>
      <c r="AL92" s="326" t="str">
        <f t="shared" ca="1" si="22"/>
        <v/>
      </c>
      <c r="AM92" s="326">
        <f t="shared" ca="1" si="22"/>
        <v>1390</v>
      </c>
      <c r="AN92" s="326">
        <f t="shared" ca="1" si="22"/>
        <v>0</v>
      </c>
      <c r="AO92" s="326">
        <f t="shared" ca="1" si="22"/>
        <v>0</v>
      </c>
      <c r="AP92" s="326">
        <f t="shared" ca="1" si="22"/>
        <v>0</v>
      </c>
      <c r="AQ92" s="326">
        <f t="shared" ca="1" si="22"/>
        <v>0</v>
      </c>
      <c r="AR92" s="326">
        <f t="shared" ca="1" si="22"/>
        <v>0</v>
      </c>
      <c r="AS92" s="326">
        <f t="shared" ca="1" si="22"/>
        <v>0</v>
      </c>
      <c r="AT92" s="326">
        <f t="shared" ca="1" si="22"/>
        <v>0</v>
      </c>
      <c r="AU92" s="326">
        <f t="shared" ca="1" si="22"/>
        <v>0</v>
      </c>
      <c r="AV92" s="326">
        <f t="shared" ca="1" si="22"/>
        <v>0</v>
      </c>
      <c r="AW92" s="326">
        <f t="shared" ca="1" si="22"/>
        <v>0</v>
      </c>
      <c r="AX92" s="326">
        <f t="shared" ca="1" si="22"/>
        <v>0</v>
      </c>
      <c r="AY92" s="326">
        <f t="shared" ca="1" si="22"/>
        <v>0</v>
      </c>
      <c r="AZ92" s="326">
        <f t="shared" ca="1" si="22"/>
        <v>0</v>
      </c>
      <c r="BA92" s="326">
        <f t="shared" ca="1" si="22"/>
        <v>0</v>
      </c>
      <c r="BB92" s="326">
        <f t="shared" ca="1" si="22"/>
        <v>0</v>
      </c>
      <c r="BC92" s="326">
        <f t="shared" ca="1" si="22"/>
        <v>0</v>
      </c>
      <c r="BD92" s="326">
        <f t="shared" ca="1" si="22"/>
        <v>0</v>
      </c>
      <c r="BE92" s="326">
        <f t="shared" ca="1" si="22"/>
        <v>0</v>
      </c>
      <c r="BF92" s="326">
        <f t="shared" ca="1" si="22"/>
        <v>0</v>
      </c>
      <c r="BG92" s="326">
        <f t="shared" ca="1" si="22"/>
        <v>0</v>
      </c>
      <c r="BH92" s="326">
        <f t="shared" ca="1" si="22"/>
        <v>0</v>
      </c>
      <c r="BI92" s="326">
        <f t="shared" ca="1" si="22"/>
        <v>0</v>
      </c>
    </row>
    <row r="93" spans="1:61" outlineLevel="1" x14ac:dyDescent="0.15">
      <c r="A93" s="336">
        <v>39</v>
      </c>
      <c r="B93" s="326" t="str">
        <f t="shared" ca="1" si="20"/>
        <v/>
      </c>
      <c r="C93" s="326" t="str">
        <f t="shared" ca="1" si="20"/>
        <v/>
      </c>
      <c r="D93" s="326" t="str">
        <f t="shared" ca="1" si="20"/>
        <v/>
      </c>
      <c r="E93" s="326" t="str">
        <f t="shared" ca="1" si="20"/>
        <v/>
      </c>
      <c r="F93" s="326" t="str">
        <f t="shared" ca="1" si="20"/>
        <v/>
      </c>
      <c r="G93" s="326" t="str">
        <f t="shared" ca="1" si="20"/>
        <v/>
      </c>
      <c r="H93" s="326" t="str">
        <f t="shared" ca="1" si="20"/>
        <v/>
      </c>
      <c r="I93" s="326" t="str">
        <f t="shared" ca="1" si="20"/>
        <v/>
      </c>
      <c r="J93" s="326" t="str">
        <f t="shared" ca="1" si="20"/>
        <v/>
      </c>
      <c r="K93" s="326" t="str">
        <f t="shared" ca="1" si="20"/>
        <v/>
      </c>
      <c r="L93" s="326" t="str">
        <f t="shared" ca="1" si="20"/>
        <v/>
      </c>
      <c r="M93" s="326" t="str">
        <f t="shared" ca="1" si="20"/>
        <v/>
      </c>
      <c r="N93" s="326" t="str">
        <f t="shared" ca="1" si="20"/>
        <v/>
      </c>
      <c r="O93" s="326" t="str">
        <f t="shared" ca="1" si="20"/>
        <v/>
      </c>
      <c r="P93" s="326" t="str">
        <f t="shared" ca="1" si="20"/>
        <v/>
      </c>
      <c r="Q93" s="326" t="str">
        <f t="shared" ca="1" si="20"/>
        <v/>
      </c>
      <c r="R93" s="326" t="str">
        <f t="shared" ca="1" si="22"/>
        <v/>
      </c>
      <c r="S93" s="326" t="str">
        <f t="shared" ca="1" si="22"/>
        <v/>
      </c>
      <c r="T93" s="326" t="str">
        <f t="shared" ca="1" si="22"/>
        <v/>
      </c>
      <c r="U93" s="326" t="str">
        <f t="shared" ca="1" si="22"/>
        <v/>
      </c>
      <c r="V93" s="326" t="str">
        <f t="shared" ca="1" si="22"/>
        <v/>
      </c>
      <c r="W93" s="326" t="str">
        <f t="shared" ca="1" si="22"/>
        <v/>
      </c>
      <c r="X93" s="326" t="str">
        <f t="shared" ca="1" si="22"/>
        <v/>
      </c>
      <c r="Y93" s="326" t="str">
        <f t="shared" ca="1" si="22"/>
        <v/>
      </c>
      <c r="Z93" s="326" t="str">
        <f t="shared" ca="1" si="22"/>
        <v/>
      </c>
      <c r="AA93" s="326" t="str">
        <f t="shared" ca="1" si="22"/>
        <v/>
      </c>
      <c r="AB93" s="326" t="str">
        <f t="shared" ca="1" si="22"/>
        <v/>
      </c>
      <c r="AC93" s="326" t="str">
        <f t="shared" ca="1" si="22"/>
        <v/>
      </c>
      <c r="AD93" s="326" t="str">
        <f t="shared" ca="1" si="22"/>
        <v/>
      </c>
      <c r="AE93" s="326" t="str">
        <f t="shared" ca="1" si="22"/>
        <v/>
      </c>
      <c r="AF93" s="326" t="str">
        <f t="shared" ca="1" si="22"/>
        <v/>
      </c>
      <c r="AG93" s="326" t="str">
        <f t="shared" ca="1" si="22"/>
        <v/>
      </c>
      <c r="AH93" s="326" t="str">
        <f t="shared" ca="1" si="22"/>
        <v/>
      </c>
      <c r="AI93" s="326" t="str">
        <f t="shared" ca="1" si="22"/>
        <v/>
      </c>
      <c r="AJ93" s="326" t="str">
        <f t="shared" ca="1" si="22"/>
        <v/>
      </c>
      <c r="AK93" s="326" t="str">
        <f t="shared" ca="1" si="22"/>
        <v/>
      </c>
      <c r="AL93" s="326" t="str">
        <f t="shared" ca="1" si="22"/>
        <v/>
      </c>
      <c r="AM93" s="326" t="str">
        <f t="shared" ca="1" si="22"/>
        <v/>
      </c>
      <c r="AN93" s="326">
        <f t="shared" ca="1" si="22"/>
        <v>1390</v>
      </c>
      <c r="AO93" s="326">
        <f t="shared" ca="1" si="22"/>
        <v>0</v>
      </c>
      <c r="AP93" s="326">
        <f t="shared" ca="1" si="22"/>
        <v>0</v>
      </c>
      <c r="AQ93" s="326">
        <f t="shared" ca="1" si="22"/>
        <v>0</v>
      </c>
      <c r="AR93" s="326">
        <f t="shared" ca="1" si="22"/>
        <v>0</v>
      </c>
      <c r="AS93" s="326">
        <f t="shared" ca="1" si="22"/>
        <v>0</v>
      </c>
      <c r="AT93" s="326">
        <f t="shared" ca="1" si="22"/>
        <v>0</v>
      </c>
      <c r="AU93" s="326">
        <f t="shared" ca="1" si="22"/>
        <v>0</v>
      </c>
      <c r="AV93" s="326">
        <f t="shared" ca="1" si="22"/>
        <v>0</v>
      </c>
      <c r="AW93" s="326">
        <f t="shared" ca="1" si="22"/>
        <v>0</v>
      </c>
      <c r="AX93" s="326">
        <f t="shared" ca="1" si="22"/>
        <v>0</v>
      </c>
      <c r="AY93" s="326">
        <f t="shared" ca="1" si="22"/>
        <v>0</v>
      </c>
      <c r="AZ93" s="326">
        <f t="shared" ca="1" si="22"/>
        <v>0</v>
      </c>
      <c r="BA93" s="326">
        <f t="shared" ca="1" si="22"/>
        <v>0</v>
      </c>
      <c r="BB93" s="326">
        <f t="shared" ca="1" si="22"/>
        <v>0</v>
      </c>
      <c r="BC93" s="326">
        <f t="shared" ca="1" si="22"/>
        <v>0</v>
      </c>
      <c r="BD93" s="326">
        <f t="shared" ca="1" si="22"/>
        <v>0</v>
      </c>
      <c r="BE93" s="326">
        <f t="shared" ca="1" si="22"/>
        <v>0</v>
      </c>
      <c r="BF93" s="326">
        <f t="shared" ca="1" si="22"/>
        <v>0</v>
      </c>
      <c r="BG93" s="326">
        <f t="shared" ca="1" si="22"/>
        <v>0</v>
      </c>
      <c r="BH93" s="326">
        <f t="shared" ca="1" si="22"/>
        <v>0</v>
      </c>
      <c r="BI93" s="326">
        <f t="shared" ca="1" si="22"/>
        <v>0</v>
      </c>
    </row>
    <row r="94" spans="1:61" outlineLevel="1" x14ac:dyDescent="0.15">
      <c r="A94" s="336">
        <v>40</v>
      </c>
      <c r="B94" s="326" t="str">
        <f t="shared" ca="1" si="20"/>
        <v/>
      </c>
      <c r="C94" s="326" t="str">
        <f t="shared" ca="1" si="20"/>
        <v/>
      </c>
      <c r="D94" s="326" t="str">
        <f t="shared" ca="1" si="20"/>
        <v/>
      </c>
      <c r="E94" s="326" t="str">
        <f t="shared" ca="1" si="20"/>
        <v/>
      </c>
      <c r="F94" s="326" t="str">
        <f t="shared" ca="1" si="20"/>
        <v/>
      </c>
      <c r="G94" s="326" t="str">
        <f t="shared" ca="1" si="20"/>
        <v/>
      </c>
      <c r="H94" s="326" t="str">
        <f t="shared" ca="1" si="20"/>
        <v/>
      </c>
      <c r="I94" s="326" t="str">
        <f t="shared" ca="1" si="20"/>
        <v/>
      </c>
      <c r="J94" s="326" t="str">
        <f t="shared" ca="1" si="20"/>
        <v/>
      </c>
      <c r="K94" s="326" t="str">
        <f t="shared" ca="1" si="20"/>
        <v/>
      </c>
      <c r="L94" s="326" t="str">
        <f t="shared" ca="1" si="20"/>
        <v/>
      </c>
      <c r="M94" s="326" t="str">
        <f t="shared" ca="1" si="20"/>
        <v/>
      </c>
      <c r="N94" s="326" t="str">
        <f t="shared" ca="1" si="20"/>
        <v/>
      </c>
      <c r="O94" s="326" t="str">
        <f t="shared" ca="1" si="20"/>
        <v/>
      </c>
      <c r="P94" s="326" t="str">
        <f t="shared" ca="1" si="20"/>
        <v/>
      </c>
      <c r="Q94" s="326" t="str">
        <f t="shared" ca="1" si="20"/>
        <v/>
      </c>
      <c r="R94" s="326" t="str">
        <f t="shared" ca="1" si="22"/>
        <v/>
      </c>
      <c r="S94" s="326" t="str">
        <f t="shared" ca="1" si="22"/>
        <v/>
      </c>
      <c r="T94" s="326" t="str">
        <f t="shared" ca="1" si="22"/>
        <v/>
      </c>
      <c r="U94" s="326" t="str">
        <f t="shared" ca="1" si="22"/>
        <v/>
      </c>
      <c r="V94" s="326" t="str">
        <f t="shared" ca="1" si="22"/>
        <v/>
      </c>
      <c r="W94" s="326" t="str">
        <f t="shared" ca="1" si="22"/>
        <v/>
      </c>
      <c r="X94" s="326" t="str">
        <f t="shared" ca="1" si="22"/>
        <v/>
      </c>
      <c r="Y94" s="326" t="str">
        <f t="shared" ca="1" si="22"/>
        <v/>
      </c>
      <c r="Z94" s="326" t="str">
        <f t="shared" ca="1" si="22"/>
        <v/>
      </c>
      <c r="AA94" s="326" t="str">
        <f t="shared" ca="1" si="22"/>
        <v/>
      </c>
      <c r="AB94" s="326" t="str">
        <f t="shared" ca="1" si="22"/>
        <v/>
      </c>
      <c r="AC94" s="326" t="str">
        <f t="shared" ca="1" si="22"/>
        <v/>
      </c>
      <c r="AD94" s="326" t="str">
        <f t="shared" ca="1" si="22"/>
        <v/>
      </c>
      <c r="AE94" s="326" t="str">
        <f t="shared" ca="1" si="22"/>
        <v/>
      </c>
      <c r="AF94" s="326" t="str">
        <f t="shared" ca="1" si="22"/>
        <v/>
      </c>
      <c r="AG94" s="326" t="str">
        <f t="shared" ca="1" si="22"/>
        <v/>
      </c>
      <c r="AH94" s="326" t="str">
        <f t="shared" ca="1" si="22"/>
        <v/>
      </c>
      <c r="AI94" s="326" t="str">
        <f t="shared" ca="1" si="22"/>
        <v/>
      </c>
      <c r="AJ94" s="326" t="str">
        <f t="shared" ca="1" si="22"/>
        <v/>
      </c>
      <c r="AK94" s="326" t="str">
        <f t="shared" ca="1" si="22"/>
        <v/>
      </c>
      <c r="AL94" s="326" t="str">
        <f t="shared" ca="1" si="22"/>
        <v/>
      </c>
      <c r="AM94" s="326" t="str">
        <f t="shared" ca="1" si="22"/>
        <v/>
      </c>
      <c r="AN94" s="326" t="str">
        <f t="shared" ca="1" si="22"/>
        <v/>
      </c>
      <c r="AO94" s="326">
        <f t="shared" ca="1" si="22"/>
        <v>1390</v>
      </c>
      <c r="AP94" s="326">
        <f t="shared" ca="1" si="22"/>
        <v>0</v>
      </c>
      <c r="AQ94" s="326">
        <f t="shared" ca="1" si="22"/>
        <v>0</v>
      </c>
      <c r="AR94" s="326">
        <f t="shared" ca="1" si="22"/>
        <v>0</v>
      </c>
      <c r="AS94" s="326">
        <f t="shared" ca="1" si="22"/>
        <v>0</v>
      </c>
      <c r="AT94" s="326">
        <f t="shared" ca="1" si="22"/>
        <v>0</v>
      </c>
      <c r="AU94" s="326">
        <f t="shared" ca="1" si="22"/>
        <v>0</v>
      </c>
      <c r="AV94" s="326">
        <f t="shared" ca="1" si="22"/>
        <v>0</v>
      </c>
      <c r="AW94" s="326">
        <f t="shared" ca="1" si="22"/>
        <v>0</v>
      </c>
      <c r="AX94" s="326">
        <f t="shared" ca="1" si="22"/>
        <v>0</v>
      </c>
      <c r="AY94" s="326">
        <f t="shared" ca="1" si="22"/>
        <v>0</v>
      </c>
      <c r="AZ94" s="326">
        <f t="shared" ca="1" si="22"/>
        <v>0</v>
      </c>
      <c r="BA94" s="326">
        <f t="shared" ca="1" si="22"/>
        <v>0</v>
      </c>
      <c r="BB94" s="326">
        <f t="shared" ca="1" si="22"/>
        <v>0</v>
      </c>
      <c r="BC94" s="326">
        <f t="shared" ca="1" si="22"/>
        <v>0</v>
      </c>
      <c r="BD94" s="326">
        <f t="shared" ca="1" si="22"/>
        <v>0</v>
      </c>
      <c r="BE94" s="326">
        <f t="shared" ca="1" si="22"/>
        <v>0</v>
      </c>
      <c r="BF94" s="326">
        <f t="shared" ca="1" si="22"/>
        <v>0</v>
      </c>
      <c r="BG94" s="326">
        <f t="shared" ca="1" si="22"/>
        <v>0</v>
      </c>
      <c r="BH94" s="326">
        <f t="shared" ca="1" si="22"/>
        <v>0</v>
      </c>
      <c r="BI94" s="326">
        <f t="shared" ca="1" si="22"/>
        <v>0</v>
      </c>
    </row>
    <row r="95" spans="1:61" outlineLevel="1" x14ac:dyDescent="0.15">
      <c r="A95" s="336">
        <v>41</v>
      </c>
      <c r="B95" s="326" t="str">
        <f t="shared" ca="1" si="20"/>
        <v/>
      </c>
      <c r="C95" s="326" t="str">
        <f t="shared" ca="1" si="20"/>
        <v/>
      </c>
      <c r="D95" s="326" t="str">
        <f t="shared" ca="1" si="20"/>
        <v/>
      </c>
      <c r="E95" s="326" t="str">
        <f t="shared" ca="1" si="20"/>
        <v/>
      </c>
      <c r="F95" s="326" t="str">
        <f t="shared" ca="1" si="20"/>
        <v/>
      </c>
      <c r="G95" s="326" t="str">
        <f t="shared" ca="1" si="20"/>
        <v/>
      </c>
      <c r="H95" s="326" t="str">
        <f t="shared" ca="1" si="20"/>
        <v/>
      </c>
      <c r="I95" s="326" t="str">
        <f t="shared" ca="1" si="20"/>
        <v/>
      </c>
      <c r="J95" s="326" t="str">
        <f t="shared" ca="1" si="20"/>
        <v/>
      </c>
      <c r="K95" s="326" t="str">
        <f t="shared" ca="1" si="20"/>
        <v/>
      </c>
      <c r="L95" s="326" t="str">
        <f t="shared" ca="1" si="20"/>
        <v/>
      </c>
      <c r="M95" s="326" t="str">
        <f t="shared" ca="1" si="20"/>
        <v/>
      </c>
      <c r="N95" s="326" t="str">
        <f t="shared" ca="1" si="20"/>
        <v/>
      </c>
      <c r="O95" s="326" t="str">
        <f t="shared" ca="1" si="20"/>
        <v/>
      </c>
      <c r="P95" s="326" t="str">
        <f t="shared" ca="1" si="20"/>
        <v/>
      </c>
      <c r="Q95" s="326" t="str">
        <f t="shared" ca="1" si="20"/>
        <v/>
      </c>
      <c r="R95" s="326" t="str">
        <f t="shared" ca="1" si="22"/>
        <v/>
      </c>
      <c r="S95" s="326" t="str">
        <f t="shared" ca="1" si="22"/>
        <v/>
      </c>
      <c r="T95" s="326" t="str">
        <f t="shared" ca="1" si="22"/>
        <v/>
      </c>
      <c r="U95" s="326" t="str">
        <f t="shared" ca="1" si="22"/>
        <v/>
      </c>
      <c r="V95" s="326" t="str">
        <f t="shared" ca="1" si="22"/>
        <v/>
      </c>
      <c r="W95" s="326" t="str">
        <f t="shared" ca="1" si="22"/>
        <v/>
      </c>
      <c r="X95" s="326" t="str">
        <f t="shared" ca="1" si="22"/>
        <v/>
      </c>
      <c r="Y95" s="326" t="str">
        <f t="shared" ca="1" si="22"/>
        <v/>
      </c>
      <c r="Z95" s="326" t="str">
        <f t="shared" ca="1" si="22"/>
        <v/>
      </c>
      <c r="AA95" s="326" t="str">
        <f t="shared" ca="1" si="22"/>
        <v/>
      </c>
      <c r="AB95" s="326" t="str">
        <f t="shared" ca="1" si="22"/>
        <v/>
      </c>
      <c r="AC95" s="326" t="str">
        <f t="shared" ca="1" si="22"/>
        <v/>
      </c>
      <c r="AD95" s="326" t="str">
        <f t="shared" ca="1" si="22"/>
        <v/>
      </c>
      <c r="AE95" s="326" t="str">
        <f t="shared" ca="1" si="22"/>
        <v/>
      </c>
      <c r="AF95" s="326" t="str">
        <f t="shared" ca="1" si="22"/>
        <v/>
      </c>
      <c r="AG95" s="326" t="str">
        <f t="shared" ca="1" si="22"/>
        <v/>
      </c>
      <c r="AH95" s="326" t="str">
        <f t="shared" ca="1" si="22"/>
        <v/>
      </c>
      <c r="AI95" s="326" t="str">
        <f t="shared" ca="1" si="22"/>
        <v/>
      </c>
      <c r="AJ95" s="326" t="str">
        <f t="shared" ca="1" si="22"/>
        <v/>
      </c>
      <c r="AK95" s="326" t="str">
        <f t="shared" ca="1" si="22"/>
        <v/>
      </c>
      <c r="AL95" s="326" t="str">
        <f t="shared" ca="1" si="22"/>
        <v/>
      </c>
      <c r="AM95" s="326" t="str">
        <f t="shared" ca="1" si="22"/>
        <v/>
      </c>
      <c r="AN95" s="326" t="str">
        <f t="shared" ca="1" si="22"/>
        <v/>
      </c>
      <c r="AO95" s="326" t="str">
        <f t="shared" ca="1" si="22"/>
        <v/>
      </c>
      <c r="AP95" s="326">
        <f t="shared" ca="1" si="22"/>
        <v>1390</v>
      </c>
      <c r="AQ95" s="326">
        <f t="shared" ca="1" si="22"/>
        <v>0</v>
      </c>
      <c r="AR95" s="326">
        <f t="shared" ca="1" si="22"/>
        <v>0</v>
      </c>
      <c r="AS95" s="326">
        <f t="shared" ca="1" si="22"/>
        <v>0</v>
      </c>
      <c r="AT95" s="326">
        <f t="shared" ca="1" si="22"/>
        <v>0</v>
      </c>
      <c r="AU95" s="326">
        <f t="shared" ca="1" si="22"/>
        <v>0</v>
      </c>
      <c r="AV95" s="326">
        <f t="shared" ca="1" si="22"/>
        <v>0</v>
      </c>
      <c r="AW95" s="326">
        <f t="shared" ca="1" si="22"/>
        <v>0</v>
      </c>
      <c r="AX95" s="326">
        <f t="shared" ca="1" si="22"/>
        <v>0</v>
      </c>
      <c r="AY95" s="326">
        <f t="shared" ca="1" si="22"/>
        <v>0</v>
      </c>
      <c r="AZ95" s="326">
        <f t="shared" ca="1" si="22"/>
        <v>0</v>
      </c>
      <c r="BA95" s="326">
        <f t="shared" ca="1" si="22"/>
        <v>0</v>
      </c>
      <c r="BB95" s="326">
        <f t="shared" ca="1" si="22"/>
        <v>0</v>
      </c>
      <c r="BC95" s="326">
        <f t="shared" ca="1" si="22"/>
        <v>0</v>
      </c>
      <c r="BD95" s="326">
        <f t="shared" ca="1" si="22"/>
        <v>0</v>
      </c>
      <c r="BE95" s="326">
        <f t="shared" ca="1" si="22"/>
        <v>0</v>
      </c>
      <c r="BF95" s="326">
        <f t="shared" ca="1" si="22"/>
        <v>0</v>
      </c>
      <c r="BG95" s="326">
        <f t="shared" ca="1" si="22"/>
        <v>0</v>
      </c>
      <c r="BH95" s="326">
        <f t="shared" ca="1" si="22"/>
        <v>0</v>
      </c>
      <c r="BI95" s="326">
        <f t="shared" ca="1" si="22"/>
        <v>0</v>
      </c>
    </row>
    <row r="96" spans="1:61" outlineLevel="1" x14ac:dyDescent="0.15">
      <c r="A96" s="336">
        <v>42</v>
      </c>
      <c r="B96" s="326" t="str">
        <f t="shared" ca="1" si="20"/>
        <v/>
      </c>
      <c r="C96" s="326" t="str">
        <f t="shared" ca="1" si="20"/>
        <v/>
      </c>
      <c r="D96" s="326" t="str">
        <f t="shared" ca="1" si="20"/>
        <v/>
      </c>
      <c r="E96" s="326" t="str">
        <f t="shared" ca="1" si="20"/>
        <v/>
      </c>
      <c r="F96" s="326" t="str">
        <f t="shared" ca="1" si="20"/>
        <v/>
      </c>
      <c r="G96" s="326" t="str">
        <f t="shared" ca="1" si="20"/>
        <v/>
      </c>
      <c r="H96" s="326" t="str">
        <f t="shared" ca="1" si="20"/>
        <v/>
      </c>
      <c r="I96" s="326" t="str">
        <f t="shared" ca="1" si="20"/>
        <v/>
      </c>
      <c r="J96" s="326" t="str">
        <f t="shared" ca="1" si="20"/>
        <v/>
      </c>
      <c r="K96" s="326" t="str">
        <f t="shared" ca="1" si="20"/>
        <v/>
      </c>
      <c r="L96" s="326" t="str">
        <f t="shared" ca="1" si="20"/>
        <v/>
      </c>
      <c r="M96" s="326" t="str">
        <f t="shared" ca="1" si="20"/>
        <v/>
      </c>
      <c r="N96" s="326" t="str">
        <f t="shared" ca="1" si="20"/>
        <v/>
      </c>
      <c r="O96" s="326" t="str">
        <f t="shared" ca="1" si="20"/>
        <v/>
      </c>
      <c r="P96" s="326" t="str">
        <f t="shared" ca="1" si="20"/>
        <v/>
      </c>
      <c r="Q96" s="326" t="str">
        <f t="shared" ca="1" si="20"/>
        <v/>
      </c>
      <c r="R96" s="326" t="str">
        <f t="shared" ca="1" si="22"/>
        <v/>
      </c>
      <c r="S96" s="326" t="str">
        <f t="shared" ca="1" si="22"/>
        <v/>
      </c>
      <c r="T96" s="326" t="str">
        <f t="shared" ca="1" si="22"/>
        <v/>
      </c>
      <c r="U96" s="326" t="str">
        <f t="shared" ca="1" si="22"/>
        <v/>
      </c>
      <c r="V96" s="326" t="str">
        <f t="shared" ca="1" si="22"/>
        <v/>
      </c>
      <c r="W96" s="326" t="str">
        <f t="shared" ca="1" si="22"/>
        <v/>
      </c>
      <c r="X96" s="326" t="str">
        <f t="shared" ca="1" si="22"/>
        <v/>
      </c>
      <c r="Y96" s="326" t="str">
        <f t="shared" ca="1" si="22"/>
        <v/>
      </c>
      <c r="Z96" s="326" t="str">
        <f t="shared" ca="1" si="22"/>
        <v/>
      </c>
      <c r="AA96" s="326" t="str">
        <f t="shared" ca="1" si="22"/>
        <v/>
      </c>
      <c r="AB96" s="326" t="str">
        <f t="shared" ca="1" si="22"/>
        <v/>
      </c>
      <c r="AC96" s="326" t="str">
        <f t="shared" ca="1" si="22"/>
        <v/>
      </c>
      <c r="AD96" s="326" t="str">
        <f t="shared" ca="1" si="22"/>
        <v/>
      </c>
      <c r="AE96" s="326" t="str">
        <f t="shared" ca="1" si="22"/>
        <v/>
      </c>
      <c r="AF96" s="326" t="str">
        <f t="shared" ca="1" si="22"/>
        <v/>
      </c>
      <c r="AG96" s="326" t="str">
        <f t="shared" ca="1" si="22"/>
        <v/>
      </c>
      <c r="AH96" s="326" t="str">
        <f t="shared" ca="1" si="22"/>
        <v/>
      </c>
      <c r="AI96" s="326" t="str">
        <f t="shared" ca="1" si="22"/>
        <v/>
      </c>
      <c r="AJ96" s="326" t="str">
        <f t="shared" ca="1" si="22"/>
        <v/>
      </c>
      <c r="AK96" s="326" t="str">
        <f t="shared" ca="1" si="22"/>
        <v/>
      </c>
      <c r="AL96" s="326" t="str">
        <f t="shared" ca="1" si="22"/>
        <v/>
      </c>
      <c r="AM96" s="326" t="str">
        <f t="shared" ca="1" si="22"/>
        <v/>
      </c>
      <c r="AN96" s="326" t="str">
        <f t="shared" ca="1" si="22"/>
        <v/>
      </c>
      <c r="AO96" s="326" t="str">
        <f t="shared" ca="1" si="22"/>
        <v/>
      </c>
      <c r="AP96" s="326" t="str">
        <f t="shared" ca="1" si="22"/>
        <v/>
      </c>
      <c r="AQ96" s="326">
        <f t="shared" ca="1" si="22"/>
        <v>1390</v>
      </c>
      <c r="AR96" s="326">
        <f t="shared" ca="1" si="22"/>
        <v>0</v>
      </c>
      <c r="AS96" s="326">
        <f t="shared" ca="1" si="22"/>
        <v>0</v>
      </c>
      <c r="AT96" s="326">
        <f t="shared" ca="1" si="22"/>
        <v>0</v>
      </c>
      <c r="AU96" s="326">
        <f t="shared" ca="1" si="22"/>
        <v>0</v>
      </c>
      <c r="AV96" s="326">
        <f t="shared" ca="1" si="22"/>
        <v>0</v>
      </c>
      <c r="AW96" s="326">
        <f t="shared" ca="1" si="22"/>
        <v>0</v>
      </c>
      <c r="AX96" s="326">
        <f t="shared" ca="1" si="22"/>
        <v>0</v>
      </c>
      <c r="AY96" s="326">
        <f t="shared" ca="1" si="22"/>
        <v>0</v>
      </c>
      <c r="AZ96" s="326">
        <f t="shared" ca="1" si="22"/>
        <v>0</v>
      </c>
      <c r="BA96" s="326">
        <f t="shared" ca="1" si="22"/>
        <v>0</v>
      </c>
      <c r="BB96" s="326">
        <f t="shared" ca="1" si="22"/>
        <v>0</v>
      </c>
      <c r="BC96" s="326">
        <f t="shared" ca="1" si="22"/>
        <v>0</v>
      </c>
      <c r="BD96" s="326">
        <f t="shared" ca="1" si="22"/>
        <v>0</v>
      </c>
      <c r="BE96" s="326">
        <f t="shared" ca="1" si="22"/>
        <v>0</v>
      </c>
      <c r="BF96" s="326">
        <f t="shared" ca="1" si="22"/>
        <v>0</v>
      </c>
      <c r="BG96" s="326">
        <f t="shared" ca="1" si="22"/>
        <v>0</v>
      </c>
      <c r="BH96" s="326">
        <f t="shared" ca="1" si="22"/>
        <v>0</v>
      </c>
      <c r="BI96" s="326">
        <f t="shared" ca="1" si="22"/>
        <v>0</v>
      </c>
    </row>
    <row r="97" spans="1:61" outlineLevel="1" x14ac:dyDescent="0.15">
      <c r="A97" s="336">
        <v>43</v>
      </c>
      <c r="B97" s="326" t="str">
        <f t="shared" ca="1" si="20"/>
        <v/>
      </c>
      <c r="C97" s="326" t="str">
        <f t="shared" ca="1" si="20"/>
        <v/>
      </c>
      <c r="D97" s="326" t="str">
        <f t="shared" ca="1" si="20"/>
        <v/>
      </c>
      <c r="E97" s="326" t="str">
        <f t="shared" ca="1" si="20"/>
        <v/>
      </c>
      <c r="F97" s="326" t="str">
        <f t="shared" ca="1" si="20"/>
        <v/>
      </c>
      <c r="G97" s="326" t="str">
        <f t="shared" ca="1" si="20"/>
        <v/>
      </c>
      <c r="H97" s="326" t="str">
        <f t="shared" ca="1" si="20"/>
        <v/>
      </c>
      <c r="I97" s="326" t="str">
        <f t="shared" ca="1" si="20"/>
        <v/>
      </c>
      <c r="J97" s="326" t="str">
        <f t="shared" ca="1" si="20"/>
        <v/>
      </c>
      <c r="K97" s="326" t="str">
        <f t="shared" ca="1" si="20"/>
        <v/>
      </c>
      <c r="L97" s="326" t="str">
        <f t="shared" ca="1" si="20"/>
        <v/>
      </c>
      <c r="M97" s="326" t="str">
        <f t="shared" ca="1" si="20"/>
        <v/>
      </c>
      <c r="N97" s="326" t="str">
        <f t="shared" ca="1" si="20"/>
        <v/>
      </c>
      <c r="O97" s="326" t="str">
        <f t="shared" ca="1" si="20"/>
        <v/>
      </c>
      <c r="P97" s="326" t="str">
        <f t="shared" ca="1" si="20"/>
        <v/>
      </c>
      <c r="Q97" s="326" t="str">
        <f t="shared" ca="1" si="20"/>
        <v/>
      </c>
      <c r="R97" s="326" t="str">
        <f t="shared" ca="1" si="22"/>
        <v/>
      </c>
      <c r="S97" s="326" t="str">
        <f t="shared" ca="1" si="22"/>
        <v/>
      </c>
      <c r="T97" s="326" t="str">
        <f t="shared" ca="1" si="22"/>
        <v/>
      </c>
      <c r="U97" s="326" t="str">
        <f t="shared" ca="1" si="22"/>
        <v/>
      </c>
      <c r="V97" s="326" t="str">
        <f t="shared" ca="1" si="22"/>
        <v/>
      </c>
      <c r="W97" s="326" t="str">
        <f t="shared" ca="1" si="22"/>
        <v/>
      </c>
      <c r="X97" s="326" t="str">
        <f t="shared" ca="1" si="22"/>
        <v/>
      </c>
      <c r="Y97" s="326" t="str">
        <f t="shared" ca="1" si="22"/>
        <v/>
      </c>
      <c r="Z97" s="326" t="str">
        <f t="shared" ca="1" si="22"/>
        <v/>
      </c>
      <c r="AA97" s="326" t="str">
        <f t="shared" ca="1" si="22"/>
        <v/>
      </c>
      <c r="AB97" s="326" t="str">
        <f t="shared" ca="1" si="22"/>
        <v/>
      </c>
      <c r="AC97" s="326" t="str">
        <f t="shared" ca="1" si="22"/>
        <v/>
      </c>
      <c r="AD97" s="326" t="str">
        <f t="shared" ca="1" si="22"/>
        <v/>
      </c>
      <c r="AE97" s="326" t="str">
        <f t="shared" ca="1" si="22"/>
        <v/>
      </c>
      <c r="AF97" s="326" t="str">
        <f t="shared" ca="1" si="22"/>
        <v/>
      </c>
      <c r="AG97" s="326" t="str">
        <f t="shared" ca="1" si="22"/>
        <v/>
      </c>
      <c r="AH97" s="326" t="str">
        <f t="shared" ca="1" si="22"/>
        <v/>
      </c>
      <c r="AI97" s="326" t="str">
        <f t="shared" ca="1" si="22"/>
        <v/>
      </c>
      <c r="AJ97" s="326" t="str">
        <f t="shared" ca="1" si="22"/>
        <v/>
      </c>
      <c r="AK97" s="326" t="str">
        <f t="shared" ca="1" si="22"/>
        <v/>
      </c>
      <c r="AL97" s="326" t="str">
        <f t="shared" ca="1" si="22"/>
        <v/>
      </c>
      <c r="AM97" s="326" t="str">
        <f t="shared" ca="1" si="22"/>
        <v/>
      </c>
      <c r="AN97" s="326" t="str">
        <f t="shared" ca="1" si="22"/>
        <v/>
      </c>
      <c r="AO97" s="326" t="str">
        <f t="shared" ca="1" si="22"/>
        <v/>
      </c>
      <c r="AP97" s="326" t="str">
        <f t="shared" ca="1" si="22"/>
        <v/>
      </c>
      <c r="AQ97" s="326" t="str">
        <f t="shared" ca="1" si="22"/>
        <v/>
      </c>
      <c r="AR97" s="326">
        <f t="shared" ca="1" si="22"/>
        <v>1390</v>
      </c>
      <c r="AS97" s="326">
        <f t="shared" ca="1" si="22"/>
        <v>0</v>
      </c>
      <c r="AT97" s="326">
        <f t="shared" ca="1" si="22"/>
        <v>0</v>
      </c>
      <c r="AU97" s="326">
        <f t="shared" ca="1" si="22"/>
        <v>0</v>
      </c>
      <c r="AV97" s="326">
        <f t="shared" ca="1" si="22"/>
        <v>0</v>
      </c>
      <c r="AW97" s="326">
        <f t="shared" ca="1" si="22"/>
        <v>0</v>
      </c>
      <c r="AX97" s="326">
        <f t="shared" ca="1" si="22"/>
        <v>0</v>
      </c>
      <c r="AY97" s="326">
        <f t="shared" ca="1" si="22"/>
        <v>0</v>
      </c>
      <c r="AZ97" s="326">
        <f t="shared" ca="1" si="22"/>
        <v>0</v>
      </c>
      <c r="BA97" s="326">
        <f t="shared" ref="BA97:DG101" ca="1" si="23">IF($A97&gt;BA$5,"",OFFSET(BA$54,0,-($A97-1)))</f>
        <v>0</v>
      </c>
      <c r="BB97" s="326">
        <f t="shared" ca="1" si="23"/>
        <v>0</v>
      </c>
      <c r="BC97" s="326">
        <f t="shared" ca="1" si="23"/>
        <v>0</v>
      </c>
      <c r="BD97" s="326">
        <f t="shared" ca="1" si="23"/>
        <v>0</v>
      </c>
      <c r="BE97" s="326">
        <f t="shared" ca="1" si="23"/>
        <v>0</v>
      </c>
      <c r="BF97" s="326">
        <f t="shared" ca="1" si="23"/>
        <v>0</v>
      </c>
      <c r="BG97" s="326">
        <f t="shared" ca="1" si="23"/>
        <v>0</v>
      </c>
      <c r="BH97" s="326">
        <f t="shared" ca="1" si="23"/>
        <v>0</v>
      </c>
      <c r="BI97" s="326">
        <f t="shared" ca="1" si="23"/>
        <v>0</v>
      </c>
    </row>
    <row r="98" spans="1:61" outlineLevel="1" x14ac:dyDescent="0.15">
      <c r="A98" s="336">
        <v>44</v>
      </c>
      <c r="B98" s="326" t="str">
        <f t="shared" ca="1" si="20"/>
        <v/>
      </c>
      <c r="C98" s="326" t="str">
        <f t="shared" ca="1" si="20"/>
        <v/>
      </c>
      <c r="D98" s="326" t="str">
        <f t="shared" ca="1" si="20"/>
        <v/>
      </c>
      <c r="E98" s="326" t="str">
        <f t="shared" ca="1" si="20"/>
        <v/>
      </c>
      <c r="F98" s="326" t="str">
        <f t="shared" ca="1" si="20"/>
        <v/>
      </c>
      <c r="G98" s="326" t="str">
        <f t="shared" ca="1" si="20"/>
        <v/>
      </c>
      <c r="H98" s="326" t="str">
        <f t="shared" ca="1" si="20"/>
        <v/>
      </c>
      <c r="I98" s="326" t="str">
        <f t="shared" ca="1" si="20"/>
        <v/>
      </c>
      <c r="J98" s="326" t="str">
        <f t="shared" ca="1" si="20"/>
        <v/>
      </c>
      <c r="K98" s="326" t="str">
        <f t="shared" ca="1" si="20"/>
        <v/>
      </c>
      <c r="L98" s="326" t="str">
        <f t="shared" ca="1" si="20"/>
        <v/>
      </c>
      <c r="M98" s="326" t="str">
        <f t="shared" ca="1" si="20"/>
        <v/>
      </c>
      <c r="N98" s="326" t="str">
        <f t="shared" ca="1" si="20"/>
        <v/>
      </c>
      <c r="O98" s="326" t="str">
        <f t="shared" ca="1" si="20"/>
        <v/>
      </c>
      <c r="P98" s="326" t="str">
        <f t="shared" ca="1" si="20"/>
        <v/>
      </c>
      <c r="Q98" s="326" t="str">
        <f t="shared" ca="1" si="20"/>
        <v/>
      </c>
      <c r="R98" s="326" t="str">
        <f t="shared" ref="R98:BX102" ca="1" si="24">IF($A98&gt;R$5,"",OFFSET(R$54,0,-($A98-1)))</f>
        <v/>
      </c>
      <c r="S98" s="326" t="str">
        <f t="shared" ca="1" si="24"/>
        <v/>
      </c>
      <c r="T98" s="326" t="str">
        <f t="shared" ca="1" si="24"/>
        <v/>
      </c>
      <c r="U98" s="326" t="str">
        <f t="shared" ca="1" si="24"/>
        <v/>
      </c>
      <c r="V98" s="326" t="str">
        <f t="shared" ca="1" si="24"/>
        <v/>
      </c>
      <c r="W98" s="326" t="str">
        <f t="shared" ca="1" si="24"/>
        <v/>
      </c>
      <c r="X98" s="326" t="str">
        <f t="shared" ca="1" si="24"/>
        <v/>
      </c>
      <c r="Y98" s="326" t="str">
        <f t="shared" ca="1" si="24"/>
        <v/>
      </c>
      <c r="Z98" s="326" t="str">
        <f t="shared" ca="1" si="24"/>
        <v/>
      </c>
      <c r="AA98" s="326" t="str">
        <f t="shared" ca="1" si="24"/>
        <v/>
      </c>
      <c r="AB98" s="326" t="str">
        <f t="shared" ca="1" si="24"/>
        <v/>
      </c>
      <c r="AC98" s="326" t="str">
        <f t="shared" ca="1" si="24"/>
        <v/>
      </c>
      <c r="AD98" s="326" t="str">
        <f t="shared" ca="1" si="24"/>
        <v/>
      </c>
      <c r="AE98" s="326" t="str">
        <f t="shared" ca="1" si="24"/>
        <v/>
      </c>
      <c r="AF98" s="326" t="str">
        <f t="shared" ca="1" si="24"/>
        <v/>
      </c>
      <c r="AG98" s="326" t="str">
        <f t="shared" ca="1" si="24"/>
        <v/>
      </c>
      <c r="AH98" s="326" t="str">
        <f t="shared" ca="1" si="24"/>
        <v/>
      </c>
      <c r="AI98" s="326" t="str">
        <f t="shared" ca="1" si="24"/>
        <v/>
      </c>
      <c r="AJ98" s="326" t="str">
        <f t="shared" ca="1" si="24"/>
        <v/>
      </c>
      <c r="AK98" s="326" t="str">
        <f t="shared" ca="1" si="24"/>
        <v/>
      </c>
      <c r="AL98" s="326" t="str">
        <f t="shared" ca="1" si="24"/>
        <v/>
      </c>
      <c r="AM98" s="326" t="str">
        <f t="shared" ca="1" si="24"/>
        <v/>
      </c>
      <c r="AN98" s="326" t="str">
        <f t="shared" ca="1" si="24"/>
        <v/>
      </c>
      <c r="AO98" s="326" t="str">
        <f t="shared" ca="1" si="24"/>
        <v/>
      </c>
      <c r="AP98" s="326" t="str">
        <f t="shared" ca="1" si="24"/>
        <v/>
      </c>
      <c r="AQ98" s="326" t="str">
        <f t="shared" ca="1" si="24"/>
        <v/>
      </c>
      <c r="AR98" s="326" t="str">
        <f t="shared" ca="1" si="24"/>
        <v/>
      </c>
      <c r="AS98" s="326">
        <f t="shared" ca="1" si="24"/>
        <v>1390</v>
      </c>
      <c r="AT98" s="326">
        <f t="shared" ca="1" si="24"/>
        <v>0</v>
      </c>
      <c r="AU98" s="326">
        <f t="shared" ca="1" si="24"/>
        <v>0</v>
      </c>
      <c r="AV98" s="326">
        <f t="shared" ca="1" si="24"/>
        <v>0</v>
      </c>
      <c r="AW98" s="326">
        <f t="shared" ca="1" si="24"/>
        <v>0</v>
      </c>
      <c r="AX98" s="326">
        <f t="shared" ca="1" si="24"/>
        <v>0</v>
      </c>
      <c r="AY98" s="326">
        <f t="shared" ca="1" si="24"/>
        <v>0</v>
      </c>
      <c r="AZ98" s="326">
        <f t="shared" ca="1" si="24"/>
        <v>0</v>
      </c>
      <c r="BA98" s="326">
        <f t="shared" ca="1" si="24"/>
        <v>0</v>
      </c>
      <c r="BB98" s="326">
        <f t="shared" ca="1" si="24"/>
        <v>0</v>
      </c>
      <c r="BC98" s="326">
        <f t="shared" ca="1" si="24"/>
        <v>0</v>
      </c>
      <c r="BD98" s="326">
        <f t="shared" ca="1" si="24"/>
        <v>0</v>
      </c>
      <c r="BE98" s="326">
        <f t="shared" ca="1" si="24"/>
        <v>0</v>
      </c>
      <c r="BF98" s="326">
        <f t="shared" ca="1" si="24"/>
        <v>0</v>
      </c>
      <c r="BG98" s="326">
        <f t="shared" ca="1" si="24"/>
        <v>0</v>
      </c>
      <c r="BH98" s="326">
        <f t="shared" ca="1" si="24"/>
        <v>0</v>
      </c>
      <c r="BI98" s="326">
        <f t="shared" ca="1" si="24"/>
        <v>0</v>
      </c>
    </row>
    <row r="99" spans="1:61" outlineLevel="1" x14ac:dyDescent="0.15">
      <c r="A99" s="336">
        <v>45</v>
      </c>
      <c r="B99" s="326" t="str">
        <f t="shared" ca="1" si="20"/>
        <v/>
      </c>
      <c r="C99" s="326" t="str">
        <f t="shared" ca="1" si="20"/>
        <v/>
      </c>
      <c r="D99" s="326" t="str">
        <f t="shared" ca="1" si="20"/>
        <v/>
      </c>
      <c r="E99" s="326" t="str">
        <f t="shared" ca="1" si="20"/>
        <v/>
      </c>
      <c r="F99" s="326" t="str">
        <f t="shared" ca="1" si="20"/>
        <v/>
      </c>
      <c r="G99" s="326" t="str">
        <f t="shared" ca="1" si="20"/>
        <v/>
      </c>
      <c r="H99" s="326" t="str">
        <f t="shared" ca="1" si="20"/>
        <v/>
      </c>
      <c r="I99" s="326" t="str">
        <f t="shared" ca="1" si="20"/>
        <v/>
      </c>
      <c r="J99" s="326" t="str">
        <f t="shared" ca="1" si="20"/>
        <v/>
      </c>
      <c r="K99" s="326" t="str">
        <f t="shared" ca="1" si="20"/>
        <v/>
      </c>
      <c r="L99" s="326" t="str">
        <f t="shared" ca="1" si="20"/>
        <v/>
      </c>
      <c r="M99" s="326" t="str">
        <f t="shared" ca="1" si="20"/>
        <v/>
      </c>
      <c r="N99" s="326" t="str">
        <f t="shared" ca="1" si="20"/>
        <v/>
      </c>
      <c r="O99" s="326" t="str">
        <f t="shared" ca="1" si="20"/>
        <v/>
      </c>
      <c r="P99" s="326" t="str">
        <f t="shared" ca="1" si="20"/>
        <v/>
      </c>
      <c r="Q99" s="326" t="str">
        <f t="shared" ca="1" si="20"/>
        <v/>
      </c>
      <c r="R99" s="326" t="str">
        <f t="shared" ca="1" si="24"/>
        <v/>
      </c>
      <c r="S99" s="326" t="str">
        <f t="shared" ca="1" si="24"/>
        <v/>
      </c>
      <c r="T99" s="326" t="str">
        <f t="shared" ca="1" si="24"/>
        <v/>
      </c>
      <c r="U99" s="326" t="str">
        <f t="shared" ca="1" si="24"/>
        <v/>
      </c>
      <c r="V99" s="326" t="str">
        <f t="shared" ca="1" si="24"/>
        <v/>
      </c>
      <c r="W99" s="326" t="str">
        <f t="shared" ca="1" si="24"/>
        <v/>
      </c>
      <c r="X99" s="326" t="str">
        <f t="shared" ca="1" si="24"/>
        <v/>
      </c>
      <c r="Y99" s="326" t="str">
        <f t="shared" ca="1" si="24"/>
        <v/>
      </c>
      <c r="Z99" s="326" t="str">
        <f t="shared" ca="1" si="24"/>
        <v/>
      </c>
      <c r="AA99" s="326" t="str">
        <f t="shared" ca="1" si="24"/>
        <v/>
      </c>
      <c r="AB99" s="326" t="str">
        <f t="shared" ca="1" si="24"/>
        <v/>
      </c>
      <c r="AC99" s="326" t="str">
        <f t="shared" ca="1" si="24"/>
        <v/>
      </c>
      <c r="AD99" s="326" t="str">
        <f t="shared" ca="1" si="24"/>
        <v/>
      </c>
      <c r="AE99" s="326" t="str">
        <f t="shared" ca="1" si="24"/>
        <v/>
      </c>
      <c r="AF99" s="326" t="str">
        <f t="shared" ca="1" si="24"/>
        <v/>
      </c>
      <c r="AG99" s="326" t="str">
        <f t="shared" ca="1" si="24"/>
        <v/>
      </c>
      <c r="AH99" s="326" t="str">
        <f t="shared" ca="1" si="24"/>
        <v/>
      </c>
      <c r="AI99" s="326" t="str">
        <f t="shared" ca="1" si="24"/>
        <v/>
      </c>
      <c r="AJ99" s="326" t="str">
        <f t="shared" ca="1" si="24"/>
        <v/>
      </c>
      <c r="AK99" s="326" t="str">
        <f t="shared" ca="1" si="24"/>
        <v/>
      </c>
      <c r="AL99" s="326" t="str">
        <f t="shared" ca="1" si="24"/>
        <v/>
      </c>
      <c r="AM99" s="326" t="str">
        <f t="shared" ca="1" si="24"/>
        <v/>
      </c>
      <c r="AN99" s="326" t="str">
        <f t="shared" ca="1" si="24"/>
        <v/>
      </c>
      <c r="AO99" s="326" t="str">
        <f t="shared" ca="1" si="24"/>
        <v/>
      </c>
      <c r="AP99" s="326" t="str">
        <f t="shared" ca="1" si="24"/>
        <v/>
      </c>
      <c r="AQ99" s="326" t="str">
        <f t="shared" ca="1" si="24"/>
        <v/>
      </c>
      <c r="AR99" s="326" t="str">
        <f t="shared" ca="1" si="24"/>
        <v/>
      </c>
      <c r="AS99" s="326" t="str">
        <f t="shared" ca="1" si="24"/>
        <v/>
      </c>
      <c r="AT99" s="326">
        <f t="shared" ca="1" si="24"/>
        <v>1390</v>
      </c>
      <c r="AU99" s="326">
        <f t="shared" ca="1" si="24"/>
        <v>0</v>
      </c>
      <c r="AV99" s="326">
        <f t="shared" ca="1" si="24"/>
        <v>0</v>
      </c>
      <c r="AW99" s="326">
        <f t="shared" ca="1" si="24"/>
        <v>0</v>
      </c>
      <c r="AX99" s="326">
        <f t="shared" ca="1" si="24"/>
        <v>0</v>
      </c>
      <c r="AY99" s="326">
        <f t="shared" ca="1" si="24"/>
        <v>0</v>
      </c>
      <c r="AZ99" s="326">
        <f t="shared" ca="1" si="24"/>
        <v>0</v>
      </c>
      <c r="BA99" s="326">
        <f t="shared" ca="1" si="24"/>
        <v>0</v>
      </c>
      <c r="BB99" s="326">
        <f t="shared" ca="1" si="24"/>
        <v>0</v>
      </c>
      <c r="BC99" s="326">
        <f t="shared" ca="1" si="24"/>
        <v>0</v>
      </c>
      <c r="BD99" s="326">
        <f t="shared" ca="1" si="24"/>
        <v>0</v>
      </c>
      <c r="BE99" s="326">
        <f t="shared" ca="1" si="24"/>
        <v>0</v>
      </c>
      <c r="BF99" s="326">
        <f t="shared" ca="1" si="24"/>
        <v>0</v>
      </c>
      <c r="BG99" s="326">
        <f t="shared" ca="1" si="24"/>
        <v>0</v>
      </c>
      <c r="BH99" s="326">
        <f t="shared" ca="1" si="24"/>
        <v>0</v>
      </c>
      <c r="BI99" s="326">
        <f t="shared" ca="1" si="24"/>
        <v>0</v>
      </c>
    </row>
    <row r="100" spans="1:61" outlineLevel="1" x14ac:dyDescent="0.15">
      <c r="A100" s="336">
        <v>46</v>
      </c>
      <c r="B100" s="326" t="str">
        <f t="shared" ca="1" si="20"/>
        <v/>
      </c>
      <c r="C100" s="326" t="str">
        <f t="shared" ca="1" si="20"/>
        <v/>
      </c>
      <c r="D100" s="326" t="str">
        <f t="shared" ca="1" si="20"/>
        <v/>
      </c>
      <c r="E100" s="326" t="str">
        <f t="shared" ca="1" si="20"/>
        <v/>
      </c>
      <c r="F100" s="326" t="str">
        <f t="shared" ca="1" si="20"/>
        <v/>
      </c>
      <c r="G100" s="326" t="str">
        <f t="shared" ca="1" si="20"/>
        <v/>
      </c>
      <c r="H100" s="326" t="str">
        <f t="shared" ca="1" si="20"/>
        <v/>
      </c>
      <c r="I100" s="326" t="str">
        <f t="shared" ca="1" si="20"/>
        <v/>
      </c>
      <c r="J100" s="326" t="str">
        <f t="shared" ca="1" si="20"/>
        <v/>
      </c>
      <c r="K100" s="326" t="str">
        <f t="shared" ca="1" si="20"/>
        <v/>
      </c>
      <c r="L100" s="326" t="str">
        <f t="shared" ca="1" si="20"/>
        <v/>
      </c>
      <c r="M100" s="326" t="str">
        <f t="shared" ca="1" si="20"/>
        <v/>
      </c>
      <c r="N100" s="326" t="str">
        <f t="shared" ca="1" si="20"/>
        <v/>
      </c>
      <c r="O100" s="326" t="str">
        <f t="shared" ca="1" si="20"/>
        <v/>
      </c>
      <c r="P100" s="326" t="str">
        <f t="shared" ca="1" si="20"/>
        <v/>
      </c>
      <c r="Q100" s="326" t="str">
        <f t="shared" ca="1" si="20"/>
        <v/>
      </c>
      <c r="R100" s="326" t="str">
        <f t="shared" ca="1" si="24"/>
        <v/>
      </c>
      <c r="S100" s="326" t="str">
        <f t="shared" ca="1" si="24"/>
        <v/>
      </c>
      <c r="T100" s="326" t="str">
        <f t="shared" ca="1" si="24"/>
        <v/>
      </c>
      <c r="U100" s="326" t="str">
        <f t="shared" ca="1" si="24"/>
        <v/>
      </c>
      <c r="V100" s="326" t="str">
        <f t="shared" ca="1" si="24"/>
        <v/>
      </c>
      <c r="W100" s="326" t="str">
        <f t="shared" ca="1" si="24"/>
        <v/>
      </c>
      <c r="X100" s="326" t="str">
        <f t="shared" ca="1" si="24"/>
        <v/>
      </c>
      <c r="Y100" s="326" t="str">
        <f t="shared" ca="1" si="24"/>
        <v/>
      </c>
      <c r="Z100" s="326" t="str">
        <f t="shared" ca="1" si="24"/>
        <v/>
      </c>
      <c r="AA100" s="326" t="str">
        <f t="shared" ca="1" si="24"/>
        <v/>
      </c>
      <c r="AB100" s="326" t="str">
        <f t="shared" ca="1" si="24"/>
        <v/>
      </c>
      <c r="AC100" s="326" t="str">
        <f t="shared" ca="1" si="24"/>
        <v/>
      </c>
      <c r="AD100" s="326" t="str">
        <f t="shared" ca="1" si="24"/>
        <v/>
      </c>
      <c r="AE100" s="326" t="str">
        <f t="shared" ca="1" si="24"/>
        <v/>
      </c>
      <c r="AF100" s="326" t="str">
        <f t="shared" ca="1" si="24"/>
        <v/>
      </c>
      <c r="AG100" s="326" t="str">
        <f t="shared" ca="1" si="24"/>
        <v/>
      </c>
      <c r="AH100" s="326" t="str">
        <f t="shared" ca="1" si="24"/>
        <v/>
      </c>
      <c r="AI100" s="326" t="str">
        <f t="shared" ca="1" si="24"/>
        <v/>
      </c>
      <c r="AJ100" s="326" t="str">
        <f t="shared" ca="1" si="24"/>
        <v/>
      </c>
      <c r="AK100" s="326" t="str">
        <f t="shared" ca="1" si="24"/>
        <v/>
      </c>
      <c r="AL100" s="326" t="str">
        <f t="shared" ca="1" si="24"/>
        <v/>
      </c>
      <c r="AM100" s="326" t="str">
        <f t="shared" ca="1" si="24"/>
        <v/>
      </c>
      <c r="AN100" s="326" t="str">
        <f t="shared" ca="1" si="24"/>
        <v/>
      </c>
      <c r="AO100" s="326" t="str">
        <f t="shared" ca="1" si="24"/>
        <v/>
      </c>
      <c r="AP100" s="326" t="str">
        <f t="shared" ca="1" si="24"/>
        <v/>
      </c>
      <c r="AQ100" s="326" t="str">
        <f t="shared" ca="1" si="24"/>
        <v/>
      </c>
      <c r="AR100" s="326" t="str">
        <f t="shared" ca="1" si="24"/>
        <v/>
      </c>
      <c r="AS100" s="326" t="str">
        <f t="shared" ca="1" si="24"/>
        <v/>
      </c>
      <c r="AT100" s="326" t="str">
        <f t="shared" ca="1" si="24"/>
        <v/>
      </c>
      <c r="AU100" s="326">
        <f t="shared" ca="1" si="24"/>
        <v>1390</v>
      </c>
      <c r="AV100" s="326">
        <f t="shared" ca="1" si="24"/>
        <v>0</v>
      </c>
      <c r="AW100" s="326">
        <f t="shared" ca="1" si="24"/>
        <v>0</v>
      </c>
      <c r="AX100" s="326">
        <f t="shared" ca="1" si="24"/>
        <v>0</v>
      </c>
      <c r="AY100" s="326">
        <f t="shared" ca="1" si="24"/>
        <v>0</v>
      </c>
      <c r="AZ100" s="326">
        <f t="shared" ca="1" si="24"/>
        <v>0</v>
      </c>
      <c r="BA100" s="326">
        <f t="shared" ca="1" si="24"/>
        <v>0</v>
      </c>
      <c r="BB100" s="326">
        <f t="shared" ca="1" si="24"/>
        <v>0</v>
      </c>
      <c r="BC100" s="326">
        <f t="shared" ca="1" si="24"/>
        <v>0</v>
      </c>
      <c r="BD100" s="326">
        <f t="shared" ca="1" si="24"/>
        <v>0</v>
      </c>
      <c r="BE100" s="326">
        <f t="shared" ca="1" si="24"/>
        <v>0</v>
      </c>
      <c r="BF100" s="326">
        <f t="shared" ca="1" si="24"/>
        <v>0</v>
      </c>
      <c r="BG100" s="326">
        <f t="shared" ca="1" si="24"/>
        <v>0</v>
      </c>
      <c r="BH100" s="326">
        <f t="shared" ca="1" si="24"/>
        <v>0</v>
      </c>
      <c r="BI100" s="326">
        <f t="shared" ca="1" si="24"/>
        <v>0</v>
      </c>
    </row>
    <row r="101" spans="1:61" outlineLevel="1" x14ac:dyDescent="0.15">
      <c r="A101" s="336">
        <v>47</v>
      </c>
      <c r="B101" s="326" t="str">
        <f t="shared" ca="1" si="20"/>
        <v/>
      </c>
      <c r="C101" s="326" t="str">
        <f t="shared" ca="1" si="20"/>
        <v/>
      </c>
      <c r="D101" s="326" t="str">
        <f t="shared" ca="1" si="20"/>
        <v/>
      </c>
      <c r="E101" s="326" t="str">
        <f t="shared" ca="1" si="20"/>
        <v/>
      </c>
      <c r="F101" s="326" t="str">
        <f t="shared" ca="1" si="20"/>
        <v/>
      </c>
      <c r="G101" s="326" t="str">
        <f t="shared" ca="1" si="20"/>
        <v/>
      </c>
      <c r="H101" s="326" t="str">
        <f t="shared" ca="1" si="20"/>
        <v/>
      </c>
      <c r="I101" s="326" t="str">
        <f t="shared" ca="1" si="20"/>
        <v/>
      </c>
      <c r="J101" s="326" t="str">
        <f t="shared" ca="1" si="20"/>
        <v/>
      </c>
      <c r="K101" s="326" t="str">
        <f t="shared" ca="1" si="20"/>
        <v/>
      </c>
      <c r="L101" s="326" t="str">
        <f t="shared" ca="1" si="20"/>
        <v/>
      </c>
      <c r="M101" s="326" t="str">
        <f t="shared" ca="1" si="20"/>
        <v/>
      </c>
      <c r="N101" s="326" t="str">
        <f t="shared" ca="1" si="20"/>
        <v/>
      </c>
      <c r="O101" s="326" t="str">
        <f t="shared" ca="1" si="20"/>
        <v/>
      </c>
      <c r="P101" s="326" t="str">
        <f t="shared" ca="1" si="20"/>
        <v/>
      </c>
      <c r="Q101" s="326" t="str">
        <f t="shared" ca="1" si="20"/>
        <v/>
      </c>
      <c r="R101" s="326" t="str">
        <f t="shared" ca="1" si="24"/>
        <v/>
      </c>
      <c r="S101" s="326" t="str">
        <f t="shared" ca="1" si="24"/>
        <v/>
      </c>
      <c r="T101" s="326" t="str">
        <f t="shared" ca="1" si="24"/>
        <v/>
      </c>
      <c r="U101" s="326" t="str">
        <f t="shared" ca="1" si="24"/>
        <v/>
      </c>
      <c r="V101" s="326" t="str">
        <f t="shared" ca="1" si="24"/>
        <v/>
      </c>
      <c r="W101" s="326" t="str">
        <f t="shared" ca="1" si="24"/>
        <v/>
      </c>
      <c r="X101" s="326" t="str">
        <f t="shared" ca="1" si="24"/>
        <v/>
      </c>
      <c r="Y101" s="326" t="str">
        <f t="shared" ca="1" si="24"/>
        <v/>
      </c>
      <c r="Z101" s="326" t="str">
        <f t="shared" ca="1" si="24"/>
        <v/>
      </c>
      <c r="AA101" s="326" t="str">
        <f t="shared" ca="1" si="24"/>
        <v/>
      </c>
      <c r="AB101" s="326" t="str">
        <f t="shared" ca="1" si="24"/>
        <v/>
      </c>
      <c r="AC101" s="326" t="str">
        <f t="shared" ca="1" si="24"/>
        <v/>
      </c>
      <c r="AD101" s="326" t="str">
        <f t="shared" ca="1" si="24"/>
        <v/>
      </c>
      <c r="AE101" s="326" t="str">
        <f t="shared" ca="1" si="24"/>
        <v/>
      </c>
      <c r="AF101" s="326" t="str">
        <f t="shared" ca="1" si="24"/>
        <v/>
      </c>
      <c r="AG101" s="326" t="str">
        <f t="shared" ca="1" si="24"/>
        <v/>
      </c>
      <c r="AH101" s="326" t="str">
        <f t="shared" ca="1" si="24"/>
        <v/>
      </c>
      <c r="AI101" s="326" t="str">
        <f t="shared" ca="1" si="24"/>
        <v/>
      </c>
      <c r="AJ101" s="326" t="str">
        <f t="shared" ca="1" si="24"/>
        <v/>
      </c>
      <c r="AK101" s="326" t="str">
        <f t="shared" ca="1" si="24"/>
        <v/>
      </c>
      <c r="AL101" s="326" t="str">
        <f t="shared" ca="1" si="24"/>
        <v/>
      </c>
      <c r="AM101" s="326" t="str">
        <f t="shared" ca="1" si="24"/>
        <v/>
      </c>
      <c r="AN101" s="326" t="str">
        <f t="shared" ca="1" si="24"/>
        <v/>
      </c>
      <c r="AO101" s="326" t="str">
        <f t="shared" ca="1" si="24"/>
        <v/>
      </c>
      <c r="AP101" s="326" t="str">
        <f t="shared" ca="1" si="24"/>
        <v/>
      </c>
      <c r="AQ101" s="326" t="str">
        <f t="shared" ca="1" si="24"/>
        <v/>
      </c>
      <c r="AR101" s="326" t="str">
        <f t="shared" ca="1" si="24"/>
        <v/>
      </c>
      <c r="AS101" s="326" t="str">
        <f t="shared" ca="1" si="24"/>
        <v/>
      </c>
      <c r="AT101" s="326" t="str">
        <f t="shared" ca="1" si="24"/>
        <v/>
      </c>
      <c r="AU101" s="326" t="str">
        <f t="shared" ca="1" si="24"/>
        <v/>
      </c>
      <c r="AV101" s="326">
        <f t="shared" ca="1" si="24"/>
        <v>1390</v>
      </c>
      <c r="AW101" s="326">
        <f t="shared" ca="1" si="24"/>
        <v>0</v>
      </c>
      <c r="AX101" s="326">
        <f t="shared" ca="1" si="24"/>
        <v>0</v>
      </c>
      <c r="AY101" s="326">
        <f t="shared" ca="1" si="24"/>
        <v>0</v>
      </c>
      <c r="AZ101" s="326">
        <f t="shared" ca="1" si="24"/>
        <v>0</v>
      </c>
      <c r="BA101" s="326">
        <f t="shared" ca="1" si="24"/>
        <v>0</v>
      </c>
      <c r="BB101" s="326">
        <f t="shared" ca="1" si="24"/>
        <v>0</v>
      </c>
      <c r="BC101" s="326">
        <f t="shared" ca="1" si="24"/>
        <v>0</v>
      </c>
      <c r="BD101" s="326">
        <f t="shared" ca="1" si="24"/>
        <v>0</v>
      </c>
      <c r="BE101" s="326">
        <f t="shared" ca="1" si="24"/>
        <v>0</v>
      </c>
      <c r="BF101" s="326">
        <f t="shared" ca="1" si="24"/>
        <v>0</v>
      </c>
      <c r="BG101" s="326">
        <f t="shared" ca="1" si="24"/>
        <v>0</v>
      </c>
      <c r="BH101" s="326">
        <f t="shared" ca="1" si="24"/>
        <v>0</v>
      </c>
      <c r="BI101" s="326">
        <f t="shared" ca="1" si="24"/>
        <v>0</v>
      </c>
    </row>
    <row r="102" spans="1:61" outlineLevel="1" x14ac:dyDescent="0.15">
      <c r="A102" s="336">
        <v>48</v>
      </c>
      <c r="B102" s="326" t="str">
        <f t="shared" ca="1" si="20"/>
        <v/>
      </c>
      <c r="C102" s="326" t="str">
        <f t="shared" ca="1" si="20"/>
        <v/>
      </c>
      <c r="D102" s="326" t="str">
        <f t="shared" ca="1" si="20"/>
        <v/>
      </c>
      <c r="E102" s="326" t="str">
        <f t="shared" ca="1" si="20"/>
        <v/>
      </c>
      <c r="F102" s="326" t="str">
        <f t="shared" ca="1" si="20"/>
        <v/>
      </c>
      <c r="G102" s="326" t="str">
        <f t="shared" ca="1" si="20"/>
        <v/>
      </c>
      <c r="H102" s="326" t="str">
        <f t="shared" ca="1" si="20"/>
        <v/>
      </c>
      <c r="I102" s="326" t="str">
        <f t="shared" ca="1" si="20"/>
        <v/>
      </c>
      <c r="J102" s="326" t="str">
        <f t="shared" ca="1" si="20"/>
        <v/>
      </c>
      <c r="K102" s="326" t="str">
        <f t="shared" ca="1" si="20"/>
        <v/>
      </c>
      <c r="L102" s="326" t="str">
        <f t="shared" ca="1" si="20"/>
        <v/>
      </c>
      <c r="M102" s="326" t="str">
        <f t="shared" ca="1" si="20"/>
        <v/>
      </c>
      <c r="N102" s="326" t="str">
        <f t="shared" ca="1" si="20"/>
        <v/>
      </c>
      <c r="O102" s="326" t="str">
        <f t="shared" ca="1" si="20"/>
        <v/>
      </c>
      <c r="P102" s="326" t="str">
        <f t="shared" ca="1" si="20"/>
        <v/>
      </c>
      <c r="Q102" s="326" t="str">
        <f t="shared" ref="Q102:BW108" ca="1" si="25">IF($A102&gt;Q$5,"",OFFSET(Q$54,0,-($A102-1)))</f>
        <v/>
      </c>
      <c r="R102" s="326" t="str">
        <f t="shared" ca="1" si="25"/>
        <v/>
      </c>
      <c r="S102" s="326" t="str">
        <f t="shared" ca="1" si="25"/>
        <v/>
      </c>
      <c r="T102" s="326" t="str">
        <f t="shared" ca="1" si="25"/>
        <v/>
      </c>
      <c r="U102" s="326" t="str">
        <f t="shared" ca="1" si="25"/>
        <v/>
      </c>
      <c r="V102" s="326" t="str">
        <f t="shared" ca="1" si="25"/>
        <v/>
      </c>
      <c r="W102" s="326" t="str">
        <f t="shared" ca="1" si="25"/>
        <v/>
      </c>
      <c r="X102" s="326" t="str">
        <f t="shared" ca="1" si="25"/>
        <v/>
      </c>
      <c r="Y102" s="326" t="str">
        <f t="shared" ca="1" si="25"/>
        <v/>
      </c>
      <c r="Z102" s="326" t="str">
        <f t="shared" ca="1" si="25"/>
        <v/>
      </c>
      <c r="AA102" s="326" t="str">
        <f t="shared" ca="1" si="25"/>
        <v/>
      </c>
      <c r="AB102" s="326" t="str">
        <f t="shared" ca="1" si="25"/>
        <v/>
      </c>
      <c r="AC102" s="326" t="str">
        <f t="shared" ca="1" si="25"/>
        <v/>
      </c>
      <c r="AD102" s="326" t="str">
        <f t="shared" ca="1" si="25"/>
        <v/>
      </c>
      <c r="AE102" s="326" t="str">
        <f t="shared" ca="1" si="25"/>
        <v/>
      </c>
      <c r="AF102" s="326" t="str">
        <f t="shared" ca="1" si="25"/>
        <v/>
      </c>
      <c r="AG102" s="326" t="str">
        <f t="shared" ca="1" si="25"/>
        <v/>
      </c>
      <c r="AH102" s="326" t="str">
        <f t="shared" ca="1" si="25"/>
        <v/>
      </c>
      <c r="AI102" s="326" t="str">
        <f t="shared" ca="1" si="25"/>
        <v/>
      </c>
      <c r="AJ102" s="326" t="str">
        <f t="shared" ca="1" si="25"/>
        <v/>
      </c>
      <c r="AK102" s="326" t="str">
        <f t="shared" ca="1" si="25"/>
        <v/>
      </c>
      <c r="AL102" s="326" t="str">
        <f t="shared" ca="1" si="25"/>
        <v/>
      </c>
      <c r="AM102" s="326" t="str">
        <f t="shared" ca="1" si="25"/>
        <v/>
      </c>
      <c r="AN102" s="326" t="str">
        <f t="shared" ca="1" si="25"/>
        <v/>
      </c>
      <c r="AO102" s="326" t="str">
        <f t="shared" ca="1" si="25"/>
        <v/>
      </c>
      <c r="AP102" s="326" t="str">
        <f t="shared" ca="1" si="25"/>
        <v/>
      </c>
      <c r="AQ102" s="326" t="str">
        <f t="shared" ca="1" si="25"/>
        <v/>
      </c>
      <c r="AR102" s="326" t="str">
        <f t="shared" ca="1" si="25"/>
        <v/>
      </c>
      <c r="AS102" s="326" t="str">
        <f t="shared" ca="1" si="25"/>
        <v/>
      </c>
      <c r="AT102" s="326" t="str">
        <f t="shared" ca="1" si="25"/>
        <v/>
      </c>
      <c r="AU102" s="326" t="str">
        <f t="shared" ca="1" si="25"/>
        <v/>
      </c>
      <c r="AV102" s="326" t="str">
        <f t="shared" ca="1" si="25"/>
        <v/>
      </c>
      <c r="AW102" s="326">
        <f t="shared" ca="1" si="25"/>
        <v>1390</v>
      </c>
      <c r="AX102" s="326">
        <f t="shared" ca="1" si="24"/>
        <v>0</v>
      </c>
      <c r="AY102" s="326">
        <f t="shared" ca="1" si="24"/>
        <v>0</v>
      </c>
      <c r="AZ102" s="326">
        <f t="shared" ca="1" si="24"/>
        <v>0</v>
      </c>
      <c r="BA102" s="326">
        <f t="shared" ca="1" si="24"/>
        <v>0</v>
      </c>
      <c r="BB102" s="326">
        <f t="shared" ca="1" si="24"/>
        <v>0</v>
      </c>
      <c r="BC102" s="326">
        <f t="shared" ca="1" si="24"/>
        <v>0</v>
      </c>
      <c r="BD102" s="326">
        <f t="shared" ca="1" si="24"/>
        <v>0</v>
      </c>
      <c r="BE102" s="326">
        <f t="shared" ca="1" si="24"/>
        <v>0</v>
      </c>
      <c r="BF102" s="326">
        <f t="shared" ca="1" si="24"/>
        <v>0</v>
      </c>
      <c r="BG102" s="326">
        <f t="shared" ca="1" si="24"/>
        <v>0</v>
      </c>
      <c r="BH102" s="326">
        <f t="shared" ca="1" si="24"/>
        <v>0</v>
      </c>
      <c r="BI102" s="326">
        <f t="shared" ca="1" si="24"/>
        <v>0</v>
      </c>
    </row>
    <row r="103" spans="1:61" outlineLevel="1" x14ac:dyDescent="0.15">
      <c r="A103" s="336">
        <v>49</v>
      </c>
      <c r="B103" s="326" t="str">
        <f t="shared" ref="B103:Q130" ca="1" si="26">IF($A103&gt;B$5,"",OFFSET(B$54,0,-($A103-1)))</f>
        <v/>
      </c>
      <c r="C103" s="326" t="str">
        <f t="shared" ca="1" si="26"/>
        <v/>
      </c>
      <c r="D103" s="326" t="str">
        <f t="shared" ca="1" si="26"/>
        <v/>
      </c>
      <c r="E103" s="326" t="str">
        <f t="shared" ca="1" si="26"/>
        <v/>
      </c>
      <c r="F103" s="326" t="str">
        <f t="shared" ca="1" si="26"/>
        <v/>
      </c>
      <c r="G103" s="326" t="str">
        <f t="shared" ca="1" si="26"/>
        <v/>
      </c>
      <c r="H103" s="326" t="str">
        <f t="shared" ca="1" si="26"/>
        <v/>
      </c>
      <c r="I103" s="326" t="str">
        <f t="shared" ca="1" si="26"/>
        <v/>
      </c>
      <c r="J103" s="326" t="str">
        <f t="shared" ca="1" si="26"/>
        <v/>
      </c>
      <c r="K103" s="326" t="str">
        <f t="shared" ca="1" si="26"/>
        <v/>
      </c>
      <c r="L103" s="326" t="str">
        <f t="shared" ca="1" si="26"/>
        <v/>
      </c>
      <c r="M103" s="326" t="str">
        <f t="shared" ca="1" si="26"/>
        <v/>
      </c>
      <c r="N103" s="326" t="str">
        <f t="shared" ca="1" si="26"/>
        <v/>
      </c>
      <c r="O103" s="326" t="str">
        <f t="shared" ca="1" si="26"/>
        <v/>
      </c>
      <c r="P103" s="326" t="str">
        <f t="shared" ca="1" si="26"/>
        <v/>
      </c>
      <c r="Q103" s="326" t="str">
        <f t="shared" ca="1" si="26"/>
        <v/>
      </c>
      <c r="R103" s="326" t="str">
        <f t="shared" ca="1" si="25"/>
        <v/>
      </c>
      <c r="S103" s="326" t="str">
        <f t="shared" ca="1" si="25"/>
        <v/>
      </c>
      <c r="T103" s="326" t="str">
        <f t="shared" ca="1" si="25"/>
        <v/>
      </c>
      <c r="U103" s="326" t="str">
        <f t="shared" ca="1" si="25"/>
        <v/>
      </c>
      <c r="V103" s="326" t="str">
        <f t="shared" ca="1" si="25"/>
        <v/>
      </c>
      <c r="W103" s="326" t="str">
        <f t="shared" ca="1" si="25"/>
        <v/>
      </c>
      <c r="X103" s="326" t="str">
        <f t="shared" ca="1" si="25"/>
        <v/>
      </c>
      <c r="Y103" s="326" t="str">
        <f t="shared" ca="1" si="25"/>
        <v/>
      </c>
      <c r="Z103" s="326" t="str">
        <f t="shared" ca="1" si="25"/>
        <v/>
      </c>
      <c r="AA103" s="326" t="str">
        <f t="shared" ca="1" si="25"/>
        <v/>
      </c>
      <c r="AB103" s="326" t="str">
        <f t="shared" ca="1" si="25"/>
        <v/>
      </c>
      <c r="AC103" s="326" t="str">
        <f t="shared" ca="1" si="25"/>
        <v/>
      </c>
      <c r="AD103" s="326" t="str">
        <f t="shared" ca="1" si="25"/>
        <v/>
      </c>
      <c r="AE103" s="326" t="str">
        <f t="shared" ca="1" si="25"/>
        <v/>
      </c>
      <c r="AF103" s="326" t="str">
        <f t="shared" ca="1" si="25"/>
        <v/>
      </c>
      <c r="AG103" s="326" t="str">
        <f t="shared" ca="1" si="25"/>
        <v/>
      </c>
      <c r="AH103" s="326" t="str">
        <f t="shared" ca="1" si="25"/>
        <v/>
      </c>
      <c r="AI103" s="326" t="str">
        <f t="shared" ca="1" si="25"/>
        <v/>
      </c>
      <c r="AJ103" s="326" t="str">
        <f t="shared" ca="1" si="25"/>
        <v/>
      </c>
      <c r="AK103" s="326" t="str">
        <f t="shared" ca="1" si="25"/>
        <v/>
      </c>
      <c r="AL103" s="326" t="str">
        <f t="shared" ca="1" si="25"/>
        <v/>
      </c>
      <c r="AM103" s="326" t="str">
        <f t="shared" ca="1" si="25"/>
        <v/>
      </c>
      <c r="AN103" s="326" t="str">
        <f t="shared" ca="1" si="25"/>
        <v/>
      </c>
      <c r="AO103" s="326" t="str">
        <f t="shared" ca="1" si="25"/>
        <v/>
      </c>
      <c r="AP103" s="326" t="str">
        <f t="shared" ca="1" si="25"/>
        <v/>
      </c>
      <c r="AQ103" s="326" t="str">
        <f t="shared" ca="1" si="25"/>
        <v/>
      </c>
      <c r="AR103" s="326" t="str">
        <f t="shared" ca="1" si="25"/>
        <v/>
      </c>
      <c r="AS103" s="326" t="str">
        <f t="shared" ca="1" si="25"/>
        <v/>
      </c>
      <c r="AT103" s="326" t="str">
        <f t="shared" ca="1" si="25"/>
        <v/>
      </c>
      <c r="AU103" s="326" t="str">
        <f t="shared" ca="1" si="25"/>
        <v/>
      </c>
      <c r="AV103" s="326" t="str">
        <f t="shared" ca="1" si="25"/>
        <v/>
      </c>
      <c r="AW103" s="326" t="str">
        <f t="shared" ca="1" si="25"/>
        <v/>
      </c>
      <c r="AX103" s="326">
        <f t="shared" ca="1" si="25"/>
        <v>1390</v>
      </c>
      <c r="AY103" s="326">
        <f t="shared" ca="1" si="25"/>
        <v>0</v>
      </c>
      <c r="AZ103" s="326">
        <f t="shared" ca="1" si="25"/>
        <v>0</v>
      </c>
      <c r="BA103" s="326">
        <f t="shared" ca="1" si="25"/>
        <v>0</v>
      </c>
      <c r="BB103" s="326">
        <f t="shared" ca="1" si="25"/>
        <v>0</v>
      </c>
      <c r="BC103" s="326">
        <f t="shared" ca="1" si="25"/>
        <v>0</v>
      </c>
      <c r="BD103" s="326">
        <f t="shared" ca="1" si="25"/>
        <v>0</v>
      </c>
      <c r="BE103" s="326">
        <f t="shared" ca="1" si="25"/>
        <v>0</v>
      </c>
      <c r="BF103" s="326">
        <f t="shared" ca="1" si="25"/>
        <v>0</v>
      </c>
      <c r="BG103" s="326">
        <f t="shared" ca="1" si="25"/>
        <v>0</v>
      </c>
      <c r="BH103" s="326">
        <f t="shared" ca="1" si="25"/>
        <v>0</v>
      </c>
      <c r="BI103" s="326">
        <f t="shared" ca="1" si="25"/>
        <v>0</v>
      </c>
    </row>
    <row r="104" spans="1:61" outlineLevel="1" x14ac:dyDescent="0.15">
      <c r="A104" s="336">
        <v>50</v>
      </c>
      <c r="B104" s="326" t="str">
        <f t="shared" ca="1" si="26"/>
        <v/>
      </c>
      <c r="C104" s="326" t="str">
        <f t="shared" ca="1" si="26"/>
        <v/>
      </c>
      <c r="D104" s="326" t="str">
        <f t="shared" ca="1" si="26"/>
        <v/>
      </c>
      <c r="E104" s="326" t="str">
        <f t="shared" ca="1" si="26"/>
        <v/>
      </c>
      <c r="F104" s="326" t="str">
        <f t="shared" ca="1" si="26"/>
        <v/>
      </c>
      <c r="G104" s="326" t="str">
        <f t="shared" ca="1" si="26"/>
        <v/>
      </c>
      <c r="H104" s="326" t="str">
        <f t="shared" ca="1" si="26"/>
        <v/>
      </c>
      <c r="I104" s="326" t="str">
        <f t="shared" ca="1" si="26"/>
        <v/>
      </c>
      <c r="J104" s="326" t="str">
        <f t="shared" ca="1" si="26"/>
        <v/>
      </c>
      <c r="K104" s="326" t="str">
        <f t="shared" ca="1" si="26"/>
        <v/>
      </c>
      <c r="L104" s="326" t="str">
        <f t="shared" ca="1" si="26"/>
        <v/>
      </c>
      <c r="M104" s="326" t="str">
        <f t="shared" ca="1" si="26"/>
        <v/>
      </c>
      <c r="N104" s="326" t="str">
        <f t="shared" ca="1" si="26"/>
        <v/>
      </c>
      <c r="O104" s="326" t="str">
        <f t="shared" ca="1" si="26"/>
        <v/>
      </c>
      <c r="P104" s="326" t="str">
        <f t="shared" ca="1" si="26"/>
        <v/>
      </c>
      <c r="Q104" s="326" t="str">
        <f t="shared" ca="1" si="26"/>
        <v/>
      </c>
      <c r="R104" s="326" t="str">
        <f t="shared" ca="1" si="25"/>
        <v/>
      </c>
      <c r="S104" s="326" t="str">
        <f t="shared" ca="1" si="25"/>
        <v/>
      </c>
      <c r="T104" s="326" t="str">
        <f t="shared" ca="1" si="25"/>
        <v/>
      </c>
      <c r="U104" s="326" t="str">
        <f t="shared" ca="1" si="25"/>
        <v/>
      </c>
      <c r="V104" s="326" t="str">
        <f t="shared" ca="1" si="25"/>
        <v/>
      </c>
      <c r="W104" s="326" t="str">
        <f t="shared" ca="1" si="25"/>
        <v/>
      </c>
      <c r="X104" s="326" t="str">
        <f t="shared" ca="1" si="25"/>
        <v/>
      </c>
      <c r="Y104" s="326" t="str">
        <f t="shared" ca="1" si="25"/>
        <v/>
      </c>
      <c r="Z104" s="326" t="str">
        <f t="shared" ca="1" si="25"/>
        <v/>
      </c>
      <c r="AA104" s="326" t="str">
        <f t="shared" ca="1" si="25"/>
        <v/>
      </c>
      <c r="AB104" s="326" t="str">
        <f t="shared" ca="1" si="25"/>
        <v/>
      </c>
      <c r="AC104" s="326" t="str">
        <f t="shared" ca="1" si="25"/>
        <v/>
      </c>
      <c r="AD104" s="326" t="str">
        <f t="shared" ca="1" si="25"/>
        <v/>
      </c>
      <c r="AE104" s="326" t="str">
        <f t="shared" ca="1" si="25"/>
        <v/>
      </c>
      <c r="AF104" s="326" t="str">
        <f t="shared" ca="1" si="25"/>
        <v/>
      </c>
      <c r="AG104" s="326" t="str">
        <f t="shared" ca="1" si="25"/>
        <v/>
      </c>
      <c r="AH104" s="326" t="str">
        <f t="shared" ca="1" si="25"/>
        <v/>
      </c>
      <c r="AI104" s="326" t="str">
        <f t="shared" ca="1" si="25"/>
        <v/>
      </c>
      <c r="AJ104" s="326" t="str">
        <f t="shared" ca="1" si="25"/>
        <v/>
      </c>
      <c r="AK104" s="326" t="str">
        <f t="shared" ca="1" si="25"/>
        <v/>
      </c>
      <c r="AL104" s="326" t="str">
        <f t="shared" ca="1" si="25"/>
        <v/>
      </c>
      <c r="AM104" s="326" t="str">
        <f t="shared" ca="1" si="25"/>
        <v/>
      </c>
      <c r="AN104" s="326" t="str">
        <f t="shared" ca="1" si="25"/>
        <v/>
      </c>
      <c r="AO104" s="326" t="str">
        <f t="shared" ca="1" si="25"/>
        <v/>
      </c>
      <c r="AP104" s="326" t="str">
        <f t="shared" ca="1" si="25"/>
        <v/>
      </c>
      <c r="AQ104" s="326" t="str">
        <f t="shared" ca="1" si="25"/>
        <v/>
      </c>
      <c r="AR104" s="326" t="str">
        <f t="shared" ca="1" si="25"/>
        <v/>
      </c>
      <c r="AS104" s="326" t="str">
        <f t="shared" ca="1" si="25"/>
        <v/>
      </c>
      <c r="AT104" s="326" t="str">
        <f t="shared" ca="1" si="25"/>
        <v/>
      </c>
      <c r="AU104" s="326" t="str">
        <f t="shared" ca="1" si="25"/>
        <v/>
      </c>
      <c r="AV104" s="326" t="str">
        <f t="shared" ca="1" si="25"/>
        <v/>
      </c>
      <c r="AW104" s="326" t="str">
        <f t="shared" ca="1" si="25"/>
        <v/>
      </c>
      <c r="AX104" s="326" t="str">
        <f t="shared" ca="1" si="25"/>
        <v/>
      </c>
      <c r="AY104" s="326">
        <f t="shared" ca="1" si="25"/>
        <v>1390</v>
      </c>
      <c r="AZ104" s="326">
        <f t="shared" ca="1" si="25"/>
        <v>0</v>
      </c>
      <c r="BA104" s="326">
        <f t="shared" ca="1" si="25"/>
        <v>0</v>
      </c>
      <c r="BB104" s="326">
        <f t="shared" ca="1" si="25"/>
        <v>0</v>
      </c>
      <c r="BC104" s="326">
        <f t="shared" ca="1" si="25"/>
        <v>0</v>
      </c>
      <c r="BD104" s="326">
        <f t="shared" ca="1" si="25"/>
        <v>0</v>
      </c>
      <c r="BE104" s="326">
        <f t="shared" ca="1" si="25"/>
        <v>0</v>
      </c>
      <c r="BF104" s="326">
        <f t="shared" ca="1" si="25"/>
        <v>0</v>
      </c>
      <c r="BG104" s="326">
        <f t="shared" ca="1" si="25"/>
        <v>0</v>
      </c>
      <c r="BH104" s="326">
        <f t="shared" ca="1" si="25"/>
        <v>0</v>
      </c>
      <c r="BI104" s="326">
        <f t="shared" ca="1" si="25"/>
        <v>0</v>
      </c>
    </row>
    <row r="105" spans="1:61" outlineLevel="1" x14ac:dyDescent="0.15">
      <c r="A105" s="336">
        <v>51</v>
      </c>
      <c r="B105" s="326" t="str">
        <f t="shared" ca="1" si="26"/>
        <v/>
      </c>
      <c r="C105" s="326" t="str">
        <f t="shared" ca="1" si="26"/>
        <v/>
      </c>
      <c r="D105" s="326" t="str">
        <f t="shared" ca="1" si="26"/>
        <v/>
      </c>
      <c r="E105" s="326" t="str">
        <f t="shared" ca="1" si="26"/>
        <v/>
      </c>
      <c r="F105" s="326" t="str">
        <f t="shared" ca="1" si="26"/>
        <v/>
      </c>
      <c r="G105" s="326" t="str">
        <f t="shared" ca="1" si="26"/>
        <v/>
      </c>
      <c r="H105" s="326" t="str">
        <f t="shared" ca="1" si="26"/>
        <v/>
      </c>
      <c r="I105" s="326" t="str">
        <f t="shared" ca="1" si="26"/>
        <v/>
      </c>
      <c r="J105" s="326" t="str">
        <f t="shared" ca="1" si="26"/>
        <v/>
      </c>
      <c r="K105" s="326" t="str">
        <f t="shared" ca="1" si="26"/>
        <v/>
      </c>
      <c r="L105" s="326" t="str">
        <f t="shared" ca="1" si="26"/>
        <v/>
      </c>
      <c r="M105" s="326" t="str">
        <f t="shared" ca="1" si="26"/>
        <v/>
      </c>
      <c r="N105" s="326" t="str">
        <f t="shared" ca="1" si="26"/>
        <v/>
      </c>
      <c r="O105" s="326" t="str">
        <f t="shared" ca="1" si="26"/>
        <v/>
      </c>
      <c r="P105" s="326" t="str">
        <f t="shared" ca="1" si="26"/>
        <v/>
      </c>
      <c r="Q105" s="326" t="str">
        <f t="shared" ca="1" si="26"/>
        <v/>
      </c>
      <c r="R105" s="326" t="str">
        <f t="shared" ca="1" si="25"/>
        <v/>
      </c>
      <c r="S105" s="326" t="str">
        <f t="shared" ca="1" si="25"/>
        <v/>
      </c>
      <c r="T105" s="326" t="str">
        <f t="shared" ca="1" si="25"/>
        <v/>
      </c>
      <c r="U105" s="326" t="str">
        <f t="shared" ca="1" si="25"/>
        <v/>
      </c>
      <c r="V105" s="326" t="str">
        <f t="shared" ca="1" si="25"/>
        <v/>
      </c>
      <c r="W105" s="326" t="str">
        <f t="shared" ca="1" si="25"/>
        <v/>
      </c>
      <c r="X105" s="326" t="str">
        <f t="shared" ca="1" si="25"/>
        <v/>
      </c>
      <c r="Y105" s="326" t="str">
        <f t="shared" ca="1" si="25"/>
        <v/>
      </c>
      <c r="Z105" s="326" t="str">
        <f t="shared" ca="1" si="25"/>
        <v/>
      </c>
      <c r="AA105" s="326" t="str">
        <f t="shared" ca="1" si="25"/>
        <v/>
      </c>
      <c r="AB105" s="326" t="str">
        <f t="shared" ca="1" si="25"/>
        <v/>
      </c>
      <c r="AC105" s="326" t="str">
        <f t="shared" ca="1" si="25"/>
        <v/>
      </c>
      <c r="AD105" s="326" t="str">
        <f t="shared" ca="1" si="25"/>
        <v/>
      </c>
      <c r="AE105" s="326" t="str">
        <f t="shared" ca="1" si="25"/>
        <v/>
      </c>
      <c r="AF105" s="326" t="str">
        <f t="shared" ca="1" si="25"/>
        <v/>
      </c>
      <c r="AG105" s="326" t="str">
        <f t="shared" ca="1" si="25"/>
        <v/>
      </c>
      <c r="AH105" s="326" t="str">
        <f t="shared" ca="1" si="25"/>
        <v/>
      </c>
      <c r="AI105" s="326" t="str">
        <f t="shared" ca="1" si="25"/>
        <v/>
      </c>
      <c r="AJ105" s="326" t="str">
        <f t="shared" ca="1" si="25"/>
        <v/>
      </c>
      <c r="AK105" s="326" t="str">
        <f t="shared" ca="1" si="25"/>
        <v/>
      </c>
      <c r="AL105" s="326" t="str">
        <f t="shared" ca="1" si="25"/>
        <v/>
      </c>
      <c r="AM105" s="326" t="str">
        <f t="shared" ca="1" si="25"/>
        <v/>
      </c>
      <c r="AN105" s="326" t="str">
        <f t="shared" ca="1" si="25"/>
        <v/>
      </c>
      <c r="AO105" s="326" t="str">
        <f t="shared" ca="1" si="25"/>
        <v/>
      </c>
      <c r="AP105" s="326" t="str">
        <f t="shared" ca="1" si="25"/>
        <v/>
      </c>
      <c r="AQ105" s="326" t="str">
        <f t="shared" ca="1" si="25"/>
        <v/>
      </c>
      <c r="AR105" s="326" t="str">
        <f t="shared" ca="1" si="25"/>
        <v/>
      </c>
      <c r="AS105" s="326" t="str">
        <f t="shared" ca="1" si="25"/>
        <v/>
      </c>
      <c r="AT105" s="326" t="str">
        <f t="shared" ca="1" si="25"/>
        <v/>
      </c>
      <c r="AU105" s="326" t="str">
        <f t="shared" ca="1" si="25"/>
        <v/>
      </c>
      <c r="AV105" s="326" t="str">
        <f t="shared" ca="1" si="25"/>
        <v/>
      </c>
      <c r="AW105" s="326" t="str">
        <f t="shared" ca="1" si="25"/>
        <v/>
      </c>
      <c r="AX105" s="326" t="str">
        <f t="shared" ca="1" si="25"/>
        <v/>
      </c>
      <c r="AY105" s="326" t="str">
        <f t="shared" ca="1" si="25"/>
        <v/>
      </c>
      <c r="AZ105" s="326">
        <f t="shared" ca="1" si="25"/>
        <v>1390</v>
      </c>
      <c r="BA105" s="326">
        <f t="shared" ca="1" si="25"/>
        <v>0</v>
      </c>
      <c r="BB105" s="326">
        <f t="shared" ca="1" si="25"/>
        <v>0</v>
      </c>
      <c r="BC105" s="326">
        <f t="shared" ca="1" si="25"/>
        <v>0</v>
      </c>
      <c r="BD105" s="326">
        <f t="shared" ca="1" si="25"/>
        <v>0</v>
      </c>
      <c r="BE105" s="326">
        <f t="shared" ca="1" si="25"/>
        <v>0</v>
      </c>
      <c r="BF105" s="326">
        <f t="shared" ca="1" si="25"/>
        <v>0</v>
      </c>
      <c r="BG105" s="326">
        <f t="shared" ca="1" si="25"/>
        <v>0</v>
      </c>
      <c r="BH105" s="326">
        <f t="shared" ca="1" si="25"/>
        <v>0</v>
      </c>
      <c r="BI105" s="326">
        <f t="shared" ca="1" si="25"/>
        <v>0</v>
      </c>
    </row>
    <row r="106" spans="1:61" outlineLevel="1" x14ac:dyDescent="0.15">
      <c r="A106" s="336">
        <v>52</v>
      </c>
      <c r="B106" s="326" t="str">
        <f t="shared" ca="1" si="26"/>
        <v/>
      </c>
      <c r="C106" s="326" t="str">
        <f t="shared" ca="1" si="26"/>
        <v/>
      </c>
      <c r="D106" s="326" t="str">
        <f t="shared" ca="1" si="26"/>
        <v/>
      </c>
      <c r="E106" s="326" t="str">
        <f t="shared" ca="1" si="26"/>
        <v/>
      </c>
      <c r="F106" s="326" t="str">
        <f t="shared" ca="1" si="26"/>
        <v/>
      </c>
      <c r="G106" s="326" t="str">
        <f t="shared" ca="1" si="26"/>
        <v/>
      </c>
      <c r="H106" s="326" t="str">
        <f t="shared" ca="1" si="26"/>
        <v/>
      </c>
      <c r="I106" s="326" t="str">
        <f t="shared" ca="1" si="26"/>
        <v/>
      </c>
      <c r="J106" s="326" t="str">
        <f t="shared" ca="1" si="26"/>
        <v/>
      </c>
      <c r="K106" s="326" t="str">
        <f t="shared" ca="1" si="26"/>
        <v/>
      </c>
      <c r="L106" s="326" t="str">
        <f t="shared" ca="1" si="26"/>
        <v/>
      </c>
      <c r="M106" s="326" t="str">
        <f t="shared" ca="1" si="26"/>
        <v/>
      </c>
      <c r="N106" s="326" t="str">
        <f t="shared" ca="1" si="26"/>
        <v/>
      </c>
      <c r="O106" s="326" t="str">
        <f t="shared" ca="1" si="26"/>
        <v/>
      </c>
      <c r="P106" s="326" t="str">
        <f t="shared" ca="1" si="26"/>
        <v/>
      </c>
      <c r="Q106" s="326" t="str">
        <f t="shared" ca="1" si="26"/>
        <v/>
      </c>
      <c r="R106" s="326" t="str">
        <f t="shared" ca="1" si="25"/>
        <v/>
      </c>
      <c r="S106" s="326" t="str">
        <f t="shared" ca="1" si="25"/>
        <v/>
      </c>
      <c r="T106" s="326" t="str">
        <f t="shared" ca="1" si="25"/>
        <v/>
      </c>
      <c r="U106" s="326" t="str">
        <f t="shared" ca="1" si="25"/>
        <v/>
      </c>
      <c r="V106" s="326" t="str">
        <f t="shared" ca="1" si="25"/>
        <v/>
      </c>
      <c r="W106" s="326" t="str">
        <f t="shared" ca="1" si="25"/>
        <v/>
      </c>
      <c r="X106" s="326" t="str">
        <f t="shared" ca="1" si="25"/>
        <v/>
      </c>
      <c r="Y106" s="326" t="str">
        <f t="shared" ca="1" si="25"/>
        <v/>
      </c>
      <c r="Z106" s="326" t="str">
        <f t="shared" ca="1" si="25"/>
        <v/>
      </c>
      <c r="AA106" s="326" t="str">
        <f t="shared" ca="1" si="25"/>
        <v/>
      </c>
      <c r="AB106" s="326" t="str">
        <f t="shared" ca="1" si="25"/>
        <v/>
      </c>
      <c r="AC106" s="326" t="str">
        <f t="shared" ca="1" si="25"/>
        <v/>
      </c>
      <c r="AD106" s="326" t="str">
        <f t="shared" ca="1" si="25"/>
        <v/>
      </c>
      <c r="AE106" s="326" t="str">
        <f t="shared" ca="1" si="25"/>
        <v/>
      </c>
      <c r="AF106" s="326" t="str">
        <f t="shared" ca="1" si="25"/>
        <v/>
      </c>
      <c r="AG106" s="326" t="str">
        <f t="shared" ca="1" si="25"/>
        <v/>
      </c>
      <c r="AH106" s="326" t="str">
        <f t="shared" ca="1" si="25"/>
        <v/>
      </c>
      <c r="AI106" s="326" t="str">
        <f t="shared" ca="1" si="25"/>
        <v/>
      </c>
      <c r="AJ106" s="326" t="str">
        <f t="shared" ca="1" si="25"/>
        <v/>
      </c>
      <c r="AK106" s="326" t="str">
        <f t="shared" ca="1" si="25"/>
        <v/>
      </c>
      <c r="AL106" s="326" t="str">
        <f t="shared" ca="1" si="25"/>
        <v/>
      </c>
      <c r="AM106" s="326" t="str">
        <f t="shared" ca="1" si="25"/>
        <v/>
      </c>
      <c r="AN106" s="326" t="str">
        <f t="shared" ca="1" si="25"/>
        <v/>
      </c>
      <c r="AO106" s="326" t="str">
        <f t="shared" ca="1" si="25"/>
        <v/>
      </c>
      <c r="AP106" s="326" t="str">
        <f t="shared" ca="1" si="25"/>
        <v/>
      </c>
      <c r="AQ106" s="326" t="str">
        <f t="shared" ca="1" si="25"/>
        <v/>
      </c>
      <c r="AR106" s="326" t="str">
        <f t="shared" ca="1" si="25"/>
        <v/>
      </c>
      <c r="AS106" s="326" t="str">
        <f t="shared" ca="1" si="25"/>
        <v/>
      </c>
      <c r="AT106" s="326" t="str">
        <f t="shared" ca="1" si="25"/>
        <v/>
      </c>
      <c r="AU106" s="326" t="str">
        <f t="shared" ca="1" si="25"/>
        <v/>
      </c>
      <c r="AV106" s="326" t="str">
        <f t="shared" ca="1" si="25"/>
        <v/>
      </c>
      <c r="AW106" s="326" t="str">
        <f t="shared" ca="1" si="25"/>
        <v/>
      </c>
      <c r="AX106" s="326" t="str">
        <f t="shared" ca="1" si="25"/>
        <v/>
      </c>
      <c r="AY106" s="326" t="str">
        <f t="shared" ca="1" si="25"/>
        <v/>
      </c>
      <c r="AZ106" s="326" t="str">
        <f t="shared" ca="1" si="25"/>
        <v/>
      </c>
      <c r="BA106" s="326">
        <f t="shared" ca="1" si="25"/>
        <v>1390</v>
      </c>
      <c r="BB106" s="326">
        <f t="shared" ca="1" si="25"/>
        <v>0</v>
      </c>
      <c r="BC106" s="326">
        <f t="shared" ca="1" si="25"/>
        <v>0</v>
      </c>
      <c r="BD106" s="326">
        <f t="shared" ca="1" si="25"/>
        <v>0</v>
      </c>
      <c r="BE106" s="326">
        <f t="shared" ca="1" si="25"/>
        <v>0</v>
      </c>
      <c r="BF106" s="326">
        <f t="shared" ca="1" si="25"/>
        <v>0</v>
      </c>
      <c r="BG106" s="326">
        <f t="shared" ca="1" si="25"/>
        <v>0</v>
      </c>
      <c r="BH106" s="326">
        <f t="shared" ca="1" si="25"/>
        <v>0</v>
      </c>
      <c r="BI106" s="326">
        <f t="shared" ca="1" si="25"/>
        <v>0</v>
      </c>
    </row>
    <row r="107" spans="1:61" outlineLevel="1" x14ac:dyDescent="0.15">
      <c r="A107" s="336">
        <v>53</v>
      </c>
      <c r="B107" s="326" t="str">
        <f t="shared" ca="1" si="26"/>
        <v/>
      </c>
      <c r="C107" s="326" t="str">
        <f t="shared" ca="1" si="26"/>
        <v/>
      </c>
      <c r="D107" s="326" t="str">
        <f t="shared" ca="1" si="26"/>
        <v/>
      </c>
      <c r="E107" s="326" t="str">
        <f t="shared" ca="1" si="26"/>
        <v/>
      </c>
      <c r="F107" s="326" t="str">
        <f t="shared" ca="1" si="26"/>
        <v/>
      </c>
      <c r="G107" s="326" t="str">
        <f t="shared" ca="1" si="26"/>
        <v/>
      </c>
      <c r="H107" s="326" t="str">
        <f t="shared" ca="1" si="26"/>
        <v/>
      </c>
      <c r="I107" s="326" t="str">
        <f t="shared" ca="1" si="26"/>
        <v/>
      </c>
      <c r="J107" s="326" t="str">
        <f t="shared" ca="1" si="26"/>
        <v/>
      </c>
      <c r="K107" s="326" t="str">
        <f t="shared" ca="1" si="26"/>
        <v/>
      </c>
      <c r="L107" s="326" t="str">
        <f t="shared" ca="1" si="26"/>
        <v/>
      </c>
      <c r="M107" s="326" t="str">
        <f t="shared" ca="1" si="26"/>
        <v/>
      </c>
      <c r="N107" s="326" t="str">
        <f t="shared" ca="1" si="26"/>
        <v/>
      </c>
      <c r="O107" s="326" t="str">
        <f t="shared" ca="1" si="26"/>
        <v/>
      </c>
      <c r="P107" s="326" t="str">
        <f t="shared" ca="1" si="26"/>
        <v/>
      </c>
      <c r="Q107" s="326" t="str">
        <f t="shared" ca="1" si="26"/>
        <v/>
      </c>
      <c r="R107" s="326" t="str">
        <f t="shared" ca="1" si="25"/>
        <v/>
      </c>
      <c r="S107" s="326" t="str">
        <f t="shared" ca="1" si="25"/>
        <v/>
      </c>
      <c r="T107" s="326" t="str">
        <f t="shared" ca="1" si="25"/>
        <v/>
      </c>
      <c r="U107" s="326" t="str">
        <f t="shared" ca="1" si="25"/>
        <v/>
      </c>
      <c r="V107" s="326" t="str">
        <f t="shared" ca="1" si="25"/>
        <v/>
      </c>
      <c r="W107" s="326" t="str">
        <f t="shared" ca="1" si="25"/>
        <v/>
      </c>
      <c r="X107" s="326" t="str">
        <f t="shared" ca="1" si="25"/>
        <v/>
      </c>
      <c r="Y107" s="326" t="str">
        <f t="shared" ca="1" si="25"/>
        <v/>
      </c>
      <c r="Z107" s="326" t="str">
        <f t="shared" ca="1" si="25"/>
        <v/>
      </c>
      <c r="AA107" s="326" t="str">
        <f t="shared" ca="1" si="25"/>
        <v/>
      </c>
      <c r="AB107" s="326" t="str">
        <f t="shared" ca="1" si="25"/>
        <v/>
      </c>
      <c r="AC107" s="326" t="str">
        <f t="shared" ca="1" si="25"/>
        <v/>
      </c>
      <c r="AD107" s="326" t="str">
        <f t="shared" ca="1" si="25"/>
        <v/>
      </c>
      <c r="AE107" s="326" t="str">
        <f t="shared" ca="1" si="25"/>
        <v/>
      </c>
      <c r="AF107" s="326" t="str">
        <f t="shared" ca="1" si="25"/>
        <v/>
      </c>
      <c r="AG107" s="326" t="str">
        <f t="shared" ca="1" si="25"/>
        <v/>
      </c>
      <c r="AH107" s="326" t="str">
        <f t="shared" ca="1" si="25"/>
        <v/>
      </c>
      <c r="AI107" s="326" t="str">
        <f t="shared" ca="1" si="25"/>
        <v/>
      </c>
      <c r="AJ107" s="326" t="str">
        <f t="shared" ca="1" si="25"/>
        <v/>
      </c>
      <c r="AK107" s="326" t="str">
        <f t="shared" ca="1" si="25"/>
        <v/>
      </c>
      <c r="AL107" s="326" t="str">
        <f t="shared" ca="1" si="25"/>
        <v/>
      </c>
      <c r="AM107" s="326" t="str">
        <f t="shared" ca="1" si="25"/>
        <v/>
      </c>
      <c r="AN107" s="326" t="str">
        <f t="shared" ca="1" si="25"/>
        <v/>
      </c>
      <c r="AO107" s="326" t="str">
        <f t="shared" ca="1" si="25"/>
        <v/>
      </c>
      <c r="AP107" s="326" t="str">
        <f t="shared" ca="1" si="25"/>
        <v/>
      </c>
      <c r="AQ107" s="326" t="str">
        <f t="shared" ca="1" si="25"/>
        <v/>
      </c>
      <c r="AR107" s="326" t="str">
        <f t="shared" ca="1" si="25"/>
        <v/>
      </c>
      <c r="AS107" s="326" t="str">
        <f t="shared" ca="1" si="25"/>
        <v/>
      </c>
      <c r="AT107" s="326" t="str">
        <f t="shared" ca="1" si="25"/>
        <v/>
      </c>
      <c r="AU107" s="326" t="str">
        <f t="shared" ca="1" si="25"/>
        <v/>
      </c>
      <c r="AV107" s="326" t="str">
        <f t="shared" ca="1" si="25"/>
        <v/>
      </c>
      <c r="AW107" s="326" t="str">
        <f t="shared" ca="1" si="25"/>
        <v/>
      </c>
      <c r="AX107" s="326" t="str">
        <f t="shared" ca="1" si="25"/>
        <v/>
      </c>
      <c r="AY107" s="326" t="str">
        <f t="shared" ca="1" si="25"/>
        <v/>
      </c>
      <c r="AZ107" s="326" t="str">
        <f t="shared" ca="1" si="25"/>
        <v/>
      </c>
      <c r="BA107" s="326" t="str">
        <f t="shared" ca="1" si="25"/>
        <v/>
      </c>
      <c r="BB107" s="326">
        <f t="shared" ca="1" si="25"/>
        <v>1390</v>
      </c>
      <c r="BC107" s="326">
        <f t="shared" ca="1" si="25"/>
        <v>0</v>
      </c>
      <c r="BD107" s="326">
        <f t="shared" ca="1" si="25"/>
        <v>0</v>
      </c>
      <c r="BE107" s="326">
        <f t="shared" ca="1" si="25"/>
        <v>0</v>
      </c>
      <c r="BF107" s="326">
        <f t="shared" ca="1" si="25"/>
        <v>0</v>
      </c>
      <c r="BG107" s="326">
        <f t="shared" ca="1" si="25"/>
        <v>0</v>
      </c>
      <c r="BH107" s="326">
        <f t="shared" ca="1" si="25"/>
        <v>0</v>
      </c>
      <c r="BI107" s="326">
        <f t="shared" ca="1" si="25"/>
        <v>0</v>
      </c>
    </row>
    <row r="108" spans="1:61" outlineLevel="1" x14ac:dyDescent="0.15">
      <c r="A108" s="336">
        <v>54</v>
      </c>
      <c r="B108" s="326" t="str">
        <f t="shared" ca="1" si="26"/>
        <v/>
      </c>
      <c r="C108" s="326" t="str">
        <f t="shared" ca="1" si="26"/>
        <v/>
      </c>
      <c r="D108" s="326" t="str">
        <f t="shared" ca="1" si="26"/>
        <v/>
      </c>
      <c r="E108" s="326" t="str">
        <f t="shared" ca="1" si="26"/>
        <v/>
      </c>
      <c r="F108" s="326" t="str">
        <f t="shared" ca="1" si="26"/>
        <v/>
      </c>
      <c r="G108" s="326" t="str">
        <f t="shared" ca="1" si="26"/>
        <v/>
      </c>
      <c r="H108" s="326" t="str">
        <f t="shared" ca="1" si="26"/>
        <v/>
      </c>
      <c r="I108" s="326" t="str">
        <f t="shared" ca="1" si="26"/>
        <v/>
      </c>
      <c r="J108" s="326" t="str">
        <f t="shared" ca="1" si="26"/>
        <v/>
      </c>
      <c r="K108" s="326" t="str">
        <f t="shared" ca="1" si="26"/>
        <v/>
      </c>
      <c r="L108" s="326" t="str">
        <f t="shared" ca="1" si="26"/>
        <v/>
      </c>
      <c r="M108" s="326" t="str">
        <f t="shared" ca="1" si="26"/>
        <v/>
      </c>
      <c r="N108" s="326" t="str">
        <f t="shared" ca="1" si="26"/>
        <v/>
      </c>
      <c r="O108" s="326" t="str">
        <f t="shared" ca="1" si="26"/>
        <v/>
      </c>
      <c r="P108" s="326" t="str">
        <f t="shared" ca="1" si="26"/>
        <v/>
      </c>
      <c r="Q108" s="326" t="str">
        <f t="shared" ca="1" si="26"/>
        <v/>
      </c>
      <c r="R108" s="326" t="str">
        <f t="shared" ca="1" si="25"/>
        <v/>
      </c>
      <c r="S108" s="326" t="str">
        <f t="shared" ca="1" si="25"/>
        <v/>
      </c>
      <c r="T108" s="326" t="str">
        <f t="shared" ref="T108:BZ112" ca="1" si="27">IF($A108&gt;T$5,"",OFFSET(T$54,0,-($A108-1)))</f>
        <v/>
      </c>
      <c r="U108" s="326" t="str">
        <f t="shared" ca="1" si="27"/>
        <v/>
      </c>
      <c r="V108" s="326" t="str">
        <f t="shared" ca="1" si="27"/>
        <v/>
      </c>
      <c r="W108" s="326" t="str">
        <f t="shared" ca="1" si="27"/>
        <v/>
      </c>
      <c r="X108" s="326" t="str">
        <f t="shared" ca="1" si="27"/>
        <v/>
      </c>
      <c r="Y108" s="326" t="str">
        <f t="shared" ca="1" si="27"/>
        <v/>
      </c>
      <c r="Z108" s="326" t="str">
        <f t="shared" ca="1" si="27"/>
        <v/>
      </c>
      <c r="AA108" s="326" t="str">
        <f t="shared" ca="1" si="27"/>
        <v/>
      </c>
      <c r="AB108" s="326" t="str">
        <f t="shared" ca="1" si="27"/>
        <v/>
      </c>
      <c r="AC108" s="326" t="str">
        <f t="shared" ca="1" si="27"/>
        <v/>
      </c>
      <c r="AD108" s="326" t="str">
        <f t="shared" ca="1" si="27"/>
        <v/>
      </c>
      <c r="AE108" s="326" t="str">
        <f t="shared" ca="1" si="27"/>
        <v/>
      </c>
      <c r="AF108" s="326" t="str">
        <f t="shared" ca="1" si="27"/>
        <v/>
      </c>
      <c r="AG108" s="326" t="str">
        <f t="shared" ca="1" si="27"/>
        <v/>
      </c>
      <c r="AH108" s="326" t="str">
        <f t="shared" ca="1" si="27"/>
        <v/>
      </c>
      <c r="AI108" s="326" t="str">
        <f t="shared" ca="1" si="27"/>
        <v/>
      </c>
      <c r="AJ108" s="326" t="str">
        <f t="shared" ca="1" si="27"/>
        <v/>
      </c>
      <c r="AK108" s="326" t="str">
        <f t="shared" ca="1" si="27"/>
        <v/>
      </c>
      <c r="AL108" s="326" t="str">
        <f t="shared" ca="1" si="27"/>
        <v/>
      </c>
      <c r="AM108" s="326" t="str">
        <f t="shared" ca="1" si="27"/>
        <v/>
      </c>
      <c r="AN108" s="326" t="str">
        <f t="shared" ca="1" si="27"/>
        <v/>
      </c>
      <c r="AO108" s="326" t="str">
        <f t="shared" ca="1" si="27"/>
        <v/>
      </c>
      <c r="AP108" s="326" t="str">
        <f t="shared" ca="1" si="27"/>
        <v/>
      </c>
      <c r="AQ108" s="326" t="str">
        <f t="shared" ca="1" si="27"/>
        <v/>
      </c>
      <c r="AR108" s="326" t="str">
        <f t="shared" ca="1" si="27"/>
        <v/>
      </c>
      <c r="AS108" s="326" t="str">
        <f t="shared" ca="1" si="27"/>
        <v/>
      </c>
      <c r="AT108" s="326" t="str">
        <f t="shared" ca="1" si="27"/>
        <v/>
      </c>
      <c r="AU108" s="326" t="str">
        <f t="shared" ca="1" si="27"/>
        <v/>
      </c>
      <c r="AV108" s="326" t="str">
        <f t="shared" ca="1" si="27"/>
        <v/>
      </c>
      <c r="AW108" s="326" t="str">
        <f t="shared" ca="1" si="27"/>
        <v/>
      </c>
      <c r="AX108" s="326" t="str">
        <f t="shared" ca="1" si="27"/>
        <v/>
      </c>
      <c r="AY108" s="326" t="str">
        <f t="shared" ca="1" si="27"/>
        <v/>
      </c>
      <c r="AZ108" s="326" t="str">
        <f t="shared" ca="1" si="27"/>
        <v/>
      </c>
      <c r="BA108" s="326" t="str">
        <f t="shared" ca="1" si="27"/>
        <v/>
      </c>
      <c r="BB108" s="326" t="str">
        <f t="shared" ca="1" si="27"/>
        <v/>
      </c>
      <c r="BC108" s="326">
        <f t="shared" ca="1" si="27"/>
        <v>1390</v>
      </c>
      <c r="BD108" s="326">
        <f t="shared" ca="1" si="27"/>
        <v>0</v>
      </c>
      <c r="BE108" s="326">
        <f t="shared" ca="1" si="27"/>
        <v>0</v>
      </c>
      <c r="BF108" s="326">
        <f t="shared" ca="1" si="27"/>
        <v>0</v>
      </c>
      <c r="BG108" s="326">
        <f t="shared" ca="1" si="27"/>
        <v>0</v>
      </c>
      <c r="BH108" s="326">
        <f t="shared" ca="1" si="27"/>
        <v>0</v>
      </c>
      <c r="BI108" s="326">
        <f t="shared" ca="1" si="27"/>
        <v>0</v>
      </c>
    </row>
    <row r="109" spans="1:61" outlineLevel="1" x14ac:dyDescent="0.15">
      <c r="A109" s="336">
        <v>55</v>
      </c>
      <c r="B109" s="326" t="str">
        <f t="shared" ca="1" si="26"/>
        <v/>
      </c>
      <c r="C109" s="326" t="str">
        <f t="shared" ca="1" si="26"/>
        <v/>
      </c>
      <c r="D109" s="326" t="str">
        <f t="shared" ca="1" si="26"/>
        <v/>
      </c>
      <c r="E109" s="326" t="str">
        <f t="shared" ca="1" si="26"/>
        <v/>
      </c>
      <c r="F109" s="326" t="str">
        <f t="shared" ca="1" si="26"/>
        <v/>
      </c>
      <c r="G109" s="326" t="str">
        <f t="shared" ca="1" si="26"/>
        <v/>
      </c>
      <c r="H109" s="326" t="str">
        <f t="shared" ca="1" si="26"/>
        <v/>
      </c>
      <c r="I109" s="326" t="str">
        <f t="shared" ca="1" si="26"/>
        <v/>
      </c>
      <c r="J109" s="326" t="str">
        <f t="shared" ca="1" si="26"/>
        <v/>
      </c>
      <c r="K109" s="326" t="str">
        <f t="shared" ca="1" si="26"/>
        <v/>
      </c>
      <c r="L109" s="326" t="str">
        <f t="shared" ca="1" si="26"/>
        <v/>
      </c>
      <c r="M109" s="326" t="str">
        <f t="shared" ca="1" si="26"/>
        <v/>
      </c>
      <c r="N109" s="326" t="str">
        <f t="shared" ca="1" si="26"/>
        <v/>
      </c>
      <c r="O109" s="326" t="str">
        <f t="shared" ca="1" si="26"/>
        <v/>
      </c>
      <c r="P109" s="326" t="str">
        <f t="shared" ca="1" si="26"/>
        <v/>
      </c>
      <c r="Q109" s="326" t="str">
        <f t="shared" ca="1" si="26"/>
        <v/>
      </c>
      <c r="R109" s="326" t="str">
        <f t="shared" ref="R109:BX114" ca="1" si="28">IF($A109&gt;R$5,"",OFFSET(R$54,0,-($A109-1)))</f>
        <v/>
      </c>
      <c r="S109" s="326" t="str">
        <f t="shared" ca="1" si="28"/>
        <v/>
      </c>
      <c r="T109" s="326" t="str">
        <f t="shared" ca="1" si="28"/>
        <v/>
      </c>
      <c r="U109" s="326" t="str">
        <f t="shared" ca="1" si="28"/>
        <v/>
      </c>
      <c r="V109" s="326" t="str">
        <f t="shared" ca="1" si="28"/>
        <v/>
      </c>
      <c r="W109" s="326" t="str">
        <f t="shared" ca="1" si="28"/>
        <v/>
      </c>
      <c r="X109" s="326" t="str">
        <f t="shared" ca="1" si="28"/>
        <v/>
      </c>
      <c r="Y109" s="326" t="str">
        <f t="shared" ca="1" si="28"/>
        <v/>
      </c>
      <c r="Z109" s="326" t="str">
        <f t="shared" ca="1" si="28"/>
        <v/>
      </c>
      <c r="AA109" s="326" t="str">
        <f t="shared" ca="1" si="28"/>
        <v/>
      </c>
      <c r="AB109" s="326" t="str">
        <f t="shared" ca="1" si="28"/>
        <v/>
      </c>
      <c r="AC109" s="326" t="str">
        <f t="shared" ca="1" si="28"/>
        <v/>
      </c>
      <c r="AD109" s="326" t="str">
        <f t="shared" ca="1" si="28"/>
        <v/>
      </c>
      <c r="AE109" s="326" t="str">
        <f t="shared" ca="1" si="28"/>
        <v/>
      </c>
      <c r="AF109" s="326" t="str">
        <f t="shared" ca="1" si="28"/>
        <v/>
      </c>
      <c r="AG109" s="326" t="str">
        <f t="shared" ca="1" si="28"/>
        <v/>
      </c>
      <c r="AH109" s="326" t="str">
        <f t="shared" ca="1" si="28"/>
        <v/>
      </c>
      <c r="AI109" s="326" t="str">
        <f t="shared" ca="1" si="28"/>
        <v/>
      </c>
      <c r="AJ109" s="326" t="str">
        <f t="shared" ca="1" si="28"/>
        <v/>
      </c>
      <c r="AK109" s="326" t="str">
        <f t="shared" ca="1" si="28"/>
        <v/>
      </c>
      <c r="AL109" s="326" t="str">
        <f t="shared" ca="1" si="28"/>
        <v/>
      </c>
      <c r="AM109" s="326" t="str">
        <f t="shared" ca="1" si="28"/>
        <v/>
      </c>
      <c r="AN109" s="326" t="str">
        <f t="shared" ca="1" si="28"/>
        <v/>
      </c>
      <c r="AO109" s="326" t="str">
        <f t="shared" ca="1" si="28"/>
        <v/>
      </c>
      <c r="AP109" s="326" t="str">
        <f t="shared" ca="1" si="28"/>
        <v/>
      </c>
      <c r="AQ109" s="326" t="str">
        <f t="shared" ca="1" si="28"/>
        <v/>
      </c>
      <c r="AR109" s="326" t="str">
        <f t="shared" ca="1" si="28"/>
        <v/>
      </c>
      <c r="AS109" s="326" t="str">
        <f t="shared" ca="1" si="28"/>
        <v/>
      </c>
      <c r="AT109" s="326" t="str">
        <f t="shared" ca="1" si="28"/>
        <v/>
      </c>
      <c r="AU109" s="326" t="str">
        <f t="shared" ca="1" si="28"/>
        <v/>
      </c>
      <c r="AV109" s="326" t="str">
        <f t="shared" ca="1" si="28"/>
        <v/>
      </c>
      <c r="AW109" s="326" t="str">
        <f t="shared" ca="1" si="28"/>
        <v/>
      </c>
      <c r="AX109" s="326" t="str">
        <f t="shared" ca="1" si="28"/>
        <v/>
      </c>
      <c r="AY109" s="326" t="str">
        <f t="shared" ca="1" si="28"/>
        <v/>
      </c>
      <c r="AZ109" s="326" t="str">
        <f t="shared" ca="1" si="28"/>
        <v/>
      </c>
      <c r="BA109" s="326" t="str">
        <f t="shared" ca="1" si="28"/>
        <v/>
      </c>
      <c r="BB109" s="326" t="str">
        <f t="shared" ca="1" si="28"/>
        <v/>
      </c>
      <c r="BC109" s="326" t="str">
        <f t="shared" ca="1" si="28"/>
        <v/>
      </c>
      <c r="BD109" s="326">
        <f t="shared" ca="1" si="28"/>
        <v>1390</v>
      </c>
      <c r="BE109" s="326">
        <f t="shared" ca="1" si="28"/>
        <v>0</v>
      </c>
      <c r="BF109" s="326">
        <f t="shared" ca="1" si="28"/>
        <v>0</v>
      </c>
      <c r="BG109" s="326">
        <f t="shared" ca="1" si="28"/>
        <v>0</v>
      </c>
      <c r="BH109" s="326">
        <f t="shared" ca="1" si="28"/>
        <v>0</v>
      </c>
      <c r="BI109" s="326">
        <f t="shared" ca="1" si="28"/>
        <v>0</v>
      </c>
    </row>
    <row r="110" spans="1:61" outlineLevel="1" x14ac:dyDescent="0.15">
      <c r="A110" s="336">
        <v>56</v>
      </c>
      <c r="B110" s="326" t="str">
        <f t="shared" ca="1" si="26"/>
        <v/>
      </c>
      <c r="C110" s="326" t="str">
        <f t="shared" ca="1" si="26"/>
        <v/>
      </c>
      <c r="D110" s="326" t="str">
        <f t="shared" ca="1" si="26"/>
        <v/>
      </c>
      <c r="E110" s="326" t="str">
        <f t="shared" ca="1" si="26"/>
        <v/>
      </c>
      <c r="F110" s="326" t="str">
        <f t="shared" ca="1" si="26"/>
        <v/>
      </c>
      <c r="G110" s="326" t="str">
        <f t="shared" ca="1" si="26"/>
        <v/>
      </c>
      <c r="H110" s="326" t="str">
        <f t="shared" ca="1" si="26"/>
        <v/>
      </c>
      <c r="I110" s="326" t="str">
        <f t="shared" ca="1" si="26"/>
        <v/>
      </c>
      <c r="J110" s="326" t="str">
        <f t="shared" ca="1" si="26"/>
        <v/>
      </c>
      <c r="K110" s="326" t="str">
        <f t="shared" ca="1" si="26"/>
        <v/>
      </c>
      <c r="L110" s="326" t="str">
        <f t="shared" ca="1" si="26"/>
        <v/>
      </c>
      <c r="M110" s="326" t="str">
        <f t="shared" ca="1" si="26"/>
        <v/>
      </c>
      <c r="N110" s="326" t="str">
        <f t="shared" ca="1" si="26"/>
        <v/>
      </c>
      <c r="O110" s="326" t="str">
        <f t="shared" ca="1" si="26"/>
        <v/>
      </c>
      <c r="P110" s="326" t="str">
        <f t="shared" ca="1" si="26"/>
        <v/>
      </c>
      <c r="Q110" s="326" t="str">
        <f t="shared" ca="1" si="26"/>
        <v/>
      </c>
      <c r="R110" s="326" t="str">
        <f t="shared" ca="1" si="28"/>
        <v/>
      </c>
      <c r="S110" s="326" t="str">
        <f t="shared" ca="1" si="28"/>
        <v/>
      </c>
      <c r="T110" s="326" t="str">
        <f t="shared" ca="1" si="28"/>
        <v/>
      </c>
      <c r="U110" s="326" t="str">
        <f t="shared" ca="1" si="28"/>
        <v/>
      </c>
      <c r="V110" s="326" t="str">
        <f t="shared" ca="1" si="28"/>
        <v/>
      </c>
      <c r="W110" s="326" t="str">
        <f t="shared" ca="1" si="28"/>
        <v/>
      </c>
      <c r="X110" s="326" t="str">
        <f t="shared" ca="1" si="28"/>
        <v/>
      </c>
      <c r="Y110" s="326" t="str">
        <f t="shared" ca="1" si="28"/>
        <v/>
      </c>
      <c r="Z110" s="326" t="str">
        <f t="shared" ca="1" si="28"/>
        <v/>
      </c>
      <c r="AA110" s="326" t="str">
        <f t="shared" ca="1" si="28"/>
        <v/>
      </c>
      <c r="AB110" s="326" t="str">
        <f t="shared" ca="1" si="28"/>
        <v/>
      </c>
      <c r="AC110" s="326" t="str">
        <f t="shared" ca="1" si="28"/>
        <v/>
      </c>
      <c r="AD110" s="326" t="str">
        <f t="shared" ca="1" si="28"/>
        <v/>
      </c>
      <c r="AE110" s="326" t="str">
        <f t="shared" ca="1" si="28"/>
        <v/>
      </c>
      <c r="AF110" s="326" t="str">
        <f t="shared" ca="1" si="28"/>
        <v/>
      </c>
      <c r="AG110" s="326" t="str">
        <f t="shared" ca="1" si="28"/>
        <v/>
      </c>
      <c r="AH110" s="326" t="str">
        <f t="shared" ca="1" si="28"/>
        <v/>
      </c>
      <c r="AI110" s="326" t="str">
        <f t="shared" ca="1" si="28"/>
        <v/>
      </c>
      <c r="AJ110" s="326" t="str">
        <f t="shared" ca="1" si="28"/>
        <v/>
      </c>
      <c r="AK110" s="326" t="str">
        <f t="shared" ca="1" si="28"/>
        <v/>
      </c>
      <c r="AL110" s="326" t="str">
        <f t="shared" ca="1" si="28"/>
        <v/>
      </c>
      <c r="AM110" s="326" t="str">
        <f t="shared" ca="1" si="28"/>
        <v/>
      </c>
      <c r="AN110" s="326" t="str">
        <f t="shared" ca="1" si="28"/>
        <v/>
      </c>
      <c r="AO110" s="326" t="str">
        <f t="shared" ca="1" si="28"/>
        <v/>
      </c>
      <c r="AP110" s="326" t="str">
        <f t="shared" ca="1" si="28"/>
        <v/>
      </c>
      <c r="AQ110" s="326" t="str">
        <f t="shared" ca="1" si="28"/>
        <v/>
      </c>
      <c r="AR110" s="326" t="str">
        <f t="shared" ca="1" si="28"/>
        <v/>
      </c>
      <c r="AS110" s="326" t="str">
        <f t="shared" ca="1" si="28"/>
        <v/>
      </c>
      <c r="AT110" s="326" t="str">
        <f t="shared" ca="1" si="28"/>
        <v/>
      </c>
      <c r="AU110" s="326" t="str">
        <f t="shared" ca="1" si="28"/>
        <v/>
      </c>
      <c r="AV110" s="326" t="str">
        <f t="shared" ca="1" si="28"/>
        <v/>
      </c>
      <c r="AW110" s="326" t="str">
        <f t="shared" ca="1" si="28"/>
        <v/>
      </c>
      <c r="AX110" s="326" t="str">
        <f t="shared" ca="1" si="28"/>
        <v/>
      </c>
      <c r="AY110" s="326" t="str">
        <f t="shared" ca="1" si="28"/>
        <v/>
      </c>
      <c r="AZ110" s="326" t="str">
        <f t="shared" ca="1" si="28"/>
        <v/>
      </c>
      <c r="BA110" s="326" t="str">
        <f t="shared" ca="1" si="28"/>
        <v/>
      </c>
      <c r="BB110" s="326" t="str">
        <f t="shared" ca="1" si="28"/>
        <v/>
      </c>
      <c r="BC110" s="326" t="str">
        <f t="shared" ca="1" si="28"/>
        <v/>
      </c>
      <c r="BD110" s="326" t="str">
        <f t="shared" ca="1" si="28"/>
        <v/>
      </c>
      <c r="BE110" s="326">
        <f t="shared" ca="1" si="28"/>
        <v>1390</v>
      </c>
      <c r="BF110" s="326">
        <f t="shared" ca="1" si="28"/>
        <v>0</v>
      </c>
      <c r="BG110" s="326">
        <f t="shared" ca="1" si="28"/>
        <v>0</v>
      </c>
      <c r="BH110" s="326">
        <f t="shared" ca="1" si="28"/>
        <v>0</v>
      </c>
      <c r="BI110" s="326">
        <f t="shared" ca="1" si="28"/>
        <v>0</v>
      </c>
    </row>
    <row r="111" spans="1:61" outlineLevel="1" x14ac:dyDescent="0.15">
      <c r="A111" s="336">
        <v>57</v>
      </c>
      <c r="B111" s="326" t="str">
        <f t="shared" ca="1" si="26"/>
        <v/>
      </c>
      <c r="C111" s="326" t="str">
        <f t="shared" ca="1" si="26"/>
        <v/>
      </c>
      <c r="D111" s="326" t="str">
        <f t="shared" ca="1" si="26"/>
        <v/>
      </c>
      <c r="E111" s="326" t="str">
        <f t="shared" ca="1" si="26"/>
        <v/>
      </c>
      <c r="F111" s="326" t="str">
        <f t="shared" ca="1" si="26"/>
        <v/>
      </c>
      <c r="G111" s="326" t="str">
        <f t="shared" ca="1" si="26"/>
        <v/>
      </c>
      <c r="H111" s="326" t="str">
        <f t="shared" ca="1" si="26"/>
        <v/>
      </c>
      <c r="I111" s="326" t="str">
        <f t="shared" ca="1" si="26"/>
        <v/>
      </c>
      <c r="J111" s="326" t="str">
        <f t="shared" ca="1" si="26"/>
        <v/>
      </c>
      <c r="K111" s="326" t="str">
        <f t="shared" ca="1" si="26"/>
        <v/>
      </c>
      <c r="L111" s="326" t="str">
        <f t="shared" ca="1" si="26"/>
        <v/>
      </c>
      <c r="M111" s="326" t="str">
        <f t="shared" ca="1" si="26"/>
        <v/>
      </c>
      <c r="N111" s="326" t="str">
        <f t="shared" ca="1" si="26"/>
        <v/>
      </c>
      <c r="O111" s="326" t="str">
        <f t="shared" ca="1" si="26"/>
        <v/>
      </c>
      <c r="P111" s="326" t="str">
        <f t="shared" ca="1" si="26"/>
        <v/>
      </c>
      <c r="Q111" s="326" t="str">
        <f t="shared" ca="1" si="26"/>
        <v/>
      </c>
      <c r="R111" s="326" t="str">
        <f t="shared" ca="1" si="28"/>
        <v/>
      </c>
      <c r="S111" s="326" t="str">
        <f t="shared" ca="1" si="28"/>
        <v/>
      </c>
      <c r="T111" s="326" t="str">
        <f t="shared" ca="1" si="28"/>
        <v/>
      </c>
      <c r="U111" s="326" t="str">
        <f t="shared" ca="1" si="28"/>
        <v/>
      </c>
      <c r="V111" s="326" t="str">
        <f t="shared" ca="1" si="28"/>
        <v/>
      </c>
      <c r="W111" s="326" t="str">
        <f t="shared" ca="1" si="28"/>
        <v/>
      </c>
      <c r="X111" s="326" t="str">
        <f t="shared" ca="1" si="28"/>
        <v/>
      </c>
      <c r="Y111" s="326" t="str">
        <f t="shared" ca="1" si="28"/>
        <v/>
      </c>
      <c r="Z111" s="326" t="str">
        <f t="shared" ca="1" si="28"/>
        <v/>
      </c>
      <c r="AA111" s="326" t="str">
        <f t="shared" ca="1" si="28"/>
        <v/>
      </c>
      <c r="AB111" s="326" t="str">
        <f t="shared" ca="1" si="28"/>
        <v/>
      </c>
      <c r="AC111" s="326" t="str">
        <f t="shared" ca="1" si="28"/>
        <v/>
      </c>
      <c r="AD111" s="326" t="str">
        <f t="shared" ca="1" si="28"/>
        <v/>
      </c>
      <c r="AE111" s="326" t="str">
        <f t="shared" ca="1" si="28"/>
        <v/>
      </c>
      <c r="AF111" s="326" t="str">
        <f t="shared" ca="1" si="28"/>
        <v/>
      </c>
      <c r="AG111" s="326" t="str">
        <f t="shared" ca="1" si="28"/>
        <v/>
      </c>
      <c r="AH111" s="326" t="str">
        <f t="shared" ca="1" si="28"/>
        <v/>
      </c>
      <c r="AI111" s="326" t="str">
        <f t="shared" ca="1" si="28"/>
        <v/>
      </c>
      <c r="AJ111" s="326" t="str">
        <f t="shared" ca="1" si="28"/>
        <v/>
      </c>
      <c r="AK111" s="326" t="str">
        <f t="shared" ca="1" si="28"/>
        <v/>
      </c>
      <c r="AL111" s="326" t="str">
        <f t="shared" ca="1" si="28"/>
        <v/>
      </c>
      <c r="AM111" s="326" t="str">
        <f t="shared" ca="1" si="28"/>
        <v/>
      </c>
      <c r="AN111" s="326" t="str">
        <f t="shared" ca="1" si="28"/>
        <v/>
      </c>
      <c r="AO111" s="326" t="str">
        <f t="shared" ca="1" si="28"/>
        <v/>
      </c>
      <c r="AP111" s="326" t="str">
        <f t="shared" ca="1" si="28"/>
        <v/>
      </c>
      <c r="AQ111" s="326" t="str">
        <f t="shared" ca="1" si="28"/>
        <v/>
      </c>
      <c r="AR111" s="326" t="str">
        <f t="shared" ca="1" si="28"/>
        <v/>
      </c>
      <c r="AS111" s="326" t="str">
        <f t="shared" ca="1" si="28"/>
        <v/>
      </c>
      <c r="AT111" s="326" t="str">
        <f t="shared" ca="1" si="28"/>
        <v/>
      </c>
      <c r="AU111" s="326" t="str">
        <f t="shared" ca="1" si="28"/>
        <v/>
      </c>
      <c r="AV111" s="326" t="str">
        <f t="shared" ca="1" si="28"/>
        <v/>
      </c>
      <c r="AW111" s="326" t="str">
        <f t="shared" ca="1" si="28"/>
        <v/>
      </c>
      <c r="AX111" s="326" t="str">
        <f t="shared" ca="1" si="28"/>
        <v/>
      </c>
      <c r="AY111" s="326" t="str">
        <f t="shared" ca="1" si="28"/>
        <v/>
      </c>
      <c r="AZ111" s="326" t="str">
        <f t="shared" ca="1" si="28"/>
        <v/>
      </c>
      <c r="BA111" s="326" t="str">
        <f t="shared" ca="1" si="28"/>
        <v/>
      </c>
      <c r="BB111" s="326" t="str">
        <f t="shared" ca="1" si="28"/>
        <v/>
      </c>
      <c r="BC111" s="326" t="str">
        <f t="shared" ca="1" si="28"/>
        <v/>
      </c>
      <c r="BD111" s="326" t="str">
        <f t="shared" ca="1" si="28"/>
        <v/>
      </c>
      <c r="BE111" s="326" t="str">
        <f t="shared" ca="1" si="28"/>
        <v/>
      </c>
      <c r="BF111" s="326">
        <f t="shared" ca="1" si="28"/>
        <v>1390</v>
      </c>
      <c r="BG111" s="326">
        <f t="shared" ca="1" si="28"/>
        <v>0</v>
      </c>
      <c r="BH111" s="326">
        <f t="shared" ca="1" si="28"/>
        <v>0</v>
      </c>
      <c r="BI111" s="326">
        <f t="shared" ca="1" si="28"/>
        <v>0</v>
      </c>
    </row>
    <row r="112" spans="1:61" outlineLevel="1" x14ac:dyDescent="0.15">
      <c r="A112" s="336">
        <v>58</v>
      </c>
      <c r="B112" s="326" t="str">
        <f t="shared" ca="1" si="26"/>
        <v/>
      </c>
      <c r="C112" s="326" t="str">
        <f t="shared" ca="1" si="26"/>
        <v/>
      </c>
      <c r="D112" s="326" t="str">
        <f t="shared" ca="1" si="26"/>
        <v/>
      </c>
      <c r="E112" s="326" t="str">
        <f t="shared" ca="1" si="26"/>
        <v/>
      </c>
      <c r="F112" s="326" t="str">
        <f t="shared" ca="1" si="26"/>
        <v/>
      </c>
      <c r="G112" s="326" t="str">
        <f t="shared" ca="1" si="26"/>
        <v/>
      </c>
      <c r="H112" s="326" t="str">
        <f t="shared" ca="1" si="26"/>
        <v/>
      </c>
      <c r="I112" s="326" t="str">
        <f t="shared" ca="1" si="26"/>
        <v/>
      </c>
      <c r="J112" s="326" t="str">
        <f t="shared" ca="1" si="26"/>
        <v/>
      </c>
      <c r="K112" s="326" t="str">
        <f t="shared" ca="1" si="26"/>
        <v/>
      </c>
      <c r="L112" s="326" t="str">
        <f t="shared" ca="1" si="26"/>
        <v/>
      </c>
      <c r="M112" s="326" t="str">
        <f t="shared" ca="1" si="26"/>
        <v/>
      </c>
      <c r="N112" s="326" t="str">
        <f t="shared" ca="1" si="26"/>
        <v/>
      </c>
      <c r="O112" s="326" t="str">
        <f t="shared" ca="1" si="26"/>
        <v/>
      </c>
      <c r="P112" s="326" t="str">
        <f t="shared" ca="1" si="26"/>
        <v/>
      </c>
      <c r="Q112" s="326" t="str">
        <f t="shared" ca="1" si="26"/>
        <v/>
      </c>
      <c r="R112" s="326" t="str">
        <f t="shared" ca="1" si="28"/>
        <v/>
      </c>
      <c r="S112" s="326" t="str">
        <f t="shared" ca="1" si="28"/>
        <v/>
      </c>
      <c r="T112" s="326" t="str">
        <f t="shared" ca="1" si="28"/>
        <v/>
      </c>
      <c r="U112" s="326" t="str">
        <f t="shared" ca="1" si="28"/>
        <v/>
      </c>
      <c r="V112" s="326" t="str">
        <f t="shared" ca="1" si="28"/>
        <v/>
      </c>
      <c r="W112" s="326" t="str">
        <f t="shared" ca="1" si="28"/>
        <v/>
      </c>
      <c r="X112" s="326" t="str">
        <f t="shared" ca="1" si="28"/>
        <v/>
      </c>
      <c r="Y112" s="326" t="str">
        <f t="shared" ca="1" si="28"/>
        <v/>
      </c>
      <c r="Z112" s="326" t="str">
        <f t="shared" ca="1" si="28"/>
        <v/>
      </c>
      <c r="AA112" s="326" t="str">
        <f t="shared" ca="1" si="28"/>
        <v/>
      </c>
      <c r="AB112" s="326" t="str">
        <f t="shared" ca="1" si="28"/>
        <v/>
      </c>
      <c r="AC112" s="326" t="str">
        <f t="shared" ca="1" si="28"/>
        <v/>
      </c>
      <c r="AD112" s="326" t="str">
        <f t="shared" ca="1" si="28"/>
        <v/>
      </c>
      <c r="AE112" s="326" t="str">
        <f t="shared" ca="1" si="28"/>
        <v/>
      </c>
      <c r="AF112" s="326" t="str">
        <f t="shared" ca="1" si="28"/>
        <v/>
      </c>
      <c r="AG112" s="326" t="str">
        <f t="shared" ca="1" si="28"/>
        <v/>
      </c>
      <c r="AH112" s="326" t="str">
        <f t="shared" ca="1" si="28"/>
        <v/>
      </c>
      <c r="AI112" s="326" t="str">
        <f t="shared" ca="1" si="28"/>
        <v/>
      </c>
      <c r="AJ112" s="326" t="str">
        <f t="shared" ca="1" si="28"/>
        <v/>
      </c>
      <c r="AK112" s="326" t="str">
        <f t="shared" ca="1" si="28"/>
        <v/>
      </c>
      <c r="AL112" s="326" t="str">
        <f t="shared" ca="1" si="28"/>
        <v/>
      </c>
      <c r="AM112" s="326" t="str">
        <f t="shared" ca="1" si="28"/>
        <v/>
      </c>
      <c r="AN112" s="326" t="str">
        <f t="shared" ca="1" si="28"/>
        <v/>
      </c>
      <c r="AO112" s="326" t="str">
        <f t="shared" ca="1" si="28"/>
        <v/>
      </c>
      <c r="AP112" s="326" t="str">
        <f t="shared" ca="1" si="28"/>
        <v/>
      </c>
      <c r="AQ112" s="326" t="str">
        <f t="shared" ca="1" si="28"/>
        <v/>
      </c>
      <c r="AR112" s="326" t="str">
        <f t="shared" ca="1" si="28"/>
        <v/>
      </c>
      <c r="AS112" s="326" t="str">
        <f t="shared" ca="1" si="28"/>
        <v/>
      </c>
      <c r="AT112" s="326" t="str">
        <f t="shared" ca="1" si="28"/>
        <v/>
      </c>
      <c r="AU112" s="326" t="str">
        <f t="shared" ca="1" si="28"/>
        <v/>
      </c>
      <c r="AV112" s="326" t="str">
        <f t="shared" ca="1" si="28"/>
        <v/>
      </c>
      <c r="AW112" s="326" t="str">
        <f t="shared" ca="1" si="28"/>
        <v/>
      </c>
      <c r="AX112" s="326" t="str">
        <f t="shared" ca="1" si="28"/>
        <v/>
      </c>
      <c r="AY112" s="326" t="str">
        <f t="shared" ca="1" si="28"/>
        <v/>
      </c>
      <c r="AZ112" s="326" t="str">
        <f t="shared" ca="1" si="28"/>
        <v/>
      </c>
      <c r="BA112" s="326" t="str">
        <f t="shared" ca="1" si="28"/>
        <v/>
      </c>
      <c r="BB112" s="326" t="str">
        <f t="shared" ca="1" si="28"/>
        <v/>
      </c>
      <c r="BC112" s="326" t="str">
        <f t="shared" ca="1" si="28"/>
        <v/>
      </c>
      <c r="BD112" s="326" t="str">
        <f t="shared" ca="1" si="28"/>
        <v/>
      </c>
      <c r="BE112" s="326" t="str">
        <f t="shared" ca="1" si="28"/>
        <v/>
      </c>
      <c r="BF112" s="326" t="str">
        <f t="shared" ca="1" si="28"/>
        <v/>
      </c>
      <c r="BG112" s="326">
        <f t="shared" ca="1" si="28"/>
        <v>1390</v>
      </c>
      <c r="BH112" s="326">
        <f t="shared" ca="1" si="28"/>
        <v>0</v>
      </c>
      <c r="BI112" s="326">
        <f t="shared" ca="1" si="28"/>
        <v>0</v>
      </c>
    </row>
    <row r="113" spans="1:61" outlineLevel="1" x14ac:dyDescent="0.15">
      <c r="A113" s="336">
        <v>59</v>
      </c>
      <c r="B113" s="326" t="str">
        <f t="shared" ca="1" si="26"/>
        <v/>
      </c>
      <c r="C113" s="326" t="str">
        <f t="shared" ca="1" si="26"/>
        <v/>
      </c>
      <c r="D113" s="326" t="str">
        <f t="shared" ca="1" si="26"/>
        <v/>
      </c>
      <c r="E113" s="326" t="str">
        <f t="shared" ca="1" si="26"/>
        <v/>
      </c>
      <c r="F113" s="326" t="str">
        <f t="shared" ca="1" si="26"/>
        <v/>
      </c>
      <c r="G113" s="326" t="str">
        <f t="shared" ca="1" si="26"/>
        <v/>
      </c>
      <c r="H113" s="326" t="str">
        <f t="shared" ca="1" si="26"/>
        <v/>
      </c>
      <c r="I113" s="326" t="str">
        <f t="shared" ca="1" si="26"/>
        <v/>
      </c>
      <c r="J113" s="326" t="str">
        <f t="shared" ca="1" si="26"/>
        <v/>
      </c>
      <c r="K113" s="326" t="str">
        <f t="shared" ca="1" si="26"/>
        <v/>
      </c>
      <c r="L113" s="326" t="str">
        <f t="shared" ca="1" si="26"/>
        <v/>
      </c>
      <c r="M113" s="326" t="str">
        <f t="shared" ca="1" si="26"/>
        <v/>
      </c>
      <c r="N113" s="326" t="str">
        <f t="shared" ca="1" si="26"/>
        <v/>
      </c>
      <c r="O113" s="326" t="str">
        <f t="shared" ca="1" si="26"/>
        <v/>
      </c>
      <c r="P113" s="326" t="str">
        <f t="shared" ca="1" si="26"/>
        <v/>
      </c>
      <c r="Q113" s="326" t="str">
        <f t="shared" ca="1" si="26"/>
        <v/>
      </c>
      <c r="R113" s="326" t="str">
        <f t="shared" ca="1" si="28"/>
        <v/>
      </c>
      <c r="S113" s="326" t="str">
        <f t="shared" ca="1" si="28"/>
        <v/>
      </c>
      <c r="T113" s="326" t="str">
        <f t="shared" ca="1" si="28"/>
        <v/>
      </c>
      <c r="U113" s="326" t="str">
        <f t="shared" ca="1" si="28"/>
        <v/>
      </c>
      <c r="V113" s="326" t="str">
        <f t="shared" ca="1" si="28"/>
        <v/>
      </c>
      <c r="W113" s="326" t="str">
        <f t="shared" ca="1" si="28"/>
        <v/>
      </c>
      <c r="X113" s="326" t="str">
        <f t="shared" ca="1" si="28"/>
        <v/>
      </c>
      <c r="Y113" s="326" t="str">
        <f t="shared" ca="1" si="28"/>
        <v/>
      </c>
      <c r="Z113" s="326" t="str">
        <f t="shared" ca="1" si="28"/>
        <v/>
      </c>
      <c r="AA113" s="326" t="str">
        <f t="shared" ca="1" si="28"/>
        <v/>
      </c>
      <c r="AB113" s="326" t="str">
        <f t="shared" ca="1" si="28"/>
        <v/>
      </c>
      <c r="AC113" s="326" t="str">
        <f t="shared" ca="1" si="28"/>
        <v/>
      </c>
      <c r="AD113" s="326" t="str">
        <f t="shared" ca="1" si="28"/>
        <v/>
      </c>
      <c r="AE113" s="326" t="str">
        <f t="shared" ca="1" si="28"/>
        <v/>
      </c>
      <c r="AF113" s="326" t="str">
        <f t="shared" ca="1" si="28"/>
        <v/>
      </c>
      <c r="AG113" s="326" t="str">
        <f t="shared" ca="1" si="28"/>
        <v/>
      </c>
      <c r="AH113" s="326" t="str">
        <f t="shared" ca="1" si="28"/>
        <v/>
      </c>
      <c r="AI113" s="326" t="str">
        <f t="shared" ca="1" si="28"/>
        <v/>
      </c>
      <c r="AJ113" s="326" t="str">
        <f t="shared" ca="1" si="28"/>
        <v/>
      </c>
      <c r="AK113" s="326" t="str">
        <f t="shared" ca="1" si="28"/>
        <v/>
      </c>
      <c r="AL113" s="326" t="str">
        <f t="shared" ca="1" si="28"/>
        <v/>
      </c>
      <c r="AM113" s="326" t="str">
        <f t="shared" ca="1" si="28"/>
        <v/>
      </c>
      <c r="AN113" s="326" t="str">
        <f t="shared" ca="1" si="28"/>
        <v/>
      </c>
      <c r="AO113" s="326" t="str">
        <f t="shared" ca="1" si="28"/>
        <v/>
      </c>
      <c r="AP113" s="326" t="str">
        <f t="shared" ca="1" si="28"/>
        <v/>
      </c>
      <c r="AQ113" s="326" t="str">
        <f t="shared" ca="1" si="28"/>
        <v/>
      </c>
      <c r="AR113" s="326" t="str">
        <f t="shared" ca="1" si="28"/>
        <v/>
      </c>
      <c r="AS113" s="326" t="str">
        <f t="shared" ca="1" si="28"/>
        <v/>
      </c>
      <c r="AT113" s="326" t="str">
        <f t="shared" ca="1" si="28"/>
        <v/>
      </c>
      <c r="AU113" s="326" t="str">
        <f t="shared" ca="1" si="28"/>
        <v/>
      </c>
      <c r="AV113" s="326" t="str">
        <f t="shared" ca="1" si="28"/>
        <v/>
      </c>
      <c r="AW113" s="326" t="str">
        <f t="shared" ca="1" si="28"/>
        <v/>
      </c>
      <c r="AX113" s="326" t="str">
        <f t="shared" ca="1" si="28"/>
        <v/>
      </c>
      <c r="AY113" s="326" t="str">
        <f t="shared" ca="1" si="28"/>
        <v/>
      </c>
      <c r="AZ113" s="326" t="str">
        <f t="shared" ca="1" si="28"/>
        <v/>
      </c>
      <c r="BA113" s="326" t="str">
        <f t="shared" ca="1" si="28"/>
        <v/>
      </c>
      <c r="BB113" s="326" t="str">
        <f t="shared" ca="1" si="28"/>
        <v/>
      </c>
      <c r="BC113" s="326" t="str">
        <f t="shared" ca="1" si="28"/>
        <v/>
      </c>
      <c r="BD113" s="326" t="str">
        <f t="shared" ca="1" si="28"/>
        <v/>
      </c>
      <c r="BE113" s="326" t="str">
        <f t="shared" ca="1" si="28"/>
        <v/>
      </c>
      <c r="BF113" s="326" t="str">
        <f t="shared" ca="1" si="28"/>
        <v/>
      </c>
      <c r="BG113" s="326" t="str">
        <f t="shared" ca="1" si="28"/>
        <v/>
      </c>
      <c r="BH113" s="326">
        <f t="shared" ca="1" si="28"/>
        <v>1390</v>
      </c>
      <c r="BI113" s="326">
        <f t="shared" ca="1" si="28"/>
        <v>0</v>
      </c>
    </row>
    <row r="114" spans="1:61" s="333" customFormat="1" x14ac:dyDescent="0.15">
      <c r="A114" s="336">
        <v>60</v>
      </c>
      <c r="B114" s="326" t="str">
        <f t="shared" ca="1" si="26"/>
        <v/>
      </c>
      <c r="C114" s="326" t="str">
        <f t="shared" ca="1" si="26"/>
        <v/>
      </c>
      <c r="D114" s="326" t="str">
        <f t="shared" ca="1" si="26"/>
        <v/>
      </c>
      <c r="E114" s="326" t="str">
        <f t="shared" ca="1" si="26"/>
        <v/>
      </c>
      <c r="F114" s="326" t="str">
        <f t="shared" ca="1" si="26"/>
        <v/>
      </c>
      <c r="G114" s="326" t="str">
        <f t="shared" ca="1" si="26"/>
        <v/>
      </c>
      <c r="H114" s="326" t="str">
        <f t="shared" ca="1" si="26"/>
        <v/>
      </c>
      <c r="I114" s="326" t="str">
        <f t="shared" ca="1" si="26"/>
        <v/>
      </c>
      <c r="J114" s="326" t="str">
        <f t="shared" ca="1" si="26"/>
        <v/>
      </c>
      <c r="K114" s="326" t="str">
        <f t="shared" ca="1" si="26"/>
        <v/>
      </c>
      <c r="L114" s="326" t="str">
        <f t="shared" ca="1" si="26"/>
        <v/>
      </c>
      <c r="M114" s="326" t="str">
        <f t="shared" ca="1" si="26"/>
        <v/>
      </c>
      <c r="N114" s="326" t="str">
        <f t="shared" ca="1" si="26"/>
        <v/>
      </c>
      <c r="O114" s="326" t="str">
        <f t="shared" ca="1" si="26"/>
        <v/>
      </c>
      <c r="P114" s="326" t="str">
        <f t="shared" ca="1" si="26"/>
        <v/>
      </c>
      <c r="Q114" s="326" t="str">
        <f t="shared" ca="1" si="26"/>
        <v/>
      </c>
      <c r="R114" s="326" t="str">
        <f t="shared" ca="1" si="28"/>
        <v/>
      </c>
      <c r="S114" s="326" t="str">
        <f t="shared" ca="1" si="28"/>
        <v/>
      </c>
      <c r="T114" s="326" t="str">
        <f t="shared" ca="1" si="28"/>
        <v/>
      </c>
      <c r="U114" s="326" t="str">
        <f t="shared" ca="1" si="28"/>
        <v/>
      </c>
      <c r="V114" s="326" t="str">
        <f t="shared" ca="1" si="28"/>
        <v/>
      </c>
      <c r="W114" s="326" t="str">
        <f t="shared" ca="1" si="28"/>
        <v/>
      </c>
      <c r="X114" s="326" t="str">
        <f t="shared" ca="1" si="28"/>
        <v/>
      </c>
      <c r="Y114" s="326" t="str">
        <f t="shared" ca="1" si="28"/>
        <v/>
      </c>
      <c r="Z114" s="326" t="str">
        <f t="shared" ca="1" si="28"/>
        <v/>
      </c>
      <c r="AA114" s="326" t="str">
        <f t="shared" ca="1" si="28"/>
        <v/>
      </c>
      <c r="AB114" s="326" t="str">
        <f t="shared" ca="1" si="28"/>
        <v/>
      </c>
      <c r="AC114" s="326" t="str">
        <f t="shared" ca="1" si="28"/>
        <v/>
      </c>
      <c r="AD114" s="326" t="str">
        <f t="shared" ca="1" si="28"/>
        <v/>
      </c>
      <c r="AE114" s="326" t="str">
        <f t="shared" ca="1" si="28"/>
        <v/>
      </c>
      <c r="AF114" s="326" t="str">
        <f t="shared" ca="1" si="28"/>
        <v/>
      </c>
      <c r="AG114" s="326" t="str">
        <f t="shared" ca="1" si="28"/>
        <v/>
      </c>
      <c r="AH114" s="326" t="str">
        <f t="shared" ca="1" si="28"/>
        <v/>
      </c>
      <c r="AI114" s="326" t="str">
        <f t="shared" ca="1" si="28"/>
        <v/>
      </c>
      <c r="AJ114" s="326" t="str">
        <f t="shared" ca="1" si="28"/>
        <v/>
      </c>
      <c r="AK114" s="326" t="str">
        <f t="shared" ca="1" si="28"/>
        <v/>
      </c>
      <c r="AL114" s="326" t="str">
        <f t="shared" ca="1" si="28"/>
        <v/>
      </c>
      <c r="AM114" s="326" t="str">
        <f t="shared" ca="1" si="28"/>
        <v/>
      </c>
      <c r="AN114" s="326" t="str">
        <f t="shared" ca="1" si="28"/>
        <v/>
      </c>
      <c r="AO114" s="326" t="str">
        <f t="shared" ca="1" si="28"/>
        <v/>
      </c>
      <c r="AP114" s="326" t="str">
        <f t="shared" ca="1" si="28"/>
        <v/>
      </c>
      <c r="AQ114" s="326" t="str">
        <f t="shared" ca="1" si="28"/>
        <v/>
      </c>
      <c r="AR114" s="326" t="str">
        <f t="shared" ca="1" si="28"/>
        <v/>
      </c>
      <c r="AS114" s="326" t="str">
        <f t="shared" ca="1" si="28"/>
        <v/>
      </c>
      <c r="AT114" s="326" t="str">
        <f t="shared" ca="1" si="28"/>
        <v/>
      </c>
      <c r="AU114" s="326" t="str">
        <f t="shared" ca="1" si="28"/>
        <v/>
      </c>
      <c r="AV114" s="326" t="str">
        <f t="shared" ca="1" si="28"/>
        <v/>
      </c>
      <c r="AW114" s="326" t="str">
        <f t="shared" ca="1" si="28"/>
        <v/>
      </c>
      <c r="AX114" s="326" t="str">
        <f t="shared" ca="1" si="28"/>
        <v/>
      </c>
      <c r="AY114" s="326" t="str">
        <f t="shared" ca="1" si="28"/>
        <v/>
      </c>
      <c r="AZ114" s="326" t="str">
        <f t="shared" ca="1" si="28"/>
        <v/>
      </c>
      <c r="BA114" s="326" t="str">
        <f t="shared" ref="BA114:DG117" ca="1" si="29">IF($A114&gt;BA$5,"",OFFSET(BA$54,0,-($A114-1)))</f>
        <v/>
      </c>
      <c r="BB114" s="326" t="str">
        <f t="shared" ca="1" si="29"/>
        <v/>
      </c>
      <c r="BC114" s="326" t="str">
        <f t="shared" ca="1" si="29"/>
        <v/>
      </c>
      <c r="BD114" s="326" t="str">
        <f t="shared" ca="1" si="29"/>
        <v/>
      </c>
      <c r="BE114" s="326" t="str">
        <f t="shared" ca="1" si="29"/>
        <v/>
      </c>
      <c r="BF114" s="326" t="str">
        <f t="shared" ca="1" si="29"/>
        <v/>
      </c>
      <c r="BG114" s="326" t="str">
        <f t="shared" ca="1" si="29"/>
        <v/>
      </c>
      <c r="BH114" s="326" t="str">
        <f t="shared" ca="1" si="29"/>
        <v/>
      </c>
      <c r="BI114" s="326">
        <f t="shared" ca="1" si="29"/>
        <v>1390</v>
      </c>
    </row>
    <row r="115" spans="1:61" s="333" customFormat="1" x14ac:dyDescent="0.15">
      <c r="A115" s="336"/>
    </row>
    <row r="116" spans="1:61" x14ac:dyDescent="0.15">
      <c r="B116" s="326"/>
      <c r="C116" s="326"/>
      <c r="D116" s="326"/>
      <c r="E116" s="326"/>
      <c r="F116" s="326"/>
      <c r="G116" s="326"/>
      <c r="H116" s="326"/>
      <c r="I116" s="326"/>
      <c r="J116" s="326"/>
      <c r="K116" s="326"/>
      <c r="L116" s="326"/>
      <c r="M116" s="326"/>
      <c r="N116" s="326"/>
      <c r="O116" s="326"/>
      <c r="P116" s="326"/>
      <c r="Q116" s="326"/>
      <c r="R116" s="326"/>
      <c r="S116" s="326"/>
      <c r="T116" s="326"/>
      <c r="U116" s="326"/>
      <c r="V116" s="326"/>
      <c r="W116" s="326"/>
      <c r="X116" s="326"/>
      <c r="Y116" s="326"/>
      <c r="Z116" s="326"/>
      <c r="AA116" s="326"/>
      <c r="AB116" s="326"/>
      <c r="AC116" s="326"/>
      <c r="AD116" s="326"/>
      <c r="AE116" s="326"/>
      <c r="AF116" s="326"/>
      <c r="AG116" s="326"/>
      <c r="AH116" s="326"/>
      <c r="AI116" s="326"/>
      <c r="AJ116" s="326"/>
      <c r="AK116" s="326"/>
      <c r="AL116" s="326"/>
      <c r="AM116" s="326"/>
      <c r="AN116" s="326"/>
      <c r="AO116" s="326"/>
      <c r="AP116" s="326"/>
      <c r="AQ116" s="326"/>
      <c r="AR116" s="326"/>
      <c r="AS116" s="326"/>
      <c r="AT116" s="326"/>
      <c r="AU116" s="326"/>
      <c r="AV116" s="326"/>
      <c r="AW116" s="326"/>
      <c r="AX116" s="326"/>
      <c r="AY116" s="326"/>
      <c r="AZ116" s="326"/>
      <c r="BA116" s="326"/>
      <c r="BB116" s="326"/>
      <c r="BC116" s="326"/>
      <c r="BD116" s="326"/>
      <c r="BE116" s="326"/>
      <c r="BF116" s="326"/>
      <c r="BG116" s="326"/>
      <c r="BH116" s="326"/>
      <c r="BI116" s="326"/>
    </row>
    <row r="117" spans="1:61" x14ac:dyDescent="0.15">
      <c r="A117" s="337"/>
    </row>
    <row r="121" spans="1:61" x14ac:dyDescent="0.15">
      <c r="D121" s="331"/>
      <c r="E121" s="331"/>
      <c r="F121" s="331"/>
      <c r="G121" s="331"/>
      <c r="H121" s="331"/>
      <c r="I121" s="331"/>
      <c r="J121" s="331"/>
      <c r="N121" s="316"/>
      <c r="O121" s="316"/>
      <c r="S121" s="338"/>
    </row>
    <row r="122" spans="1:61" x14ac:dyDescent="0.15">
      <c r="E122" s="331"/>
      <c r="F122" s="331"/>
      <c r="G122" s="331"/>
      <c r="H122" s="331"/>
      <c r="I122" s="331"/>
      <c r="J122" s="331"/>
      <c r="S122" s="338"/>
    </row>
    <row r="123" spans="1:61" x14ac:dyDescent="0.15">
      <c r="F123" s="331"/>
      <c r="G123" s="331"/>
      <c r="H123" s="331"/>
      <c r="I123" s="331"/>
      <c r="J123" s="331"/>
      <c r="S123" s="338"/>
    </row>
    <row r="124" spans="1:61" x14ac:dyDescent="0.15">
      <c r="G124" s="331"/>
      <c r="H124" s="331"/>
      <c r="I124" s="331"/>
      <c r="J124" s="331"/>
      <c r="S124" s="338"/>
    </row>
    <row r="125" spans="1:61" x14ac:dyDescent="0.15">
      <c r="H125" s="331"/>
      <c r="I125" s="331"/>
      <c r="J125" s="331"/>
      <c r="S125" s="338"/>
    </row>
    <row r="126" spans="1:61" x14ac:dyDescent="0.15">
      <c r="S126" s="338"/>
    </row>
    <row r="127" spans="1:61" x14ac:dyDescent="0.15">
      <c r="S127" s="338"/>
    </row>
    <row r="128" spans="1:61" x14ac:dyDescent="0.15">
      <c r="S128" s="338"/>
    </row>
    <row r="129" spans="19:19" x14ac:dyDescent="0.15">
      <c r="S129" s="338"/>
    </row>
    <row r="130" spans="19:19" x14ac:dyDescent="0.15">
      <c r="S130" s="338"/>
    </row>
    <row r="131" spans="19:19" x14ac:dyDescent="0.15">
      <c r="S131" s="338"/>
    </row>
    <row r="132" spans="19:19" x14ac:dyDescent="0.15">
      <c r="S132" s="338"/>
    </row>
    <row r="133" spans="19:19" x14ac:dyDescent="0.15">
      <c r="S133" s="338"/>
    </row>
    <row r="134" spans="19:19" x14ac:dyDescent="0.15">
      <c r="S134" s="338"/>
    </row>
    <row r="135" spans="19:19" x14ac:dyDescent="0.15">
      <c r="S135" s="338"/>
    </row>
    <row r="136" spans="19:19" x14ac:dyDescent="0.15">
      <c r="S136" s="338"/>
    </row>
  </sheetData>
  <sheetProtection algorithmName="SHA-512" hashValue="7HxHsaNu7koohUUHMOZ0Fxv2AB+Zv5hcV7fXR3LdWdRht9NFKU0OkNqH77XzQHJTHldGF3H+Z7j9QSQ5SGKVFQ==" saltValue="hxqkRjdw7eO2ufBmNQX4Eg==" spinCount="100000" sheet="1"/>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25734-810D-3646-8D39-F1F301D5CE19}">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NOTE</vt:lpstr>
      <vt:lpstr>DATA</vt:lpstr>
      <vt:lpstr>Leadsheet</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2026-05-05T11:47:03Z</dcterms:created>
  <dcterms:modified xsi:type="dcterms:W3CDTF">2026-05-05T11:47:54Z</dcterms:modified>
</cp:coreProperties>
</file>