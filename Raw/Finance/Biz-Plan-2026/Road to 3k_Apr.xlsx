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"/>
    </mc:Choice>
  </mc:AlternateContent>
  <xr:revisionPtr revIDLastSave="0" documentId="13_ncr:1_{2B10AF88-BC83-FA47-8264-8CB0F65F7ABD}" xr6:coauthVersionLast="47" xr6:coauthVersionMax="47" xr10:uidLastSave="{00000000-0000-0000-0000-000000000000}"/>
  <bookViews>
    <workbookView xWindow="0" yWindow="720" windowWidth="29400" windowHeight="18400" activeTab="4" xr2:uid="{BFB4AAC0-153D-C049-B3B8-0863303D67AF}"/>
  </bookViews>
  <sheets>
    <sheet name="Raw_Disbursed" sheetId="1" r:id="rId1"/>
    <sheet name="Sheet5" sheetId="5" r:id="rId2"/>
    <sheet name="Raw_App" sheetId="4" r:id="rId3"/>
    <sheet name="Pivot" sheetId="2" r:id="rId4"/>
    <sheet name="Road to 3k" sheetId="3" r:id="rId5"/>
  </sheets>
  <calcPr calcId="191029"/>
  <pivotCaches>
    <pivotCache cacheId="10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G9" i="3"/>
  <c r="G11" i="3"/>
  <c r="G6" i="3"/>
  <c r="E30" i="3"/>
  <c r="J24" i="3"/>
  <c r="K24" i="3" s="1"/>
  <c r="I25" i="3"/>
  <c r="K25" i="3" s="1"/>
  <c r="G25" i="3"/>
  <c r="F23" i="3"/>
  <c r="G23" i="3" s="1"/>
  <c r="I23" i="3" s="1"/>
  <c r="K23" i="3" s="1"/>
  <c r="G21" i="3"/>
  <c r="I21" i="3" s="1"/>
  <c r="K21" i="3" s="1"/>
  <c r="I12" i="2"/>
  <c r="H12" i="2"/>
  <c r="G12" i="2"/>
  <c r="F19" i="3"/>
  <c r="G19" i="3" s="1"/>
  <c r="L37" i="5"/>
  <c r="M37" i="5"/>
  <c r="K37" i="5"/>
  <c r="N37" i="5" s="1"/>
  <c r="J37" i="5"/>
  <c r="I37" i="5"/>
  <c r="G16" i="3"/>
  <c r="I16" i="3" s="1"/>
  <c r="K16" i="3" s="1"/>
  <c r="F50" i="5"/>
  <c r="I50" i="5" s="1"/>
  <c r="G50" i="5"/>
  <c r="H50" i="5"/>
  <c r="H9" i="3"/>
  <c r="H49" i="5"/>
  <c r="I49" i="5" s="1"/>
  <c r="G49" i="5"/>
  <c r="F49" i="5"/>
  <c r="F15" i="3"/>
  <c r="F14" i="3"/>
  <c r="F12" i="3"/>
  <c r="F11" i="3"/>
  <c r="F30" i="5"/>
  <c r="G30" i="5"/>
  <c r="H30" i="5"/>
  <c r="F31" i="5"/>
  <c r="I31" i="5" s="1"/>
  <c r="G31" i="5"/>
  <c r="H31" i="5"/>
  <c r="F32" i="5"/>
  <c r="G32" i="5"/>
  <c r="H32" i="5"/>
  <c r="F33" i="5"/>
  <c r="G33" i="5"/>
  <c r="H33" i="5"/>
  <c r="F34" i="5"/>
  <c r="I34" i="5" s="1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F47" i="5"/>
  <c r="G47" i="5"/>
  <c r="H47" i="5"/>
  <c r="F48" i="5"/>
  <c r="G48" i="5"/>
  <c r="H48" i="5"/>
  <c r="H29" i="5"/>
  <c r="G29" i="5"/>
  <c r="F29" i="5"/>
  <c r="K9" i="3" l="1"/>
  <c r="H20" i="3"/>
  <c r="F26" i="3"/>
  <c r="I6" i="3"/>
  <c r="K8" i="3" s="1"/>
  <c r="G14" i="3"/>
  <c r="I14" i="3" s="1"/>
  <c r="K14" i="3" s="1"/>
  <c r="G26" i="3" l="1"/>
  <c r="G27" i="3" s="1"/>
  <c r="H26" i="3"/>
  <c r="I20" i="3"/>
  <c r="K20" i="3" s="1"/>
  <c r="I11" i="3"/>
  <c r="J13" i="3" l="1"/>
  <c r="I26" i="3"/>
  <c r="I27" i="3" s="1"/>
  <c r="J26" i="3" l="1"/>
  <c r="K11" i="3"/>
  <c r="K26" i="3" s="1"/>
  <c r="K27" i="3" s="1"/>
</calcChain>
</file>

<file path=xl/sharedStrings.xml><?xml version="1.0" encoding="utf-8"?>
<sst xmlns="http://schemas.openxmlformats.org/spreadsheetml/2006/main" count="258" uniqueCount="69">
  <si>
    <t>report_date (Year Month)</t>
  </si>
  <si>
    <t>lending_product_transform</t>
  </si>
  <si>
    <t>Total</t>
  </si>
  <si>
    <t>All</t>
  </si>
  <si>
    <t>[BE] - Paylater</t>
  </si>
  <si>
    <t>[MWG] - Cashloan (QTV)</t>
  </si>
  <si>
    <t>[BE] - Cashloan</t>
  </si>
  <si>
    <t>[MWG] - Paylater (QTV)</t>
  </si>
  <si>
    <t>[NORTHSTAR] - Cashloan</t>
  </si>
  <si>
    <t>[VDS] - Payroll Payday</t>
  </si>
  <si>
    <t>[VDS] - Payday</t>
  </si>
  <si>
    <t>[VDS] - Payroll Cashloan</t>
  </si>
  <si>
    <t>[MWG] - Cashloan</t>
  </si>
  <si>
    <t>[VDS] - Paylater</t>
  </si>
  <si>
    <t>[VDS] - Cashloan</t>
  </si>
  <si>
    <t>[Cake] - Overdraft</t>
  </si>
  <si>
    <t>[ZALOPAY] - Payday</t>
  </si>
  <si>
    <t>[Cake] - Payday</t>
  </si>
  <si>
    <t>[VNPAY] - Cashloan</t>
  </si>
  <si>
    <t>[Cake] - Cashloan</t>
  </si>
  <si>
    <t>[VNPAY] - Paylater</t>
  </si>
  <si>
    <t>[ZALOPAY] - Cashloan</t>
  </si>
  <si>
    <t>[VNPAY] - Payday</t>
  </si>
  <si>
    <t>Column Labels</t>
  </si>
  <si>
    <t>Grand Total</t>
  </si>
  <si>
    <t>Sum of Total</t>
  </si>
  <si>
    <t>Row Labels</t>
  </si>
  <si>
    <t>Mar</t>
  </si>
  <si>
    <t>Others</t>
  </si>
  <si>
    <t>Initiatives</t>
  </si>
  <si>
    <t>Year Month</t>
  </si>
  <si>
    <t>application_id</t>
  </si>
  <si>
    <t>[NGS] - Cashloan</t>
  </si>
  <si>
    <t>null</t>
  </si>
  <si>
    <t>[MISA] - Cashloan</t>
  </si>
  <si>
    <t>[FPT] - Paylater</t>
  </si>
  <si>
    <t>[VDS] - Cashloan LP (VTPOST)</t>
  </si>
  <si>
    <t>[VDS] - Cashloan O2O</t>
  </si>
  <si>
    <t>[CAKE] - Driver lending</t>
  </si>
  <si>
    <t>[VDS] - Cashloan LP (VDS)</t>
  </si>
  <si>
    <t>[VDS] - Cashloan LP (VTT)</t>
  </si>
  <si>
    <t>[MWG] - Paylater</t>
  </si>
  <si>
    <t>[NORTHSTAR] - Cashloan Pension</t>
  </si>
  <si>
    <t>Jan</t>
  </si>
  <si>
    <t>Feb</t>
  </si>
  <si>
    <t>Sum of application_id</t>
  </si>
  <si>
    <t>- Cake CL tăng app từ 5k6 lên 6k8 (Jan benchmark)</t>
  </si>
  <si>
    <t>- Universal Pool</t>
  </si>
  <si>
    <t>- Cake PD tăng app từ 7k5 lên 8k2 (Jan benchmark)</t>
  </si>
  <si>
    <t>- Ticket size 4mil-5mil (repeat segment)</t>
  </si>
  <si>
    <t>- Universal pool</t>
  </si>
  <si>
    <t>Incremental</t>
  </si>
  <si>
    <t>- Risk: request = approve (50%)</t>
  </si>
  <si>
    <t>Daily_Mar</t>
  </si>
  <si>
    <t>Daily_Apr</t>
  </si>
  <si>
    <t>Daily_May</t>
  </si>
  <si>
    <t>- VDS PD tăng app từ 5k lên 6k (Jan benchmark)</t>
  </si>
  <si>
    <t>- ZLP CL tăng app 600 app lên 800 app (Jan benchmark)</t>
  </si>
  <si>
    <t>- Pool non-score</t>
  </si>
  <si>
    <t>- MWG tăng app từ 350 lên 400 app</t>
  </si>
  <si>
    <t>- MWG tăng app từ 400 lên 550 app (Jan benchmark)</t>
  </si>
  <si>
    <t>- Bechmark vơí Jan</t>
  </si>
  <si>
    <t>- Tối ưu luồng sản phẩm tăng 50% Appin</t>
  </si>
  <si>
    <t>[VNPAY]</t>
  </si>
  <si>
    <t>- Risk: request = approve (70%)</t>
  </si>
  <si>
    <t>[FIZA] - Payday</t>
  </si>
  <si>
    <t>Daily_Jun</t>
  </si>
  <si>
    <t>- Live CD 1:1</t>
  </si>
  <si>
    <t>- Cake CL tăng app từ 6k8 lên 7k5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</si>
</sst>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17" fontId="0" fillId="0" borderId="0" xfId="0" applyNumberFormat="1"/>
    <xf numFmtId="17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/>
    <xf numFmtId="41" fontId="4" fillId="0" borderId="0" xfId="0" applyNumberFormat="1" applyFont="1"/>
    <xf numFmtId="0" fontId="0" fillId="0" borderId="0" xfId="0" applyAlignment="1">
      <alignment horizontal="center"/>
    </xf>
    <xf numFmtId="41" fontId="0" fillId="0" borderId="0" xfId="0" quotePrefix="1" applyNumberFormat="1"/>
    <xf numFmtId="0" fontId="4" fillId="0" borderId="0" xfId="0" applyFont="1" applyAlignment="1">
      <alignment horizontal="left"/>
    </xf>
    <xf numFmtId="41" fontId="0" fillId="0" borderId="0" xfId="0" quotePrefix="1" applyNumberFormat="1" applyAlignment="1">
      <alignment vertical="center"/>
    </xf>
    <xf numFmtId="41" fontId="0" fillId="0" borderId="0" xfId="1" applyFont="1" applyAlignment="1"/>
    <xf numFmtId="41" fontId="4" fillId="0" borderId="0" xfId="1" applyFont="1"/>
  </cellXfs>
  <cellStyles count="2">
    <cellStyle name="Comma [0]" xfId="1" builtinId="6"/>
    <cellStyle name="Normal" xfId="0" builtinId="0"/>
  </cellStyles>
  <dxfs count="2">
    <dxf>
      <numFmt numFmtId="33" formatCode="_(* #,##0_);_(* \(#,##0\);_(* &quot;-&quot;_);_(@_)"/>
    </dxf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2.504860300927" createdVersion="8" refreshedVersion="8" minRefreshableVersion="3" recordCount="60" xr:uid="{9B83FE1A-30AD-8440-ADDE-91C3EB4DA655}">
  <cacheSource type="worksheet">
    <worksheetSource ref="B3:D63" sheet="Raw_Disbursed"/>
  </cacheSource>
  <cacheFields count="3">
    <cacheField name="report_date (Year Month)" numFmtId="17">
      <sharedItems containsSemiMixedTypes="0" containsNonDate="0" containsDate="1" containsString="0" minDate="2026-01-01T00:00:00" maxDate="2026-03-02T00:00:00" count="3">
        <d v="2026-01-01T00:00:00"/>
        <d v="2026-02-01T00:00:00"/>
        <d v="2026-03-01T00:00:00"/>
      </sharedItems>
    </cacheField>
    <cacheField name="lending_product_transform" numFmtId="0">
      <sharedItems count="20">
        <s v="All"/>
        <s v="[BE] - Paylater"/>
        <s v="[MWG] - Cashloan (QTV)"/>
        <s v="[BE] - Cashloan"/>
        <s v="[MWG] - Paylater (QTV)"/>
        <s v="[NORTHSTAR] - Cashloan"/>
        <s v="[VDS] - Payroll Payday"/>
        <s v="[VDS] - Payday"/>
        <s v="[VDS] - Payroll Cashloan"/>
        <s v="[MWG] - Cashloan"/>
        <s v="[VDS] - Paylater"/>
        <s v="[VDS] - Cashloan"/>
        <s v="[Cake] - Overdraft"/>
        <s v="[ZALOPAY] - Payday"/>
        <s v="[Cake] - Payday"/>
        <s v="[VNPAY] - Cashloan"/>
        <s v="[Cake] - Cashloan"/>
        <s v="[VNPAY] - Paylater"/>
        <s v="[ZALOPAY] - Cashloan"/>
        <s v="[VNPAY] - Payday"/>
      </sharedItems>
    </cacheField>
    <cacheField name="Total" numFmtId="0">
      <sharedItems containsSemiMixedTypes="0" containsString="0" containsNumber="1" containsInteger="1" minValue="828250000" maxValue="2269595468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2.523454513888" createdVersion="8" refreshedVersion="8" minRefreshableVersion="3" recordCount="60" xr:uid="{BFBF6C8B-1D5B-6B47-BF06-6DEA4F1B814C}">
  <cacheSource type="worksheet">
    <worksheetSource ref="B2:D62" sheet="Raw_App"/>
  </cacheSource>
  <cacheFields count="5">
    <cacheField name="Year Month" numFmtId="17">
      <sharedItems containsSemiMixedTypes="0" containsNonDate="0" containsDate="1" containsString="0" minDate="2026-01-01T00:00:00" maxDate="2026-03-02T00:00:00" count="3">
        <d v="2026-01-01T00:00:00"/>
        <d v="2026-02-01T00:00:00"/>
        <d v="2026-03-01T00:00:00"/>
      </sharedItems>
      <fieldGroup par="4"/>
    </cacheField>
    <cacheField name="lending_product_transform" numFmtId="0">
      <sharedItems count="20">
        <s v="[MWG] - Cashloan (QTV)"/>
        <s v="[NGS] - Cashloan"/>
        <s v="[BE] - Cashloan"/>
        <s v="[MISA] - Cashloan"/>
        <s v="[FPT] - Paylater"/>
        <s v="[BE] - Paylater"/>
        <s v="[VDS] - Cashloan LP (VTPOST)"/>
        <s v="[Cake] - Payday"/>
        <s v="[VDS] - Cashloan O2O"/>
        <s v="[CAKE] - Driver lending"/>
        <s v="[VDS] - Cashloan LP (VDS)"/>
        <s v="[VDS] - Cashloan LP (VTT)"/>
        <s v="[MWG] - Cashloan"/>
        <s v="[Cake] - Overdraft"/>
        <s v="[VDS] - Cashloan"/>
        <s v="[NORTHSTAR] - Cashloan"/>
        <s v="[MWG] - Paylater"/>
        <s v="[NORTHSTAR] - Cashloan Pension"/>
        <s v="[MWG] - Paylater (QTV)"/>
        <s v="[Cake] - Cashloan"/>
      </sharedItems>
    </cacheField>
    <cacheField name="application_id" numFmtId="0">
      <sharedItems containsMixedTypes="1" containsNumber="1" containsInteger="1" minValue="11" maxValue="251684"/>
    </cacheField>
    <cacheField name="Days (Year Month)" numFmtId="0" databaseField="0">
      <fieldGroup base="0">
        <rangePr groupBy="days" startDate="2026-01-01T00:00:00" endDate="2026-03-02T00:00:00"/>
        <groupItems count="368">
          <s v="&lt;1/1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3/26"/>
        </groupItems>
      </fieldGroup>
    </cacheField>
    <cacheField name="Months (Year Month)" numFmtId="0" databaseField="0">
      <fieldGroup base="0">
        <rangePr groupBy="months" startDate="2026-01-01T00:00:00" endDate="2026-03-02T00:00:00"/>
        <groupItems count="14">
          <s v="&lt;1/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2269595468665"/>
  </r>
  <r>
    <x v="0"/>
    <x v="1"/>
    <n v="10867603221"/>
  </r>
  <r>
    <x v="0"/>
    <x v="2"/>
    <n v="28960540000"/>
  </r>
  <r>
    <x v="0"/>
    <x v="3"/>
    <n v="21136600000"/>
  </r>
  <r>
    <x v="0"/>
    <x v="4"/>
    <n v="44881001135"/>
  </r>
  <r>
    <x v="0"/>
    <x v="5"/>
    <n v="6803900000"/>
  </r>
  <r>
    <x v="0"/>
    <x v="6"/>
    <n v="1439000000"/>
  </r>
  <r>
    <x v="0"/>
    <x v="7"/>
    <n v="336025800000"/>
  </r>
  <r>
    <x v="0"/>
    <x v="8"/>
    <n v="828250000"/>
  </r>
  <r>
    <x v="0"/>
    <x v="9"/>
    <n v="146560220000"/>
  </r>
  <r>
    <x v="0"/>
    <x v="10"/>
    <n v="7773898216"/>
  </r>
  <r>
    <x v="0"/>
    <x v="11"/>
    <n v="521395250000"/>
  </r>
  <r>
    <x v="0"/>
    <x v="12"/>
    <n v="63409743099"/>
  </r>
  <r>
    <x v="0"/>
    <x v="13"/>
    <n v="13141000000"/>
  </r>
  <r>
    <x v="0"/>
    <x v="14"/>
    <n v="432076356000"/>
  </r>
  <r>
    <x v="0"/>
    <x v="15"/>
    <n v="27560260000"/>
  </r>
  <r>
    <x v="0"/>
    <x v="16"/>
    <n v="467929410000"/>
  </r>
  <r>
    <x v="0"/>
    <x v="17"/>
    <n v="16072045824"/>
  </r>
  <r>
    <x v="0"/>
    <x v="18"/>
    <n v="109227730000"/>
  </r>
  <r>
    <x v="0"/>
    <x v="19"/>
    <n v="10493388000"/>
  </r>
  <r>
    <x v="1"/>
    <x v="8"/>
    <n v="1241950000"/>
  </r>
  <r>
    <x v="1"/>
    <x v="6"/>
    <n v="1267000000"/>
  </r>
  <r>
    <x v="1"/>
    <x v="18"/>
    <n v="79426750000"/>
  </r>
  <r>
    <x v="1"/>
    <x v="14"/>
    <n v="344144160000"/>
  </r>
  <r>
    <x v="1"/>
    <x v="7"/>
    <n v="290364048000"/>
  </r>
  <r>
    <x v="1"/>
    <x v="5"/>
    <n v="2032400000"/>
  </r>
  <r>
    <x v="1"/>
    <x v="9"/>
    <n v="92170750000"/>
  </r>
  <r>
    <x v="1"/>
    <x v="0"/>
    <n v="1722310866251"/>
  </r>
  <r>
    <x v="1"/>
    <x v="12"/>
    <n v="53755295193"/>
  </r>
  <r>
    <x v="1"/>
    <x v="3"/>
    <n v="15124750000"/>
  </r>
  <r>
    <x v="1"/>
    <x v="13"/>
    <n v="12785920000"/>
  </r>
  <r>
    <x v="1"/>
    <x v="1"/>
    <n v="9233648329"/>
  </r>
  <r>
    <x v="1"/>
    <x v="4"/>
    <n v="42340651234"/>
  </r>
  <r>
    <x v="1"/>
    <x v="10"/>
    <n v="6381405779"/>
  </r>
  <r>
    <x v="1"/>
    <x v="15"/>
    <n v="21558320000"/>
  </r>
  <r>
    <x v="1"/>
    <x v="19"/>
    <n v="8188128000"/>
  </r>
  <r>
    <x v="1"/>
    <x v="11"/>
    <n v="382394060000"/>
  </r>
  <r>
    <x v="1"/>
    <x v="16"/>
    <n v="316516710000"/>
  </r>
  <r>
    <x v="1"/>
    <x v="17"/>
    <n v="13685015637"/>
  </r>
  <r>
    <x v="1"/>
    <x v="2"/>
    <n v="27599750000"/>
  </r>
  <r>
    <x v="2"/>
    <x v="3"/>
    <n v="22977260000"/>
  </r>
  <r>
    <x v="2"/>
    <x v="14"/>
    <n v="408556764000"/>
  </r>
  <r>
    <x v="2"/>
    <x v="0"/>
    <n v="1994958149295"/>
  </r>
  <r>
    <x v="2"/>
    <x v="8"/>
    <n v="1333650000"/>
  </r>
  <r>
    <x v="2"/>
    <x v="19"/>
    <n v="9320724000"/>
  </r>
  <r>
    <x v="2"/>
    <x v="15"/>
    <n v="23290840000"/>
  </r>
  <r>
    <x v="2"/>
    <x v="17"/>
    <n v="14594775836"/>
  </r>
  <r>
    <x v="2"/>
    <x v="11"/>
    <n v="479605740000"/>
  </r>
  <r>
    <x v="2"/>
    <x v="5"/>
    <n v="1760250000"/>
  </r>
  <r>
    <x v="2"/>
    <x v="13"/>
    <n v="5709312000"/>
  </r>
  <r>
    <x v="2"/>
    <x v="1"/>
    <n v="10352810916"/>
  </r>
  <r>
    <x v="2"/>
    <x v="6"/>
    <n v="1610000000"/>
  </r>
  <r>
    <x v="2"/>
    <x v="2"/>
    <n v="27432030000"/>
  </r>
  <r>
    <x v="2"/>
    <x v="4"/>
    <n v="35135896806"/>
  </r>
  <r>
    <x v="2"/>
    <x v="10"/>
    <n v="7022919135"/>
  </r>
  <r>
    <x v="2"/>
    <x v="9"/>
    <n v="73511000000"/>
  </r>
  <r>
    <x v="2"/>
    <x v="18"/>
    <n v="89834220000"/>
  </r>
  <r>
    <x v="2"/>
    <x v="16"/>
    <n v="378849140000"/>
  </r>
  <r>
    <x v="2"/>
    <x v="12"/>
    <n v="53539752199"/>
  </r>
  <r>
    <x v="2"/>
    <x v="7"/>
    <n v="34776734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3528"/>
  </r>
  <r>
    <x v="0"/>
    <x v="1"/>
    <s v="null"/>
  </r>
  <r>
    <x v="0"/>
    <x v="2"/>
    <n v="11992"/>
  </r>
  <r>
    <x v="0"/>
    <x v="3"/>
    <n v="30"/>
  </r>
  <r>
    <x v="0"/>
    <x v="4"/>
    <s v="null"/>
  </r>
  <r>
    <x v="0"/>
    <x v="5"/>
    <n v="11789"/>
  </r>
  <r>
    <x v="0"/>
    <x v="6"/>
    <s v="null"/>
  </r>
  <r>
    <x v="0"/>
    <x v="7"/>
    <n v="251684"/>
  </r>
  <r>
    <x v="0"/>
    <x v="8"/>
    <n v="89"/>
  </r>
  <r>
    <x v="0"/>
    <x v="9"/>
    <s v="null"/>
  </r>
  <r>
    <x v="0"/>
    <x v="10"/>
    <s v="null"/>
  </r>
  <r>
    <x v="0"/>
    <x v="11"/>
    <s v="null"/>
  </r>
  <r>
    <x v="0"/>
    <x v="12"/>
    <n v="13041"/>
  </r>
  <r>
    <x v="0"/>
    <x v="13"/>
    <n v="3634"/>
  </r>
  <r>
    <x v="0"/>
    <x v="14"/>
    <n v="105940"/>
  </r>
  <r>
    <x v="0"/>
    <x v="15"/>
    <n v="1445"/>
  </r>
  <r>
    <x v="0"/>
    <x v="16"/>
    <s v="null"/>
  </r>
  <r>
    <x v="0"/>
    <x v="17"/>
    <n v="29"/>
  </r>
  <r>
    <x v="0"/>
    <x v="18"/>
    <n v="11920"/>
  </r>
  <r>
    <x v="0"/>
    <x v="19"/>
    <n v="211771"/>
  </r>
  <r>
    <x v="1"/>
    <x v="10"/>
    <s v="null"/>
  </r>
  <r>
    <x v="1"/>
    <x v="15"/>
    <n v="526"/>
  </r>
  <r>
    <x v="1"/>
    <x v="2"/>
    <n v="9477"/>
  </r>
  <r>
    <x v="1"/>
    <x v="17"/>
    <n v="11"/>
  </r>
  <r>
    <x v="1"/>
    <x v="3"/>
    <n v="20"/>
  </r>
  <r>
    <x v="1"/>
    <x v="9"/>
    <s v="null"/>
  </r>
  <r>
    <x v="1"/>
    <x v="19"/>
    <n v="164676"/>
  </r>
  <r>
    <x v="1"/>
    <x v="13"/>
    <n v="2778"/>
  </r>
  <r>
    <x v="1"/>
    <x v="8"/>
    <n v="71"/>
  </r>
  <r>
    <x v="1"/>
    <x v="12"/>
    <n v="9272"/>
  </r>
  <r>
    <x v="1"/>
    <x v="4"/>
    <s v="null"/>
  </r>
  <r>
    <x v="1"/>
    <x v="14"/>
    <n v="85686"/>
  </r>
  <r>
    <x v="1"/>
    <x v="16"/>
    <s v="null"/>
  </r>
  <r>
    <x v="1"/>
    <x v="7"/>
    <n v="196162"/>
  </r>
  <r>
    <x v="1"/>
    <x v="1"/>
    <s v="null"/>
  </r>
  <r>
    <x v="1"/>
    <x v="11"/>
    <s v="null"/>
  </r>
  <r>
    <x v="1"/>
    <x v="0"/>
    <n v="2955"/>
  </r>
  <r>
    <x v="1"/>
    <x v="18"/>
    <n v="11283"/>
  </r>
  <r>
    <x v="1"/>
    <x v="5"/>
    <n v="8603"/>
  </r>
  <r>
    <x v="1"/>
    <x v="6"/>
    <s v="null"/>
  </r>
  <r>
    <x v="2"/>
    <x v="4"/>
    <s v="null"/>
  </r>
  <r>
    <x v="2"/>
    <x v="0"/>
    <n v="3046"/>
  </r>
  <r>
    <x v="2"/>
    <x v="2"/>
    <n v="12066"/>
  </r>
  <r>
    <x v="2"/>
    <x v="17"/>
    <n v="36"/>
  </r>
  <r>
    <x v="2"/>
    <x v="12"/>
    <n v="7726"/>
  </r>
  <r>
    <x v="2"/>
    <x v="18"/>
    <n v="7957"/>
  </r>
  <r>
    <x v="2"/>
    <x v="1"/>
    <s v="null"/>
  </r>
  <r>
    <x v="2"/>
    <x v="8"/>
    <n v="48"/>
  </r>
  <r>
    <x v="2"/>
    <x v="13"/>
    <n v="3131"/>
  </r>
  <r>
    <x v="2"/>
    <x v="9"/>
    <s v="null"/>
  </r>
  <r>
    <x v="2"/>
    <x v="6"/>
    <s v="null"/>
  </r>
  <r>
    <x v="2"/>
    <x v="15"/>
    <n v="399"/>
  </r>
  <r>
    <x v="2"/>
    <x v="19"/>
    <n v="173560"/>
  </r>
  <r>
    <x v="2"/>
    <x v="3"/>
    <n v="31"/>
  </r>
  <r>
    <x v="2"/>
    <x v="14"/>
    <n v="110270"/>
  </r>
  <r>
    <x v="2"/>
    <x v="7"/>
    <n v="234360"/>
  </r>
  <r>
    <x v="2"/>
    <x v="10"/>
    <s v="null"/>
  </r>
  <r>
    <x v="2"/>
    <x v="16"/>
    <s v="null"/>
  </r>
  <r>
    <x v="2"/>
    <x v="5"/>
    <n v="12260"/>
  </r>
  <r>
    <x v="2"/>
    <x v="11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EA01E-999C-8E4D-A823-D5ABB26661B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" firstHeaderRow="1" firstDataRow="4" firstDataCol="1"/>
  <pivotFields count="5">
    <pivotField axis="axisCol" numFmtId="17" showAll="0">
      <items count="4">
        <item x="0"/>
        <item x="1"/>
        <item x="2"/>
        <item t="default"/>
      </items>
    </pivotField>
    <pivotField axis="axisRow" showAll="0" sortType="ascending">
      <items count="21">
        <item x="2"/>
        <item x="5"/>
        <item x="19"/>
        <item x="9"/>
        <item x="13"/>
        <item x="7"/>
        <item x="4"/>
        <item x="3"/>
        <item x="12"/>
        <item x="0"/>
        <item x="16"/>
        <item x="18"/>
        <item x="1"/>
        <item x="15"/>
        <item x="17"/>
        <item x="14"/>
        <item x="10"/>
        <item x="6"/>
        <item x="11"/>
        <item x="8"/>
        <item t="default"/>
      </items>
    </pivotField>
    <pivotField dataField="1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3">
    <field x="4"/>
    <field x="3"/>
    <field x="0"/>
  </colFields>
  <colItems count="4">
    <i>
      <x v="1"/>
    </i>
    <i>
      <x v="2"/>
    </i>
    <i>
      <x v="3"/>
    </i>
    <i t="grand">
      <x/>
    </i>
  </colItems>
  <dataFields count="1">
    <dataField name="Sum of application_id" fld="2" baseField="0" baseItem="0" numFmtId="4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D4A2-D7A5-E443-A4DE-212FCC511FD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/>
  <pivotFields count="3">
    <pivotField axis="axisCol" numFmtId="17" showAll="0">
      <items count="4">
        <item x="0"/>
        <item x="1"/>
        <item x="2"/>
        <item t="default"/>
      </items>
    </pivotField>
    <pivotField axis="axisRow" showAll="0">
      <items count="21">
        <item x="3"/>
        <item x="1"/>
        <item x="16"/>
        <item x="12"/>
        <item x="14"/>
        <item x="9"/>
        <item x="2"/>
        <item x="4"/>
        <item x="5"/>
        <item x="11"/>
        <item x="7"/>
        <item x="10"/>
        <item x="8"/>
        <item x="6"/>
        <item x="15"/>
        <item x="19"/>
        <item x="17"/>
        <item x="18"/>
        <item x="13"/>
        <item x="0"/>
        <item t="default"/>
      </items>
    </pivotField>
    <pivotField dataField="1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Total" fld="2" baseField="0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7329-2736-B245-995D-5762FBFAE706}">
  <dimension ref="B3:D63"/>
  <sheetViews>
    <sheetView showGridLines="0" zoomScale="120" zoomScaleNormal="120" workbookViewId="0">
      <selection activeCell="F20" sqref="F20"/>
    </sheetView>
  </sheetViews>
  <sheetFormatPr baseColWidth="10" defaultRowHeight="22" x14ac:dyDescent="0.3"/>
  <cols>
    <col min="1" max="2" width="10.83203125" style="1"/>
    <col min="3" max="4" width="12.5" style="1" customWidth="1"/>
    <col min="5" max="16384" width="10.83203125" style="1"/>
  </cols>
  <sheetData>
    <row r="3" spans="2:4" x14ac:dyDescent="0.3">
      <c r="B3" s="2" t="s">
        <v>0</v>
      </c>
      <c r="C3" s="2" t="s">
        <v>1</v>
      </c>
      <c r="D3" s="2" t="s">
        <v>2</v>
      </c>
    </row>
    <row r="4" spans="2:4" x14ac:dyDescent="0.3">
      <c r="B4" s="4">
        <v>46023</v>
      </c>
      <c r="C4" s="2" t="s">
        <v>3</v>
      </c>
      <c r="D4" s="2">
        <v>2269595468665</v>
      </c>
    </row>
    <row r="5" spans="2:4" x14ac:dyDescent="0.3">
      <c r="B5" s="4">
        <v>46023</v>
      </c>
      <c r="C5" s="2" t="s">
        <v>4</v>
      </c>
      <c r="D5" s="2">
        <v>10867603221</v>
      </c>
    </row>
    <row r="6" spans="2:4" x14ac:dyDescent="0.3">
      <c r="B6" s="4">
        <v>46023</v>
      </c>
      <c r="C6" s="2" t="s">
        <v>5</v>
      </c>
      <c r="D6" s="2">
        <v>28960540000</v>
      </c>
    </row>
    <row r="7" spans="2:4" x14ac:dyDescent="0.3">
      <c r="B7" s="4">
        <v>46023</v>
      </c>
      <c r="C7" s="2" t="s">
        <v>6</v>
      </c>
      <c r="D7" s="2">
        <v>21136600000</v>
      </c>
    </row>
    <row r="8" spans="2:4" x14ac:dyDescent="0.3">
      <c r="B8" s="4">
        <v>46023</v>
      </c>
      <c r="C8" s="2" t="s">
        <v>7</v>
      </c>
      <c r="D8" s="2">
        <v>44881001135</v>
      </c>
    </row>
    <row r="9" spans="2:4" x14ac:dyDescent="0.3">
      <c r="B9" s="4">
        <v>46023</v>
      </c>
      <c r="C9" s="2" t="s">
        <v>8</v>
      </c>
      <c r="D9" s="2">
        <v>6803900000</v>
      </c>
    </row>
    <row r="10" spans="2:4" x14ac:dyDescent="0.3">
      <c r="B10" s="4">
        <v>46023</v>
      </c>
      <c r="C10" s="2" t="s">
        <v>9</v>
      </c>
      <c r="D10" s="2">
        <v>1439000000</v>
      </c>
    </row>
    <row r="11" spans="2:4" x14ac:dyDescent="0.3">
      <c r="B11" s="4">
        <v>46023</v>
      </c>
      <c r="C11" s="2" t="s">
        <v>10</v>
      </c>
      <c r="D11" s="2">
        <v>336025800000</v>
      </c>
    </row>
    <row r="12" spans="2:4" x14ac:dyDescent="0.3">
      <c r="B12" s="4">
        <v>46023</v>
      </c>
      <c r="C12" s="2" t="s">
        <v>11</v>
      </c>
      <c r="D12" s="2">
        <v>828250000</v>
      </c>
    </row>
    <row r="13" spans="2:4" x14ac:dyDescent="0.3">
      <c r="B13" s="4">
        <v>46023</v>
      </c>
      <c r="C13" s="2" t="s">
        <v>12</v>
      </c>
      <c r="D13" s="2">
        <v>146560220000</v>
      </c>
    </row>
    <row r="14" spans="2:4" x14ac:dyDescent="0.3">
      <c r="B14" s="4">
        <v>46023</v>
      </c>
      <c r="C14" s="2" t="s">
        <v>13</v>
      </c>
      <c r="D14" s="2">
        <v>7773898216</v>
      </c>
    </row>
    <row r="15" spans="2:4" x14ac:dyDescent="0.3">
      <c r="B15" s="4">
        <v>46023</v>
      </c>
      <c r="C15" s="2" t="s">
        <v>14</v>
      </c>
      <c r="D15" s="2">
        <v>521395250000</v>
      </c>
    </row>
    <row r="16" spans="2:4" x14ac:dyDescent="0.3">
      <c r="B16" s="4">
        <v>46023</v>
      </c>
      <c r="C16" s="2" t="s">
        <v>15</v>
      </c>
      <c r="D16" s="2">
        <v>63409743099</v>
      </c>
    </row>
    <row r="17" spans="2:4" x14ac:dyDescent="0.3">
      <c r="B17" s="4">
        <v>46023</v>
      </c>
      <c r="C17" s="2" t="s">
        <v>16</v>
      </c>
      <c r="D17" s="2">
        <v>13141000000</v>
      </c>
    </row>
    <row r="18" spans="2:4" x14ac:dyDescent="0.3">
      <c r="B18" s="4">
        <v>46023</v>
      </c>
      <c r="C18" s="2" t="s">
        <v>17</v>
      </c>
      <c r="D18" s="2">
        <v>432076356000</v>
      </c>
    </row>
    <row r="19" spans="2:4" x14ac:dyDescent="0.3">
      <c r="B19" s="4">
        <v>46023</v>
      </c>
      <c r="C19" s="2" t="s">
        <v>18</v>
      </c>
      <c r="D19" s="2">
        <v>27560260000</v>
      </c>
    </row>
    <row r="20" spans="2:4" x14ac:dyDescent="0.3">
      <c r="B20" s="4">
        <v>46023</v>
      </c>
      <c r="C20" s="2" t="s">
        <v>19</v>
      </c>
      <c r="D20" s="2">
        <v>467929410000</v>
      </c>
    </row>
    <row r="21" spans="2:4" x14ac:dyDescent="0.3">
      <c r="B21" s="4">
        <v>46023</v>
      </c>
      <c r="C21" s="2" t="s">
        <v>20</v>
      </c>
      <c r="D21" s="2">
        <v>16072045824</v>
      </c>
    </row>
    <row r="22" spans="2:4" x14ac:dyDescent="0.3">
      <c r="B22" s="4">
        <v>46023</v>
      </c>
      <c r="C22" s="2" t="s">
        <v>21</v>
      </c>
      <c r="D22" s="2">
        <v>109227730000</v>
      </c>
    </row>
    <row r="23" spans="2:4" x14ac:dyDescent="0.3">
      <c r="B23" s="4">
        <v>46023</v>
      </c>
      <c r="C23" s="2" t="s">
        <v>22</v>
      </c>
      <c r="D23" s="2">
        <v>10493388000</v>
      </c>
    </row>
    <row r="24" spans="2:4" x14ac:dyDescent="0.3">
      <c r="B24" s="4">
        <v>46054</v>
      </c>
      <c r="C24" s="2" t="s">
        <v>11</v>
      </c>
      <c r="D24" s="2">
        <v>1241950000</v>
      </c>
    </row>
    <row r="25" spans="2:4" x14ac:dyDescent="0.3">
      <c r="B25" s="4">
        <v>46054</v>
      </c>
      <c r="C25" s="2" t="s">
        <v>9</v>
      </c>
      <c r="D25" s="2">
        <v>1267000000</v>
      </c>
    </row>
    <row r="26" spans="2:4" x14ac:dyDescent="0.3">
      <c r="B26" s="4">
        <v>46054</v>
      </c>
      <c r="C26" s="2" t="s">
        <v>21</v>
      </c>
      <c r="D26" s="2">
        <v>79426750000</v>
      </c>
    </row>
    <row r="27" spans="2:4" x14ac:dyDescent="0.3">
      <c r="B27" s="4">
        <v>46054</v>
      </c>
      <c r="C27" s="2" t="s">
        <v>17</v>
      </c>
      <c r="D27" s="2">
        <v>344144160000</v>
      </c>
    </row>
    <row r="28" spans="2:4" x14ac:dyDescent="0.3">
      <c r="B28" s="4">
        <v>46054</v>
      </c>
      <c r="C28" s="2" t="s">
        <v>10</v>
      </c>
      <c r="D28" s="2">
        <v>290364048000</v>
      </c>
    </row>
    <row r="29" spans="2:4" x14ac:dyDescent="0.3">
      <c r="B29" s="4">
        <v>46054</v>
      </c>
      <c r="C29" s="2" t="s">
        <v>8</v>
      </c>
      <c r="D29" s="2">
        <v>2032400000</v>
      </c>
    </row>
    <row r="30" spans="2:4" x14ac:dyDescent="0.3">
      <c r="B30" s="4">
        <v>46054</v>
      </c>
      <c r="C30" s="2" t="s">
        <v>12</v>
      </c>
      <c r="D30" s="2">
        <v>92170750000</v>
      </c>
    </row>
    <row r="31" spans="2:4" x14ac:dyDescent="0.3">
      <c r="B31" s="4">
        <v>46054</v>
      </c>
      <c r="C31" s="2" t="s">
        <v>3</v>
      </c>
      <c r="D31" s="2">
        <v>1722310866251</v>
      </c>
    </row>
    <row r="32" spans="2:4" x14ac:dyDescent="0.3">
      <c r="B32" s="4">
        <v>46054</v>
      </c>
      <c r="C32" s="2" t="s">
        <v>15</v>
      </c>
      <c r="D32" s="2">
        <v>53755295193</v>
      </c>
    </row>
    <row r="33" spans="2:4" x14ac:dyDescent="0.3">
      <c r="B33" s="4">
        <v>46054</v>
      </c>
      <c r="C33" s="2" t="s">
        <v>6</v>
      </c>
      <c r="D33" s="2">
        <v>15124750000</v>
      </c>
    </row>
    <row r="34" spans="2:4" x14ac:dyDescent="0.3">
      <c r="B34" s="4">
        <v>46054</v>
      </c>
      <c r="C34" s="2" t="s">
        <v>16</v>
      </c>
      <c r="D34" s="2">
        <v>12785920000</v>
      </c>
    </row>
    <row r="35" spans="2:4" x14ac:dyDescent="0.3">
      <c r="B35" s="4">
        <v>46054</v>
      </c>
      <c r="C35" s="2" t="s">
        <v>4</v>
      </c>
      <c r="D35" s="2">
        <v>9233648329</v>
      </c>
    </row>
    <row r="36" spans="2:4" x14ac:dyDescent="0.3">
      <c r="B36" s="4">
        <v>46054</v>
      </c>
      <c r="C36" s="2" t="s">
        <v>7</v>
      </c>
      <c r="D36" s="2">
        <v>42340651234</v>
      </c>
    </row>
    <row r="37" spans="2:4" x14ac:dyDescent="0.3">
      <c r="B37" s="4">
        <v>46054</v>
      </c>
      <c r="C37" s="2" t="s">
        <v>13</v>
      </c>
      <c r="D37" s="2">
        <v>6381405779</v>
      </c>
    </row>
    <row r="38" spans="2:4" x14ac:dyDescent="0.3">
      <c r="B38" s="4">
        <v>46054</v>
      </c>
      <c r="C38" s="2" t="s">
        <v>18</v>
      </c>
      <c r="D38" s="2">
        <v>21558320000</v>
      </c>
    </row>
    <row r="39" spans="2:4" x14ac:dyDescent="0.3">
      <c r="B39" s="4">
        <v>46054</v>
      </c>
      <c r="C39" s="2" t="s">
        <v>22</v>
      </c>
      <c r="D39" s="2">
        <v>8188128000</v>
      </c>
    </row>
    <row r="40" spans="2:4" x14ac:dyDescent="0.3">
      <c r="B40" s="4">
        <v>46054</v>
      </c>
      <c r="C40" s="2" t="s">
        <v>14</v>
      </c>
      <c r="D40" s="2">
        <v>382394060000</v>
      </c>
    </row>
    <row r="41" spans="2:4" x14ac:dyDescent="0.3">
      <c r="B41" s="4">
        <v>46054</v>
      </c>
      <c r="C41" s="2" t="s">
        <v>19</v>
      </c>
      <c r="D41" s="2">
        <v>316516710000</v>
      </c>
    </row>
    <row r="42" spans="2:4" x14ac:dyDescent="0.3">
      <c r="B42" s="4">
        <v>46054</v>
      </c>
      <c r="C42" s="2" t="s">
        <v>20</v>
      </c>
      <c r="D42" s="2">
        <v>13685015637</v>
      </c>
    </row>
    <row r="43" spans="2:4" x14ac:dyDescent="0.3">
      <c r="B43" s="4">
        <v>46054</v>
      </c>
      <c r="C43" s="2" t="s">
        <v>5</v>
      </c>
      <c r="D43" s="2">
        <v>27599750000</v>
      </c>
    </row>
    <row r="44" spans="2:4" x14ac:dyDescent="0.3">
      <c r="B44" s="4">
        <v>46082</v>
      </c>
      <c r="C44" s="2" t="s">
        <v>6</v>
      </c>
      <c r="D44" s="2">
        <v>22977260000</v>
      </c>
    </row>
    <row r="45" spans="2:4" x14ac:dyDescent="0.3">
      <c r="B45" s="4">
        <v>46082</v>
      </c>
      <c r="C45" s="2" t="s">
        <v>17</v>
      </c>
      <c r="D45" s="2">
        <v>408556764000</v>
      </c>
    </row>
    <row r="46" spans="2:4" x14ac:dyDescent="0.3">
      <c r="B46" s="4">
        <v>46082</v>
      </c>
      <c r="C46" s="2" t="s">
        <v>3</v>
      </c>
      <c r="D46" s="2">
        <v>1994958149295</v>
      </c>
    </row>
    <row r="47" spans="2:4" x14ac:dyDescent="0.3">
      <c r="B47" s="4">
        <v>46082</v>
      </c>
      <c r="C47" s="2" t="s">
        <v>11</v>
      </c>
      <c r="D47" s="2">
        <v>1333650000</v>
      </c>
    </row>
    <row r="48" spans="2:4" x14ac:dyDescent="0.3">
      <c r="B48" s="4">
        <v>46082</v>
      </c>
      <c r="C48" s="2" t="s">
        <v>22</v>
      </c>
      <c r="D48" s="2">
        <v>9320724000</v>
      </c>
    </row>
    <row r="49" spans="2:4" x14ac:dyDescent="0.3">
      <c r="B49" s="4">
        <v>46082</v>
      </c>
      <c r="C49" s="2" t="s">
        <v>18</v>
      </c>
      <c r="D49" s="2">
        <v>23290840000</v>
      </c>
    </row>
    <row r="50" spans="2:4" x14ac:dyDescent="0.3">
      <c r="B50" s="4">
        <v>46082</v>
      </c>
      <c r="C50" s="2" t="s">
        <v>20</v>
      </c>
      <c r="D50" s="2">
        <v>14594775836</v>
      </c>
    </row>
    <row r="51" spans="2:4" x14ac:dyDescent="0.3">
      <c r="B51" s="4">
        <v>46082</v>
      </c>
      <c r="C51" s="2" t="s">
        <v>14</v>
      </c>
      <c r="D51" s="2">
        <v>479605740000</v>
      </c>
    </row>
    <row r="52" spans="2:4" x14ac:dyDescent="0.3">
      <c r="B52" s="4">
        <v>46082</v>
      </c>
      <c r="C52" s="2" t="s">
        <v>8</v>
      </c>
      <c r="D52" s="2">
        <v>1760250000</v>
      </c>
    </row>
    <row r="53" spans="2:4" x14ac:dyDescent="0.3">
      <c r="B53" s="4">
        <v>46082</v>
      </c>
      <c r="C53" s="2" t="s">
        <v>16</v>
      </c>
      <c r="D53" s="2">
        <v>5709312000</v>
      </c>
    </row>
    <row r="54" spans="2:4" x14ac:dyDescent="0.3">
      <c r="B54" s="4">
        <v>46082</v>
      </c>
      <c r="C54" s="2" t="s">
        <v>4</v>
      </c>
      <c r="D54" s="2">
        <v>10352810916</v>
      </c>
    </row>
    <row r="55" spans="2:4" x14ac:dyDescent="0.3">
      <c r="B55" s="4">
        <v>46082</v>
      </c>
      <c r="C55" s="2" t="s">
        <v>9</v>
      </c>
      <c r="D55" s="2">
        <v>1610000000</v>
      </c>
    </row>
    <row r="56" spans="2:4" x14ac:dyDescent="0.3">
      <c r="B56" s="4">
        <v>46082</v>
      </c>
      <c r="C56" s="2" t="s">
        <v>5</v>
      </c>
      <c r="D56" s="2">
        <v>27432030000</v>
      </c>
    </row>
    <row r="57" spans="2:4" x14ac:dyDescent="0.3">
      <c r="B57" s="4">
        <v>46082</v>
      </c>
      <c r="C57" s="2" t="s">
        <v>7</v>
      </c>
      <c r="D57" s="2">
        <v>35135896806</v>
      </c>
    </row>
    <row r="58" spans="2:4" x14ac:dyDescent="0.3">
      <c r="B58" s="4">
        <v>46082</v>
      </c>
      <c r="C58" s="2" t="s">
        <v>13</v>
      </c>
      <c r="D58" s="2">
        <v>7022919135</v>
      </c>
    </row>
    <row r="59" spans="2:4" x14ac:dyDescent="0.3">
      <c r="B59" s="4">
        <v>46082</v>
      </c>
      <c r="C59" s="2" t="s">
        <v>12</v>
      </c>
      <c r="D59" s="2">
        <v>73511000000</v>
      </c>
    </row>
    <row r="60" spans="2:4" x14ac:dyDescent="0.3">
      <c r="B60" s="4">
        <v>46082</v>
      </c>
      <c r="C60" s="2" t="s">
        <v>21</v>
      </c>
      <c r="D60" s="2">
        <v>89834220000</v>
      </c>
    </row>
    <row r="61" spans="2:4" x14ac:dyDescent="0.3">
      <c r="B61" s="4">
        <v>46082</v>
      </c>
      <c r="C61" s="2" t="s">
        <v>19</v>
      </c>
      <c r="D61" s="2">
        <v>378849140000</v>
      </c>
    </row>
    <row r="62" spans="2:4" x14ac:dyDescent="0.3">
      <c r="B62" s="4">
        <v>46082</v>
      </c>
      <c r="C62" s="2" t="s">
        <v>15</v>
      </c>
      <c r="D62" s="2">
        <v>53539752199</v>
      </c>
    </row>
    <row r="63" spans="2:4" x14ac:dyDescent="0.3">
      <c r="B63" s="4">
        <v>46082</v>
      </c>
      <c r="C63" s="2" t="s">
        <v>10</v>
      </c>
      <c r="D63" s="2">
        <v>347767344000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0FD7-A35C-1B4E-9534-A0085CA9D9A8}">
  <dimension ref="A3:N50"/>
  <sheetViews>
    <sheetView topLeftCell="C23" zoomScale="139" workbookViewId="0">
      <selection activeCell="N37" sqref="N37"/>
    </sheetView>
  </sheetViews>
  <sheetFormatPr baseColWidth="10" defaultRowHeight="16" x14ac:dyDescent="0.2"/>
  <cols>
    <col min="1" max="1" width="28.33203125" bestFit="1" customWidth="1"/>
    <col min="2" max="2" width="16" bestFit="1" customWidth="1"/>
    <col min="3" max="4" width="9" bestFit="1" customWidth="1"/>
    <col min="5" max="5" width="10.5" bestFit="1" customWidth="1"/>
  </cols>
  <sheetData>
    <row r="3" spans="1:5" x14ac:dyDescent="0.2">
      <c r="A3" s="5" t="s">
        <v>45</v>
      </c>
      <c r="B3" s="5" t="s">
        <v>23</v>
      </c>
    </row>
    <row r="4" spans="1:5" x14ac:dyDescent="0.2">
      <c r="B4" t="s">
        <v>43</v>
      </c>
      <c r="C4" t="s">
        <v>44</v>
      </c>
      <c r="D4" t="s">
        <v>27</v>
      </c>
      <c r="E4" t="s">
        <v>24</v>
      </c>
    </row>
    <row r="6" spans="1:5" x14ac:dyDescent="0.2">
      <c r="A6" s="5" t="s">
        <v>26</v>
      </c>
    </row>
    <row r="7" spans="1:5" x14ac:dyDescent="0.2">
      <c r="A7" s="6" t="s">
        <v>6</v>
      </c>
      <c r="B7" s="7">
        <v>11992</v>
      </c>
      <c r="C7" s="7">
        <v>9477</v>
      </c>
      <c r="D7" s="7">
        <v>12066</v>
      </c>
      <c r="E7" s="7">
        <v>33535</v>
      </c>
    </row>
    <row r="8" spans="1:5" x14ac:dyDescent="0.2">
      <c r="A8" s="6" t="s">
        <v>4</v>
      </c>
      <c r="B8" s="7">
        <v>11789</v>
      </c>
      <c r="C8" s="7">
        <v>8603</v>
      </c>
      <c r="D8" s="7">
        <v>12260</v>
      </c>
      <c r="E8" s="7">
        <v>32652</v>
      </c>
    </row>
    <row r="9" spans="1:5" x14ac:dyDescent="0.2">
      <c r="A9" s="6" t="s">
        <v>19</v>
      </c>
      <c r="B9" s="7">
        <v>211771</v>
      </c>
      <c r="C9" s="7">
        <v>164676</v>
      </c>
      <c r="D9" s="7">
        <v>173560</v>
      </c>
      <c r="E9" s="7">
        <v>550007</v>
      </c>
    </row>
    <row r="10" spans="1:5" x14ac:dyDescent="0.2">
      <c r="A10" s="6" t="s">
        <v>38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">
      <c r="A11" s="6" t="s">
        <v>15</v>
      </c>
      <c r="B11" s="7">
        <v>3634</v>
      </c>
      <c r="C11" s="7">
        <v>2778</v>
      </c>
      <c r="D11" s="7">
        <v>3131</v>
      </c>
      <c r="E11" s="7">
        <v>9543</v>
      </c>
    </row>
    <row r="12" spans="1:5" x14ac:dyDescent="0.2">
      <c r="A12" s="6" t="s">
        <v>17</v>
      </c>
      <c r="B12" s="7">
        <v>251684</v>
      </c>
      <c r="C12" s="7">
        <v>196162</v>
      </c>
      <c r="D12" s="7">
        <v>234360</v>
      </c>
      <c r="E12" s="7">
        <v>682206</v>
      </c>
    </row>
    <row r="13" spans="1:5" x14ac:dyDescent="0.2">
      <c r="A13" s="6" t="s">
        <v>35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">
      <c r="A14" s="6" t="s">
        <v>34</v>
      </c>
      <c r="B14" s="7">
        <v>30</v>
      </c>
      <c r="C14" s="7">
        <v>20</v>
      </c>
      <c r="D14" s="7">
        <v>31</v>
      </c>
      <c r="E14" s="7">
        <v>81</v>
      </c>
    </row>
    <row r="15" spans="1:5" x14ac:dyDescent="0.2">
      <c r="A15" s="6" t="s">
        <v>12</v>
      </c>
      <c r="B15" s="7">
        <v>13041</v>
      </c>
      <c r="C15" s="7">
        <v>9272</v>
      </c>
      <c r="D15" s="7">
        <v>7726</v>
      </c>
      <c r="E15" s="7">
        <v>30039</v>
      </c>
    </row>
    <row r="16" spans="1:5" x14ac:dyDescent="0.2">
      <c r="A16" s="6" t="s">
        <v>5</v>
      </c>
      <c r="B16" s="7">
        <v>3528</v>
      </c>
      <c r="C16" s="7">
        <v>2955</v>
      </c>
      <c r="D16" s="7">
        <v>3046</v>
      </c>
      <c r="E16" s="7">
        <v>9529</v>
      </c>
    </row>
    <row r="17" spans="1:9" x14ac:dyDescent="0.2">
      <c r="A17" s="6" t="s">
        <v>41</v>
      </c>
      <c r="B17" s="7">
        <v>0</v>
      </c>
      <c r="C17" s="7">
        <v>0</v>
      </c>
      <c r="D17" s="7">
        <v>0</v>
      </c>
      <c r="E17" s="7">
        <v>0</v>
      </c>
    </row>
    <row r="18" spans="1:9" x14ac:dyDescent="0.2">
      <c r="A18" s="6" t="s">
        <v>7</v>
      </c>
      <c r="B18" s="7">
        <v>11920</v>
      </c>
      <c r="C18" s="7">
        <v>11283</v>
      </c>
      <c r="D18" s="7">
        <v>7957</v>
      </c>
      <c r="E18" s="7">
        <v>31160</v>
      </c>
    </row>
    <row r="19" spans="1:9" x14ac:dyDescent="0.2">
      <c r="A19" s="6" t="s">
        <v>32</v>
      </c>
      <c r="B19" s="7">
        <v>0</v>
      </c>
      <c r="C19" s="7">
        <v>0</v>
      </c>
      <c r="D19" s="7">
        <v>0</v>
      </c>
      <c r="E19" s="7">
        <v>0</v>
      </c>
    </row>
    <row r="20" spans="1:9" x14ac:dyDescent="0.2">
      <c r="A20" s="6" t="s">
        <v>8</v>
      </c>
      <c r="B20" s="7">
        <v>1445</v>
      </c>
      <c r="C20" s="7">
        <v>526</v>
      </c>
      <c r="D20" s="7">
        <v>399</v>
      </c>
      <c r="E20" s="7">
        <v>2370</v>
      </c>
    </row>
    <row r="21" spans="1:9" x14ac:dyDescent="0.2">
      <c r="A21" s="6" t="s">
        <v>42</v>
      </c>
      <c r="B21" s="7">
        <v>29</v>
      </c>
      <c r="C21" s="7">
        <v>11</v>
      </c>
      <c r="D21" s="7">
        <v>36</v>
      </c>
      <c r="E21" s="7">
        <v>76</v>
      </c>
    </row>
    <row r="22" spans="1:9" x14ac:dyDescent="0.2">
      <c r="A22" s="6" t="s">
        <v>14</v>
      </c>
      <c r="B22" s="7">
        <v>105940</v>
      </c>
      <c r="C22" s="7">
        <v>85686</v>
      </c>
      <c r="D22" s="7">
        <v>110270</v>
      </c>
      <c r="E22" s="7">
        <v>301896</v>
      </c>
    </row>
    <row r="23" spans="1:9" x14ac:dyDescent="0.2">
      <c r="A23" s="6" t="s">
        <v>39</v>
      </c>
      <c r="B23" s="7">
        <v>0</v>
      </c>
      <c r="C23" s="7">
        <v>0</v>
      </c>
      <c r="D23" s="7">
        <v>0</v>
      </c>
      <c r="E23" s="7">
        <v>0</v>
      </c>
    </row>
    <row r="24" spans="1:9" x14ac:dyDescent="0.2">
      <c r="A24" s="6" t="s">
        <v>36</v>
      </c>
      <c r="B24" s="7">
        <v>0</v>
      </c>
      <c r="C24" s="7">
        <v>0</v>
      </c>
      <c r="D24" s="7">
        <v>0</v>
      </c>
      <c r="E24" s="7">
        <v>0</v>
      </c>
    </row>
    <row r="25" spans="1:9" x14ac:dyDescent="0.2">
      <c r="A25" s="6" t="s">
        <v>40</v>
      </c>
      <c r="B25" s="7">
        <v>0</v>
      </c>
      <c r="C25" s="7">
        <v>0</v>
      </c>
      <c r="D25" s="7">
        <v>0</v>
      </c>
      <c r="E25" s="7">
        <v>0</v>
      </c>
    </row>
    <row r="26" spans="1:9" x14ac:dyDescent="0.2">
      <c r="A26" s="6" t="s">
        <v>37</v>
      </c>
      <c r="B26" s="7">
        <v>89</v>
      </c>
      <c r="C26" s="7">
        <v>71</v>
      </c>
      <c r="D26" s="7">
        <v>48</v>
      </c>
      <c r="E26" s="7">
        <v>208</v>
      </c>
    </row>
    <row r="27" spans="1:9" x14ac:dyDescent="0.2">
      <c r="A27" s="6" t="s">
        <v>24</v>
      </c>
      <c r="B27" s="7">
        <v>626892</v>
      </c>
      <c r="C27" s="7">
        <v>491520</v>
      </c>
      <c r="D27" s="7">
        <v>564890</v>
      </c>
      <c r="E27" s="7">
        <v>1683302</v>
      </c>
    </row>
    <row r="29" spans="1:9" x14ac:dyDescent="0.2">
      <c r="A29" t="s">
        <v>6</v>
      </c>
      <c r="B29">
        <v>11992</v>
      </c>
      <c r="C29">
        <v>9477</v>
      </c>
      <c r="D29">
        <v>12066</v>
      </c>
      <c r="E29">
        <v>33535</v>
      </c>
      <c r="F29" s="8">
        <f>B29/31</f>
        <v>386.83870967741933</v>
      </c>
      <c r="G29" s="8">
        <f>C29/28</f>
        <v>338.46428571428572</v>
      </c>
      <c r="H29" s="8">
        <f>D29/31</f>
        <v>389.22580645161293</v>
      </c>
    </row>
    <row r="30" spans="1:9" x14ac:dyDescent="0.2">
      <c r="A30" t="s">
        <v>4</v>
      </c>
      <c r="B30">
        <v>11789</v>
      </c>
      <c r="C30">
        <v>8603</v>
      </c>
      <c r="D30">
        <v>12260</v>
      </c>
      <c r="E30">
        <v>32652</v>
      </c>
      <c r="F30" s="8">
        <f t="shared" ref="F30:F48" si="0">B30/31</f>
        <v>380.29032258064518</v>
      </c>
      <c r="G30" s="8">
        <f t="shared" ref="G30:G48" si="1">C30/28</f>
        <v>307.25</v>
      </c>
      <c r="H30" s="8">
        <f t="shared" ref="H30:H48" si="2">D30/31</f>
        <v>395.48387096774195</v>
      </c>
    </row>
    <row r="31" spans="1:9" x14ac:dyDescent="0.2">
      <c r="A31" t="s">
        <v>19</v>
      </c>
      <c r="B31">
        <v>211771</v>
      </c>
      <c r="C31">
        <v>164676</v>
      </c>
      <c r="D31">
        <v>173560</v>
      </c>
      <c r="E31">
        <v>550007</v>
      </c>
      <c r="F31" s="8">
        <f t="shared" si="0"/>
        <v>6831.322580645161</v>
      </c>
      <c r="G31" s="8">
        <f t="shared" si="1"/>
        <v>5881.2857142857147</v>
      </c>
      <c r="H31" s="8">
        <f t="shared" si="2"/>
        <v>5598.7096774193551</v>
      </c>
      <c r="I31">
        <f>F31/H31-1</f>
        <v>0.22016017515556574</v>
      </c>
    </row>
    <row r="32" spans="1:9" x14ac:dyDescent="0.2">
      <c r="A32" t="s">
        <v>38</v>
      </c>
      <c r="B32">
        <v>0</v>
      </c>
      <c r="C32">
        <v>0</v>
      </c>
      <c r="D32">
        <v>0</v>
      </c>
      <c r="E32">
        <v>0</v>
      </c>
      <c r="F32" s="8">
        <f t="shared" si="0"/>
        <v>0</v>
      </c>
      <c r="G32" s="8">
        <f t="shared" si="1"/>
        <v>0</v>
      </c>
      <c r="H32" s="8">
        <f t="shared" si="2"/>
        <v>0</v>
      </c>
    </row>
    <row r="33" spans="1:14" x14ac:dyDescent="0.2">
      <c r="A33" t="s">
        <v>15</v>
      </c>
      <c r="B33">
        <v>3634</v>
      </c>
      <c r="C33">
        <v>2778</v>
      </c>
      <c r="D33">
        <v>3131</v>
      </c>
      <c r="E33">
        <v>9543</v>
      </c>
      <c r="F33" s="8">
        <f t="shared" si="0"/>
        <v>117.2258064516129</v>
      </c>
      <c r="G33" s="8">
        <f t="shared" si="1"/>
        <v>99.214285714285708</v>
      </c>
      <c r="H33" s="8">
        <f t="shared" si="2"/>
        <v>101</v>
      </c>
    </row>
    <row r="34" spans="1:14" x14ac:dyDescent="0.2">
      <c r="A34" t="s">
        <v>17</v>
      </c>
      <c r="B34">
        <v>251684</v>
      </c>
      <c r="C34">
        <v>196162</v>
      </c>
      <c r="D34">
        <v>234360</v>
      </c>
      <c r="E34">
        <v>682206</v>
      </c>
      <c r="F34" s="8">
        <f t="shared" si="0"/>
        <v>8118.8387096774195</v>
      </c>
      <c r="G34" s="8">
        <f t="shared" si="1"/>
        <v>7005.7857142857147</v>
      </c>
      <c r="H34" s="8">
        <f t="shared" si="2"/>
        <v>7560</v>
      </c>
      <c r="I34">
        <f>F34/H34-1</f>
        <v>7.3920464243044881E-2</v>
      </c>
    </row>
    <row r="35" spans="1:14" x14ac:dyDescent="0.2">
      <c r="A35" t="s">
        <v>35</v>
      </c>
      <c r="B35">
        <v>0</v>
      </c>
      <c r="C35">
        <v>0</v>
      </c>
      <c r="D35">
        <v>0</v>
      </c>
      <c r="E35">
        <v>0</v>
      </c>
      <c r="F35" s="8">
        <f t="shared" si="0"/>
        <v>0</v>
      </c>
      <c r="G35" s="8">
        <f t="shared" si="1"/>
        <v>0</v>
      </c>
      <c r="H35" s="8">
        <f t="shared" si="2"/>
        <v>0</v>
      </c>
    </row>
    <row r="36" spans="1:14" x14ac:dyDescent="0.2">
      <c r="A36" t="s">
        <v>34</v>
      </c>
      <c r="B36">
        <v>30</v>
      </c>
      <c r="C36">
        <v>20</v>
      </c>
      <c r="D36">
        <v>31</v>
      </c>
      <c r="E36">
        <v>81</v>
      </c>
      <c r="F36" s="8">
        <f t="shared" si="0"/>
        <v>0.967741935483871</v>
      </c>
      <c r="G36" s="8">
        <f t="shared" si="1"/>
        <v>0.7142857142857143</v>
      </c>
      <c r="H36" s="8">
        <f t="shared" si="2"/>
        <v>1</v>
      </c>
    </row>
    <row r="37" spans="1:14" x14ac:dyDescent="0.2">
      <c r="A37" t="s">
        <v>12</v>
      </c>
      <c r="B37">
        <v>13041</v>
      </c>
      <c r="C37">
        <v>9272</v>
      </c>
      <c r="D37">
        <v>7726</v>
      </c>
      <c r="E37">
        <v>30039</v>
      </c>
      <c r="F37" s="8">
        <f t="shared" si="0"/>
        <v>420.67741935483872</v>
      </c>
      <c r="G37" s="8">
        <f t="shared" si="1"/>
        <v>331.14285714285717</v>
      </c>
      <c r="H37" s="8">
        <f t="shared" si="2"/>
        <v>249.2258064516129</v>
      </c>
      <c r="I37">
        <f>B37+B38</f>
        <v>16569</v>
      </c>
      <c r="J37">
        <f>C37+C38</f>
        <v>12227</v>
      </c>
      <c r="K37">
        <f>D37+D38</f>
        <v>10772</v>
      </c>
      <c r="L37" s="8">
        <f>I37/31</f>
        <v>534.48387096774195</v>
      </c>
      <c r="M37" s="8">
        <f>J37/28</f>
        <v>436.67857142857144</v>
      </c>
      <c r="N37" s="8">
        <f>K37/31</f>
        <v>347.48387096774195</v>
      </c>
    </row>
    <row r="38" spans="1:14" x14ac:dyDescent="0.2">
      <c r="A38" t="s">
        <v>5</v>
      </c>
      <c r="B38">
        <v>3528</v>
      </c>
      <c r="C38">
        <v>2955</v>
      </c>
      <c r="D38">
        <v>3046</v>
      </c>
      <c r="E38">
        <v>9529</v>
      </c>
      <c r="F38" s="8">
        <f t="shared" si="0"/>
        <v>113.80645161290323</v>
      </c>
      <c r="G38" s="8">
        <f t="shared" si="1"/>
        <v>105.53571428571429</v>
      </c>
      <c r="H38" s="8">
        <f t="shared" si="2"/>
        <v>98.258064516129039</v>
      </c>
    </row>
    <row r="39" spans="1:14" x14ac:dyDescent="0.2">
      <c r="A39" t="s">
        <v>41</v>
      </c>
      <c r="B39">
        <v>0</v>
      </c>
      <c r="C39">
        <v>0</v>
      </c>
      <c r="D39">
        <v>0</v>
      </c>
      <c r="E39">
        <v>0</v>
      </c>
      <c r="F39" s="8">
        <f t="shared" si="0"/>
        <v>0</v>
      </c>
      <c r="G39" s="8">
        <f t="shared" si="1"/>
        <v>0</v>
      </c>
      <c r="H39" s="8">
        <f t="shared" si="2"/>
        <v>0</v>
      </c>
    </row>
    <row r="40" spans="1:14" x14ac:dyDescent="0.2">
      <c r="A40" t="s">
        <v>7</v>
      </c>
      <c r="B40">
        <v>11920</v>
      </c>
      <c r="C40">
        <v>11283</v>
      </c>
      <c r="D40">
        <v>7957</v>
      </c>
      <c r="E40">
        <v>31160</v>
      </c>
      <c r="F40" s="8">
        <f t="shared" si="0"/>
        <v>384.51612903225805</v>
      </c>
      <c r="G40" s="8">
        <f t="shared" si="1"/>
        <v>402.96428571428572</v>
      </c>
      <c r="H40" s="8">
        <f t="shared" si="2"/>
        <v>256.67741935483872</v>
      </c>
    </row>
    <row r="41" spans="1:14" x14ac:dyDescent="0.2">
      <c r="A41" t="s">
        <v>32</v>
      </c>
      <c r="B41">
        <v>0</v>
      </c>
      <c r="C41">
        <v>0</v>
      </c>
      <c r="D41">
        <v>0</v>
      </c>
      <c r="E41">
        <v>0</v>
      </c>
      <c r="F41" s="8">
        <f t="shared" si="0"/>
        <v>0</v>
      </c>
      <c r="G41" s="8">
        <f t="shared" si="1"/>
        <v>0</v>
      </c>
      <c r="H41" s="8">
        <f t="shared" si="2"/>
        <v>0</v>
      </c>
    </row>
    <row r="42" spans="1:14" x14ac:dyDescent="0.2">
      <c r="A42" t="s">
        <v>8</v>
      </c>
      <c r="B42">
        <v>1445</v>
      </c>
      <c r="C42">
        <v>526</v>
      </c>
      <c r="D42">
        <v>399</v>
      </c>
      <c r="E42">
        <v>2370</v>
      </c>
      <c r="F42" s="8">
        <f t="shared" si="0"/>
        <v>46.612903225806448</v>
      </c>
      <c r="G42" s="8">
        <f t="shared" si="1"/>
        <v>18.785714285714285</v>
      </c>
      <c r="H42" s="8">
        <f t="shared" si="2"/>
        <v>12.870967741935484</v>
      </c>
    </row>
    <row r="43" spans="1:14" x14ac:dyDescent="0.2">
      <c r="A43" t="s">
        <v>42</v>
      </c>
      <c r="B43">
        <v>29</v>
      </c>
      <c r="C43">
        <v>11</v>
      </c>
      <c r="D43">
        <v>36</v>
      </c>
      <c r="E43">
        <v>76</v>
      </c>
      <c r="F43" s="8">
        <f t="shared" si="0"/>
        <v>0.93548387096774188</v>
      </c>
      <c r="G43" s="8">
        <f t="shared" si="1"/>
        <v>0.39285714285714285</v>
      </c>
      <c r="H43" s="8">
        <f t="shared" si="2"/>
        <v>1.1612903225806452</v>
      </c>
    </row>
    <row r="44" spans="1:14" x14ac:dyDescent="0.2">
      <c r="A44" t="s">
        <v>14</v>
      </c>
      <c r="B44">
        <v>105940</v>
      </c>
      <c r="C44">
        <v>85686</v>
      </c>
      <c r="D44">
        <v>110270</v>
      </c>
      <c r="E44">
        <v>301896</v>
      </c>
      <c r="F44" s="8">
        <f t="shared" si="0"/>
        <v>3417.4193548387098</v>
      </c>
      <c r="G44" s="8">
        <f t="shared" si="1"/>
        <v>3060.2142857142858</v>
      </c>
      <c r="H44" s="8">
        <f t="shared" si="2"/>
        <v>3557.0967741935483</v>
      </c>
    </row>
    <row r="45" spans="1:14" x14ac:dyDescent="0.2">
      <c r="A45" t="s">
        <v>39</v>
      </c>
      <c r="B45">
        <v>0</v>
      </c>
      <c r="C45">
        <v>0</v>
      </c>
      <c r="D45">
        <v>0</v>
      </c>
      <c r="E45">
        <v>0</v>
      </c>
      <c r="F45" s="8">
        <f t="shared" si="0"/>
        <v>0</v>
      </c>
      <c r="G45" s="8">
        <f t="shared" si="1"/>
        <v>0</v>
      </c>
      <c r="H45" s="8">
        <f t="shared" si="2"/>
        <v>0</v>
      </c>
    </row>
    <row r="46" spans="1:14" x14ac:dyDescent="0.2">
      <c r="A46" t="s">
        <v>36</v>
      </c>
      <c r="B46">
        <v>0</v>
      </c>
      <c r="C46">
        <v>0</v>
      </c>
      <c r="D46">
        <v>0</v>
      </c>
      <c r="E46">
        <v>0</v>
      </c>
      <c r="F46" s="8">
        <f t="shared" si="0"/>
        <v>0</v>
      </c>
      <c r="G46" s="8">
        <f t="shared" si="1"/>
        <v>0</v>
      </c>
      <c r="H46" s="8">
        <f t="shared" si="2"/>
        <v>0</v>
      </c>
    </row>
    <row r="47" spans="1:14" x14ac:dyDescent="0.2">
      <c r="A47" t="s">
        <v>40</v>
      </c>
      <c r="B47">
        <v>0</v>
      </c>
      <c r="C47">
        <v>0</v>
      </c>
      <c r="D47">
        <v>0</v>
      </c>
      <c r="E47">
        <v>0</v>
      </c>
      <c r="F47" s="8">
        <f t="shared" si="0"/>
        <v>0</v>
      </c>
      <c r="G47" s="8">
        <f t="shared" si="1"/>
        <v>0</v>
      </c>
      <c r="H47" s="8">
        <f t="shared" si="2"/>
        <v>0</v>
      </c>
    </row>
    <row r="48" spans="1:14" x14ac:dyDescent="0.2">
      <c r="A48" t="s">
        <v>37</v>
      </c>
      <c r="B48">
        <v>89</v>
      </c>
      <c r="C48">
        <v>71</v>
      </c>
      <c r="D48">
        <v>48</v>
      </c>
      <c r="E48">
        <v>208</v>
      </c>
      <c r="F48" s="8">
        <f t="shared" si="0"/>
        <v>2.870967741935484</v>
      </c>
      <c r="G48" s="8">
        <f t="shared" si="1"/>
        <v>2.5357142857142856</v>
      </c>
      <c r="H48" s="8">
        <f t="shared" si="2"/>
        <v>1.5483870967741935</v>
      </c>
    </row>
    <row r="49" spans="1:9" x14ac:dyDescent="0.2">
      <c r="A49" s="2" t="s">
        <v>10</v>
      </c>
      <c r="B49" s="2">
        <v>184041</v>
      </c>
      <c r="C49" s="2">
        <v>132873</v>
      </c>
      <c r="D49" s="2">
        <v>158789</v>
      </c>
      <c r="F49" s="8">
        <f>B49/31</f>
        <v>5936.8064516129034</v>
      </c>
      <c r="G49" s="8">
        <f>C49/28</f>
        <v>4745.4642857142853</v>
      </c>
      <c r="H49" s="8">
        <f>D49/31</f>
        <v>5122.2258064516127</v>
      </c>
      <c r="I49">
        <f>F49/H49-1</f>
        <v>0.15902864808015682</v>
      </c>
    </row>
    <row r="50" spans="1:9" x14ac:dyDescent="0.2">
      <c r="A50" s="2" t="s">
        <v>21</v>
      </c>
      <c r="B50" s="2">
        <v>23407</v>
      </c>
      <c r="C50" s="2">
        <v>13932</v>
      </c>
      <c r="D50" s="2">
        <v>20110</v>
      </c>
      <c r="F50" s="8">
        <f>B50/31</f>
        <v>755.06451612903231</v>
      </c>
      <c r="G50" s="8">
        <f>C50/28</f>
        <v>497.57142857142856</v>
      </c>
      <c r="H50" s="8">
        <f>D50/31</f>
        <v>648.70967741935488</v>
      </c>
      <c r="I50">
        <f>F50/H50-1</f>
        <v>0.16394828443560416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9456-2766-F44F-A70C-970482C4F41C}">
  <dimension ref="B2:D62"/>
  <sheetViews>
    <sheetView topLeftCell="A2" workbookViewId="0">
      <selection activeCell="B2" sqref="B2:D62"/>
    </sheetView>
  </sheetViews>
  <sheetFormatPr baseColWidth="10" defaultRowHeight="16" x14ac:dyDescent="0.2"/>
  <sheetData>
    <row r="2" spans="2:4" x14ac:dyDescent="0.2">
      <c r="B2" s="2" t="s">
        <v>30</v>
      </c>
      <c r="C2" s="2" t="s">
        <v>1</v>
      </c>
      <c r="D2" s="2" t="s">
        <v>31</v>
      </c>
    </row>
    <row r="3" spans="2:4" x14ac:dyDescent="0.2">
      <c r="B3" s="4">
        <v>46023</v>
      </c>
      <c r="C3" s="2" t="s">
        <v>5</v>
      </c>
      <c r="D3" s="2">
        <v>3528</v>
      </c>
    </row>
    <row r="4" spans="2:4" x14ac:dyDescent="0.2">
      <c r="B4" s="4">
        <v>46023</v>
      </c>
      <c r="C4" s="2" t="s">
        <v>32</v>
      </c>
      <c r="D4" s="2" t="s">
        <v>33</v>
      </c>
    </row>
    <row r="5" spans="2:4" x14ac:dyDescent="0.2">
      <c r="B5" s="4">
        <v>46023</v>
      </c>
      <c r="C5" s="2" t="s">
        <v>6</v>
      </c>
      <c r="D5" s="2">
        <v>11992</v>
      </c>
    </row>
    <row r="6" spans="2:4" x14ac:dyDescent="0.2">
      <c r="B6" s="4">
        <v>46023</v>
      </c>
      <c r="C6" s="2" t="s">
        <v>34</v>
      </c>
      <c r="D6" s="2">
        <v>30</v>
      </c>
    </row>
    <row r="7" spans="2:4" x14ac:dyDescent="0.2">
      <c r="B7" s="4">
        <v>46023</v>
      </c>
      <c r="C7" s="2" t="s">
        <v>35</v>
      </c>
      <c r="D7" s="2" t="s">
        <v>33</v>
      </c>
    </row>
    <row r="8" spans="2:4" x14ac:dyDescent="0.2">
      <c r="B8" s="4">
        <v>46023</v>
      </c>
      <c r="C8" s="2" t="s">
        <v>4</v>
      </c>
      <c r="D8" s="2">
        <v>11789</v>
      </c>
    </row>
    <row r="9" spans="2:4" x14ac:dyDescent="0.2">
      <c r="B9" s="4">
        <v>46023</v>
      </c>
      <c r="C9" s="2" t="s">
        <v>36</v>
      </c>
      <c r="D9" s="2" t="s">
        <v>33</v>
      </c>
    </row>
    <row r="10" spans="2:4" x14ac:dyDescent="0.2">
      <c r="B10" s="4">
        <v>46023</v>
      </c>
      <c r="C10" s="2" t="s">
        <v>17</v>
      </c>
      <c r="D10" s="2">
        <v>251684</v>
      </c>
    </row>
    <row r="11" spans="2:4" x14ac:dyDescent="0.2">
      <c r="B11" s="4">
        <v>46023</v>
      </c>
      <c r="C11" s="2" t="s">
        <v>37</v>
      </c>
      <c r="D11" s="2">
        <v>89</v>
      </c>
    </row>
    <row r="12" spans="2:4" x14ac:dyDescent="0.2">
      <c r="B12" s="4">
        <v>46023</v>
      </c>
      <c r="C12" s="2" t="s">
        <v>38</v>
      </c>
      <c r="D12" s="2" t="s">
        <v>33</v>
      </c>
    </row>
    <row r="13" spans="2:4" x14ac:dyDescent="0.2">
      <c r="B13" s="4">
        <v>46023</v>
      </c>
      <c r="C13" s="2" t="s">
        <v>39</v>
      </c>
      <c r="D13" s="2" t="s">
        <v>33</v>
      </c>
    </row>
    <row r="14" spans="2:4" x14ac:dyDescent="0.2">
      <c r="B14" s="4">
        <v>46023</v>
      </c>
      <c r="C14" s="2" t="s">
        <v>40</v>
      </c>
      <c r="D14" s="2" t="s">
        <v>33</v>
      </c>
    </row>
    <row r="15" spans="2:4" x14ac:dyDescent="0.2">
      <c r="B15" s="4">
        <v>46023</v>
      </c>
      <c r="C15" s="2" t="s">
        <v>12</v>
      </c>
      <c r="D15" s="2">
        <v>13041</v>
      </c>
    </row>
    <row r="16" spans="2:4" x14ac:dyDescent="0.2">
      <c r="B16" s="4">
        <v>46023</v>
      </c>
      <c r="C16" s="2" t="s">
        <v>15</v>
      </c>
      <c r="D16" s="2">
        <v>3634</v>
      </c>
    </row>
    <row r="17" spans="2:4" x14ac:dyDescent="0.2">
      <c r="B17" s="4">
        <v>46023</v>
      </c>
      <c r="C17" s="2" t="s">
        <v>14</v>
      </c>
      <c r="D17" s="2">
        <v>105940</v>
      </c>
    </row>
    <row r="18" spans="2:4" x14ac:dyDescent="0.2">
      <c r="B18" s="4">
        <v>46023</v>
      </c>
      <c r="C18" s="2" t="s">
        <v>8</v>
      </c>
      <c r="D18" s="2">
        <v>1445</v>
      </c>
    </row>
    <row r="19" spans="2:4" x14ac:dyDescent="0.2">
      <c r="B19" s="4">
        <v>46023</v>
      </c>
      <c r="C19" s="2" t="s">
        <v>41</v>
      </c>
      <c r="D19" s="2" t="s">
        <v>33</v>
      </c>
    </row>
    <row r="20" spans="2:4" x14ac:dyDescent="0.2">
      <c r="B20" s="4">
        <v>46023</v>
      </c>
      <c r="C20" s="2" t="s">
        <v>42</v>
      </c>
      <c r="D20" s="2">
        <v>29</v>
      </c>
    </row>
    <row r="21" spans="2:4" x14ac:dyDescent="0.2">
      <c r="B21" s="4">
        <v>46023</v>
      </c>
      <c r="C21" s="2" t="s">
        <v>7</v>
      </c>
      <c r="D21" s="2">
        <v>11920</v>
      </c>
    </row>
    <row r="22" spans="2:4" x14ac:dyDescent="0.2">
      <c r="B22" s="4">
        <v>46023</v>
      </c>
      <c r="C22" s="2" t="s">
        <v>19</v>
      </c>
      <c r="D22" s="2">
        <v>211771</v>
      </c>
    </row>
    <row r="23" spans="2:4" x14ac:dyDescent="0.2">
      <c r="B23" s="4">
        <v>46054</v>
      </c>
      <c r="C23" s="2" t="s">
        <v>39</v>
      </c>
      <c r="D23" s="2" t="s">
        <v>33</v>
      </c>
    </row>
    <row r="24" spans="2:4" x14ac:dyDescent="0.2">
      <c r="B24" s="4">
        <v>46054</v>
      </c>
      <c r="C24" s="2" t="s">
        <v>8</v>
      </c>
      <c r="D24" s="2">
        <v>526</v>
      </c>
    </row>
    <row r="25" spans="2:4" x14ac:dyDescent="0.2">
      <c r="B25" s="4">
        <v>46054</v>
      </c>
      <c r="C25" s="2" t="s">
        <v>6</v>
      </c>
      <c r="D25" s="2">
        <v>9477</v>
      </c>
    </row>
    <row r="26" spans="2:4" x14ac:dyDescent="0.2">
      <c r="B26" s="4">
        <v>46054</v>
      </c>
      <c r="C26" s="2" t="s">
        <v>42</v>
      </c>
      <c r="D26" s="2">
        <v>11</v>
      </c>
    </row>
    <row r="27" spans="2:4" x14ac:dyDescent="0.2">
      <c r="B27" s="4">
        <v>46054</v>
      </c>
      <c r="C27" s="2" t="s">
        <v>34</v>
      </c>
      <c r="D27" s="2">
        <v>20</v>
      </c>
    </row>
    <row r="28" spans="2:4" x14ac:dyDescent="0.2">
      <c r="B28" s="4">
        <v>46054</v>
      </c>
      <c r="C28" s="2" t="s">
        <v>38</v>
      </c>
      <c r="D28" s="2" t="s">
        <v>33</v>
      </c>
    </row>
    <row r="29" spans="2:4" x14ac:dyDescent="0.2">
      <c r="B29" s="4">
        <v>46054</v>
      </c>
      <c r="C29" s="2" t="s">
        <v>19</v>
      </c>
      <c r="D29" s="2">
        <v>164676</v>
      </c>
    </row>
    <row r="30" spans="2:4" x14ac:dyDescent="0.2">
      <c r="B30" s="4">
        <v>46054</v>
      </c>
      <c r="C30" s="2" t="s">
        <v>15</v>
      </c>
      <c r="D30" s="2">
        <v>2778</v>
      </c>
    </row>
    <row r="31" spans="2:4" x14ac:dyDescent="0.2">
      <c r="B31" s="4">
        <v>46054</v>
      </c>
      <c r="C31" s="2" t="s">
        <v>37</v>
      </c>
      <c r="D31" s="2">
        <v>71</v>
      </c>
    </row>
    <row r="32" spans="2:4" x14ac:dyDescent="0.2">
      <c r="B32" s="4">
        <v>46054</v>
      </c>
      <c r="C32" s="2" t="s">
        <v>12</v>
      </c>
      <c r="D32" s="2">
        <v>9272</v>
      </c>
    </row>
    <row r="33" spans="2:4" x14ac:dyDescent="0.2">
      <c r="B33" s="4">
        <v>46054</v>
      </c>
      <c r="C33" s="2" t="s">
        <v>35</v>
      </c>
      <c r="D33" s="2" t="s">
        <v>33</v>
      </c>
    </row>
    <row r="34" spans="2:4" x14ac:dyDescent="0.2">
      <c r="B34" s="4">
        <v>46054</v>
      </c>
      <c r="C34" s="2" t="s">
        <v>14</v>
      </c>
      <c r="D34" s="2">
        <v>85686</v>
      </c>
    </row>
    <row r="35" spans="2:4" x14ac:dyDescent="0.2">
      <c r="B35" s="4">
        <v>46054</v>
      </c>
      <c r="C35" s="2" t="s">
        <v>41</v>
      </c>
      <c r="D35" s="2" t="s">
        <v>33</v>
      </c>
    </row>
    <row r="36" spans="2:4" x14ac:dyDescent="0.2">
      <c r="B36" s="4">
        <v>46054</v>
      </c>
      <c r="C36" s="2" t="s">
        <v>17</v>
      </c>
      <c r="D36" s="2">
        <v>196162</v>
      </c>
    </row>
    <row r="37" spans="2:4" x14ac:dyDescent="0.2">
      <c r="B37" s="4">
        <v>46054</v>
      </c>
      <c r="C37" s="2" t="s">
        <v>32</v>
      </c>
      <c r="D37" s="2" t="s">
        <v>33</v>
      </c>
    </row>
    <row r="38" spans="2:4" x14ac:dyDescent="0.2">
      <c r="B38" s="4">
        <v>46054</v>
      </c>
      <c r="C38" s="2" t="s">
        <v>40</v>
      </c>
      <c r="D38" s="2" t="s">
        <v>33</v>
      </c>
    </row>
    <row r="39" spans="2:4" x14ac:dyDescent="0.2">
      <c r="B39" s="4">
        <v>46054</v>
      </c>
      <c r="C39" s="2" t="s">
        <v>5</v>
      </c>
      <c r="D39" s="2">
        <v>2955</v>
      </c>
    </row>
    <row r="40" spans="2:4" x14ac:dyDescent="0.2">
      <c r="B40" s="4">
        <v>46054</v>
      </c>
      <c r="C40" s="2" t="s">
        <v>7</v>
      </c>
      <c r="D40" s="2">
        <v>11283</v>
      </c>
    </row>
    <row r="41" spans="2:4" x14ac:dyDescent="0.2">
      <c r="B41" s="4">
        <v>46054</v>
      </c>
      <c r="C41" s="2" t="s">
        <v>4</v>
      </c>
      <c r="D41" s="2">
        <v>8603</v>
      </c>
    </row>
    <row r="42" spans="2:4" x14ac:dyDescent="0.2">
      <c r="B42" s="4">
        <v>46054</v>
      </c>
      <c r="C42" s="2" t="s">
        <v>36</v>
      </c>
      <c r="D42" s="2" t="s">
        <v>33</v>
      </c>
    </row>
    <row r="43" spans="2:4" x14ac:dyDescent="0.2">
      <c r="B43" s="4">
        <v>46082</v>
      </c>
      <c r="C43" s="2" t="s">
        <v>35</v>
      </c>
      <c r="D43" s="2" t="s">
        <v>33</v>
      </c>
    </row>
    <row r="44" spans="2:4" x14ac:dyDescent="0.2">
      <c r="B44" s="4">
        <v>46082</v>
      </c>
      <c r="C44" s="2" t="s">
        <v>5</v>
      </c>
      <c r="D44" s="2">
        <v>3046</v>
      </c>
    </row>
    <row r="45" spans="2:4" x14ac:dyDescent="0.2">
      <c r="B45" s="4">
        <v>46082</v>
      </c>
      <c r="C45" s="2" t="s">
        <v>6</v>
      </c>
      <c r="D45" s="2">
        <v>12066</v>
      </c>
    </row>
    <row r="46" spans="2:4" x14ac:dyDescent="0.2">
      <c r="B46" s="4">
        <v>46082</v>
      </c>
      <c r="C46" s="2" t="s">
        <v>42</v>
      </c>
      <c r="D46" s="2">
        <v>36</v>
      </c>
    </row>
    <row r="47" spans="2:4" x14ac:dyDescent="0.2">
      <c r="B47" s="4">
        <v>46082</v>
      </c>
      <c r="C47" s="2" t="s">
        <v>12</v>
      </c>
      <c r="D47" s="2">
        <v>7726</v>
      </c>
    </row>
    <row r="48" spans="2:4" x14ac:dyDescent="0.2">
      <c r="B48" s="4">
        <v>46082</v>
      </c>
      <c r="C48" s="2" t="s">
        <v>7</v>
      </c>
      <c r="D48" s="2">
        <v>7957</v>
      </c>
    </row>
    <row r="49" spans="2:4" x14ac:dyDescent="0.2">
      <c r="B49" s="4">
        <v>46082</v>
      </c>
      <c r="C49" s="2" t="s">
        <v>32</v>
      </c>
      <c r="D49" s="2" t="s">
        <v>33</v>
      </c>
    </row>
    <row r="50" spans="2:4" x14ac:dyDescent="0.2">
      <c r="B50" s="4">
        <v>46082</v>
      </c>
      <c r="C50" s="2" t="s">
        <v>37</v>
      </c>
      <c r="D50" s="2">
        <v>48</v>
      </c>
    </row>
    <row r="51" spans="2:4" x14ac:dyDescent="0.2">
      <c r="B51" s="4">
        <v>46082</v>
      </c>
      <c r="C51" s="2" t="s">
        <v>15</v>
      </c>
      <c r="D51" s="2">
        <v>3131</v>
      </c>
    </row>
    <row r="52" spans="2:4" x14ac:dyDescent="0.2">
      <c r="B52" s="4">
        <v>46082</v>
      </c>
      <c r="C52" s="2" t="s">
        <v>38</v>
      </c>
      <c r="D52" s="2" t="s">
        <v>33</v>
      </c>
    </row>
    <row r="53" spans="2:4" x14ac:dyDescent="0.2">
      <c r="B53" s="4">
        <v>46082</v>
      </c>
      <c r="C53" s="2" t="s">
        <v>36</v>
      </c>
      <c r="D53" s="2" t="s">
        <v>33</v>
      </c>
    </row>
    <row r="54" spans="2:4" x14ac:dyDescent="0.2">
      <c r="B54" s="4">
        <v>46082</v>
      </c>
      <c r="C54" s="2" t="s">
        <v>8</v>
      </c>
      <c r="D54" s="2">
        <v>399</v>
      </c>
    </row>
    <row r="55" spans="2:4" x14ac:dyDescent="0.2">
      <c r="B55" s="4">
        <v>46082</v>
      </c>
      <c r="C55" s="2" t="s">
        <v>19</v>
      </c>
      <c r="D55" s="2">
        <v>173560</v>
      </c>
    </row>
    <row r="56" spans="2:4" x14ac:dyDescent="0.2">
      <c r="B56" s="4">
        <v>46082</v>
      </c>
      <c r="C56" s="2" t="s">
        <v>34</v>
      </c>
      <c r="D56" s="2">
        <v>31</v>
      </c>
    </row>
    <row r="57" spans="2:4" x14ac:dyDescent="0.2">
      <c r="B57" s="4">
        <v>46082</v>
      </c>
      <c r="C57" s="2" t="s">
        <v>14</v>
      </c>
      <c r="D57" s="2">
        <v>110270</v>
      </c>
    </row>
    <row r="58" spans="2:4" x14ac:dyDescent="0.2">
      <c r="B58" s="4">
        <v>46082</v>
      </c>
      <c r="C58" s="2" t="s">
        <v>17</v>
      </c>
      <c r="D58" s="2">
        <v>234360</v>
      </c>
    </row>
    <row r="59" spans="2:4" x14ac:dyDescent="0.2">
      <c r="B59" s="4">
        <v>46082</v>
      </c>
      <c r="C59" s="2" t="s">
        <v>39</v>
      </c>
      <c r="D59" s="2" t="s">
        <v>33</v>
      </c>
    </row>
    <row r="60" spans="2:4" x14ac:dyDescent="0.2">
      <c r="B60" s="4">
        <v>46082</v>
      </c>
      <c r="C60" s="2" t="s">
        <v>41</v>
      </c>
      <c r="D60" s="2" t="s">
        <v>33</v>
      </c>
    </row>
    <row r="61" spans="2:4" x14ac:dyDescent="0.2">
      <c r="B61" s="4">
        <v>46082</v>
      </c>
      <c r="C61" s="2" t="s">
        <v>4</v>
      </c>
      <c r="D61" s="2">
        <v>12260</v>
      </c>
    </row>
    <row r="62" spans="2:4" x14ac:dyDescent="0.2">
      <c r="B62" s="4">
        <v>46082</v>
      </c>
      <c r="C62" s="2" t="s">
        <v>40</v>
      </c>
      <c r="D62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090C-42EB-BD46-B390-DE3AEBEAFED2}">
  <dimension ref="A3:I25"/>
  <sheetViews>
    <sheetView workbookViewId="0">
      <selection activeCell="I13" sqref="I13"/>
    </sheetView>
  </sheetViews>
  <sheetFormatPr baseColWidth="10" defaultRowHeight="16" x14ac:dyDescent="0.2"/>
  <cols>
    <col min="1" max="1" width="21.5" bestFit="1" customWidth="1"/>
    <col min="2" max="4" width="19.1640625" bestFit="1" customWidth="1"/>
    <col min="5" max="5" width="20.1640625" bestFit="1" customWidth="1"/>
    <col min="6" max="6" width="14" bestFit="1" customWidth="1"/>
    <col min="7" max="7" width="16.33203125" bestFit="1" customWidth="1"/>
    <col min="8" max="8" width="21.5" bestFit="1" customWidth="1"/>
    <col min="9" max="9" width="20.33203125" bestFit="1" customWidth="1"/>
    <col min="10" max="10" width="22.1640625" bestFit="1" customWidth="1"/>
    <col min="11" max="11" width="15.1640625" bestFit="1" customWidth="1"/>
    <col min="12" max="12" width="13.1640625" bestFit="1" customWidth="1"/>
    <col min="13" max="13" width="14.1640625" bestFit="1" customWidth="1"/>
    <col min="14" max="14" width="21.5" bestFit="1" customWidth="1"/>
    <col min="15" max="15" width="19.33203125" bestFit="1" customWidth="1"/>
    <col min="16" max="16" width="17.6640625" bestFit="1" customWidth="1"/>
    <col min="17" max="17" width="15.5" bestFit="1" customWidth="1"/>
    <col min="18" max="18" width="16.6640625" bestFit="1" customWidth="1"/>
    <col min="19" max="19" width="19.6640625" bestFit="1" customWidth="1"/>
    <col min="20" max="20" width="17.6640625" bestFit="1" customWidth="1"/>
    <col min="21" max="22" width="12.1640625" bestFit="1" customWidth="1"/>
  </cols>
  <sheetData>
    <row r="3" spans="1:9" x14ac:dyDescent="0.2">
      <c r="A3" s="5" t="s">
        <v>25</v>
      </c>
      <c r="B3" s="5" t="s">
        <v>23</v>
      </c>
    </row>
    <row r="4" spans="1:9" x14ac:dyDescent="0.2">
      <c r="A4" s="5" t="s">
        <v>26</v>
      </c>
      <c r="B4" s="3">
        <v>46023</v>
      </c>
      <c r="C4" s="3">
        <v>46054</v>
      </c>
      <c r="D4" s="3">
        <v>46082</v>
      </c>
      <c r="E4" s="3" t="s">
        <v>24</v>
      </c>
    </row>
    <row r="5" spans="1:9" x14ac:dyDescent="0.2">
      <c r="A5" s="6" t="s">
        <v>6</v>
      </c>
      <c r="B5" s="7">
        <v>21136600000</v>
      </c>
      <c r="C5" s="7">
        <v>15124750000</v>
      </c>
      <c r="D5" s="7">
        <v>22977260000</v>
      </c>
      <c r="E5" s="7">
        <v>59238610000</v>
      </c>
    </row>
    <row r="6" spans="1:9" x14ac:dyDescent="0.2">
      <c r="A6" s="6" t="s">
        <v>4</v>
      </c>
      <c r="B6" s="7">
        <v>10867603221</v>
      </c>
      <c r="C6" s="7">
        <v>9233648329</v>
      </c>
      <c r="D6" s="7">
        <v>10352810916</v>
      </c>
      <c r="E6" s="7">
        <v>30454062466</v>
      </c>
    </row>
    <row r="7" spans="1:9" x14ac:dyDescent="0.2">
      <c r="A7" s="6" t="s">
        <v>19</v>
      </c>
      <c r="B7" s="7">
        <v>467929410000</v>
      </c>
      <c r="C7" s="7">
        <v>316516710000</v>
      </c>
      <c r="D7" s="7">
        <v>378849140000</v>
      </c>
      <c r="E7" s="7">
        <v>1163295260000</v>
      </c>
    </row>
    <row r="8" spans="1:9" x14ac:dyDescent="0.2">
      <c r="A8" s="6" t="s">
        <v>15</v>
      </c>
      <c r="B8" s="7">
        <v>63409743099</v>
      </c>
      <c r="C8" s="7">
        <v>53755295193</v>
      </c>
      <c r="D8" s="7">
        <v>53539752199</v>
      </c>
      <c r="E8" s="7">
        <v>170704790491</v>
      </c>
    </row>
    <row r="9" spans="1:9" x14ac:dyDescent="0.2">
      <c r="A9" s="6" t="s">
        <v>17</v>
      </c>
      <c r="B9" s="7">
        <v>432076356000</v>
      </c>
      <c r="C9" s="7">
        <v>344144160000</v>
      </c>
      <c r="D9" s="7">
        <v>408556764000</v>
      </c>
      <c r="E9" s="7">
        <v>1184777280000</v>
      </c>
    </row>
    <row r="10" spans="1:9" x14ac:dyDescent="0.2">
      <c r="A10" s="6" t="s">
        <v>12</v>
      </c>
      <c r="B10" s="7">
        <v>146560220000</v>
      </c>
      <c r="C10" s="7">
        <v>92170750000</v>
      </c>
      <c r="D10" s="7">
        <v>73511000000</v>
      </c>
      <c r="E10" s="7">
        <v>312241970000</v>
      </c>
    </row>
    <row r="11" spans="1:9" x14ac:dyDescent="0.2">
      <c r="A11" s="6" t="s">
        <v>5</v>
      </c>
      <c r="B11" s="7">
        <v>28960540000</v>
      </c>
      <c r="C11" s="7">
        <v>27599750000</v>
      </c>
      <c r="D11" s="7">
        <v>27432030000</v>
      </c>
      <c r="E11" s="7">
        <v>83992320000</v>
      </c>
    </row>
    <row r="12" spans="1:9" x14ac:dyDescent="0.2">
      <c r="A12" s="6" t="s">
        <v>7</v>
      </c>
      <c r="B12" s="7">
        <v>44881001135</v>
      </c>
      <c r="C12" s="7">
        <v>42340651234</v>
      </c>
      <c r="D12" s="7">
        <v>35135896806</v>
      </c>
      <c r="E12" s="7">
        <v>122357549175</v>
      </c>
      <c r="G12" s="7">
        <f>B12/31</f>
        <v>1447774230.1612904</v>
      </c>
      <c r="H12" s="7">
        <f>C12/31</f>
        <v>1365827459.1612904</v>
      </c>
      <c r="I12" s="7">
        <f>D12/31</f>
        <v>1133416026</v>
      </c>
    </row>
    <row r="13" spans="1:9" x14ac:dyDescent="0.2">
      <c r="A13" s="6" t="s">
        <v>8</v>
      </c>
      <c r="B13" s="7">
        <v>6803900000</v>
      </c>
      <c r="C13" s="7">
        <v>2032400000</v>
      </c>
      <c r="D13" s="7">
        <v>1760250000</v>
      </c>
      <c r="E13" s="7">
        <v>10596550000</v>
      </c>
    </row>
    <row r="14" spans="1:9" x14ac:dyDescent="0.2">
      <c r="A14" s="6" t="s">
        <v>14</v>
      </c>
      <c r="B14" s="7">
        <v>521395250000</v>
      </c>
      <c r="C14" s="7">
        <v>382394060000</v>
      </c>
      <c r="D14" s="7">
        <v>479605740000</v>
      </c>
      <c r="E14" s="7">
        <v>1383395050000</v>
      </c>
    </row>
    <row r="15" spans="1:9" x14ac:dyDescent="0.2">
      <c r="A15" s="6" t="s">
        <v>10</v>
      </c>
      <c r="B15" s="7">
        <v>336025800000</v>
      </c>
      <c r="C15" s="7">
        <v>290364048000</v>
      </c>
      <c r="D15" s="7">
        <v>347767344000</v>
      </c>
      <c r="E15" s="7">
        <v>974157192000</v>
      </c>
    </row>
    <row r="16" spans="1:9" x14ac:dyDescent="0.2">
      <c r="A16" s="6" t="s">
        <v>13</v>
      </c>
      <c r="B16" s="7">
        <v>7773898216</v>
      </c>
      <c r="C16" s="7">
        <v>6381405779</v>
      </c>
      <c r="D16" s="7">
        <v>7022919135</v>
      </c>
      <c r="E16" s="7">
        <v>21178223130</v>
      </c>
    </row>
    <row r="17" spans="1:5" x14ac:dyDescent="0.2">
      <c r="A17" s="6" t="s">
        <v>11</v>
      </c>
      <c r="B17" s="7">
        <v>828250000</v>
      </c>
      <c r="C17" s="7">
        <v>1241950000</v>
      </c>
      <c r="D17" s="7">
        <v>1333650000</v>
      </c>
      <c r="E17" s="7">
        <v>3403850000</v>
      </c>
    </row>
    <row r="18" spans="1:5" x14ac:dyDescent="0.2">
      <c r="A18" s="6" t="s">
        <v>9</v>
      </c>
      <c r="B18" s="7">
        <v>1439000000</v>
      </c>
      <c r="C18" s="7">
        <v>1267000000</v>
      </c>
      <c r="D18" s="7">
        <v>1610000000</v>
      </c>
      <c r="E18" s="7">
        <v>4316000000</v>
      </c>
    </row>
    <row r="19" spans="1:5" x14ac:dyDescent="0.2">
      <c r="A19" s="6" t="s">
        <v>18</v>
      </c>
      <c r="B19" s="7">
        <v>27560260000</v>
      </c>
      <c r="C19" s="7">
        <v>21558320000</v>
      </c>
      <c r="D19" s="7">
        <v>23290840000</v>
      </c>
      <c r="E19" s="7">
        <v>72409420000</v>
      </c>
    </row>
    <row r="20" spans="1:5" x14ac:dyDescent="0.2">
      <c r="A20" s="6" t="s">
        <v>22</v>
      </c>
      <c r="B20" s="7">
        <v>10493388000</v>
      </c>
      <c r="C20" s="7">
        <v>8188128000</v>
      </c>
      <c r="D20" s="7">
        <v>9320724000</v>
      </c>
      <c r="E20" s="7">
        <v>28002240000</v>
      </c>
    </row>
    <row r="21" spans="1:5" x14ac:dyDescent="0.2">
      <c r="A21" s="6" t="s">
        <v>20</v>
      </c>
      <c r="B21" s="7">
        <v>16072045824</v>
      </c>
      <c r="C21" s="7">
        <v>13685015637</v>
      </c>
      <c r="D21" s="7">
        <v>14594775836</v>
      </c>
      <c r="E21" s="7">
        <v>44351837297</v>
      </c>
    </row>
    <row r="22" spans="1:5" x14ac:dyDescent="0.2">
      <c r="A22" s="6" t="s">
        <v>21</v>
      </c>
      <c r="B22" s="7">
        <v>109227730000</v>
      </c>
      <c r="C22" s="7">
        <v>79426750000</v>
      </c>
      <c r="D22" s="7">
        <v>89834220000</v>
      </c>
      <c r="E22" s="7">
        <v>278488700000</v>
      </c>
    </row>
    <row r="23" spans="1:5" x14ac:dyDescent="0.2">
      <c r="A23" s="6" t="s">
        <v>16</v>
      </c>
      <c r="B23" s="7">
        <v>13141000000</v>
      </c>
      <c r="C23" s="7">
        <v>12785920000</v>
      </c>
      <c r="D23" s="7">
        <v>5709312000</v>
      </c>
      <c r="E23" s="7">
        <v>31636232000</v>
      </c>
    </row>
    <row r="24" spans="1:5" x14ac:dyDescent="0.2">
      <c r="A24" s="6" t="s">
        <v>3</v>
      </c>
      <c r="B24" s="7">
        <v>2269595468665</v>
      </c>
      <c r="C24" s="7">
        <v>1722310866251</v>
      </c>
      <c r="D24" s="7">
        <v>1994958149295</v>
      </c>
      <c r="E24" s="7">
        <v>5986864484211</v>
      </c>
    </row>
    <row r="25" spans="1:5" x14ac:dyDescent="0.2">
      <c r="A25" s="6" t="s">
        <v>24</v>
      </c>
      <c r="B25" s="7">
        <v>4536177464160</v>
      </c>
      <c r="C25" s="7">
        <v>3442521578423</v>
      </c>
      <c r="D25" s="7">
        <v>3987162578187</v>
      </c>
      <c r="E25" s="7">
        <v>11965861620770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C025-A4BC-3C40-A302-2EA2F7082492}">
  <dimension ref="C4:K30"/>
  <sheetViews>
    <sheetView showGridLines="0" tabSelected="1" zoomScale="140" zoomScaleNormal="140" workbookViewId="0">
      <selection activeCell="E9" sqref="E9"/>
    </sheetView>
  </sheetViews>
  <sheetFormatPr baseColWidth="10" defaultRowHeight="16" x14ac:dyDescent="0.2"/>
  <cols>
    <col min="3" max="3" width="20.6640625" bestFit="1" customWidth="1"/>
    <col min="4" max="4" width="15.83203125" bestFit="1" customWidth="1"/>
    <col min="5" max="5" width="47.83203125" bestFit="1" customWidth="1"/>
    <col min="6" max="6" width="15.83203125" bestFit="1" customWidth="1"/>
    <col min="7" max="7" width="17.83203125" bestFit="1" customWidth="1"/>
    <col min="8" max="8" width="14.83203125" bestFit="1" customWidth="1"/>
    <col min="9" max="9" width="19.33203125" bestFit="1" customWidth="1"/>
    <col min="10" max="10" width="14.83203125" bestFit="1" customWidth="1"/>
    <col min="11" max="11" width="17.83203125" bestFit="1" customWidth="1"/>
  </cols>
  <sheetData>
    <row r="4" spans="3:11" x14ac:dyDescent="0.2">
      <c r="D4" s="10"/>
      <c r="E4" s="10"/>
      <c r="F4" s="10"/>
      <c r="G4" s="10"/>
      <c r="H4" s="10"/>
    </row>
    <row r="5" spans="3:11" x14ac:dyDescent="0.2">
      <c r="D5" t="s">
        <v>53</v>
      </c>
      <c r="E5" t="s">
        <v>29</v>
      </c>
      <c r="F5" s="10" t="s">
        <v>51</v>
      </c>
      <c r="G5" t="s">
        <v>54</v>
      </c>
      <c r="H5" s="10" t="s">
        <v>51</v>
      </c>
      <c r="I5" t="s">
        <v>55</v>
      </c>
      <c r="J5" s="10" t="s">
        <v>51</v>
      </c>
      <c r="K5" t="s">
        <v>66</v>
      </c>
    </row>
    <row r="6" spans="3:11" x14ac:dyDescent="0.2">
      <c r="C6" s="6" t="s">
        <v>14</v>
      </c>
      <c r="D6" s="7">
        <v>15986858000</v>
      </c>
      <c r="E6" s="11" t="s">
        <v>50</v>
      </c>
      <c r="F6" s="8">
        <v>2000000000</v>
      </c>
      <c r="G6" s="8">
        <f>F6+D6</f>
        <v>17986858000</v>
      </c>
      <c r="H6" s="8"/>
      <c r="I6" s="8">
        <f>G6+H7</f>
        <v>20986858000</v>
      </c>
      <c r="J6" s="8"/>
      <c r="K6" s="8"/>
    </row>
    <row r="7" spans="3:11" x14ac:dyDescent="0.2">
      <c r="C7" s="6"/>
      <c r="D7" s="7"/>
      <c r="E7" s="11" t="s">
        <v>52</v>
      </c>
      <c r="F7" s="8"/>
      <c r="G7" s="8"/>
      <c r="H7" s="8">
        <v>3000000000</v>
      </c>
      <c r="I7" s="8"/>
      <c r="J7" s="8"/>
      <c r="K7" s="8"/>
    </row>
    <row r="8" spans="3:11" x14ac:dyDescent="0.2">
      <c r="C8" s="6"/>
      <c r="D8" s="7"/>
      <c r="E8" s="11" t="s">
        <v>64</v>
      </c>
      <c r="F8" s="8"/>
      <c r="G8" s="8"/>
      <c r="H8" s="8"/>
      <c r="I8" s="8"/>
      <c r="J8" s="8">
        <v>1000000000</v>
      </c>
      <c r="K8" s="8">
        <f>I6+J8</f>
        <v>21986858000</v>
      </c>
    </row>
    <row r="9" spans="3:11" x14ac:dyDescent="0.2">
      <c r="C9" s="6" t="s">
        <v>10</v>
      </c>
      <c r="D9" s="7">
        <v>11592244800</v>
      </c>
      <c r="E9" s="11" t="s">
        <v>56</v>
      </c>
      <c r="G9" s="8">
        <f>D9</f>
        <v>11592244800</v>
      </c>
      <c r="H9" s="8">
        <f>D9*15%</f>
        <v>1738836720</v>
      </c>
      <c r="I9" s="8">
        <f>G9+H9</f>
        <v>13331081520</v>
      </c>
      <c r="J9" s="8"/>
      <c r="K9" s="8">
        <f>I9</f>
        <v>13331081520</v>
      </c>
    </row>
    <row r="10" spans="3:11" x14ac:dyDescent="0.2">
      <c r="C10" s="6"/>
      <c r="D10" s="7"/>
      <c r="E10" s="7"/>
      <c r="F10" s="8"/>
      <c r="G10" s="8"/>
      <c r="H10" s="8"/>
      <c r="I10" s="8"/>
      <c r="J10" s="8"/>
      <c r="K10" s="8"/>
    </row>
    <row r="11" spans="3:11" x14ac:dyDescent="0.2">
      <c r="C11" s="6" t="s">
        <v>19</v>
      </c>
      <c r="D11" s="7">
        <v>12628304666.666666</v>
      </c>
      <c r="E11" s="11" t="s">
        <v>46</v>
      </c>
      <c r="F11" s="8">
        <f>D11*20%</f>
        <v>2525660933.3333335</v>
      </c>
      <c r="G11" s="8">
        <f>D11+F11+F12</f>
        <v>18153965600</v>
      </c>
      <c r="H11" s="8"/>
      <c r="I11" s="8">
        <f>G11</f>
        <v>18153965600</v>
      </c>
      <c r="J11" s="8"/>
      <c r="K11" s="8">
        <f>I11+J13</f>
        <v>19969362160</v>
      </c>
    </row>
    <row r="12" spans="3:11" x14ac:dyDescent="0.2">
      <c r="C12" s="6"/>
      <c r="D12" s="7"/>
      <c r="E12" s="11" t="s">
        <v>47</v>
      </c>
      <c r="F12" s="8">
        <f>3000000000</f>
        <v>3000000000</v>
      </c>
      <c r="G12" s="8"/>
      <c r="H12" s="8"/>
      <c r="I12" s="8"/>
      <c r="J12" s="8"/>
      <c r="K12" s="8"/>
    </row>
    <row r="13" spans="3:11" x14ac:dyDescent="0.2">
      <c r="C13" s="6"/>
      <c r="D13" s="7"/>
      <c r="E13" s="11" t="s">
        <v>68</v>
      </c>
      <c r="F13" s="8"/>
      <c r="G13" s="8"/>
      <c r="H13" s="8"/>
      <c r="I13" s="8"/>
      <c r="J13" s="8">
        <f>I11*10%</f>
        <v>1815396560</v>
      </c>
      <c r="K13" s="8"/>
    </row>
    <row r="14" spans="3:11" x14ac:dyDescent="0.2">
      <c r="C14" s="6" t="s">
        <v>17</v>
      </c>
      <c r="D14" s="7">
        <v>13618558800</v>
      </c>
      <c r="E14" s="11" t="s">
        <v>48</v>
      </c>
      <c r="F14" s="8">
        <f>D14*10%</f>
        <v>1361855880</v>
      </c>
      <c r="G14" s="8">
        <f>D14+F14+F15</f>
        <v>17250174480</v>
      </c>
      <c r="H14" s="8"/>
      <c r="I14" s="8">
        <f>G14</f>
        <v>17250174480</v>
      </c>
      <c r="J14" s="8"/>
      <c r="K14" s="8">
        <f>I14</f>
        <v>17250174480</v>
      </c>
    </row>
    <row r="15" spans="3:11" x14ac:dyDescent="0.2">
      <c r="C15" s="6"/>
      <c r="D15" s="7"/>
      <c r="E15" s="11" t="s">
        <v>49</v>
      </c>
      <c r="F15" s="8">
        <f>(4/3-1)*D14*50%</f>
        <v>2269759799.9999995</v>
      </c>
      <c r="G15" s="8"/>
      <c r="H15" s="8"/>
      <c r="I15" s="8"/>
      <c r="J15" s="8"/>
      <c r="K15" s="8"/>
    </row>
    <row r="16" spans="3:11" x14ac:dyDescent="0.2">
      <c r="C16" s="6" t="s">
        <v>21</v>
      </c>
      <c r="D16" s="7">
        <v>2994474000</v>
      </c>
      <c r="E16" s="11" t="s">
        <v>50</v>
      </c>
      <c r="F16" s="8">
        <v>1000000000</v>
      </c>
      <c r="G16" s="8">
        <f>D16+SUM(F16:F18)</f>
        <v>5994474000</v>
      </c>
      <c r="H16" s="8"/>
      <c r="I16" s="8">
        <f>G16</f>
        <v>5994474000</v>
      </c>
      <c r="J16" s="8"/>
      <c r="K16" s="8">
        <f>I16+J18</f>
        <v>6994474000</v>
      </c>
    </row>
    <row r="17" spans="3:11" x14ac:dyDescent="0.2">
      <c r="C17" s="6"/>
      <c r="D17" s="7"/>
      <c r="E17" s="11" t="s">
        <v>57</v>
      </c>
      <c r="F17" s="8">
        <v>1000000000</v>
      </c>
      <c r="G17" s="8"/>
      <c r="H17" s="8"/>
      <c r="I17" s="8"/>
      <c r="J17" s="8"/>
      <c r="K17" s="8"/>
    </row>
    <row r="18" spans="3:11" x14ac:dyDescent="0.2">
      <c r="C18" s="6"/>
      <c r="D18" s="7"/>
      <c r="E18" s="11" t="s">
        <v>58</v>
      </c>
      <c r="F18" s="8">
        <v>1000000000</v>
      </c>
      <c r="G18" s="8"/>
      <c r="H18" s="8"/>
      <c r="I18" s="8"/>
      <c r="J18" s="8">
        <v>1000000000</v>
      </c>
      <c r="K18" s="8"/>
    </row>
    <row r="19" spans="3:11" x14ac:dyDescent="0.2">
      <c r="C19" s="6" t="s">
        <v>12</v>
      </c>
      <c r="D19" s="7">
        <v>3364767666.6666698</v>
      </c>
      <c r="E19" s="11" t="s">
        <v>59</v>
      </c>
      <c r="F19" s="8">
        <f>(400/350-1)*D19</f>
        <v>480681095.23809546</v>
      </c>
      <c r="G19" s="8">
        <f>D19+F19</f>
        <v>3845448761.9047651</v>
      </c>
      <c r="H19" s="8"/>
      <c r="I19" s="8"/>
      <c r="J19" s="8"/>
      <c r="K19" s="8"/>
    </row>
    <row r="20" spans="3:11" x14ac:dyDescent="0.2">
      <c r="C20" s="6"/>
      <c r="D20" s="7"/>
      <c r="E20" s="11" t="s">
        <v>60</v>
      </c>
      <c r="F20" s="8"/>
      <c r="G20" s="8"/>
      <c r="H20" s="8">
        <f>(550/400-1)*G19</f>
        <v>1442043285.7142868</v>
      </c>
      <c r="I20" s="8">
        <f>G19+H20</f>
        <v>5287492047.6190519</v>
      </c>
      <c r="J20" s="8"/>
      <c r="K20" s="8">
        <f>I20</f>
        <v>5287492047.6190519</v>
      </c>
    </row>
    <row r="21" spans="3:11" x14ac:dyDescent="0.2">
      <c r="C21" s="6" t="s">
        <v>7</v>
      </c>
      <c r="D21" s="7">
        <v>1171196560.2</v>
      </c>
      <c r="E21" s="11" t="s">
        <v>61</v>
      </c>
      <c r="F21" s="8">
        <v>400000000</v>
      </c>
      <c r="G21" s="7">
        <f>F21+D21</f>
        <v>1571196560.2</v>
      </c>
      <c r="I21" s="8">
        <f>G21+H22</f>
        <v>3571196560.1999998</v>
      </c>
      <c r="J21" s="8"/>
      <c r="K21" s="8">
        <f>I21+J22</f>
        <v>5571196560.1999998</v>
      </c>
    </row>
    <row r="22" spans="3:11" x14ac:dyDescent="0.2">
      <c r="C22" s="6"/>
      <c r="D22" s="7"/>
      <c r="E22" s="11" t="s">
        <v>67</v>
      </c>
      <c r="F22" s="8"/>
      <c r="G22" s="7"/>
      <c r="H22" s="8">
        <v>2000000000</v>
      </c>
      <c r="I22" s="8"/>
      <c r="J22" s="8">
        <v>2000000000</v>
      </c>
      <c r="K22" s="8"/>
    </row>
    <row r="23" spans="3:11" x14ac:dyDescent="0.2">
      <c r="C23" s="6" t="s">
        <v>63</v>
      </c>
      <c r="D23" s="7">
        <v>1573544661.1999998</v>
      </c>
      <c r="E23" s="13" t="s">
        <v>62</v>
      </c>
      <c r="F23" s="14">
        <f>50%*SUM(D23:D23)</f>
        <v>786772330.5999999</v>
      </c>
      <c r="G23" s="14">
        <f>SUM(D23:D23)+F23</f>
        <v>2360316991.7999997</v>
      </c>
      <c r="H23" s="14"/>
      <c r="I23" s="14">
        <f>G23</f>
        <v>2360316991.7999997</v>
      </c>
      <c r="J23" s="14"/>
      <c r="K23" s="14">
        <f>I23</f>
        <v>2360316991.7999997</v>
      </c>
    </row>
    <row r="24" spans="3:11" x14ac:dyDescent="0.2">
      <c r="C24" s="6" t="s">
        <v>65</v>
      </c>
      <c r="D24" s="7"/>
      <c r="E24" s="13"/>
      <c r="F24" s="14"/>
      <c r="G24" s="14"/>
      <c r="H24" s="14"/>
      <c r="I24" s="14"/>
      <c r="J24" s="14">
        <f>1000000000</f>
        <v>1000000000</v>
      </c>
      <c r="K24" s="14">
        <f>J24</f>
        <v>1000000000</v>
      </c>
    </row>
    <row r="25" spans="3:11" x14ac:dyDescent="0.2">
      <c r="C25" s="6" t="s">
        <v>28</v>
      </c>
      <c r="D25" s="7">
        <v>3568655821.7666602</v>
      </c>
      <c r="E25" s="7"/>
      <c r="F25" s="8"/>
      <c r="G25" s="8">
        <f>D25</f>
        <v>3568655821.7666602</v>
      </c>
      <c r="H25" s="8"/>
      <c r="I25" s="8">
        <f>D25</f>
        <v>3568655821.7666602</v>
      </c>
      <c r="J25" s="8"/>
      <c r="K25" s="8">
        <f>I25</f>
        <v>3568655821.7666602</v>
      </c>
    </row>
    <row r="26" spans="3:11" x14ac:dyDescent="0.2">
      <c r="C26" s="12" t="s">
        <v>2</v>
      </c>
      <c r="D26" s="9">
        <v>66498604976.5</v>
      </c>
      <c r="E26" s="9"/>
      <c r="F26" s="15">
        <f t="shared" ref="F26:K26" si="0">SUM(F6:F25)</f>
        <v>15824730039.171431</v>
      </c>
      <c r="G26" s="15">
        <f t="shared" si="0"/>
        <v>82323335015.671432</v>
      </c>
      <c r="H26" s="15">
        <f t="shared" si="0"/>
        <v>8180880005.7142868</v>
      </c>
      <c r="I26" s="15">
        <f t="shared" si="0"/>
        <v>90504215021.385712</v>
      </c>
      <c r="J26" s="15">
        <f t="shared" si="0"/>
        <v>6815396560</v>
      </c>
      <c r="K26" s="15">
        <f t="shared" si="0"/>
        <v>97319611581.385712</v>
      </c>
    </row>
    <row r="27" spans="3:11" x14ac:dyDescent="0.2">
      <c r="D27" s="7"/>
      <c r="G27" s="7">
        <f>G26*31</f>
        <v>2552023385485.8145</v>
      </c>
      <c r="I27" s="8">
        <f>I26*31</f>
        <v>2805630665662.957</v>
      </c>
      <c r="K27" s="8">
        <f>K26*31</f>
        <v>3016907959022.957</v>
      </c>
    </row>
    <row r="30" spans="3:11" x14ac:dyDescent="0.2">
      <c r="E30">
        <f>6.8*1.1</f>
        <v>7.48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Raw_Disbursed</vt:lpstr>
      <vt:lpstr>Sheet5</vt:lpstr>
      <vt:lpstr>Raw_App</vt:lpstr>
      <vt:lpstr>Pivot</vt:lpstr>
      <vt:lpstr>Road to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2026-03-31T04:58:50Z</dcterms:created>
  <dcterms:modified xsi:type="dcterms:W3CDTF">2026-03-31T07:31:57Z</dcterms:modified>
</cp:coreProperties>
</file>