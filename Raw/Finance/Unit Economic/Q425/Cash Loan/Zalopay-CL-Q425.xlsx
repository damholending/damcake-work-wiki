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defaultThemeVersion="202300"/>
  <mc:AlternateContent xmlns:mc="http://schemas.openxmlformats.org/markup-compatibility/2006">
    <mc:Choice Requires="x15">
      <x15ac:absPath xmlns:x15ac="http://schemas.microsoft.com/office/spreadsheetml/2010/11/ac" url="/Users/dam.ho/Desktop/Work/damcake-work-wiki/Raw/Finance/Unit Economic/Q425/"/>
    </mc:Choice>
  </mc:AlternateContent>
  <xr:revisionPtr revIDLastSave="0" documentId="13_ncr:101_{6C1F3A96-E89C-BF46-8649-283F086878EF}" xr6:coauthVersionLast="47" xr6:coauthVersionMax="47" xr10:uidLastSave="{00000000-0000-0000-0000-000000000000}"/>
  <bookViews>
    <workbookView xWindow="1080" yWindow="1240" windowWidth="27640" windowHeight="16760" xr2:uid="{7F4ADE44-1C4C-E348-8BED-86F240AC6243}"/>
  </bookViews>
  <sheets>
    <sheet name="NOTE" sheetId="2" r:id="rId1"/>
    <sheet name="Leadsheet" sheetId="3" r:id="rId2"/>
    <sheet name="DATA" sheetId="4" r:id="rId3"/>
    <sheet name="SAP_Speadsheet" sheetId="5" r:id="rId4"/>
    <sheet name="Saleplan&amp;PnL" sheetId="6" r:id="rId5"/>
    <sheet name="PnL_Speadsheet" sheetId="7" r:id="rId6"/>
    <sheet name="Sheet1" sheetId="1" r:id="rId7"/>
  </sheets>
  <externalReferences>
    <externalReference r:id="rId8"/>
  </externalReferences>
  <definedNames>
    <definedName name="_____T3" localSheetId="0" hidden="1">{"'Sheet1'!$L$16"}</definedName>
    <definedName name="_____T3" hidden="1">{"'Sheet1'!$L$16"}</definedName>
    <definedName name="____T3" localSheetId="0" hidden="1">{"'Sheet1'!$L$16"}</definedName>
    <definedName name="____T3" hidden="1">{"'Sheet1'!$L$16"}</definedName>
    <definedName name="___T3" localSheetId="0" hidden="1">{"'Sheet1'!$L$16"}</definedName>
    <definedName name="___T3" hidden="1">{"'Sheet1'!$L$16"}</definedName>
    <definedName name="__123Graph_A" localSheetId="0" hidden="1">#REF!</definedName>
    <definedName name="__123Graph_A" hidden="1">#REF!</definedName>
    <definedName name="__123Graph_AA" hidden="1">#REF!</definedName>
    <definedName name="__123Graph_AGRAFIEK1" hidden="1">#REF!</definedName>
    <definedName name="__123Graph_AGRAFIEK11" hidden="1">#REF!</definedName>
    <definedName name="__123Graph_AGRAFIEK12" hidden="1">#REF!</definedName>
    <definedName name="__123Graph_AGRAFIEK13" hidden="1">#REF!</definedName>
    <definedName name="__123Graph_AGRAFIEK14" hidden="1">#REF!</definedName>
    <definedName name="__123Graph_AGRAFIEK15" hidden="1">#REF!</definedName>
    <definedName name="__123Graph_AGRAFIEK16" hidden="1">#REF!</definedName>
    <definedName name="__123Graph_AGRAFIEK17" hidden="1">#REF!</definedName>
    <definedName name="__123Graph_AGRAFIEK18" hidden="1">#REF!</definedName>
    <definedName name="__123Graph_AGRAFIEK19" hidden="1">#REF!</definedName>
    <definedName name="__123Graph_AGRAFIEK2" hidden="1">#REF!</definedName>
    <definedName name="__123Graph_AGRAFIEK20" hidden="1">#REF!</definedName>
    <definedName name="__123Graph_AGRAFIEK3" hidden="1">#REF!</definedName>
    <definedName name="__123Graph_AGRAFIEK4" hidden="1">#REF!</definedName>
    <definedName name="__123Graph_AGRAFIEK5" hidden="1">#REF!</definedName>
    <definedName name="__123Graph_AGRAFIEK6" hidden="1">#REF!</definedName>
    <definedName name="__123Graph_AGRAFIEK7" hidden="1">#REF!</definedName>
    <definedName name="__123Graph_AGRAFIEK8" hidden="1">#REF!</definedName>
    <definedName name="__123Graph_AGRIEK131" hidden="1">#REF!</definedName>
    <definedName name="__123Graph_B" localSheetId="0" hidden="1">#REF!</definedName>
    <definedName name="__123Graph_B" hidden="1">#REF!</definedName>
    <definedName name="__123Graph_BGRAFIEK1" hidden="1">#REF!</definedName>
    <definedName name="__123Graph_BGRAFIEK11" hidden="1">#REF!</definedName>
    <definedName name="__123Graph_BGRAFIEK12" hidden="1">#REF!</definedName>
    <definedName name="__123Graph_BGRAFIEK13" hidden="1">#REF!</definedName>
    <definedName name="__123Graph_BGRAFIEK14" hidden="1">#REF!</definedName>
    <definedName name="__123Graph_BGRAFIEK16" hidden="1">#REF!</definedName>
    <definedName name="__123Graph_BGRAFIEK17" hidden="1">#REF!</definedName>
    <definedName name="__123Graph_BGRAFIEK18" hidden="1">#REF!</definedName>
    <definedName name="__123Graph_BGRAFIEK2" hidden="1">#REF!</definedName>
    <definedName name="__123Graph_BGRAFIEK20" hidden="1">#REF!</definedName>
    <definedName name="__123Graph_BGRAFIEK3" hidden="1">#REF!</definedName>
    <definedName name="__123Graph_BGRAFIEK4" hidden="1">#REF!</definedName>
    <definedName name="__123Graph_BGRAFIEK5" hidden="1">#REF!</definedName>
    <definedName name="__123Graph_BGRAFIEK6" hidden="1">#REF!</definedName>
    <definedName name="__123Graph_BGRAFIEK7" hidden="1">#REF!</definedName>
    <definedName name="__123Graph_BGRAFIEK8" hidden="1">#REF!</definedName>
    <definedName name="__123Graph_CGRAFIEK1" hidden="1">#REF!</definedName>
    <definedName name="__123Graph_CGRAFIEK16" hidden="1">#REF!</definedName>
    <definedName name="__123Graph_CGRAFIEK2" hidden="1">#REF!</definedName>
    <definedName name="__123Graph_CGRAFIEK20" hidden="1">#REF!</definedName>
    <definedName name="__123Graph_CGRAFIEK3" hidden="1">#REF!</definedName>
    <definedName name="__123Graph_CGRAFIEK4" hidden="1">#REF!</definedName>
    <definedName name="__123Graph_CGRAFIEK7" hidden="1">#REF!</definedName>
    <definedName name="__123Graph_CGRAFIEK8" hidden="1">#REF!</definedName>
    <definedName name="__123Graph_LBL_A" localSheetId="0" hidden="1">#REF!</definedName>
    <definedName name="__123Graph_LBL_A" hidden="1">#REF!</definedName>
    <definedName name="__123Graph_LBL_B" localSheetId="0" hidden="1">#REF!</definedName>
    <definedName name="__123Graph_LBL_B" hidden="1">#REF!</definedName>
    <definedName name="__123Graph_X" localSheetId="0" hidden="1">#REF!</definedName>
    <definedName name="__123Graph_X" hidden="1">#REF!</definedName>
    <definedName name="__123Graph_XGRAFIEK11" hidden="1">#REF!</definedName>
    <definedName name="__123Graph_XGRAFIEK12" hidden="1">#REF!</definedName>
    <definedName name="__123Graph_XGRAFIEK13" hidden="1">#REF!</definedName>
    <definedName name="__123Graph_XGRAFIEK14" hidden="1">#REF!</definedName>
    <definedName name="__123Graph_XGRAFIEK15" hidden="1">#REF!</definedName>
    <definedName name="__123Graph_XGRAFIEK16" hidden="1">#REF!</definedName>
    <definedName name="__123Graph_XGRAFIEK17" hidden="1">#REF!</definedName>
    <definedName name="__123Graph_XGRAFIEK18" hidden="1">#REF!</definedName>
    <definedName name="__123Graph_XGRAFIEK19" hidden="1">#REF!</definedName>
    <definedName name="__123Graph_XGRAFIEK2" hidden="1">#REF!</definedName>
    <definedName name="__123Graph_XGRAFIEK20" hidden="1">#REF!</definedName>
    <definedName name="__123Graph_XGRAFIEK4" hidden="1">#REF!</definedName>
    <definedName name="__123Graph_XGRAFIEK5" hidden="1">#REF!</definedName>
    <definedName name="__123Graph_XGRAFIEK6" hidden="1">#REF!</definedName>
    <definedName name="__123Graph_XGRAFIEK7" hidden="1">#REF!</definedName>
    <definedName name="__123Graph_XGRAFIEK8" hidden="1">#REF!</definedName>
    <definedName name="__123Graph_Z" localSheetId="0" hidden="1">#REF!</definedName>
    <definedName name="__123Graph_Z" hidden="1">#REF!</definedName>
    <definedName name="__f5" localSheetId="0" hidden="1">{"'Sheet1'!$L$16"}</definedName>
    <definedName name="__f5" hidden="1">{"'Sheet1'!$L$16"}</definedName>
    <definedName name="__NSO2" localSheetId="0" hidden="1">{"'Sheet1'!$L$16"}</definedName>
    <definedName name="__NSO2" hidden="1">{"'Sheet1'!$L$16"}</definedName>
    <definedName name="__S1" localSheetId="0">{"Book1"}</definedName>
    <definedName name="__S1">{"Book1"}</definedName>
    <definedName name="__T3" localSheetId="0" hidden="1">{"'Sheet1'!$L$16"}</definedName>
    <definedName name="__T3" hidden="1">{"'Sheet1'!$L$16"}</definedName>
    <definedName name="__T5" localSheetId="0" hidden="1">{"'Sheet1'!$L$16"}</definedName>
    <definedName name="__T5" hidden="1">{"'Sheet1'!$L$16"}</definedName>
    <definedName name="_1__123Graph_BCHART_5" hidden="1">#REF!</definedName>
    <definedName name="_12__123Graph_ACHART_1" hidden="1">#REF!</definedName>
    <definedName name="_13__123Graph_ACHART_2" hidden="1">#REF!</definedName>
    <definedName name="_14__123Graph_ACHART_3" hidden="1">#REF!</definedName>
    <definedName name="_14_123Graph_ACHART_4" hidden="1">#REF!</definedName>
    <definedName name="_15__123Graph_ACHART_4" hidden="1">#REF!</definedName>
    <definedName name="_16__123Graph_BCHART_1" hidden="1">#REF!</definedName>
    <definedName name="_17__123Graph_BCHART_2" hidden="1">#REF!</definedName>
    <definedName name="_18__123Graph_BCHART_3" hidden="1">#REF!</definedName>
    <definedName name="_19__123Graph_LBL_ACHART_1" hidden="1">#REF!</definedName>
    <definedName name="_2__123Graph_BCHART_5" hidden="1">#REF!</definedName>
    <definedName name="_20__123Graph_LBL_ACHART_2" hidden="1">#REF!</definedName>
    <definedName name="_21__123Graph_LBL_ACHART_3" hidden="1">#REF!</definedName>
    <definedName name="_22__123Graph_LBL_ACHART_4" hidden="1">#REF!</definedName>
    <definedName name="_23__123Graph_LBL_BCHART_1" hidden="1">#REF!</definedName>
    <definedName name="_24__123Graph_LBL_BCHART_2" hidden="1">#REF!</definedName>
    <definedName name="_25__123Graph_LBL_BCHART_3" hidden="1">#REF!</definedName>
    <definedName name="_26__123Graph_XCHART_1" hidden="1">#REF!</definedName>
    <definedName name="_27__123Graph_XCHART_2" hidden="1">#REF!</definedName>
    <definedName name="_28__123Graph_XCHART_3" hidden="1">#REF!</definedName>
    <definedName name="_29__123Graph_XCHART_4" hidden="1">#REF!</definedName>
    <definedName name="_a1" localSheetId="0">{"'Sheet1'!$L$16"}</definedName>
    <definedName name="_a1">{"'Sheet1'!$L$16"}</definedName>
    <definedName name="_a129" localSheetId="0" hidden="1">{"Offgrid",#N/A,FALSE,"OFFGRID";"Region",#N/A,FALSE,"REGION";"Offgrid -2",#N/A,FALSE,"OFFGRID";"WTP",#N/A,FALSE,"WTP";"WTP -2",#N/A,FALSE,"WTP";"Project",#N/A,FALSE,"PROJECT";"Summary -2",#N/A,FALSE,"SUMMARY"}</definedName>
    <definedName name="_a129" hidden="1">{"Offgrid",#N/A,FALSE,"OFFGRID";"Region",#N/A,FALSE,"REGION";"Offgrid -2",#N/A,FALSE,"OFFGRID";"WTP",#N/A,FALSE,"WTP";"WTP -2",#N/A,FALSE,"WTP";"Project",#N/A,FALSE,"PROJECT";"Summary -2",#N/A,FALSE,"SUMMARY"}</definedName>
    <definedName name="_a130" localSheetId="0" hidden="1">{"Offgrid",#N/A,FALSE,"OFFGRID";"Region",#N/A,FALSE,"REGION";"Offgrid -2",#N/A,FALSE,"OFFGRID";"WTP",#N/A,FALSE,"WTP";"WTP -2",#N/A,FALSE,"WTP";"Project",#N/A,FALSE,"PROJECT";"Summary -2",#N/A,FALSE,"SUMMARY"}</definedName>
    <definedName name="_a130" hidden="1">{"Offgrid",#N/A,FALSE,"OFFGRID";"Region",#N/A,FALSE,"REGION";"Offgrid -2",#N/A,FALSE,"OFFGRID";"WTP",#N/A,FALSE,"WTP";"WTP -2",#N/A,FALSE,"WTP";"Project",#N/A,FALSE,"PROJECT";"Summary -2",#N/A,FALSE,"SUMMARY"}</definedName>
    <definedName name="_a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0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0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8" localSheetId="0" hidden="1">{#N/A,#N/A,FALSE,"Gesamt";#N/A,#N/A,FALSE,"Ree KG";#N/A,#N/A,FALSE,"Ree Inter";#N/A,#N/A,FALSE,"BTM";#N/A,#N/A,FALSE,"GmbH";#N/A,#N/A,FALSE,"Sonstige"}</definedName>
    <definedName name="_aa58" hidden="1">{#N/A,#N/A,FALSE,"Gesamt";#N/A,#N/A,FALSE,"Ree KG";#N/A,#N/A,FALSE,"Ree Inter";#N/A,#N/A,FALSE,"BTM";#N/A,#N/A,FALSE,"GmbH";#N/A,#N/A,FALSE,"Sonstige"}</definedName>
    <definedName name="_aa5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 localSheetId="0" hidden="1">{#N/A,#N/A,FALSE,"Gesamt";#N/A,#N/A,FALSE,"Ree KG";#N/A,#N/A,FALSE,"Ree Inter";#N/A,#N/A,FALSE,"BTM";#N/A,#N/A,FALSE,"GmbH";#N/A,#N/A,FALSE,"Sonstige"}</definedName>
    <definedName name="_aa7" hidden="1">{#N/A,#N/A,FALSE,"Gesamt";#N/A,#N/A,FALSE,"Ree KG";#N/A,#N/A,FALSE,"Ree Inter";#N/A,#N/A,FALSE,"BTM";#N/A,#N/A,FALSE,"GmbH";#N/A,#N/A,FALSE,"Sonstige"}</definedName>
    <definedName name="_aa7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2" localSheetId="0" hidden="1">{#N/A,#N/A,FALSE,"Gesamt";#N/A,#N/A,FALSE,"Ree KG";#N/A,#N/A,FALSE,"Ree Inter";#N/A,#N/A,FALSE,"BTM";#N/A,#N/A,FALSE,"GmbH";#N/A,#N/A,FALSE,"Sonstige"}</definedName>
    <definedName name="_aa72" hidden="1">{#N/A,#N/A,FALSE,"Gesamt";#N/A,#N/A,FALSE,"Ree KG";#N/A,#N/A,FALSE,"Ree Inter";#N/A,#N/A,FALSE,"BTM";#N/A,#N/A,FALSE,"GmbH";#N/A,#N/A,FALSE,"Sonstige"}</definedName>
    <definedName name="_aa7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8" localSheetId="0" hidden="1">{#N/A,#N/A,FALSE,"Gesamt";#N/A,#N/A,FALSE,"Ree KG";#N/A,#N/A,FALSE,"Ree Inter";#N/A,#N/A,FALSE,"BTM";#N/A,#N/A,FALSE,"GmbH";#N/A,#N/A,FALSE,"Sonstige"}</definedName>
    <definedName name="_aa88" hidden="1">{#N/A,#N/A,FALSE,"Gesamt";#N/A,#N/A,FALSE,"Ree KG";#N/A,#N/A,FALSE,"Ree Inter";#N/A,#N/A,FALSE,"BTM";#N/A,#N/A,FALSE,"GmbH";#N/A,#N/A,FALSE,"Sonstige"}</definedName>
    <definedName name="_aa8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f5" localSheetId="0" hidden="1">{"'Sheet1'!$L$16"}</definedName>
    <definedName name="_f5" hidden="1">{"'Sheet1'!$L$16"}</definedName>
    <definedName name="_Fill" localSheetId="0" hidden="1">#REF!</definedName>
    <definedName name="_Fill" hidden="1">#REF!</definedName>
    <definedName name="_xlnm._FilterDatabase" localSheetId="0" hidden="1">#REF!</definedName>
    <definedName name="_xlnm._FilterDatabase" hidden="1">#REF!</definedName>
    <definedName name="_GSRATES_1" hidden="1">"CT300001Latest          "</definedName>
    <definedName name="_GSRATES_COUNT" hidden="1">1</definedName>
    <definedName name="_GSRATESR_1" hidden="1">#REF!</definedName>
    <definedName name="_Key1" localSheetId="0" hidden="1">#REF!</definedName>
    <definedName name="_Key1" hidden="1">#REF!</definedName>
    <definedName name="_Key2" localSheetId="0" hidden="1">#REF!</definedName>
    <definedName name="_Key2" hidden="1">#REF!</definedName>
    <definedName name="_NSO2" localSheetId="0" hidden="1">{"'Sheet1'!$L$16"}</definedName>
    <definedName name="_NSO2" hidden="1">{"'Sheet1'!$L$16"}</definedName>
    <definedName name="_o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rder1" hidden="1">255</definedName>
    <definedName name="_Order2" hidden="1">255</definedName>
    <definedName name="_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wr4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wr4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S1" localSheetId="0">{"Book1"}</definedName>
    <definedName name="_S1">{"Book1"}</definedName>
    <definedName name="_Sort" localSheetId="0" hidden="1">#REF!</definedName>
    <definedName name="_Sort" hidden="1">#REF!</definedName>
    <definedName name="_t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3333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3333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5" localSheetId="0" hidden="1">{"'Sheet1'!$L$16"}</definedName>
    <definedName name="_T5" hidden="1">{"'Sheet1'!$L$16"}</definedName>
    <definedName name="_Table1_In1" hidden="1">#REF!</definedName>
    <definedName name="_Table1_Out" hidden="1">#REF!</definedName>
    <definedName name="_Table2_In1" hidden="1">#REF!</definedName>
    <definedName name="_Table2_In2" hidden="1">#REF!</definedName>
    <definedName name="_Table2_Out" hidden="1">#REF!</definedName>
    <definedName name="_vse5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vse5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yw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yw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 hidden="1">#REF!</definedName>
    <definedName name="Ă">#REF!</definedName>
    <definedName name="Ạ196">#REF!</definedName>
    <definedName name="â259" localSheetId="0">#REF!</definedName>
    <definedName name="â259">#REF!</definedName>
    <definedName name="â312" localSheetId="0">#REF!</definedName>
    <definedName name="â312">#REF!</definedName>
    <definedName name="aa" hidden="1">#REF!</definedName>
    <definedName name="AAA_DOCTOPS" hidden="1">"AAA_SET"</definedName>
    <definedName name="AAA_duser" hidden="1">"OFF"</definedName>
    <definedName name="aaaaa"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aaaa"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bc"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bc"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ccessDatabase" hidden="1">"D:\VIETTIEN\tonghop\phanlop.mdb"</definedName>
    <definedName name="Acquisition_PlanA">#REF!</definedName>
    <definedName name="Acquisition_PlanB">#REF!</definedName>
    <definedName name="Actual" localSheetId="0">(PeriodInActual*(#REF!&gt;0))*PeriodInPlan</definedName>
    <definedName name="Actual">(PeriodInActual*(#REF!&gt;0))*PeriodInPlan</definedName>
    <definedName name="ActualBeyond" localSheetId="0">PeriodInActual*(#REF!&gt;0)</definedName>
    <definedName name="ActualBeyond">PeriodInActual*(#REF!&gt;0)</definedName>
    <definedName name="adcasdas" localSheetId="0" hidden="1">#REF!</definedName>
    <definedName name="adcasdas" hidden="1">#REF!</definedName>
    <definedName name="adf" localSheetId="0">#REF!</definedName>
    <definedName name="adf">#REF!</definedName>
    <definedName name="AdvIncQ12020">#REF!</definedName>
    <definedName name="AdvIncQ12021">#REF!</definedName>
    <definedName name="AdvIncQ12022">#REF!</definedName>
    <definedName name="AdvIncQ12023">#REF!</definedName>
    <definedName name="AdvIncQ12024">#REF!</definedName>
    <definedName name="AdvIncQ22020">#REF!</definedName>
    <definedName name="AdvIncQ22021">#REF!</definedName>
    <definedName name="AdvIncQ22022">#REF!</definedName>
    <definedName name="AdvIncQ22023">#REF!</definedName>
    <definedName name="AdvIncQ22024">#REF!</definedName>
    <definedName name="AdvIncQ32020">#REF!</definedName>
    <definedName name="AdvIncQ32021">#REF!</definedName>
    <definedName name="AdvIncQ32022">#REF!</definedName>
    <definedName name="AdvIncQ32023">#REF!</definedName>
    <definedName name="AdvIncQ32024">#REF!</definedName>
    <definedName name="AdvIncQ42020">#REF!</definedName>
    <definedName name="AdvIncQ42021">#REF!</definedName>
    <definedName name="AdvIncQ42022">#REF!</definedName>
    <definedName name="AdvIncQ42023">#REF!</definedName>
    <definedName name="AdvIncQ42024">#REF!</definedName>
    <definedName name="AdvPenRate2020">#REF!</definedName>
    <definedName name="AdvPenRate2021">#REF!</definedName>
    <definedName name="AdvPenRate2022">#REF!</definedName>
    <definedName name="AdvPenRate2023">#REF!</definedName>
    <definedName name="AdvPenRate2024">#REF!</definedName>
    <definedName name="aldfj" localSheetId="0" hidden="1">{0,#N/A,FALSE,0;0,#N/A,FALSE,0;0,#N/A,FALSE,0;0,#N/A,FALSE,0;0,#N/A,FALSE,0;0,#N/A,FALSE,0;0,#N/A,FALSE,0}</definedName>
    <definedName name="aldfj" hidden="1">{0,#N/A,FALSE,0;0,#N/A,FALSE,0;0,#N/A,FALSE,0;0,#N/A,FALSE,0;0,#N/A,FALSE,0;0,#N/A,FALSE,0;0,#N/A,FALSE,0}</definedName>
    <definedName name="AllReportList">#REF!</definedName>
    <definedName name="Amount_act">#REF!</definedName>
    <definedName name="Amount_CF">#REF!</definedName>
    <definedName name="Amount_F">#REF!</definedName>
    <definedName name="Amount_KPI_act">#REF!</definedName>
    <definedName name="anscount" hidden="1">6</definedName>
    <definedName name="approval" localSheetId="0">#REF!</definedName>
    <definedName name="approval">#REF!</definedName>
    <definedName name="AS2DocOpenMode" hidden="1">"AS2DocumentEdit"</definedName>
    <definedName name="asd" localSheetId="0" hidden="1">{"'Sheet1'!$L$16"}</definedName>
    <definedName name="asd" hidden="1">{"'Sheet1'!$L$16"}</definedName>
    <definedName name="asdf"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asdff"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asdj" localSheetId="0" hidden="1">{0,#N/A,FALSE,0;0,#N/A,FALSE,0;0,#N/A,FALSE,0;0,#N/A,FALSE,0;0,#N/A,FALSE,0;0,#N/A,FALSE,0;0,#N/A,FALSE,0}</definedName>
    <definedName name="asdj" hidden="1">{0,#N/A,FALSE,0;0,#N/A,FALSE,0;0,#N/A,FALSE,0;0,#N/A,FALSE,0;0,#N/A,FALSE,0;0,#N/A,FALSE,0;0,#N/A,FALSE,0}</definedName>
    <definedName name="asdjfhop" localSheetId="0" hidden="1">{0}</definedName>
    <definedName name="asdjfhop" hidden="1">{0}</definedName>
    <definedName name="Attribute_F">#REF!</definedName>
    <definedName name="B">#REF!</definedName>
    <definedName name="b2bSpr">#REF!</definedName>
    <definedName name="BaoHanhSuaChua">#REF!</definedName>
    <definedName name="bb"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b" localSheetId="0" hidden="1">{#N/A,#N/A,FALSE,"Gesamt";#N/A,#N/A,FALSE,"Ree KG";#N/A,#N/A,FALSE,"Ree Inter";#N/A,#N/A,FALSE,"BTM";#N/A,#N/A,FALSE,"GmbH";#N/A,#N/A,FALSE,"Sonstige"}</definedName>
    <definedName name="bbbb" hidden="1">{#N/A,#N/A,FALSE,"Gesamt";#N/A,#N/A,FALSE,"Ree KG";#N/A,#N/A,FALSE,"Ree Inter";#N/A,#N/A,FALSE,"BTM";#N/A,#N/A,FALSE,"GmbH";#N/A,#N/A,FALSE,"Sonstige"}</definedName>
    <definedName name="bbbbb"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bb"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e_KPI_bud">#REF!</definedName>
    <definedName name="be2B">#REF!</definedName>
    <definedName name="bf" localSheetId="0">#REF!</definedName>
    <definedName name="bf">#REF!</definedName>
    <definedName name="BieuPhi">#REF!</definedName>
    <definedName name="BO0003DC830B7A4A8AB7CDB775303ABC65" hidden="1">#REF!</definedName>
    <definedName name="BO0003F66A262141EF9859F00096A17E1B" hidden="1">#REF!</definedName>
    <definedName name="BO0006023C69FC42399028E3B2098C4F65" hidden="1">#REF!</definedName>
    <definedName name="BO000A85AFF33A4D3DB055EF6F44AB0D98" hidden="1">#REF!</definedName>
    <definedName name="BO000C6364AE1941EFA15369B0BC10F21C" hidden="1">#REF!</definedName>
    <definedName name="BO000ED5D438C0459A89AEA3869B27C330" hidden="1">#REF!</definedName>
    <definedName name="BO0011ACCF0E2343149E3A921AC1975221" hidden="1">#REF!</definedName>
    <definedName name="BO00176F2CE18A4DFD8DBA8B15B7BA1EB9" hidden="1">#REF!</definedName>
    <definedName name="BO002260D2445F4012A72AD3B84FDE553D" hidden="1">#REF!</definedName>
    <definedName name="BO0031E3A8052D498EA2013E363B73C262" hidden="1">#REF!</definedName>
    <definedName name="BO003933C055814923908434046D602012" hidden="1">#REF!</definedName>
    <definedName name="BO0046DCF47E1A47E3801C1902773A8C6C" hidden="1">#REF!</definedName>
    <definedName name="BO0053984543A74920B4D90908AC14558A" hidden="1">#REF!</definedName>
    <definedName name="BO005446180CD2470F9BE224EA64B9A94D" hidden="1">#REF!</definedName>
    <definedName name="BO0054C2C2528A49A284ED2315297D6B22" hidden="1">#REF!</definedName>
    <definedName name="BO00577B64B5FE44819012203C8C2E3233" hidden="1">#REF!</definedName>
    <definedName name="BO00630A1F894846068F44DCC679569C5B" hidden="1">#REF!</definedName>
    <definedName name="BO006E1B46ECC64726B7FAA9BD20EBE8AD" hidden="1">#REF!</definedName>
    <definedName name="BO00769E8683AE4162B885D553147D97B2" hidden="1">#REF!</definedName>
    <definedName name="BO00774240AE754272B5128D6D8CC567D6" hidden="1">#REF!</definedName>
    <definedName name="BO008918E1B8B748AF9E094F6CE3AA450A" hidden="1">#REF!</definedName>
    <definedName name="BO008DD7E13FA5463A97554AF7DF9EBDBC" hidden="1">#REF!</definedName>
    <definedName name="BO00922847D9FA47EA87021D1E7F550DB3" hidden="1">#REF!</definedName>
    <definedName name="BO00A889E894C34BFBA8DF5E5B6DF00453" hidden="1">#REF!</definedName>
    <definedName name="BO00CAF589C8E640179AC2FAEB78F4775C" hidden="1">#REF!</definedName>
    <definedName name="BO00CB1CC14D974D42BF217004C1D18377" hidden="1">#REF!</definedName>
    <definedName name="BO00D1AA2CD5714EB290458A8D6372F567" hidden="1">#REF!</definedName>
    <definedName name="BO00E426FEA7674A4A8C7644D2684F5BF2" hidden="1">#REF!</definedName>
    <definedName name="BO00EB9EFB96DC4477AB774F461023B10A" hidden="1">#REF!</definedName>
    <definedName name="BO00F9CD6DE36B4D7792BF475AFE62E613" hidden="1">#REF!</definedName>
    <definedName name="BO010EBB9F715F46B9862CF95C84540ED6" hidden="1">#REF!</definedName>
    <definedName name="BO0114EF7FD51C482295E90687F30B8270" hidden="1">#REF!</definedName>
    <definedName name="BO012D08D5994947279AAAFAB61EB8B99F" hidden="1">#REF!</definedName>
    <definedName name="BO012E5533C02B4282B601EBD5A9E0D9AF" hidden="1">#REF!</definedName>
    <definedName name="BO0136E13182494F888A1D90FF3AC94EAA" hidden="1">#REF!</definedName>
    <definedName name="BO0161BD768D0143188DFD0E7818FF4E5E" hidden="1">#REF!</definedName>
    <definedName name="BO01631F8D87C24D9F8294E35413DFFB8F" hidden="1">#REF!</definedName>
    <definedName name="BO018AA5C5FD344A7DB559E5DAC4C05AB1" hidden="1">#REF!</definedName>
    <definedName name="BO018DEDC716F949668A75809FB5B59812" hidden="1">#REF!</definedName>
    <definedName name="BO019997A720F54E58AAC2DD9B5E5A2916" hidden="1">#REF!</definedName>
    <definedName name="BO01A166AA69EC4103814B98DA598CA88C" hidden="1">#REF!</definedName>
    <definedName name="BO01AF87C75BD1407E92398533524BE3C3" hidden="1">#REF!</definedName>
    <definedName name="BO01AFD286E96A4C8F85F1B1D36452198C" hidden="1">#REF!</definedName>
    <definedName name="BO01C1F5CFC3224D99AB65560D3CB58240" hidden="1">#REF!</definedName>
    <definedName name="BO01C29EF07E9A40C890F89FD6B0C3160B" hidden="1">#REF!</definedName>
    <definedName name="BO01CFDF25F91B4F459A40848FD15E2E5E" hidden="1">#REF!</definedName>
    <definedName name="BO01D23DB367494952ABEBA9DCE607132B" hidden="1">#REF!</definedName>
    <definedName name="BO01D461D41EEE401AA17D15F122EF5207" hidden="1">#REF!</definedName>
    <definedName name="BO01D7310E18124A43BE95AFD6A3D43C79" hidden="1">#REF!</definedName>
    <definedName name="BO01DE4C07D47C4086B5B7D7C1D71844CD" hidden="1">#REF!</definedName>
    <definedName name="BO01E0CD5D7C5443E083EFA326DB7E60C4" hidden="1">#REF!</definedName>
    <definedName name="BO01E98CF1F332452EBAD4A307084F4447" hidden="1">#REF!</definedName>
    <definedName name="BO01FBE2C5C6764621A99A5777E8658B7B" hidden="1">#REF!</definedName>
    <definedName name="BO01FD2429870F482C9B03CFD549D5BCE5" hidden="1">#REF!</definedName>
    <definedName name="BO01FDCFF444EB4408825C1F577F57BA1C" hidden="1">#REF!</definedName>
    <definedName name="BO021A527ABE95490F92A27778211A0D75" hidden="1">#REF!</definedName>
    <definedName name="BO02223E39AF0D48CDAF67872FB1E9FE95" hidden="1">#REF!</definedName>
    <definedName name="BO022E0786494245938810D926DB61066C" hidden="1">#REF!</definedName>
    <definedName name="BO023530563785435FB35667FB8B999862" hidden="1">#REF!</definedName>
    <definedName name="BO023B0CAF1B5E4D77A81C0D5E7F2122DD" hidden="1">#REF!</definedName>
    <definedName name="BO026596BB046F44E98EDAEAEF979C9C29" hidden="1">#REF!</definedName>
    <definedName name="BO026ECFEE42DC424399FD79590119B626" hidden="1">#REF!</definedName>
    <definedName name="BO0279B65098C94D4CB2DA55F9BD763171" hidden="1">#REF!</definedName>
    <definedName name="BO0297F1F1B6F148B28F78D162FADB649C" hidden="1">#REF!</definedName>
    <definedName name="BO02A20C06E21A4E809A001177C77A6156" hidden="1">#REF!</definedName>
    <definedName name="BO02AB4B2AD3B34C58BB958249107B5459" hidden="1">#REF!</definedName>
    <definedName name="BO02B108DCE425469CB6E3904122F80B05" hidden="1">#REF!</definedName>
    <definedName name="BO02B612639B174C40A1C74F6DAA94FE05" hidden="1">#REF!</definedName>
    <definedName name="BO02BB8180F6694A0280A40FC2A8C5BFC3" hidden="1">#REF!</definedName>
    <definedName name="BO02CE7CF581EB4F7C8A168A09DA81B1AF" hidden="1">#REF!</definedName>
    <definedName name="BO02D0D3B8C6BF4C498FA690D4D5825807" hidden="1">#REF!</definedName>
    <definedName name="BO02D67ECE39E641F0B2194A7A24D97636" hidden="1">#REF!</definedName>
    <definedName name="BO02EBC86846924D469D6F4FF083135D17" hidden="1">#REF!</definedName>
    <definedName name="BO02F78D03EBF946E2BC0AD3C9B1207F8D" hidden="1">#REF!</definedName>
    <definedName name="BO030316DE55944EF3B04CB8ED9887CE95" hidden="1">#REF!</definedName>
    <definedName name="BO03123932EC644B6AA533D9772BBB2669" hidden="1">#REF!</definedName>
    <definedName name="BO03126D9EDD4E48E98575D5402830D65F" hidden="1">#REF!</definedName>
    <definedName name="BO0315301D99474248925F5D23C740FD91" hidden="1">#REF!</definedName>
    <definedName name="BO0318BB37F2834F1A9091FD620AE444BE" hidden="1">#REF!</definedName>
    <definedName name="BO031AC93FDF434B39A72F6A63CCB02986" hidden="1">#REF!</definedName>
    <definedName name="BO0341714AEFA241D792F405AA1A26278D" hidden="1">#REF!</definedName>
    <definedName name="BO034E33AEFFC8402A9959B4B92345C460" hidden="1">#REF!</definedName>
    <definedName name="BO0355F796E6FF4F6FBF04119DD700DB10" hidden="1">#REF!</definedName>
    <definedName name="BO03579158E1E640248DA7412FF8187EEF" hidden="1">#REF!</definedName>
    <definedName name="BO03681AD343A648139623F1A863FB04E9" hidden="1">#REF!</definedName>
    <definedName name="BO036BEB7591CF4FAC80CB6E455F1428E4" hidden="1">#REF!</definedName>
    <definedName name="BO0380B0E8DF1443BE871FB7743D69FEBA" hidden="1">#REF!</definedName>
    <definedName name="BO0383A1EBD8AC4156B0FA1A8C11EB88E0" hidden="1">#REF!</definedName>
    <definedName name="BO038AB85867D94078B093E04F3FAC9612" hidden="1">#REF!</definedName>
    <definedName name="BO0392B1E4BF3A42C9A4D6C4F6D8A3C230" hidden="1">#REF!</definedName>
    <definedName name="BO03A5DE3B6F644AF49FB2EF7FA2C0E57E" hidden="1">#REF!</definedName>
    <definedName name="BO03AD62307EF34FD1B9FAFAB05C0B1B9A" hidden="1">#REF!</definedName>
    <definedName name="BO03B01ECDC37A4BCFAD269CA8F25A8F17" hidden="1">#REF!</definedName>
    <definedName name="BO03B85B03ED5D4186ADE1E98835D8A875" hidden="1">#REF!</definedName>
    <definedName name="BO03BB5853E9BE4BCEBBA16C2F2971746E" hidden="1">#REF!</definedName>
    <definedName name="BO03D3C71F0A2F452190BD06B1ADCB8A71" hidden="1">#REF!</definedName>
    <definedName name="BO03D66BE1D5A54C96A5DAF5DF6F3A64E4" hidden="1">#REF!</definedName>
    <definedName name="BO03D676909F024DBA8A9C56F8E9F37943" hidden="1">#REF!</definedName>
    <definedName name="BO03DA4B276DB44ED5B4A308041553A50C" hidden="1">#REF!</definedName>
    <definedName name="BO03E006FC17A942BDB4D909A0641FF578" hidden="1">#REF!</definedName>
    <definedName name="BO03EFFF1226A14544BDA795607063AF09" hidden="1">#REF!</definedName>
    <definedName name="BO03F57036449540B3B6956CC76DF5AFEE" hidden="1">#REF!</definedName>
    <definedName name="BO0404D68DD580478CBCD5ED82C8BE6ABB" hidden="1">#REF!</definedName>
    <definedName name="BO04083BC4A2A44BCCB1F4C7145AA1483C" hidden="1">#REF!</definedName>
    <definedName name="BO041B9B9C4D9D41B3A5D0E80A5FED613A" hidden="1">#REF!</definedName>
    <definedName name="BO041C3E80191A42CDBFA9044387348DCA" hidden="1">#REF!</definedName>
    <definedName name="BO0429F38193174517B6376113648F7942" hidden="1">#REF!</definedName>
    <definedName name="BO04388003E6FE44FA90D9609E460148C7" hidden="1">#REF!</definedName>
    <definedName name="BO043DAFD94D9A4758BC2B4FADF0356501" hidden="1">#REF!</definedName>
    <definedName name="BO0457C599158E4F67A8C310889CACCB5D" hidden="1">#REF!</definedName>
    <definedName name="BO04676D49F9264F6F94DA377F6A1DA231" hidden="1">#REF!</definedName>
    <definedName name="BO0468CFD4EC76449CBC74628727ABD897" hidden="1">#REF!</definedName>
    <definedName name="BO047F5D18C4654EEAB66564FDCC4D8A08" hidden="1">#REF!</definedName>
    <definedName name="BO04838262F8F9438787CD416EC1864A82" hidden="1">#REF!</definedName>
    <definedName name="BO0491074B76DF4751B86489B0C51BE094" hidden="1">#REF!</definedName>
    <definedName name="BO04939DB9AF6645259AA0B15033319F00" hidden="1">#REF!</definedName>
    <definedName name="BO04A0863AC4EE42CC9B9630D29DBBC4E9" hidden="1">#REF!</definedName>
    <definedName name="BO04A835137841499287E7AEB85F962AE4" hidden="1">#REF!</definedName>
    <definedName name="BO04B24E1751AE4CB48297745BA9E67390" hidden="1">#REF!</definedName>
    <definedName name="BO04BB8C4B58474C36BD7FC1C0C6EB7F0F" hidden="1">#REF!</definedName>
    <definedName name="BO04C15CBB715948BCBC0B8EE2478F997A" hidden="1">#REF!</definedName>
    <definedName name="BO04E18EA4539B49D4A21C616E969EE7E5" hidden="1">#REF!</definedName>
    <definedName name="BO04E3335641D64DF6B0E28759D5F7260F" hidden="1">#REF!</definedName>
    <definedName name="BO04F371B7B09C4FF196BEF312CED9D17E" hidden="1">#REF!</definedName>
    <definedName name="BO04FF56670EA4432F91A6299464A96363" hidden="1">#REF!</definedName>
    <definedName name="BO05095C22172C436F891E25B1C5300F5F" hidden="1">#REF!</definedName>
    <definedName name="BO051088C197264509A79DBC56E3ECD783" hidden="1">#REF!</definedName>
    <definedName name="BO0510BC12579E4C348E4F8F7D49C4C026" hidden="1">#REF!</definedName>
    <definedName name="BO05404129A0044729AAF941F2BC5E5C7E" hidden="1">#REF!</definedName>
    <definedName name="BO05418EB3E2AD4672890325DD3B5933F2" hidden="1">#REF!</definedName>
    <definedName name="BO05430840E9434D4A9988CE09078135D8" hidden="1">#REF!</definedName>
    <definedName name="BO054820E72B6A4B1997BD1272F1DA7147" hidden="1">#REF!</definedName>
    <definedName name="BO055EDD8F3305462CB94BA79BFA585722" hidden="1">#REF!</definedName>
    <definedName name="BO0563205166794F0C871249957C1511E1" hidden="1">#REF!</definedName>
    <definedName name="BO0573BF6826F34185B67250F8ECDC2B73" hidden="1">#REF!</definedName>
    <definedName name="BO05769F96554C431A99A0D7490C99F12B" hidden="1">#REF!</definedName>
    <definedName name="BO0579C51B985048D1B9032C002144632D" hidden="1">#REF!</definedName>
    <definedName name="BO057EE42724364EEE93B1005E073A8058" hidden="1">#REF!</definedName>
    <definedName name="BO058511F0D45E40FE926E46BBBBF785E5" hidden="1">#REF!</definedName>
    <definedName name="BO058F673E11BF48D48F2E9408483E0CAA" hidden="1">#REF!</definedName>
    <definedName name="BO05A6A17011C44FC88033793CDDBBAE98" hidden="1">#REF!</definedName>
    <definedName name="BO05A790678551471795EAD040F630B538" hidden="1">#REF!</definedName>
    <definedName name="BO05AC77E29F2B473C87718938A9FEAC10" hidden="1">#REF!</definedName>
    <definedName name="BO05BF26E6585F4659BECF2D8E752A90FB" hidden="1">#REF!</definedName>
    <definedName name="BO05CBDE8F6A8A43C6B3344DB82919BD03" hidden="1">#REF!</definedName>
    <definedName name="BO05CC0BA2E32E41CFBD72A3C375A87354" hidden="1">#REF!</definedName>
    <definedName name="BO05D3C71ACD41445BBC3A7B705ACA10DF" hidden="1">#REF!</definedName>
    <definedName name="BO05E1B1E103E44A62B1A1127E77463B83" hidden="1">#REF!</definedName>
    <definedName name="BO05EC6A875D03484C818CB0D911AF5414" hidden="1">#REF!</definedName>
    <definedName name="BO05EC765C91614819AE5AC69341BE7844" hidden="1">#REF!</definedName>
    <definedName name="BO0602B9C4B2484176BE16AB3399543628" hidden="1">#REF!</definedName>
    <definedName name="BO060661AE3FD04194AE3BDC926CDB172C" hidden="1">#REF!</definedName>
    <definedName name="BO061047C3E6F341EB93AC1DBDD5A5D2A9" hidden="1">#REF!</definedName>
    <definedName name="BO061C2AEF6C3842788EDEFD0DD696CEA6" hidden="1">#REF!</definedName>
    <definedName name="BO06213CC21E49463DB4DCEC4882AB39C0" hidden="1">#REF!</definedName>
    <definedName name="BO0621EACE72504E7098AC3617D569F2BE" hidden="1">#REF!</definedName>
    <definedName name="BO0627CE312D4C4E159320091A1117E144" hidden="1">#REF!</definedName>
    <definedName name="BO062C82AC979C435386A0252A4342A096" hidden="1">#REF!</definedName>
    <definedName name="BO064B3CE6B27A4BE7848A02BCE7F46723" hidden="1">#REF!</definedName>
    <definedName name="BO064E98693C184B3B85A8321573E70087" hidden="1">#REF!</definedName>
    <definedName name="BO0652F7DAD8E34D83A9845BD351D45AFD" hidden="1">#REF!</definedName>
    <definedName name="BO0662E721CC36409E88130B9A9496B9B4" hidden="1">#REF!</definedName>
    <definedName name="BO0691BE9720764B3D9C193EA59C8FD568" hidden="1">#REF!</definedName>
    <definedName name="BO069478A4E6294B73BDD9C33E6A7D681B" hidden="1">#REF!</definedName>
    <definedName name="BO0699936A02C044EF94FC6DFAACF1454D" hidden="1">#REF!</definedName>
    <definedName name="BO06A6AA6882884D89B57E6F3F1A216B50" hidden="1">#REF!</definedName>
    <definedName name="BO06A74BD457664F3DA2FFE967E50EE3F9" hidden="1">#REF!</definedName>
    <definedName name="BO06B29391A41341458C690A8D7ED8BEA5" hidden="1">#REF!</definedName>
    <definedName name="BO06B307D793184F44AD8AC9D4EB9D674B" hidden="1">#REF!</definedName>
    <definedName name="BO06B8F1D5F28C4BB78A516801CFB54E67" hidden="1">#REF!</definedName>
    <definedName name="BO06BC49A01CC84324A0DC4A2CCF80E4B9" hidden="1">#REF!</definedName>
    <definedName name="BO06CFBA426FB842BAA9E8C2AC4BE319AD" hidden="1">#REF!</definedName>
    <definedName name="BO06E197CFADC3452EA8FA6F83F9D0FB06" hidden="1">#REF!</definedName>
    <definedName name="BO06EFCE400C7542C5BC6DC5B249BF2733" hidden="1">#REF!</definedName>
    <definedName name="BO06F5B7A384DD457398170667F0B8BCB9" hidden="1">#REF!</definedName>
    <definedName name="BO06F794B83A95444EBCE6ED2508C15F44" hidden="1">#REF!</definedName>
    <definedName name="BO06FB79DF53634143A5153AB6A68F2ECD" hidden="1">#REF!</definedName>
    <definedName name="BO0712BFC604E548F991465C730247F28B" hidden="1">#REF!</definedName>
    <definedName name="BO0714FE90D2CE4AA8B09FA81A2AAE232C" hidden="1">#REF!</definedName>
    <definedName name="BO07177D00C8AB41CAA222CD06C0E6FBB5" hidden="1">#REF!</definedName>
    <definedName name="BO071B5F418593425BA8EF1E954D58390B" hidden="1">#REF!</definedName>
    <definedName name="BO072A0BCBD90545E084402DA01E730FAF" hidden="1">#REF!</definedName>
    <definedName name="BO0730D9D3B6004E6BB246286FE9765C5B" hidden="1">#REF!</definedName>
    <definedName name="BO07310451F688426CBC01AA81C8174D2B" hidden="1">#REF!</definedName>
    <definedName name="BO0734211C40B944AB83DC9F20E20B79BE" hidden="1">#REF!</definedName>
    <definedName name="BO0747D4182FE84C1CA38B6AED52856945" hidden="1">#REF!</definedName>
    <definedName name="BO0755D4E9EC5C4DE3AB431EC136851126" hidden="1">#REF!</definedName>
    <definedName name="BO0758208D686247EF9B83314A8462DB14" hidden="1">#REF!</definedName>
    <definedName name="BO076253119AF34B7DBAF7F126478475C7" hidden="1">#REF!</definedName>
    <definedName name="BO076504EBCFA64682AB186CF936F0D4C0" hidden="1">#REF!</definedName>
    <definedName name="BO07678864879C40D9BC91A50208708858" hidden="1">#REF!</definedName>
    <definedName name="BO0771D7E413D14E16A09B5D0A54E55ADA" hidden="1">#REF!</definedName>
    <definedName name="BO0778D2B5E65641F6BB72ECD55093DB97" hidden="1">#REF!</definedName>
    <definedName name="BO077AD41F65F445E6B1762DA28CB515B1" hidden="1">#REF!</definedName>
    <definedName name="BO078EC3878E644276935FB20D852A9AE9" hidden="1">#REF!</definedName>
    <definedName name="BO07A0CA130E224F70B455AB2D464A0110" hidden="1">#REF!</definedName>
    <definedName name="BO07A1C3A06F94485EBB85D10FA60FC5B0" hidden="1">#REF!</definedName>
    <definedName name="BO07ACEA205E0E414FAF5C1D3C433616A4" hidden="1">#REF!</definedName>
    <definedName name="BO07B16ECA85A340128929E125F597D865" hidden="1">#REF!</definedName>
    <definedName name="BO07BE9637E7D84FF9BE2F820CA0F53519" hidden="1">#REF!</definedName>
    <definedName name="BO07C69CE271BF4A238A2781BFDB41257E" hidden="1">#REF!</definedName>
    <definedName name="BO07D82B139BA74592894F67ECE89C994E" hidden="1">#REF!</definedName>
    <definedName name="BO07D9150F0A544DEC9A0BEEAB15F5A5DE" hidden="1">#REF!</definedName>
    <definedName name="BO07F11065F5FC49A89586FDA382692E25" hidden="1">#REF!</definedName>
    <definedName name="BO0809DFDB8B4148EC86505778D8E8F0EB" hidden="1">#REF!</definedName>
    <definedName name="BO0813995B97FE44D8A0D956356B440FF5" hidden="1">#REF!</definedName>
    <definedName name="BO08212FE71279474C93EB1BEC47D7F2A4" hidden="1">#REF!</definedName>
    <definedName name="BO082763345FC4451DBA8235469991BB0E" hidden="1">#REF!</definedName>
    <definedName name="BO082895E2565F494886AED00C309A66F6" hidden="1">#REF!</definedName>
    <definedName name="BO08352045C656430F919FFD30EC4E325C" hidden="1">#REF!</definedName>
    <definedName name="BO0837B06E34CF422AA01FEAE5BF16FE4C" hidden="1">#REF!</definedName>
    <definedName name="BO0870139294BE401B8E96D2BD06629BFF" hidden="1">#REF!</definedName>
    <definedName name="BO087978D4A4CC4CC3A221ECB90837A478" hidden="1">#REF!</definedName>
    <definedName name="BO087C48109A8A4840853ABD54A75BCEEA" hidden="1">#REF!</definedName>
    <definedName name="BO0884E314DF404FAE9129DA69CC214E02" hidden="1">#REF!</definedName>
    <definedName name="BO089986A5F3654D289F6B34521D2C376C" hidden="1">#REF!</definedName>
    <definedName name="BO089FD5CC49D541BCB2EFF924B2954B59" hidden="1">#REF!</definedName>
    <definedName name="BO08A7121D46F244CF9ED71096BF860F3A" hidden="1">#REF!</definedName>
    <definedName name="BO08AC2AF1F33D4347B80BDCF149929706" hidden="1">#REF!</definedName>
    <definedName name="BO08B97EBB444C4475B1E035818EDA3E2E" hidden="1">#REF!</definedName>
    <definedName name="BO08BC425768D3400EAC01D32ACC5BE265" hidden="1">#REF!</definedName>
    <definedName name="BO08BF111032EC4E11B4BD6D2FE6243EEF" hidden="1">#REF!</definedName>
    <definedName name="BO08C3DB63B3094F9C8AB1EC49CCE3C3D9" hidden="1">#REF!</definedName>
    <definedName name="BO08C79ED31D81424B83416D153071C2F3" hidden="1">#REF!</definedName>
    <definedName name="BO08C7C0AF184A48F39ACD45F2FD5D6FC9" hidden="1">#REF!</definedName>
    <definedName name="BO08D8EDB705A84A6F8F45539B102CF701" hidden="1">#REF!</definedName>
    <definedName name="BO08EFB2F3870A41C188C2B084FE47E8D8" hidden="1">#REF!</definedName>
    <definedName name="BO08F3561EFDB84C999F0AA39995AA3ECC" hidden="1">#REF!</definedName>
    <definedName name="BO08F76036C473432CBC706B4EE87107BD" hidden="1">#REF!</definedName>
    <definedName name="BO0906CFADD27845E38E6967D39BA34481" hidden="1">#REF!</definedName>
    <definedName name="BO090ADADB96F343ABB6C2DE72DD8CDBC6" hidden="1">#REF!</definedName>
    <definedName name="BO090BD0AF51B948AAA9616B7278E9CD5D" hidden="1">#REF!</definedName>
    <definedName name="BO090CC67D609148E2894D1E6B05F676BB" hidden="1">#REF!</definedName>
    <definedName name="BO0913EA88952A4E14AF5A133E5EAA27B1" hidden="1">#REF!</definedName>
    <definedName name="BO091E163282E9407381E5D8B76A4B257F" hidden="1">#REF!</definedName>
    <definedName name="BO091EDC5B8A6B4990B0E129582D26E069" hidden="1">#REF!</definedName>
    <definedName name="BO09240995FFF04001A36B79E2966ADD5F" hidden="1">#REF!</definedName>
    <definedName name="BO092437E02919409590D0F3AE7D7DC2D9" hidden="1">#REF!</definedName>
    <definedName name="BO0924F2B5AC75440CA949CE26B56351DB" hidden="1">#REF!</definedName>
    <definedName name="BO092F7452A8AE490DA9BBE5DDDD647B49" hidden="1">#REF!</definedName>
    <definedName name="BO09310BCCFEB14366B0C49E8F0603DED3" hidden="1">#REF!</definedName>
    <definedName name="BO093DE129DAA24C2CAF81EBA27B2B3B08" hidden="1">#REF!</definedName>
    <definedName name="BO0944C65316E340968773D30F0F99D600" hidden="1">#REF!</definedName>
    <definedName name="BO0948AA4D13594F8A91D3C1D22FA89F4E" hidden="1">#REF!</definedName>
    <definedName name="BO09541110559D468FB26FC398A40E4399" hidden="1">#REF!</definedName>
    <definedName name="BO0956DC82ED94428185AD5D6B6E8BB8FD" hidden="1">#REF!</definedName>
    <definedName name="BO0971990AC47945A0979AC6F204E082B4" hidden="1">#REF!</definedName>
    <definedName name="BO0976599A84244FEC96EF04F645A8560F" hidden="1">#REF!</definedName>
    <definedName name="BO098EB003B49E448088B8C890C339BC0E" hidden="1">#REF!</definedName>
    <definedName name="BO09918F76DBA54156832C79E9B068D310" hidden="1">#REF!</definedName>
    <definedName name="BO099773F4138544B596ABB9D2A3F0A947" hidden="1">#REF!</definedName>
    <definedName name="BO099B18DECEF54324A45ED703550C06FF" hidden="1">#REF!</definedName>
    <definedName name="BO099F7970DFB84A28BF938D2388A6F286" hidden="1">#REF!</definedName>
    <definedName name="BO09A8BD0385D549E29907AB7B76CCE5F6" hidden="1">#REF!</definedName>
    <definedName name="BO09B3A476DE294446A86DBD33A9C04C32" hidden="1">#REF!</definedName>
    <definedName name="BO09B5FC89C613441FB87468DEA51B3CDD" hidden="1">#REF!</definedName>
    <definedName name="BO09BAC245FD654D94856A0931D1BF2FF6" hidden="1">#REF!</definedName>
    <definedName name="BO09C567D8CEC248E49AFED841ED0644A1" hidden="1">#REF!</definedName>
    <definedName name="BO09C6915727944EE085F667D98EF01765" hidden="1">#REF!</definedName>
    <definedName name="BO09D24346219F48DA8D1495B70623191D" hidden="1">#REF!</definedName>
    <definedName name="BO09D4C3AD6302477599011D02BB36093B" hidden="1">#REF!</definedName>
    <definedName name="BO09DF247A7883489AB67A222689541C47" hidden="1">#REF!</definedName>
    <definedName name="BO09E2EA339C344B3B8603B420DBDAC23D" hidden="1">#REF!</definedName>
    <definedName name="BO09E82485C943457095D6E88390CF5CEF" hidden="1">#REF!</definedName>
    <definedName name="BO0A00E9034DDD4693B53002D2B8A33FE8" hidden="1">#REF!</definedName>
    <definedName name="BO0A05A028B83E4C0980D01042ABB7BAD7" hidden="1">#REF!</definedName>
    <definedName name="BO0A0AA543345241768F495BD41AC36935" hidden="1">#REF!</definedName>
    <definedName name="BO0A147850BBD14CFFADC1CD30662DE097" hidden="1">#REF!</definedName>
    <definedName name="BO0A15F490CAE04377A3F68494DBE48B28" hidden="1">#REF!</definedName>
    <definedName name="BO0A171CB2E79849F99716E03732624320" hidden="1">#REF!</definedName>
    <definedName name="BO0A1C76352A4E4B5E9C10EF7AEC18A3BC" hidden="1">#REF!</definedName>
    <definedName name="BO0A29D31064FA4A6490511F04EF5A74EB" hidden="1">#REF!</definedName>
    <definedName name="BO0A41E5DAEAB44F65B9ED016C82E3DE0B" hidden="1">#REF!</definedName>
    <definedName name="BO0A4830B777CE41CA8C28398C6DFFB289" hidden="1">#REF!</definedName>
    <definedName name="BO0A4C7DD9C33B4AD6A0ED666E09F4AF3B" hidden="1">#REF!</definedName>
    <definedName name="BO0A56C7AC45A94D29BE13B399B293BB96" hidden="1">#REF!</definedName>
    <definedName name="BO0A58CE6DB1EE485A9A62DC4D58A6209D" hidden="1">#REF!</definedName>
    <definedName name="BO0A59E5F091504030AF58E86919B58FE5" hidden="1">#REF!</definedName>
    <definedName name="BO0A5D073C2B8B47EBAFE9C3C944BB3627" hidden="1">#REF!</definedName>
    <definedName name="BO0A7ADFF100454817ADA3875D51DDDABF" hidden="1">#REF!</definedName>
    <definedName name="BO0A800B44A66E4478B1843098F7F18280" hidden="1">#REF!</definedName>
    <definedName name="BO0A8A8FD5D50B489DA1766DBA25758794" hidden="1">#REF!</definedName>
    <definedName name="BO0A955FA63B974F429BC66B242C626C5C" hidden="1">#REF!</definedName>
    <definedName name="BO0A9D58E5B92B45BDA56C7B536B1200B0" hidden="1">#REF!</definedName>
    <definedName name="BO0A9DCB29562F4F8B96F7A7215C696556" hidden="1">#REF!</definedName>
    <definedName name="BO0AAC262441AC4774A0CA292570209CD8" hidden="1">#REF!</definedName>
    <definedName name="BO0ABBC74E0CCC4082AC46FE2FE128B7AD" hidden="1">#REF!</definedName>
    <definedName name="BO0ABFA060FA5B454192378F8D8CE4088D" hidden="1">#REF!</definedName>
    <definedName name="BO0ACB48B537944A7CB60F1EE3AD900FB0" hidden="1">#REF!</definedName>
    <definedName name="BO0ACD7A89B5D24B05B65EE86BA7EC3D9E" hidden="1">#REF!</definedName>
    <definedName name="BO0AD39EFEAC084B1AA75950082EEFBD67" hidden="1">#REF!</definedName>
    <definedName name="BO0AD8FED6623840F0A58F35BFD38850BC" hidden="1">#REF!</definedName>
    <definedName name="BO0ADC13BF2BED482ABD931DB6FCB0145F" hidden="1">#REF!</definedName>
    <definedName name="BO0AE99D9DE750439EBE0E8F704A7E439C" hidden="1">#REF!</definedName>
    <definedName name="BO0AF4E37DF8C8473FA17093B2A283B6B0" hidden="1">#REF!</definedName>
    <definedName name="BO0AFAAD9FDA5A4D16A5DF9E1D145163AD" hidden="1">#REF!</definedName>
    <definedName name="BO0B07E88F76444ECC9A7FCF2FD76B913C" hidden="1">#REF!</definedName>
    <definedName name="BO0B0E071E71E64B76A85F26D09D03B14F" hidden="1">#REF!</definedName>
    <definedName name="BO0B132A8847504D918ADAD018EC92F4D5" hidden="1">#REF!</definedName>
    <definedName name="BO0B14DBB7C2D242A897651034C15C136A" hidden="1">#REF!</definedName>
    <definedName name="BO0B222A7563A24697825392025438EFEF" hidden="1">#REF!</definedName>
    <definedName name="BO0B2B4F1BC01D4635B444AC5B0234E525" hidden="1">#REF!</definedName>
    <definedName name="BO0B32A9CB776341AE855CCEA764DFC1F5" hidden="1">#REF!</definedName>
    <definedName name="BO0B36E7957DD54FD1890D356948D10347" hidden="1">#REF!</definedName>
    <definedName name="BO0B3996E9B86A4B439077448EC0407840" hidden="1">#REF!</definedName>
    <definedName name="BO0B4206E2C1114266A7B4A997BA72F295" hidden="1">#REF!</definedName>
    <definedName name="BO0B46A1685FC04E22A6FE3318B23A7068" hidden="1">#REF!</definedName>
    <definedName name="BO0B48832C5B784099BAF10364C3B19D25" hidden="1">#REF!</definedName>
    <definedName name="BO0B4FDE9BBA474871BDFCAE64A759FDCC" hidden="1">#REF!</definedName>
    <definedName name="BO0B5138623EB2441FBFC573D688CDEB29" hidden="1">#REF!</definedName>
    <definedName name="BO0B57365B1506412EB522428DDD0D9108" hidden="1">#REF!</definedName>
    <definedName name="BO0B5BE023A5CB433A87828F45172B2908" hidden="1">#REF!</definedName>
    <definedName name="BO0B6AAD0F06D141758126C8B245F777E8" hidden="1">#REF!</definedName>
    <definedName name="BO0B6DF3F4861D417AB9328B5D6A5A2654" hidden="1">#REF!</definedName>
    <definedName name="BO0B9C5C571810433DA86A5ABB9D3BD624" hidden="1">#REF!</definedName>
    <definedName name="BO0BB6E282EADC4E9583692E84C7B0E0D1" hidden="1">#REF!</definedName>
    <definedName name="BO0BBD5D4A5773482E9D09760CE8124D92" hidden="1">#REF!</definedName>
    <definedName name="BO0BBE358C9B9544459687D5BBF1F0E214" hidden="1">#REF!</definedName>
    <definedName name="BO0BC0178649BF4B02A2EB99F84DD46135" hidden="1">#REF!</definedName>
    <definedName name="BO0BC4013C22F244F990653E9F319E6543" hidden="1">#REF!</definedName>
    <definedName name="BO0BC959A8CA374AABB464875401FB077C" hidden="1">#REF!</definedName>
    <definedName name="BO0BE51AED8BDF404D97214036D435A38B" hidden="1">#REF!</definedName>
    <definedName name="BO0BE97B6711D544578405BB72DB2C1369" hidden="1">#REF!</definedName>
    <definedName name="BO0BF20D97648B4145904F364C2709495A" hidden="1">#REF!</definedName>
    <definedName name="BO0BF4BB683F95440FB6CBB461743B907B" hidden="1">#REF!</definedName>
    <definedName name="BO0BF8D1CE4B064DDCB3A91090A86B8B90" hidden="1">#REF!</definedName>
    <definedName name="BO0C09CAC8979E40508824C1F00046D83F" hidden="1">#REF!</definedName>
    <definedName name="BO0C10630ABF824A5C9629742190019C52" hidden="1">#REF!</definedName>
    <definedName name="BO0C124CD2A4444260A5DA5C940CDEDD6C" hidden="1">#REF!</definedName>
    <definedName name="BO0C1BD31F902543929B37639F43F01147" hidden="1">#REF!</definedName>
    <definedName name="BO0C1CC5339BF14D83B4BDF482DF7A619E" hidden="1">#REF!</definedName>
    <definedName name="BO0C1DF6871814471F88346E971BAC6529" hidden="1">#REF!</definedName>
    <definedName name="BO0C1E05AA51484322BA628ED4D9AC783E" hidden="1">#REF!</definedName>
    <definedName name="BO0C20F67456F74F23AE8DC8084962107A" hidden="1">#REF!</definedName>
    <definedName name="BO0C26135E109F410982E6C848BA96C8A6" hidden="1">#REF!</definedName>
    <definedName name="BO0C38D7A2DB38427AA4AB839CA8211F71" hidden="1">#REF!</definedName>
    <definedName name="BO0C3C6C2F8A5346A4A55307EE7E85535A" hidden="1">#REF!</definedName>
    <definedName name="BO0C50E40FCF734F77AF0389A743F30197" hidden="1">#REF!</definedName>
    <definedName name="BO0C5592E352564A2696EED3704DCF8907" hidden="1">#REF!</definedName>
    <definedName name="BO0C72D68E46DF4BDFB6F8F847EF9654FA" hidden="1">#REF!</definedName>
    <definedName name="BO0C7D3D07791B48AC8B81EF61626A48EE" hidden="1">#REF!</definedName>
    <definedName name="BO0C81334EF16B4CDCA4DE2A530630B11A" hidden="1">#REF!</definedName>
    <definedName name="BO0C83426638584939831F5A6FD9271B88" hidden="1">#REF!</definedName>
    <definedName name="BO0C93792C859A4726B9F02423A4AF5600" hidden="1">#REF!</definedName>
    <definedName name="BO0C9C9D8AC732465C8B009B31B3CACD6C" hidden="1">#REF!</definedName>
    <definedName name="BO0CA7D01AB1CC4C4984CDF99C1F7D4C18" hidden="1">#REF!</definedName>
    <definedName name="BO0CB5E30E59634D8A98F6DD80CAB50D10" hidden="1">#REF!</definedName>
    <definedName name="BO0CB90D69E1B94433B4B867974E9D002F" hidden="1">#REF!</definedName>
    <definedName name="BO0CBE629A7FA84A7CA0683D87D4E97880" hidden="1">#REF!</definedName>
    <definedName name="BO0CC4D58EB1E84D20ABAF7E03D6EAC11C" hidden="1">#REF!</definedName>
    <definedName name="BO0CCDA3E7D7044F0A8FBECDAC8A232CF3" hidden="1">#REF!</definedName>
    <definedName name="BO0CDF742ECA724DE4ACEC7EF38AC840B8" hidden="1">#REF!</definedName>
    <definedName name="BO0CE139FCDECE47568555364A529107EB" hidden="1">#REF!</definedName>
    <definedName name="BO0CE4727527C8487B98955272B4CF5B93" hidden="1">#REF!</definedName>
    <definedName name="BO0CE82C8C9FCA4BAC8A260AC3C2E242F2" hidden="1">#REF!</definedName>
    <definedName name="BO0CF6653FB83C4D8297F93F97C9F904AA" hidden="1">#REF!</definedName>
    <definedName name="BO0CF971C5C1A94B27AFF8C513E6376E77" hidden="1">#REF!</definedName>
    <definedName name="BO0CFDEAA62C5A4CEABC1F46FECC3FCD81" hidden="1">#REF!</definedName>
    <definedName name="BO0D14B015DDCD480B81DA0D0C4726D99C" hidden="1">#REF!</definedName>
    <definedName name="BO0D182A8739A14B4F927EAF1A589B44B8" hidden="1">#REF!</definedName>
    <definedName name="BO0D1A1AF1AED546D2B8FF89CB8DFD5AA1" hidden="1">#REF!</definedName>
    <definedName name="BO0D1E90924B464EC7BE190A3816E51FF6" hidden="1">#REF!</definedName>
    <definedName name="BO0D2B09E5E4184C1FA7CECD31512D4618" hidden="1">#REF!</definedName>
    <definedName name="BO0D2B286586874D7091B6E2774B9D3F08" hidden="1">#REF!</definedName>
    <definedName name="BO0D2D07F2B3954026B14EC932480D7DAE" hidden="1">#REF!</definedName>
    <definedName name="BO0D37C438E69B4C14937611DE781D9B57" hidden="1">#REF!</definedName>
    <definedName name="BO0D3F4755FD4B42F8911F7795887ABE5D" hidden="1">#REF!</definedName>
    <definedName name="BO0D40D306B58946FFB358B3E11B080E42" hidden="1">#REF!</definedName>
    <definedName name="BO0D543404B43E49DBB27E789A3874CF73" hidden="1">#REF!</definedName>
    <definedName name="BO0D68346E123C4ACF8CAD5DAC9EA8C54E" hidden="1">#REF!</definedName>
    <definedName name="BO0D7369AC732B492C901B04BE28F86BC0" hidden="1">#REF!</definedName>
    <definedName name="BO0D88367745C9455C97FE23ADCF0A0774" hidden="1">#REF!</definedName>
    <definedName name="BO0D9403EB35BD4C3BBAFD474611DC4391" hidden="1">#REF!</definedName>
    <definedName name="BO0D99D940FD004584A6FD5AC96CEFDB03" hidden="1">#REF!</definedName>
    <definedName name="BO0D9BC6241D064FE58729C42E43F1FA96" hidden="1">#REF!</definedName>
    <definedName name="BO0DA61F8A91C94956B06269A1C13BDB13" hidden="1">#REF!</definedName>
    <definedName name="BO0DAD0508B1934F18A060144C59C1B442" hidden="1">#REF!</definedName>
    <definedName name="BO0DB92C7CAAD44D8B8014EE9C7814B554" hidden="1">#REF!</definedName>
    <definedName name="BO0DC09EEF940C4D15BA90EB0F2E5C06AE" hidden="1">#REF!</definedName>
    <definedName name="BO0DC44145EF66414AB8F982392792E3E2" hidden="1">#REF!</definedName>
    <definedName name="BO0DC625D0AC984537B4D10150F65D3B6C" hidden="1">#REF!</definedName>
    <definedName name="BO0DC7280148C74D27947723B7809B46A9" hidden="1">#REF!</definedName>
    <definedName name="BO0DD84A2C133849BBAC535469EB0169F5" hidden="1">#REF!</definedName>
    <definedName name="BO0DEB6F85B5CA4702AA6EE0F3CE77FCCF" hidden="1">#REF!</definedName>
    <definedName name="BO0E0139BB11AA432CB08821AD25CACA78" hidden="1">#REF!</definedName>
    <definedName name="BO0E131EF2A13547EC8A83ED63F422738A" hidden="1">#REF!</definedName>
    <definedName name="BO0E13E942EB69415391E11E82686B3444" hidden="1">#REF!</definedName>
    <definedName name="BO0E297152BC984B0A9AB9D2414D25DD3F" hidden="1">#REF!</definedName>
    <definedName name="BO0E2E5194D6CD49F28785FC8535B371E6" hidden="1">#REF!</definedName>
    <definedName name="BO0E35136BD5AB46938492B39B6186896B" hidden="1">#REF!</definedName>
    <definedName name="BO0E3DF123E5384A9B998832CEDCB97043" hidden="1">#REF!</definedName>
    <definedName name="BO0E401ADF242746E49E3F9C4CFA1628F7" hidden="1">#REF!</definedName>
    <definedName name="BO0E48747101DF447299078FA3F1C3AEAA" hidden="1">#REF!</definedName>
    <definedName name="BO0E660F02D0914D3C8B203E2E8E42245F" hidden="1">#REF!</definedName>
    <definedName name="BO0E6969511F6941AA972D645BBD8ADCDD" hidden="1">#REF!</definedName>
    <definedName name="BO0E6FB39A5FCE4555AC0F9256BB8537B8" hidden="1">#REF!</definedName>
    <definedName name="BO0E79355824654AF2AF08AABF38440C7F" hidden="1">#REF!</definedName>
    <definedName name="BO0E886829BE19442F823A588AA89C1C70" hidden="1">#REF!</definedName>
    <definedName name="BO0E9515F26ACE4A3A91C54C98BA60FAC3" hidden="1">#REF!</definedName>
    <definedName name="BO0E9AF300B4714C34A238536B4C502941" hidden="1">#REF!</definedName>
    <definedName name="BO0EA15E75860D4D028E661AC1EC835B10" hidden="1">#REF!</definedName>
    <definedName name="BO0EA513F781C348239912D97E0B9B93D9" hidden="1">#REF!</definedName>
    <definedName name="BO0EAF66E3D2A94CE4BE05E0EACD6D6BAB" hidden="1">#REF!</definedName>
    <definedName name="BO0EB017D82AE147EB85DF9638FCCD7219" hidden="1">#REF!</definedName>
    <definedName name="BO0EB6412C2EF245C6AC7824C153A1D76A" hidden="1">#REF!</definedName>
    <definedName name="BO0EB8BB415DD64BF586F5CB5BCA651167" hidden="1">#REF!</definedName>
    <definedName name="BO0EBA820AC4174AB2A382833B768C67D7" hidden="1">#REF!</definedName>
    <definedName name="BO0EC62466C3544EE8AF79BF2F45AC2765" hidden="1">#REF!</definedName>
    <definedName name="BO0EDDADE248A34E30A66727C6850CD945" hidden="1">#REF!</definedName>
    <definedName name="BO0EEC0822F6D34596A17C6908D9084D65" hidden="1">#REF!</definedName>
    <definedName name="BO0EEEB530471945A8874D05F53A46D682" hidden="1">#REF!</definedName>
    <definedName name="BO0EF1E8734EF04A7A8E523A767CC6E61D" hidden="1">#REF!</definedName>
    <definedName name="BO0EF9EC80820A498C8B07C9B1D36ECE2E" hidden="1">#REF!</definedName>
    <definedName name="BO0F03C416057A4591940D7E1D7DD72BD2" hidden="1">#REF!</definedName>
    <definedName name="BO0F054DDBD93C4178A6ACD7820A617987" hidden="1">#REF!</definedName>
    <definedName name="BO0F0A5556048346CCAA14A79C9F8F8AEE" hidden="1">#REF!</definedName>
    <definedName name="BO0F162390A39C420B990B3F23C6910DAA" hidden="1">#REF!</definedName>
    <definedName name="BO0F182339459B498F8868781366561708" hidden="1">#REF!</definedName>
    <definedName name="BO0F1F928C496C40FDA88FBB9E1336405F" hidden="1">#REF!</definedName>
    <definedName name="BO0F2280E64E7746B7A76D99DF92B7A0A7" hidden="1">#REF!</definedName>
    <definedName name="BO0F39E4859AF3462793D7B5B888E20D92" hidden="1">#REF!</definedName>
    <definedName name="BO0F3AC705E246453CAF258DDC21E7EB6D" hidden="1">#REF!</definedName>
    <definedName name="BO0F4F5E6039B44183A5895452D73F7B90" hidden="1">#REF!</definedName>
    <definedName name="BO0F51384C2D70498E8CC2490C8329AFDB" hidden="1">#REF!</definedName>
    <definedName name="BO0F5D60FF858643F7A3B28AE77332BC55" hidden="1">#REF!</definedName>
    <definedName name="BO0F5F2DB939004E3B92A1C0B2A91D3AD1" hidden="1">#REF!</definedName>
    <definedName name="BO0F648CBC69CD4B85A55A16956D55E620" hidden="1">#REF!</definedName>
    <definedName name="BO0F64C0B3BF56478794640AC15F11D608" hidden="1">#REF!</definedName>
    <definedName name="BO0F65068F348F408481F9AC56C51F706E" hidden="1">#REF!</definedName>
    <definedName name="BO0F67364009CF4C8F848BB75091A08E06" hidden="1">#REF!</definedName>
    <definedName name="BO0F6BD939968A49B784BBF421AF865AD6" hidden="1">#REF!</definedName>
    <definedName name="BO0F709D3077C941E89B30E7ACD7E1D1DC" hidden="1">#REF!</definedName>
    <definedName name="BO0F7908870B854264ADE010D567FE0DC0" hidden="1">#REF!</definedName>
    <definedName name="BO0F85B43283514D829A3777B320720937" hidden="1">#REF!</definedName>
    <definedName name="BO0F85C783D2A440A0986A54559CA543CC" hidden="1">#REF!</definedName>
    <definedName name="BO0F984D6AAEC845BF95443C2DFF0561DB" hidden="1">#REF!</definedName>
    <definedName name="BO0F9D1B6CE4A9457A9FA3663DA0E87AA5" hidden="1">#REF!</definedName>
    <definedName name="BO0FADFDC1C9D942B0AFD7DA880438BEF0" hidden="1">#REF!</definedName>
    <definedName name="BO0FB798896CC74B09AB328BB16FA993A4" hidden="1">#REF!</definedName>
    <definedName name="BO0FB9FADA5C33460AA398824EADC42FA3" hidden="1">#REF!</definedName>
    <definedName name="BO0FBCE23DDF7F4366B677928F4E8C5DFF" hidden="1">#REF!</definedName>
    <definedName name="BO0FC30BF7065D4CC788F2A966F2713037" hidden="1">#REF!</definedName>
    <definedName name="BO0FC9752950E8448A9B53F9FB68E84E4B" hidden="1">#REF!</definedName>
    <definedName name="BO0FD29988166E45BDBC9457BBC84338EB" hidden="1">#REF!</definedName>
    <definedName name="BO0FD84C29C984401C9FECDFAB199DA985" hidden="1">#REF!</definedName>
    <definedName name="BO0FDF069DAD8549688A6FDA0AEC8590C5" hidden="1">#REF!</definedName>
    <definedName name="BO0FE0B0E6B728408DB28E342A4339512D" hidden="1">#REF!</definedName>
    <definedName name="BO0FEF408DF9D8463F94755937F9C05A89" hidden="1">#REF!</definedName>
    <definedName name="BO0FF0CF4B7999400A9163729FBD42ACFD" hidden="1">#REF!</definedName>
    <definedName name="BO10029BDF4746479AAFAFF3137B52444C" hidden="1">#REF!</definedName>
    <definedName name="BO100AD6DD1CAC483688CBF25355DB3E37" hidden="1">#REF!</definedName>
    <definedName name="BO101E3A4F306246D69CB3AB7CDBCA4681" hidden="1">#REF!</definedName>
    <definedName name="BO101FFF49F9C14CC69EAFEE47339F7B82" hidden="1">#REF!</definedName>
    <definedName name="BO102067BA54EE410DA064746A47332096" hidden="1">#REF!</definedName>
    <definedName name="BO102A9FAAEC1541978FE4388B99C589A9" hidden="1">#REF!</definedName>
    <definedName name="BO102E8C8B4DAB4DA1B2109E45F506AA90" hidden="1">#REF!</definedName>
    <definedName name="BO10309FD6E6964781BE1D1F492F741A0C" hidden="1">#REF!</definedName>
    <definedName name="BO103EE2AB9E1C401690B789D1E3348FA4" hidden="1">#REF!</definedName>
    <definedName name="BO1046636B44CF4A4799CB81CACD538516" hidden="1">#REF!</definedName>
    <definedName name="BO1048E752D00B4E5B8D5BD940367DDF6E" hidden="1">#REF!</definedName>
    <definedName name="BO104AAFF48AFE415CB92CAEFAAD7B2618" hidden="1">#REF!</definedName>
    <definedName name="BO104C1415F95C45DD96A22C2200C18AAF" hidden="1">#REF!</definedName>
    <definedName name="BO105997111FFC49ABBF98DAFD03552C36" hidden="1">#REF!</definedName>
    <definedName name="BO105A595F8DB64815A6145C776CCDE4DB" hidden="1">#REF!</definedName>
    <definedName name="BO105EFDF427F04C1EB4D93749BAAB2E9F" hidden="1">#REF!</definedName>
    <definedName name="BO1063C568234F43848F2E669EFA14DBD9" hidden="1">#REF!</definedName>
    <definedName name="BO1070393BCBA04AD8988BD343BF78D6D6" hidden="1">#REF!</definedName>
    <definedName name="BO1076AB72CD334FED9412A5CD505C6582" hidden="1">#REF!</definedName>
    <definedName name="BO1078672B79304F8DB1176B45FD0F19CD" hidden="1">#REF!</definedName>
    <definedName name="BO107B1D1498F74B9ABA7332F6ADA1AEBF" hidden="1">#REF!</definedName>
    <definedName name="BO10878FC3F78948548B5FDA17E07A69B7" hidden="1">#REF!</definedName>
    <definedName name="BO1087BA2AEE93471E8EE508121E2ADE3C" hidden="1">#REF!</definedName>
    <definedName name="BO108F836EF38D4BA58501FDA1CE16DA24" hidden="1">#REF!</definedName>
    <definedName name="BO109D3BC064CA485BB7CE9FAD065A23D3" hidden="1">#REF!</definedName>
    <definedName name="BO109F3EA8C7924743874D3E378487E702" hidden="1">#REF!</definedName>
    <definedName name="BO109F9157600A4F14A7537C7B838923FC" hidden="1">#REF!</definedName>
    <definedName name="BO10A564EC6BB54BD58A06C4BC97C3FE05" hidden="1">#REF!</definedName>
    <definedName name="BO10A9D21495DD4C67B5CC9ECBECCB614D" hidden="1">#REF!</definedName>
    <definedName name="BO10B4AF34BF734A28B820BBDF9DFD5DB7" hidden="1">#REF!</definedName>
    <definedName name="BO10B5D976E0034922BC428BB30BB79DF9" hidden="1">#REF!</definedName>
    <definedName name="BO10B8B6F8183C4BBD810A75ECDC3C1E7A" hidden="1">#REF!</definedName>
    <definedName name="BO10CDCB2511704D03855AB55C20FE5D02" hidden="1">#REF!</definedName>
    <definedName name="BO10D4A8983CA64EACB9A970B975F029A3" hidden="1">#REF!</definedName>
    <definedName name="BO10D6596A3DE646C99B9F65C3990D6C7F" hidden="1">#REF!</definedName>
    <definedName name="BO10D7BAD6A843479BA57C5AE41250B344" hidden="1">#REF!</definedName>
    <definedName name="BO10FBC40DAC8846779B668D2B7EA0EC30" hidden="1">#REF!</definedName>
    <definedName name="BO1104A58F1B38476A9CA5A18074A0ADF6" hidden="1">#REF!</definedName>
    <definedName name="BO110E08E5C82045289EF8AE4F0A06FFDC" hidden="1">#REF!</definedName>
    <definedName name="BO110F6DD15FC441EA99424D267B1E8BA9" hidden="1">#REF!</definedName>
    <definedName name="BO11200FB062024E6A92135BB421D8CD1F" hidden="1">#REF!</definedName>
    <definedName name="BO1127CF2DDD5F4DD1A11B18EBDC98914B" hidden="1">#REF!</definedName>
    <definedName name="BO112C1616F275435397112B2C9BBB2B9D" hidden="1">#REF!</definedName>
    <definedName name="BO1131E72CDB114511BFFE7BCF0294937A" hidden="1">#REF!</definedName>
    <definedName name="BO11331CA9E95B404CAA325C481A9F84E7" hidden="1">#REF!</definedName>
    <definedName name="BO1146E61296394C099E16756DA2E62B70" hidden="1">#REF!</definedName>
    <definedName name="BO114C1F90CB764A5D8C257EE63702EAE1" hidden="1">#REF!</definedName>
    <definedName name="BO1173B51B278E4B29A045C50AB2392363" hidden="1">#REF!</definedName>
    <definedName name="BO11760EF0B76B457289C4FFDE0EE01E3D" hidden="1">#REF!</definedName>
    <definedName name="BO1183154F9C614AE090016D82F3241F27" hidden="1">#REF!</definedName>
    <definedName name="BO118CFF6BE1924DBE805B5E07D1074DB7" hidden="1">#REF!</definedName>
    <definedName name="BO1191F9C674BB4DF9A6029D13D725A58C" hidden="1">#REF!</definedName>
    <definedName name="BO11933A58901843D781EB862AD68D4722" hidden="1">#REF!</definedName>
    <definedName name="BO11A65BB568E34DF9A9A0B1F4B62D7AA5" hidden="1">#REF!</definedName>
    <definedName name="BO11A997C6E7D24BF48B17597346C7A07A" hidden="1">#REF!</definedName>
    <definedName name="BO11AAEF8695F549A5ABFF86CA92CDBCC9" hidden="1">#REF!</definedName>
    <definedName name="BO11B396F40CA4463282C7CC0DC5169011" hidden="1">#REF!</definedName>
    <definedName name="BO11B8D5481EBA42278D1AAEA15A697452" hidden="1">#REF!</definedName>
    <definedName name="BO11BDDCA84E1748F2B85F582ED326B595" hidden="1">#REF!</definedName>
    <definedName name="BO11BE74ADD479485BB84526702094B0C5" hidden="1">#REF!</definedName>
    <definedName name="BO11BFA6F410F745F09AC2D4573626F498" hidden="1">#REF!</definedName>
    <definedName name="BO11D775F1D22C4359BD99E40C0FAA9970" hidden="1">#REF!</definedName>
    <definedName name="BO11DB9EF9443548FAA076F2517ED612AB" hidden="1">#REF!</definedName>
    <definedName name="BO11DBE0C7883B45B0839339A83AE71C18" hidden="1">#REF!</definedName>
    <definedName name="BO11E34E938A3045EA93B2FD90411670CC" hidden="1">#REF!</definedName>
    <definedName name="BO11E6181CD37B44978F7E1829E7453C4E" hidden="1">#REF!</definedName>
    <definedName name="BO11E8912AA7214984B50B7A5E50886D24" hidden="1">#REF!</definedName>
    <definedName name="BO11FA3A7D344342D0A579BB8B12382A40" hidden="1">#REF!</definedName>
    <definedName name="BO11FD1529119643509A5ACD57C58B9EEF" hidden="1">#REF!</definedName>
    <definedName name="BO122B904DC6084ADE96D3AE5B920FF30E" hidden="1">#REF!</definedName>
    <definedName name="BO122BB882A4764EE2AB25FC0D62A7F13B" hidden="1">#REF!</definedName>
    <definedName name="BO1234E170A9CE4980A04A2F7A7FFC3CC9" hidden="1">#REF!</definedName>
    <definedName name="BO1249E1AF6401421CAF86AA1DA26C0DC5" hidden="1">#REF!</definedName>
    <definedName name="BO124A1BAE68C1402794787F31681BDAC3" hidden="1">#REF!</definedName>
    <definedName name="BO1252587E28864822A517362009202624" hidden="1">#REF!</definedName>
    <definedName name="BO125F8944B9054F5E891AA6071EE57129" hidden="1">#REF!</definedName>
    <definedName name="BO12673C6267E54DEF9F0C3292C6C71F39" hidden="1">#REF!</definedName>
    <definedName name="BO126ADB88E1C84C5BB4CE714A460C7514" hidden="1">#REF!</definedName>
    <definedName name="BO127273CC8EC14FABBC4AB1CA3DE429B0" hidden="1">#REF!</definedName>
    <definedName name="BO129922521C904BA8B067A2926023E082" hidden="1">#REF!</definedName>
    <definedName name="BO12A51B56AA5B464B87DCC29461083845" hidden="1">#REF!</definedName>
    <definedName name="BO12AAC42650274D97A0E17634215690C5" hidden="1">#REF!</definedName>
    <definedName name="BO12B1AD35BB9E4AFA99307126B04E029A" hidden="1">#REF!</definedName>
    <definedName name="BO12B91DE8EAC748E6B4B0F33CB12AA917" hidden="1">#REF!</definedName>
    <definedName name="BO12CFDAC2D23E4C5DA968DAFF08386353" hidden="1">#REF!</definedName>
    <definedName name="BO12E2AF04B758411B8C54ED4243CA90E9" hidden="1">#REF!</definedName>
    <definedName name="BO12E2EDE3BCF349A48480F0C020ACDD30" hidden="1">#REF!</definedName>
    <definedName name="BO12EB5CA9852648AD85249A8D0C83389A" hidden="1">#REF!</definedName>
    <definedName name="BO12EE3F3EB45F470AB3F327068CE4F9B0" hidden="1">#REF!</definedName>
    <definedName name="BO12EF1A66A32848A8933AA41C4752C664" hidden="1">#REF!</definedName>
    <definedName name="BO12F156D189DF4DAA8B45969C017CFFD1" hidden="1">#REF!</definedName>
    <definedName name="BO12FDBBEA27594E658F684804DF5E7A54" hidden="1">#REF!</definedName>
    <definedName name="BO13075C00C1C74A0EA140D5A47ED7A70A" hidden="1">#REF!</definedName>
    <definedName name="BO132157ECCCB04BC1BE3D7DFFB70E9E8D" hidden="1">#REF!</definedName>
    <definedName name="BO13299FFDB0734E65BA8A40F96E3E6CA4" hidden="1">#REF!</definedName>
    <definedName name="BO1329C92561E24B3D8CD5E0B1CF934A05" hidden="1">#REF!</definedName>
    <definedName name="BO132BE549262F48C49C91003CEC872D70" hidden="1">#REF!</definedName>
    <definedName name="BO1333532FAD5F4C2E8D28D5F4C532115A" hidden="1">#REF!</definedName>
    <definedName name="BO134A490F024A40F99DA26A0D1592A1B2" hidden="1">#REF!</definedName>
    <definedName name="BO134B1D64CAD844E494E11BB6F302AEA4" hidden="1">#REF!</definedName>
    <definedName name="BO135650F7684C4CF78C46900D403B3A8C" hidden="1">#REF!</definedName>
    <definedName name="BO1371525620644E2C8A34BCE6E6B867F5" hidden="1">#REF!</definedName>
    <definedName name="BO1379390205824987BA0E96D66E49B341" hidden="1">#REF!</definedName>
    <definedName name="BO1384AB0B2039427A8B17764DF81CC412" hidden="1">#REF!</definedName>
    <definedName name="BO1385994DB7184FA1A6E635B7103533DF" hidden="1">#REF!</definedName>
    <definedName name="BO13ABD743F2B64197A1D098CEA793BFDA" hidden="1">#REF!</definedName>
    <definedName name="BO13B9F04313074BA79225BC6068A8196E" hidden="1">#REF!</definedName>
    <definedName name="BO13BBF29F8E3743BBB1526E2B25444A06" hidden="1">#REF!</definedName>
    <definedName name="BO13C2AA727AD74DBEB37FB1FF719D5A17" hidden="1">#REF!</definedName>
    <definedName name="BO13C2B4543144499481BDCD12F0B67653" hidden="1">#REF!</definedName>
    <definedName name="BO13C467E6A4514688814FAD1F5906C27B" hidden="1">#REF!</definedName>
    <definedName name="BO13DCF3FA82AF4609BF3A429E6C6742B9" hidden="1">#REF!</definedName>
    <definedName name="BO13F5C15952A44ACFA14434E731988CEC" hidden="1">#REF!</definedName>
    <definedName name="BO13F77BE9E3324458AD33C3D60402794E" hidden="1">#REF!</definedName>
    <definedName name="BO141853BFB69F4D8498D82C036C898FCC" hidden="1">#REF!</definedName>
    <definedName name="BO142A593108D14D788BBBC1C02812DB1A" hidden="1">#REF!</definedName>
    <definedName name="BO1433D9B32B0C4003884D2318E02A80E1" hidden="1">#REF!</definedName>
    <definedName name="BO143445618D9A42BB839FAFAC7FBF2C4F" hidden="1">#REF!</definedName>
    <definedName name="BO143523F75C11411786FF4FCBF56905F2" hidden="1">#REF!</definedName>
    <definedName name="BO143B2FF597D941AAA053B697400121BB" hidden="1">#REF!</definedName>
    <definedName name="BO143D1771761B4C659909F948DD082087" hidden="1">#REF!</definedName>
    <definedName name="BO1447556C6CE447FFBCDA0B70A4B440A0" hidden="1">#REF!</definedName>
    <definedName name="BO145B3585DAA94747BFA6A49530819FA1" hidden="1">#REF!</definedName>
    <definedName name="BO145E941537594C2781E9A72479A13AA5" hidden="1">#REF!</definedName>
    <definedName name="BO1467738E496D46179CAF34376C0B3C19" hidden="1">#REF!</definedName>
    <definedName name="BO14762294FC4C49CCA54217338D0DB1ED" hidden="1">#REF!</definedName>
    <definedName name="BO14763AA6D8454AABAAEC44CE0A817304" hidden="1">#REF!</definedName>
    <definedName name="BO147858BE69354FEEB9BF4C812326A933" hidden="1">#REF!</definedName>
    <definedName name="BO14855FD79AB6419E885B7C61EDCDF193" hidden="1">#REF!</definedName>
    <definedName name="BO14866D44CFEC4BB3AF11FC64696C0F84" hidden="1">#REF!</definedName>
    <definedName name="BO148E147D1D324112A42B32ADC883CDAB" hidden="1">#REF!</definedName>
    <definedName name="BO14949433164B44E789D68877ADE4DA85" hidden="1">#REF!</definedName>
    <definedName name="BO149F3E2ED9614670895D69993A113ECC" hidden="1">#REF!</definedName>
    <definedName name="BO14B029B8489E4DC298445F9EB2397A19" hidden="1">#REF!</definedName>
    <definedName name="BO14B4BB0913F544C8AF84FB7EFD7111D1" hidden="1">#REF!</definedName>
    <definedName name="BO14BEF6793AED49EA8FEC8FD75EA8CED0" hidden="1">#REF!</definedName>
    <definedName name="BO14D0CAC8F90042E4AEFD1EB7D0040F05" hidden="1">#REF!</definedName>
    <definedName name="BO14D0ED89C20748EB931BBA472CD03727" hidden="1">#REF!</definedName>
    <definedName name="BO14D4E8063EBC470FAAAA61B79A793C10" hidden="1">#REF!</definedName>
    <definedName name="BO14E061896E9343A38AE687B5B4343A03" hidden="1">#REF!</definedName>
    <definedName name="BO14E4022A70C2443F8F751CAE09B3433B" hidden="1">#REF!</definedName>
    <definedName name="BO14ED1CC8F4FE484BBDE0C0EE3927C0BB" hidden="1">#REF!</definedName>
    <definedName name="BO14FC5BE1A4F64FD7A2516835278DA018" hidden="1">#REF!</definedName>
    <definedName name="BO14FE7D41A67347A2BB3B970897F3CA28" hidden="1">#REF!</definedName>
    <definedName name="BO1505B37711EB4C92AB2151AB200F8D4C" hidden="1">#REF!</definedName>
    <definedName name="BO150C8C82CE4149938A3CA17F1D948B74" hidden="1">#REF!</definedName>
    <definedName name="BO150E5BCCD22644238C4CDB3D02ED4460" hidden="1">#REF!</definedName>
    <definedName name="BO1510837484BB40B996CEFF96303FCFDA" hidden="1">#REF!</definedName>
    <definedName name="BO151873DA516644728D21A06DB6322866" hidden="1">#REF!</definedName>
    <definedName name="BO151D2EC02562479CBCFA4BE764E47168" hidden="1">#REF!</definedName>
    <definedName name="BO152BDB682F734A8CB15C30CD893438E9" hidden="1">#REF!</definedName>
    <definedName name="BO1533E3AA31014CE18C5AED538F5CAFBE" hidden="1">#REF!</definedName>
    <definedName name="BO153E3D0AA8B043F5A96E5B34D4F49108" hidden="1">#REF!</definedName>
    <definedName name="BO1546E8FB1E964EAEA207AB32FEF1E87D" hidden="1">#REF!</definedName>
    <definedName name="BO155D65EC0D184FF09ED0BFC5EEF155DB" hidden="1">#REF!</definedName>
    <definedName name="BO155DBA3ED3DA494CB413467A6CDAB525" hidden="1">#REF!</definedName>
    <definedName name="BO157376EDBA5D4585AA2817C5C6E07EF6" hidden="1">#REF!</definedName>
    <definedName name="BO157E0B0EF3E544889C086CF704D9AF35" hidden="1">#REF!</definedName>
    <definedName name="BO1580574317F34B33A5F0FA28EB6EEC7E" hidden="1">#REF!</definedName>
    <definedName name="BO159249E88ADD47E895AD3EC6B5EFA045" hidden="1">#REF!</definedName>
    <definedName name="BO15A36086913F4E2E9373D12C6B495B1E" hidden="1">#REF!</definedName>
    <definedName name="BO15A57B1322D64ED8ABC6EE0C241421A6" hidden="1">#REF!</definedName>
    <definedName name="BO15A59A904CBC4BE0A142CB6F26595BAF" hidden="1">#REF!</definedName>
    <definedName name="BO15B0C932AD6F4F51BDCEABF3BF7916E2" hidden="1">#REF!</definedName>
    <definedName name="BO15C78AB7F45B4D50AD8F85C5BED89DF3" hidden="1">#REF!</definedName>
    <definedName name="BO15CC708262EA4FF19E1B2383592D9A19" hidden="1">#REF!</definedName>
    <definedName name="BO15E19F92D6004A30AD80F918EC983533" hidden="1">#REF!</definedName>
    <definedName name="BO15E4CC262B8B4D01A37A9AF21D0FFFBD" hidden="1">#REF!</definedName>
    <definedName name="BO1605F8DA46DC4B999578F17F5B3E0174" hidden="1">#REF!</definedName>
    <definedName name="BO16091621F5DB424D94B9FD320D9CBF81" hidden="1">#REF!</definedName>
    <definedName name="BO160FD4229CC244F0B79BCA9EA46FBA90" hidden="1">#REF!</definedName>
    <definedName name="BO1613833F8D9248D4A7386D07A3ECD20A" hidden="1">#REF!</definedName>
    <definedName name="BO1618D0A3382643E8883975CDFA54F7CE" hidden="1">#REF!</definedName>
    <definedName name="BO161A63E276DF464CA59E56E17C57BCCB" hidden="1">#REF!</definedName>
    <definedName name="BO1623D2ACCB674655B72A47FE8576A035" hidden="1">#REF!</definedName>
    <definedName name="BO16291070569E489DB38F871B16061BB1" hidden="1">#REF!</definedName>
    <definedName name="BO16326A1A35774CC0906A817A41E1D876" hidden="1">#REF!</definedName>
    <definedName name="BO16384589F94844B5B8BF104B5F8B5B37" hidden="1">#REF!</definedName>
    <definedName name="BO163DAF7998A7465CBA3E7F33843023D3" hidden="1">#REF!</definedName>
    <definedName name="BO164E703362A2408DA794890A7523E26C" hidden="1">#REF!</definedName>
    <definedName name="BO1652466D4B5D4FBFABE8F8F9B21F23A5" hidden="1">#REF!</definedName>
    <definedName name="BO1662947B2C6B4CDEB14980CD9947E99C" hidden="1">#REF!</definedName>
    <definedName name="BO166D5AE1222D4A0FBAB100A9756385CF" hidden="1">#REF!</definedName>
    <definedName name="BO1683EA3386394B75946530D8853175BB" hidden="1">#REF!</definedName>
    <definedName name="BO168EA2ED7849445E9EF11FCEA1ACD18B" hidden="1">#REF!</definedName>
    <definedName name="BO169525984F2D4F51BFF294F4D83E899D" hidden="1">#REF!</definedName>
    <definedName name="BO16A82A4839A64B0BA6B014F8E4C30DB8" hidden="1">#REF!</definedName>
    <definedName name="BO16B1A80EEBA74401A265DCF4DCB07CBD" hidden="1">#REF!</definedName>
    <definedName name="BO16C2D3CB8BDD412BABBA1DAE7E2295E7" hidden="1">#REF!</definedName>
    <definedName name="BO16CF1E15E10346659F0812067203FF54" hidden="1">#REF!</definedName>
    <definedName name="BO16D50ECFD854409D845628DB94AF2424" hidden="1">#REF!</definedName>
    <definedName name="BO16DB29D9EDBC4E2FA10B5E3C69E4A488" hidden="1">#REF!</definedName>
    <definedName name="BO16E5EF79D64C4976AEE5B7D275406429" hidden="1">#REF!</definedName>
    <definedName name="BO16FA87C92D7148029D6EB219981F972A" hidden="1">#REF!</definedName>
    <definedName name="BO16FAA43B480D47E4B6C5A988917E1B35" hidden="1">#REF!</definedName>
    <definedName name="BO16FAD591A915420B9A0FE593E075664D" hidden="1">#REF!</definedName>
    <definedName name="BO16FBCB18B2EF449D98296419B33AA523" hidden="1">#REF!</definedName>
    <definedName name="BO170731E4CACB45DFB9713A92C7563FC0" hidden="1">#REF!</definedName>
    <definedName name="BO171375C08B1347119C1EDA7C28C2124B" hidden="1">#REF!</definedName>
    <definedName name="BO1715E2798CFA42DBA4A65FA25B54A3E8" hidden="1">#REF!</definedName>
    <definedName name="BO171B9E69499F441FB8C530F3F58CC6B2" hidden="1">#REF!</definedName>
    <definedName name="BO171BD1F8B17B40EBAEBC1506560E640F" hidden="1">#REF!</definedName>
    <definedName name="BO172661ACC3C548FF98F58E2F4694F4AB" hidden="1">#REF!</definedName>
    <definedName name="BO1738CC8F16924F3E99BBE443106D9AD4" hidden="1">#REF!</definedName>
    <definedName name="BO173DE341406244299EA9B49470AFA468" hidden="1">#REF!</definedName>
    <definedName name="BO173E94AD41EE4008B9369EB94C6E3657" hidden="1">#REF!</definedName>
    <definedName name="BO1748B362E1574A62804B573B762F4EF0" hidden="1">#REF!</definedName>
    <definedName name="BO174C2F812FC545368C483849A83A3BBC" hidden="1">#REF!</definedName>
    <definedName name="BO174E7DD93D4E4E459C9F8CCE00B6A30B" hidden="1">#REF!</definedName>
    <definedName name="BO1754A05F6BA04E21B44FEE7065D12310" hidden="1">#REF!</definedName>
    <definedName name="BO17579CEAFF214E08AD94B1D3B5441994" hidden="1">#REF!</definedName>
    <definedName name="BO1758C56B1CEA4AB99D43B676A3101D18" hidden="1">#REF!</definedName>
    <definedName name="BO1763339D14814F009A244002B7DB8641" hidden="1">#REF!</definedName>
    <definedName name="BO1767201946704AF386D57B0ABF7DF72D" hidden="1">#REF!</definedName>
    <definedName name="BO176D96F8C04A4190B880C08816680F9B" hidden="1">#REF!</definedName>
    <definedName name="BO176EACBAC66148BAA55EB16972D1262A" hidden="1">#REF!</definedName>
    <definedName name="BO17782035B4964A33A39B53FC2499093C" hidden="1">#REF!</definedName>
    <definedName name="BO177911ADEF4B4CC5A63DC3AC15D04706" hidden="1">#REF!</definedName>
    <definedName name="BO177FECFD571C43F3B1857BC2CA260142" hidden="1">#REF!</definedName>
    <definedName name="BO17833AC30C084CD9B67626F8CD4574A9" hidden="1">#REF!</definedName>
    <definedName name="BO178A581741D34996BDEECCAFC3912638" hidden="1">#REF!</definedName>
    <definedName name="BO179C8807F1E34270BBEB038A5D9994E3" hidden="1">#REF!</definedName>
    <definedName name="BO179EE8733C284FB2A3D8FCAA0C20A2C4" hidden="1">#REF!</definedName>
    <definedName name="BO17A1A57C07EB457890EA4CBCB8BF1FD1" hidden="1">#REF!</definedName>
    <definedName name="BO17A50479A44B4E898B1BA035BF4CEFBC" hidden="1">#REF!</definedName>
    <definedName name="BO17CA85B7AF154D3DB0BDD7D2BD4DB426" hidden="1">#REF!</definedName>
    <definedName name="BO17D1185AEEFE46A38232157D14F5742E" hidden="1">#REF!</definedName>
    <definedName name="BO17EDA3B7E62E47A68BFFF6DEF3D90421" hidden="1">#REF!</definedName>
    <definedName name="BO17F23BB0AB044CC38E0E48597FCC8661" hidden="1">#REF!</definedName>
    <definedName name="BO17F467D983494F839CF5583D9E0ADB7D" hidden="1">#REF!</definedName>
    <definedName name="BO1812DBBB85D64FD9BAD6E95DE59D6A62" hidden="1">#REF!</definedName>
    <definedName name="BO1817D98BD7924271BB53C578AC3D0C31" hidden="1">#REF!</definedName>
    <definedName name="BO182F1D7889534D919EAE54ACA0B229E0" hidden="1">#REF!</definedName>
    <definedName name="BO18313FE7BE6540A1B184FDD483B6727C" hidden="1">#REF!</definedName>
    <definedName name="BO183E101EEF394DA2BD57F1022BFCBA02" hidden="1">#REF!</definedName>
    <definedName name="BO185937068C4D4F599BFE80FD34ED2411" hidden="1">#REF!</definedName>
    <definedName name="BO185F83E1CABD47BD9092E13882AEA75F" hidden="1">#REF!</definedName>
    <definedName name="BO18624238AC2E40C69715DE965813D53A" hidden="1">#REF!</definedName>
    <definedName name="BO186D8BB3F2194FA2BDB19323E580B50C" hidden="1">#REF!</definedName>
    <definedName name="BO186DDBB2054D4C59B817C463F15541EB" hidden="1">#REF!</definedName>
    <definedName name="BO186F78AB260C42EA91486520BC8CEA49" hidden="1">#REF!</definedName>
    <definedName name="BO187647AB83604954AEBEAF88B5A0AEFF" hidden="1">#REF!</definedName>
    <definedName name="BO1887991A3F3F4287AAAE831A58C09729" hidden="1">#REF!</definedName>
    <definedName name="BO1890F6EFE2E34F89BFE2D86C0C62CE97" hidden="1">#REF!</definedName>
    <definedName name="BO1892EB8357A449A28767021DD3DEB9C6" hidden="1">#REF!</definedName>
    <definedName name="BO1893C5771A60485F988834E84BB337CA" hidden="1">#REF!</definedName>
    <definedName name="BO189E5D4D77C946D5A912D672BC4FDACF" hidden="1">#REF!</definedName>
    <definedName name="BO18A17D3981A64554AE87A835226786A3" hidden="1">#REF!</definedName>
    <definedName name="BO18BEE58056D740078B9646C280C905AA" hidden="1">#REF!</definedName>
    <definedName name="BO18C96060D76546408148003624C821F6" hidden="1">#REF!</definedName>
    <definedName name="BO18D21962F7F0405286529ACFB33D82AA" hidden="1">#REF!</definedName>
    <definedName name="BO18DA87BBFEF8426EB256C39FEDE8B943" hidden="1">#REF!</definedName>
    <definedName name="BO18DC6D8338B3470F95411920EEAAE685" hidden="1">#REF!</definedName>
    <definedName name="BO18DDB8378AE94ECD8AAA5D22B3FDF050" hidden="1">#REF!</definedName>
    <definedName name="BO18E1E8C68E144E5A81D30EC124913343" hidden="1">#REF!</definedName>
    <definedName name="BO18EE228D27EC4E438B5627E8AB4D843A" hidden="1">#REF!</definedName>
    <definedName name="BO18F52A4B10254ED38FBC3F62AA1AC046" hidden="1">#REF!</definedName>
    <definedName name="BO190515E08F2A43679B2DF5D1829B05B9" hidden="1">#REF!</definedName>
    <definedName name="BO192373144C9045BFA82A2385E0D6F11C" hidden="1">#REF!</definedName>
    <definedName name="BO193538849C0E423BB698748458B74DD0" hidden="1">#REF!</definedName>
    <definedName name="BO1941C489117F4B3691915BD2AE32D569" hidden="1">#REF!</definedName>
    <definedName name="BO194FD68F0FD347A7816E4A70BA65A52F" hidden="1">#REF!</definedName>
    <definedName name="BO1958D5236BFF4DD69964ABE35DBDD813" hidden="1">#REF!</definedName>
    <definedName name="BO1961A2E9FEED498D88DC64DEFF83A24C" hidden="1">#REF!</definedName>
    <definedName name="BO19784424A8C94FFCBBB5223BA333CB85" hidden="1">#REF!</definedName>
    <definedName name="BO197C1F6DDC8A4C47BA7CD5A83E0B74A2" hidden="1">#REF!</definedName>
    <definedName name="BO198167386C8140898E450746698A2B6A" hidden="1">#REF!</definedName>
    <definedName name="BO19878BB5126B44F99F25B22DEF089023" hidden="1">#REF!</definedName>
    <definedName name="BO198CBBD11205496CAD5A029FD69B33F3" hidden="1">#REF!</definedName>
    <definedName name="BO198E1A31CE534D1A82301971BF6A4944" hidden="1">#REF!</definedName>
    <definedName name="BO19955B0709F94419AB7D73DAE69C5D88" hidden="1">#REF!</definedName>
    <definedName name="BO199D0C6B30F64867B9E2CD259CDD1C2E" hidden="1">#REF!</definedName>
    <definedName name="BO19A199F72EA743F19289BACC143580C1" hidden="1">#REF!</definedName>
    <definedName name="BO19B1EDE2ECAF44638F4E7F7AFD5B9EEB" hidden="1">#REF!</definedName>
    <definedName name="BO19B3577036854D7597CE484930C3E6BB" hidden="1">#REF!</definedName>
    <definedName name="BO19B47DFC0D3549629170B7510CFF53EF" hidden="1">#REF!</definedName>
    <definedName name="BO19BF7C340A3F48AAA278BE2587B10839" hidden="1">#REF!</definedName>
    <definedName name="BO19BFAF59A9104FFB957030D423225B51" hidden="1">#REF!</definedName>
    <definedName name="BO19CC4EA44EED4113888E0F01F5F95D35" hidden="1">#REF!</definedName>
    <definedName name="BO19E27D3FFA074FF6A89F88B7E103529E" hidden="1">#REF!</definedName>
    <definedName name="BO19ECD0FCEEEA4D46BE66ECBA2DBFD6B1" hidden="1">#REF!</definedName>
    <definedName name="BO19F0202908C4418FBEB41F9FD63CB73F" hidden="1">#REF!</definedName>
    <definedName name="BO19F2CAA2762245E09E41795AC536DE25" hidden="1">#REF!</definedName>
    <definedName name="BO1A11A5A5C73B41EC971311EACE9E77DD" hidden="1">#REF!</definedName>
    <definedName name="BO1A13D1EFAABA4F70A8CFBF8BE4551451" hidden="1">#REF!</definedName>
    <definedName name="BO1A1F66329AD243B48E7F2486786DFA01" hidden="1">#REF!</definedName>
    <definedName name="BO1A24AEA142D84D588B853067DAEE0849" hidden="1">#REF!</definedName>
    <definedName name="BO1A2D394EA1624741B57731CB4F4135A5" hidden="1">#REF!</definedName>
    <definedName name="BO1A44716F4F9E40A894BAFB4E83CC51E9" hidden="1">#REF!</definedName>
    <definedName name="BO1A4BCE0E0189462F9D992BF2A13B8ADB" hidden="1">#REF!</definedName>
    <definedName name="BO1A630A4B05804507A937FAE6E5D1A8E6" hidden="1">#REF!</definedName>
    <definedName name="BO1A660C6AC19346F2B087E15392DCA3ED" hidden="1">#REF!</definedName>
    <definedName name="BO1A68C0FC955F454B82A0BC3108E6D5F9" hidden="1">#REF!</definedName>
    <definedName name="BO1A6E7D2825404609BA0B1517F54EEC6D" hidden="1">#REF!</definedName>
    <definedName name="BO1A78A51531FD4A7BBA8723AF7B9014AD" hidden="1">#REF!</definedName>
    <definedName name="BO1A7BA65AF19E4EE1A76332F5E0FD1969" hidden="1">#REF!</definedName>
    <definedName name="BO1A98BD38077341429D46A14417BB5F08" hidden="1">#REF!</definedName>
    <definedName name="BO1AA53307B100447090CBFF3F6AE26A0F" hidden="1">#REF!</definedName>
    <definedName name="BO1AA9183ADB44487F83F53E142DEB4BD4" hidden="1">#REF!</definedName>
    <definedName name="BO1AAB5FF4BD604E248256EA82B43F48FC" hidden="1">#REF!</definedName>
    <definedName name="BO1ABA7494E1D444EAB3C2BD8F71B569D7" hidden="1">#REF!</definedName>
    <definedName name="BO1ABE40557F8C427689FE6FD6EF06D1E3" hidden="1">#REF!</definedName>
    <definedName name="BO1AC7B6B132194680A010526D8D9E00AB" hidden="1">#REF!</definedName>
    <definedName name="BO1ACA849B731A4AA6B119960E144FEF24" hidden="1">#REF!</definedName>
    <definedName name="BO1ACFCB66FABE43DB87C2D2AC4B10CB12" hidden="1">#REF!</definedName>
    <definedName name="BO1AD22EE589C4420BBE9705B632564FD6" hidden="1">#REF!</definedName>
    <definedName name="BO1AD70A2087534CE6A1898A77953EF710" hidden="1">#REF!</definedName>
    <definedName name="BO1AD8F37CD969432CAFA429156E441B11" hidden="1">#REF!</definedName>
    <definedName name="BO1AE4DFCD790E43BF8D0FD6540F2314BF" hidden="1">#REF!</definedName>
    <definedName name="BO1AE82BE22E524BEFAF47F89097A9AA6A" hidden="1">#REF!</definedName>
    <definedName name="BO1AE94CCED1544407A68A5C24932E8B34" hidden="1">#REF!</definedName>
    <definedName name="BO1AF88F6907DA48C881CB904C7322D019" hidden="1">#REF!</definedName>
    <definedName name="BO1AF9C32549C1432086E09F3E9EBFA17F" hidden="1">#REF!</definedName>
    <definedName name="BO1B1909157C584FAFB45D252B428991C0" hidden="1">#REF!</definedName>
    <definedName name="BO1B2E01A86FFF446B8072A4BE10CF4077" hidden="1">#REF!</definedName>
    <definedName name="BO1B322FEF17F34DC99D876A84543A007C" hidden="1">#REF!</definedName>
    <definedName name="BO1B3A01452AB34D4499F376D7B26756A9" hidden="1">#REF!</definedName>
    <definedName name="BO1B422801581642B59661C9F4730DF9BD" hidden="1">#REF!</definedName>
    <definedName name="BO1B5729AA819E4371A4A4886575963946" hidden="1">#REF!</definedName>
    <definedName name="BO1B5A92CA6F914E25A118BDCBE57BAD21" hidden="1">#REF!</definedName>
    <definedName name="BO1B680563C8C34C6ABCA60B078C84D087" hidden="1">#REF!</definedName>
    <definedName name="BO1B6E22DB3D444BECB82A1D79F6E65538" hidden="1">#REF!</definedName>
    <definedName name="BO1B8199A148314EC08A455BA9A2992D6A" hidden="1">#REF!</definedName>
    <definedName name="BO1B9C6A2C111B4AFCA9B33E4079DD4128" hidden="1">#REF!</definedName>
    <definedName name="BO1BAAB6C76A604917B05C227EDAAA05CF" hidden="1">#REF!</definedName>
    <definedName name="BO1BAF373F9220466B8C91F4C8B8EB17BE" hidden="1">#REF!</definedName>
    <definedName name="BO1BBA18D8FF3E40949FDB3FFBED0AA5F3" hidden="1">#REF!</definedName>
    <definedName name="BO1BBC21747BC34C8387E122622AB96055" hidden="1">#REF!</definedName>
    <definedName name="BO1BC056F15B8F4E7D83F4F449CE84825A" hidden="1">#REF!</definedName>
    <definedName name="BO1BC7DAD685D943FFB8DFD3AA33C43E29" hidden="1">#REF!</definedName>
    <definedName name="BO1BCE75A6EF2B48F68A815D6FD5794533" hidden="1">#REF!</definedName>
    <definedName name="BO1BD42E9A51304E27BA3B40687CD687BC" hidden="1">#REF!</definedName>
    <definedName name="BO1BF51B4799E648CFA840FD73138713F3" hidden="1">#REF!</definedName>
    <definedName name="BO1C039F6ACC3C45769BF0BCB786444324" hidden="1">#REF!</definedName>
    <definedName name="BO1C09C5A991C840A69DB46DAAE37B1FBF" hidden="1">#REF!</definedName>
    <definedName name="BO1C0A119A962346C89CA3ADA60203C6E5" hidden="1">#REF!</definedName>
    <definedName name="BO1C0F35668C5249C0A4EAB1CAFB09F8DF" hidden="1">#REF!</definedName>
    <definedName name="BO1C12A7B6DDD2494C9CB6B8B604AE245C" hidden="1">#REF!</definedName>
    <definedName name="BO1C160AF92AE841CB99F590567F4C845F" hidden="1">#REF!</definedName>
    <definedName name="BO1C17C15B83D84670AF11DBC4EAABC2AA" hidden="1">#REF!</definedName>
    <definedName name="BO1C46585AF23C4892A52BA5F1DD572516" hidden="1">#REF!</definedName>
    <definedName name="BO1C599E5C663046C28300505DEC116A9C" hidden="1">#REF!</definedName>
    <definedName name="BO1C5E887AFCA44AC08BC9DB33D753E33F" hidden="1">#REF!</definedName>
    <definedName name="BO1C5F3AFDBF544831BE9EE6641C223CF6" hidden="1">#REF!</definedName>
    <definedName name="BO1C6885AAAD704DE683ABD5FAC3330A2C" hidden="1">#REF!</definedName>
    <definedName name="BO1C6A9CC7B4D8459185642FF4B457535A" hidden="1">#REF!</definedName>
    <definedName name="BO1C6CDD6148A34D1486A7E66A52FB293C" hidden="1">#REF!</definedName>
    <definedName name="BO1C8250A955344C0D92DF8F463DC5D482" hidden="1">#REF!</definedName>
    <definedName name="BO1C82710D5A104864B531F184B69F0142" hidden="1">#REF!</definedName>
    <definedName name="BO1C94F823B5F84803ADED7FC5C80BFA51" hidden="1">#REF!</definedName>
    <definedName name="BO1C94FC213799402E9D3A5BD3386D6E02" hidden="1">#REF!</definedName>
    <definedName name="BO1C96A3839E70449FB25D0DE62F0C2CA8" hidden="1">#REF!</definedName>
    <definedName name="BO1C97CB30B53F48A0AB9CF593020A0EBB" hidden="1">#REF!</definedName>
    <definedName name="BO1C98F96492124CF7843A49442A42EAD4" hidden="1">#REF!</definedName>
    <definedName name="BO1C994734CC68458285B9B45406830F46" hidden="1">#REF!</definedName>
    <definedName name="BO1CA3BCE17788492980BDC6F8D7C9D1AD" hidden="1">#REF!</definedName>
    <definedName name="BO1CA63700C06B4ACAB88EE7F0F8F61E50" hidden="1">#REF!</definedName>
    <definedName name="BO1CA8E07C6EEB457091678D1D028DE421" hidden="1">#REF!</definedName>
    <definedName name="BO1CAC83DA5E10425C99F1F6C6AE90FE8D" hidden="1">#REF!</definedName>
    <definedName name="BO1CB18BC4D88947B1B8D8600DDC788B52" hidden="1">#REF!</definedName>
    <definedName name="BO1CB9420C1DD94E80A768736D9DDF0456" hidden="1">#REF!</definedName>
    <definedName name="BO1CD5136F3F2B4D03BE8B0FB4C55D54F6" hidden="1">#REF!</definedName>
    <definedName name="BO1CD6317E138646E398E18B413974D84D" hidden="1">#REF!</definedName>
    <definedName name="BO1CD7B99D73354C21B165097B1577739E" hidden="1">#REF!</definedName>
    <definedName name="BO1CDB74FC9AD54F0DB33487086DA338CF" hidden="1">#REF!</definedName>
    <definedName name="BO1CDEC4DC36604E909CD343E8F763CB58" hidden="1">#REF!</definedName>
    <definedName name="BO1CF4FD8EF48C4F3EB09D027421DE4BD7" hidden="1">#REF!</definedName>
    <definedName name="BO1D050376C73944CAA873A6FFBF32B7F9" hidden="1">#REF!</definedName>
    <definedName name="BO1D07E195DAE743CDB163D0E403CAEDE7" hidden="1">#REF!</definedName>
    <definedName name="BO1D0F4C95B125418C9E662B19875B4D80" hidden="1">#REF!</definedName>
    <definedName name="BO1D28BD516D12471C875820B5F12663F5" hidden="1">#REF!</definedName>
    <definedName name="BO1D59BFA0D4D34751A9C4B89CD65FF897" hidden="1">#REF!</definedName>
    <definedName name="BO1D5CF6F610524A74BCCACC99588861FF" hidden="1">#REF!</definedName>
    <definedName name="BO1D5DF25FE7F14888880609D95656BBBA" hidden="1">#REF!</definedName>
    <definedName name="BO1D6C69E3277943419D589ED5962F6446" hidden="1">#REF!</definedName>
    <definedName name="BO1D6DF0D3FDA344E0BBF5A240256FC045" hidden="1">#REF!</definedName>
    <definedName name="BO1D81202ED43D48C6A2BCEFEF4EBECEAC" hidden="1">#REF!</definedName>
    <definedName name="BO1D86FBEB923B4BADA99518E5F6BE96B0" hidden="1">#REF!</definedName>
    <definedName name="BO1D8D95AA4E45406FB7C4B34BC4FA8301" hidden="1">#REF!</definedName>
    <definedName name="BO1D9428EFC0F94215B8951EAE088A0FD3" hidden="1">#REF!</definedName>
    <definedName name="BO1D94DF7A1D8A45A08B5F22BE372D939E" hidden="1">#REF!</definedName>
    <definedName name="BO1DA1B2F13A434DE48AD07D5AE11774B1" hidden="1">#REF!</definedName>
    <definedName name="BO1DB2B92AFB204C2992DF02EB423C3D47" hidden="1">#REF!</definedName>
    <definedName name="BO1DBB0B216985447189964B3BC74E55D9" hidden="1">#REF!</definedName>
    <definedName name="BO1DC7320FFBBF40B59D127D78DBC46C60" hidden="1">#REF!</definedName>
    <definedName name="BO1DC766C89A244AFD8CC9953EDF85616B" hidden="1">#REF!</definedName>
    <definedName name="BO1DCECE1E456D463187A0569A9A2F5A5E" hidden="1">#REF!</definedName>
    <definedName name="BO1DDC8F8CFA2541FFB35969B71C660AF1" hidden="1">#REF!</definedName>
    <definedName name="BO1DE8450D23AE474EBFEE9D5C1A2FE9E3" hidden="1">#REF!</definedName>
    <definedName name="BO1DEA12F6D03F428FB189C3181E1EC390" hidden="1">#REF!</definedName>
    <definedName name="BO1DF676A34D534EB89C85280E17576D17" hidden="1">#REF!</definedName>
    <definedName name="BO1DFBEB8272354FFDA41363EC73B5C90E" hidden="1">#REF!</definedName>
    <definedName name="BO1E085AE0E8FF47E0AFC4DAD3E32C1551" hidden="1">#REF!</definedName>
    <definedName name="BO1E20D33B074D402A9A63EE11F354ADED" hidden="1">#REF!</definedName>
    <definedName name="BO1E2CD9BAF65246C9A747D3B2B85B8566" hidden="1">#REF!</definedName>
    <definedName name="BO1E31CC729AEC4742A4AA1E1C8161ACE0" hidden="1">#REF!</definedName>
    <definedName name="BO1E4420E872714A82AE193D43128A4F33" hidden="1">#REF!</definedName>
    <definedName name="BO1E4922443D2B4531AD11FB65C64D796A" hidden="1">#REF!</definedName>
    <definedName name="BO1E497ECF6FBC4AF7926965DE9AE15BE0" hidden="1">#REF!</definedName>
    <definedName name="BO1E4B81A5C25D44E5AED696E95A7C3380" hidden="1">#REF!</definedName>
    <definedName name="BO1E502B7523E4438CBE00399B76598993" hidden="1">#REF!</definedName>
    <definedName name="BO1E5D1B75E4184B5592AEAD351E8986F3" hidden="1">#REF!</definedName>
    <definedName name="BO1E782AF9DAEC4F4497999542728480C6" hidden="1">#REF!</definedName>
    <definedName name="BO1EA6012F20B5459AA982A4FD23CA0582" hidden="1">#REF!</definedName>
    <definedName name="BO1EB19472537A466A808C62DC83BCBB61" hidden="1">#REF!</definedName>
    <definedName name="BO1EB5BBA4CB18493D96A422A5B7D981CC" hidden="1">#REF!</definedName>
    <definedName name="BO1ED31603B5AA4ED7B8D8CCE10C8A6CE7" hidden="1">#REF!</definedName>
    <definedName name="BO1EE4F0C4933846A787D79470AE88B136" hidden="1">#REF!</definedName>
    <definedName name="BO1EE97FD4CEAE4A809150A88F39B6136F" hidden="1">#REF!</definedName>
    <definedName name="BO1EE9DFA14D674FDEB2321044438531EB" hidden="1">#REF!</definedName>
    <definedName name="BO1F06FEF1409E4E36ACD4FE275EC00870" hidden="1">#REF!</definedName>
    <definedName name="BO1F32A0CDC7C84FC9B20D713F05515A06" hidden="1">#REF!</definedName>
    <definedName name="BO1F345ED6942C4093A5AE137CC1FEADF8" hidden="1">#REF!</definedName>
    <definedName name="BO1F4994DE95CA4D9289FB1535965B4F68" hidden="1">#REF!</definedName>
    <definedName name="BO1F4F5D9C5A2B46A3996EA461E49C84B3" hidden="1">#REF!</definedName>
    <definedName name="BO1F597E9492624903A08F839FD646846E" hidden="1">#REF!</definedName>
    <definedName name="BO1F65BE1640954B39A8D3171DF6578C30" hidden="1">#REF!</definedName>
    <definedName name="BO1F68B837E587484D8ABDE6195F25911F" hidden="1">#REF!</definedName>
    <definedName name="BO1F6C0A10DE5146EF890DCA424683E63F" hidden="1">#REF!</definedName>
    <definedName name="BO1F7668034F3E4F6E93ACFE2AC6E60FBC" hidden="1">#REF!</definedName>
    <definedName name="BO1F79195BE06E4FB7A22715E8DD8407E9" hidden="1">#REF!</definedName>
    <definedName name="BO1F811E6764B94EB5824A363AC351F3F7" hidden="1">#REF!</definedName>
    <definedName name="BO1F81AA175CC845B9AA358053F405EF5B" hidden="1">#REF!</definedName>
    <definedName name="BO1F853E6B45B24337ADA2030ABBCA6F41" hidden="1">#REF!</definedName>
    <definedName name="BO1FA340E915674CA7A61CDFD8C48E0405" hidden="1">#REF!</definedName>
    <definedName name="BO1FA3EDA2DF444967956F6332DF78C853" hidden="1">#REF!</definedName>
    <definedName name="BO1FADEFA17682480C8F3752A1A38C6847" hidden="1">#REF!</definedName>
    <definedName name="BO1FBAFD2DB2D741EC92F31D5FD79EB577" hidden="1">#REF!</definedName>
    <definedName name="BO1FBBB8FA7F8643B4BDAFFDBB37FE8BBA" hidden="1">#REF!</definedName>
    <definedName name="BO1FC859689CFA4BC7B8593F866913D699" hidden="1">#REF!</definedName>
    <definedName name="BO1FCC00EEFFB541CFA83A2BB1ABAB31B4" hidden="1">#REF!</definedName>
    <definedName name="BO1FE62273A81245AB8AD3242B18700219" hidden="1">#REF!</definedName>
    <definedName name="BO1FE7F18A9CBB42308FA1B9ED484C81E4" hidden="1">#REF!</definedName>
    <definedName name="BO1FE8111D6B974B5C902D090D29604274" hidden="1">#REF!</definedName>
    <definedName name="BO1FFCDCC7A2514F9F858154B5F2AE6A96" hidden="1">#REF!</definedName>
    <definedName name="BO2002367AFEBE455D86313BEAF82DE8B4" hidden="1">#REF!</definedName>
    <definedName name="BO2008BB131B7A4CE9BD4CAE10B25C9F5F" hidden="1">#REF!</definedName>
    <definedName name="BO2011EFFBE67C4631A49D886DFC54C14F" hidden="1">#REF!</definedName>
    <definedName name="BO2014EED8B55F4DD4A61A3CC51CD51082" hidden="1">#REF!</definedName>
    <definedName name="BO2018123F803B48C095D356330CE85F19" hidden="1">#REF!</definedName>
    <definedName name="BO201FFE3BCCA048DA9B874AC17B8C5B93" hidden="1">#REF!</definedName>
    <definedName name="BO202280937AB84B45A1052E28FE880E52" hidden="1">#REF!</definedName>
    <definedName name="BO203DAF9786574E9991C7EF7E3656167B" hidden="1">#REF!</definedName>
    <definedName name="BO20443F5DE4AA44C09A8E599BB00AFA13" hidden="1">#REF!</definedName>
    <definedName name="BO204ED6F8DC734DB58C0DF008DE28E426" hidden="1">#REF!</definedName>
    <definedName name="BO20664C27023B4380861C66263609EC58" hidden="1">#REF!</definedName>
    <definedName name="BO2069F40EB47548718C74F6D351E5A3A2" hidden="1">#REF!</definedName>
    <definedName name="BO208120894F764CB8B848C6F97A81ACAF" hidden="1">#REF!</definedName>
    <definedName name="BO2086E214821A485B83A6A16E9826AF08" hidden="1">#REF!</definedName>
    <definedName name="BO208B9990884746D0BAE5EACB7024DCC3" hidden="1">#REF!</definedName>
    <definedName name="BO209462E3B4174975A22E774BF2FB0F6A" hidden="1">#REF!</definedName>
    <definedName name="BO20A314BE87BC453E830C9E3965C0779C" hidden="1">#REF!</definedName>
    <definedName name="BO20AF656591624B2B8AB0B6794CB3D98C" hidden="1">#REF!</definedName>
    <definedName name="BO20B89F6F10DF419287359D78A2DE9C10" hidden="1">#REF!</definedName>
    <definedName name="BO20BC4C356FB2401F86B4D9C7EED4B792" hidden="1">#REF!</definedName>
    <definedName name="BO20BC9BA45BA343B6815DE346A001917F" hidden="1">#REF!</definedName>
    <definedName name="BO20C28FCCECC54F1483CF224808535C51" hidden="1">#REF!</definedName>
    <definedName name="BO20CB96F3BE28444CB0D4378096D4FC21" hidden="1">#REF!</definedName>
    <definedName name="BO20CDF70F06C5418AAA0B1BAF2F4EED86" hidden="1">#REF!</definedName>
    <definedName name="BO20D28BB88761461A86C63645DBC41010" hidden="1">#REF!</definedName>
    <definedName name="BO20D9C5F41C5C433D998F47188B2839F5" hidden="1">#REF!</definedName>
    <definedName name="BO20E7B4CFA3CD4006B9E2395852BE1C7F" hidden="1">#REF!</definedName>
    <definedName name="BO20EE0CFC5C7E41FBA8F0F11BF2D809C0" hidden="1">#REF!</definedName>
    <definedName name="BO20EEE0C758A74006A3387E0E4D373D58" hidden="1">#REF!</definedName>
    <definedName name="BO20F2447D3A724197A2B12DCD33ACB51C" hidden="1">#REF!</definedName>
    <definedName name="BO20FD539AEF8C4FEDBB2C8BC04E541715" hidden="1">#REF!</definedName>
    <definedName name="BO2102C3D07E4245AD8B7FB17FB029A3B6" hidden="1">#REF!</definedName>
    <definedName name="BO210D4495CB6F40C8B947D302281476BF" hidden="1">#REF!</definedName>
    <definedName name="BO2110FFB30853448AB83E02C71E28C0A2" hidden="1">#REF!</definedName>
    <definedName name="BO21142E4386584F2CBAD71E48AF31997E" hidden="1">#REF!</definedName>
    <definedName name="BO21171FCD17C8442EADA27B36B0F33789" hidden="1">#REF!</definedName>
    <definedName name="BO212CF1B5FC924D14A73D6FB702277504" hidden="1">#REF!</definedName>
    <definedName name="BO212F264B0BCF45D190EDB276ABD51C17" hidden="1">#REF!</definedName>
    <definedName name="BO215E9992CD3F4B2581D188D9536D3EBB" hidden="1">#REF!</definedName>
    <definedName name="BO2161AB5FA16A4D6EB183DC8BC00F9883" hidden="1">#REF!</definedName>
    <definedName name="BO21636979741647A59ED46303057BF2AA" hidden="1">#REF!</definedName>
    <definedName name="BO2168D252ED2043F99BE68314ED963A53" hidden="1">#REF!</definedName>
    <definedName name="BO216F4E03BAFB4E33A69CF60CD716473C" hidden="1">#REF!</definedName>
    <definedName name="BO217572E54E044998B54ADD888335F272" hidden="1">#REF!</definedName>
    <definedName name="BO217FA1F03CF541CDA9F55D706D410FD5" hidden="1">#REF!</definedName>
    <definedName name="BO21A669C2BA1C4E67BCE2954D4422AD67" hidden="1">#REF!</definedName>
    <definedName name="BO21A9693019B346D4B57DEB43E48B9894" hidden="1">#REF!</definedName>
    <definedName name="BO21ADB7EB94224890B409EFF12199825E" hidden="1">#REF!</definedName>
    <definedName name="BO21AFC0B3D231481695C265C26BA3D577" hidden="1">#REF!</definedName>
    <definedName name="BO21B4DDCEB5914EEE896F96512F9F89A7" hidden="1">#REF!</definedName>
    <definedName name="BO21B94BA03EE8470C8BD9CE22003203AD" hidden="1">#REF!</definedName>
    <definedName name="BO21BBD3F2B5D842F89BDBD899FBF17474" hidden="1">#REF!</definedName>
    <definedName name="BO21CC4ED3AB9F4F43AE65785FC2C64A8B" hidden="1">#REF!</definedName>
    <definedName name="BO21D6328E5FD342C2AECE5F5143AEED62" hidden="1">#REF!</definedName>
    <definedName name="BO21F279394EE1426295B269ACE076A7C4" hidden="1">#REF!</definedName>
    <definedName name="BO21F3153249994AA09F21FA0576DB17A7" hidden="1">#REF!</definedName>
    <definedName name="BO220131A73B68464FAA4BA29B411F14B8" hidden="1">#REF!</definedName>
    <definedName name="BO22016D2CA754471FA46C1FEC937162E9" hidden="1">#REF!</definedName>
    <definedName name="BO220A430123134076ADB407C5C87508C2" hidden="1">#REF!</definedName>
    <definedName name="BO2214D922407045CC8F6ED480E09F3639" hidden="1">#REF!</definedName>
    <definedName name="BO221C78B011E04B32B935A765BE25C1A6" hidden="1">#REF!</definedName>
    <definedName name="BO223B35D05B3D4737BB6ADE63AAD82B80" hidden="1">#REF!</definedName>
    <definedName name="BO224B7C26F5FF41F39227FE47BEAA06F4" hidden="1">#REF!</definedName>
    <definedName name="BO224C9A6895C142FF8825C159CB63AB56" hidden="1">#REF!</definedName>
    <definedName name="BO224CB3BB55164F47916E768CF134DD86" hidden="1">#REF!</definedName>
    <definedName name="BO224F74F4F9B44CB487B0447C81E723E8" hidden="1">#REF!</definedName>
    <definedName name="BO22509658301A4F12A8DED034DC83BB53" hidden="1">#REF!</definedName>
    <definedName name="BO22524626E44241239725DC3E65D688A6" hidden="1">#REF!</definedName>
    <definedName name="BO22540ADCA8B84DB9B0FD7A982A3905D0" hidden="1">#REF!</definedName>
    <definedName name="BO225664DC3CA84F0DB3A43CCE1C383BA6" hidden="1">#REF!</definedName>
    <definedName name="BO2259D203C02D4B0EBF530DC8280DAF3E" hidden="1">#REF!</definedName>
    <definedName name="BO225B67966B30403A8B5B9A9A966FD6A7" hidden="1">#REF!</definedName>
    <definedName name="BO225F12E9D7D141BC86370F3878B29D14" hidden="1">#REF!</definedName>
    <definedName name="BO22623EA194654025AFC2F8D153933E60" hidden="1">#REF!</definedName>
    <definedName name="BO22705F2A1E3E41E2AD0BD4E30DF9234A" hidden="1">#REF!</definedName>
    <definedName name="BO2272CD4BB8BF463BA5A281C56415CD3B" hidden="1">#REF!</definedName>
    <definedName name="BO227B642912AE4A3F89366F05B9DA00F4" hidden="1">#REF!</definedName>
    <definedName name="BO227C3D5104D64319BB25FE0F9A797637" hidden="1">#REF!</definedName>
    <definedName name="BO228417E297A64771A8F45541A421902D" hidden="1">#REF!</definedName>
    <definedName name="BO228DC106213B4CBAA30E5C1B5137AB96" hidden="1">#REF!</definedName>
    <definedName name="BO229B7380DDAF45D298DCF3B0F282B0CE" hidden="1">#REF!</definedName>
    <definedName name="BO22ADCFE373D645C3816C8F3B6240CEC5" hidden="1">#REF!</definedName>
    <definedName name="BO22AE580037AF4D05BBD14B693CEB4696" hidden="1">#REF!</definedName>
    <definedName name="BO22C0A472C2A4404991E9427B8119C8DA" hidden="1">#REF!</definedName>
    <definedName name="BO22C9FD61444D44C28BF8581A51A932D9" hidden="1">#REF!</definedName>
    <definedName name="BO22D0ED4DCD1F47439B91F5B725C3CFE5" hidden="1">#REF!</definedName>
    <definedName name="BO22EF9F1240F74B85BB855930378E1C21" hidden="1">#REF!</definedName>
    <definedName name="BO22FA06C7A81D404F956D509CA9E21EA7" hidden="1">#REF!</definedName>
    <definedName name="BO22FFEB8B85834585A480450A1EDF415E" hidden="1">#REF!</definedName>
    <definedName name="BO231F55DD53C64DB9B751BB111B83E5DF" hidden="1">#REF!</definedName>
    <definedName name="BO23204FA4F8E34A65854C5E6C4EFD753E" hidden="1">#REF!</definedName>
    <definedName name="BO232551D1234D465EB3D451BA16BCDE96" hidden="1">#REF!</definedName>
    <definedName name="BO2327A275B05A4FC9853FC1B46BAE2AF8" hidden="1">#REF!</definedName>
    <definedName name="BO23446228B17F4A0C8B5AB1891ECC8787" hidden="1">#REF!</definedName>
    <definedName name="BO23469B11E28E4FCD9F308720136EF501" hidden="1">#REF!</definedName>
    <definedName name="BO23479F0C719A4B1BA8CED9E27BA5DEEF" hidden="1">#REF!</definedName>
    <definedName name="BO23576A1C5FC44B5E8C45C6F7C1F7A414" hidden="1">#REF!</definedName>
    <definedName name="BO236102A944BB40F8BAE8917B6560765F" hidden="1">#REF!</definedName>
    <definedName name="BO237B2AC0A65F402B93184D61EEED4BE7" hidden="1">#REF!</definedName>
    <definedName name="BO2385E35B1FCF4E42BB5D3C61C18019E9" hidden="1">#REF!</definedName>
    <definedName name="BO238DD19B7A1E487497253B68F6DAFEF0" hidden="1">#REF!</definedName>
    <definedName name="BO239DABE1FDA34665BA3A9D14D5AC9BF6" hidden="1">#REF!</definedName>
    <definedName name="BO23A6F4D8B33644388651A5569993A0BA" hidden="1">#REF!</definedName>
    <definedName name="BO23C1389BFA524F1E9E8E4215265E18D2" hidden="1">#REF!</definedName>
    <definedName name="BO23C52D7B67B14D85899786180D6EB8E6" hidden="1">#REF!</definedName>
    <definedName name="BO23D2C5CF6E9C4DFB9A26DD66A7F0F177" hidden="1">#REF!</definedName>
    <definedName name="BO23D2CC32079C441F84B39932F67F0EFA" hidden="1">#REF!</definedName>
    <definedName name="BO23D84C51EA774714B4B56FDC0A526584" hidden="1">#REF!</definedName>
    <definedName name="BO23DB9C53BD4E44EF88EAE819B1E87F72" hidden="1">#REF!</definedName>
    <definedName name="BO23E2FA1C4EEC4BAB9EDED9BCBB0CB23B" hidden="1">#REF!</definedName>
    <definedName name="BO23E3E4892DA54E869901121D963F6E3F" hidden="1">#REF!</definedName>
    <definedName name="BO23E76B8B71D847C4BF6FEC7320E5D0E9" hidden="1">#REF!</definedName>
    <definedName name="BO23E7CFF3958F441ABF93D6CB3C4E0BF9" hidden="1">#REF!</definedName>
    <definedName name="BO23FCDD028CDF4CC5926A8C058658A05C" hidden="1">#REF!</definedName>
    <definedName name="BO23FE62367C5E4AFF905053608A2339AC" hidden="1">#REF!</definedName>
    <definedName name="BO240E95406B1E44609D8B5FAE74B61566" hidden="1">#REF!</definedName>
    <definedName name="BO2414DE3485BF4FECB5CEB296FFF23A4F" hidden="1">#REF!</definedName>
    <definedName name="BO241BDF0405214486AD409062206F3550" hidden="1">#REF!</definedName>
    <definedName name="BO2420282B62C24A36B3E8D6AE4E73BB68" hidden="1">#REF!</definedName>
    <definedName name="BO2429CF2CFAB245E5B578C795D32E381E" hidden="1">#REF!</definedName>
    <definedName name="BO243AF00CCFDC471F85298B8C818F1B39" hidden="1">#REF!</definedName>
    <definedName name="BO244722B34E824510883E7E578B295169" hidden="1">#REF!</definedName>
    <definedName name="BO2450E48DAA144A00B30F658F52E09859" hidden="1">#REF!</definedName>
    <definedName name="BO245772123B324BA38C70F62D1917C176" hidden="1">#REF!</definedName>
    <definedName name="BO245875826FB94DC0AED87917C2E6BCCB" hidden="1">#REF!</definedName>
    <definedName name="BO246006F9AF124E2F90BADCC82A38403B" hidden="1">#REF!</definedName>
    <definedName name="BO246337A95867402E8C557FDA3E3033B1" hidden="1">#REF!</definedName>
    <definedName name="BO2468B2E515F345B58892AD8D322B9760" hidden="1">#REF!</definedName>
    <definedName name="BO246A62F16ED1490DA8BA4B2199989AD6" hidden="1">#REF!</definedName>
    <definedName name="BO247DC811044D42B580315B0473C92504" hidden="1">#REF!</definedName>
    <definedName name="BO247E2D34051A403DBFFD477DED47ACCA" hidden="1">#REF!</definedName>
    <definedName name="BO247FF5A1A29348C494739B35155561A6" hidden="1">#REF!</definedName>
    <definedName name="BO24A0BE3F2ABF470FB68DB9282018278E" hidden="1">#REF!</definedName>
    <definedName name="BO24B2A37E2795405685442C07705EF3B1" hidden="1">#REF!</definedName>
    <definedName name="BO24BCB002DE8140C8A9696E9C985D35D7" hidden="1">#REF!</definedName>
    <definedName name="BO24BEAF587D2A42CABA2387E358D914BD" hidden="1">#REF!</definedName>
    <definedName name="BO24CDDD4311D646009973CC80CD62CC70" hidden="1">#REF!</definedName>
    <definedName name="BO24CF1BB04E064EAE8524BC2BF5A4A886" hidden="1">#REF!</definedName>
    <definedName name="BO24DA92599F8F452584FDDC39B4F35C4D" hidden="1">#REF!</definedName>
    <definedName name="BO24DAF8B8643A4718856A785C35B22F53" hidden="1">#REF!</definedName>
    <definedName name="BO24E1FBBFDC0748DDB1E93D3B4D30307E" hidden="1">#REF!</definedName>
    <definedName name="BO24F1220AEB4744EB85C5309083B2D42E" hidden="1">#REF!</definedName>
    <definedName name="BO24F19A67CF534CCBA0DC339D24F9B107" hidden="1">#REF!</definedName>
    <definedName name="BO24F4DEDF02CE44919174324BC569635E" hidden="1">#REF!</definedName>
    <definedName name="BO2500136670354A3493A5D501655F33F9" hidden="1">#REF!</definedName>
    <definedName name="BO250056F431BD4295A66B28D5723300F4" hidden="1">#REF!</definedName>
    <definedName name="BO25132EB204324A27B2ED46F402D1ABEC" hidden="1">#REF!</definedName>
    <definedName name="BO251509B915724BD8AF275793CDE8D2C4" hidden="1">#REF!</definedName>
    <definedName name="BO25188DB3C45E42D0AD38358591904153" hidden="1">#REF!</definedName>
    <definedName name="BO2528AB0623BF4FA883E405B6AB4CD2DB" hidden="1">#REF!</definedName>
    <definedName name="BO252A67985DEB45C1825C385AD476DC62" hidden="1">#REF!</definedName>
    <definedName name="BO2530FA90DC614D14BACB669B60A9A14D" hidden="1">#REF!</definedName>
    <definedName name="BO2535AA643AF344EB9033ADB42C4045B6" hidden="1">#REF!</definedName>
    <definedName name="BO2535EDD5D2FE4086B688EFF8A0C1C924" hidden="1">#REF!</definedName>
    <definedName name="BO253994D5F39A44C4BD7554F71878224D" hidden="1">#REF!</definedName>
    <definedName name="BO2540E33AB3914DBDAB4067BF4B7A53D6" hidden="1">#REF!</definedName>
    <definedName name="BO2544E0A5283344A2819AB24DE6B3BAA6" hidden="1">#REF!</definedName>
    <definedName name="BO255223DCDF9245938DB8918ECE311F07" hidden="1">#REF!</definedName>
    <definedName name="BO255649B8212D4671865635EA1B9C81D7" hidden="1">#REF!</definedName>
    <definedName name="BO255903EECA3443D0BBC69B7BF23C8B14" hidden="1">#REF!</definedName>
    <definedName name="BO256268075EE7444185D8F41B1C9459BC" hidden="1">#REF!</definedName>
    <definedName name="BO25648B2609364E58B67F701D0C10E977" hidden="1">#REF!</definedName>
    <definedName name="BO2567B21A4D3D4513B345D8F453BA735C" hidden="1">#REF!</definedName>
    <definedName name="BO257BF3732BEC444E8831247C55E2EB4C" hidden="1">#REF!</definedName>
    <definedName name="BO257D9A923D7041C09426324581C485FE" hidden="1">#REF!</definedName>
    <definedName name="BO25806D8F09D14B93958483677CCF5CD9" hidden="1">#REF!</definedName>
    <definedName name="BO25818F899C884E4DB3CE660633237642" hidden="1">#REF!</definedName>
    <definedName name="BO2581E575639A4BB9BC4D4EA9136249AD" hidden="1">#REF!</definedName>
    <definedName name="BO25822DE709F14CEFB1ECC902179E650A" hidden="1">#REF!</definedName>
    <definedName name="BO258AE8D326D646BDBB971E1AF73655B4" hidden="1">#REF!</definedName>
    <definedName name="BO258B8580E85249BCB9282DEB2712D4BB" hidden="1">#REF!</definedName>
    <definedName name="BO259E324FD67740A6A46A550D1DA9A364" hidden="1">#REF!</definedName>
    <definedName name="BO25A14E49C85B4C4D94ACDAD9FE7AAE27" hidden="1">#REF!</definedName>
    <definedName name="BO25B13BD285C346BD866859F37F2FC266" hidden="1">#REF!</definedName>
    <definedName name="BO25BCF5975DC44393BE2AF6DDFB5371B0" hidden="1">#REF!</definedName>
    <definedName name="BO25C07D17DA064BA596DB6255F1C97920" hidden="1">#REF!</definedName>
    <definedName name="BO25CCAB58CC1049618215398DA4BA8E3B" hidden="1">#REF!</definedName>
    <definedName name="BO25D2B87A5F444FCE845E7899A88943B8" hidden="1">#REF!</definedName>
    <definedName name="BO25EC2CCF093B4AB7B236745F61DFA072" hidden="1">#REF!</definedName>
    <definedName name="BO25EC6A9A2EE84E17B4B08967A7580741" hidden="1">#REF!</definedName>
    <definedName name="BO25F70C06DD9F424CAFCC373DB8E3E6D6" hidden="1">#REF!</definedName>
    <definedName name="BO260605B79EA44267AB2EE93E28628519" hidden="1">#REF!</definedName>
    <definedName name="BO262C424790DC4F649869FF6E627ECAA8" hidden="1">#REF!</definedName>
    <definedName name="BO2633C991C1D8468FA10363FC059A0C1F" hidden="1">#REF!</definedName>
    <definedName name="BO2644DE99B1AA41F39BBABFEEE1C67AAC" hidden="1">#REF!</definedName>
    <definedName name="BO2655F6E1DA554C9AACAAE4CD5C7AC003" hidden="1">#REF!</definedName>
    <definedName name="BO266147CD37004BDD8C99700F5D38F44E" hidden="1">#REF!</definedName>
    <definedName name="BO267441240DB247768BF0D4382D1C28B9" hidden="1">#REF!</definedName>
    <definedName name="BO267A240CFA64448BAA4C8D087A1B7412" hidden="1">#REF!</definedName>
    <definedName name="BO267B8CA8728F4E54AE7A7E085FD779D4" hidden="1">#REF!</definedName>
    <definedName name="BO2682F9CA0E384B248874A2C98D6F122E" hidden="1">#REF!</definedName>
    <definedName name="BO268D57B3CD594B8A9EE3D127D5CFB3B6" hidden="1">#REF!</definedName>
    <definedName name="BO26A14F6C08C94FC3B85DA6BA2BD897AB" hidden="1">#REF!</definedName>
    <definedName name="BO26A4F94DB3CF492B9145F50D011A8084" hidden="1">#REF!</definedName>
    <definedName name="BO26A60DD9E82D4D53997BF6CA9F74AAFA" hidden="1">#REF!</definedName>
    <definedName name="BO26BE7B80FC7B480FA9ACC9DB4E8CC6F8" hidden="1">#REF!</definedName>
    <definedName name="BO26C994D07CF947D28703E1C8942B0C66" hidden="1">#REF!</definedName>
    <definedName name="BO26CB33A0D9E6416F9550577A86C8FB14" hidden="1">#REF!</definedName>
    <definedName name="BO26CC77685B144B23907935E31D6DD946" hidden="1">#REF!</definedName>
    <definedName name="BO26CE8986F23044B4A2DDD5E884BAE222" hidden="1">#REF!</definedName>
    <definedName name="BO26D1ADD0883446448271A2130B9D327C" hidden="1">#REF!</definedName>
    <definedName name="BO26E49351681F498292AB878183C59F87" hidden="1">#REF!</definedName>
    <definedName name="BO26ED67191CD34D4F841E2289C4CF1606" hidden="1">#REF!</definedName>
    <definedName name="BO26EEF28ECA6346D09BD038A025C47A8D" hidden="1">#REF!</definedName>
    <definedName name="BO26F19E496CF54BC6BDFC94AC08FC4BF8" hidden="1">#REF!</definedName>
    <definedName name="BO26F9D814F2DA4284AA4E8AD00A7311F0" hidden="1">#REF!</definedName>
    <definedName name="BO27070E74580B472595235986A9052CF5" hidden="1">#REF!</definedName>
    <definedName name="BO270EFBF2319B4183842A9EBE0F4C4B1F" hidden="1">#REF!</definedName>
    <definedName name="BO271C1906AC67498E840B582241255BDC" hidden="1">#REF!</definedName>
    <definedName name="BO271C9632ABC1426FB3F42FB21D88D227" hidden="1">#REF!</definedName>
    <definedName name="BO272DFB6EDE8A49FAA425E4BBB7A3CB99" hidden="1">#REF!</definedName>
    <definedName name="BO273212F0AB9E4106876864589614ED5F" hidden="1">#REF!</definedName>
    <definedName name="BO273C048367484A8EBBB7CB8A2DE00AE0" hidden="1">#REF!</definedName>
    <definedName name="BO273CC006962B467B907559BFD30C66C8" hidden="1">#REF!</definedName>
    <definedName name="BO274DABC4390C435F9E5BD2BC81F88BFC" hidden="1">#REF!</definedName>
    <definedName name="BO275A098157644BDB86359242B1276CE2" hidden="1">#REF!</definedName>
    <definedName name="BO275FAF10869E4525A1B60B295A29417B" hidden="1">#REF!</definedName>
    <definedName name="BO2768A47F3FA24939A0639F5BE99621CF" hidden="1">#REF!</definedName>
    <definedName name="BO2769BCCD57E940D0A5B88F7049E11589" hidden="1">#REF!</definedName>
    <definedName name="BO2783FC7DB61B48F6A01C82234FED4FBC" hidden="1">#REF!</definedName>
    <definedName name="BO278DC6DF925343398CAD250E867ADCE4" hidden="1">#REF!</definedName>
    <definedName name="BO27A8299EC8B141B392EF33F9AA9AF760" hidden="1">#REF!</definedName>
    <definedName name="BO27A9F5161CA14935B46B86793A04388A" hidden="1">#REF!</definedName>
    <definedName name="BO27AB7A13FFF248D5BAC7BAEB8EEA1825" hidden="1">#REF!</definedName>
    <definedName name="BO27AF07904A804878B25FF734EBB68E9B" hidden="1">#REF!</definedName>
    <definedName name="BO27B102B2DC6042BE8C8907616BF905AC" hidden="1">#REF!</definedName>
    <definedName name="BO27B2D4AF025C4340876F6875D5C8D83C" hidden="1">#REF!</definedName>
    <definedName name="BO27CBCE1D16C7470CA08A7949C65CB09F" hidden="1">#REF!</definedName>
    <definedName name="BO27CE53BDAE584F3C8E3450C16E3A1C28" hidden="1">#REF!</definedName>
    <definedName name="BO27D825EBCC7A449799559763A878CC89" hidden="1">#REF!</definedName>
    <definedName name="BO27DF023B422E4D6DA3CE174346BC1D3A" hidden="1">#REF!</definedName>
    <definedName name="BO27E46FF7431347AEB74AD406445501EB" hidden="1">#REF!</definedName>
    <definedName name="BO28025EC03FE74E45ACF16BBC382E0689" hidden="1">#REF!</definedName>
    <definedName name="BO280E4DA1746A4DF7AA1E88C62C0FEA95" hidden="1">#REF!</definedName>
    <definedName name="BO2814E82F186B46F7B5990CD39E465568" hidden="1">#REF!</definedName>
    <definedName name="BO28195F879B204DC98697DC0605C32EF6" hidden="1">#REF!</definedName>
    <definedName name="BO281C36FDFA294F6AB08B13ABFA0EE550" hidden="1">#REF!</definedName>
    <definedName name="BO281D5CBE2E0F427CB66F10E9044E2084" hidden="1">#REF!</definedName>
    <definedName name="BO282C43675E854EC190A85274736C9470" hidden="1">#REF!</definedName>
    <definedName name="BO282D5EFD7C0045E1B8F8A79AF106786B" hidden="1">#REF!</definedName>
    <definedName name="BO282F94B64CD54D8494E8B2AD22CA4AAF" hidden="1">#REF!</definedName>
    <definedName name="BO283DEBCE9A70477FA5B8EA0CDA921FC2" hidden="1">#REF!</definedName>
    <definedName name="BO284A4786A19A470C96C027D59D611040" hidden="1">#REF!</definedName>
    <definedName name="BO284BB79BD3684D00A5747901D35DD177" hidden="1">#REF!</definedName>
    <definedName name="BO284E177DB46D431CB69C3F13F900D971" hidden="1">#REF!</definedName>
    <definedName name="BO28586D1FD55B445CB405A0BA9C02C76D" hidden="1">#REF!</definedName>
    <definedName name="BO28592283FAF944E496796D9A58850097" hidden="1">#REF!</definedName>
    <definedName name="BO285CCD1E28AF4DD8AAE1491D71538F6E" hidden="1">#REF!</definedName>
    <definedName name="BO2866A83CFE5F4D09A2E54B6A31BF403C" hidden="1">#REF!</definedName>
    <definedName name="BO286EDD72755D4C278BE95CBF0D7D6078" hidden="1">#REF!</definedName>
    <definedName name="BO287BD997E15045DFBC603A597B980892" hidden="1">#REF!</definedName>
    <definedName name="BO287E0A7CE5404A4195E54FBE04A86D8D" hidden="1">#REF!</definedName>
    <definedName name="BO287E96F207F649A9A51EF2100BD258C5" hidden="1">#REF!</definedName>
    <definedName name="BO28819BC2F12049538D36419E39FD4CF1" hidden="1">#REF!</definedName>
    <definedName name="BO2885513A06854F1F841EED32FE2C40E5" hidden="1">#REF!</definedName>
    <definedName name="BO288880080AC2476793AFB2966B53B5D0" hidden="1">#REF!</definedName>
    <definedName name="BO289B2799EA734FE58D04AA15DBF8F758" hidden="1">#REF!</definedName>
    <definedName name="BO289CCE8778AD4C238F69BE6014D9A0C8" hidden="1">#REF!</definedName>
    <definedName name="BO289EC37CC69B45ECAE6CA38CC47118E9" hidden="1">#REF!</definedName>
    <definedName name="BO28A180E8EE724B6B929F9629DBB84278" hidden="1">#REF!</definedName>
    <definedName name="BO28A803BBD9B0432B95A4ED57F42E34EC" hidden="1">#REF!</definedName>
    <definedName name="BO28B33186EA7B41C081BD753CDA930E82" hidden="1">#REF!</definedName>
    <definedName name="BO28D2D6C2D2954FC49A404DBC8124D3C7" hidden="1">#REF!</definedName>
    <definedName name="BO28DABF3C701F4530B6B76AA3AC8BED8C" hidden="1">#REF!</definedName>
    <definedName name="BO28E3317BE2F549919C97F23C1C1DAC08" hidden="1">#REF!</definedName>
    <definedName name="BO28EC7A65F0D948988BD7761D98D52589" hidden="1">#REF!</definedName>
    <definedName name="BO28EFD763EB99422B95A50205C06ECF99" hidden="1">#REF!</definedName>
    <definedName name="BO28F498D02209456C9E0B91B6E121474A" hidden="1">#REF!</definedName>
    <definedName name="BO28FD20231E42419997DE1A3CEC107FC3" hidden="1">#REF!</definedName>
    <definedName name="BO2915169449E34CD5AA5C2AFDE1008A58" hidden="1">#REF!</definedName>
    <definedName name="BO291BCCE8DFD34953A7286ACAB6FA2225" hidden="1">#REF!</definedName>
    <definedName name="BO29288EF7BD314448A5B93FD821E92647" hidden="1">#REF!</definedName>
    <definedName name="BO2939D8160DB946C8885B66D797871B76" hidden="1">#REF!</definedName>
    <definedName name="BO2940462322244C559D3CED5A7BD6D870" hidden="1">#REF!</definedName>
    <definedName name="BO2942281A98064D2084F40CE1A85B82BD" hidden="1">#REF!</definedName>
    <definedName name="BO2944D3DA04FC4FF697A3F11274E6791A" hidden="1">#REF!</definedName>
    <definedName name="BO294EA700EEF445DEA1FB98EF2DD82C35" hidden="1">#REF!</definedName>
    <definedName name="BO295C130BA0E84C1CBDA1453016A10A9D" hidden="1">#REF!</definedName>
    <definedName name="BO295F9FE109EB4CEDA084754530D49073" hidden="1">#REF!</definedName>
    <definedName name="BO2962C0C1424B406C9FA30EF820130ECF" hidden="1">#REF!</definedName>
    <definedName name="BO2963F2BF3D6040878DC937ADF6BAFE63" hidden="1">#REF!</definedName>
    <definedName name="BO2966BA11DC83496889E1AB5E8FA59C2E" hidden="1">#REF!</definedName>
    <definedName name="BO2966F35A161D4964882E0DB744BC1DE8" hidden="1">#REF!</definedName>
    <definedName name="BO296833634A9B4672BE0422D305B61267" hidden="1">#REF!</definedName>
    <definedName name="BO296D9309D709417ABF2C932E1DC7BB36" hidden="1">#REF!</definedName>
    <definedName name="BO296DA3F68AB445C1ADD4FCF20FFA5BF1" hidden="1">#REF!</definedName>
    <definedName name="BO296FEF3A18574C759DD8A8E3437A35B5" hidden="1">#REF!</definedName>
    <definedName name="BO2980D6BADFAE4A4EBE6E2F9490CF6586" hidden="1">#REF!</definedName>
    <definedName name="BO298AF08A84F64D7CB4CF64BE8D94002C" hidden="1">#REF!</definedName>
    <definedName name="BO298AF46366F342E4B482239E5B619F91" hidden="1">#REF!</definedName>
    <definedName name="BO299AF7E60A2946A5A5D23656ABC35BEB" hidden="1">#REF!</definedName>
    <definedName name="BO299BFA80898D4E158D41013F81576C20" hidden="1">#REF!</definedName>
    <definedName name="BO299FA6DEBD944AB28B063F067AC14E6C" hidden="1">#REF!</definedName>
    <definedName name="BO29AA0CD9BCEF469D98AABD634626F152" hidden="1">#REF!</definedName>
    <definedName name="BO29D68027EC1940039B65E800E24117A5" hidden="1">#REF!</definedName>
    <definedName name="BO29E0B021CC97465C95629BBFB83C2AB4" hidden="1">#REF!</definedName>
    <definedName name="BO29E8CAF8F8754AA9BE5CA27A75F6EBC9" hidden="1">#REF!</definedName>
    <definedName name="BO29EC24567BD74CBEB8F65280111B799D" hidden="1">#REF!</definedName>
    <definedName name="BO29F9BB055E1B4A4CA877CA10FFB908AD" hidden="1">#REF!</definedName>
    <definedName name="BO2A00A3A4D5D14AD0A1686D91EE4501E2" hidden="1">#REF!</definedName>
    <definedName name="BO2A038D3FBB6049F5AD358B5247132BAA" hidden="1">#REF!</definedName>
    <definedName name="BO2A039689EA50464BB34D0FE64C1E3CED" hidden="1">#REF!</definedName>
    <definedName name="BO2A0673AED9A24A38ADECD759B235E0E5" hidden="1">#REF!</definedName>
    <definedName name="BO2A070FDA294B457584475E3C41205C59" hidden="1">#REF!</definedName>
    <definedName name="BO2A181212F47C4A19A26F3098E2790A7F" hidden="1">#REF!</definedName>
    <definedName name="BO2A23436DE5384D9AA24D945EAC10C020" hidden="1">#REF!</definedName>
    <definedName name="BO2A4219823CE244E282C18104BA2EFDE0" hidden="1">#REF!</definedName>
    <definedName name="BO2A5149FF228643318F859FA14DC40811" hidden="1">#REF!</definedName>
    <definedName name="BO2A55B97462154F8CAE73CCC87C02D2C5" hidden="1">#REF!</definedName>
    <definedName name="BO2A6087BD4246435C997035BA5E3CA60D" hidden="1">#REF!</definedName>
    <definedName name="BO2A6409FCCEC44577A351C8E060006EF6" hidden="1">#REF!</definedName>
    <definedName name="BO2A663C0DF8644A83B7A8963A9536D507" hidden="1">#REF!</definedName>
    <definedName name="BO2A6DFB4A39904E9C9D7F6A83FA7355C4" hidden="1">#REF!</definedName>
    <definedName name="BO2A745DAFC2114CAB94D6E84BE9657242" hidden="1">#REF!</definedName>
    <definedName name="BO2A7B0988C9444B44A72C0CD8348E9D74" hidden="1">#REF!</definedName>
    <definedName name="BO2A84F9ACE0C54DD986DEF736E91100D4" hidden="1">#REF!</definedName>
    <definedName name="BO2A87B1F673D947459D421CEC0CDE4888" hidden="1">#REF!</definedName>
    <definedName name="BO2A8C7F2ED91C4786B376DB4F689F3C17" hidden="1">#REF!</definedName>
    <definedName name="BO2A924F0DDF9D4AC2BB5D6647F25E083D" hidden="1">#REF!</definedName>
    <definedName name="BO2A92A13DAA12427EAA7E921A14E247A0" hidden="1">#REF!</definedName>
    <definedName name="BO2AA59564527E4D898E8A1250DC54CB1F" hidden="1">#REF!</definedName>
    <definedName name="BO2AAE4BA0AAFF423CB8288435ECDB458F" hidden="1">#REF!</definedName>
    <definedName name="BO2AB5E646F8C44B44B271189D1F5C6559" hidden="1">#REF!</definedName>
    <definedName name="BO2AC4A3FCCA7940F7BC40745AB7878E5F" hidden="1">#REF!</definedName>
    <definedName name="BO2AC4E19D406E48CE9A6B88EE82233529" hidden="1">#REF!</definedName>
    <definedName name="BO2AD76726D01343FB9A04968FD6321831" hidden="1">#REF!</definedName>
    <definedName name="BO2AEF3FA3F4944C7BB0090B3073D184C4" hidden="1">#REF!</definedName>
    <definedName name="BO2AF29D1D67094FBCAE521D429D7A96AE" hidden="1">#REF!</definedName>
    <definedName name="BO2B1A13972D554934BC0E3CA3B21620D0" hidden="1">#REF!</definedName>
    <definedName name="BO2B20EF96DE2B479E83EB1B43D6F4FD08" hidden="1">#REF!</definedName>
    <definedName name="BO2B213C3B8AFC4D0585F0A5C0999A7A5B" hidden="1">#REF!</definedName>
    <definedName name="BO2B2D193508CC409593CEA6FEFFA8C427" hidden="1">#REF!</definedName>
    <definedName name="BO2B2FB56909994FC2B91ED8F92E015003" hidden="1">#REF!</definedName>
    <definedName name="BO2B4536E3114E4BECBF925712BACAA141" hidden="1">#REF!</definedName>
    <definedName name="BO2B49809EFF5544DB9285EC3D0929D7AD" hidden="1">#REF!</definedName>
    <definedName name="BO2B590710947D441FA73B99B11E3D00FC" hidden="1">#REF!</definedName>
    <definedName name="BO2B65AFF022B940FB85CDD2FF14BE7E1D" hidden="1">#REF!</definedName>
    <definedName name="BO2B6D12DC30B64CF9B727243A4E25B8FE" hidden="1">#REF!</definedName>
    <definedName name="BO2B700B6DF111499BA2513D46B3B6A2AB" hidden="1">#REF!</definedName>
    <definedName name="BO2B733046E3BB46E1ADCC09839314929E" hidden="1">#REF!</definedName>
    <definedName name="BO2B7E3315D5A14C83A8A17197655A745D" hidden="1">#REF!</definedName>
    <definedName name="BO2B8AF599E2DE44A68235A0CC2BA21494" hidden="1">#REF!</definedName>
    <definedName name="BO2B8B2A7120FF4DFD9036567D167E68F1" hidden="1">#REF!</definedName>
    <definedName name="BO2B98E08B0EF24707A08331271225EB13" hidden="1">#REF!</definedName>
    <definedName name="BO2BA82F2E75C2460D8893B9AD4CA17082" hidden="1">#REF!</definedName>
    <definedName name="BO2BB178937D8844068D0D8DFE18F591D6" hidden="1">#REF!</definedName>
    <definedName name="BO2BCAE008CCBF4739BDE16B7D503699F0" hidden="1">#REF!</definedName>
    <definedName name="BO2BD8B6752A1043AFA733ECC4740A1334" hidden="1">#REF!</definedName>
    <definedName name="BO2BDAF5A1465E4FC79C919B762AEC5551" hidden="1">#REF!</definedName>
    <definedName name="BO2BEB62E503444BA78676BCD8F61E60BB" hidden="1">#REF!</definedName>
    <definedName name="BO2BF72539BD6642FCB21CFA455DA1D56F" hidden="1">#REF!</definedName>
    <definedName name="BO2BFBABB09B4447ABBC37F11DB702EE5E" hidden="1">#REF!</definedName>
    <definedName name="BO2BFCDF18BF6041DBB88D405BAF0240D5" hidden="1">#REF!</definedName>
    <definedName name="BO2BFDE14B2DFD49559EE6BB95E1D58AC3" hidden="1">#REF!</definedName>
    <definedName name="BO2C00BCDD3C124EB7808763F3EBDA252E" hidden="1">#REF!</definedName>
    <definedName name="BO2C14B7F41A134033BE83CE8F03C6FFE6" hidden="1">#REF!</definedName>
    <definedName name="BO2C20C375AE8B49DF89D42384E12F211F" hidden="1">#REF!</definedName>
    <definedName name="BO2C2B74736A5D44CC8C8C788F85730966" hidden="1">#REF!</definedName>
    <definedName name="BO2C2F0132D01C4D97AD770B1BFE3CE3A2" hidden="1">#REF!</definedName>
    <definedName name="BO2C30C89090DD4946BA387F17C1FF35FF" hidden="1">#REF!</definedName>
    <definedName name="BO2C344543C75741B780D33DCCB1B98B79" hidden="1">#REF!</definedName>
    <definedName name="BO2C39EFDA07BA4F8F82CD3BA65DD657E2" hidden="1">#REF!</definedName>
    <definedName name="BO2C4243B9ED554523BECE5FCFCD3213F4" hidden="1">#REF!</definedName>
    <definedName name="BO2C4435A2C9C343549B169D1A029220F3" hidden="1">#REF!</definedName>
    <definedName name="BO2C4842EFC4734CB586F8EE5D984671E7" hidden="1">#REF!</definedName>
    <definedName name="BO2C8ADDC21F3D4FCDB648F2391AE419BF" hidden="1">#REF!</definedName>
    <definedName name="BO2C906D94D3D74588972741510BE4C7DA" hidden="1">#REF!</definedName>
    <definedName name="BO2C94A575160D45FB86DFAA9DC556D27C" hidden="1">#REF!</definedName>
    <definedName name="BO2C9657982D734F2182640BDA152448CF" hidden="1">#REF!</definedName>
    <definedName name="BO2C9DAF7471B94515962B9C5DF3A7B3E3" hidden="1">#REF!</definedName>
    <definedName name="BO2CA1481F2C4143BEA5F6F025223E2F9A" hidden="1">#REF!</definedName>
    <definedName name="BO2CA2D5821FBB4209ACF8DE3307879C1C" hidden="1">#REF!</definedName>
    <definedName name="BO2CAFE719EC1A4AECA5B0EB24ACCD3D48" hidden="1">#REF!</definedName>
    <definedName name="BO2CB9A9AA7DA146BCA55A891D09E5DF8F" hidden="1">#REF!</definedName>
    <definedName name="BO2CC3930D757A442786FADD522911EDB6" hidden="1">#REF!</definedName>
    <definedName name="BO2CC595AAC81C4DC0ABB7981E28A1E88C" hidden="1">#REF!</definedName>
    <definedName name="BO2CC6E9730CDA4DA8A023D1B5B3B7B38D" hidden="1">#REF!</definedName>
    <definedName name="BO2CD95128FD26416B96CAC5F0B4800E1A" hidden="1">#REF!</definedName>
    <definedName name="BO2CDE8B29382947EBBBF70F8F9CE9197B" hidden="1">#REF!</definedName>
    <definedName name="BO2CDFD70D152B454AA75DDCDC244263CA" hidden="1">#REF!</definedName>
    <definedName name="BO2CEC7F91039C460088BB7AF68F28A480" hidden="1">#REF!</definedName>
    <definedName name="BO2CF26CD13FC74EC9AC87502210B5F7AE" hidden="1">#REF!</definedName>
    <definedName name="BO2D0B10EEF1F24D18BF2AD745FA3FE594" hidden="1">#REF!</definedName>
    <definedName name="BO2D0C8813D000482DB070283040186163" hidden="1">#REF!</definedName>
    <definedName name="BO2D2AE3653EA0452198642224B600DD11" hidden="1">#REF!</definedName>
    <definedName name="BO2D31F064354C4D14863D02881BE15C07" hidden="1">#REF!</definedName>
    <definedName name="BO2D38088E975F450696D6EF417CBBC299" hidden="1">#REF!</definedName>
    <definedName name="BO2D40FF892F694137B52CCBE0B638931B" hidden="1">#REF!</definedName>
    <definedName name="BO2D4336E99F074321914AF81CA314CD4D" hidden="1">#REF!</definedName>
    <definedName name="BO2D4BCBE37E65492F8FA8F54F66D7F656" hidden="1">#REF!</definedName>
    <definedName name="BO2D4EFBA62699443DAA645D4320476140" hidden="1">#REF!</definedName>
    <definedName name="BO2D53D9C2AE914EACB5AA5EA2319EFE00" hidden="1">#REF!</definedName>
    <definedName name="BO2D598D26783C4E499A02EDBBB78E6536" hidden="1">#REF!</definedName>
    <definedName name="BO2D59CDF36EC04012AAA058A359B92580" hidden="1">#REF!</definedName>
    <definedName name="BO2D649198B2714A5BA4BB5308ABC0D76A" hidden="1">#REF!</definedName>
    <definedName name="BO2D6861A006F8428EB450B58BF98D34C7" hidden="1">#REF!</definedName>
    <definedName name="BO2D6B944B22E74B6A939B90D9AF00ADF0" hidden="1">#REF!</definedName>
    <definedName name="BO2D72C9283194409B90C940E8802EA5FC" hidden="1">#REF!</definedName>
    <definedName name="BO2D7EC2D5380542E2AA8EEDC3B6D15668" hidden="1">#REF!</definedName>
    <definedName name="BO2D7F03B7142745E6816B3EBBB6EDF6BE" hidden="1">#REF!</definedName>
    <definedName name="BO2D89B0439B3E431D8B942CA5071B1170" hidden="1">#REF!</definedName>
    <definedName name="BO2D982F6728F64F78944DCFF5DC775583" hidden="1">#REF!</definedName>
    <definedName name="BO2D98DFDE41494523B6BB8EBAB2C40C55" hidden="1">#REF!</definedName>
    <definedName name="BO2D9B116C993841B7A9430E5B11BBD8BA" hidden="1">#REF!</definedName>
    <definedName name="BO2DA5A632828444CC91A0FB347F646746" hidden="1">#REF!</definedName>
    <definedName name="BO2DB7EB36082A4F1D8FE9A65FFD874503" hidden="1">#REF!</definedName>
    <definedName name="BO2DC1DBEA337F422FBD5922A758979D42" hidden="1">#REF!</definedName>
    <definedName name="BO2DC8777762174E50B9CFB7B131A331D0" hidden="1">#REF!</definedName>
    <definedName name="BO2DCE0DD01A154233BEF9D0DEDEBB0768" hidden="1">#REF!</definedName>
    <definedName name="BO2DEC29F282174599AC7AF2A2D993CFBC" hidden="1">#REF!</definedName>
    <definedName name="BO2DF0E8426B3D4548974D4716A5530D2B" hidden="1">#REF!</definedName>
    <definedName name="BO2DF2366CF0DF4FB4808F93BB4EFE88EA" hidden="1">#REF!</definedName>
    <definedName name="BO2E0011B78AC34576BF8664936A7E23D6" hidden="1">#REF!</definedName>
    <definedName name="BO2E001B74A0AE4724B0A295625BAA7B0F" hidden="1">#REF!</definedName>
    <definedName name="BO2E020C7D344F4DDE808D50ACBF9CA486" hidden="1">#REF!</definedName>
    <definedName name="BO2E062623851546288BFC611D13B22EA4" hidden="1">#REF!</definedName>
    <definedName name="BO2E08AC271607436085B1C6EA9F208DDE" hidden="1">#REF!</definedName>
    <definedName name="BO2E18E16D1D88445FB602BDC552A662F5" hidden="1">#REF!</definedName>
    <definedName name="BO2E1E3679358748FC8821A40A3CFA6C1B" hidden="1">#REF!</definedName>
    <definedName name="BO2E1FFFAD59154833896C7A3C34E3929B" hidden="1">#REF!</definedName>
    <definedName name="BO2E253C6A42D64BD6BD1CF1042C0EF479" hidden="1">#REF!</definedName>
    <definedName name="BO2E2611226CBE4423BA35861A21FD639A" hidden="1">#REF!</definedName>
    <definedName name="BO2E4A5A6031E14AAC8000E9DC50E4AA38" hidden="1">#REF!</definedName>
    <definedName name="BO2E4ADB994F0D4C35A122C860F7D9636B" hidden="1">#REF!</definedName>
    <definedName name="BO2E735D9758CE4BCB9D7CF4D87299E21B" hidden="1">#REF!</definedName>
    <definedName name="BO2E7A196E797E45419013F49BF9452EDC" hidden="1">#REF!</definedName>
    <definedName name="BO2E805185D77C4C9784FF74B22FFEE1C7" hidden="1">#REF!</definedName>
    <definedName name="BO2E80CA31AEF4443A92C94C6BC546581A" hidden="1">#REF!</definedName>
    <definedName name="BO2E80EC1F5ED848568155A8E0E9A8231A" hidden="1">#REF!</definedName>
    <definedName name="BO2E88B46E14F140189AD6E8FCE59CE6EC" hidden="1">#REF!</definedName>
    <definedName name="BO2E9044215D574096AAA32D7FDED92FDD" hidden="1">#REF!</definedName>
    <definedName name="BO2E94D591641140CCA2EC82CEA8193647" hidden="1">#REF!</definedName>
    <definedName name="BO2E97E72FD9F34119AFBE9A283DDFE33A" hidden="1">#REF!</definedName>
    <definedName name="BO2E9A3737EE734A8DBDB2ED92C2D0C54F" hidden="1">#REF!</definedName>
    <definedName name="BO2E9CF78186BB4E038D3C8552952F6FBF" hidden="1">#REF!</definedName>
    <definedName name="BO2EC5919D8ACE4DFAA0BD5584F27D243D" hidden="1">#REF!</definedName>
    <definedName name="BO2EDDC05A38D34E3DB036799084ECD136" hidden="1">#REF!</definedName>
    <definedName name="BO2EDFC1C79F064895A3A696521F237884" hidden="1">#REF!</definedName>
    <definedName name="BO2EE9BB84E8F44155A9F3F9C7647E5BAC" hidden="1">#REF!</definedName>
    <definedName name="BO2EEC91435CC0422B91F8C13E8EB95D96" hidden="1">#REF!</definedName>
    <definedName name="BO2EED197591604132859FEFBAB18E7D95" hidden="1">#REF!</definedName>
    <definedName name="BO2EF3B8CB425D44879BD7F69E61245B06" hidden="1">#REF!</definedName>
    <definedName name="BO2EFA94D4FC2F4623AB9ACF46B3063661" hidden="1">#REF!</definedName>
    <definedName name="BO2EFDCE57BD354E3DA7135E2DEFF8246C" hidden="1">#REF!</definedName>
    <definedName name="BO2F0591F871FD465FB4F775AED594D286" hidden="1">#REF!</definedName>
    <definedName name="BO2F191EDADB7F41A48C9277DDE3878185" hidden="1">#REF!</definedName>
    <definedName name="BO2F1A59D4527E4188BD35EC6D6E0CB42F" hidden="1">#REF!</definedName>
    <definedName name="BO2F24C22ADE6849659FD92C1F1C1F87A8" hidden="1">#REF!</definedName>
    <definedName name="BO2F24D03E487548C9BCBBB2C14E479CD3" hidden="1">#REF!</definedName>
    <definedName name="BO2F24F1AEEEFB466CBC49BD605501F225" hidden="1">#REF!</definedName>
    <definedName name="BO2F27846091C34D639F15FC6D8251F52B" hidden="1">#REF!</definedName>
    <definedName name="BO2F2852EE266043C994DC290C6E227D5E" hidden="1">#REF!</definedName>
    <definedName name="BO2F405189FBA54837B8FBB15B20555115" hidden="1">#REF!</definedName>
    <definedName name="BO2F414A32B1934017AFCDBA552929C32E" hidden="1">#REF!</definedName>
    <definedName name="BO2F49F1D6A5DD4616895863729845AF5B" hidden="1">#REF!</definedName>
    <definedName name="BO2F4D2E52E0824CDE8DA940C58C3235B5" hidden="1">#REF!</definedName>
    <definedName name="BO2F4F78F96F51480093DCC880EF208C89" hidden="1">#REF!</definedName>
    <definedName name="BO2F5506B78B9C4A4098E306FC4EEBC8EB" hidden="1">#REF!</definedName>
    <definedName name="BO2F5B8A906E174598A4E0620A6A127D3E" hidden="1">#REF!</definedName>
    <definedName name="BO2F6D9D94E08446ECA50ADF2D81BB24B8" hidden="1">#REF!</definedName>
    <definedName name="BO2F7DE679A5004BD193897A4B9F4D6100" hidden="1">#REF!</definedName>
    <definedName name="BO2F94A49FBD604702B83B4BD458928162" hidden="1">#REF!</definedName>
    <definedName name="BO2F96B3901C094F578BCA55E40B24B948" hidden="1">#REF!</definedName>
    <definedName name="BO2F9A7E148B464CAEB56D3DDF10D9E4F1" hidden="1">#REF!</definedName>
    <definedName name="BO2F9F72A2E948406488F36B865B5CEF28" hidden="1">#REF!</definedName>
    <definedName name="BO2FA5BA0F51904C24911FDF7FD944447B" hidden="1">#REF!</definedName>
    <definedName name="BO2FBD542208CB4714A6098A79A41568FF" hidden="1">#REF!</definedName>
    <definedName name="BO2FC18D05E282494AA9750308F78FC161" hidden="1">#REF!</definedName>
    <definedName name="BO2FDC182F0F7C4CC1B492FB65915C29B5" hidden="1">#REF!</definedName>
    <definedName name="BO2FDC7241182C4295AA65C09D55E96A84" hidden="1">#REF!</definedName>
    <definedName name="BO2FE9F607F6054900B7E134E2D3D854A2" hidden="1">#REF!</definedName>
    <definedName name="BO2FEC5A6339CC49688B41120669AC18E6" hidden="1">#REF!</definedName>
    <definedName name="BO2FED9BA5DCA34877A3BE5C74B216EBA8" hidden="1">#REF!</definedName>
    <definedName name="BO2FF20CAAE12D4D12AAAE449112B1B6EF" hidden="1">#REF!</definedName>
    <definedName name="BO2FF3E4F743D34AD6BE912CA4C719DDBB" hidden="1">#REF!</definedName>
    <definedName name="BO2FFDEA16EC1C4484B96A9D3F0AB64EE7" hidden="1">#REF!</definedName>
    <definedName name="BO2FFFFC4C19C043789147BED7C4ACA3B6" hidden="1">#REF!</definedName>
    <definedName name="BO300A83A4A0E543618E9C35DE4DB83901" hidden="1">#REF!</definedName>
    <definedName name="BO3018815A831B4058AC8FE863BA19C92B" hidden="1">#REF!</definedName>
    <definedName name="BO30298B7EE4BF4B69A725937371D4FB72" hidden="1">#REF!</definedName>
    <definedName name="BO3033A8AEE55F4714B07162C32585E355" hidden="1">#REF!</definedName>
    <definedName name="BO303E0898818644468F159247CF13BA34" hidden="1">#REF!</definedName>
    <definedName name="BO3045052445A34A52A4DB43BD83BA6F16" hidden="1">#REF!</definedName>
    <definedName name="BO3045BD0AA78E48CF8ABBA1F2B1819A21" hidden="1">#REF!</definedName>
    <definedName name="BO3045D0C5B16A4D72BBC24F93265C8396" hidden="1">#REF!</definedName>
    <definedName name="BO3048D76F6A1C4CD7919543A54166C403" hidden="1">#REF!</definedName>
    <definedName name="BO30490EE654D24281B68432E574F33E0A" hidden="1">#REF!</definedName>
    <definedName name="BO3052EAC98D774477A361A62556BC69AC" hidden="1">#REF!</definedName>
    <definedName name="BO305CBBBF7AF9439389C41CD1538FEDF2" hidden="1">#REF!</definedName>
    <definedName name="BO305D0A912C65483688D502BB3EBAD972" hidden="1">#REF!</definedName>
    <definedName name="BO3065964B124E453BB5A34A1D09DC596A" hidden="1">#REF!</definedName>
    <definedName name="BO30689A622148405582F1172F023D4C66" hidden="1">#REF!</definedName>
    <definedName name="BO30738814555E4C67BAAFBFFBF5B8C6B0" hidden="1">#REF!</definedName>
    <definedName name="BO307D03345B814D16B63676AAA6160FE8" hidden="1">#REF!</definedName>
    <definedName name="BO30833C6B3510429EA392A91A51CBA674" hidden="1">#REF!</definedName>
    <definedName name="BO30835C18BB11466189688FD0203C434A" hidden="1">#REF!</definedName>
    <definedName name="BO3093F8F15DAA4D8DAA5D0262B3497F65" hidden="1">#REF!</definedName>
    <definedName name="BO30B4F607B753443B9DC0F3A91BA6D53D" hidden="1">#REF!</definedName>
    <definedName name="BO30CEB36D86FE4AE4BE293196F80F61DC" hidden="1">#REF!</definedName>
    <definedName name="BO30D0F53ADC294C4CA26C5344FCDADCBE" hidden="1">#REF!</definedName>
    <definedName name="BO30DB8A3EB8764619ABC96BF196279750" hidden="1">#REF!</definedName>
    <definedName name="BO30FBD1E9C73A4B8FAA7B31667140F96D" hidden="1">#REF!</definedName>
    <definedName name="BO310326B56D6C4BBE8C8E2C8BB9C66D79" hidden="1">#REF!</definedName>
    <definedName name="BO310482D072AF45FC84F8648F9D00FE78" hidden="1">#REF!</definedName>
    <definedName name="BO3107D1C5259B443093F6DE02CD787BDF" hidden="1">#REF!</definedName>
    <definedName name="BO311477F9E1514A4CBE02684737A99460" hidden="1">#REF!</definedName>
    <definedName name="BO311CC4552461469E88221661612E80BC" hidden="1">#REF!</definedName>
    <definedName name="BO311D3517EA0F4F279206376408632D90" hidden="1">#REF!</definedName>
    <definedName name="BO311ED374C51346CDBC7130CBBD61CC67" hidden="1">#REF!</definedName>
    <definedName name="BO3129F17B6D024BEDA62FA8247D4907E9" hidden="1">#REF!</definedName>
    <definedName name="BO3156C49C7A0F4B4C9446D767F22C1FE7" hidden="1">#REF!</definedName>
    <definedName name="BO3164FF49162E4373B6D3FA073619F1BB" hidden="1">#REF!</definedName>
    <definedName name="BO3192711DD3734AABB3CCE911B6EEA13C" hidden="1">#REF!</definedName>
    <definedName name="BO319CEE3B5EF140B2ADA490A4F0C5D807" hidden="1">#REF!</definedName>
    <definedName name="BO319E99142A1343D8852123A9441439A6" hidden="1">#REF!</definedName>
    <definedName name="BO319EC81D7036446684A8BB8E5CCF2DDC" hidden="1">#REF!</definedName>
    <definedName name="BO31A1038CC75049F0AB1CE51E1B619C16" hidden="1">#REF!</definedName>
    <definedName name="BO31B1A47B49A94A32B6ED7E2EF5949F6F" hidden="1">#REF!</definedName>
    <definedName name="BO31B20A79929D42A59B4E4CFE2A13FFAD" hidden="1">#REF!</definedName>
    <definedName name="BO31C65682F97F4392ABFD3609236B2607" hidden="1">#REF!</definedName>
    <definedName name="BO31C9D01BFF8B4DCD981D019ADEEA0738" hidden="1">#REF!</definedName>
    <definedName name="BO31E398E313714F57A17485D2EBCE29BC" hidden="1">#REF!</definedName>
    <definedName name="BO31F37778FC8443D3957571B22B422F55" hidden="1">#REF!</definedName>
    <definedName name="BO320530E782194784B55087CEE22CE9BF" hidden="1">#REF!</definedName>
    <definedName name="BO3207DBE4D7874298BE690E9C10BBECB3" hidden="1">#REF!</definedName>
    <definedName name="BO3214DC46F97A4C6A984A27141D429366" hidden="1">#REF!</definedName>
    <definedName name="BO32175041BE9F499A83801D32D9BEF38F" hidden="1">#REF!</definedName>
    <definedName name="BO322529366CFA4D79B8E2CD61DF47EA12" hidden="1">#REF!</definedName>
    <definedName name="BO322586FA12BD41048A05092A0C9388D0" hidden="1">#REF!</definedName>
    <definedName name="BO322C455D5CBD40E2B188AD81F9EF6F65" hidden="1">#REF!</definedName>
    <definedName name="BO323CF02AFF994861A13215F96EF4A2A2" hidden="1">#REF!</definedName>
    <definedName name="BO32430BA100F44F9191CC0DC2B66C9226" hidden="1">#REF!</definedName>
    <definedName name="BO32486E0645B84347882F5E4F926AE0DD" hidden="1">#REF!</definedName>
    <definedName name="BO3252A32376F24F828A0F0D5BBFF96285" hidden="1">#REF!</definedName>
    <definedName name="BO3266B14C51184C6A85F34EA2C8C6A4E7" hidden="1">#REF!</definedName>
    <definedName name="BO326898FA39A44117B23836F21786C7D0" hidden="1">#REF!</definedName>
    <definedName name="BO32706B27880548559BE0D59CEE35DF63" hidden="1">#REF!</definedName>
    <definedName name="BO327969660107469DA3C8855EC57838FC" hidden="1">#REF!</definedName>
    <definedName name="BO327E22BF5F174D29BDAB4F93BDB81531" hidden="1">#REF!</definedName>
    <definedName name="BO3281DA3347A54E5C9E1E3AACEFAD1374" hidden="1">#REF!</definedName>
    <definedName name="BO328EB712935049DF9A3969E52E5AB3D0" hidden="1">#REF!</definedName>
    <definedName name="BO328FC66F462D4B029ED5F4AD7D0149C8" hidden="1">#REF!</definedName>
    <definedName name="BO32A3DA096E5240138482CA2F93C368C4" hidden="1">#REF!</definedName>
    <definedName name="BO32A55FA299774C40A7E35940EFDFBF8C" hidden="1">#REF!</definedName>
    <definedName name="BO32B5F29350DB45938F81C813F579EB0C" hidden="1">#REF!</definedName>
    <definedName name="BO32B89BCCA91C4AB69644AF3B4B9908AF" hidden="1">#REF!</definedName>
    <definedName name="BO32BC949BE2C84FC19FC199C8A4AD133D" hidden="1">#REF!</definedName>
    <definedName name="BO32CE836CC99D410AA3AEFFD9E4E62633" hidden="1">#REF!</definedName>
    <definedName name="BO32D30D5CAEA048318AE8C96DB07197A2" hidden="1">#REF!</definedName>
    <definedName name="BO32D6DF73A54B46D488D06212510087DC" hidden="1">#REF!</definedName>
    <definedName name="BO32DEC30B4D6C446AA4F08429299782BC" hidden="1">#REF!</definedName>
    <definedName name="BO32EEC3A192DF4D509F4BEA4B6E315452" hidden="1">#REF!</definedName>
    <definedName name="BO32F4E53B4C414DE1B84AE646337F8350" hidden="1">#REF!</definedName>
    <definedName name="BO32F77AFA71274A9AB99633C88D1798B4" hidden="1">#REF!</definedName>
    <definedName name="BO32F99B6ED1854CA9A00E1D1DC7AB1896" hidden="1">#REF!</definedName>
    <definedName name="BO32FB05F060C34127BE30D6C20C2A39DA" hidden="1">#REF!</definedName>
    <definedName name="BO3303C1B9CADC479F83512C22BB57A3F4" hidden="1">#REF!</definedName>
    <definedName name="BO33089438A2334CE5B6A74E6BF0008F08" hidden="1">#REF!</definedName>
    <definedName name="BO33254B37AFED4A04B36CD3998B3148B7" hidden="1">#REF!</definedName>
    <definedName name="BO332C2A2CFAA04D2983113D6471D8D531" hidden="1">#REF!</definedName>
    <definedName name="BO3335A5FF30344FFF89DC6E8CEC1C639F" hidden="1">#REF!</definedName>
    <definedName name="BO333D1F0C0DA849489A9203E6F5C1CF50" hidden="1">#REF!</definedName>
    <definedName name="BO333DE55542634C658D6823D12DB216BB" hidden="1">#REF!</definedName>
    <definedName name="BO333F1700E9C04F0ABC56EEF2BADB7258" hidden="1">#REF!</definedName>
    <definedName name="BO3349E0F3F8DD47AB9CF83BFE95CD7852" hidden="1">#REF!</definedName>
    <definedName name="BO334D899640F840DF80F9460D19C07F22" hidden="1">#REF!</definedName>
    <definedName name="BO335B0EFF058D4F4096389AE8D4EB4FC4" hidden="1">#REF!</definedName>
    <definedName name="BO336D2432902741AAADF34B7D6CD74B85" hidden="1">#REF!</definedName>
    <definedName name="BO337D6A51D5834672A832D37D5160C1B2" hidden="1">#REF!</definedName>
    <definedName name="BO337E46FC5BAB4AEEBA4AD138C243942F" hidden="1">#REF!</definedName>
    <definedName name="BO3381A4C24B7E4F639E5411CFA35BD61B" hidden="1">#REF!</definedName>
    <definedName name="BO3381EA05A1AD45618588FC7EBB18B808" hidden="1">#REF!</definedName>
    <definedName name="BO339BE4C3A310486195857EA1620369D1" hidden="1">#REF!</definedName>
    <definedName name="BO339F9DE0AEB242ECB2DBA931BF68ED0E" hidden="1">#REF!</definedName>
    <definedName name="BO33AFECA942FC4B36ADCED0EAC48AC781" hidden="1">#REF!</definedName>
    <definedName name="BO33B3E574C4D04C28BDEC738B5DB13456" hidden="1">#REF!</definedName>
    <definedName name="BO33BD3AB7760E4BB7853544EBD024D64E" hidden="1">#REF!</definedName>
    <definedName name="BO33C137B6BBA844D185370E3CCE6F977F" hidden="1">#REF!</definedName>
    <definedName name="BO33C9FEE321C544279C480C4677090B57" hidden="1">#REF!</definedName>
    <definedName name="BO33CF012E28A1427E90F03655CB695607" hidden="1">#REF!</definedName>
    <definedName name="BO33D24C0C0A7641A8935C6824B88EF744" hidden="1">#REF!</definedName>
    <definedName name="BO33DB3E7EEF404E1CABE5EB2EDD1DD361" hidden="1">#REF!</definedName>
    <definedName name="BO33DC5892B4C54369937EA269D4CAB424" hidden="1">#REF!</definedName>
    <definedName name="BO33E492FDE6FD4474A513B05F3E007153" hidden="1">#REF!</definedName>
    <definedName name="BO33E70A9C0BD84912812C6F1631F36858" hidden="1">#REF!</definedName>
    <definedName name="BO33EA49C2E7E7497D956C3BFA24C89B31" hidden="1">#REF!</definedName>
    <definedName name="BO33F3D469694044688452D091BB9B0757" hidden="1">#REF!</definedName>
    <definedName name="BO34085335C3BA4F5F9E56A48C7E4C3FF6" hidden="1">#REF!</definedName>
    <definedName name="BO340FD5FB53484FBE9B0F7743A1EC91B2" hidden="1">#REF!</definedName>
    <definedName name="BO341B1621AEB6400EB3B6B44CA1904127" hidden="1">#REF!</definedName>
    <definedName name="BO341BEA504305436BBF2F0A8D1C19E267" hidden="1">#REF!</definedName>
    <definedName name="BO3435DCB287EE403DAD9E3BDC493F4B40" hidden="1">#REF!</definedName>
    <definedName name="BO3440130565B24E449DDB06519C1C134F" hidden="1">#REF!</definedName>
    <definedName name="BO344D76CFF4434EE3AC9B1EC9894FA1FC" hidden="1">#REF!</definedName>
    <definedName name="BO345DC9416B5E48D180B611F140FD746B" hidden="1">#REF!</definedName>
    <definedName name="BO3462BC0757E2433A8485CD9EF89C4A3A" hidden="1">#REF!</definedName>
    <definedName name="BO347F64FB182E448EAE493FD4842E7150" hidden="1">#REF!</definedName>
    <definedName name="BO348F3B033D704816AEEA6DF351A23CC1" hidden="1">#REF!</definedName>
    <definedName name="BO34A1D6BC6C7348AAB13A64AFF183D5B7" hidden="1">#REF!</definedName>
    <definedName name="BO34A31CF8BB564C0781381489B083AD6B" hidden="1">#REF!</definedName>
    <definedName name="BO34A38376D7BD43FE943F88B105D2A3AE" hidden="1">#REF!</definedName>
    <definedName name="BO34AAB41E615D4F57B167DE60123A3270" hidden="1">#REF!</definedName>
    <definedName name="BO34AC0338CA4A4D3B85F52FCFF49A1DCC" hidden="1">#REF!</definedName>
    <definedName name="BO34AD6FC9C6CA48F6B7A09087ECF6A5FB" hidden="1">#REF!</definedName>
    <definedName name="BO34B5249A02D941E8A315646B692676BB" hidden="1">#REF!</definedName>
    <definedName name="BO34B55B1361CC4A19A8C4D1EBC57A1E0E" hidden="1">#REF!</definedName>
    <definedName name="BO34CE6C23FDAA400781F53060FD9A8440" hidden="1">#REF!</definedName>
    <definedName name="BO34D7382BB67C4F419E8483D354BF9F49" hidden="1">#REF!</definedName>
    <definedName name="BO34DB4260B3F8458E95C02985ED19FDAC" hidden="1">#REF!</definedName>
    <definedName name="BO34E4FE0EB179447AA344FA0D487E0B12" hidden="1">#REF!</definedName>
    <definedName name="BO34EBD0AE9BBF47C3BCEC1778B1894612" hidden="1">#REF!</definedName>
    <definedName name="BO34F09B835F634C7C8E919C914D757A63" hidden="1">#REF!</definedName>
    <definedName name="BO34F641F4BF664B2A8675B071CC6F000D" hidden="1">#REF!</definedName>
    <definedName name="BO34F694EFFAFA4A4F8A21F4AA018503BF" hidden="1">#REF!</definedName>
    <definedName name="BO34F91EBEA1F7486BBA551DAF3097CA56" hidden="1">#REF!</definedName>
    <definedName name="BO3502E9CFBA074AA5ADD16385D1647524" hidden="1">#REF!</definedName>
    <definedName name="BO3505769BF116412BA4AA2EDF15EC4393" hidden="1">#REF!</definedName>
    <definedName name="BO3507FE9446E0493C8BF4C852D5B3198C" hidden="1">#REF!</definedName>
    <definedName name="BO350C087FDED242CE91C9385305FFC442" hidden="1">#REF!</definedName>
    <definedName name="BO352839DE22174604949D35153F863866" hidden="1">#REF!</definedName>
    <definedName name="BO3530FDCB67B1417683F3BBC64569AB73" hidden="1">#REF!</definedName>
    <definedName name="BO353626C6B62C4F368EE8D616D76733B5" hidden="1">#REF!</definedName>
    <definedName name="BO353EEB108AEF43C19ED7DAFB04D6D1DC" hidden="1">#REF!</definedName>
    <definedName name="BO354F233C08F5411DB22604793ED435E7" hidden="1">#REF!</definedName>
    <definedName name="BO3556D6478376426FBBA9EC5DFF06421B" hidden="1">#REF!</definedName>
    <definedName name="BO356BD6BB66F344BABE43F8053D1B8F0E" hidden="1">#REF!</definedName>
    <definedName name="BO356F46F247964865BD6ACA73C190A70B" hidden="1">#REF!</definedName>
    <definedName name="BO3575BD615E4E4F5D9453D8E65C3111C3" hidden="1">#REF!</definedName>
    <definedName name="BO35898A6DD8BE4CC0A35A8145EFB51FB1" hidden="1">#REF!</definedName>
    <definedName name="BO3590C030E7954DDBBA0B4F7EBD8AB867" hidden="1">#REF!</definedName>
    <definedName name="BO3592222ECB0A4CB69B59AD91606D76CC" hidden="1">#REF!</definedName>
    <definedName name="BO35994177CB964A47A588F1738A68A609" hidden="1">#REF!</definedName>
    <definedName name="BO35A9CECC874244CC93EF71934A8D2D12" hidden="1">#REF!</definedName>
    <definedName name="BO35AA0C646F604AC1A522C73830E16482" hidden="1">#REF!</definedName>
    <definedName name="BO35D2B97A99D042F4BDFF01F8CF6E8DE9" hidden="1">#REF!</definedName>
    <definedName name="BO35DBC32620F041A282B1A1B6F3CF5CBA" hidden="1">#REF!</definedName>
    <definedName name="BO35EBF4535B97437EAD78BF816F05A6DB" hidden="1">#REF!</definedName>
    <definedName name="BO35FCAE36518B41B1ACE99DA717A62ED1" hidden="1">#REF!</definedName>
    <definedName name="BO36063D826F8643EDB3743860BA141ACF" hidden="1">#REF!</definedName>
    <definedName name="BO360CC7C12DC14344A5E3D4638D07AAA0" hidden="1">#REF!</definedName>
    <definedName name="BO3612DA96CA5A4E578E17ED99608212D4" hidden="1">#REF!</definedName>
    <definedName name="BO3615AC939A504C00A95B2B17375D4644" hidden="1">#REF!</definedName>
    <definedName name="BO3615C2F97C0F4512AAF7ED977FEDED7B" hidden="1">#REF!</definedName>
    <definedName name="BO361CD148A431409CAD70B92A40843894" hidden="1">#REF!</definedName>
    <definedName name="BO3621868E69404722B45E58CDE9553201" hidden="1">#REF!</definedName>
    <definedName name="BO3645384B7CEE4D708806887845F67356" hidden="1">#REF!</definedName>
    <definedName name="BO3650896B3F8B4D059935C3A4DFB84FDD" hidden="1">#REF!</definedName>
    <definedName name="BO36519FF5CBB041D484FDB3396568C765" hidden="1">#REF!</definedName>
    <definedName name="BO365C71FBFCBE4B93828375AB99031FC4" hidden="1">#REF!</definedName>
    <definedName name="BO365C8EE929FC4772AEF6144CF378C5D1" hidden="1">#REF!</definedName>
    <definedName name="BO365CBD6C1F074F85A0BDF4EE25DF3010" hidden="1">#REF!</definedName>
    <definedName name="BO365FC5CAF74D40898D2F1FF2497E1E9D" hidden="1">#REF!</definedName>
    <definedName name="BO366171FAC0E243FEBA05609FF21584B2" hidden="1">#REF!</definedName>
    <definedName name="BO366E5697AB7D4A0CAF22D7777E6AB608" hidden="1">#REF!</definedName>
    <definedName name="BO367911A9B62C410189242B340CEFF14C" hidden="1">#REF!</definedName>
    <definedName name="BO369829A4C29F48BCBFAF41C90F966CFE" hidden="1">#REF!</definedName>
    <definedName name="BO369B68DEB3A24F6298F473EB2D100A61" hidden="1">#REF!</definedName>
    <definedName name="BO36AC78A480B44F11A765930236930FAD" hidden="1">#REF!</definedName>
    <definedName name="BO36AD98F2E5034C47A32B55FE1986561D" hidden="1">#REF!</definedName>
    <definedName name="BO36B0C26A60574698B67883F357352962" hidden="1">#REF!</definedName>
    <definedName name="BO36BFB508AF5242F68014B346A019CB2D" hidden="1">#REF!</definedName>
    <definedName name="BO36C1C18E1BF2488FB9672253DBAA59A0" hidden="1">#REF!</definedName>
    <definedName name="BO36C51EF8EDB748098C6D2C6C96754008" hidden="1">#REF!</definedName>
    <definedName name="BO36C84BEF853A459FB3561546561F4959" hidden="1">#REF!</definedName>
    <definedName name="BO36D5164CCFF94241AF9F346C9583643E" hidden="1">#REF!</definedName>
    <definedName name="BO36DA14034E03470BBAB197A4497C0E5B" hidden="1">#REF!</definedName>
    <definedName name="BO36F674DA5F9C4B00BE37E0C6180F6DE8" hidden="1">#REF!</definedName>
    <definedName name="BO3700A254A2584194AE51D25A7D355F97" hidden="1">#REF!</definedName>
    <definedName name="BO370865CB869945F897D0492860D6BB8C" hidden="1">#REF!</definedName>
    <definedName name="BO3708E0BB673340FDAEC7A063FC4A3307" hidden="1">#REF!</definedName>
    <definedName name="BO371131736AB345CA9D4AE6C6E61E3C0A" hidden="1">#REF!</definedName>
    <definedName name="BO371F20EC3D9140A5B4CD799FEB97E1D9" hidden="1">#REF!</definedName>
    <definedName name="BO372210C598DC450282DB88FA8392975B" hidden="1">#REF!</definedName>
    <definedName name="BO37324E187FA447C1B95E9AB3D2B69EA1" hidden="1">#REF!</definedName>
    <definedName name="BO373F4BE8044340EA899FF96CA5C2BB72" hidden="1">#REF!</definedName>
    <definedName name="BO37434AB4530C4E60B222119A8C523BB6" hidden="1">#REF!</definedName>
    <definedName name="BO374382CD659C4F33BA779F31DEFB531B" hidden="1">#REF!</definedName>
    <definedName name="BO374D2245D25741779720C2BCE4EB3C01" hidden="1">#REF!</definedName>
    <definedName name="BO3752D67E221041D181558E3AA1C0AEAA" hidden="1">#REF!</definedName>
    <definedName name="BO37546996F0BF4584B2662E9A926E040F" hidden="1">#REF!</definedName>
    <definedName name="BO3758EF72095641CF88D60D8C983FBDA0" hidden="1">#REF!</definedName>
    <definedName name="BO375A433DE378438A953D0049DC4A3AD9" hidden="1">#REF!</definedName>
    <definedName name="BO375EB05E5BB945D2BDFDD94237E636D2" hidden="1">#REF!</definedName>
    <definedName name="BO3770CB8232B54F9C97BB02555C9FFDED" hidden="1">#REF!</definedName>
    <definedName name="BO3782A801B56D4171B1B9ACF3870F1AD9" hidden="1">#REF!</definedName>
    <definedName name="BO378FC0FBFF014FFBBAE256DFD3367F19" hidden="1">#REF!</definedName>
    <definedName name="BO379ADC355A4C465791D29BD9F82D7345" hidden="1">#REF!</definedName>
    <definedName name="BO37A3E8C77946424A9E1722EC1516E08F" hidden="1">#REF!</definedName>
    <definedName name="BO37B3297E5B1443B7B867FC8152051972" hidden="1">#REF!</definedName>
    <definedName name="BO37B662D4528E46AFB3909E26C3A1CF28" hidden="1">#REF!</definedName>
    <definedName name="BO37CA7F1106F8459098FD9299A528182E" hidden="1">#REF!</definedName>
    <definedName name="BO37EB0282203044BC9B7AB2AFBEF1E33E" hidden="1">#REF!</definedName>
    <definedName name="BO37FC2DC178694C9D8063159327A6383F" hidden="1">#REF!</definedName>
    <definedName name="BO380B7BDD0AFF41859AB871E3701256CE" hidden="1">#REF!</definedName>
    <definedName name="BO380FBA4CE9B64D8CA537AF082AAF0164" hidden="1">#REF!</definedName>
    <definedName name="BO38143A4D75CB4595B1DED5BB6A033EF9" hidden="1">#REF!</definedName>
    <definedName name="BO38307CE6A240472C881DE1D8C1D1EAE9" hidden="1">#REF!</definedName>
    <definedName name="BO38361EA68F55445395FECCBFE10E25F3" hidden="1">#REF!</definedName>
    <definedName name="BO383B9095A4E34801BDE00806421267EA" hidden="1">#REF!</definedName>
    <definedName name="BO3840FD50BC97458B83D7F5733E0CEC33" hidden="1">#REF!</definedName>
    <definedName name="BO38423DE393404E28ACBE0222B688347C" hidden="1">#REF!</definedName>
    <definedName name="BO38431CC50FA3451699F51CBA084D0420" hidden="1">#REF!</definedName>
    <definedName name="BO386A44962D954AEBACF367F2C6168862" hidden="1">#REF!</definedName>
    <definedName name="BO386BF7034BB141A789DF9940514E9DFC" hidden="1">#REF!</definedName>
    <definedName name="BO38768DE989CA4D1FAB502F721C22B1B2" hidden="1">#REF!</definedName>
    <definedName name="BO3876C2898B444A7BB312C20A8657345F" hidden="1">#REF!</definedName>
    <definedName name="BO3876E3FA38834FA18D274FFA0FA361E4" hidden="1">#REF!</definedName>
    <definedName name="BO38804D8B325F49FF95C49E1837A1389D" hidden="1">#REF!</definedName>
    <definedName name="BO3886996FCE6544A39EA0704AD18410B1" hidden="1">#REF!</definedName>
    <definedName name="BO388E0162FC7747BC9C308B63D3E8C02A" hidden="1">#REF!</definedName>
    <definedName name="BO38938C0AB79240DEAF32A739A26D99C9" hidden="1">#REF!</definedName>
    <definedName name="BO38A5F00E9B884A76B4734090F35A9793" hidden="1">#REF!</definedName>
    <definedName name="BO38B00BB592414070AEEC5BD36A949A10" hidden="1">#REF!</definedName>
    <definedName name="BO38B04CD896404B7492D8BEB04BF4DCE2" hidden="1">#REF!</definedName>
    <definedName name="BO38C1C8F792464F8EACBBFAF2CD7142A6" hidden="1">#REF!</definedName>
    <definedName name="BO38C1DC8280164419BCB007D8307CBB2C" hidden="1">#REF!</definedName>
    <definedName name="BO38C70B727FB04925954E2D508A14943E" hidden="1">#REF!</definedName>
    <definedName name="BO38C7B185129C4F49B15418E9C1F38DD4" hidden="1">#REF!</definedName>
    <definedName name="BO38CB14A10DEC42E88A6AA4C5D916EE63" hidden="1">#REF!</definedName>
    <definedName name="BO38E0706657BC43808F3BC515FE5C3D0B" hidden="1">#REF!</definedName>
    <definedName name="BO38E89B01B792472C8578865E056DA6E5" hidden="1">#REF!</definedName>
    <definedName name="BO38EF07FEA67042F2BAB9F0DFFD718EF5" hidden="1">#REF!</definedName>
    <definedName name="BO38EFB06385B9488C98956DB08B6AC872" hidden="1">#REF!</definedName>
    <definedName name="BO38FABABEE52944859ADA692CED257D1C" hidden="1">#REF!</definedName>
    <definedName name="BO391083E4CF7D4D47BA3728F2CF242A05" hidden="1">#REF!</definedName>
    <definedName name="BO392234EC0E0C4433940B68241A33EC67" hidden="1">#REF!</definedName>
    <definedName name="BO3924C12A19634360A7A083B5FCF2BE11" hidden="1">#REF!</definedName>
    <definedName name="BO3935E80D74B34CF08C95983ACA4965D2" hidden="1">#REF!</definedName>
    <definedName name="BO39498261D0794C2FB550B03EACCE0CA6" hidden="1">#REF!</definedName>
    <definedName name="BO39628CE4392546BD8509237DC178D6E0" hidden="1">#REF!</definedName>
    <definedName name="BO3964C7FE34624486B3E94E0B5662D9DA" hidden="1">#REF!</definedName>
    <definedName name="BO3965D0F6D00E4F40AF6DCE6BF87153C4" hidden="1">#REF!</definedName>
    <definedName name="BO396F56DAA9604299A54246A252515E9E" hidden="1">#REF!</definedName>
    <definedName name="BO39728FAC0B82465E84EAEF7C51438712" hidden="1">#REF!</definedName>
    <definedName name="BO397A2A58101B40E2BD93E77CD0994D54" hidden="1">#REF!</definedName>
    <definedName name="BO3983FC6DF27647E2A36C66D08ED187BD" hidden="1">#REF!</definedName>
    <definedName name="BO398EB6A70B7944468E38C8C880D73B9F" hidden="1">#REF!</definedName>
    <definedName name="BO399CD508EC304F029B7A7987B347864F" hidden="1">#REF!</definedName>
    <definedName name="BO39A6C43480894995BB7FEC1DF7CBC278" hidden="1">#REF!</definedName>
    <definedName name="BO39AABB257F7C4EB2AACA2130267FCFA3" hidden="1">#REF!</definedName>
    <definedName name="BO39AB35E36A984A8BA0CB142A01E46891" hidden="1">#REF!</definedName>
    <definedName name="BO39B58632EF5F400EAD2C4114489ECE46" hidden="1">#REF!</definedName>
    <definedName name="BO39C49E4273974CE190E677E90738793E" hidden="1">#REF!</definedName>
    <definedName name="BO39C9E1E713904EFAABFF4F4222504168" hidden="1">#REF!</definedName>
    <definedName name="BO39D8C0B6753A4DFAAB16C9D97B6A951C" hidden="1">#REF!</definedName>
    <definedName name="BO39EB17FAE576420A9D81D261C0957C6E" hidden="1">#REF!</definedName>
    <definedName name="BO3A04F110BFE34BB4AD54FE9A3FE8438B" hidden="1">#REF!</definedName>
    <definedName name="BO3A09854B422646578926D3164058CEA9" hidden="1">#REF!</definedName>
    <definedName name="BO3A0C72DE05514DCDADFDE618DAA3A8C3" hidden="1">#REF!</definedName>
    <definedName name="BO3A0E94E3C3554202BA9481B453F9D67D" hidden="1">#REF!</definedName>
    <definedName name="BO3A13CCCB66D6401DB60C2CCF60582FF8" hidden="1">#REF!</definedName>
    <definedName name="BO3A16C04854E94A47AB246131B847C7D6" hidden="1">#REF!</definedName>
    <definedName name="BO3A2018D969E7417D9BF8361250064234" hidden="1">#REF!</definedName>
    <definedName name="BO3A31DEF7436F4DB6A6C98DA37313F476" hidden="1">#REF!</definedName>
    <definedName name="BO3A4879575C9F435F9E38543D3BB955C4" hidden="1">#REF!</definedName>
    <definedName name="BO3A565FCB26104147A7AD184CBEF394AD" hidden="1">#REF!</definedName>
    <definedName name="BO3A68480073094914AA7AEC8859DEA99E" hidden="1">#REF!</definedName>
    <definedName name="BO3A6AFF00B5FC4EF293B37DA5EE95C417" hidden="1">#REF!</definedName>
    <definedName name="BO3A76730E0CAD4068852B605600511677" hidden="1">#REF!</definedName>
    <definedName name="BO3A79E0C6DBA24FDAB1F6A7930C7FDBD0" hidden="1">#REF!</definedName>
    <definedName name="BO3A87C8DF150449AA9A0AF6EAB8798085" hidden="1">#REF!</definedName>
    <definedName name="BO3A886A58A8F14AFF95D03C851EE816B7" hidden="1">#REF!</definedName>
    <definedName name="BO3A8B86EA04044EACAF83EA36FC5FB7CB" hidden="1">#REF!</definedName>
    <definedName name="BO3A9ED9B4761846858C5F2BDBDCB0CF7D" hidden="1">#REF!</definedName>
    <definedName name="BO3AAAF4B6D9CD43FC9168849BBE70890F" hidden="1">#REF!</definedName>
    <definedName name="BO3AAE740F80ED41B281A5DE256969ED1C" hidden="1">#REF!</definedName>
    <definedName name="BO3AD0E6A4688F44F0AB3960BD23FACA3C" hidden="1">#REF!</definedName>
    <definedName name="BO3AD58F395A274758985C72067C9727D1" hidden="1">#REF!</definedName>
    <definedName name="BO3AD6575BF23A401B9C6DE54DD58E0251" hidden="1">#REF!</definedName>
    <definedName name="BO3AD67FF3F86347078C3890B2819A68B8" hidden="1">#REF!</definedName>
    <definedName name="BO3ADDF4026E7C4FE3A82FC783F8D675DD" hidden="1">#REF!</definedName>
    <definedName name="BO3ADEB5F1ADE64F56BB28DBCD0992F58E" hidden="1">#REF!</definedName>
    <definedName name="BO3AE13FB565EB4DAFA9CBA618A5C99C5D" hidden="1">#REF!</definedName>
    <definedName name="BO3AE1745CE73F401B9CAF3E1601A9F4DE" hidden="1">#REF!</definedName>
    <definedName name="BO3AEC3152F7AF46788257617CFFEA03D9" hidden="1">#REF!</definedName>
    <definedName name="BO3AF75B0E32FD4F5B9C19A7087D8B3DB3" hidden="1">#REF!</definedName>
    <definedName name="BO3AF85CD286834FD2BB92E5242087E26B" hidden="1">#REF!</definedName>
    <definedName name="BO3AFA122D7C984F49BEC0C127ADD2DD35" hidden="1">#REF!</definedName>
    <definedName name="BO3B04E3C7CBA64093968E1E2998A9965F" hidden="1">#REF!</definedName>
    <definedName name="BO3B1663EE2079443499E108B5B4B8FCFE" hidden="1">#REF!</definedName>
    <definedName name="BO3B415B9676B64533A3E7C4C320B91A5F" hidden="1">#REF!</definedName>
    <definedName name="BO3B50120F600240D1A62EA881664C9E54" hidden="1">#REF!</definedName>
    <definedName name="BO3B529AF17971447AAEE9105FFF170A46" hidden="1">#REF!</definedName>
    <definedName name="BO3B5E071C0A194DB4BE041742BBE7AE33" hidden="1">#REF!</definedName>
    <definedName name="BO3B6B2AC867804D6082700D9497795DE1" hidden="1">#REF!</definedName>
    <definedName name="BO3B73B283499F47AF97C291B5F6FDA083" hidden="1">#REF!</definedName>
    <definedName name="BO3B75805B134943DFA975FFAF1ADB5F95" hidden="1">#REF!</definedName>
    <definedName name="BO3B7D12F754674B1FBB99551648C9EEE1" hidden="1">#REF!</definedName>
    <definedName name="BO3B83B8DBF7A14C959FF29C55488A1103" hidden="1">#REF!</definedName>
    <definedName name="BO3B8721A0573746DA8946D2B339B7F18B" hidden="1">#REF!</definedName>
    <definedName name="BO3B8746FCCEAB46E3BD5C663D9A74B463" hidden="1">#REF!</definedName>
    <definedName name="BO3B88DD513E5B47389E0C3D26EB9235EC" hidden="1">#REF!</definedName>
    <definedName name="BO3B8F09B2007D4AA0B6C6B6C49E74CF7F" hidden="1">#REF!</definedName>
    <definedName name="BO3B9901E230494F49AFFC964782E011FA" hidden="1">#REF!</definedName>
    <definedName name="BO3BA0F4E57F8E4B368642494DEBC04E34" hidden="1">#REF!</definedName>
    <definedName name="BO3BA4591EA0BE452FAE508AA89A601208" hidden="1">#REF!</definedName>
    <definedName name="BO3BB6B41DDEB040F9BE205BCFA509AA0B" hidden="1">#REF!</definedName>
    <definedName name="BO3BD35CEEAAB34E7A826A4C57EA38C94C" hidden="1">#REF!</definedName>
    <definedName name="BO3BE3F97631974BC9A37FDE53DE9B49A2" hidden="1">#REF!</definedName>
    <definedName name="BO3BEBE67F3C5D43568E816971166B8963" hidden="1">#REF!</definedName>
    <definedName name="BO3BED68F56609437182E41F52829A6A7C" hidden="1">#REF!</definedName>
    <definedName name="BO3BF82567F1D84FD18417595C15F90111" hidden="1">#REF!</definedName>
    <definedName name="BO3C01C619191E402C9CB932E442BABADA" hidden="1">#REF!</definedName>
    <definedName name="BO3C0DBE9A3D5D409FBC9AD314BB633225" hidden="1">#REF!</definedName>
    <definedName name="BO3C15FED33783437BB14233B1010D37DE" hidden="1">#REF!</definedName>
    <definedName name="BO3C29D7EBEA394A45804AF7961DF25E76" hidden="1">#REF!</definedName>
    <definedName name="BO3C2B5BE0393D4D30A827AB7710DCFD4E" hidden="1">#REF!</definedName>
    <definedName name="BO3C39360377CE4C86AB757C1B4E8609FE" hidden="1">#REF!</definedName>
    <definedName name="BO3C3EAF507D16469D93D59917583A32E0" hidden="1">#REF!</definedName>
    <definedName name="BO3C49B16B697B4DEEA2D524ADDC64548D" hidden="1">#REF!</definedName>
    <definedName name="BO3C580FC088AF42B696B149F871E49F49" hidden="1">#REF!</definedName>
    <definedName name="BO3C69412D48FF46DB9DD68D8EDF4680C4" hidden="1">#REF!</definedName>
    <definedName name="BO3C6D897B3BB648F58DF6AF4C9D04AF8D" hidden="1">#REF!</definedName>
    <definedName name="BO3C732A279F5B47D9A0A39D4A5D270DC1" hidden="1">#REF!</definedName>
    <definedName name="BO3C7BE1FBD9D941C3A3364581378852A1" hidden="1">#REF!</definedName>
    <definedName name="BO3C83ECA8E9BA4F3ABC54F0DFD69C2623" hidden="1">#REF!</definedName>
    <definedName name="BO3C8F22AB30054CC2969C9B4171EBB4E7" hidden="1">#REF!</definedName>
    <definedName name="BO3C90E0D9DD9B47CFA04FEED00772FB26" hidden="1">#REF!</definedName>
    <definedName name="BO3C97E2AB74D048AFBEA393C34DC8905F" hidden="1">#REF!</definedName>
    <definedName name="BO3C99EC20775940E29AAA577BA3CEBD42" hidden="1">#REF!</definedName>
    <definedName name="BO3C9F352F44A14C4EBE28B471629CF41C" hidden="1">#REF!</definedName>
    <definedName name="BO3CAC2ED612B349C5B078936C72780DAC" hidden="1">#REF!</definedName>
    <definedName name="BO3CAF798A31E144A89FDAB4A8E5649A90" hidden="1">#REF!</definedName>
    <definedName name="BO3CB1FF1C3CDD47C09B67704852B97BBE" hidden="1">#REF!</definedName>
    <definedName name="BO3CBF1980554A426CA7276281698B7F5E" hidden="1">#REF!</definedName>
    <definedName name="BO3CD1B43FCDB3462989EB24A47DD0C8E2" hidden="1">#REF!</definedName>
    <definedName name="BO3CE6D7A947864B7B9BC99DBD24F9B516" hidden="1">#REF!</definedName>
    <definedName name="BO3CE8B104102C46488C3050F9AEAE08F8" hidden="1">#REF!</definedName>
    <definedName name="BO3CEA3A4401C24AD0804C6E3CAE1D5971" hidden="1">#REF!</definedName>
    <definedName name="BO3CEE1A82F3F8403C881D0E09F27BF886" hidden="1">#REF!</definedName>
    <definedName name="BO3D01A69E523A46579181D4999DF9FCD9" hidden="1">#REF!</definedName>
    <definedName name="BO3D0D4138DC2F4553A979E43801D0AF9A" hidden="1">#REF!</definedName>
    <definedName name="BO3D0E01C3221B4E199DB2E4B8F60839C0" hidden="1">#REF!</definedName>
    <definedName name="BO3D1BDF635BDA4449AED71A1812213BE6" hidden="1">#REF!</definedName>
    <definedName name="BO3D22C40DFF3F408CA4E85B572AF680A8" hidden="1">#REF!</definedName>
    <definedName name="BO3D26FE91B4E94A85A087601674A72F7D" hidden="1">#REF!</definedName>
    <definedName name="BO3D2D8ECAF41E49A9B6770F59ABD46408" hidden="1">#REF!</definedName>
    <definedName name="BO3D366F79B8B64AC8806340DA5196DDBF" hidden="1">#REF!</definedName>
    <definedName name="BO3D380A1D54994E18B7112F037117BF05" hidden="1">#REF!</definedName>
    <definedName name="BO3D383C54321B4F229AD9CADACF806999" hidden="1">#REF!</definedName>
    <definedName name="BO3D3BCB4074F741398DE31B0E94CCDCB1" hidden="1">#REF!</definedName>
    <definedName name="BO3D53F7FC738447F8912EABCCB8CC4F76" hidden="1">#REF!</definedName>
    <definedName name="BO3D5A1BBF80D9441DA7091F784715A4D6" hidden="1">#REF!</definedName>
    <definedName name="BO3D65606C174B4F2FA831D4F83A06FC5D" hidden="1">#REF!</definedName>
    <definedName name="BO3D6C57D00F4C4CD4A3EA991EDA1B95F6" hidden="1">#REF!</definedName>
    <definedName name="BO3D8779AAD02F4C93B2E1FFB4CE0F1D08" hidden="1">#REF!</definedName>
    <definedName name="BO3D8BECCC3E484AD4B5DD4B4642FDC01F" hidden="1">#REF!</definedName>
    <definedName name="BO3D8C33EE7F5F4BCBAF3A3E1BAEC01ECB" hidden="1">#REF!</definedName>
    <definedName name="BO3D8F1A1F711043F78788383EDF6BED46" hidden="1">#REF!</definedName>
    <definedName name="BO3D900BB2C2E4460F9C7B12B9B720CC7F" hidden="1">#REF!</definedName>
    <definedName name="BO3D912343BF894A248FD90C585AAB842C" hidden="1">#REF!</definedName>
    <definedName name="BO3DA5B167055846DD9F7822EE13D7E3E8" hidden="1">#REF!</definedName>
    <definedName name="BO3DABA0E9FCA6468290601E71656A0A49" hidden="1">#REF!</definedName>
    <definedName name="BO3DBE9B5E917D4125955F1DBBF7160E11" hidden="1">#REF!</definedName>
    <definedName name="BO3DE2E378910C41219A2C9033267B290A" hidden="1">#REF!</definedName>
    <definedName name="BO3DEA1D59B0714411BEC6AC8D415A426B" hidden="1">#REF!</definedName>
    <definedName name="BO3DEE5A045B114805AC5399D5A2B65334" hidden="1">#REF!</definedName>
    <definedName name="BO3E087C42E90140AEB51D909B0EE64FB8" hidden="1">#REF!</definedName>
    <definedName name="BO3E0A955827C44CD1B363AF122F4B4CC6" hidden="1">#REF!</definedName>
    <definedName name="BO3E0DA86856D9443DA76AE9A8AD512BC1" hidden="1">#REF!</definedName>
    <definedName name="BO3E16186BD5E5472391231B21793555F9" hidden="1">#REF!</definedName>
    <definedName name="BO3E1802DE034A4A4E899636402B45FDC9" hidden="1">#REF!</definedName>
    <definedName name="BO3E1DAB18930542208C44906F97732555" hidden="1">#REF!</definedName>
    <definedName name="BO3E2D654739524F18BF95AFF9590DD5F4" hidden="1">#REF!</definedName>
    <definedName name="BO3E30FA982D864030A719716757E8F497" hidden="1">#REF!</definedName>
    <definedName name="BO3E4E43F06A33487D8417B96B702E8B53" hidden="1">#REF!</definedName>
    <definedName name="BO3E55EDFA8A4149EEB969A881FCA1D80A" hidden="1">#REF!</definedName>
    <definedName name="BO3E6B55D6AF6340ABB50FC9593EB05B41" hidden="1">#REF!</definedName>
    <definedName name="BO3E738BFAF2FA4B8499A3B8E769399491" hidden="1">#REF!</definedName>
    <definedName name="BO3E7FDD5CE1BF4770A20D06F1E5D9ED85" hidden="1">#REF!</definedName>
    <definedName name="BO3E8043B359034B71A987AFB6B12D5558" hidden="1">#REF!</definedName>
    <definedName name="BO3E8216C4D2B84958953F246641B98F71" hidden="1">#REF!</definedName>
    <definedName name="BO3E97704CF5074F1DA39A72202D13F8DE" hidden="1">#REF!</definedName>
    <definedName name="BO3E9A7C40C1B443D88AF668A6AD3C26A0" hidden="1">#REF!</definedName>
    <definedName name="BO3EA1D469DCD847E3B30227CE74F1E3C9" hidden="1">#REF!</definedName>
    <definedName name="BO3EAAB73C30D341E0B520D0F1D5C742BE" hidden="1">#REF!</definedName>
    <definedName name="BO3EAD1C2CE4F243D5AE3B58802E1B63A0" hidden="1">#REF!</definedName>
    <definedName name="BO3EB0BA8DF7E14ED1A596BB40C1A08AF7" hidden="1">#REF!</definedName>
    <definedName name="BO3EB293C7F32D4E92B8982FCD3BCD3685" hidden="1">#REF!</definedName>
    <definedName name="BO3EB66BB1D3F84A789D97BC95C350B0AC" hidden="1">#REF!</definedName>
    <definedName name="BO3EB922A64EBD4BC2AB1F4D4948EABC1B" hidden="1">#REF!</definedName>
    <definedName name="BO3EC7A4A10879409DBC722ED44DCE39B5" hidden="1">#REF!</definedName>
    <definedName name="BO3ECF966960524BC48315837DD558C7B0" hidden="1">#REF!</definedName>
    <definedName name="BO3ED02EE9BD3247BF92D48F7E2C21323B" hidden="1">#REF!</definedName>
    <definedName name="BO3ED48BDEF4E04A80AA1359EA01EC9691" hidden="1">#REF!</definedName>
    <definedName name="BO3EDECF1544C94169A12F12B01B499AD3" hidden="1">#REF!</definedName>
    <definedName name="BO3EE404E494F146C89A11128F821AF6E5" hidden="1">#REF!</definedName>
    <definedName name="BO3EE58FF98A64489487F5317E5F2A2D40" hidden="1">#REF!</definedName>
    <definedName name="BO3EE78226BFBF4191B5380C83111675E1" hidden="1">#REF!</definedName>
    <definedName name="BO3EE7B9084BBA410E891DFAF747855A15" hidden="1">#REF!</definedName>
    <definedName name="BO3EFBFD37FE43445DA55383B672210FD3" hidden="1">#REF!</definedName>
    <definedName name="BO3EFF2EB722BB412B902FD11CF9593020" hidden="1">#REF!</definedName>
    <definedName name="BO3F154B71BD094271A54047030DF7AAC5" hidden="1">#REF!</definedName>
    <definedName name="BO3F1553F26AAF4A8783CC6EEFD13AD5DD" hidden="1">#REF!</definedName>
    <definedName name="BO3F1E11A469274FC6A67526112EDDD0AF" hidden="1">#REF!</definedName>
    <definedName name="BO3F22889ABE80465F85473D4ABC874FD7" hidden="1">#REF!</definedName>
    <definedName name="BO3F277297305048B9A67A3833ADCD0E12" hidden="1">#REF!</definedName>
    <definedName name="BO3F30918548184C91A36CEDD92895DF1E" hidden="1">#REF!</definedName>
    <definedName name="BO3F38A0A7D46D4BA7AD527D30E4A56B72" hidden="1">#REF!</definedName>
    <definedName name="BO3F3D2A8F812141B6AC12D6BA19CD028E" hidden="1">#REF!</definedName>
    <definedName name="BO3F46EA2334684F29BCAD6E092746B740" hidden="1">#REF!</definedName>
    <definedName name="BO3F5B203B990340228EE5AA55860A0B8E" hidden="1">#REF!</definedName>
    <definedName name="BO3F645583CD92428298A60AD59E390265" hidden="1">#REF!</definedName>
    <definedName name="BO3F83F37BE86B446EB97593C842A48D11" hidden="1">#REF!</definedName>
    <definedName name="BO3F843D098E9A4A42AB0A2136164ED60B" hidden="1">#REF!</definedName>
    <definedName name="BO3F843E3EAF5C41D793F1710E586003B0" hidden="1">#REF!</definedName>
    <definedName name="BO3F8975D6AF56434CB59C9E31A11D0CF5" hidden="1">#REF!</definedName>
    <definedName name="BO3F8E4FFDEF82428999EF6A3B99B1864B" hidden="1">#REF!</definedName>
    <definedName name="BO3FA29E5CA50F4715B66B74486B376575" hidden="1">#REF!</definedName>
    <definedName name="BO3FAB412899694FC183D20D0B8AA897BA" hidden="1">#REF!</definedName>
    <definedName name="BO3FB1643B22B44F8E8E5C3B832C6F94D0" hidden="1">#REF!</definedName>
    <definedName name="BO3FBFA84D4DAE49E6B93EECA3E46D826C" hidden="1">#REF!</definedName>
    <definedName name="BO3FBFE32341BA4B5CBF898072124A4774" hidden="1">#REF!</definedName>
    <definedName name="BO3FCCFF29E58C4498BCF6C8600271E745" hidden="1">#REF!</definedName>
    <definedName name="BO3FD1ACD2B7D3444E972CD0E975ECE659" hidden="1">#REF!</definedName>
    <definedName name="BO3FF74FEA2CF94E9DADD54478EC052B2F" hidden="1">#REF!</definedName>
    <definedName name="BO40008CF7F4DA4E96A26FBEA475DE0796" hidden="1">#REF!</definedName>
    <definedName name="BO40022C98B06A4FCBAC9064A4EA42FB08" hidden="1">#REF!</definedName>
    <definedName name="BO400631F60C7A480FAD7DC31CC1DFD69D" hidden="1">#REF!</definedName>
    <definedName name="BO4021533133BD483CA5D300E56BD4A11B" hidden="1">#REF!</definedName>
    <definedName name="BO4027A40AE72843D683389A91F5B9AE2C" hidden="1">#REF!</definedName>
    <definedName name="BO4032600DA1604EBCA40AD8FA527A2DB8" hidden="1">#REF!</definedName>
    <definedName name="BO403846FA400C423A9054AFC249D0E41D" hidden="1">#REF!</definedName>
    <definedName name="BO403B5E62ED5F47888AA1E75CE4B4227D" hidden="1">#REF!</definedName>
    <definedName name="BO40428D83BE46458DA3AB6CBF493A31DF" hidden="1">#REF!</definedName>
    <definedName name="BO40464DA0F33A442D9A4E4F5778FF687F" hidden="1">#REF!</definedName>
    <definedName name="BO40515F70D7FD4F28B8A8A141DF9ADF80" hidden="1">#REF!</definedName>
    <definedName name="BO4052EE8E85904E7ABC28234A81EB77A1" hidden="1">#REF!</definedName>
    <definedName name="BO4057920C358B436BBB0BEAE219E7744E" hidden="1">#REF!</definedName>
    <definedName name="BO405792ADCF2E45CCB976842F14D022B7" hidden="1">#REF!</definedName>
    <definedName name="BO406254196E15439B85E8EBE9BA545CE0" hidden="1">#REF!</definedName>
    <definedName name="BO406435C0819B4C7C98A2B0F50580C676" hidden="1">#REF!</definedName>
    <definedName name="BO40693B5EAA9440FBB535AE3CC5252134" hidden="1">#REF!</definedName>
    <definedName name="BO4069BAA986F143C38ECE60E4E7C37641" hidden="1">#REF!</definedName>
    <definedName name="BO406D5CAF06454B84BF1F2D87C037AC7D" hidden="1">#REF!</definedName>
    <definedName name="BO40725A3B99CB4AD587F929D6BC49BE96" hidden="1">#REF!</definedName>
    <definedName name="BO407403F2BAA641BB9B9D7FC4D5C2B44E" hidden="1">#REF!</definedName>
    <definedName name="BO4079A47A5FC24429B761F389742D7806" hidden="1">#REF!</definedName>
    <definedName name="BO407DFCE8970640DB8ADE98D796C381B7" hidden="1">#REF!</definedName>
    <definedName name="BO408C428A46A54ABF99C27890F05475A0" hidden="1">#REF!</definedName>
    <definedName name="BO408D47B36DCC494A915E4A4AA2C79DE5" hidden="1">#REF!</definedName>
    <definedName name="BO40BE116428A14FD2A30F6D1DB5EDDDFA" hidden="1">#REF!</definedName>
    <definedName name="BO40C40736B11D4E4787D47A1372787289" hidden="1">#REF!</definedName>
    <definedName name="BO40E1A3C92AE84B78B4D999C57C7AE4E7" hidden="1">#REF!</definedName>
    <definedName name="BO40F1C9FA799E4E6CA0B05BB7190F9C88" hidden="1">#REF!</definedName>
    <definedName name="BO40F6078583404F509CB0F2B754944302" hidden="1">#REF!</definedName>
    <definedName name="BO40FFE8A4B5DC4DE899A13841F8A68EBC" hidden="1">#REF!</definedName>
    <definedName name="BO41070C7616B34D9A88B7C4BF653457DC" hidden="1">#REF!</definedName>
    <definedName name="BO411F93F7402543569DBC2C5CF40AE811" hidden="1">#REF!</definedName>
    <definedName name="BO4123E960588B43CB99508CF873D648B1" hidden="1">#REF!</definedName>
    <definedName name="BO4135E19836F44838B1A6CA07AC779A62" hidden="1">#REF!</definedName>
    <definedName name="BO4139F45B9D2741E99205C54F41ACCBC9" hidden="1">#REF!</definedName>
    <definedName name="BO41498888205547C099F1A59C01B06254" hidden="1">#REF!</definedName>
    <definedName name="BO41567E7432534468B6772E14C49B5292" hidden="1">#REF!</definedName>
    <definedName name="BO4159FA8D93D24474B5CF0A86EA6231C9" hidden="1">#REF!</definedName>
    <definedName name="BO417779FAD120433EAE4466AD60296526" hidden="1">#REF!</definedName>
    <definedName name="BO417C57D8516A4C789D39347F21DFB20C" hidden="1">#REF!</definedName>
    <definedName name="BO41836CAF006744B184F6A88D8A69194C" hidden="1">#REF!</definedName>
    <definedName name="BO418BE5D66DE642D8A08BBDBCC18D673B" hidden="1">#REF!</definedName>
    <definedName name="BO41972A4DFA7B4A08910CB702A9A182A7" hidden="1">#REF!</definedName>
    <definedName name="BO41A21DA6A31C4E42B8FBA15887CAD2BB" hidden="1">#REF!</definedName>
    <definedName name="BO41B34389EE8B47D4999CC984786CEA7D" hidden="1">#REF!</definedName>
    <definedName name="BO41C7A94E99CB471887CA867DD2186EB5" hidden="1">#REF!</definedName>
    <definedName name="BO41D2E01CA3024C57BC5049C8839471CB" hidden="1">#REF!</definedName>
    <definedName name="BO41DBA15B6FDC4F5387FA1778D7037CBA" hidden="1">#REF!</definedName>
    <definedName name="BO41EE01EC656A47FB8A8D79841BC2B7EF" hidden="1">#REF!</definedName>
    <definedName name="BO41F8896BF54A4CCC84FB052E6829FFC8" hidden="1">#REF!</definedName>
    <definedName name="BO4212380E9AC74A43BD913DA620CB29E8" hidden="1">#REF!</definedName>
    <definedName name="BO42139856E46445789974AD77DC784C94" hidden="1">#REF!</definedName>
    <definedName name="BO4225E40CFA8C4C7F8E69EAE50315C811" hidden="1">#REF!</definedName>
    <definedName name="BO4248086BDBC34E5EB209926EE6945238" hidden="1">#REF!</definedName>
    <definedName name="BO424A3CB1835D480D9425C6C3E6F3B0E2" hidden="1">#REF!</definedName>
    <definedName name="BO424D6759F4B944B1848D53818DCDE8CF" hidden="1">#REF!</definedName>
    <definedName name="BO4259B8E1B1E14837836D7D5EE87BD387" hidden="1">#REF!</definedName>
    <definedName name="BO42603AE889C444D9B4103A36754E1FE0" hidden="1">#REF!</definedName>
    <definedName name="BO4260761BC4F1407E8F9B4516DF8E4C74" hidden="1">#REF!</definedName>
    <definedName name="BO4275728051AB455E9B52892C35188B0E" hidden="1">#REF!</definedName>
    <definedName name="BO4278BCE3DB3D42C7B0ACC88D96D88AE3" hidden="1">#REF!</definedName>
    <definedName name="BO427A07BA8883472686CD96C34143F032" hidden="1">#REF!</definedName>
    <definedName name="BO428A8767DDC6480B839A56AD5CAB4C2D" hidden="1">#REF!</definedName>
    <definedName name="BO428CD6BD638F4F5D9FEE618FA9479969" hidden="1">#REF!</definedName>
    <definedName name="BO428FC334F92643139AC32A5B91D8EA96" hidden="1">#REF!</definedName>
    <definedName name="BO42946A46130941F88EAC3BD75B33BD37" hidden="1">#REF!</definedName>
    <definedName name="BO429AA0DC036949E6A1E419D31981B393" hidden="1">#REF!</definedName>
    <definedName name="BO42A20EF54F564786B3FF591528658D2A" hidden="1">#REF!</definedName>
    <definedName name="BO42A736401870400BA3B2D3EECBFB48B6" hidden="1">#REF!</definedName>
    <definedName name="BO42AF252872D9454B8650298602896188" hidden="1">#REF!</definedName>
    <definedName name="BO42AF821011FA4F0E9D55892D274DADFE" hidden="1">#REF!</definedName>
    <definedName name="BO42D5B4C5F0B944E69C11CE5B5048AE9A" hidden="1">#REF!</definedName>
    <definedName name="BO42D62E45D5A641BDB6C617EE07E847BB" hidden="1">#REF!</definedName>
    <definedName name="BO42DED5D138C34948AE889B8DDF038AC8" hidden="1">#REF!</definedName>
    <definedName name="BO42E464BB05A94195873DC71C55E8C9DA" hidden="1">#REF!</definedName>
    <definedName name="BO42EFBFD9E39C400092C813A8BD321C0A" hidden="1">#REF!</definedName>
    <definedName name="BO42F49E72F7C241D19D258E41944C0809" hidden="1">#REF!</definedName>
    <definedName name="BO42FC0D454E9E46CA9EB2A6865E39D013" hidden="1">#REF!</definedName>
    <definedName name="BO43053DBDD3FB437B9B1AC69D73C4C139" hidden="1">#REF!</definedName>
    <definedName name="BO4308768230214F3794B42BAE51F86686" hidden="1">#REF!</definedName>
    <definedName name="BO430F0E1E644844CEA13729ACF1EE8EE6" hidden="1">#REF!</definedName>
    <definedName name="BO432BBC12E6A4455DA4DF104357B5360C" hidden="1">#REF!</definedName>
    <definedName name="BO4337349F50BB4B808341EAE1C9174CE5" hidden="1">#REF!</definedName>
    <definedName name="BO433FC93CDF9346799806ACAD236AB30C" hidden="1">#REF!</definedName>
    <definedName name="BO4341C5B7B601464F844D0E2AA47ED44C" hidden="1">#REF!</definedName>
    <definedName name="BO43584E4E31964D89AA6F14375141EA65" hidden="1">#REF!</definedName>
    <definedName name="BO436A3889B88F464A897E7C6FD8C7BFD2" hidden="1">#REF!</definedName>
    <definedName name="BO43761FC4A0424E92A2487592200E5E31" hidden="1">#REF!</definedName>
    <definedName name="BO439441CCE17E4FD49756E1E8B60B2137" hidden="1">#REF!</definedName>
    <definedName name="BO439AC109AEA04050B97B28064909C5CC" hidden="1">#REF!</definedName>
    <definedName name="BO43A30E046CDD465DBFA91559DA95D71C" hidden="1">#REF!</definedName>
    <definedName name="BO43A40875070B47D68C5200E1FCF08423" hidden="1">#REF!</definedName>
    <definedName name="BO43A46CEF800B41CF878ACE739B3726A2" hidden="1">#REF!</definedName>
    <definedName name="BO43ABD35639354975849B8B4168CB5E80" hidden="1">#REF!</definedName>
    <definedName name="BO43AEB89138D4439B8F53B02765E380FE" hidden="1">#REF!</definedName>
    <definedName name="BO43B4E7AB1EE64B5F9035BD5FBC952C8B" hidden="1">#REF!</definedName>
    <definedName name="BO43B9C1AF96DC4554B99CE7ED6652FC9E" hidden="1">#REF!</definedName>
    <definedName name="BO43BAC03460ED4EA1B31BF004DB40EB04" hidden="1">#REF!</definedName>
    <definedName name="BO43BAD0D2FC38490CA302A7A1D9E7F7A9" hidden="1">#REF!</definedName>
    <definedName name="BO43BF1C1364B246E6AF3B73F2D01A3663" hidden="1">#REF!</definedName>
    <definedName name="BO43CB0895811B492AB6EAF764A189F2F4" hidden="1">#REF!</definedName>
    <definedName name="BO43D1450ACAAA4203B82E4B468ED158CB" hidden="1">#REF!</definedName>
    <definedName name="BO43D4208E4D6B42B4808F246DC40969CB" hidden="1">#REF!</definedName>
    <definedName name="BO43D66EFE46924C8BADD7B9D203FD67DB" hidden="1">#REF!</definedName>
    <definedName name="BO43D7DF63DCF44F0BBD4666C1ED0290F8" hidden="1">#REF!</definedName>
    <definedName name="BO43DAF377F0174A41839484AB5793C2F2" hidden="1">#REF!</definedName>
    <definedName name="BO43E19E99C7A14779A6FE016551301AB5" hidden="1">#REF!</definedName>
    <definedName name="BO43EAEA7D7475441DAD2E44D60DCEFAC5" hidden="1">#REF!</definedName>
    <definedName name="BO43EE3F51F9774E33B273F6AF3B2927C1" hidden="1">#REF!</definedName>
    <definedName name="BO43F4B3F4CBAA41BEB67DA5FFB4D67376" hidden="1">#REF!</definedName>
    <definedName name="BO43FB781A3B3F4C04838EAA79A380BDF0" hidden="1">#REF!</definedName>
    <definedName name="BO43FCAEA47CB9415E83EC1B350B825A77" hidden="1">#REF!</definedName>
    <definedName name="BO44102A3771084570A1986B2C8D881EA9" hidden="1">#REF!</definedName>
    <definedName name="BO44128AECA84548C09EB642D933938C05" hidden="1">#REF!</definedName>
    <definedName name="BO4417887015424CCEAF5244CF63CED2A3" hidden="1">#REF!</definedName>
    <definedName name="BO441EDC316CFE44E3AFE07FE0B87F73F0" hidden="1">#REF!</definedName>
    <definedName name="BO4422F744EC404369A4FD5CFD39E89FEF" hidden="1">#REF!</definedName>
    <definedName name="BO443FAEF303A44440AEAD62EE56F653FD" hidden="1">#REF!</definedName>
    <definedName name="BO4441F82EA2F9439BA656AEB0CDEF2814" hidden="1">#REF!</definedName>
    <definedName name="BO444889C4C03A4EEE94FC2B94068B6000" hidden="1">#REF!</definedName>
    <definedName name="BO44495EC9BEB24F60927CE0F1940FEF92" hidden="1">#REF!</definedName>
    <definedName name="BO44509B6736AA44B3A736598CF10F85E8" hidden="1">#REF!</definedName>
    <definedName name="BO4468E98B02A54BB19817634EE00C9508" hidden="1">#REF!</definedName>
    <definedName name="BO446DE8DB05D34133AC012F5182E3A674" hidden="1">#REF!</definedName>
    <definedName name="BO447588F96723448F92C2B7AB4C1B5239" hidden="1">#REF!</definedName>
    <definedName name="BO4478C6C5C1754FEF86C6E007F7DFA56D" hidden="1">#REF!</definedName>
    <definedName name="BO447AD638AB7D4DEDA939971AE5D907CE" hidden="1">#REF!</definedName>
    <definedName name="BO447CDC0343654126AC71AF2EACB93696" hidden="1">#REF!</definedName>
    <definedName name="BO448D62E53977440C9C960FD3807D1DC5" hidden="1">#REF!</definedName>
    <definedName name="BO448D7845A4E54E1286BCDF5A1D4233F5" hidden="1">#REF!</definedName>
    <definedName name="BO44B0438708F24977AF66C04DC9F147D9" hidden="1">#REF!</definedName>
    <definedName name="BO44D3F5DD02C8432B8800BE9A4EF5E65A" hidden="1">#REF!</definedName>
    <definedName name="BO44D3FD299771454382D6E9F460C826CB" hidden="1">#REF!</definedName>
    <definedName name="BO44D5DC0881724AF2AB345DBDABCD6140" hidden="1">#REF!</definedName>
    <definedName name="BO44D66DCA0821437AB7952EC0BBD9460A" hidden="1">#REF!</definedName>
    <definedName name="BO44D6BF68B477442E85DC2B667B2D9733" hidden="1">#REF!</definedName>
    <definedName name="BO44DF3FBC91324ACB9E2BC24403EA98F2" hidden="1">#REF!</definedName>
    <definedName name="BO44FBFB8A0293404BADE987D8FE9E0B67" hidden="1">#REF!</definedName>
    <definedName name="BO44FCDAA0A6B4445990329F4EC34F8490" hidden="1">#REF!</definedName>
    <definedName name="BO450F129F3DA94DC796EE1A56DBC34CAC" hidden="1">#REF!</definedName>
    <definedName name="BO451310CA980C4B0DB9A718B4633165B5" hidden="1">#REF!</definedName>
    <definedName name="BO451330B7B00F436D96318D3B5AB51602" hidden="1">#REF!</definedName>
    <definedName name="BO4521BEEB264D479A921A148B0DD99FCD" hidden="1">#REF!</definedName>
    <definedName name="BO4534403CE7AA4F728D875236D29F6F3A" hidden="1">#REF!</definedName>
    <definedName name="BO453EA722C81642C4881D6D679639B7CD" hidden="1">#REF!</definedName>
    <definedName name="BO454963C5267C4F679726EB2F193FA5AC" hidden="1">#REF!</definedName>
    <definedName name="BO454E3CCE9BBA4C67AE61716C4437CB95" hidden="1">#REF!</definedName>
    <definedName name="BO455F466B2B734DA1924BC7E9752202B3" hidden="1">#REF!</definedName>
    <definedName name="BO4576392FDE19449CAEC41A2AED75A607" hidden="1">#REF!</definedName>
    <definedName name="BO458642A3CD4946C5953D792B8CF28A64" hidden="1">#REF!</definedName>
    <definedName name="BO458A343F210B49E0A3B97F5CE7E732CD" hidden="1">#REF!</definedName>
    <definedName name="BO458BFCF06C6A424593383E1A5B6A3E91" hidden="1">#REF!</definedName>
    <definedName name="BO458BFCF45DC54108B37750440BC0BA36" hidden="1">#REF!</definedName>
    <definedName name="BO45A066320356466F8EB6AA4A7C6EDDD8" hidden="1">#REF!</definedName>
    <definedName name="BO45A64823D7DE4F97BD46E8F360E84E5A" hidden="1">#REF!</definedName>
    <definedName name="BO45B29C225B7B46B9BDEF68582648EB47" hidden="1">#REF!</definedName>
    <definedName name="BO45C5DFED3912416194420467FDB7AE54" hidden="1">#REF!</definedName>
    <definedName name="BO45F763F5E6834669AFD6C21A2FE9F8B0" hidden="1">#REF!</definedName>
    <definedName name="BO46027BD4D3DF4B709D36B44122011BC6" hidden="1">#REF!</definedName>
    <definedName name="BO4603136723C842988E8CEA81B0CAAB19" hidden="1">#REF!</definedName>
    <definedName name="BO46078C826FD9443CAE6EE1B1FA5FBF25" hidden="1">#REF!</definedName>
    <definedName name="BO460B8978CD3C45669B0896E45CFC00BA" hidden="1">#REF!</definedName>
    <definedName name="BO460EDAF28C3A4A5E9669086C089F482E" hidden="1">#REF!</definedName>
    <definedName name="BO461114276084473EBAD6272E45AFAB3F" hidden="1">#REF!</definedName>
    <definedName name="BO4612F60EDFD44382A1AE1924832028A5" hidden="1">#REF!</definedName>
    <definedName name="BO4614505415C242008074133AAF655047" hidden="1">#REF!</definedName>
    <definedName name="BO461BA5A1AAD14A838E2B8C933E2292D9" hidden="1">#REF!</definedName>
    <definedName name="BO4622193C5EFB42B8852776FBF1ADF49C" hidden="1">#REF!</definedName>
    <definedName name="BO4627BCC633A7454093E41B17FDD6FA03" hidden="1">#REF!</definedName>
    <definedName name="BO462B8414FC7842BBADB3AF584C002BE7" hidden="1">#REF!</definedName>
    <definedName name="BO462DB5FC417946AD921B81AC9502D534" hidden="1">#REF!</definedName>
    <definedName name="BO463B4B2AB5C440E9B05440ABB5185104" hidden="1">#REF!</definedName>
    <definedName name="BO4647835DA90049A08D8C3263D006CE54" hidden="1">#REF!</definedName>
    <definedName name="BO46497C378C8846AC9A55855C2007AFF2" hidden="1">#REF!</definedName>
    <definedName name="BO4656E1B615C5420AAAC422B2232DB008" hidden="1">#REF!</definedName>
    <definedName name="BO4663193758F44B8B87A7A5676C7A8E7D" hidden="1">#REF!</definedName>
    <definedName name="BO466EF69DD9BB42E79C35BE8819A3DF60" hidden="1">#REF!</definedName>
    <definedName name="BO466F70C30B9E44328F7BD50B5B85A67E" hidden="1">#REF!</definedName>
    <definedName name="BO467810FAECE246F3A7ECB69E6484640B" hidden="1">#REF!</definedName>
    <definedName name="BO467AF636039A4C9CA6400DD4B0EF578D" hidden="1">#REF!</definedName>
    <definedName name="BO467B2F993B244A72AEC2491C905CC7BD" hidden="1">#REF!</definedName>
    <definedName name="BO467ED8EF9418482786D1F06A104D8E79" hidden="1">#REF!</definedName>
    <definedName name="BO46839911E29248168E05D279B45280C2" hidden="1">#REF!</definedName>
    <definedName name="BO468A77F4164B47E7965F8C8169FA6C65" hidden="1">#REF!</definedName>
    <definedName name="BO468BF7DE3A374809A812B00C881B5ED1" hidden="1">#REF!</definedName>
    <definedName name="BO4691CD3F73C4482AB51DC76C4E91E5B4" hidden="1">#REF!</definedName>
    <definedName name="BO469506304F6A4AB4BD8CA888F212FA43" hidden="1">#REF!</definedName>
    <definedName name="BO46B3227F7E4F42579E7B7AFB5C9D542C" hidden="1">#REF!</definedName>
    <definedName name="BO46B8F1AE11924D06A061BB40BD1534A5" hidden="1">#REF!</definedName>
    <definedName name="BO46C91D266DBC4694BD9E3DB25B1C7304" hidden="1">#REF!</definedName>
    <definedName name="BO46D4E1729EE04E6ABBBC680CE1EAC1DE" hidden="1">#REF!</definedName>
    <definedName name="BO46D5087D4B4D45C89572211F2010A9C6" hidden="1">#REF!</definedName>
    <definedName name="BO46D5F4F5F1A342D7A7BA819904D1216A" hidden="1">#REF!</definedName>
    <definedName name="BO46E37C6A1B1F404894E791BA68370FD8" hidden="1">#REF!</definedName>
    <definedName name="BO46EE72B5B67F4D89BE7946DACB17EC0F" hidden="1">#REF!</definedName>
    <definedName name="BO46F9F5D51ABE4B5CBFCFB6DF43FC3242" hidden="1">#REF!</definedName>
    <definedName name="BO47015A20D935446FA15D5EBB04EF64EA" hidden="1">#REF!</definedName>
    <definedName name="BO47151A86CED74A2E9AF8F5ABD6E25C33" hidden="1">#REF!</definedName>
    <definedName name="BO471BA5881BA747F6A356F97B1EE6FB9F" hidden="1">#REF!</definedName>
    <definedName name="BO47285A75A6454DC7B5FFB0C97FCADF0C" hidden="1">#REF!</definedName>
    <definedName name="BO472CFC8BEAEC4153A1FF6D9767A05263" hidden="1">#REF!</definedName>
    <definedName name="BO473FCA97151049C79068C01A312AD6DA" hidden="1">#REF!</definedName>
    <definedName name="BO474F6E2453F9490383962833851E3B8D" hidden="1">#REF!</definedName>
    <definedName name="BO4754362067094EB68529F2FD5D689504" hidden="1">#REF!</definedName>
    <definedName name="BO476A7DB9A7FB4156B16F7F70D2AFD328" hidden="1">#REF!</definedName>
    <definedName name="BO4787BC6763B34221BBD6D895B7745719" hidden="1">#REF!</definedName>
    <definedName name="BO47884F7E2CD848F3B74BBFEDB57CABC0" hidden="1">#REF!</definedName>
    <definedName name="BO478F317E5C5F47D1ACEA9F66DF5709DD" hidden="1">#REF!</definedName>
    <definedName name="BO479441FC85024465A5C652CAF3AB4B09" hidden="1">#REF!</definedName>
    <definedName name="BO479536D09DA846B1A63EE4942DF9EC17" hidden="1">#REF!</definedName>
    <definedName name="BO4796817736B14F8E9D0B57D2D17086F3" hidden="1">#REF!</definedName>
    <definedName name="BO47A7A89CADD145B4B2160A4D5CDC5B67" hidden="1">#REF!</definedName>
    <definedName name="BO47B7DB6E902B442E818E2217DBE104FA" hidden="1">#REF!</definedName>
    <definedName name="BO47BF0ABE57FD41448EB87DAC618768E2" hidden="1">#REF!</definedName>
    <definedName name="BO47D1C485221A465284F85192E5408CAD" hidden="1">#REF!</definedName>
    <definedName name="BO47EDFA18301A4D5FBD35319D273F24B1" hidden="1">#REF!</definedName>
    <definedName name="BO47F10E6CE8C0477C8FBBF3F46A0B9ACE" hidden="1">#REF!</definedName>
    <definedName name="BO47FC63D08E824DE8BE7D814577124357" hidden="1">#REF!</definedName>
    <definedName name="BO47FC712DD9434CA5BCC1E1EC23F78002" hidden="1">#REF!</definedName>
    <definedName name="BO480683BEC4B04018808A1B705F56DDA0" hidden="1">#REF!</definedName>
    <definedName name="BO480A269F298842708F72B65234373D73" hidden="1">#REF!</definedName>
    <definedName name="BO480B1D8C70494DC2AA6454B7B57EF3ED" hidden="1">#REF!</definedName>
    <definedName name="BO4825AA4EAC574A60A143508BF0A01460" hidden="1">#REF!</definedName>
    <definedName name="BO48393425ADCC485EB8D88AA489F3743F" hidden="1">#REF!</definedName>
    <definedName name="BO483F9278B0F44E4BA0AC4D3FC26F3844" hidden="1">#REF!</definedName>
    <definedName name="BO4841884EF8174968B1A6194F83E91EDC" hidden="1">#REF!</definedName>
    <definedName name="BO4842ED5D63764DB2B94443B0A92DB23C" hidden="1">#REF!</definedName>
    <definedName name="BO484C4675E9D64969B666EA0E4CEDD8B0" hidden="1">#REF!</definedName>
    <definedName name="BO48609A898586400F85EC70BF91ABEB96" hidden="1">#REF!</definedName>
    <definedName name="BO4870BFB3E06943C497267CAD9C64F343" hidden="1">#REF!</definedName>
    <definedName name="BO4876F9D0653641C49B2ACCF4D0F92503" hidden="1">#REF!</definedName>
    <definedName name="BO48831D29534749E18131EEB32D762AB4" hidden="1">#REF!</definedName>
    <definedName name="BO4886C8E72EC24DDE9EDFF59225F53394" hidden="1">#REF!</definedName>
    <definedName name="BO488FA32F7B78415E97CC4EC283BC10BA" hidden="1">#REF!</definedName>
    <definedName name="BO48A36FAF565D4911B2ABD1D32C7D5128" hidden="1">#REF!</definedName>
    <definedName name="BO48AA73D3FD06491A84C1263BB7FD2F86" hidden="1">#REF!</definedName>
    <definedName name="BO48AAEAAB8CCD491AAF3848287176CD6B" hidden="1">#REF!</definedName>
    <definedName name="BO48B31C7A2C6944E2A7D181243F2715CF" hidden="1">#REF!</definedName>
    <definedName name="BO48C4576D2DE14E66AB6F69A2FAF19989" hidden="1">#REF!</definedName>
    <definedName name="BO48C57E305D0B4A4BBEB2C78D0248A3E2" hidden="1">#REF!</definedName>
    <definedName name="BO48CA2961506C4DF09D5FF1D4514DE1C0" hidden="1">#REF!</definedName>
    <definedName name="BO48D7D6169F6940ECAE81AED6C2D0B553" hidden="1">#REF!</definedName>
    <definedName name="BO48DCAB443E754DB1A22FCD687995359B" hidden="1">#REF!</definedName>
    <definedName name="BO48E2165F936848BD84F6392AD53B255E" hidden="1">#REF!</definedName>
    <definedName name="BO48E4D6F05D5049A2B39F4B8F688D9BEF" hidden="1">#REF!</definedName>
    <definedName name="BO48E8031FA2084135BABE28757F0E1664" hidden="1">#REF!</definedName>
    <definedName name="BO48EB5B8CF62C4A7CB7282B0050FA3729" hidden="1">#REF!</definedName>
    <definedName name="BO48F5F6B73A08484699D75FEF82084903" hidden="1">#REF!</definedName>
    <definedName name="BO48F65F9AA1E84A9C8AC4D0DA3A803F06" hidden="1">#REF!</definedName>
    <definedName name="BO491223EB289044FAAFD3962F361BEC5E" hidden="1">#REF!</definedName>
    <definedName name="BO491605D80B854118973738F016EF0083" hidden="1">#REF!</definedName>
    <definedName name="BO49202FAED69B451188CB44BE353EC662" hidden="1">#REF!</definedName>
    <definedName name="BO49285A60B3E64560A72E9E95A46AD15E" hidden="1">#REF!</definedName>
    <definedName name="BO492B4311D9BF4FAEBC33CCE35B32F75B" hidden="1">#REF!</definedName>
    <definedName name="BO49302EBDB36D4906A467CBDE32C141A9" hidden="1">#REF!</definedName>
    <definedName name="BO4935BFEE43E04A1EACFFF79116315F92" hidden="1">#REF!</definedName>
    <definedName name="BO49379ABE474A43469B51B5D77F393CF8" hidden="1">#REF!</definedName>
    <definedName name="BO4939C7817D58434980AEAB743F3344DB" hidden="1">#REF!</definedName>
    <definedName name="BO495530DAC39147509DAF89C85FF5F4D3" hidden="1">#REF!</definedName>
    <definedName name="BO4967EB1D01904EECBDE8B45D4DDF3739" hidden="1">#REF!</definedName>
    <definedName name="BO498827C6D2BA496CB982E912CFEDA2CE" hidden="1">#REF!</definedName>
    <definedName name="BO498CAFD867DA410B93ADA8B35D7EF255" hidden="1">#REF!</definedName>
    <definedName name="BO498E8BFFABA54FBF95C961CDBA432429" hidden="1">#REF!</definedName>
    <definedName name="BO4994AD0D076B4A779FE6C8243A70374A" hidden="1">#REF!</definedName>
    <definedName name="BO49A07A8A31EE486DACA6F8EB4E80DAD1" hidden="1">#REF!</definedName>
    <definedName name="BO49A4953FCCDD4C52918A4708BA8A16D9" hidden="1">#REF!</definedName>
    <definedName name="BO49A78749A1F44B8B836A1AF12AB8C705" hidden="1">#REF!</definedName>
    <definedName name="BO49AA882949914891A9089774CB2EBF99" hidden="1">#REF!</definedName>
    <definedName name="BO49B363A9E68644A9BA08A5D505D82803" hidden="1">#REF!</definedName>
    <definedName name="BO49B4E6075A934A41AF6B443162790CC3" hidden="1">#REF!</definedName>
    <definedName name="BO49C669EB86AD4945B63425B54432938B" hidden="1">#REF!</definedName>
    <definedName name="BO49D766F0736948A894ADED3211179266" hidden="1">#REF!</definedName>
    <definedName name="BO49E08B2DD1D94201BE86390CF55E2E8F" hidden="1">#REF!</definedName>
    <definedName name="BO49F224A0B52342A09AA5D0CC78CCBA4E" hidden="1">#REF!</definedName>
    <definedName name="BO4A0277A2F9114472B748A841C37267E8" hidden="1">#REF!</definedName>
    <definedName name="BO4A08B84720DC406AB7B0DF948107266E" hidden="1">#REF!</definedName>
    <definedName name="BO4A134336506B47F99CD0C32016854AC9" hidden="1">#REF!</definedName>
    <definedName name="BO4A2E828F5F064C99A7E11268F5944E2A" hidden="1">#REF!</definedName>
    <definedName name="BO4A44DFFC40F14CE585C95C97D1DD3CF9" hidden="1">#REF!</definedName>
    <definedName name="BO4A561D591120400E9CCB5972C114BDB6" hidden="1">#REF!</definedName>
    <definedName name="BO4A5B225A0E914CB5A2DB8E217EB14841" hidden="1">#REF!</definedName>
    <definedName name="BO4A6212367D0A4AA0A2F0A1B5EA879868" hidden="1">#REF!</definedName>
    <definedName name="BO4A6CBB75E18D4A509255932FE3550D14" hidden="1">#REF!</definedName>
    <definedName name="BO4A7CFA8C87E845C3A7E6377A00E45BFA" hidden="1">#REF!</definedName>
    <definedName name="BO4A89DC8F0F2744A087951AD8021C485C" hidden="1">#REF!</definedName>
    <definedName name="BO4AA0DDEBB21942CA9ABAFBBC8F104178" hidden="1">#REF!</definedName>
    <definedName name="BO4AA45A8CE042495088520998055D3515" hidden="1">#REF!</definedName>
    <definedName name="BO4AAD40E5C2CD427AA64AB550A454C0BB" hidden="1">#REF!</definedName>
    <definedName name="BO4AC0490549194CB0B6A3784D8A95357D" hidden="1">#REF!</definedName>
    <definedName name="BO4AC8FC9A944B429E9D45A2E4951A8099" hidden="1">#REF!</definedName>
    <definedName name="BO4ACACC02551B48CFBD5AC0840A88E70B" hidden="1">#REF!</definedName>
    <definedName name="BO4AD7455F1D3344549039788E070519C3" hidden="1">#REF!</definedName>
    <definedName name="BO4ADFAD13D4B947B687C30A94A9539214" hidden="1">#REF!</definedName>
    <definedName name="BO4AE52BD800CA4E228811CE9565F43C78" hidden="1">#REF!</definedName>
    <definedName name="BO4AF802F193284649AFE9BEC68D33968C" hidden="1">#REF!</definedName>
    <definedName name="BO4AFB098888FE44ECB4F0B69F43AECBD4" hidden="1">#REF!</definedName>
    <definedName name="BO4B13E2E326DE4D708325FDAC79668FA8" hidden="1">#REF!</definedName>
    <definedName name="BO4B140FC4FDA84954B208B5BCE94D960E" hidden="1">#REF!</definedName>
    <definedName name="BO4B198BDEFED34392BADBF79358BA215D" hidden="1">#REF!</definedName>
    <definedName name="BO4B327A4722F541BDB2CAB63DB2062250" hidden="1">#REF!</definedName>
    <definedName name="BO4B367F34F2CD4BFE940D858D3DB35B35" hidden="1">#REF!</definedName>
    <definedName name="BO4B3D623F44CB472B867081ACE9E06DA0" hidden="1">#REF!</definedName>
    <definedName name="BO4B486ABDCED749118D53732278BC3EA2" hidden="1">#REF!</definedName>
    <definedName name="BO4B55A734013E49A5A876B348F729F7AE" hidden="1">#REF!</definedName>
    <definedName name="BO4B567A84472C41128223A08996321929" hidden="1">#REF!</definedName>
    <definedName name="BO4B577315909C49638778B77C851C0EB6" hidden="1">#REF!</definedName>
    <definedName name="BO4B6D462D507647DBB8F2C6A0F004341B" hidden="1">#REF!</definedName>
    <definedName name="BO4B7444DFC6A142B682A665DC81C59030" hidden="1">#REF!</definedName>
    <definedName name="BO4B8FA45AD81B4DD4868A90F262B8D663" hidden="1">#REF!</definedName>
    <definedName name="BO4B9350A84D6A42AA8D8BD12842A76AB7" hidden="1">#REF!</definedName>
    <definedName name="BO4BA1EB6A84124833A16243954EB2B9A8" hidden="1">#REF!</definedName>
    <definedName name="BO4BA2366FE3B845F1BE4089FA08ED3008" hidden="1">#REF!</definedName>
    <definedName name="BO4BA6E06C2C924ECF88B50E5B42AC45CF" hidden="1">#REF!</definedName>
    <definedName name="BO4BA7D47883BF4427AA653FC6F72171F2" hidden="1">#REF!</definedName>
    <definedName name="BO4BB29344D5074C5EB79493D3EDB7331A" hidden="1">#REF!</definedName>
    <definedName name="BO4BB4AD9246B34956BBAB5C39B18C8F13" hidden="1">#REF!</definedName>
    <definedName name="BO4BC510A675894904B50144B28BCEA400" hidden="1">#REF!</definedName>
    <definedName name="BO4BD47EA8EDF34DF6A6221D63CAE430DB" hidden="1">#REF!</definedName>
    <definedName name="BO4BD537BA73B44FAFBA3C98FE40B57B7C" hidden="1">#REF!</definedName>
    <definedName name="BO4BDE48D4C41447E6B1EA83F9B0E2F7F6" hidden="1">#REF!</definedName>
    <definedName name="BO4BE31D31723A4E49B7AF3ED95CC2546F" hidden="1">#REF!</definedName>
    <definedName name="BO4BE5F5DFD5A24B49902250295C9DE922" hidden="1">#REF!</definedName>
    <definedName name="BO4BEBC4F3357B4FF08094E7A51082B7F0" hidden="1">#REF!</definedName>
    <definedName name="BO4C032D02DC454E5596D4DF392127B674" hidden="1">#REF!</definedName>
    <definedName name="BO4C0EF44E622E4BD6AB25DFB856C0B6D5" hidden="1">#REF!</definedName>
    <definedName name="BO4C1A91B4F1374794AD35C001A487DBD0" hidden="1">#REF!</definedName>
    <definedName name="BO4C1DC4D362874744A36FDD8C0BA74145" hidden="1">#REF!</definedName>
    <definedName name="BO4C1DDAACF70D41CD9049BFE1F3058D9C" hidden="1">#REF!</definedName>
    <definedName name="BO4C35F5D8B2EA410390FCADB6F5B5A302" hidden="1">#REF!</definedName>
    <definedName name="BO4C3657CDD575479696A45990FB2FBD19" hidden="1">#REF!</definedName>
    <definedName name="BO4C38549E20954662B484E048B7C3C699" hidden="1">#REF!</definedName>
    <definedName name="BO4C38BCC3E19640A7BADAE4854397AA1D" hidden="1">#REF!</definedName>
    <definedName name="BO4C3E9816FDD04EC8B7E7E800AAFB0A83" hidden="1">#REF!</definedName>
    <definedName name="BO4C437677684140DE898D566C1E9F341B" hidden="1">#REF!</definedName>
    <definedName name="BO4C49B7A2B0C048FB9803E4D5DB6B85E4" hidden="1">#REF!</definedName>
    <definedName name="BO4C4F5ED4BB0E4709AF549522F05FD350" hidden="1">#REF!</definedName>
    <definedName name="BO4C5418FC64D8437EBACD3B6B8B852F4B" hidden="1">#REF!</definedName>
    <definedName name="BO4C5E49D096AC4D78A81A252DBC86AE4A" hidden="1">#REF!</definedName>
    <definedName name="BO4C5EAD77CBAC4331AD2C4588FE5D5C6B" hidden="1">#REF!</definedName>
    <definedName name="BO4C5EC7DD1AB04397A4F5A8A939ED19D3" hidden="1">#REF!</definedName>
    <definedName name="BO4C64D2B58B7E418D91B11F295285C0D2" hidden="1">#REF!</definedName>
    <definedName name="BO4C685A4AABA243BEABBEF48BFF8714A7" hidden="1">#REF!</definedName>
    <definedName name="BO4C6A5C68658F422CACE3C225D2B3ACD1" hidden="1">#REF!</definedName>
    <definedName name="BO4C6B2C85477F46869895CAC3BE203C2B" hidden="1">#REF!</definedName>
    <definedName name="BO4C6D1ABFE4AC4F9A8BCB105E48A7C557" hidden="1">#REF!</definedName>
    <definedName name="BO4C71C0552C5F471FBE086298048DF53D" hidden="1">#REF!</definedName>
    <definedName name="BO4C8332D3496F4F31924F29A47CB00CE9" hidden="1">#REF!</definedName>
    <definedName name="BO4C8CCAFFC55A4525BE98C29834A8F4BA" hidden="1">#REF!</definedName>
    <definedName name="BO4C93D48024A643FF94E077CBBEF516E3" hidden="1">#REF!</definedName>
    <definedName name="BO4C9CEBACCFCB47AF9B7D0D78BB0EACBC" hidden="1">#REF!</definedName>
    <definedName name="BO4CA19F2522694B3DB9AF0063063EAD51" hidden="1">#REF!</definedName>
    <definedName name="BO4CA5847E870B4BC28A5102D8D14065E1" hidden="1">#REF!</definedName>
    <definedName name="BO4CB45A97A2964C178B7E9AC9CCEDF4E6" hidden="1">#REF!</definedName>
    <definedName name="BO4CB9A4F0A4E54B9EA4B1EC1472CB459D" hidden="1">#REF!</definedName>
    <definedName name="BO4CBF266C47C9470F8A071E971B9ED36E" hidden="1">#REF!</definedName>
    <definedName name="BO4CCDB45622894958BFE84723218EAA27" hidden="1">#REF!</definedName>
    <definedName name="BO4CDBBCD4D67C43DBAF5B18EB84601ACE" hidden="1">#REF!</definedName>
    <definedName name="BO4CE308AF464C49BEA1A90FFB53A7C82F" hidden="1">#REF!</definedName>
    <definedName name="BO4CE625F1BB474B33806DB40C8930F9F1" hidden="1">#REF!</definedName>
    <definedName name="BO4CF54C6AA4F9453ABF6EF6347CA14E5B" hidden="1">#REF!</definedName>
    <definedName name="BO4CF909F3AD6A4D199949A60FA68E881D" hidden="1">#REF!</definedName>
    <definedName name="BO4D02501CB1B448EABE1EEFA27C4AD081" hidden="1">#REF!</definedName>
    <definedName name="BO4D08E0B5DD464CAFBAF048029EB6C917" hidden="1">#REF!</definedName>
    <definedName name="BO4D16C3C7C21A4DF0BFEADD25E45C56AD" hidden="1">#REF!</definedName>
    <definedName name="BO4D19F0FEBE674F37A12E39550359E9F8" hidden="1">#REF!</definedName>
    <definedName name="BO4D1AB55BF3D2431982B976583E8CEF1C" hidden="1">#REF!</definedName>
    <definedName name="BO4D2008183903447483705EFF8F60D445" hidden="1">#REF!</definedName>
    <definedName name="BO4D2306B9C7B245029B1E9200D03CAC6C" hidden="1">#REF!</definedName>
    <definedName name="BO4D27FF2D81B948C299CC1727EC087381" hidden="1">#REF!</definedName>
    <definedName name="BO4D2BD5DE3E9447DEABB3D7D7452056BD" hidden="1">#REF!</definedName>
    <definedName name="BO4D2ED4ABFA0D4E9F9E67694173CF7E10" hidden="1">#REF!</definedName>
    <definedName name="BO4D2FE00123A642359E0504433CC416F3" hidden="1">#REF!</definedName>
    <definedName name="BO4D3AEF95DE844138B7BD7E7D6CC1F698" hidden="1">#REF!</definedName>
    <definedName name="BO4D490A33ABC842679466D61DB7F688C7" hidden="1">#REF!</definedName>
    <definedName name="BO4D4A5CBE131341A1A6CAC070548E1BFC" hidden="1">#REF!</definedName>
    <definedName name="BO4D4E4EA4CFF54F949361BEAD943CE384" hidden="1">#REF!</definedName>
    <definedName name="BO4D5483B852E8467299FDC1C87A3E311F" hidden="1">#REF!</definedName>
    <definedName name="BO4D595EFAB0534B9F800C6698DB7726D1" hidden="1">#REF!</definedName>
    <definedName name="BO4D6B48A04ECF409B9362B67BC2F917EF" hidden="1">#REF!</definedName>
    <definedName name="BO4D71BB6C30A24EB4905E62E54DB4BF1D" hidden="1">#REF!</definedName>
    <definedName name="BO4D7349CC76784EA98B96D943E46729D1" hidden="1">#REF!</definedName>
    <definedName name="BO4D77F09D607C4F92BEAB060512B5B67B" hidden="1">#REF!</definedName>
    <definedName name="BO4D8625B1B50446F5A6C99F9C45846991" hidden="1">#REF!</definedName>
    <definedName name="BO4D87546ED5D6488B82815C5579DDF845" hidden="1">#REF!</definedName>
    <definedName name="BO4D894799DC874E339B5C522B55BEB804" hidden="1">#REF!</definedName>
    <definedName name="BO4D8F922228B247EDBA22D7745415550E" hidden="1">#REF!</definedName>
    <definedName name="BO4D91EF3B621A403FB220B247EDC5E6E7" hidden="1">#REF!</definedName>
    <definedName name="BO4D94E21C1C58406E97AECA2740FBDA36" hidden="1">#REF!</definedName>
    <definedName name="BO4D953D9AFC9F4FCDA2D769D9C41FE082" hidden="1">#REF!</definedName>
    <definedName name="BO4D96B9A84FE749D3A51206704DDFC703" hidden="1">#REF!</definedName>
    <definedName name="BO4D9D256BD6D34882967B9218309BDC21" hidden="1">#REF!</definedName>
    <definedName name="BO4DB0746C737B4EDE973786EB655EE837" hidden="1">#REF!</definedName>
    <definedName name="BO4DB49681DD72441690D2A1DDA5035C28" hidden="1">#REF!</definedName>
    <definedName name="BO4DB9EEA6C21B4774A9C2545A9BD57B8D" hidden="1">#REF!</definedName>
    <definedName name="BO4DB9FD985BA34F69A47EB780F37901E9" hidden="1">#REF!</definedName>
    <definedName name="BO4DBD2FB4556649FE97A3E51688E7E7C2" hidden="1">#REF!</definedName>
    <definedName name="BO4DC0444CC199401BBD63FF6B5733B2A7" hidden="1">#REF!</definedName>
    <definedName name="BO4DCC61C01D31498BABA29C120528636F" hidden="1">#REF!</definedName>
    <definedName name="BO4DCCE7A326E5430C8F5ECB586ED3800F" hidden="1">#REF!</definedName>
    <definedName name="BO4DD04A38310A4AF7BB1F0789435A4C62" hidden="1">#REF!</definedName>
    <definedName name="BO4DD2C56812C744DB871AAA539E508FBC" hidden="1">#REF!</definedName>
    <definedName name="BO4DD599DDBD6242249FF309C7DFD2A7D3" hidden="1">#REF!</definedName>
    <definedName name="BO4DD9786F619D44A1A6CF3B4B827293C0" hidden="1">#REF!</definedName>
    <definedName name="BO4DDAB4940B2B47B4A685D544CDD6A0DB" hidden="1">#REF!</definedName>
    <definedName name="BO4DEB6956426E4B558E0CFB05541CA1FD" hidden="1">#REF!</definedName>
    <definedName name="BO4DECF08260444F709D29E11F1F3B369D" hidden="1">#REF!</definedName>
    <definedName name="BO4DFC40D9226647D4A727236F89E7389D" hidden="1">#REF!</definedName>
    <definedName name="BO4DFEB2C7D3E446EAB7E3E9BC46FA2E3C" hidden="1">#REF!</definedName>
    <definedName name="BO4E025FDCEB6A4AAC8CE0AB407B1A79C0" hidden="1">#REF!</definedName>
    <definedName name="BO4E06911642334D638482A832A0AED8DC" hidden="1">#REF!</definedName>
    <definedName name="BO4E1442CFF6424F34921A816C05E83C01" hidden="1">#REF!</definedName>
    <definedName name="BO4E1F07FC9AE943879315C94E4CF1FE85" hidden="1">#REF!</definedName>
    <definedName name="BO4E2DD3D1235943B28DC13CE6847CEBFF" hidden="1">#REF!</definedName>
    <definedName name="BO4E32F910774D414BABCA46B199C5AEE3" hidden="1">#REF!</definedName>
    <definedName name="BO4E40949C43454342BC44FE97569CEAD0" hidden="1">#REF!</definedName>
    <definedName name="BO4E4CF73ADCF44DD0A1BF7BC89BE789BD" hidden="1">#REF!</definedName>
    <definedName name="BO4E52A5CFF1D14657BAD00FDD5B1B735F" hidden="1">#REF!</definedName>
    <definedName name="BO4E6B20F184814B31B0A0CC18867C31D6" hidden="1">#REF!</definedName>
    <definedName name="BO4E6D096526934939819673F43C30135B" hidden="1">#REF!</definedName>
    <definedName name="BO4E6E031527C048A98BA0F065AE0CBC78" hidden="1">#REF!</definedName>
    <definedName name="BO4E74B62B613D40929E512A7B05FDF76A" hidden="1">#REF!</definedName>
    <definedName name="BO4E75025DB72A4B82ADB21A5E4F8868BE" hidden="1">#REF!</definedName>
    <definedName name="BO4E82EEA8CD3743CEBDE2207A327E0C16" hidden="1">#REF!</definedName>
    <definedName name="BO4E8FFE12B6F441FFAB67885DE6289C2C" hidden="1">#REF!</definedName>
    <definedName name="BO4EA64A6216344500BCE3C32CE5484B5F" hidden="1">#REF!</definedName>
    <definedName name="BO4EB0955DFDB34529B6A90CC533ACD4C5" hidden="1">#REF!</definedName>
    <definedName name="BO4EB83DED93A34FC79A636577BEE49DD9" hidden="1">#REF!</definedName>
    <definedName name="BO4EB8A07DFA204577B7611DC426FF2C64" hidden="1">#REF!</definedName>
    <definedName name="BO4EC43E40F4654427BFFF8B093AB8928E" hidden="1">#REF!</definedName>
    <definedName name="BO4EC86BA7EF084927B5F5F19ADDC2E5D8" hidden="1">#REF!</definedName>
    <definedName name="BO4EE1F4C436624E4983420F1928FD5FA0" hidden="1">#REF!</definedName>
    <definedName name="BO4EF73A74604C4054AF12F8DA20F13AC0" hidden="1">#REF!</definedName>
    <definedName name="BO4EFADD8DB987452585A33B0166A063AF" hidden="1">#REF!</definedName>
    <definedName name="BO4F2719C89D0540D0AD8DB5CB58DA318F" hidden="1">#REF!</definedName>
    <definedName name="BO4F3BD6886EB74CFB83C796CB949A6600" hidden="1">#REF!</definedName>
    <definedName name="BO4F44646D5BD94E228C40089ED201F412" hidden="1">#REF!</definedName>
    <definedName name="BO4F52C6B77D8B4322831786B182405D89" hidden="1">#REF!</definedName>
    <definedName name="BO4F55C104FC9F4E9882743C9B8D3F2338" hidden="1">#REF!</definedName>
    <definedName name="BO4F7588005E8E4C6480B3A7523EC064BC" hidden="1">#REF!</definedName>
    <definedName name="BO4F7878A67BD74456A1FBA486DE1D8B8E" hidden="1">#REF!</definedName>
    <definedName name="BO4F78F4B9A580440AB9FDD28A79D0AE2C" hidden="1">#REF!</definedName>
    <definedName name="BO4F7A73C039BA4F7487AE6CF1156A7CB5" hidden="1">#REF!</definedName>
    <definedName name="BO4F8805BDB1B24E869339A7FE196BFEC4" hidden="1">#REF!</definedName>
    <definedName name="BO4F9EE12B49AD4ED8870F1F3B7CEB8469" hidden="1">#REF!</definedName>
    <definedName name="BO4FAA462164D54D0284BFCF6E2E7C6B34" hidden="1">#REF!</definedName>
    <definedName name="BO4FAC77DD42D94BA99780F041B4093D28" hidden="1">#REF!</definedName>
    <definedName name="BO4FC1188FF7864971B1E63B5F11F53B8C" hidden="1">#REF!</definedName>
    <definedName name="BO4FCC52268B3044F3ABA1FBB4DE5D5A4D" hidden="1">#REF!</definedName>
    <definedName name="BO4FD0316387884A41981971CF45311613" hidden="1">#REF!</definedName>
    <definedName name="BO4FD95FB816E242C8B4579F86CB781CEA" hidden="1">#REF!</definedName>
    <definedName name="BO4FD9DAA0E6124C7294688F3CC63139E5" hidden="1">#REF!</definedName>
    <definedName name="BO4FEF162BF6424A0D9940515197172815" hidden="1">#REF!</definedName>
    <definedName name="BO4FFD11C916B84AA1A8917CADED31BD60" hidden="1">#REF!</definedName>
    <definedName name="BO5002217C6BDB4AF4876B9A759B98B6FD" hidden="1">#REF!</definedName>
    <definedName name="BO501083EEA0954CF1ABA2FC876D9B2E53" hidden="1">#REF!</definedName>
    <definedName name="BO501862DADEDE4E83B50558E9679EBD14" hidden="1">#REF!</definedName>
    <definedName name="BO501A61B3C4C14FE3BBE9CEE4E177D5EF" hidden="1">#REF!</definedName>
    <definedName name="BO501B5A197D78409DA956B56576C70E9F" hidden="1">#REF!</definedName>
    <definedName name="BO502E6D40812A4DAEAEE7A199451E4098" hidden="1">#REF!</definedName>
    <definedName name="BO5030F933AF3747E1BAAFE6787B3A4A93" hidden="1">#REF!</definedName>
    <definedName name="BO503531CBE9D6495D916D3D36AD0D67C0" hidden="1">#REF!</definedName>
    <definedName name="BO5037F16D1D5A4A44B97127F115747891" hidden="1">#REF!</definedName>
    <definedName name="BO503BAFE181474BC9883213DE586C8FD6" hidden="1">#REF!</definedName>
    <definedName name="BO5043E9BD740444D89D70FBD5753D78A6" hidden="1">#REF!</definedName>
    <definedName name="BO504A1B3AF3AB4D088872ACF3C45281F8" hidden="1">#REF!</definedName>
    <definedName name="BO5054EA03926E49E694F6C5ADF21AB154" hidden="1">#REF!</definedName>
    <definedName name="BO505920D6E8F54CE089D13172350D2B63" hidden="1">#REF!</definedName>
    <definedName name="BO505B38F176374982B0FA222600812C63" hidden="1">#REF!</definedName>
    <definedName name="BO505E4FB54070475BACE8D7598BCCF5CD" hidden="1">#REF!</definedName>
    <definedName name="BO507F04B456554687A125CD5B4F2DF9EF" hidden="1">#REF!</definedName>
    <definedName name="BO5080A636409C473696785822CB128DA3" hidden="1">#REF!</definedName>
    <definedName name="BO50891D81D4BB42EB97DD6707BEB5B153" hidden="1">#REF!</definedName>
    <definedName name="BO5096D529BF3149A1AFBFA42DCE2900EB" hidden="1">#REF!</definedName>
    <definedName name="BO50975EB4169D458DBA59CEACD786FA3B" hidden="1">#REF!</definedName>
    <definedName name="BO50AE206DF0A14D488A797A0A422835E7" hidden="1">#REF!</definedName>
    <definedName name="BO50C47EBADDB8476AAE2E1D3C9E906859" hidden="1">#REF!</definedName>
    <definedName name="BO50C857DDC2A6432FBEE2E0F9F6B7401E" hidden="1">#REF!</definedName>
    <definedName name="BO50CC989C615549EF8A69F9DAC181D1C3" hidden="1">#REF!</definedName>
    <definedName name="BO50CF016FAC7C465882D8C4E345E8C072" hidden="1">#REF!</definedName>
    <definedName name="BO50D3F74A3FC54A8D84AC94F7A0E5BE12" hidden="1">#REF!</definedName>
    <definedName name="BO50D806672D054CDF9FC089EA5A4952E4" hidden="1">#REF!</definedName>
    <definedName name="BO510BDCAFB2A74A4D91198B057B80C081" hidden="1">#REF!</definedName>
    <definedName name="BO510CD8F0082B4622B4AC3F788E0139AE" hidden="1">#REF!</definedName>
    <definedName name="BO511D8BC44FC6490B9E2EE5090805A0FF" hidden="1">#REF!</definedName>
    <definedName name="BO5132D5DA8D334687A65536BBBEDBEFBB" hidden="1">#REF!</definedName>
    <definedName name="BO513823C74A2F412384E54308AB2A592A" hidden="1">#REF!</definedName>
    <definedName name="BO5138BF0E46144E448D299664FFD76899" hidden="1">#REF!</definedName>
    <definedName name="BO513D9D42573C4D6B8B0CCA27AF66A538" hidden="1">#REF!</definedName>
    <definedName name="BO514237A57F05490F92ED2C480764DA28" hidden="1">#REF!</definedName>
    <definedName name="BO51489DF2869F449B8280A7C6D0F2A6BD" hidden="1">#REF!</definedName>
    <definedName name="BO51507B703702433397490C169258DC54" hidden="1">#REF!</definedName>
    <definedName name="BO515B1D1B64504B9791326849DE50CFDB" hidden="1">#REF!</definedName>
    <definedName name="BO516CA83F46D3434CA218ED5446CCFC33" hidden="1">#REF!</definedName>
    <definedName name="BO51714E4A91614857999F343D94C8CE23" hidden="1">#REF!</definedName>
    <definedName name="BO5183A159C81842A9A178D4E4371DC9BB" hidden="1">#REF!</definedName>
    <definedName name="BO518499942D5D47A7B40508F4D348BC7D" hidden="1">#REF!</definedName>
    <definedName name="BO51966652F82F47BCADD3F818E82F4456" hidden="1">#REF!</definedName>
    <definedName name="BO519AAFFDAD8247C19DFC69DFE4FDAECB" hidden="1">#REF!</definedName>
    <definedName name="BO519BF518657C41CDB2AA4DAF1064882E" hidden="1">#REF!</definedName>
    <definedName name="BO519EEECA10DA4520A6525296E504E32B" hidden="1">#REF!</definedName>
    <definedName name="BO51A150EB7317458F9AE9637186781A1E" hidden="1">#REF!</definedName>
    <definedName name="BO51A2FF5ABDAF4F95957CDFD922EAB4A8" hidden="1">#REF!</definedName>
    <definedName name="BO51A31C7242FB41E9BDE55442408B8726" hidden="1">#REF!</definedName>
    <definedName name="BO51ACF8BFB4D542F187E94EF00B8F3B96" hidden="1">#REF!</definedName>
    <definedName name="BO51BF871C35CC4787A3014048EF959911" hidden="1">#REF!</definedName>
    <definedName name="BO51C433F94EA24D83BFBC90C78E916AA8" hidden="1">#REF!</definedName>
    <definedName name="BO51C94B6CD3FB4BE0BC0BFE5A74AB7082" hidden="1">#REF!</definedName>
    <definedName name="BO51CE2F1B88C44A8DB1C237E2A80DBE63" hidden="1">#REF!</definedName>
    <definedName name="BO51D0E68EAF9544C881C36F0537EA2961" hidden="1">#REF!</definedName>
    <definedName name="BO51D26CBCAFCD49D9A75412B51DF1E767" hidden="1">#REF!</definedName>
    <definedName name="BO51D3DAC8C8A948D08A6E2B9C8D7FE3C0" hidden="1">#REF!</definedName>
    <definedName name="BO51D83205B85D489A947E3F9D9249247D" hidden="1">#REF!</definedName>
    <definedName name="BO51DAEEA0D7AD47F0AA73A165E6B198D4" hidden="1">#REF!</definedName>
    <definedName name="BO51DDD34A51DB47D5A1101365ECB70556" hidden="1">#REF!</definedName>
    <definedName name="BO52087F5BD16C4D0AB46AF353A28A78A9" hidden="1">#REF!</definedName>
    <definedName name="BO521BA407645A4DDCA52BA626F3886641" hidden="1">#REF!</definedName>
    <definedName name="BO521BD1697C154EFEAFD4701302FDCE9E" hidden="1">#REF!</definedName>
    <definedName name="BO52271A2757614907947328C2048DA64D" hidden="1">#REF!</definedName>
    <definedName name="BO5227257EFF2E40BC8FE468C59D8CF6E0" hidden="1">#REF!</definedName>
    <definedName name="BO522A3340B2AA429582EFF2D709CC042F" hidden="1">#REF!</definedName>
    <definedName name="BO522BE66E0E274CFBB5FE8B73D26B24AA" hidden="1">#REF!</definedName>
    <definedName name="BO522EDA846CD44B11A92446DDFF265A74" hidden="1">#REF!</definedName>
    <definedName name="BO52307E1B551B450BB16C1A605A6AAAF5" hidden="1">#REF!</definedName>
    <definedName name="BO5235423CE16C4486817CC4084B9650BF" hidden="1">#REF!</definedName>
    <definedName name="BO52391C8733F04B7B811616D51E61906B" hidden="1">#REF!</definedName>
    <definedName name="BO524A8D044FE94DEC8727DA2A9A1DCADF" hidden="1">#REF!</definedName>
    <definedName name="BO525509F193F1403386C55C86846FF520" hidden="1">#REF!</definedName>
    <definedName name="BO5258343F04A6468DA60106B37DA84CFD" hidden="1">#REF!</definedName>
    <definedName name="BO525AE748F3204F80BF6265B5B39CA278" hidden="1">#REF!</definedName>
    <definedName name="BO52664945955F4E1B9FB4065B57C4F553" hidden="1">#REF!</definedName>
    <definedName name="BO526B3B440CF849CCA0D50DB8B8B01C7B" hidden="1">#REF!</definedName>
    <definedName name="BO527246FDA8E9492D87A53581A1D024FE" hidden="1">#REF!</definedName>
    <definedName name="BO527A1AD4F97A4642BD24814ED48455A5" hidden="1">#REF!</definedName>
    <definedName name="BO527F289C18864C10B5959023F13448D0" hidden="1">#REF!</definedName>
    <definedName name="BO528158A1500F43048FACE3A225A24193" hidden="1">#REF!</definedName>
    <definedName name="BO5283B4C3746948AE9251D6443539D0DA" hidden="1">#REF!</definedName>
    <definedName name="BO5289F021C9644429936A56CF6D4D6DD5" hidden="1">#REF!</definedName>
    <definedName name="BO528E6DF96B90430EAE65CAABA0163601" hidden="1">#REF!</definedName>
    <definedName name="BO52921B0A4AC94B4AB81ED0B6050ECE56" hidden="1">#REF!</definedName>
    <definedName name="BO5293B795DE444164B3A3D8BC049B63B7" hidden="1">#REF!</definedName>
    <definedName name="BO529ABA5FFF214B05B910575BD43A4FBC" hidden="1">#REF!</definedName>
    <definedName name="BO52C6D66338774102B8F3FC0D5F14F8F9" hidden="1">#REF!</definedName>
    <definedName name="BO52CBA8EA05A44988B5802DEA2365E8D3" hidden="1">#REF!</definedName>
    <definedName name="BO52D03A3A558041B88DF311EE170DC3B8" hidden="1">#REF!</definedName>
    <definedName name="BO52D3AF5767534E8999AE19BA3F87F0B7" hidden="1">#REF!</definedName>
    <definedName name="BO52DC53B3FF074232BFCF563DF09F6B63" hidden="1">#REF!</definedName>
    <definedName name="BO52DE7E9C6235497A916D893506400BF0" hidden="1">#REF!</definedName>
    <definedName name="BO5319BB3A11A74DA9A8F2B4E338E1503E" hidden="1">#REF!</definedName>
    <definedName name="BO532878D0E20E4AA2BBF00FB73BC90C12" hidden="1">#REF!</definedName>
    <definedName name="BO532EEB9B18174A9F95B63D50814F1C44" hidden="1">#REF!</definedName>
    <definedName name="BO533B5AC37CFA4B6D9FF7DF71EFC155C3" hidden="1">#REF!</definedName>
    <definedName name="BO533BE2FD22F6445B8D380BBB4E940D58" hidden="1">#REF!</definedName>
    <definedName name="BO535110A138A34C578B974E4F5EF3609E" hidden="1">#REF!</definedName>
    <definedName name="BO5352DFD77DDF43E2946DF7561587C1CA" hidden="1">#REF!</definedName>
    <definedName name="BO5355E41ABEE34F96B30EBD60BB6DB891" hidden="1">#REF!</definedName>
    <definedName name="BO536914F23CFF450BA8CE532B472B2985" hidden="1">#REF!</definedName>
    <definedName name="BO5388E06ADB5C4510905EF28BD0A040FD" hidden="1">#REF!</definedName>
    <definedName name="BO538D5EA5896A41B08EEB9B78C818BCFD" hidden="1">#REF!</definedName>
    <definedName name="BO53B850CEADE24584822F74E66CCE2F4D" hidden="1">#REF!</definedName>
    <definedName name="BO53C10017EFA146C8B80E362E38638385" hidden="1">#REF!</definedName>
    <definedName name="BO53C97263AE7A4163B6E0E5A9C962A16F" hidden="1">#REF!</definedName>
    <definedName name="BO53D650ED84064B28BCE87ECEEC81C536" hidden="1">#REF!</definedName>
    <definedName name="BO53E168E4F5AF4CA5B441A93C6143E073" hidden="1">#REF!</definedName>
    <definedName name="BO53E7E5AB5A0B497E9715DD9D2CD891C6" hidden="1">#REF!</definedName>
    <definedName name="BO53F81114238D490A89C9DFD3B7253C4C" hidden="1">#REF!</definedName>
    <definedName name="BO54047302119746D98F5ABDB240ABDA36" hidden="1">#REF!</definedName>
    <definedName name="BO540A1A8C0A9E48B08783EFD21101ACC7" hidden="1">#REF!</definedName>
    <definedName name="BO541C0FA3584B40A09E31390817835169" hidden="1">#REF!</definedName>
    <definedName name="BO5422447076504C0EBB91F843868A36D3" hidden="1">#REF!</definedName>
    <definedName name="BO542ED7CFAD0B4087887F8B1FEC6DF392" hidden="1">#REF!</definedName>
    <definedName name="BO543E750FA6BB4C6BBE4DDE221AC8AC6D" hidden="1">#REF!</definedName>
    <definedName name="BO543FE98110FF4FEE8697D2541878F154" hidden="1">#REF!</definedName>
    <definedName name="BO5445D72D0F044DEEBF996C718C083D66" hidden="1">#REF!</definedName>
    <definedName name="BO5458704F8935483DA14A329FB914B72C" hidden="1">#REF!</definedName>
    <definedName name="BO5458CF92DB674894B252CAE13567767D" hidden="1">#REF!</definedName>
    <definedName name="BO545E98A03CD44E29BF9B47F07336B3DD" hidden="1">#REF!</definedName>
    <definedName name="BO5471006E69D5443DA40F05BB068E3A7E" hidden="1">#REF!</definedName>
    <definedName name="BO548695EB5CB34CA08FBD9912342C2133" hidden="1">#REF!</definedName>
    <definedName name="BO5488FF89FF03495CB8005F29516349EA" hidden="1">#REF!</definedName>
    <definedName name="BO548FE1191ED249BAABF05DB1627F605C" hidden="1">#REF!</definedName>
    <definedName name="BO54971AE42F544419A922C50094288A53" hidden="1">#REF!</definedName>
    <definedName name="BO54AF21CFB7CC4CEC915A669A45BE8A54" hidden="1">#REF!</definedName>
    <definedName name="BO54BC3C8E20C74D819B39D47317243E3D" hidden="1">#REF!</definedName>
    <definedName name="BO54BCA2EDBC88492F96C287B5F7144A17" hidden="1">#REF!</definedName>
    <definedName name="BO54C5845DBBDA4473AB5872905D10C41F" hidden="1">#REF!</definedName>
    <definedName name="BO54D33C4005C446DE8341C4496015BE10" hidden="1">#REF!</definedName>
    <definedName name="BO54D7E3AE50C14B31B45D240860565719" hidden="1">#REF!</definedName>
    <definedName name="BO54F150FBDDEF43CC98CD3B8E89BB39BC" hidden="1">#REF!</definedName>
    <definedName name="BO54F96497187545FDA9C5AB493AB7585F" hidden="1">#REF!</definedName>
    <definedName name="BO550280AD764F4F0AB97BC478AFF425D9" hidden="1">#REF!</definedName>
    <definedName name="BO55088EF67E4941509F33D963CA4574C6" hidden="1">#REF!</definedName>
    <definedName name="BO550AC5B18CCB459B857417ACACDF2A9A" hidden="1">#REF!</definedName>
    <definedName name="BO550FCF03E3B445DA960D92B84FFFD5DC" hidden="1">#REF!</definedName>
    <definedName name="BO551B660F8B48471DBC4E8D7699CC5381" hidden="1">#REF!</definedName>
    <definedName name="BO55283403177D4C72A66D534B116C6BB3" hidden="1">#REF!</definedName>
    <definedName name="BO552D04B49D1049E887F4A36DE0A5A6B7" hidden="1">#REF!</definedName>
    <definedName name="BO552E687DAECC45EA83ACD2334FCD84E3" hidden="1">#REF!</definedName>
    <definedName name="BO553BAE79D46D47FCA1B1AD86F6522C37" hidden="1">#REF!</definedName>
    <definedName name="BO55559903F35F4C7B897F020233CAA190" hidden="1">#REF!</definedName>
    <definedName name="BO5555A61B89E149FD8824B361E5461B64" hidden="1">#REF!</definedName>
    <definedName name="BO555F105B873642DE8745392E45A7D968" hidden="1">#REF!</definedName>
    <definedName name="BO556AD0B275C04D0D97D9A6354249E23D" hidden="1">#REF!</definedName>
    <definedName name="BO5584382AA67D44608869CC7570E14BB7" hidden="1">#REF!</definedName>
    <definedName name="BO558E3A8FDF474496803DBC9EC2C2F335" hidden="1">#REF!</definedName>
    <definedName name="BO559AC615643D4B2883AFD9690BFE36EE" hidden="1">#REF!</definedName>
    <definedName name="BO55A668CE9F2047D9AFC6CAD2FC9FD49B" hidden="1">#REF!</definedName>
    <definedName name="BO55AC2C80D33440D8AADB17A0FFC06BEE" hidden="1">#REF!</definedName>
    <definedName name="BO55AD95C3E2284C1090D7C8F009188F60" hidden="1">#REF!</definedName>
    <definedName name="BO55AFD5FDAAB84E859BBE30C8238B78F0" hidden="1">#REF!</definedName>
    <definedName name="BO55B4738DE2104DCAB3FFE79DA5CA09B2" hidden="1">#REF!</definedName>
    <definedName name="BO55BFEDC2DCA74053A7E5226B68684207" hidden="1">#REF!</definedName>
    <definedName name="BO55CD683FABCB4DABA720CC2D8B9A3F93" hidden="1">#REF!</definedName>
    <definedName name="BO55D4F8E574C14792A52FD4C46007BA7B" hidden="1">#REF!</definedName>
    <definedName name="BO55DD291DE5A549268B34D2352B6C7725" hidden="1">#REF!</definedName>
    <definedName name="BO56115D4D79CE46D58BCA4E843288E004" hidden="1">#REF!</definedName>
    <definedName name="BO5611C485B07A44D8B8DC5EF477D93E9E" hidden="1">#REF!</definedName>
    <definedName name="BO562387B7EC754B0BA9832280786C7004" hidden="1">#REF!</definedName>
    <definedName name="BO5629AE68F61647B2BB0D40C658AE0309" hidden="1">#REF!</definedName>
    <definedName name="BO56312CE4591B492EBB0FCE43501EAB30" hidden="1">#REF!</definedName>
    <definedName name="BO563C283728B44013AB212E32A8017CDF" hidden="1">#REF!</definedName>
    <definedName name="BO56460DE9229844E684F6D39427341B8F" hidden="1">#REF!</definedName>
    <definedName name="BO564A8EC18E124529A5DE2A64EF0E3E6E" hidden="1">#REF!</definedName>
    <definedName name="BO564BC7E8DC7F4129AFDD12C8811A0B13" hidden="1">#REF!</definedName>
    <definedName name="BO564BCDACD3344CCF9FEB992D50D0179B" hidden="1">#REF!</definedName>
    <definedName name="BO5655D7BCAE9A422C87BC216E1656340B" hidden="1">#REF!</definedName>
    <definedName name="BO565F1B10E013410A89AB88AC4B44E403" hidden="1">#REF!</definedName>
    <definedName name="BO566470C6E1CB4E289EEFC4519A83E286" hidden="1">#REF!</definedName>
    <definedName name="BO5664A9DD03D941788EC78435342B9094" hidden="1">#REF!</definedName>
    <definedName name="BO5669071DBE814EC9AB6F22B90F025B27" hidden="1">#REF!</definedName>
    <definedName name="BO566C2AB6821848F384E1789DF16BBA76" hidden="1">#REF!</definedName>
    <definedName name="BO5679E1BBBCFD4EFB9E4AC814A82BC5D6" hidden="1">#REF!</definedName>
    <definedName name="BO567A7DA6AF244A3CB098B7C153BF9750" hidden="1">#REF!</definedName>
    <definedName name="BO567C5EF033DA4612B25A368A010231CF" hidden="1">#REF!</definedName>
    <definedName name="BO5689A06B9B2245C897EAF127AB030C08" hidden="1">#REF!</definedName>
    <definedName name="BO568B035F32EB40A195638E45B9F360D5" hidden="1">#REF!</definedName>
    <definedName name="BO569161B02894462BBA2ADEA43208FB8D" hidden="1">#REF!</definedName>
    <definedName name="BO56989CB8882245C9926E7EDE54A73AA1" hidden="1">#REF!</definedName>
    <definedName name="BO569D564B2A68412DAEFA7FEEAFA548E3" hidden="1">#REF!</definedName>
    <definedName name="BO569EC218AD12468BB9780634CC2575BD" hidden="1">#REF!</definedName>
    <definedName name="BO56B7432AF9F243608B5AB2B73119DEBC" hidden="1">#REF!</definedName>
    <definedName name="BO56B7F5F6F33F46B38F2A5D3123D1A221" hidden="1">#REF!</definedName>
    <definedName name="BO56C1E34B4FCB4FAFAEAB5F9704F77644" hidden="1">#REF!</definedName>
    <definedName name="BO56D4291BF173462781489C5E41312435" hidden="1">#REF!</definedName>
    <definedName name="BO56D44D5078644384BB97FDB31B2890A5" hidden="1">#REF!</definedName>
    <definedName name="BO56D7F54EF3864AC182CD127A7DACD3A9" hidden="1">#REF!</definedName>
    <definedName name="BO56DFE4AB38E8484181E7CC56F7D8DA00" hidden="1">#REF!</definedName>
    <definedName name="BO56E459A2EAE84E298E436E0BA49EE2AF" hidden="1">#REF!</definedName>
    <definedName name="BO56E631FD81D2467485BEA836E8241D73" hidden="1">#REF!</definedName>
    <definedName name="BO56E85339CCC24582B16A86A9EBE44C9C" hidden="1">#REF!</definedName>
    <definedName name="BO56EB617D4C17428AB06AC1AF4B4AAA24" hidden="1">#REF!</definedName>
    <definedName name="BO56EFB133A8CD49D88C2A9246C269B47F" hidden="1">#REF!</definedName>
    <definedName name="BO5700ECDE4C574EFE86CD18831145FB25" hidden="1">#REF!</definedName>
    <definedName name="BO5702EA6581684B98AFFF416357DA9F17" hidden="1">#REF!</definedName>
    <definedName name="BO570EDFF850684FEC85E0149D5157E271" hidden="1">#REF!</definedName>
    <definedName name="BO5712134948AF458D85440B705833841B" hidden="1">#REF!</definedName>
    <definedName name="BO5712430FE03044A2A681462CFFA7D31C" hidden="1">#REF!</definedName>
    <definedName name="BO57124AEDC12F4E539C55C09B5CB590F7" hidden="1">#REF!</definedName>
    <definedName name="BO5718AC7233F44BDEBD5541CC7A7250A6" hidden="1">#REF!</definedName>
    <definedName name="BO571F2A3DFA4B49DB8DAB14AE041169BC" hidden="1">#REF!</definedName>
    <definedName name="BO57280594E250452E8C6F8A6545DF5F74" hidden="1">#REF!</definedName>
    <definedName name="BO573467812A2947A58BCC9D1892DA66B9" hidden="1">#REF!</definedName>
    <definedName name="BO574A8661F2874C9AADA620207CCA7E04" hidden="1">#REF!</definedName>
    <definedName name="BO5755ADB6B5A2494CB0BD9D916171936B" hidden="1">#REF!</definedName>
    <definedName name="BO575C37B798AE427F80C7762C6DF4664C" hidden="1">#REF!</definedName>
    <definedName name="BO57679A5019D541568086DF7DAE215B9F" hidden="1">#REF!</definedName>
    <definedName name="BO577383BBA6C44B3E8B88B855A9F13CE6" hidden="1">#REF!</definedName>
    <definedName name="BO5775AA63EF03437B8F9748F002E708CF" hidden="1">#REF!</definedName>
    <definedName name="BO5785978DBFA945BAB17239618073C44F" hidden="1">#REF!</definedName>
    <definedName name="BO57881913C6414B8583E0A4AC656F8AF1" hidden="1">#REF!</definedName>
    <definedName name="BO57996924E9AB45ABA91A23E834F5ED9E" hidden="1">#REF!</definedName>
    <definedName name="BO579EDFB6B86D47C29CE951EF83CD2B3A" hidden="1">#REF!</definedName>
    <definedName name="BO579FF3EC91F346B7B66E5F5525340C61" hidden="1">#REF!</definedName>
    <definedName name="BO57AD560F3F4F478ABE1719C08FBB4067" hidden="1">#REF!</definedName>
    <definedName name="BO57AF2936BF034AC6A08F6647F89802C9" hidden="1">#REF!</definedName>
    <definedName name="BO57B80FC22EA04926ACDB99CFCEAA3329" hidden="1">#REF!</definedName>
    <definedName name="BO57BF23E883A749199DB0B4FF80CEB840" hidden="1">#REF!</definedName>
    <definedName name="BO57C00678A2A1464597FF596DF513BE7D" hidden="1">#REF!</definedName>
    <definedName name="BO57D188F9C66041D2A439523A3A2DDA7C" hidden="1">#REF!</definedName>
    <definedName name="BO58096EB698C54FAC8A6E397676B95E39" hidden="1">#REF!</definedName>
    <definedName name="BO58163D3DAAF545288A07B76D00791AD7" hidden="1">#REF!</definedName>
    <definedName name="BO582F83AAE0424F1ABAF95262D2722BF1" hidden="1">#REF!</definedName>
    <definedName name="BO583B84D00F3B434AB602D5AA8F370704" hidden="1">#REF!</definedName>
    <definedName name="BO584BA2394E364EC3808F7D2C0044E31B" hidden="1">#REF!</definedName>
    <definedName name="BO584C4BD56ABB4D2A8845016568487F2C" hidden="1">#REF!</definedName>
    <definedName name="BO58586672011846C592E11D37F90E7513" hidden="1">#REF!</definedName>
    <definedName name="BO585BD409989D431E9ED6A2BA27279DB6" hidden="1">#REF!</definedName>
    <definedName name="BO586C40AB62B64E6B81429E9982877986" hidden="1">#REF!</definedName>
    <definedName name="BO5877103BDE674DCEAECD055821591115" hidden="1">#REF!</definedName>
    <definedName name="BO587B99BAA483477DA3AD20E6C3F94BF4" hidden="1">#REF!</definedName>
    <definedName name="BO587C6B1C89AC4830A789FA7C4775ABD9" hidden="1">#REF!</definedName>
    <definedName name="BO588135FEB0A34056B7CAE1BA8B352B6E" hidden="1">#REF!</definedName>
    <definedName name="BO588BC0CDFE5C4165BBA0890132C4E8B6" hidden="1">#REF!</definedName>
    <definedName name="BO588CB281348B4EC0B7EC392C85CE1AB9" hidden="1">#REF!</definedName>
    <definedName name="BO588CC33682E849B3971517AB47273E05" hidden="1">#REF!</definedName>
    <definedName name="BO588DD3A4881F4AA8A85279619A183C4D" hidden="1">#REF!</definedName>
    <definedName name="BO58A24A334F434A1FBE598EBAC1D3DFD7" hidden="1">#REF!</definedName>
    <definedName name="BO58A4C121397D4321BF0D72769EB05320" hidden="1">#REF!</definedName>
    <definedName name="BO58A74F7A85DE4A63809027D5A1060CC9" hidden="1">#REF!</definedName>
    <definedName name="BO58B87D46956543CA961CDF23DFFD6922" hidden="1">#REF!</definedName>
    <definedName name="BO58DBD8CF89D14EDFB9BDF8DA3EADC3E0" hidden="1">#REF!</definedName>
    <definedName name="BO58DF38928C9F440B9DC6ACDACD1E5F58" hidden="1">#REF!</definedName>
    <definedName name="BO59105ABF2A9B4E448C00A760E7674913" hidden="1">#REF!</definedName>
    <definedName name="BO5914BAE432A84FDFB3D7A84A15D820DE" hidden="1">#REF!</definedName>
    <definedName name="BO591F0FE223DF47E997AD627ED3D763EF" hidden="1">#REF!</definedName>
    <definedName name="BO5929CB64127548D280BCBE8C1F9D8A01" hidden="1">#REF!</definedName>
    <definedName name="BO592AD9DAC41E408FB2134C479302BC52" hidden="1">#REF!</definedName>
    <definedName name="BO5930BCEC622A435883631B2F7463168F" hidden="1">#REF!</definedName>
    <definedName name="BO593A8EF7AF734609BEC28233E742185A" hidden="1">#REF!</definedName>
    <definedName name="BO5943775C513F4AF99148F835A0BDA851" hidden="1">#REF!</definedName>
    <definedName name="BO594A9E5506654994A94F0E8E88EFC450" hidden="1">#REF!</definedName>
    <definedName name="BO597C49603B944189B7267C1288C88333" hidden="1">#REF!</definedName>
    <definedName name="BO597E8FFCE7884C9A85A81B608B1DFE36" hidden="1">#REF!</definedName>
    <definedName name="BO598E2517EE94499985B5046EAB1F94BA" hidden="1">#REF!</definedName>
    <definedName name="BO59AB58918FD744C8AC8D4D7B3E97920A" hidden="1">#REF!</definedName>
    <definedName name="BO59BAEE0424C84B9FAE225E936946BFCF" hidden="1">#REF!</definedName>
    <definedName name="BO59BCF4BB9A7A4059A10B81F56B2EE6A7" hidden="1">#REF!</definedName>
    <definedName name="BO59C741412F9B4929B9F30B2DCAAF7B78" hidden="1">#REF!</definedName>
    <definedName name="BO59CBD84B55E543F689DB102DFF58AE3E" hidden="1">#REF!</definedName>
    <definedName name="BO59D05E32B98D42668EC0972CA578E905" hidden="1">#REF!</definedName>
    <definedName name="BO59D0FFB377B243F8A8A0BE126853466D" hidden="1">#REF!</definedName>
    <definedName name="BO59D1247ABA1942E68DE356ECD4AA5873" hidden="1">#REF!</definedName>
    <definedName name="BO59DE75058BE645E6BA03567AA42DAB96" hidden="1">#REF!</definedName>
    <definedName name="BO59E36496816846F984CE59CCD15A8D16" hidden="1">#REF!</definedName>
    <definedName name="BO59E61CD822834EA3A8B8303789F65058" hidden="1">#REF!</definedName>
    <definedName name="BO59E7D4697A3F4F898D428F70730A4884" hidden="1">#REF!</definedName>
    <definedName name="BO59E83BDF3FDC43A5B68759829965BE9C" hidden="1">#REF!</definedName>
    <definedName name="BO59E99A26BA1F40CCB538BD0FDCD8EA53" hidden="1">#REF!</definedName>
    <definedName name="BO59EBFC281CB9468CBED289AD9EB081AF" hidden="1">#REF!</definedName>
    <definedName name="BO59FCC9626BF941B18C8FC54DFB7331E6" hidden="1">#REF!</definedName>
    <definedName name="BO5A07DE02F2554B39899DAF1069850337" hidden="1">#REF!</definedName>
    <definedName name="BO5A08BC7B65D14324A5F403F20BFBBA16" hidden="1">#REF!</definedName>
    <definedName name="BO5A11F583117A4D0DB0395DB77B3B014A" hidden="1">#REF!</definedName>
    <definedName name="BO5A14A4D57F4D44CD8AF33AD706252A99" hidden="1">#REF!</definedName>
    <definedName name="BO5A29A1056FB7464AA274C04DE693BF94" hidden="1">#REF!</definedName>
    <definedName name="BO5A4E0E82DE614E5EA2957E0B192BE5ED" hidden="1">#REF!</definedName>
    <definedName name="BO5A4F12DD3FF04A6F875E665DCEEDC464" hidden="1">#REF!</definedName>
    <definedName name="BO5A5BB58AF9FF43D5A4363AF212E43677" hidden="1">#REF!</definedName>
    <definedName name="BO5A66E5C68FA2418884D55FFA9595F8E8" hidden="1">#REF!</definedName>
    <definedName name="BO5A6A4CC2230B4B63A0D97A9077B4598D" hidden="1">#REF!</definedName>
    <definedName name="BO5A6E654C7D6B4E25AE8C325BC78B9332" hidden="1">#REF!</definedName>
    <definedName name="BO5A6E94D054DE4EC98820F6894C1C4A79" hidden="1">#REF!</definedName>
    <definedName name="BO5A768AB16B5042809CCA25F1D39C4C91" hidden="1">#REF!</definedName>
    <definedName name="BO5A8FD6C6A22D4532B938B0B310A2261C" hidden="1">#REF!</definedName>
    <definedName name="BO5A92E5198D6946769D91DD65CA62509F" hidden="1">#REF!</definedName>
    <definedName name="BO5A981A420E8E40C79AFFC1FEDCB20DC4" hidden="1">#REF!</definedName>
    <definedName name="BO5AA23C3885594DE895EBA378C7A68FA7" hidden="1">#REF!</definedName>
    <definedName name="BO5AA8D238314240409A0DC9AC6BE70622" hidden="1">#REF!</definedName>
    <definedName name="BO5AC88F934013422BAF43CC8E57B0CAE1" hidden="1">#REF!</definedName>
    <definedName name="BO5ACB1695039E4C4ABEA362C77C2467A8" hidden="1">#REF!</definedName>
    <definedName name="BO5AD100FA9F3348D291AD13F698A56F1B" hidden="1">#REF!</definedName>
    <definedName name="BO5AD436867B9A473BB3775100551477F5" hidden="1">#REF!</definedName>
    <definedName name="BO5AE229A3A2064C4992F93B9605AD7882" hidden="1">#REF!</definedName>
    <definedName name="BO5AF6C0773B394F378644438018E1989F" hidden="1">#REF!</definedName>
    <definedName name="BO5AFAA62432F94478A9DB2D29C8F8EBC6" hidden="1">#REF!</definedName>
    <definedName name="BO5AFCA1634C0F43C691EF5D194E532FF2" hidden="1">#REF!</definedName>
    <definedName name="BO5AFCF7344620449E82D0530EFE938162" hidden="1">#REF!</definedName>
    <definedName name="BO5AFDB8979AF64B7FA92E880A0A3FF54C" hidden="1">#REF!</definedName>
    <definedName name="BO5B097C0691204ABAAF71CC5A6313C327" hidden="1">#REF!</definedName>
    <definedName name="BO5B0ED6A2E7164AD39CE128655CD29DE7" hidden="1">#REF!</definedName>
    <definedName name="BO5B1118C5D85043E5B7895859349BD9EC" hidden="1">#REF!</definedName>
    <definedName name="BO5B3C923987BF419F8D9987C029432E2A" hidden="1">#REF!</definedName>
    <definedName name="BO5B44943A161340C5947DDFDB32DCC2DA" hidden="1">#REF!</definedName>
    <definedName name="BO5B44FA7642F849578B97305ADEF5E3E2" hidden="1">#REF!</definedName>
    <definedName name="BO5B475982E12E4DBEBCBA424C84298F68" hidden="1">#REF!</definedName>
    <definedName name="BO5B476B6D642245CBA147154491F210A7" hidden="1">#REF!</definedName>
    <definedName name="BO5B4A043829554A4499B3F53D426144C2" hidden="1">#REF!</definedName>
    <definedName name="BO5B58816A9F12497A91EC2E6C5838ED62" hidden="1">#REF!</definedName>
    <definedName name="BO5B773E1A5AD644DDAF777102DDEC83CB" hidden="1">#REF!</definedName>
    <definedName name="BO5B7C0290C0D645529EF302AA90F6E7CC" hidden="1">#REF!</definedName>
    <definedName name="BO5B844338724B47CD9AA666587E1A179E" hidden="1">#REF!</definedName>
    <definedName name="BO5B8BD13032A544A088F572EE66B08154" hidden="1">#REF!</definedName>
    <definedName name="BO5BA2B52660E94F149F0C20CA9E03B42B" hidden="1">#REF!</definedName>
    <definedName name="BO5BABF5099F1A4F02B0DAC6F4D579FE61" hidden="1">#REF!</definedName>
    <definedName name="BO5BB74E4526A74BECA3062A82724CBBD2" hidden="1">#REF!</definedName>
    <definedName name="BO5BB8E3529DC9456081A0D4B85C997FD0" hidden="1">#REF!</definedName>
    <definedName name="BO5BDA93A872ED465CBF4AA20E16304140" hidden="1">#REF!</definedName>
    <definedName name="BO5BE6934B4B74447C91E591BF6D3A7925" hidden="1">#REF!</definedName>
    <definedName name="BO5BEA3CF444064C10BE5AE1CAD433A4BB" hidden="1">#REF!</definedName>
    <definedName name="BO5BF1D946B1954EA18DF0A323C8B44BAB" hidden="1">#REF!</definedName>
    <definedName name="BO5BF394A585DF4E3B85AC8329CF519A7E" hidden="1">#REF!</definedName>
    <definedName name="BO5BFF884EE0CA4B58B71645CA8234958F" hidden="1">#REF!</definedName>
    <definedName name="BO5C06167F1AB14C59A5111E7BBAA1AF65" hidden="1">#REF!</definedName>
    <definedName name="BO5C07E5A25BD14F1CB9300643DF494F59" hidden="1">#REF!</definedName>
    <definedName name="BO5C127433CC52417B8F62844D836CF9C4" hidden="1">#REF!</definedName>
    <definedName name="BO5C171BE6FA944835B128C1935E162C93" hidden="1">#REF!</definedName>
    <definedName name="BO5C17B688468F47D7AE331DF9376D30F2" hidden="1">#REF!</definedName>
    <definedName name="BO5C24A86A8ED5432FB61C84DFE0B2CAE1" hidden="1">#REF!</definedName>
    <definedName name="BO5C2FAD5BA94C415AA6B15A3B71B6BCE4" hidden="1">#REF!</definedName>
    <definedName name="BO5C319755599640F38BB966F8E9B62A3A" hidden="1">#REF!</definedName>
    <definedName name="BO5C36F423514B435EA17121BE896304F7" hidden="1">#REF!</definedName>
    <definedName name="BO5C4AE7D67A044E27AB86B140A019A0DE" hidden="1">#REF!</definedName>
    <definedName name="BO5C4AF1AC21B64F8B996ADA9ED83A40BC" hidden="1">#REF!</definedName>
    <definedName name="BO5C511C23119C4812ACF56E2FBAD5DB08" hidden="1">#REF!</definedName>
    <definedName name="BO5C54EA89DF114706AF3C44CA58C83F3C" hidden="1">#REF!</definedName>
    <definedName name="BO5C58188CD90F41699D1DB10753439310" hidden="1">#REF!</definedName>
    <definedName name="BO5C599ED32DD14D2DAE35F8010C57B03A" hidden="1">#REF!</definedName>
    <definedName name="BO5C5AA1128018454289AD86FA743ECEB3" hidden="1">#REF!</definedName>
    <definedName name="BO5C5D3319D8944D7585BE95665B6469F0" hidden="1">#REF!</definedName>
    <definedName name="BO5C6ED0FA4EB34C30A18684292039ACF7" hidden="1">#REF!</definedName>
    <definedName name="BO5C710A40141F457FB9222A6C627BB409" hidden="1">#REF!</definedName>
    <definedName name="BO5C7D6B77726A4E07AF945FF178B26FC2" hidden="1">#REF!</definedName>
    <definedName name="BO5C88CB795C55448E94159635C945E3D3" hidden="1">#REF!</definedName>
    <definedName name="BO5C8E405342D94B3FAE8B92790E69EB7A" hidden="1">#REF!</definedName>
    <definedName name="BO5C8FCD99CEBA4E7BA309E717372E491D" hidden="1">#REF!</definedName>
    <definedName name="BO5CAB68F325B846499F1556258B37A029" hidden="1">#REF!</definedName>
    <definedName name="BO5CC3B338A01446C2AD644367F6167A51" hidden="1">#REF!</definedName>
    <definedName name="BO5CDA6BDDF6DC43D988774DBD8206CBEE" hidden="1">#REF!</definedName>
    <definedName name="BO5CE2CE67B14440FEA780A3CF76EA53D8" hidden="1">#REF!</definedName>
    <definedName name="BO5CEB11CADDCD4D4898C911631B26245B" hidden="1">#REF!</definedName>
    <definedName name="BO5CFAF1AC1F8F49DFB97CD2FC0065E1E6" hidden="1">#REF!</definedName>
    <definedName name="BO5D0A21FEAFA0474385D33BE2C615C124" hidden="1">#REF!</definedName>
    <definedName name="BO5D0C34E12E4E4E0BAB25A171AD49DF14" hidden="1">#REF!</definedName>
    <definedName name="BO5D0CC37143354E85A119EB74685D056E" hidden="1">#REF!</definedName>
    <definedName name="BO5D16D02BBC7E47CDAE7CCEE421CC3CB7" hidden="1">#REF!</definedName>
    <definedName name="BO5D199FBB5E10459FA0B863F17598B9A6" hidden="1">#REF!</definedName>
    <definedName name="BO5D259298A8CC4F1D93DB57E1D515EBF4" hidden="1">#REF!</definedName>
    <definedName name="BO5D36B3E74E8940E9BC9658C19524D1B1" hidden="1">#REF!</definedName>
    <definedName name="BO5D432426C89F4360892604F968973F1C" hidden="1">#REF!</definedName>
    <definedName name="BO5D458FECB5EF43B98A1A8089608E262F" hidden="1">#REF!</definedName>
    <definedName name="BO5D470D5929684741B170D66B867E991C" hidden="1">#REF!</definedName>
    <definedName name="BO5D5F98D3640A4F89A7A67F227C78A9E0" hidden="1">#REF!</definedName>
    <definedName name="BO5D64BAA2C9D442DE9BF1E4D2F79DA660" hidden="1">#REF!</definedName>
    <definedName name="BO5D65927E91004CCAA870F1C7804CD95C" hidden="1">#REF!</definedName>
    <definedName name="BO5D69D5A5C9A04B718C0FE786B84008FA" hidden="1">#REF!</definedName>
    <definedName name="BO5D6F92C50D4440FDA7BD8CEBD72A443B" hidden="1">#REF!</definedName>
    <definedName name="BO5D734B76A3B342159964FD63CBC16DD4" hidden="1">#REF!</definedName>
    <definedName name="BO5D8552BCDF3B4893A893CF0A4C2155CB" hidden="1">#REF!</definedName>
    <definedName name="BO5D8B32A284F54C80AA0C671203518808" hidden="1">#REF!</definedName>
    <definedName name="BO5D8EC993FF9E4A0AB884B992EB5FC069" hidden="1">#REF!</definedName>
    <definedName name="BO5D9BAFCA02AA4BF5A419012A6533E2E3" hidden="1">#REF!</definedName>
    <definedName name="BO5DA4BB34B4C34D97B7072FA1A0BF5547" hidden="1">#REF!</definedName>
    <definedName name="BO5DBA36ACB85C488E9B48BF6E86728E10" hidden="1">#REF!</definedName>
    <definedName name="BO5DC0616FA089421AAEE575ACDEA1BD1F" hidden="1">#REF!</definedName>
    <definedName name="BO5DE1185EE3C04DECA5E2EBAF37096F1E" hidden="1">#REF!</definedName>
    <definedName name="BO5DEBC1E0CDED4D0CBB1CA0E2274BEEC8" hidden="1">#REF!</definedName>
    <definedName name="BO5DF103513BDB4A3495B51436CB4FE6A4" hidden="1">#REF!</definedName>
    <definedName name="BO5DF5A81A6C824C69B5347150F87F60A7" hidden="1">#REF!</definedName>
    <definedName name="BO5DFE29754AF543D099463A4A9568E45C" hidden="1">#REF!</definedName>
    <definedName name="BO5E115AD95B694D60AA64C98C4020D5BC" hidden="1">#REF!</definedName>
    <definedName name="BO5E271D87BB354491A40181FD0B52C71D" hidden="1">#REF!</definedName>
    <definedName name="BO5E2D379F62974FACBBADCD4196C08936" hidden="1">#REF!</definedName>
    <definedName name="BO5E39A749CD084386B3FA40D2AC7B591A" hidden="1">#REF!</definedName>
    <definedName name="BO5E43D4E07BAB44D8B7C5B31187CD29AD" hidden="1">#REF!</definedName>
    <definedName name="BO5E450EC19D6E4A84B61FC8ABF4534959" hidden="1">#REF!</definedName>
    <definedName name="BO5E4DCEC929DC4B3F8C57FC5A66C7C4AB" hidden="1">#REF!</definedName>
    <definedName name="BO5E4E63AC98624122B0150074A4CB4AD3" hidden="1">#REF!</definedName>
    <definedName name="BO5E5723B28DEF4A93A0119EA68B46711E" hidden="1">#REF!</definedName>
    <definedName name="BO5E65D29026304E30B80A047A0537E709" hidden="1">#REF!</definedName>
    <definedName name="BO5E6E2F0B57954DAF91BFF5C9022B237A" hidden="1">#REF!</definedName>
    <definedName name="BO5E8374C625C2449A8A88C1479347EFA1" hidden="1">#REF!</definedName>
    <definedName name="BO5E8C45A49EEE45DB9EE3D45FCF4DD95A" hidden="1">#REF!</definedName>
    <definedName name="BO5E9C7A5C7A4D48AFB3A19CCAD25DC0B1" hidden="1">#REF!</definedName>
    <definedName name="BO5EA50170C72041F59B35550D0B89A4E7" hidden="1">#REF!</definedName>
    <definedName name="BO5EA6FB95A42946A1B2A8748C45F97982" hidden="1">#REF!</definedName>
    <definedName name="BO5EA9BECC683D4B388188EFD273EA33E0" hidden="1">#REF!</definedName>
    <definedName name="BO5EB8A3DA9E584F74BB9FEF4D94E94E7F" hidden="1">#REF!</definedName>
    <definedName name="BO5EB951CD2EF94A37B6D33A69CB86E3FB" hidden="1">#REF!</definedName>
    <definedName name="BO5EBA0BCA31494DAC902731C7A55CEB3D" hidden="1">#REF!</definedName>
    <definedName name="BO5EBFAFACB61741BEB33CCB09B90975C3" hidden="1">#REF!</definedName>
    <definedName name="BO5EDB2EE677314325B36B732A147FDB42" hidden="1">#REF!</definedName>
    <definedName name="BO5EDECEDDA5264E628772346E6587CF27" hidden="1">#REF!</definedName>
    <definedName name="BO5EEE1E114C9F4532B2EEE5F016FA3338" hidden="1">#REF!</definedName>
    <definedName name="BO5EF5D959A2434493BA6B573388C14CA7" hidden="1">#REF!</definedName>
    <definedName name="BO5EF64B84ACD341E2A9C3AE1D7895E721" hidden="1">#REF!</definedName>
    <definedName name="BO5EFBF07F6F494546ACF06EEA79D330F6" hidden="1">#REF!</definedName>
    <definedName name="BO5F0545D4F37D4FDB88D5CE562E3D02B5" hidden="1">#REF!</definedName>
    <definedName name="BO5F07E269442B41A6B0CEB4145DE0D66E" hidden="1">#REF!</definedName>
    <definedName name="BO5F159416B6394040952B01CE4D34183B" hidden="1">#REF!</definedName>
    <definedName name="BO5F1C936FFE564E09A6BC379798BA8E2E" hidden="1">#REF!</definedName>
    <definedName name="BO5F3352B4CD6D4535BDFFCDA6191AE9FE" hidden="1">#REF!</definedName>
    <definedName name="BO5F58BA631063454D9856539198337FDF" hidden="1">#REF!</definedName>
    <definedName name="BO5F7037CF7B0B478DB32C6ED5730F19DA" hidden="1">#REF!</definedName>
    <definedName name="BO5F7622B16F8042D684586B4F27029A2C" hidden="1">#REF!</definedName>
    <definedName name="BO5F7852060F66423C95D30BB609EE4091" hidden="1">#REF!</definedName>
    <definedName name="BO5F812BE92C98447DB7FDEA8E45C23C3C" hidden="1">#REF!</definedName>
    <definedName name="BO5F84E563678C489F8B1C8C4DE73D6F74" hidden="1">#REF!</definedName>
    <definedName name="BO5F85BBF62DE04590960599EF665BCA1F" hidden="1">#REF!</definedName>
    <definedName name="BO5F883873D4FC47FF8CD32EB1139D76D2" hidden="1">#REF!</definedName>
    <definedName name="BO5F9F0D04E45146139477D5458C7727A2" hidden="1">#REF!</definedName>
    <definedName name="BO5FA1EABDD47947959C0D79855F3672EF" hidden="1">#REF!</definedName>
    <definedName name="BO5FAA7894E10E492DA2978D96A4C4D101" hidden="1">#REF!</definedName>
    <definedName name="BO5FB04DF66136425B8251723A3F6B51B7" hidden="1">#REF!</definedName>
    <definedName name="BO5FC5D6348D6D4EFC9256A896695F66D7" hidden="1">#REF!</definedName>
    <definedName name="BO5FC705DCA34F431C9ACAE3B0AC07E791" hidden="1">#REF!</definedName>
    <definedName name="BO5FEC59DE0691419DA9337D5C591FA123" hidden="1">#REF!</definedName>
    <definedName name="BO5FF05BA8556E417C88B538AA9F3E5010" hidden="1">#REF!</definedName>
    <definedName name="BO5FFC942B80C047D39CADFD8D2E600674" hidden="1">#REF!</definedName>
    <definedName name="BO6002889BF66B41C5B382B0354F59EE40" hidden="1">#REF!</definedName>
    <definedName name="BO6005AB88EDAE4F30A6FA3469D8C8B1B5" hidden="1">#REF!</definedName>
    <definedName name="BO6011892F46C54893AA72FF35E2F040DA" hidden="1">#REF!</definedName>
    <definedName name="BO602BA3C38579403ABF2674B8BBC0C762" hidden="1">#REF!</definedName>
    <definedName name="BO602EE45763774521B835ECE0E5911DBA" hidden="1">#REF!</definedName>
    <definedName name="BO60314B47F57D453E8BC5CB4F18881766" hidden="1">#REF!</definedName>
    <definedName name="BO6048A3D9448C4CAEAA9C086C7BB8E922" hidden="1">#REF!</definedName>
    <definedName name="BO604BA1FBBEC34343B7ED77281F819D0E" hidden="1">#REF!</definedName>
    <definedName name="BO6053357345D441C8AFD3E1F721012783" hidden="1">#REF!</definedName>
    <definedName name="BO6055125455B145D58CEE2739DE8803D4" hidden="1">#REF!</definedName>
    <definedName name="BO605D9DEEB55748398A5C36D28098C209" hidden="1">#REF!</definedName>
    <definedName name="BO606E4F5B6CA74BC094F54AF8AA3EB453" hidden="1">#REF!</definedName>
    <definedName name="BO607921CE2D1040F4A95465B56F143DCA" hidden="1">#REF!</definedName>
    <definedName name="BO6081D84A4AFE4565924C700371B47FDB" hidden="1">#REF!</definedName>
    <definedName name="BO6084952E209D4AB18804ABB8EEABBBE0" hidden="1">#REF!</definedName>
    <definedName name="BO608AA6B4F3854EB0937BEAB326E365B4" hidden="1">#REF!</definedName>
    <definedName name="BO609311CB32A2433098059A02B8DED606" hidden="1">#REF!</definedName>
    <definedName name="BO609F7CB4A1E148828509A658D00F96F1" hidden="1">#REF!</definedName>
    <definedName name="BO60B603F557F048D884903C3A5C0F5203" hidden="1">#REF!</definedName>
    <definedName name="BO60D008C836634A469FAE3BC925C40C58" hidden="1">#REF!</definedName>
    <definedName name="BO60EFFD1A207246F7BB6446D995B5AB16" hidden="1">#REF!</definedName>
    <definedName name="BO60F1637446C844A083C549ABE0C7E466" hidden="1">#REF!</definedName>
    <definedName name="BO60F965FAEDA04643B9A744EEE8E1650E" hidden="1">#REF!</definedName>
    <definedName name="BO6114B53ACA1A47488EEE98425D051217" hidden="1">#REF!</definedName>
    <definedName name="BO6118F622E5754A0B849B829E9380AFAA" hidden="1">#REF!</definedName>
    <definedName name="BO6125EE908CEB47B1936FF1C250EF59DB" hidden="1">#REF!</definedName>
    <definedName name="BO61328CC8CDD246359FB5351EBC30C7DE" hidden="1">#REF!</definedName>
    <definedName name="BO61355F9B4FB145918681758A8B6A4163" hidden="1">#REF!</definedName>
    <definedName name="BO614207EFB6E4477691F01890302351DB" hidden="1">#REF!</definedName>
    <definedName name="BO6146D8131B12454A8B114F5CD8EB23DB" hidden="1">#REF!</definedName>
    <definedName name="BO617227B9793545C6BF315DEE81000AFC" hidden="1">#REF!</definedName>
    <definedName name="BO6180FAC5ED6E4D58A7BCA64BA8ECCEBF" hidden="1">#REF!</definedName>
    <definedName name="BO6186DB71BF0E407BA781E6B76C556BC2" hidden="1">#REF!</definedName>
    <definedName name="BO618834F7119040CB8E0ECBB2B886D9B4" hidden="1">#REF!</definedName>
    <definedName name="BO618D58D471984BF79269D587E110A209" hidden="1">#REF!</definedName>
    <definedName name="BO61A4E534814E4946A6C219938E5B8911" hidden="1">#REF!</definedName>
    <definedName name="BO61A77605934C4725A44E32A505B6F1FD" hidden="1">#REF!</definedName>
    <definedName name="BO61AC060B93DD4707863A0D81F58BF7EF" hidden="1">#REF!</definedName>
    <definedName name="BO61C2A4F2D2DB47EDB2B97111B2B51B9D" hidden="1">#REF!</definedName>
    <definedName name="BO61D4F12E7E514B7FA329CCFD355C2EF1" hidden="1">#REF!</definedName>
    <definedName name="BO61D9925CC13E4651B50B06D8BE11774A" hidden="1">#REF!</definedName>
    <definedName name="BO61DC4E5265F349A6ADF0AC2B36FD2531" hidden="1">#REF!</definedName>
    <definedName name="BO61E62ECC6DA64F25BB721BD8C2E3931B" hidden="1">#REF!</definedName>
    <definedName name="BO61F32AB4D3CB4F74A94E9302888AA464" hidden="1">#REF!</definedName>
    <definedName name="BO61FADA7029234F90A5B2044712ED37BC" hidden="1">#REF!</definedName>
    <definedName name="BO6210CD60477F4C7FAF143B69CE6F3F7D" hidden="1">#REF!</definedName>
    <definedName name="BO623C8DE4863E44E4866579849FBFD3CE" hidden="1">#REF!</definedName>
    <definedName name="BO6242D583313144DBBA7D8B69017FD228" hidden="1">#REF!</definedName>
    <definedName name="BO6258E17B968F46B69FA72785B68AF6EE" hidden="1">#REF!</definedName>
    <definedName name="BO6259B90130A84F9BA17A2432DD970171" hidden="1">#REF!</definedName>
    <definedName name="BO626213F4A50A407E80E2AB1F20AAFC0D" hidden="1">#REF!</definedName>
    <definedName name="BO62627EB56A23447A89FE9375BBF15EDB" hidden="1">#REF!</definedName>
    <definedName name="BO62631EA0E14846BB89A1BE45FFA5C473" hidden="1">#REF!</definedName>
    <definedName name="BO628DCF83F97244F99C1C8504F6B27BD2" hidden="1">#REF!</definedName>
    <definedName name="BO6297CA37596E4323B0E206C944004D4E" hidden="1">#REF!</definedName>
    <definedName name="BO62CF7C5E5B8443F39AAC44913D1D99F7" hidden="1">#REF!</definedName>
    <definedName name="BO62EE34E9F30A48399E9D4FE1770DC726" hidden="1">#REF!</definedName>
    <definedName name="BO62FE04DF16094B3AADB9F39220EBF386" hidden="1">#REF!</definedName>
    <definedName name="BO63143E390DA749B9A1958F3660D4C81E" hidden="1">#REF!</definedName>
    <definedName name="BO631654AFFCA4461BA3D7A4205E2F5E73" hidden="1">#REF!</definedName>
    <definedName name="BO63185A662F34403AB586F5FF00A322AC" hidden="1">#REF!</definedName>
    <definedName name="BO631A8AE303B749D78FFE102BDB246A94" hidden="1">#REF!</definedName>
    <definedName name="BO6327D3725E0B4E0F90CA575C9636332D" hidden="1">#REF!</definedName>
    <definedName name="BO6328DAA41893453899C99C36EC1C68B2" hidden="1">#REF!</definedName>
    <definedName name="BO633373516F5D475CAAF86A3078A95C84" hidden="1">#REF!</definedName>
    <definedName name="BO63401E42949E499C926D5D5DD6A36885" hidden="1">#REF!</definedName>
    <definedName name="BO63561953F40E41BFB1ADF19503FF6CBC" hidden="1">#REF!</definedName>
    <definedName name="BO635AE9E2428544AAB06BC5E4C5D14549" hidden="1">#REF!</definedName>
    <definedName name="BO635FADA57E39403384477A536FBCFA4E" hidden="1">#REF!</definedName>
    <definedName name="BO6361A81145F94A46859B6492ED1D1FEB" hidden="1">#REF!</definedName>
    <definedName name="BO63625AE1908748F8B28479418816A033" hidden="1">#REF!</definedName>
    <definedName name="BO6362D13B7B6E486C8686EF55D14867A5" hidden="1">#REF!</definedName>
    <definedName name="BO636CFD38B6EF4772BE0CD0D4D07060F1" hidden="1">#REF!</definedName>
    <definedName name="BO6379A16350B841D392BB228DC542704B" hidden="1">#REF!</definedName>
    <definedName name="BO638690A38D444C7D9EDC2C847F268942" hidden="1">#REF!</definedName>
    <definedName name="BO6392A09D42394A5095EEC8EC87B127D4" hidden="1">#REF!</definedName>
    <definedName name="BO639AED9047684E6AA54980540F223F0D" hidden="1">#REF!</definedName>
    <definedName name="BO63AA1074A6A341AC98923D8910EB6B10" hidden="1">#REF!</definedName>
    <definedName name="BO63ABE448CEAC46D39166E30EDDFBF7BB" hidden="1">#REF!</definedName>
    <definedName name="BO63C1EE2B242C4D56A62FBE9F03BF5797" hidden="1">#REF!</definedName>
    <definedName name="BO63DA3E0430B14B78814C4BE3BB09D1B6" hidden="1">#REF!</definedName>
    <definedName name="BO63DABF47B6B8407C9E6BC00E69DEE9F9" hidden="1">#REF!</definedName>
    <definedName name="BO63F66BDAB759401D94FF1A211147D2FD" hidden="1">#REF!</definedName>
    <definedName name="BO63FCFDE92132425C94FF90C4888C5CD0" hidden="1">#REF!</definedName>
    <definedName name="BO6406AE621D6044EFB12F789B351AE90A" hidden="1">#REF!</definedName>
    <definedName name="BO640F4EFF8069476E8D9496FEE641A671" hidden="1">#REF!</definedName>
    <definedName name="BO641179B7FDCA49D1842A40C092E6E593" hidden="1">#REF!</definedName>
    <definedName name="BO64214A6D88C349CBB67B08B1FAE571B6" hidden="1">#REF!</definedName>
    <definedName name="BO642361A353684695AAF82BB792EBCBE9" hidden="1">#REF!</definedName>
    <definedName name="BO6432C1B7CE6F4DE290F3DBB6DDA2A896" hidden="1">#REF!</definedName>
    <definedName name="BO6442474F16494AE19929455984B7016C" hidden="1">#REF!</definedName>
    <definedName name="BO644256A711C34BD091C3D7167972E241" hidden="1">#REF!</definedName>
    <definedName name="BO6443AABC9A324A0087BEAEB4CA1EAB13" hidden="1">#REF!</definedName>
    <definedName name="BO644919BAD3EF41CCB3BED725A7CC73EE" hidden="1">#REF!</definedName>
    <definedName name="BO645D7E6096984C0A84892D5B2EAE8F2D" hidden="1">#REF!</definedName>
    <definedName name="BO645E749F3B9B49DD9C402E09F7BC0102" hidden="1">#REF!</definedName>
    <definedName name="BO64685C9C9CEE4893BB55E52FBD41CE97" hidden="1">#REF!</definedName>
    <definedName name="BO64701BA2C63D492C8B59C16B31752DC3" hidden="1">#REF!</definedName>
    <definedName name="BO6482024E370343ED910891897633BFE7" hidden="1">#REF!</definedName>
    <definedName name="BO64846342AE8A4CDCA62F72B5C33F607A" hidden="1">#REF!</definedName>
    <definedName name="BO648548BCE0DA45B7A7287C34D05F81F2" hidden="1">#REF!</definedName>
    <definedName name="BO648780E49BF44D76BBC672D8324D1A64" hidden="1">#REF!</definedName>
    <definedName name="BO64A7458E5B7E43399819A220F4C81F58" hidden="1">#REF!</definedName>
    <definedName name="BO64AF21F53271471AAF110FF607ED75C2" hidden="1">#REF!</definedName>
    <definedName name="BO64BD5A3468AA471F882EB2168E56E865" hidden="1">#REF!</definedName>
    <definedName name="BO64D1AF52DBE34F018B786592ED1D354E" hidden="1">#REF!</definedName>
    <definedName name="BO64D232CB0773437B82167022D547C63D" hidden="1">#REF!</definedName>
    <definedName name="BO64D320B687CF4120B9FCED9D36A3F959" hidden="1">#REF!</definedName>
    <definedName name="BO64E3F1F15AC84AB582C0C12701F8EF49" hidden="1">#REF!</definedName>
    <definedName name="BO64F0F5EB20B340BAADFC6559AC2AA264" hidden="1">#REF!</definedName>
    <definedName name="BO64F982EA16E54898B6F92187C8C361F5" hidden="1">#REF!</definedName>
    <definedName name="BO65048D1821184B47A19D548162A72992" hidden="1">#REF!</definedName>
    <definedName name="BO651479EDBB214D2988AD6FEA30D9E99E" hidden="1">#REF!</definedName>
    <definedName name="BO6515A514F746447AA5303E8D09269775" hidden="1">#REF!</definedName>
    <definedName name="BO65180B7D5D654EC08AE50A3796E2EC9E" hidden="1">#REF!</definedName>
    <definedName name="BO6520D75EC63E44F7AC710726C1E6079D" hidden="1">#REF!</definedName>
    <definedName name="BO6521FD43239C41A8B1952CD609A2DABE" hidden="1">#REF!</definedName>
    <definedName name="BO6525F23A7CB4407C935894F7FB5040CD" hidden="1">#REF!</definedName>
    <definedName name="BO652CC2DF666D48668C9CD1A36EB1E73C" hidden="1">#REF!</definedName>
    <definedName name="BO6536E8ECB2954FFA86F054CAB96A3605" hidden="1">#REF!</definedName>
    <definedName name="BO653919FED8EC4688A365BF1E5B77008D" hidden="1">#REF!</definedName>
    <definedName name="BO653CC9949C44421885485FC761D67151" hidden="1">#REF!</definedName>
    <definedName name="BO653D5F52EDC647DB9A750024E688215F" hidden="1">#REF!</definedName>
    <definedName name="BO65458A9BE95547B2B0B612C94D5D9E7D" hidden="1">#REF!</definedName>
    <definedName name="BO655B886EC65946C089F6D0A4FAD31473" hidden="1">#REF!</definedName>
    <definedName name="BO6569B1282CD84D88991969F251051417" hidden="1">#REF!</definedName>
    <definedName name="BO656E77B6A4C743D199659D12351E4149" hidden="1">#REF!</definedName>
    <definedName name="BO65771DB6FA164897BBBEABD24F19FA21" hidden="1">#REF!</definedName>
    <definedName name="BO659BDA55AF094865A49EB2D25B30F53A" hidden="1">#REF!</definedName>
    <definedName name="BO65A00B857FB94E0794C4F3035347AAA0" hidden="1">#REF!</definedName>
    <definedName name="BO65ACA18C61704FA0981C2788C0311C4F" hidden="1">#REF!</definedName>
    <definedName name="BO65B048AF270D425584D381968CA04F3B" hidden="1">#REF!</definedName>
    <definedName name="BO65C0E2C66D2042F49F209ED7E566F98A" hidden="1">#REF!</definedName>
    <definedName name="BO65C263807011433F92E421764C9F5205" hidden="1">#REF!</definedName>
    <definedName name="BO65C29BD9D6DE4DE491503D83253F8BDB" hidden="1">#REF!</definedName>
    <definedName name="BO65CC7E3CB91945ED8ED2B31C42DB88A6" hidden="1">#REF!</definedName>
    <definedName name="BO65D381BF98AA477487B0A8CEE7C353D7" hidden="1">#REF!</definedName>
    <definedName name="BO65D3FEBFA55D4633BE590E37D7C468CF" hidden="1">#REF!</definedName>
    <definedName name="BO65EF5BC8A08B46BA87CDC3BCEFDF1220" hidden="1">#REF!</definedName>
    <definedName name="BO660210A612C6487A93D3FBCC2BE81260" hidden="1">#REF!</definedName>
    <definedName name="BO66034E61D64F464A9C3BBCEBF0ECCD52" hidden="1">#REF!</definedName>
    <definedName name="BO66043C427E3E492F87C6ABAA5B4EF105" hidden="1">#REF!</definedName>
    <definedName name="BO6608AFFAC9D24147B7F71506F6E91E2D" hidden="1">#REF!</definedName>
    <definedName name="BO6614D524EF2440C7B1DBCDC51937FBA5" hidden="1">#REF!</definedName>
    <definedName name="BO6621318A83B2425FA09DA3C2884951DA" hidden="1">#REF!</definedName>
    <definedName name="BO662473044A01441CB8E1970937C707D0" hidden="1">#REF!</definedName>
    <definedName name="BO6629114C7E4046B6B9BF04B7FB0F360E" hidden="1">#REF!</definedName>
    <definedName name="BO6636F364F195470794D9D33F5185520D" hidden="1">#REF!</definedName>
    <definedName name="BO663D3DDCEC4642BDB6365202B43D6BBE" hidden="1">#REF!</definedName>
    <definedName name="BO66459AEC70FA479D862F90CE99ED13BF" hidden="1">#REF!</definedName>
    <definedName name="BO6653C3BDCEBB42DC83A2A5D787FB3AF0" hidden="1">#REF!</definedName>
    <definedName name="BO66600782B89F45A6B85DFE1A213BCDF3" hidden="1">#REF!</definedName>
    <definedName name="BO666973FD2BF54BA08506880A50AF2BF1" hidden="1">#REF!</definedName>
    <definedName name="BO667189CD29634700A87B7929E30C2ECD" hidden="1">#REF!</definedName>
    <definedName name="BO6674187FBD4E4C8289265BD9FD590547" hidden="1">#REF!</definedName>
    <definedName name="BO66824E1CA6BF4537BD3CDDCC41FE28D3" hidden="1">#REF!</definedName>
    <definedName name="BO66934BBCDD2244359FC782A22BB14899" hidden="1">#REF!</definedName>
    <definedName name="BO66979B7FECF545778B10EE449B37654A" hidden="1">#REF!</definedName>
    <definedName name="BO669A3B0020494AD8A31591FC2E601903" hidden="1">#REF!</definedName>
    <definedName name="BO669AA9157FA048228813CC8304D6182B" hidden="1">#REF!</definedName>
    <definedName name="BO66B05DC12D294EF3B8A1966FC053FC5C" hidden="1">#REF!</definedName>
    <definedName name="BO66B2098B131F47E5A444D0F5E5C5A768" hidden="1">#REF!</definedName>
    <definedName name="BO66BBAFDD558444EB8940825D7B6CDC9E" hidden="1">#REF!</definedName>
    <definedName name="BO66BC42DBB3674B2DB49F2ADEE491A653" hidden="1">#REF!</definedName>
    <definedName name="BO66C114EA43D441719658AE8C647620F4" hidden="1">#REF!</definedName>
    <definedName name="BO66C6C070B3494216BC774594C98FCABB" hidden="1">#REF!</definedName>
    <definedName name="BO66CC7B6EF2124F2A98FD02DCB0829733" hidden="1">#REF!</definedName>
    <definedName name="BO66CD1390D8314228B4D945DD4B5E1481" hidden="1">#REF!</definedName>
    <definedName name="BO66E7C1D3190C4719909504A7D0DE1A3B" hidden="1">#REF!</definedName>
    <definedName name="BO66EB7F558E9F47458EF2735859B7B889" hidden="1">#REF!</definedName>
    <definedName name="BO66FFA8AC22224327A9687B24CF46018B" hidden="1">#REF!</definedName>
    <definedName name="BO66FFFE90D69A4354A4041B5476EC8285" hidden="1">#REF!</definedName>
    <definedName name="BO6708B69E7DAA4C8BA0DAB3B6E4DEC950" hidden="1">#REF!</definedName>
    <definedName name="BO670B3DC93DFA4949B35810D7300F7EB6" hidden="1">#REF!</definedName>
    <definedName name="BO67194566C416433C962FB6CA2A452C61" hidden="1">#REF!</definedName>
    <definedName name="BO67397484177443039AC2374974E2C8AB" hidden="1">#REF!</definedName>
    <definedName name="BO673ACB6E79D845C0BABE100CC872F2BC" hidden="1">#REF!</definedName>
    <definedName name="BO673B205028C5407B9883F23EB15279AB" hidden="1">#REF!</definedName>
    <definedName name="BO674206F31E9745E2A0512685F80C94E2" hidden="1">#REF!</definedName>
    <definedName name="BO674BF41D3F02496D92722135321479CF" hidden="1">#REF!</definedName>
    <definedName name="BO674C825EA3BA46B890D1BB22EE0A05F0" hidden="1">#REF!</definedName>
    <definedName name="BO674C8357B79D4B1FA01727D709271524" hidden="1">#REF!</definedName>
    <definedName name="BO674D79361808448CBE65C76310CFFD6F" hidden="1">#REF!</definedName>
    <definedName name="BO67535083E309468E85BEAFB768263C4B" hidden="1">#REF!</definedName>
    <definedName name="BO675A5A581EDD4D1DB2202FB2B29AC551" hidden="1">#REF!</definedName>
    <definedName name="BO6765C07236D547AEA8E7E6DC98BA57F1" hidden="1">#REF!</definedName>
    <definedName name="BO6767678FBEFE40D68CD56E6CC51598C9" hidden="1">#REF!</definedName>
    <definedName name="BO6767B74150034CF0856D94D3A39F5057" hidden="1">#REF!</definedName>
    <definedName name="BO6768C0DACE134C63B205BF0E18C3249A" hidden="1">#REF!</definedName>
    <definedName name="BO676F715AF0D641B5BEFB311DAD9E487D" hidden="1">#REF!</definedName>
    <definedName name="BO677C96346466424ABEBCA07C41DF212D" hidden="1">#REF!</definedName>
    <definedName name="BO677CCC4CE0BA4EC98FA31F092C9C8C35" hidden="1">#REF!</definedName>
    <definedName name="BO678180DE66B047EFA2A668CACFD06350" hidden="1">#REF!</definedName>
    <definedName name="BO67ABAF1907B24705AF5B1CF71B65E9C7" hidden="1">#REF!</definedName>
    <definedName name="BO67ACD29383E443C495A53D62A7E35D55" hidden="1">#REF!</definedName>
    <definedName name="BO67AD60AFE74D40C1BE4281FDEA2631EF" hidden="1">#REF!</definedName>
    <definedName name="BO67B9170B65594D018F9B392B611F2869" hidden="1">#REF!</definedName>
    <definedName name="BO67C1A3E54D574D4082474494A41A4886" hidden="1">#REF!</definedName>
    <definedName name="BO67C720E361794CB7B28C64199B10B80D" hidden="1">#REF!</definedName>
    <definedName name="BO67D780B36B804EC597F48A08BFD02190" hidden="1">#REF!</definedName>
    <definedName name="BO67E144C4D27A45C5A6099FF9B78B3C93" hidden="1">#REF!</definedName>
    <definedName name="BO67E28CA96546418988611E244CEF6E2D" hidden="1">#REF!</definedName>
    <definedName name="BO67E5E28C6F89473D914DCD1C584C6E15" hidden="1">#REF!</definedName>
    <definedName name="BO67E83FFE2EB94E50A2E35B8D8E6538AA" hidden="1">#REF!</definedName>
    <definedName name="BO67F479DEE51049FDB9B94D0CA5244852" hidden="1">#REF!</definedName>
    <definedName name="BO67FA6E8C74264E84B46B9768D82FDB62" hidden="1">#REF!</definedName>
    <definedName name="BO680193BD4C7C4C57B548CFD5E27C3C29" hidden="1">#REF!</definedName>
    <definedName name="BO6802FB71F8D042BC83D438699681D629" hidden="1">#REF!</definedName>
    <definedName name="BO6803C6DD6A144F1B906D99AB024B5BF4" hidden="1">#REF!</definedName>
    <definedName name="BO6810F3678DBB4593A8685B06032A7F49" hidden="1">#REF!</definedName>
    <definedName name="BO6812ECC61CC449609AB392C9ADD87591" hidden="1">#REF!</definedName>
    <definedName name="BO682C06BD171D4E90ACBF1FBCD2546EC6" hidden="1">#REF!</definedName>
    <definedName name="BO682FB15A7A574D88838D04C43829329A" hidden="1">#REF!</definedName>
    <definedName name="BO68347EEEA09B4EFB91D07782FC425B02" hidden="1">#REF!</definedName>
    <definedName name="BO683A575ABC1D45D8AE5D816688386A93" hidden="1">#REF!</definedName>
    <definedName name="BO6852CF678995485E95F7DA31DE876CC7" hidden="1">#REF!</definedName>
    <definedName name="BO6858D233A7264E0C8C6AB2C22A49C24E" hidden="1">#REF!</definedName>
    <definedName name="BO6863A3E5C5E04E119E9AAF4B2DE94982" hidden="1">#REF!</definedName>
    <definedName name="BO686B81EC29184313B9A818C669071798" hidden="1">#REF!</definedName>
    <definedName name="BO6892C2BFDEEA46B09CA435879A538D94" hidden="1">#REF!</definedName>
    <definedName name="BO68AA49254FEF464991A5BC04108EEE6F" hidden="1">#REF!</definedName>
    <definedName name="BO68AB8696AC5E4CC5B3D7BD5FCE2F3727" hidden="1">#REF!</definedName>
    <definedName name="BO68AF472219304575ABE01658EB5D5079" hidden="1">#REF!</definedName>
    <definedName name="BO68B0090E13184912881FECD921027219" hidden="1">#REF!</definedName>
    <definedName name="BO68BEADEBC47244DA8EB6A2C931933D65" hidden="1">#REF!</definedName>
    <definedName name="BO68C59870FE0C46E2B067B1873CA0AA6A" hidden="1">#REF!</definedName>
    <definedName name="BO68C63D3C70104C77BF518D6913C6FBF5" hidden="1">#REF!</definedName>
    <definedName name="BO68CF35E36600431CBD8C261F5BE5E7BA" hidden="1">#REF!</definedName>
    <definedName name="BO68DDC64DF10741C7807EFA22644936A0" hidden="1">#REF!</definedName>
    <definedName name="BO68E9D46B1A3F45ADAD1CA7199DD4A8A8" hidden="1">#REF!</definedName>
    <definedName name="BO68F788463CE84B7AA7F9998B7FEE6E87" hidden="1">#REF!</definedName>
    <definedName name="BO68FB116C8BA24609BAD4A36D4916607D" hidden="1">#REF!</definedName>
    <definedName name="BO68FC97155F3740C9BF3F3EF1BDBE0AC4" hidden="1">#REF!</definedName>
    <definedName name="BO690F25776FC64C9AA7D5F0DE6B875626" hidden="1">#REF!</definedName>
    <definedName name="BO6913E7233C074E08A9DD4944FDA386D9" hidden="1">#REF!</definedName>
    <definedName name="BO691A606C63804F16B2318EE4FE58F531" hidden="1">#REF!</definedName>
    <definedName name="BO691C2C11C47A4428AEF33A5E3CBE036D" hidden="1">#REF!</definedName>
    <definedName name="BO692079FB21E0498AAB105B9E4D718D3E" hidden="1">#REF!</definedName>
    <definedName name="BO692321401DE641C79C547794B51D1ED7" hidden="1">#REF!</definedName>
    <definedName name="BO692EE5F9915D4284A4502F7F151020F5" hidden="1">#REF!</definedName>
    <definedName name="BO694FE0C32CB4480AB162D0293C978DF1" hidden="1">#REF!</definedName>
    <definedName name="BO695F022EC4AD4DCAA64309FACD1B4554" hidden="1">#REF!</definedName>
    <definedName name="BO6963B76A4F804EB6BC3711E9B0DDBDBD" hidden="1">#REF!</definedName>
    <definedName name="BO6974C9D8B9D24B77A1608216894D898C" hidden="1">#REF!</definedName>
    <definedName name="BO697681AC99E245479BDA6FFB2316BF72" hidden="1">#REF!</definedName>
    <definedName name="BO6987BD2F572E48E8A6D3AAF28D62E82F" hidden="1">#REF!</definedName>
    <definedName name="BO698849A341044D2FA03D181E11813F40" hidden="1">#REF!</definedName>
    <definedName name="BO698E7CF8444741DDA927230BA79ECE13" hidden="1">#REF!</definedName>
    <definedName name="BO6990E77B22114FAAB284AA54E17BCD72" hidden="1">#REF!</definedName>
    <definedName name="BO699AB502EB664852BAF8ECE1E7DDA691" hidden="1">#REF!</definedName>
    <definedName name="BO699E0B53D3554A5A9595FA6ECD485235" hidden="1">#REF!</definedName>
    <definedName name="BO69AB0E7165674880870437A07EB9F938" hidden="1">#REF!</definedName>
    <definedName name="BO69B4888A85CC4E9E8AD03C69E8C8E14C" hidden="1">#REF!</definedName>
    <definedName name="BO69B78C41C17D4796A8D70BD502FCFDE0" hidden="1">#REF!</definedName>
    <definedName name="BO69BD6607BACB4C86ADA1A6F3C7C1821A" hidden="1">#REF!</definedName>
    <definedName name="BO69BDDEF3FB58410E91C102B954F9935F" hidden="1">#REF!</definedName>
    <definedName name="BO69CB95397F1A47278234726620100753" hidden="1">#REF!</definedName>
    <definedName name="BO69DDA3C1C15A4461B5065E3DD8F64A33" hidden="1">#REF!</definedName>
    <definedName name="BO69DEF7ED94B243509703DAC7E11F05C2" hidden="1">#REF!</definedName>
    <definedName name="BO69E44A5324F3441AB4E484F9DCC68CB6" hidden="1">#REF!</definedName>
    <definedName name="BO69E943F8A44745538494E4A755966162" hidden="1">#REF!</definedName>
    <definedName name="BO69E9B3A17C084555937283BCAE49689E" hidden="1">#REF!</definedName>
    <definedName name="BO69EEF17C46C14E7EA3BC007153BDCE36" hidden="1">#REF!</definedName>
    <definedName name="BO6A086C5F8557484AB7BBD9DFBA95CAF8" hidden="1">#REF!</definedName>
    <definedName name="BO6A0D938856AF428EBF591B8C8509A9BE" hidden="1">#REF!</definedName>
    <definedName name="BO6A1C9555F2954E8FA604750416607960" hidden="1">#REF!</definedName>
    <definedName name="BO6A21579FDD1E49929107CC520E2EA170" hidden="1">#REF!</definedName>
    <definedName name="BO6A2E257CF2CF44DA9718D13CDC5AF44E" hidden="1">#REF!</definedName>
    <definedName name="BO6A33D399AFF94706AB208FC9FBBCD77C" hidden="1">#REF!</definedName>
    <definedName name="BO6A3B129C4F53425895E6ECE35F5D25CD" hidden="1">#REF!</definedName>
    <definedName name="BO6A419A52989446F892B18DA64E0AB7F3" hidden="1">#REF!</definedName>
    <definedName name="BO6A48AAFFCA4344D788417F75766F24A2" hidden="1">#REF!</definedName>
    <definedName name="BO6A516A5D0C294227A2213E351851E626" hidden="1">#REF!</definedName>
    <definedName name="BO6A600718F8B445788478EBD35F5F4037" hidden="1">#REF!</definedName>
    <definedName name="BO6A61096362F04646ADE88D3EBC7C516F" hidden="1">#REF!</definedName>
    <definedName name="BO6A668E7514B046DBB6C2E7B0D3F994EE" hidden="1">#REF!</definedName>
    <definedName name="BO6A6A33CEC5E6467080D5775F9C65AA2B" hidden="1">#REF!</definedName>
    <definedName name="BO6A73CEBC413845FF8D1D4B081D2AEF96" hidden="1">#REF!</definedName>
    <definedName name="BO6A74CBF9A8B64F7F969CCC3C13920B46" hidden="1">#REF!</definedName>
    <definedName name="BO6A78CD77A7A44DEDBCAB1F725743769B" hidden="1">#REF!</definedName>
    <definedName name="BO6A7D556AFF1C4D04926A02E8629020D3" hidden="1">#REF!</definedName>
    <definedName name="BO6A8662A724474AB9AFD1B33BAE89F297" hidden="1">#REF!</definedName>
    <definedName name="BO6A91164B72BB4EE8895741111BE44F67" hidden="1">#REF!</definedName>
    <definedName name="BO6A91B774FD8840D5BE794F6C9927690A" hidden="1">#REF!</definedName>
    <definedName name="BO6AA4ABE924A046659DE7DF0382722D60" hidden="1">#REF!</definedName>
    <definedName name="BO6AA4BD880A104098B4AB00797DAC16D6" hidden="1">#REF!</definedName>
    <definedName name="BO6AA5D25953FD4341815FA8517EF1928C" hidden="1">#REF!</definedName>
    <definedName name="BO6AABCD56286443ACAFC4AC43CDD493BE" hidden="1">#REF!</definedName>
    <definedName name="BO6ABD4CF032544A4D8C98F1CE357781CD" hidden="1">#REF!</definedName>
    <definedName name="BO6ABEFA4E82D84CEEA294056450674165" hidden="1">#REF!</definedName>
    <definedName name="BO6ACAC58790D24BB5A4E09CFA423FEF39" hidden="1">#REF!</definedName>
    <definedName name="BO6ACC6A801E114072A735B64A3DE9B7AA" hidden="1">#REF!</definedName>
    <definedName name="BO6ACF13617D9142B78620E637BA4BD21C" hidden="1">#REF!</definedName>
    <definedName name="BO6AE4975B714D4257ADDE14E0A9D3A45D" hidden="1">#REF!</definedName>
    <definedName name="BO6AE8F8431F0C402396796FAC56D22C53" hidden="1">#REF!</definedName>
    <definedName name="BO6AF751A1AA504EB096DD45A36804D356" hidden="1">#REF!</definedName>
    <definedName name="BO6AFEFF171AB9422DB19D8349673485E8" hidden="1">#REF!</definedName>
    <definedName name="BO6B00029F2CDD49F8BF5FF875F4B8F86C" hidden="1">#REF!</definedName>
    <definedName name="BO6B0C80B6C1514CBD82CA757E4DDDB9CC" hidden="1">#REF!</definedName>
    <definedName name="BO6B0FEF3E712B457099C31A7877696FA3" hidden="1">#REF!</definedName>
    <definedName name="BO6B11704669AC464F9C904A9C75FEF58F" hidden="1">#REF!</definedName>
    <definedName name="BO6B14314B273F4270B5C306E49B81FB4A" hidden="1">#REF!</definedName>
    <definedName name="BO6B1961CB9D6D4D5B8F79EC931577DA47" hidden="1">#REF!</definedName>
    <definedName name="BO6B2071620EB74F308EF991165ECB9D78" hidden="1">#REF!</definedName>
    <definedName name="BO6B24DCF1CCC747F19E55C1017284CE69" hidden="1">#REF!</definedName>
    <definedName name="BO6B31B602E78A4C2DBD7D71F44A1AC3AA" hidden="1">#REF!</definedName>
    <definedName name="BO6B35D0B6A51642F1B66051FC0263BFAD" hidden="1">#REF!</definedName>
    <definedName name="BO6B3AA1B46A9746D5A16912F334704968" hidden="1">#REF!</definedName>
    <definedName name="BO6B449F5CF4EE4C0C9C141C0C0A676ED9" hidden="1">#REF!</definedName>
    <definedName name="BO6B50A29A57A346328F11A90CAF13E54D" hidden="1">#REF!</definedName>
    <definedName name="BO6B7878D0509447109A53DAA0EF27B82D" hidden="1">#REF!</definedName>
    <definedName name="BO6B845EC641244F66B4FAD358C19FBB07" hidden="1">#REF!</definedName>
    <definedName name="BO6B8683EFD46440E3BC99389877FB5B38" hidden="1">#REF!</definedName>
    <definedName name="BO6B88745D5C0D4CC694210B78F8B4E16A" hidden="1">#REF!</definedName>
    <definedName name="BO6B9205C251E34B5AA8F94844CE0A7967" hidden="1">#REF!</definedName>
    <definedName name="BO6B95CF0F2BCE42C7AEEF4BB16E587324" hidden="1">#REF!</definedName>
    <definedName name="BO6B995B4D9CDC42BD920D210456ABE292" hidden="1">#REF!</definedName>
    <definedName name="BO6B9E8EF7042E49E8A57240C7CE1B1C82" hidden="1">#REF!</definedName>
    <definedName name="BO6BB35D56A88C4A93B081E162036B10E4" hidden="1">#REF!</definedName>
    <definedName name="BO6BC2888E9D974D199A0096AF1F8763AA" hidden="1">#REF!</definedName>
    <definedName name="BO6BC46C4D3BE34465995F3E8EBACBC333" hidden="1">#REF!</definedName>
    <definedName name="BO6BC59FF898D94C9EB93391C0ADF10AD1" hidden="1">#REF!</definedName>
    <definedName name="BO6BC949D703FE46099E315A9704EEDB81" hidden="1">#REF!</definedName>
    <definedName name="BO6BCC7ED8FC314AF59F985D973B8FCA42" hidden="1">#REF!</definedName>
    <definedName name="BO6BCDAFD599934E108C99F5DC48AEFB97" hidden="1">#REF!</definedName>
    <definedName name="BO6BD1CBB5F24542EFB79E1FE253E0BC93" hidden="1">#REF!</definedName>
    <definedName name="BO6BEE69E3E88E4D2AB8DD1780E0538E33" hidden="1">#REF!</definedName>
    <definedName name="BO6BFCE2AB82714FB2AD75089C18DE4143" hidden="1">#REF!</definedName>
    <definedName name="BO6C0660EC187F4E8984DBCD103B45B356" hidden="1">#REF!</definedName>
    <definedName name="BO6C16949F9D0A4ACCA68C0612728FD04C" hidden="1">#REF!</definedName>
    <definedName name="BO6C19F4533D7E40C7BBE3E9A8402E1562" hidden="1">#REF!</definedName>
    <definedName name="BO6C2B9E06FA5142619127D2363D04DED8" hidden="1">#REF!</definedName>
    <definedName name="BO6C329587AC6F4DB1B4B532F731FB429A" hidden="1">#REF!</definedName>
    <definedName name="BO6C34D90DCB84419ABB05C31329619E97" hidden="1">#REF!</definedName>
    <definedName name="BO6C3924C05CD44AE28756AEC6B1CEDF92" hidden="1">#REF!</definedName>
    <definedName name="BO6C4E8D539D31410E8314EB3C7AA48C35" hidden="1">#REF!</definedName>
    <definedName name="BO6C5BD691147E454E981962930827E364" hidden="1">#REF!</definedName>
    <definedName name="BO6C5D985A886A43EFB00691D1BC120B4D" hidden="1">#REF!</definedName>
    <definedName name="BO6C5EAC6579254A9E9AE2E5E70628B857" hidden="1">#REF!</definedName>
    <definedName name="BO6C60BDC882C545F8AD956D945B433BEF" hidden="1">#REF!</definedName>
    <definedName name="BO6C7A4D91082643B181296BB73597D4F0" hidden="1">#REF!</definedName>
    <definedName name="BO6C7B96D3276D4CD28081805EF301EB80" hidden="1">#REF!</definedName>
    <definedName name="BO6C7C7885D8014D27AB7E35AC2EBE2573" hidden="1">#REF!</definedName>
    <definedName name="BO6C7DFC3FB3154976886DC028578E2F0D" hidden="1">#REF!</definedName>
    <definedName name="BO6C819A57405244F58F0DE1DB454157B6" hidden="1">#REF!</definedName>
    <definedName name="BO6C88988798464C1EBDEE04FE71F62746" hidden="1">#REF!</definedName>
    <definedName name="BO6C8A243DAA2148FF8040EF652944D643" hidden="1">#REF!</definedName>
    <definedName name="BO6C8B6891E4C64DFE91D3B629E72FD5BC" hidden="1">#REF!</definedName>
    <definedName name="BO6C903F05CECF4586AB159C575BFDD6C8" hidden="1">#REF!</definedName>
    <definedName name="BO6C905BCB7F554E6491F98AF42C974C66" hidden="1">#REF!</definedName>
    <definedName name="BO6C97DFC0A39146A3B3AD3086A8BBD91D" hidden="1">#REF!</definedName>
    <definedName name="BO6C98DAA07F2B43288057091A55FD024F" hidden="1">#REF!</definedName>
    <definedName name="BO6C9E620FE82944F094E92780C898DBE5" hidden="1">#REF!</definedName>
    <definedName name="BO6CA224FCA07E4643892B4E1C19FEF13C" hidden="1">#REF!</definedName>
    <definedName name="BO6CA296663FD1400D94B3DFB26D509A9C" hidden="1">#REF!</definedName>
    <definedName name="BO6CA31F12BF1A4E69931A0401D3BF985E" hidden="1">#REF!</definedName>
    <definedName name="BO6CA9E4916B564141BF62371EB75A0A66" hidden="1">#REF!</definedName>
    <definedName name="BO6CB03D44399642C99969215482D5718F" hidden="1">#REF!</definedName>
    <definedName name="BO6CB736AE3B514B6889DF8831B29D4761" hidden="1">#REF!</definedName>
    <definedName name="BO6CC2F4F5963B4605B38E8D6C4EB6479A" hidden="1">#REF!</definedName>
    <definedName name="BO6CD6C9A6055845C5A440AF0A76718873" hidden="1">#REF!</definedName>
    <definedName name="BO6CDC9D60F8A345769BF9E69391F457C8" hidden="1">#REF!</definedName>
    <definedName name="BO6CDDE1A0ECFB4DC399883C609FF8340E" hidden="1">#REF!</definedName>
    <definedName name="BO6CE9AD3FAF7340E2B1B607847523F56B" hidden="1">#REF!</definedName>
    <definedName name="BO6CF73397C9AF471783B3C49A780DB73F" hidden="1">#REF!</definedName>
    <definedName name="BO6CF899518F344D3BAB35B6F98EE4EA0B" hidden="1">#REF!</definedName>
    <definedName name="BO6D01416494864B46873D2E1F0A27493B" hidden="1">#REF!</definedName>
    <definedName name="BO6D01F2E1818C41038AEA360E8D2CE2F1" hidden="1">#REF!</definedName>
    <definedName name="BO6D061881AAE9463E80064B55C7908B81" hidden="1">#REF!</definedName>
    <definedName name="BO6D0D5D16D3EA4B85B3A0E76AADA3D268" hidden="1">#REF!</definedName>
    <definedName name="BO6D3B2345B90240D9B76F9D6FDB90D225" hidden="1">#REF!</definedName>
    <definedName name="BO6D40C1D976914770BF3C2AC416BAD031" hidden="1">#REF!</definedName>
    <definedName name="BO6D428A64199C499EB0C938BF7F568A0B" hidden="1">#REF!</definedName>
    <definedName name="BO6D5F48335F4E41C9834E3554917A3835" hidden="1">#REF!</definedName>
    <definedName name="BO6D6116AC66F74E37A01B547E510BC380" hidden="1">#REF!</definedName>
    <definedName name="BO6D62DB9257E446F78939C96A78936DCD" hidden="1">#REF!</definedName>
    <definedName name="BO6D7D84B3473C4D639FCE822083F756FD" hidden="1">#REF!</definedName>
    <definedName name="BO6D938E5BA803466887115BC3CBC25C55" hidden="1">#REF!</definedName>
    <definedName name="BO6D9627E8E6684CB3B4E4D4DF1F66BB73" hidden="1">#REF!</definedName>
    <definedName name="BO6D998C5288EF4BB482EC9A8A3D834EA7" hidden="1">#REF!</definedName>
    <definedName name="BO6DA47415902749C583ED98CF35D78707" hidden="1">#REF!</definedName>
    <definedName name="BO6DA8D1E449E847C39DEC0FD2E11C3327" hidden="1">#REF!</definedName>
    <definedName name="BO6DAFF8F7BB934A899C606E879ABFC933" hidden="1">#REF!</definedName>
    <definedName name="BO6DBBCA80C33B4154A636FC19B75F7EB6" hidden="1">#REF!</definedName>
    <definedName name="BO6DBC89EC25C04CB4ADB03B8BAA624A65" hidden="1">#REF!</definedName>
    <definedName name="BO6DC10C25DD8E42C3B06125104FAEEBE5" hidden="1">#REF!</definedName>
    <definedName name="BO6DC2CC9D757C4BDE9C764496322A07F4" hidden="1">#REF!</definedName>
    <definedName name="BO6DD8555FEE5C4D27A1945EA0E016062A" hidden="1">#REF!</definedName>
    <definedName name="BO6DDC3C7594044DA5AE9C2017F077341F" hidden="1">#REF!</definedName>
    <definedName name="BO6DE8DA7D1330458A9FC1AAFADF210BFF" hidden="1">#REF!</definedName>
    <definedName name="BO6DF0E0BABD544C43BE4DF7211F8C1489" hidden="1">#REF!</definedName>
    <definedName name="BO6DF3DF680D024ED3886F4133D697144A" hidden="1">#REF!</definedName>
    <definedName name="BO6E030D4C26644B19AEEBA5DAE81A0BAD" hidden="1">#REF!</definedName>
    <definedName name="BO6E05316C4D6D454EB7703122F197EE72" hidden="1">#REF!</definedName>
    <definedName name="BO6E0C680F29AE429E99B93A1796E7D993" hidden="1">#REF!</definedName>
    <definedName name="BO6E0E5B5E58AA419A9CC7791347E83926" hidden="1">#REF!</definedName>
    <definedName name="BO6E103493954C4639A9EB5FFE62B916E1" hidden="1">#REF!</definedName>
    <definedName name="BO6E12E9ED8A3E492BA90AD683ACE06D08" hidden="1">#REF!</definedName>
    <definedName name="BO6E2C5F1603E64242AE41CF7064A8D9A4" hidden="1">#REF!</definedName>
    <definedName name="BO6E2FF57F7110465DBBC06BD9B647AB9A" hidden="1">#REF!</definedName>
    <definedName name="BO6E36F3A731004ED291CB9076F617B39D" hidden="1">#REF!</definedName>
    <definedName name="BO6E386AAD92DC4CBE84D19676C16BF427" hidden="1">#REF!</definedName>
    <definedName name="BO6E4F5498427542319B70B1E1376F6378" hidden="1">#REF!</definedName>
    <definedName name="BO6E60C11860A149FA9965A65ECC4133EB" hidden="1">#REF!</definedName>
    <definedName name="BO6E6925BAFF584376878A185FE95B5A0B" hidden="1">#REF!</definedName>
    <definedName name="BO6E699084886749B6978087E50FDDAA2E" hidden="1">#REF!</definedName>
    <definedName name="BO6E6B636FD9DC41328B5EBA1EDC09551C" hidden="1">#REF!</definedName>
    <definedName name="BO6E6D8318F9FA439AA83D0C858F6351E6" hidden="1">#REF!</definedName>
    <definedName name="BO6E77521B58774E53AB71C3E79EE7CB0F" hidden="1">#REF!</definedName>
    <definedName name="BO6E7A7E8C94E04F7881E05EE25BDA59AD" hidden="1">#REF!</definedName>
    <definedName name="BO6E7C4DC6A3DA4446AA173AED0426867C" hidden="1">#REF!</definedName>
    <definedName name="BO6E7D42B844A9435BACECF3E89009A484" hidden="1">#REF!</definedName>
    <definedName name="BO6E856119EC7E406B9EE9A8AD8DFFF31A" hidden="1">#REF!</definedName>
    <definedName name="BO6E8BB8FDACC34366A06C6CFD6020F14F" hidden="1">#REF!</definedName>
    <definedName name="BO6E8C08E4A7DE463286AF6397339E461E" hidden="1">#REF!</definedName>
    <definedName name="BO6E93B160B9734551A62FB7189A82D09A" hidden="1">#REF!</definedName>
    <definedName name="BO6E968EA939004A758727C22882E060EA" hidden="1">#REF!</definedName>
    <definedName name="BO6EA41ED9576D4608A3D0F4633B1A137E" hidden="1">#REF!</definedName>
    <definedName name="BO6EA9894366CA466B8C94FF0E22BA166F" hidden="1">#REF!</definedName>
    <definedName name="BO6EE1624882564DFC9A30726D6809F7C6" hidden="1">#REF!</definedName>
    <definedName name="BO6EE824BB8219488CB011893EEBF0058F" hidden="1">#REF!</definedName>
    <definedName name="BO6EF160F01FB44C5BA70575CD68E4EC8C" hidden="1">#REF!</definedName>
    <definedName name="BO6EF80E5190194074AFBA87E45A7A7DA3" hidden="1">#REF!</definedName>
    <definedName name="BO6F0B2074D0964FFF874D59BCCBE577C7" hidden="1">#REF!</definedName>
    <definedName name="BO6F0B69D7E422427998E59215893C6FA6" hidden="1">#REF!</definedName>
    <definedName name="BO6F0C1308C03E491197B2A76DA988611C" hidden="1">#REF!</definedName>
    <definedName name="BO6F0EE2DF0FFF4DF3B255EC6C6D25CDB2" hidden="1">#REF!</definedName>
    <definedName name="BO6F1205C531DE43F7A29C8D8F09B7822D" hidden="1">#REF!</definedName>
    <definedName name="BO6F1763D5D29645A2A9850F7A7025652D" hidden="1">#REF!</definedName>
    <definedName name="BO6F257A35A20A46258F496721EF9AB802" hidden="1">#REF!</definedName>
    <definedName name="BO6F310FDA86AA47A1B4479866D96238EF" hidden="1">#REF!</definedName>
    <definedName name="BO6F39D9ABF36B4E8E951D4721A0B80E8A" hidden="1">#REF!</definedName>
    <definedName name="BO6F4AD7429DDF488B9E335C63702AC230" hidden="1">#REF!</definedName>
    <definedName name="BO6F4B0404B8024842B5A6AAA1546E6C5D" hidden="1">#REF!</definedName>
    <definedName name="BO6F54836ADF7E42F0A18290842D89324C" hidden="1">#REF!</definedName>
    <definedName name="BO6F599B2D3CF64D2B837F1F0FEDAF4C03" hidden="1">#REF!</definedName>
    <definedName name="BO6F5B055CE2BC429799D2923BB2FE477E" hidden="1">#REF!</definedName>
    <definedName name="BO6F5BA289AAB440108AFB4D30B77B0CA7" hidden="1">#REF!</definedName>
    <definedName name="BO6F60D27D27BB4120A515E41F4D94F4C7" hidden="1">#REF!</definedName>
    <definedName name="BO6F6DB92CC27A44F38CC37BB5AACAC8C2" hidden="1">#REF!</definedName>
    <definedName name="BO6F71EB950CDB4584B750129E49164F7D" hidden="1">#REF!</definedName>
    <definedName name="BO6F75AEFAD11048A3AA5000839E50B867" hidden="1">#REF!</definedName>
    <definedName name="BO6F793393D7B446AE823285F5203B65DC" hidden="1">#REF!</definedName>
    <definedName name="BO6F7A3BCB392043C4A4BD009335679444" hidden="1">#REF!</definedName>
    <definedName name="BO6F829BFACF69459FB33E6CAFCD64AAB5" hidden="1">#REF!</definedName>
    <definedName name="BO6F82B81B62344486A7E9CFA132A69793" hidden="1">#REF!</definedName>
    <definedName name="BO6F92C3452A67455A8E6488D309703410" hidden="1">#REF!</definedName>
    <definedName name="BO6F981DC1C2614378A9A1D11016114564" hidden="1">#REF!</definedName>
    <definedName name="BO6F9E481181BA4FE18E0F4C9D56F55316" hidden="1">#REF!</definedName>
    <definedName name="BO6FA18AB7A68D4BD79BDE6BF22DA13E2C" hidden="1">#REF!</definedName>
    <definedName name="BO6FA27A6DCFA04EE1858F0CD369D2A64B" hidden="1">#REF!</definedName>
    <definedName name="BO6FA4B99E2D5F4517B52038BE824C79C0" hidden="1">#REF!</definedName>
    <definedName name="BO6FA57EF2254E450F976EC3422B786903" hidden="1">#REF!</definedName>
    <definedName name="BO6FABC8C4AA01422D8FCE6403E856C241" hidden="1">#REF!</definedName>
    <definedName name="BO6FB51F2CADB24B85AB87CFFA4B06E65B" hidden="1">#REF!</definedName>
    <definedName name="BO6FB61747554B4D4699EFA96E9D8517B2" hidden="1">#REF!</definedName>
    <definedName name="BO6FB972DCD2CA45FA835C046D78F8ABF3" hidden="1">#REF!</definedName>
    <definedName name="BO6FBE1D3F1FE64A8AB07F7AD4A307E7BB" hidden="1">#REF!</definedName>
    <definedName name="BO6FC3B7544D054823B6E5173E4CA5F52C" hidden="1">#REF!</definedName>
    <definedName name="BO6FC43510EA174852A4F6096692A1B7E7" hidden="1">#REF!</definedName>
    <definedName name="BO6FC58F098F3E4521892FB1E808F96B2A" hidden="1">#REF!</definedName>
    <definedName name="BO6FC8F521A97E4611BA390ABEB0CDE3CC" hidden="1">#REF!</definedName>
    <definedName name="BO6FCE4F78601A4EF4AFEBBDB7D52D85D8" hidden="1">#REF!</definedName>
    <definedName name="BO6FD168CC223241CC9454C82F5383C227" hidden="1">#REF!</definedName>
    <definedName name="BO6FE14275438946F99AF5EA6396FD82D6" hidden="1">#REF!</definedName>
    <definedName name="BO6FE2692A8E67465CAFDCB8FF4CBC1190" hidden="1">#REF!</definedName>
    <definedName name="BO6FF8615697284333BB0825AFD8FDD575" hidden="1">#REF!</definedName>
    <definedName name="BO6FFF0B181F6A4C48A2B7261B85D448FA" hidden="1">#REF!</definedName>
    <definedName name="BO70085DB7BF1C4FD38AA705D3E5E858B2" hidden="1">#REF!</definedName>
    <definedName name="BO701F15077BC34DE8B28EBA90FD935CD2" hidden="1">#REF!</definedName>
    <definedName name="BO702041557B8641F698B02CE6A09AFF91" hidden="1">#REF!</definedName>
    <definedName name="BO702B5106F7C44C8196FEF804E3074631" hidden="1">#REF!</definedName>
    <definedName name="BO703FD253C64E48A18DFDAED47F08DB51" hidden="1">#REF!</definedName>
    <definedName name="BO7049472333D94F5293D3CABF73B0D395" hidden="1">#REF!</definedName>
    <definedName name="BO704B6B9306CE4814AB5E4790C394897A" hidden="1">#REF!</definedName>
    <definedName name="BO705811B4428F46D18D77AAC4053022C5" hidden="1">#REF!</definedName>
    <definedName name="BO705AB7D684694BEF9270D3FDB0E6F086" hidden="1">#REF!</definedName>
    <definedName name="BO7063DFD31A274BBEA56584E1DFDC52DD" hidden="1">#REF!</definedName>
    <definedName name="BO7064A69017564A2683E39B61B2E73B6B" hidden="1">#REF!</definedName>
    <definedName name="BO706DDC1ADDA044D2B4FDEF1421F5C209" hidden="1">#REF!</definedName>
    <definedName name="BO7073BD857107441ABA3D0E3CB4CCE211" hidden="1">#REF!</definedName>
    <definedName name="BO7099042ACD474B0D93988CEC8890ADCB" hidden="1">#REF!</definedName>
    <definedName name="BO709A7D1153C243A9B2DFA412DF28CE9A" hidden="1">#REF!</definedName>
    <definedName name="BO70B82BE2B16C43DCBC762473861337EA" hidden="1">#REF!</definedName>
    <definedName name="BO70BAFA06E7EB4341B4858275EE5C887F" hidden="1">#REF!</definedName>
    <definedName name="BO70BF618B3311492F800A0F447B0E7E2B" hidden="1">#REF!</definedName>
    <definedName name="BO70CF3925616249F9B729129A6603E61F" hidden="1">#REF!</definedName>
    <definedName name="BO70D51F16E09F4699A06DA6FBCC93FD03" hidden="1">#REF!</definedName>
    <definedName name="BO70E0676E8774409FA13B8AAA12507335" hidden="1">#REF!</definedName>
    <definedName name="BO70F3EBB058984EC1B36C857BA73AC53E" hidden="1">#REF!</definedName>
    <definedName name="BO70F6E2D9BD6B442F8CC4C6099F24395F" hidden="1">#REF!</definedName>
    <definedName name="BO70FD401DA91645908456061197AD3CC5" hidden="1">#REF!</definedName>
    <definedName name="BO70FDF8F82C804347A7DC5F369392A5D4" hidden="1">#REF!</definedName>
    <definedName name="BO710C988E4C504E3F950E97E1DC972AC2" hidden="1">#REF!</definedName>
    <definedName name="BO7111D220F2C240948C2012760EE19785" hidden="1">#REF!</definedName>
    <definedName name="BO711DF43BBF474AA9A11A016385BAC4D7" hidden="1">#REF!</definedName>
    <definedName name="BO7120D47D257843DCAAC484AADD0D82DA" hidden="1">#REF!</definedName>
    <definedName name="BO71299CC9D7BD4578BDFC3FEC91D9C796" hidden="1">#REF!</definedName>
    <definedName name="BO712C812FBDAF47B98AA7A9DAFB013E5C" hidden="1">#REF!</definedName>
    <definedName name="BO713331B43740435890BC23E5DF82567E" hidden="1">#REF!</definedName>
    <definedName name="BO713A18CEA89D4C49BD714DEAA4156291" hidden="1">#REF!</definedName>
    <definedName name="BO714599E981AA4F1C86464F0245CECD1A" hidden="1">#REF!</definedName>
    <definedName name="BO7145CB97C2064C0A9A3EF6DE03704180" hidden="1">#REF!</definedName>
    <definedName name="BO714E36A76B574A2CA909A37C75B8DAE4" hidden="1">#REF!</definedName>
    <definedName name="BO7160B4450BDA465CAE529E67644DF567" hidden="1">#REF!</definedName>
    <definedName name="BO716BA825847A49408D64EF7036572F39" hidden="1">#REF!</definedName>
    <definedName name="BO716BCCD6F02643FF8CAA047D4083AD60" hidden="1">#REF!</definedName>
    <definedName name="BO716C43F4D90D4AE1AA06DF24D5C87FBF" hidden="1">#REF!</definedName>
    <definedName name="BO719438514EF24029AE30CB8C1625174E" hidden="1">#REF!</definedName>
    <definedName name="BO71993525ABAF4E17B103FD29D0E8763B" hidden="1">#REF!</definedName>
    <definedName name="BO71A1D358501E459AB7029DF11BF583FB" hidden="1">#REF!</definedName>
    <definedName name="BO71A81059A53D42F7980A3A18065C533C" hidden="1">#REF!</definedName>
    <definedName name="BO71C44FE5A0BC4E3AB92CFE167CEA0489" hidden="1">#REF!</definedName>
    <definedName name="BO71CDF8F1194440818419146EF973AC07" hidden="1">#REF!</definedName>
    <definedName name="BO71DE824E357E43B699AC65BB435853C6" hidden="1">#REF!</definedName>
    <definedName name="BO71ED4BF59D5C47F3973B9673CCEAE46E" hidden="1">#REF!</definedName>
    <definedName name="BO71FD4E4A7EAE4B4E9C87926321965B37" hidden="1">#REF!</definedName>
    <definedName name="BO720316194F314083BE47AA4C373D5045" hidden="1">#REF!</definedName>
    <definedName name="BO72074510C8A146018A0FEA2A5C98D862" hidden="1">#REF!</definedName>
    <definedName name="BO720796471C8B4995A345A2499FEEDF49" hidden="1">#REF!</definedName>
    <definedName name="BO721C83C720BA40988DABCC8FC51C7455" hidden="1">#REF!</definedName>
    <definedName name="BO7224F4C90A784DA28BA3A795844C0540" hidden="1">#REF!</definedName>
    <definedName name="BO722CD210D5B64B86B48FDDD849C13F44" hidden="1">#REF!</definedName>
    <definedName name="BO722F9C36759B4254AB70260DD520524B" hidden="1">#REF!</definedName>
    <definedName name="BO7233046E65EC44719410B6F45E0FF0C2" hidden="1">#REF!</definedName>
    <definedName name="BO723D4A78841D4084B520DFF69C910D14" hidden="1">#REF!</definedName>
    <definedName name="BO7240C9320D844109AA7F69449213CCEC" hidden="1">#REF!</definedName>
    <definedName name="BO7248DD38CD6B44FE8C6999559469C4CB" hidden="1">#REF!</definedName>
    <definedName name="BO724B14B634FD46ACA65208DDCF82AF5B" hidden="1">#REF!</definedName>
    <definedName name="BO724E63177A5642A0BB3DB50E2181C0EE" hidden="1">#REF!</definedName>
    <definedName name="BO7257B7DD36F44176924A2BD529821019" hidden="1">#REF!</definedName>
    <definedName name="BO7259B33749F145F5B18CDAE18F140E60" hidden="1">#REF!</definedName>
    <definedName name="BO725CBDEF655749638A770BDCE6E3CACE" hidden="1">#REF!</definedName>
    <definedName name="BO725DE13C88314426AB71DD2997CD5DAD" hidden="1">#REF!</definedName>
    <definedName name="BO725E38C4FD0B4708BFB60E5A2F34AE39" hidden="1">#REF!</definedName>
    <definedName name="BO725EFFCC1EA349029174E342AC5B0DCB" hidden="1">#REF!</definedName>
    <definedName name="BO726035BCF26E4826AA6B8A4B7070EC83" hidden="1">#REF!</definedName>
    <definedName name="BO726C3970EC7749FB968CB8FB25012EFC" hidden="1">#REF!</definedName>
    <definedName name="BO72760A7A01FB4976B33F495C8E450366" hidden="1">#REF!</definedName>
    <definedName name="BO727F680EBB6246739865A8F0BA69C17F" hidden="1">#REF!</definedName>
    <definedName name="BO7281A63874AF4D54A6DFACD1F3B78C3D" hidden="1">#REF!</definedName>
    <definedName name="BO7281BF09AF314319B465BA31AD3FB5E3" hidden="1">#REF!</definedName>
    <definedName name="BO7282A4EA31994C9B99F41B8099FCE50B" hidden="1">#REF!</definedName>
    <definedName name="BO72884E7FCA5B441C98203991A2CFD1BE" hidden="1">#REF!</definedName>
    <definedName name="BO728D5B64DD334CF7A9C3D0BA0A629248" hidden="1">#REF!</definedName>
    <definedName name="BO7298EA7A10804115A49B0067A3F3ACA2" hidden="1">#REF!</definedName>
    <definedName name="BO729C50A4E5434F2F9CF9B97162F333AC" hidden="1">#REF!</definedName>
    <definedName name="BO729DA976D97F4A54B20221CEA35816F5" hidden="1">#REF!</definedName>
    <definedName name="BO72A13DF622C14AB6917FA9BCA75B12E1" hidden="1">#REF!</definedName>
    <definedName name="BO72A7C8E0A4F142F7BE07F2311DD2A356" hidden="1">#REF!</definedName>
    <definedName name="BO72B72FA7AD53432F90112DDD2048B9C9" hidden="1">#REF!</definedName>
    <definedName name="BO72BEC6ECEDA14FD396EB1724A5497857" hidden="1">#REF!</definedName>
    <definedName name="BO72C2897765B84B839DDAA7E36705A610" hidden="1">#REF!</definedName>
    <definedName name="BO72C456EEEFA14EA8A0741987BA4D3D0A" hidden="1">#REF!</definedName>
    <definedName name="BO72D1DCCF7F2C40B1BEF1C1B9A74CBB26" hidden="1">#REF!</definedName>
    <definedName name="BO72DE9666F6094875AD1B7929F688E4C7" hidden="1">#REF!</definedName>
    <definedName name="BO72E6C6397F6C43338C29F387FC8A1D5E" hidden="1">#REF!</definedName>
    <definedName name="BO72E99A66EACF4AD39FB8EF7E0AD03776" hidden="1">#REF!</definedName>
    <definedName name="BO72E9E2352CDE49C78A8A43513A9517F5" hidden="1">#REF!</definedName>
    <definedName name="BO72EBCDAF48EF4A91918B49CFBB647E9A" hidden="1">#REF!</definedName>
    <definedName name="BO730845F09AA74203B451376525872395" hidden="1">#REF!</definedName>
    <definedName name="BO730FB071093544CFA57EECDBF14A81FD" hidden="1">#REF!</definedName>
    <definedName name="BO731193E88C724CD4B3E8ED6947567BCA" hidden="1">#REF!</definedName>
    <definedName name="BO731239BF3ABA4B5FAAC61E6055F381BF" hidden="1">#REF!</definedName>
    <definedName name="BO73179111CC154A47A5CFFAD36E1B9268" hidden="1">#REF!</definedName>
    <definedName name="BO73198A25B57C4171A22CB285EE541543" hidden="1">#REF!</definedName>
    <definedName name="BO73199A088ECE44F6B15404C06715096C" hidden="1">#REF!</definedName>
    <definedName name="BO731D649764F14C2D85FBD84DB417D5A9" hidden="1">#REF!</definedName>
    <definedName name="BO731EB7E2B90243FEA01E47F7C36132B1" hidden="1">#REF!</definedName>
    <definedName name="BO7323E468F4AC4F329A6F184B16D3420C" hidden="1">#REF!</definedName>
    <definedName name="BO733EC6A2256B4B2B9C44693497FFB768" hidden="1">#REF!</definedName>
    <definedName name="BO7353EA249E744D5D8E0F728FA4A59EA1" hidden="1">#REF!</definedName>
    <definedName name="BO735C83C6A6C44674B7FADD7E8B6935C8" hidden="1">#REF!</definedName>
    <definedName name="BO73634539DC11451CAD19E34F5B2179F1" hidden="1">#REF!</definedName>
    <definedName name="BO7367F54A9E084922AFDC4671468C0BA7" hidden="1">#REF!</definedName>
    <definedName name="BO736C131A18CF43A78240385DE2A61725" hidden="1">#REF!</definedName>
    <definedName name="BO7372A3805882444D9FE21CAF43A45F23" hidden="1">#REF!</definedName>
    <definedName name="BO7380A98CC06340AEB2326F31BD917834" hidden="1">#REF!</definedName>
    <definedName name="BO738D0FBAFC9E467ABB78E6DC0D59509C" hidden="1">#REF!</definedName>
    <definedName name="BO738E9BD6015D4CA4B673CE5280C61710" hidden="1">#REF!</definedName>
    <definedName name="BO7397DA9D97AC4605B9E00895DA6B47CF" hidden="1">#REF!</definedName>
    <definedName name="BO73A0D747FB5B4817A1D3BE3CF69158E9" hidden="1">#REF!</definedName>
    <definedName name="BO73BBE3DE00C44793A580A6D74457C6EE" hidden="1">#REF!</definedName>
    <definedName name="BO73BC1B4EB0544EF29EBFDB936FE4AA40" hidden="1">#REF!</definedName>
    <definedName name="BO73CE77096E96437F83349F53BDAFDFBD" hidden="1">#REF!</definedName>
    <definedName name="BO73CFC503B0DD423DBE4B5425B1E9F416" hidden="1">#REF!</definedName>
    <definedName name="BO73D50BF5D6AB43A3A73C2DE651D790AE" hidden="1">#REF!</definedName>
    <definedName name="BO73D60EA40F284E0995D5332E33AEA2B4" hidden="1">#REF!</definedName>
    <definedName name="BO73E3F36BEEA247349177110E199ACBBD" hidden="1">#REF!</definedName>
    <definedName name="BO73ED1EC0A58C4B448EF11179967C426F" hidden="1">#REF!</definedName>
    <definedName name="BO7403919763ED4E13ABD73C1CA4BA395A" hidden="1">#REF!</definedName>
    <definedName name="BO7405EBB432874C899177932B640992F0" hidden="1">#REF!</definedName>
    <definedName name="BO7413A1CF7E0E46FD8F1762A875026A9A" hidden="1">#REF!</definedName>
    <definedName name="BO742300AF1A1548C3AFEACA15570508BF" hidden="1">#REF!</definedName>
    <definedName name="BO742AE01233E041BDA2B5FFC19E24A6E8" hidden="1">#REF!</definedName>
    <definedName name="BO742D8FED23024AB1800EC67077A2110F" hidden="1">#REF!</definedName>
    <definedName name="BO742F724BF6984F4A856DAA8795FBCFFF" hidden="1">#REF!</definedName>
    <definedName name="BO7447B065A70948D4BA9FF01A85E2ED57" hidden="1">#REF!</definedName>
    <definedName name="BO7450C842BAB4419496EE9934B54AB2BC" hidden="1">#REF!</definedName>
    <definedName name="BO7459F5F03D3C417485065449EA38338C" hidden="1">#REF!</definedName>
    <definedName name="BO7461A5AE204E4C1C80C4CF622A5B690C" hidden="1">#REF!</definedName>
    <definedName name="BO7464864BD18C476CAC8C24B6C36C3647" hidden="1">#REF!</definedName>
    <definedName name="BO746AD35295B9432ABE01045A86D97DF9" hidden="1">#REF!</definedName>
    <definedName name="BO747595A553D04ED388A2A0343A5DD1FF" hidden="1">#REF!</definedName>
    <definedName name="BO7476B7EE54F4479EA71590D61F5A37ED" hidden="1">#REF!</definedName>
    <definedName name="BO747E9C3F90F440A0B40B1EF7E69B90CF" hidden="1">#REF!</definedName>
    <definedName name="BO748254349EBB409080D0993170250CB9" hidden="1">#REF!</definedName>
    <definedName name="BO749398DFD3284092AFF7F819D3E7BFCD" hidden="1">#REF!</definedName>
    <definedName name="BO7499E3E5DB424361B80BAA74B7B40ADE" hidden="1">#REF!</definedName>
    <definedName name="BO74A3F5B3791F48DF850F3E3EAC0081C1" hidden="1">#REF!</definedName>
    <definedName name="BO74AA2F93AB054BF1893D5A04773FA101" hidden="1">#REF!</definedName>
    <definedName name="BO74B7E768CBF0491592A650EDF7434EFC" hidden="1">#REF!</definedName>
    <definedName name="BO74B899C9AB80422C86CAFB27BE1E51D4" hidden="1">#REF!</definedName>
    <definedName name="BO74BF9410A38C4A8AA75F1A4CEE889DC7" hidden="1">#REF!</definedName>
    <definedName name="BO74CB740AFDFD4785B6F02D12A0BBA86A" hidden="1">#REF!</definedName>
    <definedName name="BO74D242159FBF4218A0E948FAEED1082C" hidden="1">#REF!</definedName>
    <definedName name="BO74D2D72319074AE0AAFA3F40843F0DCE" hidden="1">#REF!</definedName>
    <definedName name="BO74E66896E23E420BBB7FA2EC63F9DB94" hidden="1">#REF!</definedName>
    <definedName name="BO74E80C0C084641B8A4B78CFEFD094ED4" hidden="1">#REF!</definedName>
    <definedName name="BO74E9E3C781C846B0A54E432CD05EF4E1" hidden="1">#REF!</definedName>
    <definedName name="BO74F2319D79D2438BB73B530C26F3D3CF" hidden="1">#REF!</definedName>
    <definedName name="BO74FFDEF4B51545588B414A6194E96F6A" hidden="1">#REF!</definedName>
    <definedName name="BO750920B4EED24F82B96A44F404FF8C82" hidden="1">#REF!</definedName>
    <definedName name="BO75094245FC0347C1BC1CFC7BC6F35312" hidden="1">#REF!</definedName>
    <definedName name="BO75138A5615E64456816FBECB23D28D8B" hidden="1">#REF!</definedName>
    <definedName name="BO752206A5D47A45E2BC31F14830F26C7D" hidden="1">#REF!</definedName>
    <definedName name="BO752586E45C70414AB25FC7F12286ACF1" hidden="1">#REF!</definedName>
    <definedName name="BO752B2140753F4B0F8C71E4BBE59B2FA0" hidden="1">#REF!</definedName>
    <definedName name="BO75451752A604449E8D9622E44686B83F" hidden="1">#REF!</definedName>
    <definedName name="BO75469FD4A14A4665A33CB2AA7DA576DC" hidden="1">#REF!</definedName>
    <definedName name="BO754EAB4E88D9445AAF39A56C5D6B2B27" hidden="1">#REF!</definedName>
    <definedName name="BO755A62E1467E4EF599B872964C2D7ECF" hidden="1">#REF!</definedName>
    <definedName name="BO75640BC80C3D405DAA630356B1FC58FF" hidden="1">#REF!</definedName>
    <definedName name="BO7575215436E2438F9C25351F2DDDB422" hidden="1">#REF!</definedName>
    <definedName name="BO75793A43B0524E6E95B3AA5D4A4D6033" hidden="1">#REF!</definedName>
    <definedName name="BO75827FADDC8E4395A17C3014B355E5B2" hidden="1">#REF!</definedName>
    <definedName name="BO75861B0B0AA04E4FAA802ED91FCB75FE" hidden="1">#REF!</definedName>
    <definedName name="BO758A4D0B361D46668FAC2812467E7443" hidden="1">#REF!</definedName>
    <definedName name="BO75900C7D246A4B7A810762C040E2D99A" hidden="1">#REF!</definedName>
    <definedName name="BO759038A368704D4FA15AB6627D545934" hidden="1">#REF!</definedName>
    <definedName name="BO7597727E0ED145058A293E1B2D04C039" hidden="1">#REF!</definedName>
    <definedName name="BO759AEF6B850F43BC9CBF17275EE93EB9" hidden="1">#REF!</definedName>
    <definedName name="BO759AFBCDE7CA4F8A8D39D0ECA68E23D6" hidden="1">#REF!</definedName>
    <definedName name="BO759D5B5C5303458DBF57EBEE30FE0E34" hidden="1">#REF!</definedName>
    <definedName name="BO75B061B843C148F4B029492C3EEAF512" hidden="1">#REF!</definedName>
    <definedName name="BO75BE670A159746F994C2C02954B641B6" hidden="1">#REF!</definedName>
    <definedName name="BO75C19CF6240A4CD8A1648492FB416539" hidden="1">#REF!</definedName>
    <definedName name="BO75C418349DA04F7CA08F367B3647E3D7" hidden="1">#REF!</definedName>
    <definedName name="BO75F3A176A0C7443DB20D94D0EE8F1EB1" hidden="1">#REF!</definedName>
    <definedName name="BO75F5F8D2591841C49F5426A3523C9F43" hidden="1">#REF!</definedName>
    <definedName name="BO7604FB6597FD4C95A85C6457AB2A3266" hidden="1">#REF!</definedName>
    <definedName name="BO76134260FE434EA7BC74AE2A8323C3D3" hidden="1">#REF!</definedName>
    <definedName name="BO7613DDC18F3946B2AA2B7FE14D0C5BAA" hidden="1">#REF!</definedName>
    <definedName name="BO761E56FFB46044BC8A6F9E5764D5E30F" hidden="1">#REF!</definedName>
    <definedName name="BO763F23E96DF24D58908724935ED1437B" hidden="1">#REF!</definedName>
    <definedName name="BO764B5EF3914E476C9B8767B404FF961A" hidden="1">#REF!</definedName>
    <definedName name="BO765195F1DD634F06926D91C3E37954F4" hidden="1">#REF!</definedName>
    <definedName name="BO765197D8F2AF406198E8597EB386DD04" hidden="1">#REF!</definedName>
    <definedName name="BO765DBFC729224A4EBA4A808F45B8DE0D" hidden="1">#REF!</definedName>
    <definedName name="BO76639BB0576547EA9439BEDB81658288" hidden="1">#REF!</definedName>
    <definedName name="BO76672859AAD14E03B790D055C142B230" hidden="1">#REF!</definedName>
    <definedName name="BO767AABCA2CAE444C88B17D6918C5EE88" hidden="1">#REF!</definedName>
    <definedName name="BO767AF7F1426F43489DD313F1D52050D6" hidden="1">#REF!</definedName>
    <definedName name="BO767C6E162DE442B8A4578E2726545248" hidden="1">#REF!</definedName>
    <definedName name="BO7682566AD3744B448AD3F712E36E76F0" hidden="1">#REF!</definedName>
    <definedName name="BO768BF0E1C96142F5A0D7B72100070FEE" hidden="1">#REF!</definedName>
    <definedName name="BO768D83EE673A4B8AA884756BC304D368" hidden="1">#REF!</definedName>
    <definedName name="BO76941B88B55C4A96A20A6561E13CC9AA" hidden="1">#REF!</definedName>
    <definedName name="BO7696DF6542F7408593A3937888D6E833" hidden="1">#REF!</definedName>
    <definedName name="BO7698A339EE1E44A49C0274BA9F2C0E7E" hidden="1">#REF!</definedName>
    <definedName name="BO76A867A909AD43E89DCCA1B337354C84" hidden="1">#REF!</definedName>
    <definedName name="BO76B20245B54A41C59AE743097958C701" hidden="1">#REF!</definedName>
    <definedName name="BO76B69F2CDF97495D9D8717AEF707E4DF" hidden="1">#REF!</definedName>
    <definedName name="BO76D497465C2A4C4D89529D77295B5416" hidden="1">#REF!</definedName>
    <definedName name="BO76F5824545A24021959330350B1C7898" hidden="1">#REF!</definedName>
    <definedName name="BO7706829620B844BF872EEBA65A3F731F" hidden="1">#REF!</definedName>
    <definedName name="BO7717EF6E0D8742F5BC79970654ED475C" hidden="1">#REF!</definedName>
    <definedName name="BO7719125B344649CA84F1BEBC9D1173F3" hidden="1">#REF!</definedName>
    <definedName name="BO772B4BE1AF124C90A6497D461C7B688B" hidden="1">#REF!</definedName>
    <definedName name="BO772F4F983EE743BD99966A52EFF31374" hidden="1">#REF!</definedName>
    <definedName name="BO77316F412B5844A4839BD5A8F2CCEB0F" hidden="1">#REF!</definedName>
    <definedName name="BO77356EF7BC6B41D6A9BC7E0A8AAE2A6F" hidden="1">#REF!</definedName>
    <definedName name="BO773C614233AA46EC9EC7DE5B45B59AD0" hidden="1">#REF!</definedName>
    <definedName name="BO77551E82234E4B0685D2FF3BC3B3B152" hidden="1">#REF!</definedName>
    <definedName name="BO7758B3D837EA4EAEB991E161D5C44C02" hidden="1">#REF!</definedName>
    <definedName name="BO777805B63F784D1891F1314E2A7B53AE" hidden="1">#REF!</definedName>
    <definedName name="BO7780F4A72A694095874DD76B1A47CFDA" hidden="1">#REF!</definedName>
    <definedName name="BO77865E3119CC4BC591EBCE1D6296338F" hidden="1">#REF!</definedName>
    <definedName name="BO778FAED52B3B475695AEE5AD12035521" hidden="1">#REF!</definedName>
    <definedName name="BO7799F49292564B818EE3A2FDC0A3A1AD" hidden="1">#REF!</definedName>
    <definedName name="BO779E9BCA95F54CC084A3680F2E56EA7A" hidden="1">#REF!</definedName>
    <definedName name="BO779F9A1BF27246429B8F63CA445983E5" hidden="1">#REF!</definedName>
    <definedName name="BO77AACE08EA564DECA857BDD8DDE61F4E" hidden="1">#REF!</definedName>
    <definedName name="BO77DA58E0D9114A5CB50C60471627480C" hidden="1">#REF!</definedName>
    <definedName name="BO77E6148BADF0415FA0374D01DBBFFA11" hidden="1">#REF!</definedName>
    <definedName name="BO77F7966DFED54B4D82CDC2CE8C1DAE15" hidden="1">#REF!</definedName>
    <definedName name="BO78160B390A594BD394A6BBEF9095C87C" hidden="1">#REF!</definedName>
    <definedName name="BO78175209DC9444F4B55C99433D10A654" hidden="1">#REF!</definedName>
    <definedName name="BO781BE5DE3C4C4BF897701DBD98D729FF" hidden="1">#REF!</definedName>
    <definedName name="BO783054A6CF284F358243F0ECE9977E8F" hidden="1">#REF!</definedName>
    <definedName name="BO783A4EC2CC584F70A2CC92B9C6FA8B30" hidden="1">#REF!</definedName>
    <definedName name="BO785379D8E1524215A8720F3F99B811E2" hidden="1">#REF!</definedName>
    <definedName name="BO7853E82954C14D5891677E666B6C2F32" hidden="1">#REF!</definedName>
    <definedName name="BO786095DD3ED941B38847F8070493E972" hidden="1">#REF!</definedName>
    <definedName name="BO786972D2851640FFB2B4CA4F3F089F2E" hidden="1">#REF!</definedName>
    <definedName name="BO788D64B2AB6644B5913D96F16B21D2B5" hidden="1">#REF!</definedName>
    <definedName name="BO788D6BDAD50B4563BBB00478A22B371B" hidden="1">#REF!</definedName>
    <definedName name="BO788E28635FC94F37813069FDDC924A4E" hidden="1">#REF!</definedName>
    <definedName name="BO788F864335864D31A492986D7933EC15" hidden="1">#REF!</definedName>
    <definedName name="BO789189FB98A940FB88223B3C8F7EDB34" hidden="1">#REF!</definedName>
    <definedName name="BO78928D7AC0E842F7873EE3117B8BD57A" hidden="1">#REF!</definedName>
    <definedName name="BO789853D23AEB4DA3ADA3CA044DFFFFA5" hidden="1">#REF!</definedName>
    <definedName name="BO789FCD0DB3924B679B466C88F361B0D2" hidden="1">#REF!</definedName>
    <definedName name="BO78A8FA09C011412BAEFAE437B8A1A644" hidden="1">#REF!</definedName>
    <definedName name="BO78AAE9D5072642FBA559A8911924DAA8" hidden="1">#REF!</definedName>
    <definedName name="BO78B72429FFEA473E875FA889468D2503" hidden="1">#REF!</definedName>
    <definedName name="BO78D5252844944247900FA7903027DA88" hidden="1">#REF!</definedName>
    <definedName name="BO78D9935FD86744538F2DD2409161D5F4" hidden="1">#REF!</definedName>
    <definedName name="BO78E0D3AE86FB486DA43C43191F9C1F23" hidden="1">#REF!</definedName>
    <definedName name="BO78E2C98BCC1640A79FA8421382F56C8B" hidden="1">#REF!</definedName>
    <definedName name="BO78E7E888351C4DBFB184B1BF75621236" hidden="1">#REF!</definedName>
    <definedName name="BO78EAC8452EF64A32B172801573042E85" hidden="1">#REF!</definedName>
    <definedName name="BO78EFBEEAB277436280FA20F8B4F75F4C" hidden="1">#REF!</definedName>
    <definedName name="BO78F7EC5E44724EB8A16CF30E626687A9" hidden="1">#REF!</definedName>
    <definedName name="BO790867C3A6FB482C9BCC9783B8960A98" hidden="1">#REF!</definedName>
    <definedName name="BO791166E0ED094DB69815E40D45037A55" hidden="1">#REF!</definedName>
    <definedName name="BO793166A74FC54ED4AE562736FEC5B702" hidden="1">#REF!</definedName>
    <definedName name="BO793332AA10B64A668E0C32CFE5479EFC" hidden="1">#REF!</definedName>
    <definedName name="BO794812D6AAF443DDB4CD333A95A42E44" hidden="1">#REF!</definedName>
    <definedName name="BO79664A14AC55441D8478A522267C45A7" hidden="1">#REF!</definedName>
    <definedName name="BO7969E30D7C3842898E71F650BC7E74DE" hidden="1">#REF!</definedName>
    <definedName name="BO796A62A855D74E5DA3F4D2DCA993BC84" hidden="1">#REF!</definedName>
    <definedName name="BO796F2489553D4B84BBD794D401FD2345" hidden="1">#REF!</definedName>
    <definedName name="BO7971F9D448CA4DEDB40090DFDABDA1EA" hidden="1">#REF!</definedName>
    <definedName name="BO7978B57EE913480D8209CFCE7F1B4FB4" hidden="1">#REF!</definedName>
    <definedName name="BO7983AA66D5604ECF85BC788E6E35BFB3" hidden="1">#REF!</definedName>
    <definedName name="BO799C4C9B724149618CF14177BB99F40B" hidden="1">#REF!</definedName>
    <definedName name="BO79A59EBB79E04BF3890F159DCEF86146" hidden="1">#REF!</definedName>
    <definedName name="BO79B05964DDE241119761A6A064149C9F" hidden="1">#REF!</definedName>
    <definedName name="BO79BB053C9A754337A6E6BDAC074370AB" hidden="1">#REF!</definedName>
    <definedName name="BO79BF4AFBB34B46E985B44A5A50F86281" hidden="1">#REF!</definedName>
    <definedName name="BO79C23D9382C24EE285DEDE4BBE6082E7" hidden="1">#REF!</definedName>
    <definedName name="BO79C2635F2D4049EA941F440D773EBF3A" hidden="1">#REF!</definedName>
    <definedName name="BO79C2D77A29E14C72A35872539F0099C3" hidden="1">#REF!</definedName>
    <definedName name="BO79C95407D4BD4F48919B366F4EC60562" hidden="1">#REF!</definedName>
    <definedName name="BO79D42CF9C425415F873799343AF4432D" hidden="1">#REF!</definedName>
    <definedName name="BO79D58111FED441E591B3ABBC1973DDC5" hidden="1">#REF!</definedName>
    <definedName name="BO79DEF50077B64901854647D12054F147" hidden="1">#REF!</definedName>
    <definedName name="BO79FA60C23F194F51B348AE51FAE946BA" hidden="1">#REF!</definedName>
    <definedName name="BO7A07CC277BFE4E2B8E3E455839488A7D" hidden="1">#REF!</definedName>
    <definedName name="BO7A0926B1CD1D48A3BBC28BBB7AE37B1C" hidden="1">#REF!</definedName>
    <definedName name="BO7A0C7FFAD70C41FBBC37D1FBE323BC2D" hidden="1">#REF!</definedName>
    <definedName name="BO7A1AD6AB10F2497EB0E11D7EFC3FA0BF" hidden="1">#REF!</definedName>
    <definedName name="BO7A2259DB14E14DF2BF0FEFC5E42A71B6" hidden="1">#REF!</definedName>
    <definedName name="BO7A2423F7C9244487940C7048E5416BCF" hidden="1">#REF!</definedName>
    <definedName name="BO7A26E52162F44B6A8D591F876A783140" hidden="1">#REF!</definedName>
    <definedName name="BO7A297A8D87B146078FCF8D4C523FB505" hidden="1">#REF!</definedName>
    <definedName name="BO7A2CA294EF58475296A574EC3DD1F294" hidden="1">#REF!</definedName>
    <definedName name="BO7A2FE5E817B74B2BA362E88B6D4543BF" hidden="1">#REF!</definedName>
    <definedName name="BO7A3C04EE3F2B48BD86C398CD92C756FF" hidden="1">#REF!</definedName>
    <definedName name="BO7A3FE1DDA8774B34B5A580FB7DF5897E" hidden="1">#REF!</definedName>
    <definedName name="BO7A463FCC5702489C98695CA1594AB7D4" hidden="1">#REF!</definedName>
    <definedName name="BO7A53C2219B6542768D36A331BB450A3E" hidden="1">#REF!</definedName>
    <definedName name="BO7A5FAF1D6F76422DAF32F2DBD4430EB5" hidden="1">#REF!</definedName>
    <definedName name="BO7A6CFCE0E2934680907CEAC2A6065C68" hidden="1">#REF!</definedName>
    <definedName name="BO7A8D98F6D74C40EBB5743BFA4107D90E" hidden="1">#REF!</definedName>
    <definedName name="BO7A8F681D1BAE4F969BBFE8AB1E7BDD52" hidden="1">#REF!</definedName>
    <definedName name="BO7A9152AE77C348F2B3D2A2C6A638F111" hidden="1">#REF!</definedName>
    <definedName name="BO7AAF3A5C5CB6410FAA38515816F129F1" hidden="1">#REF!</definedName>
    <definedName name="BO7AB8781481AD4CD39D3536287DDC340A" hidden="1">#REF!</definedName>
    <definedName name="BO7AB8BC159C724DCF9799B9882E175412" hidden="1">#REF!</definedName>
    <definedName name="BO7ABC8CC337A6456DA3B148C971722B40" hidden="1">#REF!</definedName>
    <definedName name="BO7ABD16AD31DD425D9ACB5412DC651F41" hidden="1">#REF!</definedName>
    <definedName name="BO7AE1AD9D43AF4AF394CF2594EA33E0C0" hidden="1">#REF!</definedName>
    <definedName name="BO7AFB789039D94FFD80F871CA2AACD201" hidden="1">#REF!</definedName>
    <definedName name="BO7B00844D12464559B163F3031ED3782F" hidden="1">#REF!</definedName>
    <definedName name="BO7B0BE798E3EB44A48FEC29FF1E153836" hidden="1">#REF!</definedName>
    <definedName name="BO7B11EBE277F64774994CE433B6349137" hidden="1">#REF!</definedName>
    <definedName name="BO7B11EC203C2049DBA9D5B5D0762554DB" hidden="1">#REF!</definedName>
    <definedName name="BO7B2D723BAF4E44E2A7610DE712380940" hidden="1">#REF!</definedName>
    <definedName name="BO7B4AEA03EC4645F4B01241BA7C1698CD" hidden="1">#REF!</definedName>
    <definedName name="BO7B54430DA2CC477780CDD079748D8306" hidden="1">#REF!</definedName>
    <definedName name="BO7B57D1521E9E411B83813A38819C1CA7" hidden="1">#REF!</definedName>
    <definedName name="BO7B6020CFA76440D1A3DA6CC213CDCFA8" hidden="1">#REF!</definedName>
    <definedName name="BO7B6E9F8D3F384EAF90BD1D6CD08830CF" hidden="1">#REF!</definedName>
    <definedName name="BO7B70810AB6B8436D9533AD8852C4E490" hidden="1">#REF!</definedName>
    <definedName name="BO7B7B6C5D73934BC2B958BF516959FE6D" hidden="1">#REF!</definedName>
    <definedName name="BO7B81937DA2BE415CBDB1684CD92413E8" hidden="1">#REF!</definedName>
    <definedName name="BO7B8BB435896A46F9849B21084AC549E6" hidden="1">#REF!</definedName>
    <definedName name="BO7B9331BB93DA441994F1E4A16031A379" hidden="1">#REF!</definedName>
    <definedName name="BO7BA9FA975353474E88606428FD6E22A6" hidden="1">#REF!</definedName>
    <definedName name="BO7BB02692AB5F4E4BA3B3BA51E512E2C6" hidden="1">#REF!</definedName>
    <definedName name="BO7BB3027A820D47E0970BAEF92B181962" hidden="1">#REF!</definedName>
    <definedName name="BO7BBBB24315B04100BE88736893CED495" hidden="1">#REF!</definedName>
    <definedName name="BO7BCD2769284A4826988D01492CBACEA2" hidden="1">#REF!</definedName>
    <definedName name="BO7BCF9509076E46EA966433925FCC4776" hidden="1">#REF!</definedName>
    <definedName name="BO7BD010DD3B0A45709C1E949FE1B795E0" hidden="1">#REF!</definedName>
    <definedName name="BO7BD0C7C4E3A6429699C3CCDE82CA4B78" hidden="1">#REF!</definedName>
    <definedName name="BO7BD178FB65ED4A708649B2D0EE08DD16" hidden="1">#REF!</definedName>
    <definedName name="BO7BD4DD90FD0F481B8BD658EF45EF32FE" hidden="1">#REF!</definedName>
    <definedName name="BO7BD741A153AB4F538617C6CB85C2A55F" hidden="1">#REF!</definedName>
    <definedName name="BO7BDA39B9D59748C88590BBE6A87CDC4D" hidden="1">#REF!</definedName>
    <definedName name="BO7BE2676111EA4DBA807C93780BD4FD1F" hidden="1">#REF!</definedName>
    <definedName name="BO7BE380A75152466DA6D4CBC0FC4EF1DD" hidden="1">#REF!</definedName>
    <definedName name="BO7BF0A1C8093E483AB9C2D491B0D97D6A" hidden="1">#REF!</definedName>
    <definedName name="BO7BF127EA6EE44472B7CB982AA1F6573A" hidden="1">#REF!</definedName>
    <definedName name="BO7C0F29602621465C9B7A14A8B14B0DCA" hidden="1">#REF!</definedName>
    <definedName name="BO7C15827F53B14CF0841A9EF0E65FE85A" hidden="1">#REF!</definedName>
    <definedName name="BO7C1D6EB051B1493081AEA53218784739" hidden="1">#REF!</definedName>
    <definedName name="BO7C1E12F1503A4DFEA88150F407D9D678" hidden="1">#REF!</definedName>
    <definedName name="BO7C22128E1FBE422C9D7741E0423EF61A" hidden="1">#REF!</definedName>
    <definedName name="BO7C382F556BAE46AB954A5C0735B552B1" hidden="1">#REF!</definedName>
    <definedName name="BO7C3886EF5BC4470EAB99AED2F8C260BE" hidden="1">#REF!</definedName>
    <definedName name="BO7C3FF3400A944AAFB6474C724108843F" hidden="1">#REF!</definedName>
    <definedName name="BO7C5BF67F689548608354AD16E5C35B7A" hidden="1">#REF!</definedName>
    <definedName name="BO7C716B22B4324EFEA0FDDB9869657D31" hidden="1">#REF!</definedName>
    <definedName name="BO7C74711EA154452DBCE4CAD0F74A2A08" hidden="1">#REF!</definedName>
    <definedName name="BO7C84B38A73DD4D39B41FE4CB91ECE3F5" hidden="1">#REF!</definedName>
    <definedName name="BO7C87A37219E247D4868E0940FE2F0D1A" hidden="1">#REF!</definedName>
    <definedName name="BO7C8C2201FE17445AA7259877C095D60E" hidden="1">#REF!</definedName>
    <definedName name="BO7C97034114074B5C8C0195D886A36102" hidden="1">#REF!</definedName>
    <definedName name="BO7CA5E2239CAD4EB5970B1B039973AAE9" hidden="1">#REF!</definedName>
    <definedName name="BO7CC5787782ED4B688B89DB9A37AD850B" hidden="1">#REF!</definedName>
    <definedName name="BO7CC94CEA7CA240BA969A951FC0CA3E86" hidden="1">#REF!</definedName>
    <definedName name="BO7CC9A3013EBA465981C5FB39F1EE7908" hidden="1">#REF!</definedName>
    <definedName name="BO7CCA9E337EEA4A7A819A01E2A6192A1D" hidden="1">#REF!</definedName>
    <definedName name="BO7CD28496B75E41088DA14AF298FB4932" hidden="1">#REF!</definedName>
    <definedName name="BO7CD63AA61E2549A9A2F91F1615A55D1E" hidden="1">#REF!</definedName>
    <definedName name="BO7CDD5043AB1440FAA1F6EABCC8203843" hidden="1">#REF!</definedName>
    <definedName name="BO7CE1B9309CA749F2B8272D91893742AE" hidden="1">#REF!</definedName>
    <definedName name="BO7CEB8BC03F6047758893D5411E383BD6" hidden="1">#REF!</definedName>
    <definedName name="BO7CF74FF38ED8460E84C33F56C57812EA" hidden="1">#REF!</definedName>
    <definedName name="BO7CFB508D09FC4BB0B53FFE96C9E6A10F" hidden="1">#REF!</definedName>
    <definedName name="BO7D124FECC7C34C5C880BC65814989215" hidden="1">#REF!</definedName>
    <definedName name="BO7D19403047404F9594C5D020D431E4A9" hidden="1">#REF!</definedName>
    <definedName name="BO7D21D1EEC69049AAB812A2289CD40C6D" hidden="1">#REF!</definedName>
    <definedName name="BO7D3F25CB817B461B83F94AC3BDE2BB0C" hidden="1">#REF!</definedName>
    <definedName name="BO7D479D8FABB341A6B8D76471BE5D92E8" hidden="1">#REF!</definedName>
    <definedName name="BO7D48FE93109C42AAAB367BF395A681A8" hidden="1">#REF!</definedName>
    <definedName name="BO7D51E13AADB34FC9AC2A5D6800A3974C" hidden="1">#REF!</definedName>
    <definedName name="BO7D689AD8DCBC4AC8B30DBB2E33C03016" hidden="1">#REF!</definedName>
    <definedName name="BO7D68D628637D4BE19B10F8A71A65D1FF" hidden="1">#REF!</definedName>
    <definedName name="BO7D6FA3CAEFE449BABFD5DFF46F7F8307" hidden="1">#REF!</definedName>
    <definedName name="BO7D76C10784784FEE91A6EB0438598CBF" hidden="1">#REF!</definedName>
    <definedName name="BO7D83EA9301F14A3AAA7D60052F48B362" hidden="1">#REF!</definedName>
    <definedName name="BO7D976A52C6E64D76B897487CF65095F4" hidden="1">#REF!</definedName>
    <definedName name="BO7D9BF48D81734FB2A631EB6B8F3BCB35" hidden="1">#REF!</definedName>
    <definedName name="BO7D9F53748E07474B9EF486BF831FE9FA" hidden="1">#REF!</definedName>
    <definedName name="BO7DA3E5E398784C8D844190DEEEA0C751" hidden="1">#REF!</definedName>
    <definedName name="BO7DA9846FD8A84919B2D363B01146C81C" hidden="1">#REF!</definedName>
    <definedName name="BO7DADC9813DE741029AAFAE1C417B2DD9" hidden="1">#REF!</definedName>
    <definedName name="BO7DB9FF7ABC764436B8A92F33762EBE0D" hidden="1">#REF!</definedName>
    <definedName name="BO7DBB398A642247E1A1D8CB871EEF4D99" hidden="1">#REF!</definedName>
    <definedName name="BO7DBF75550A4F4EF98247E8535F8E955B" hidden="1">#REF!</definedName>
    <definedName name="BO7DCBD66830FF479A919FAC35597EBE0F" hidden="1">#REF!</definedName>
    <definedName name="BO7E081F8FDAA64A7A940717955E64020E" hidden="1">#REF!</definedName>
    <definedName name="BO7E0CED21F6B141FB96B372DFC9EDD618" hidden="1">#REF!</definedName>
    <definedName name="BO7E11523C9D914D4AB57A272CBDD5D840" hidden="1">#REF!</definedName>
    <definedName name="BO7E17C8B01A9547129370D994F9A2BBCF" hidden="1">#REF!</definedName>
    <definedName name="BO7E1F5D41894A4A54A7EB23E03C215306" hidden="1">#REF!</definedName>
    <definedName name="BO7E253F0326564F7592C985E1478DB1C4" hidden="1">#REF!</definedName>
    <definedName name="BO7E280B1C36CE42348674DFE0EC6D837A" hidden="1">#REF!</definedName>
    <definedName name="BO7E34ECFC9B7A4A2EA82E1A556D7A3A56" hidden="1">#REF!</definedName>
    <definedName name="BO7E3B50258A3A4256AF9EC03C5F2EB881" hidden="1">#REF!</definedName>
    <definedName name="BO7E3B9A5D96FC46E486220278D07BD369" hidden="1">#REF!</definedName>
    <definedName name="BO7E5556A274964962BD46487568579E07" hidden="1">#REF!</definedName>
    <definedName name="BO7E5A5935D7084E7F941F4390AF74AFB8" hidden="1">#REF!</definedName>
    <definedName name="BO7E5ED9DBDC4D4650872A8D5686CC2C5F" hidden="1">#REF!</definedName>
    <definedName name="BO7E619783F433443D9A18ABF2EFC0CE43" hidden="1">#REF!</definedName>
    <definedName name="BO7E689AC08E2C41C2A3984822AE7D0DDD" hidden="1">#REF!</definedName>
    <definedName name="BO7E70F131CB084FBA919C248F18B00DC0" hidden="1">#REF!</definedName>
    <definedName name="BO7E720837C0B2464899CE61680894CF0B" hidden="1">#REF!</definedName>
    <definedName name="BO7E721CF6FE0C46EFA7146BFAD59D6FBF" hidden="1">#REF!</definedName>
    <definedName name="BO7E81C87200F34B7FA6B7F1D251FEC37B" hidden="1">#REF!</definedName>
    <definedName name="BO7E86C693548F4D4A8E0F853AFA9DB5C0" hidden="1">#REF!</definedName>
    <definedName name="BO7E9462C86A1A4B3DB4480028AFDE7B87" hidden="1">#REF!</definedName>
    <definedName name="BO7E96F53C47E94CC79A8CC7EA22F9BCA9" hidden="1">#REF!</definedName>
    <definedName name="BO7E9DED3E5D894332B50E7C324B924F34" hidden="1">#REF!</definedName>
    <definedName name="BO7EA43E9361634D73ADADE3F78DDA5987" hidden="1">#REF!</definedName>
    <definedName name="BO7EA59BEB375440A8A13923F36B5B1D3C" hidden="1">#REF!</definedName>
    <definedName name="BO7EA8439EE0274A059FF2D53CF603FF5E" hidden="1">#REF!</definedName>
    <definedName name="BO7EABC1E029C34EFDA1F10F398D048651" hidden="1">#REF!</definedName>
    <definedName name="BO7EB172459A3C4B4D821E3FE955CE1352" hidden="1">#REF!</definedName>
    <definedName name="BO7EC5946926B84C6894D28FA67F34E209" hidden="1">#REF!</definedName>
    <definedName name="BO7ECB2A83AEFD4EEDB2842FB5AA5FE039" hidden="1">#REF!</definedName>
    <definedName name="BO7ECDA3D0470D4641916113CCFC507064" hidden="1">#REF!</definedName>
    <definedName name="BO7ED8AAAC80D0438594E0E2287A0A7F3A" hidden="1">#REF!</definedName>
    <definedName name="BO7EDD0A52D25B4A7AAD44BC040A7DDF05" hidden="1">#REF!</definedName>
    <definedName name="BO7EE63671BCF64E8F841686714258E253" hidden="1">#REF!</definedName>
    <definedName name="BO7EEF33A8CE774E4F84D1081798CF7227" hidden="1">#REF!</definedName>
    <definedName name="BO7EF89A2851B74CD3906DE5A6E62BAF3D" hidden="1">#REF!</definedName>
    <definedName name="BO7EF8E6D8072C4370BAC7FF2D1F09CA0A" hidden="1">#REF!</definedName>
    <definedName name="BO7F04C697ADD14103B3905B1B275E3FE2" hidden="1">#REF!</definedName>
    <definedName name="BO7F08A2609ACF4AB7A23F5BC5D5C12A7E" hidden="1">#REF!</definedName>
    <definedName name="BO7F0AC18B387D4B1089C5A385F54AB64E" hidden="1">#REF!</definedName>
    <definedName name="BO7F0E013C72314C158E2120F92209B6B9" hidden="1">#REF!</definedName>
    <definedName name="BO7F119DDBF27D4BC99DEE27890F958FBF" hidden="1">#REF!</definedName>
    <definedName name="BO7F1352BEF59F45A4A58F84F2FF9A7BBB" hidden="1">#REF!</definedName>
    <definedName name="BO7F23AECAB5B94DEFBE2FC6B185BDA8DD" hidden="1">#REF!</definedName>
    <definedName name="BO7F2C29EC0C3547D3AA682291B414F5A1" hidden="1">#REF!</definedName>
    <definedName name="BO7F44E7E6FFBE4D9B88A7B1018038173F" hidden="1">#REF!</definedName>
    <definedName name="BO7F4FA92EB5464F4CB124F7455D5B4763" hidden="1">#REF!</definedName>
    <definedName name="BO7F5301605A924F59ACB737829CDB6E45" hidden="1">#REF!</definedName>
    <definedName name="BO7F55F8F38D31480A844FC07100356A23" hidden="1">#REF!</definedName>
    <definedName name="BO7F565E9A45654079A01AD3F65D3D0539" hidden="1">#REF!</definedName>
    <definedName name="BO7F61542E49F343DD957C9E8BB680AFC0" hidden="1">#REF!</definedName>
    <definedName name="BO7F61DA818A4E4676B4B2B3AF351E00E5" hidden="1">#REF!</definedName>
    <definedName name="BO7F68E4FD4E1F4AB0ADC00AD35CFEDCBF" hidden="1">#REF!</definedName>
    <definedName name="BO7F78353623E542258CD2E5A0B7C583EA" hidden="1">#REF!</definedName>
    <definedName name="BO7F7E73EDCD3146EDAED65B1D943E6E4F" hidden="1">#REF!</definedName>
    <definedName name="BO7F7F16AF731946C6B097B8358FAAC4FA" hidden="1">#REF!</definedName>
    <definedName name="BO7F7F344B0A27429D97155C7BE19ABD13" hidden="1">#REF!</definedName>
    <definedName name="BO7F83E3C5699C40668130C15DCBA8778C" hidden="1">#REF!</definedName>
    <definedName name="BO7F89A12817804F54AD1018C70529630C" hidden="1">#REF!</definedName>
    <definedName name="BO7F95A25537734AD9B5EDDAB3FA91B203" hidden="1">#REF!</definedName>
    <definedName name="BO7F95B427E893487CA6C8F9E34BD9098A" hidden="1">#REF!</definedName>
    <definedName name="BO7F9B3A9848D34726BDFA611E6D269464" hidden="1">#REF!</definedName>
    <definedName name="BO7F9FD7C4545049F1B231BFB715EBE907" hidden="1">#REF!</definedName>
    <definedName name="BO7FB44234EE164EE99C08B697F6CE615D" hidden="1">#REF!</definedName>
    <definedName name="BO7FBBE94BC0F34A36A89990EFBBD6851F" hidden="1">#REF!</definedName>
    <definedName name="BO7FC55AB3D614444C91778D0B154958B7" hidden="1">#REF!</definedName>
    <definedName name="BO7FD7187FC0D04CBBAFDB975CE6E6896B" hidden="1">#REF!</definedName>
    <definedName name="BO7FD90BC09BC84FC1AC0A7A3773358309" hidden="1">#REF!</definedName>
    <definedName name="BO7FF6123649B54CC99DBB8C4340F7E52D" hidden="1">#REF!</definedName>
    <definedName name="BO7FF70DC985EE469DA155158290B52E7B" hidden="1">#REF!</definedName>
    <definedName name="BO800A09D301A440549595D4C8FF33917D" hidden="1">#REF!</definedName>
    <definedName name="BO800B7534EEE34EE797C5A327810DFA0D" hidden="1">#REF!</definedName>
    <definedName name="BO800CE26C6F6148C7868B2EDFD55CFD03" hidden="1">#REF!</definedName>
    <definedName name="BO8019FD79340E420F891E5E9F54890E0F" hidden="1">#REF!</definedName>
    <definedName name="BO801B7F3D7C754280A34CAED14052D2D1" hidden="1">#REF!</definedName>
    <definedName name="BO802AE3305C8646BDA9CCA0EA351F614B" hidden="1">#REF!</definedName>
    <definedName name="BO802D1B78674E45D3941E423FF070B178" hidden="1">#REF!</definedName>
    <definedName name="BO80422761AA7F47A289284A18F682A56A" hidden="1">#REF!</definedName>
    <definedName name="BO8047A6F0E2D24213BA6F612AC07A2EAF" hidden="1">#REF!</definedName>
    <definedName name="BO80503F7AC1DF4BD7BFDB94D8DE092C57" hidden="1">#REF!</definedName>
    <definedName name="BO80529F7C0384494C9A3A23179DAE2D34" hidden="1">#REF!</definedName>
    <definedName name="BO80550B84BD8240B9A7A0A4139B542075" hidden="1">#REF!</definedName>
    <definedName name="BO805664ADBBDF4152B0C99976A327DB82" hidden="1">#REF!</definedName>
    <definedName name="BO806474ECAA7F4314BCDFB330EB83739B" hidden="1">#REF!</definedName>
    <definedName name="BO8072B734BE2C4A0AAE0C0FDD75C6C22D" hidden="1">#REF!</definedName>
    <definedName name="BO80760A6D398D416DA994548E19D5886A" hidden="1">#REF!</definedName>
    <definedName name="BO80762663F07B477DAB1127FF99B8A940" hidden="1">#REF!</definedName>
    <definedName name="BO8080DC36AB9342349BFC5E30534CA8CC" hidden="1">#REF!</definedName>
    <definedName name="BO809547408F02406C9B63517D23D1DA23" hidden="1">#REF!</definedName>
    <definedName name="BO8096AC4F860F4EEE891A494003A1BCDE" hidden="1">#REF!</definedName>
    <definedName name="BO8099B36935064C9D8A09485F96A1DB25" hidden="1">#REF!</definedName>
    <definedName name="BO809E9CEC71614E0493220852036287E7" hidden="1">#REF!</definedName>
    <definedName name="BO80B13A437D0D4CA49AE9922819B2701C" hidden="1">#REF!</definedName>
    <definedName name="BO80B2C75A09E741BCAFDD6C4E40C06331" hidden="1">#REF!</definedName>
    <definedName name="BO80C301B16805477491C3BD7A025C4974" hidden="1">#REF!</definedName>
    <definedName name="BO80CEB18E4FCC4842A2D07136CE197F80" hidden="1">#REF!</definedName>
    <definedName name="BO80D07B22178C4E5193E6FAF377369AB3" hidden="1">#REF!</definedName>
    <definedName name="BO80EC7D5055AD409B8A9D3714CD0C7A78" hidden="1">#REF!</definedName>
    <definedName name="BO80F909668F804DF5AF956C8FE5BCBEE8" hidden="1">#REF!</definedName>
    <definedName name="BO81059317746D4CC3A902AFB204121620" hidden="1">#REF!</definedName>
    <definedName name="BO8111DCABAC874FE6A1130A8BC0271FF8" hidden="1">#REF!</definedName>
    <definedName name="BO8128EA5B75304CEF9C22EABD84B88D77" hidden="1">#REF!</definedName>
    <definedName name="BO81308487B3D0458585AD7F9CE39ABCCC" hidden="1">#REF!</definedName>
    <definedName name="BO813EF2DC913E47E3A751AC006FD1DCD9" hidden="1">#REF!</definedName>
    <definedName name="BO814383B7B6F2427DAAE80F71B58F6CB2" hidden="1">#REF!</definedName>
    <definedName name="BO814B801A27A14D54BD0E5D95B936D804" hidden="1">#REF!</definedName>
    <definedName name="BO815DFD6AC1744EA09C7DB2528EFBB920" hidden="1">#REF!</definedName>
    <definedName name="BO8166070D955249F1A9052FADB9742377" hidden="1">#REF!</definedName>
    <definedName name="BO816CC9CB06DE456DA3E4B6205D03859B" hidden="1">#REF!</definedName>
    <definedName name="BO817FBEEFC387441ABA78479C11623704" hidden="1">#REF!</definedName>
    <definedName name="BO8180E03F4F5A466090A2CE7C9CCDD98F" hidden="1">#REF!</definedName>
    <definedName name="BO818D42F1642E421F88DBA28B724FA66B" hidden="1">#REF!</definedName>
    <definedName name="BO81906468E6D144FF9A06D14823A51011" hidden="1">#REF!</definedName>
    <definedName name="BO81AA4C362003478E9F7705C8446150F4" hidden="1">#REF!</definedName>
    <definedName name="BO81AB7556DFA140C58CE37EDB14856910" hidden="1">#REF!</definedName>
    <definedName name="BO81B46C5E2C6645968E35CE37573209FB" hidden="1">#REF!</definedName>
    <definedName name="BO81B6FDA1FC914B778ED4C2683E8FD37D" hidden="1">#REF!</definedName>
    <definedName name="BO81B8D985F05E42FD95AFF3F07E76A5DC" hidden="1">#REF!</definedName>
    <definedName name="BO81BDDF601BDB43A4BB1D8E2870A91FEF" hidden="1">#REF!</definedName>
    <definedName name="BO81BE8463E6FE4E7CB332DAB4BE11D5FD" hidden="1">#REF!</definedName>
    <definedName name="BO81D732ABCB354B32A0849315E111796D" hidden="1">#REF!</definedName>
    <definedName name="BO81DCFDE034A443D29C04DE89D704CB2C" hidden="1">#REF!</definedName>
    <definedName name="BO81EA2284741D454BB2E7425CCA589489" hidden="1">#REF!</definedName>
    <definedName name="BO8205CA298E8E4A5FA4E6F3A3BCEA6A03" hidden="1">#REF!</definedName>
    <definedName name="BO8229620FCBFD48248A0BEEC0C6281399" hidden="1">#REF!</definedName>
    <definedName name="BO823DA6C58EE7498AA9DA0FA981ED4C24" hidden="1">#REF!</definedName>
    <definedName name="BO824164A0975C456E86156C238846EC22" hidden="1">#REF!</definedName>
    <definedName name="BO8243B8560ECB48D780D3719276572017" hidden="1">#REF!</definedName>
    <definedName name="BO82466D086F2447FEBDDF62CA6F4A0B2B" hidden="1">#REF!</definedName>
    <definedName name="BO824D3B18F386419EB4D391AD6C131CC8" hidden="1">#REF!</definedName>
    <definedName name="BO8258B25B196F4859A65CBC6A70F686AE" hidden="1">#REF!</definedName>
    <definedName name="BO8259C2D598414BDDBA3FA8A7BC3E5271" hidden="1">#REF!</definedName>
    <definedName name="BO825C43DF7D18400DA9D02FB06F18FAE9" hidden="1">#REF!</definedName>
    <definedName name="BO825E9CDBD4264208A33730FB0AE89B26" hidden="1">#REF!</definedName>
    <definedName name="BO82628AB54DA448EC8987222FF24CA4FB" hidden="1">#REF!</definedName>
    <definedName name="BO826F62F7F1E945EAB4E7B1A78A95CF42" hidden="1">#REF!</definedName>
    <definedName name="BO8273BD52621E40339620505F3BCFB663" hidden="1">#REF!</definedName>
    <definedName name="BO827A4C513484414989E27EA7A0647AC1" hidden="1">#REF!</definedName>
    <definedName name="BO829FF5796FE349A28EF11C200CD70141" hidden="1">#REF!</definedName>
    <definedName name="BO82A2FEBA9F2C4FF4863D779E46C678B0" hidden="1">#REF!</definedName>
    <definedName name="BO82ACC9E16F8847CB8C20FC4DE59547D9" hidden="1">#REF!</definedName>
    <definedName name="BO82B15F3AB8664758B5A916C50B920CEC" hidden="1">#REF!</definedName>
    <definedName name="BO82B1C748043041C482970F39D4921BE3" hidden="1">#REF!</definedName>
    <definedName name="BO82C86C51912E40E790BA73E3A10603A2" hidden="1">#REF!</definedName>
    <definedName name="BO82CA5F3BA1A04E0CAE4CBDE46D9A5543" hidden="1">#REF!</definedName>
    <definedName name="BO82CCDB851D7D4B55BF2F4C2F5FF0AE29" hidden="1">#REF!</definedName>
    <definedName name="BO82D767638CE34026AB1A8576C4DD15B7" hidden="1">#REF!</definedName>
    <definedName name="BO82E017A982C04B6C89A8BC05C2BB855F" hidden="1">#REF!</definedName>
    <definedName name="BO82E0357DBC284C8EB650B1FE684EF0FB" hidden="1">#REF!</definedName>
    <definedName name="BO82E544CF75364876A3BCB31D582F75C7" hidden="1">#REF!</definedName>
    <definedName name="BO8303BC72EFA94336826EACCAA2B6486B" hidden="1">#REF!</definedName>
    <definedName name="BO83075789E7E24B2FADBB2F2223DE6D3D" hidden="1">#REF!</definedName>
    <definedName name="BO8309EA28F031463DAEB2091B9DC518B5" hidden="1">#REF!</definedName>
    <definedName name="BO8314B223703444A2B174055D67C02B1A" hidden="1">#REF!</definedName>
    <definedName name="BO831D3293BA08428CB48AB0B8BA8698FD" hidden="1">#REF!</definedName>
    <definedName name="BO833C31C5DF9548C4ABF430F76673D248" hidden="1">#REF!</definedName>
    <definedName name="BO833E1C0DA7FC4D7C9973F28C04F75F17" hidden="1">#REF!</definedName>
    <definedName name="BO833E6ECF026448938B3E3E582E1F10FD" hidden="1">#REF!</definedName>
    <definedName name="BO83418A6E86CB45908ABC21A13CFC1912" hidden="1">#REF!</definedName>
    <definedName name="BO834939C60C0B4BCDB2E678EEEA19F5FD" hidden="1">#REF!</definedName>
    <definedName name="BO834C6F0D70F149F9AB1230B92708484E" hidden="1">#REF!</definedName>
    <definedName name="BO835E0EFBE3684399AEBB7FB711DAB2EC" hidden="1">#REF!</definedName>
    <definedName name="BO8360157308BF44C98E8977C7EFE559CE" hidden="1">#REF!</definedName>
    <definedName name="BO8360EE213C894E2796C33A440C86DB67" hidden="1">#REF!</definedName>
    <definedName name="BO83641495D16B4B03B37B4AF8B3040CD3" hidden="1">#REF!</definedName>
    <definedName name="BO8367E0BD9654435BAEFA81878AF9C453" hidden="1">#REF!</definedName>
    <definedName name="BO836C811970A64FFE89E70CDB1778316E" hidden="1">#REF!</definedName>
    <definedName name="BO83749B0A5B72474681991580F554746B" hidden="1">#REF!</definedName>
    <definedName name="BO837B2FFE7EEF490EA0BB26DE82E5A190" hidden="1">#REF!</definedName>
    <definedName name="BO8382B4057A314EC39312881213DE4B95" hidden="1">#REF!</definedName>
    <definedName name="BO8382D710580A4B6382C7637B3257CC60" hidden="1">#REF!</definedName>
    <definedName name="BO83A1D560F37040199D2630F5B2C4ADB7" hidden="1">#REF!</definedName>
    <definedName name="BO83B1477189CF49F081140D8E4F89C050" hidden="1">#REF!</definedName>
    <definedName name="BO83BDADBB4E434456B0834FF2323C7B07" hidden="1">#REF!</definedName>
    <definedName name="BO83BDC5D2DA494922845D97F09FA3E54C" hidden="1">#REF!</definedName>
    <definedName name="BO83C6F0701730427BA198DEA293BD8C93" hidden="1">#REF!</definedName>
    <definedName name="BO83FF359424C9403E8E61D1D09C651A0D" hidden="1">#REF!</definedName>
    <definedName name="BO8401AF040DA640D894332BB8D68BC41C" hidden="1">#REF!</definedName>
    <definedName name="BO8407DDCA8F1A45A29405F84202980BF1" hidden="1">#REF!</definedName>
    <definedName name="BO8411B45E9CBC40289366D254C2C5CF64" hidden="1">#REF!</definedName>
    <definedName name="BO84168C921D2F49B784D7CE255AD8BA51" hidden="1">#REF!</definedName>
    <definedName name="BO842BD45FB959417D8C98502B684BC46F" hidden="1">#REF!</definedName>
    <definedName name="BO843FDA3F55D04580B8680CE7C6634E46" hidden="1">#REF!</definedName>
    <definedName name="BO8448FFAD7A2944FA9AFC4BAB89573920" hidden="1">#REF!</definedName>
    <definedName name="BO84493B5EBD574947A8D2A26FC9457CA0" hidden="1">#REF!</definedName>
    <definedName name="BO84576F5BA68C4BD7A0549C690595D58F" hidden="1">#REF!</definedName>
    <definedName name="BO84609C06B0354D3D988D83A06179DE73" hidden="1">#REF!</definedName>
    <definedName name="BO84656B713844429CBF9A55E141022A15" hidden="1">#REF!</definedName>
    <definedName name="BO8468D25AAB1E40039EE8475BFB61FC90" hidden="1">#REF!</definedName>
    <definedName name="BO846E62C5A5104FFFB86D126DA5F0BB79" hidden="1">#REF!</definedName>
    <definedName name="BO848756B08B894766A1C491E49EC58B52" hidden="1">#REF!</definedName>
    <definedName name="BO849458F9AD6B48C099AC42081D89354E" hidden="1">#REF!</definedName>
    <definedName name="BO84B2B9ADFE68404ABF9568E355B63754" hidden="1">#REF!</definedName>
    <definedName name="BO84C66187591347D7BEFA5F1E4450858D" hidden="1">#REF!</definedName>
    <definedName name="BO84CDBD1089AE444B9083AF4075172D02" hidden="1">#REF!</definedName>
    <definedName name="BO84CDE81D0CBD4006AAF00CD1FA153B13" hidden="1">#REF!</definedName>
    <definedName name="BO84CE4C5847D64B31ABB03BBEDE80E97B" hidden="1">#REF!</definedName>
    <definedName name="BO84D02EFACE5846BDB5E96DEAE6A3CEAB" hidden="1">#REF!</definedName>
    <definedName name="BO84D497562ED34C38B636850550590EA9" hidden="1">#REF!</definedName>
    <definedName name="BO84D65CE5A240475CB72680CAF8BA2F5D" hidden="1">#REF!</definedName>
    <definedName name="BO84D9B6A17BBB487FA02F521E414A24E0" hidden="1">#REF!</definedName>
    <definedName name="BO84E9EA075F7545E690D279FC34BC2712" hidden="1">#REF!</definedName>
    <definedName name="BO84F0CE29408145A790C4F2555A9D6777" hidden="1">#REF!</definedName>
    <definedName name="BO84F8DFCFD0F544E0815C05FE4381F517" hidden="1">#REF!</definedName>
    <definedName name="BO84F9E34D91984C249BE367CC72531534" hidden="1">#REF!</definedName>
    <definedName name="BO850B8686778441899E257F515AB60DD4" hidden="1">#REF!</definedName>
    <definedName name="BO8519086E53D14512A45F6AFE5292AB4B" hidden="1">#REF!</definedName>
    <definedName name="BO851E3C134702456D8F335B5AFC1EB76C" hidden="1">#REF!</definedName>
    <definedName name="BO8529BBB7A76248EE8B59741337979E49" hidden="1">#REF!</definedName>
    <definedName name="BO852A7851941549BB9ABA6668CDF7D66F" hidden="1">#REF!</definedName>
    <definedName name="BO8530DC91975E413EA811466A5FEAB124" hidden="1">#REF!</definedName>
    <definedName name="BO85398C77C7B64B12B4DC489348C5CFC7" hidden="1">#REF!</definedName>
    <definedName name="BO8556FE8CF0764AF4BD814452E5A9BAFA" hidden="1">#REF!</definedName>
    <definedName name="BO855C38E109914243B0E338F777CBD0C4" hidden="1">#REF!</definedName>
    <definedName name="BO857C75FDD5394D6E88A8E0666D28866E" hidden="1">#REF!</definedName>
    <definedName name="BO857E7743B29146A28C15FC97F61E0CED" hidden="1">#REF!</definedName>
    <definedName name="BO8588F13A0FFF43F0BF3B895F0F81D6EB" hidden="1">#REF!</definedName>
    <definedName name="BO859D181785774A77BB44535E149E857B" hidden="1">#REF!</definedName>
    <definedName name="BO85A2714057F9476D92F63DA8548DB226" hidden="1">#REF!</definedName>
    <definedName name="BO85A61EE7C101489B9542F0E114AD1A9F" hidden="1">#REF!</definedName>
    <definedName name="BO85BDA135D5FC473DB2BAD8F11B4E7FD6" hidden="1">#REF!</definedName>
    <definedName name="BO85CAF4AA7A274071ABE9C69B57369202" hidden="1">#REF!</definedName>
    <definedName name="BO85CF485A02274C4C8A929BE96BA6AE02" hidden="1">#REF!</definedName>
    <definedName name="BO85D00DEC7F9C4BE2AFD21BD14A3A64E5" hidden="1">#REF!</definedName>
    <definedName name="BO85D2D9901A1B48DFBEF059803F5BEF7C" hidden="1">#REF!</definedName>
    <definedName name="BO85DDA43F78AC4B2F97832E771307C24E" hidden="1">#REF!</definedName>
    <definedName name="BO85E4CEECB0C04BAB8A418B53433E100F" hidden="1">#REF!</definedName>
    <definedName name="BO85E503B7518D493389F5C83991485A15" hidden="1">#REF!</definedName>
    <definedName name="BO85EFFD7E7CB244F48DEB308B5B3017A1" hidden="1">#REF!</definedName>
    <definedName name="BO85F1580FCB7E4E26BFC0FCBC7B1C0EA7" hidden="1">#REF!</definedName>
    <definedName name="BO85F1C4789DFA4422A810484C9235C410" hidden="1">#REF!</definedName>
    <definedName name="BO85F68DA7BE2A4D6FBAAB2F95D2779E87" hidden="1">#REF!</definedName>
    <definedName name="BO85F6CF90BFD4498383083021521ED909" hidden="1">#REF!</definedName>
    <definedName name="BO85F96C64891745E5BA390F742931EA40" hidden="1">#REF!</definedName>
    <definedName name="BO860546A2C159451BB0C4F5FB19BAC626" hidden="1">#REF!</definedName>
    <definedName name="BO860665E6076B404C86135C28A10C9F77" hidden="1">#REF!</definedName>
    <definedName name="BO862A8399A4F74F9FBB00702D419CC56F" hidden="1">#REF!</definedName>
    <definedName name="BO863B848402534A07AE95A1A9D8A07D57" hidden="1">#REF!</definedName>
    <definedName name="BO863CB4C4ADDC4AF9A0C1595E078390C7" hidden="1">#REF!</definedName>
    <definedName name="BO863D9886414C4DE5A4A1FD16304268FD" hidden="1">#REF!</definedName>
    <definedName name="BO8640693DA3C3475583E9CC49D2AD463A" hidden="1">#REF!</definedName>
    <definedName name="BO8646526FC4BC47799C8B330D607AD438" hidden="1">#REF!</definedName>
    <definedName name="BO86496FA3785E46468D6AAFCE25E80B4C" hidden="1">#REF!</definedName>
    <definedName name="BO86527C108632416988A028F41DD45DC2" hidden="1">#REF!</definedName>
    <definedName name="BO865610E196C946E3A5CF2EAFC6705A82" hidden="1">#REF!</definedName>
    <definedName name="BO865DC3874A2D4174A494E31017C8A63D" hidden="1">#REF!</definedName>
    <definedName name="BO86611A7BE67248D39E077DF336882C20" hidden="1">#REF!</definedName>
    <definedName name="BO8674B74230724B93B4A52D7B882F98D6" hidden="1">#REF!</definedName>
    <definedName name="BO8679994389AE4C1D87B6D690EFC5F1CE" hidden="1">#REF!</definedName>
    <definedName name="BO867E59F749474704AE33FD5D15FF2928" hidden="1">#REF!</definedName>
    <definedName name="BO86827228EAA045B2B59C5CCF1F289DDD" hidden="1">#REF!</definedName>
    <definedName name="BO8682D4AC0CD54CFABA726AF82371FC23" hidden="1">#REF!</definedName>
    <definedName name="BO8688708ACA7C4AE3A5B1E4CEDA1C3B7F" hidden="1">#REF!</definedName>
    <definedName name="BO8692BA830CCE418AB7B90906993939BD" hidden="1">#REF!</definedName>
    <definedName name="BO8696A6464E6844FFBCDB126211214568" hidden="1">#REF!</definedName>
    <definedName name="BO869D7D008FF648D4B74F348BDD818273" hidden="1">#REF!</definedName>
    <definedName name="BO86A0101E6F23462AAEE366686A2D5E80" hidden="1">#REF!</definedName>
    <definedName name="BO86C3E36F9C3C40A19A9C03841E7E480A" hidden="1">#REF!</definedName>
    <definedName name="BO86C4F3729FE246EAAD9D35D8CA71E0D1" hidden="1">#REF!</definedName>
    <definedName name="BO86C75034038A4B7DB3573000AA0A19C6" hidden="1">#REF!</definedName>
    <definedName name="BO86CA1A75C42E49D892CC3871C9B71377" hidden="1">#REF!</definedName>
    <definedName name="BO86CEFB1E178947B3A75142464350255D" hidden="1">#REF!</definedName>
    <definedName name="BO86D551092DFE413491241B38681E9DD6" hidden="1">#REF!</definedName>
    <definedName name="BO86E1BBC0CAD34914B1795D780B79D0B6" hidden="1">#REF!</definedName>
    <definedName name="BO86E983A4C04C437DA9444AD966F06BDB" hidden="1">#REF!</definedName>
    <definedName name="BO86EDD1A5583249E6B5EE1B3FF0330E1D" hidden="1">#REF!</definedName>
    <definedName name="BO86F12413B3C941BC878E2184372C74EC" hidden="1">#REF!</definedName>
    <definedName name="BO86F29F84A72741B79A513D0A75940937" hidden="1">#REF!</definedName>
    <definedName name="BO87028EF94AF64D89A7782D2ADBEADD55" hidden="1">#REF!</definedName>
    <definedName name="BO8703D5F4B10949599B7C187ECA4C92DC" hidden="1">#REF!</definedName>
    <definedName name="BO870532AC63AE417EA3C02D900B1258BD" hidden="1">#REF!</definedName>
    <definedName name="BO870882E32D174B619BDD6F83B61515BD" hidden="1">#REF!</definedName>
    <definedName name="BO870EA69B45A84FD6B908CF13F7ABACF6" hidden="1">#REF!</definedName>
    <definedName name="BO87155FD4F76A4C6780DBA3D90F58879D" hidden="1">#REF!</definedName>
    <definedName name="BO871F43846AD649868546FAB828AF10CD" hidden="1">#REF!</definedName>
    <definedName name="BO87253F04496A479BBCC19AE138FB1BBB" hidden="1">#REF!</definedName>
    <definedName name="BO8725BD4349584860A534A5F2B0DB97C5" hidden="1">#REF!</definedName>
    <definedName name="BO87536C126714422E91083B83AEB59137" hidden="1">#REF!</definedName>
    <definedName name="BO87579323E28046D2BD6D1B313E28DAFC" hidden="1">#REF!</definedName>
    <definedName name="BO87592E5F03B6457EBC3705956DE01027" hidden="1">#REF!</definedName>
    <definedName name="BO875A1BB533DB4E4988BD3C3D6EA2D63A" hidden="1">#REF!</definedName>
    <definedName name="BO875CFC0B91F34E0AB2E4391C131060C5" hidden="1">#REF!</definedName>
    <definedName name="BO87676BD4DEDE4C30A86B6C11CE0500C5" hidden="1">#REF!</definedName>
    <definedName name="BO8770E06342C34557897FF827CC7E7360" hidden="1">#REF!</definedName>
    <definedName name="BO8776AB8ED4CF4C98BFF19AD981DCB416" hidden="1">#REF!</definedName>
    <definedName name="BO87775B070257415192A819C60FDB293C" hidden="1">#REF!</definedName>
    <definedName name="BO8780DDF0121F42DCBBB523FB41D6571B" hidden="1">#REF!</definedName>
    <definedName name="BO878376AFED3E4BC1BCC5A12E1D115F9A" hidden="1">#REF!</definedName>
    <definedName name="BO878B1D18188C4433B6D14FB3738722F7" hidden="1">#REF!</definedName>
    <definedName name="BO87965D9CD81344A3BB11405770BB112C" hidden="1">#REF!</definedName>
    <definedName name="BO87A044B2DE8F49CA9087E2CB671488CC" hidden="1">#REF!</definedName>
    <definedName name="BO87A18D1D5D404B568C1E512B612A4EC4" hidden="1">#REF!</definedName>
    <definedName name="BO87A21A239B53451B87CCE904A3868CF3" hidden="1">#REF!</definedName>
    <definedName name="BO87A2B11673754BC0BA61C74C773E8A26" hidden="1">#REF!</definedName>
    <definedName name="BO87DBEA4E2C7C4583995CFA63B7C7B691" hidden="1">#REF!</definedName>
    <definedName name="BO87E97FE96FE043E092810BABABF42465" hidden="1">#REF!</definedName>
    <definedName name="BO87F1BC0A692C4D9994A22209241A9647" hidden="1">#REF!</definedName>
    <definedName name="BO87FCA42BA6C940B5BAF6CC43CDC29895" hidden="1">#REF!</definedName>
    <definedName name="BO8800987D6586410AA81CA3FC8A6A9AF3" hidden="1">#REF!</definedName>
    <definedName name="BO8801003E693E40E09321EA4037AB42E6" hidden="1">#REF!</definedName>
    <definedName name="BO8808605D44C8418A8DCA57160277110E" hidden="1">#REF!</definedName>
    <definedName name="BO880BFFEF36BC4E4D91F79A4E7C314444" hidden="1">#REF!</definedName>
    <definedName name="BO882119206C944253B2937717BD117C9E" hidden="1">#REF!</definedName>
    <definedName name="BO8826DC04BB754A729D004ABF1C63D341" hidden="1">#REF!</definedName>
    <definedName name="BO883058D36650450FA6DE1F148B6887C9" hidden="1">#REF!</definedName>
    <definedName name="BO884572CFE169463699F25BA0BD573ABD" hidden="1">#REF!</definedName>
    <definedName name="BO8847357BBA6748FDAF321050C99CAA1D" hidden="1">#REF!</definedName>
    <definedName name="BO884D6F7F420E496EBFC8B25BBF8DC0F2" hidden="1">#REF!</definedName>
    <definedName name="BO88509AA0D27C4D848DDA413E6893D6C5" hidden="1">#REF!</definedName>
    <definedName name="BO8859A802BF3545DC8C4B04BDF795FA74" hidden="1">#REF!</definedName>
    <definedName name="BO885A0A1EE33B4FD89C7BF215C3E9E0F5" hidden="1">#REF!</definedName>
    <definedName name="BO886C7B67B03F4D8E8338E9A36D511EC5" hidden="1">#REF!</definedName>
    <definedName name="BO88722D4B3C2B4E71B87B5FC97BAD86F6" hidden="1">#REF!</definedName>
    <definedName name="BO8872997D0AB44719B26A538794A78351" hidden="1">#REF!</definedName>
    <definedName name="BO8873CD5FBDD84994889F8FE6EE3971D2" hidden="1">#REF!</definedName>
    <definedName name="BO8876D118E9C34611BB32ED72E2BB86F5" hidden="1">#REF!</definedName>
    <definedName name="BO88911035756141A2BC192B3378C3B2C5" hidden="1">#REF!</definedName>
    <definedName name="BO88A374BAF9EB4C84AFAE91C8E72F929B" hidden="1">#REF!</definedName>
    <definedName name="BO88A46B11A1E84259A75305C4D4E559F2" hidden="1">#REF!</definedName>
    <definedName name="BO88A60130850C4F70990C521F4D3493A8" hidden="1">#REF!</definedName>
    <definedName name="BO88A993C7520649A18753F6A46A4745A8" hidden="1">#REF!</definedName>
    <definedName name="BO88AAD9B6AA994416B6148978384F1ACE" hidden="1">#REF!</definedName>
    <definedName name="BO88C1F8EC59644F7FA98250DCBC272C92" hidden="1">#REF!</definedName>
    <definedName name="BO88C6A90F1D804B9CA35E26DDEBF78C6A" hidden="1">#REF!</definedName>
    <definedName name="BO88C7EF9DC7AE448B99AD583248F47FEA" hidden="1">#REF!</definedName>
    <definedName name="BO88D728E084F146D49A7B35F846356BA2" hidden="1">#REF!</definedName>
    <definedName name="BO88DCCCC69CE249128CE0E4A720CF5F6A" hidden="1">#REF!</definedName>
    <definedName name="BO88E1B544F284440E8F3613691DC081C0" hidden="1">#REF!</definedName>
    <definedName name="BO88EC0C4B1BFA4300ADF9E72A481B6577" hidden="1">#REF!</definedName>
    <definedName name="BO88ED8F42819B4ECBBA101C04D51E3037" hidden="1">#REF!</definedName>
    <definedName name="BO88EF5EB98DE14FEC987BC48EDE77DD41" hidden="1">#REF!</definedName>
    <definedName name="BO88F309142D0F471581C015E02F3B89FE" hidden="1">#REF!</definedName>
    <definedName name="BO88F4A8824F4D4CBE8A06EA6BAB485DE4" hidden="1">#REF!</definedName>
    <definedName name="BO890B640EA94D4BBFA9909D7EADCE8355" hidden="1">#REF!</definedName>
    <definedName name="BO891E5CBF38B24E19B3410500BAD6FC50" hidden="1">#REF!</definedName>
    <definedName name="BO892C5932395541DEBC501B671D11703E" hidden="1">#REF!</definedName>
    <definedName name="BO893ED20370904C01BB4D3589957B5370" hidden="1">#REF!</definedName>
    <definedName name="BO894D9E2D3AC3451596E63BC28422A580" hidden="1">#REF!</definedName>
    <definedName name="BO8958ACD405C24538BFB8B28A880CF6CE" hidden="1">#REF!</definedName>
    <definedName name="BO896204E674144E0C8320E1923BDC9423" hidden="1">#REF!</definedName>
    <definedName name="BO8975CCBB427A48CF935C27880B6321CD" hidden="1">#REF!</definedName>
    <definedName name="BO8981353D169B47349271B35E475051D8" hidden="1">#REF!</definedName>
    <definedName name="BO8986CB2F141E4C809FA2189AAC46EE0D" hidden="1">#REF!</definedName>
    <definedName name="BO89888BD3829A49E19FC7ACE273AD90D5" hidden="1">#REF!</definedName>
    <definedName name="BO898AA1E9590C41EFB39DCC46CF7428C1" hidden="1">#REF!</definedName>
    <definedName name="BO89A055AD9C4D48368E989FE2B85CF3D0" hidden="1">#REF!</definedName>
    <definedName name="BO89A76BBD0FA14497B3B11484827465B1" hidden="1">#REF!</definedName>
    <definedName name="BO89ACEF28E40F48D885EA832E6E75C12E" hidden="1">#REF!</definedName>
    <definedName name="BO89B042BDB61A451F9433EFC8DA00ABE9" hidden="1">#REF!</definedName>
    <definedName name="BO89B090565D184426BDECA16892AB383E" hidden="1">#REF!</definedName>
    <definedName name="BO89B3D98A46ED48D5AE4A52E2BFA1B918" hidden="1">#REF!</definedName>
    <definedName name="BO89BC0F64BD3E47598E5C601B539EC206" hidden="1">#REF!</definedName>
    <definedName name="BO89BFDB8416CC4D7D93B7281101FC4595" hidden="1">#REF!</definedName>
    <definedName name="BO89C3EC6C57304589BB730FEA3E2D84F0" hidden="1">#REF!</definedName>
    <definedName name="BO89C7EDA0B0B14CF6974FB9FC281EA059" hidden="1">#REF!</definedName>
    <definedName name="BO89C8790957484929A4C63741250043C1" hidden="1">#REF!</definedName>
    <definedName name="BO89CE935E493641719F1BE37EDCE447D4" hidden="1">#REF!</definedName>
    <definedName name="BO89D1B16DAA0245A1981573F8C4C2F4B8" hidden="1">#REF!</definedName>
    <definedName name="BO89D34BDDAF774820AAC07FB180A28AE5" hidden="1">#REF!</definedName>
    <definedName name="BO89DFC416C477402EA7BB3734B8EA4FA1" hidden="1">#REF!</definedName>
    <definedName name="BO89E7C35BBADF42AFAEB61EDCF0F8E681" hidden="1">#REF!</definedName>
    <definedName name="BO89EB01E9BF864092909E7887DD3B64A9" hidden="1">#REF!</definedName>
    <definedName name="BO89F0DA72999B4ABD9366CC4EDB088BE4" hidden="1">#REF!</definedName>
    <definedName name="BO89F3C7F8EC4A4F56A164F32C53224D00" hidden="1">#REF!</definedName>
    <definedName name="BO8A01C088A2F5484DBC26AFDF446CFE30" hidden="1">#REF!</definedName>
    <definedName name="BO8A1D5A2389324592978EF9D0979A0CC2" hidden="1">#REF!</definedName>
    <definedName name="BO8A3AC566A3F544F293B32F6BACAE9AB1" hidden="1">#REF!</definedName>
    <definedName name="BO8A3FB3D65CCD4812A68F8613C21A4FC7" hidden="1">#REF!</definedName>
    <definedName name="BO8A4022C4440546179958AC0CAF01B668" hidden="1">#REF!</definedName>
    <definedName name="BO8A4C4FDF377745D6AFB76F00FEDCA85B" hidden="1">#REF!</definedName>
    <definedName name="BO8A4C768D6D1D4075A49419FFE82C39B7" hidden="1">#REF!</definedName>
    <definedName name="BO8A575DC00C4642F68ECCCB8399850CE6" hidden="1">#REF!</definedName>
    <definedName name="BO8A5E39F9AC364CD79E454BC60B8AE977" hidden="1">#REF!</definedName>
    <definedName name="BO8A7B4B7615BF4E439C7926402741833A" hidden="1">#REF!</definedName>
    <definedName name="BO8A8C8FAD37A84FF9994E5172CBD069F7" hidden="1">#REF!</definedName>
    <definedName name="BO8A938C3879FE423DA1DEB4AF4CBC5789" hidden="1">#REF!</definedName>
    <definedName name="BO8A9BCDD66768409594081C9CA468513E" hidden="1">#REF!</definedName>
    <definedName name="BO8A9F3F4DF7514D2385E8E4836E253D15" hidden="1">#REF!</definedName>
    <definedName name="BO8AACEBD3600E4286BB00961E6DC6CAAD" hidden="1">#REF!</definedName>
    <definedName name="BO8AB8A7257427484FBE9C8E250BBABC80" hidden="1">#REF!</definedName>
    <definedName name="BO8AC484EAE10B4AFD90F781EC0EDC41F1" hidden="1">#REF!</definedName>
    <definedName name="BO8AC93F4E51E444DF9DEE01EE732AB5FA" hidden="1">#REF!</definedName>
    <definedName name="BO8ACD1097C32E4450812E89C9CC04A3D9" hidden="1">#REF!</definedName>
    <definedName name="BO8AD6B32FFF254B33A9D7321A4C8F57CC" hidden="1">#REF!</definedName>
    <definedName name="BO8AD82F53DC3D47CD9620042822D0317A" hidden="1">#REF!</definedName>
    <definedName name="BO8B03426698684220AA3526EA1F8EBF1F" hidden="1">#REF!</definedName>
    <definedName name="BO8B049C94B98F4EC68DEEFF276513D38A" hidden="1">#REF!</definedName>
    <definedName name="BO8B0520B88AFC4BC688C9657D65604921" hidden="1">#REF!</definedName>
    <definedName name="BO8B076EA9394C44648BB9E477A2415829" hidden="1">#REF!</definedName>
    <definedName name="BO8B0CE0EEEA854E21AB7FB7AECA13538B" hidden="1">#REF!</definedName>
    <definedName name="BO8B0EFDEBFB644042BB4A74423A3BE6AC" hidden="1">#REF!</definedName>
    <definedName name="BO8B10D7A4C492444E86103F8DCAE6C364" hidden="1">#REF!</definedName>
    <definedName name="BO8B18CFDE35C64B02AA0A9284872BF4E8" hidden="1">#REF!</definedName>
    <definedName name="BO8B1965E12FC4484984DBDAEB586282AD" hidden="1">#REF!</definedName>
    <definedName name="BO8B1DB09FD31C4311BB0582CA6B8A245A" hidden="1">#REF!</definedName>
    <definedName name="BO8B2D7FFBB607443C9C437B09E442A03E" hidden="1">#REF!</definedName>
    <definedName name="BO8B30B9BCFFA24EEFA921AD9CE5DD410F" hidden="1">#REF!</definedName>
    <definedName name="BO8B346347F5424B5594839234E8527BAF" hidden="1">#REF!</definedName>
    <definedName name="BO8B425F1F51E445EB873F4E4229D522E5" hidden="1">#REF!</definedName>
    <definedName name="BO8B50BF1EEC7744B98D7BE4ABCC1DFF4D" hidden="1">#REF!</definedName>
    <definedName name="BO8B52D5FB41254A4B83D45096AEB2CA6D" hidden="1">#REF!</definedName>
    <definedName name="BO8B5707BB1AF1460C9EF9E92C65EB2A8C" hidden="1">#REF!</definedName>
    <definedName name="BO8B58B1B5676E480AB5461C3893A7478C" hidden="1">#REF!</definedName>
    <definedName name="BO8B5A6864A94C411AB64D70F7E06E7B0D" hidden="1">#REF!</definedName>
    <definedName name="BO8B5CCAF47010417AA660F9D68409B198" hidden="1">#REF!</definedName>
    <definedName name="BO8B6C125CFFE1482A8FDBF1972BEEECFF" hidden="1">#REF!</definedName>
    <definedName name="BO8B706BA6E8C34BDC987762D961B82412" hidden="1">#REF!</definedName>
    <definedName name="BO8B75F15A72B14408A058E9E356DE56A1" hidden="1">#REF!</definedName>
    <definedName name="BO8B782FCD4A734A70ADA849811AD55DDC" hidden="1">#REF!</definedName>
    <definedName name="BO8B79C85B9C294514B37A5BB9BD67513C" hidden="1">#REF!</definedName>
    <definedName name="BO8B87E66DABA04D128A9B3B3A2FC0B341" hidden="1">#REF!</definedName>
    <definedName name="BO8B933FEDA86644969B04414203C8F660" hidden="1">#REF!</definedName>
    <definedName name="BO8BA23A9DB6164351BDC36ABC2DDA9DBA" hidden="1">#REF!</definedName>
    <definedName name="BO8BA9D112F03346628B7A0C66AEA9AE7F" hidden="1">#REF!</definedName>
    <definedName name="BO8BAD6E2D535D42A692895028E03FF566" hidden="1">#REF!</definedName>
    <definedName name="BO8BDA3EEC5C684EBA8A491E1C1D6044D7" hidden="1">#REF!</definedName>
    <definedName name="BO8BF6134BDFC4490F808BB9AE7387C757" hidden="1">#REF!</definedName>
    <definedName name="BO8C01DD0C000448B0A610B2339963B1A9" hidden="1">#REF!</definedName>
    <definedName name="BO8C02380892F84FCBAA64339100D42EBB" hidden="1">#REF!</definedName>
    <definedName name="BO8C1A7D0892104C0EB6DBF102E7432C80" hidden="1">#REF!</definedName>
    <definedName name="BO8C1D2DD562384D5BA54F3BAE82328B53" hidden="1">#REF!</definedName>
    <definedName name="BO8C2DE7DF43274E5D8CADC5EBC539579E" hidden="1">#REF!</definedName>
    <definedName name="BO8C32A9A3276D49D8A665C25E34E2F43B" hidden="1">#REF!</definedName>
    <definedName name="BO8C35A5EF568A44D8882EF4FD340CC18E" hidden="1">#REF!</definedName>
    <definedName name="BO8C36B5DB76E34B049B605989B396DC54" hidden="1">#REF!</definedName>
    <definedName name="BO8C3ECB9D66DC443B8903CF2A46B1BE7B" hidden="1">#REF!</definedName>
    <definedName name="BO8C457B1C1D36429296FE6549610F7811" hidden="1">#REF!</definedName>
    <definedName name="BO8C4F9E2742D7463FAC06B37EA6D7B5F4" hidden="1">#REF!</definedName>
    <definedName name="BO8C54D2691BEF4FFE8B50239593964343" hidden="1">#REF!</definedName>
    <definedName name="BO8C5B30C7952243DDB2C1FCD8EFF078CF" hidden="1">#REF!</definedName>
    <definedName name="BO8C6AA5388C54402D8BB949083BD82906" hidden="1">#REF!</definedName>
    <definedName name="BO8C8019B7488E466E8436411F5C32B853" hidden="1">#REF!</definedName>
    <definedName name="BO8C845F5076614E6C96FC8C51C99C075B" hidden="1">#REF!</definedName>
    <definedName name="BO8C8714C877E34D108626FB46707913DE" hidden="1">#REF!</definedName>
    <definedName name="BO8C87982F83724F7E8EBE5602644FC46E" hidden="1">#REF!</definedName>
    <definedName name="BO8C880C95DA9843F99FD04B8E68B4737F" hidden="1">#REF!</definedName>
    <definedName name="BO8C8AE990B3FF424587929CFD4D0EA317" hidden="1">#REF!</definedName>
    <definedName name="BO8C9552834FD3467599BF60C746C70E78" hidden="1">#REF!</definedName>
    <definedName name="BO8C987932062B45DF964556479C760EDA" hidden="1">#REF!</definedName>
    <definedName name="BO8CA20A0DFB2C401E896B2B39809DB447" hidden="1">#REF!</definedName>
    <definedName name="BO8CA3A956AC1C4E49AFC44FE64445BAB3" hidden="1">#REF!</definedName>
    <definedName name="BO8CA94A4D8C6B4495A30D6B542DE1FCAF" hidden="1">#REF!</definedName>
    <definedName name="BO8CAEE5FA6B2D4B6392B029E22997032F" hidden="1">#REF!</definedName>
    <definedName name="BO8CB1F2BDFE3A4400BF7BCD6D4ACB35ED" hidden="1">#REF!</definedName>
    <definedName name="BO8CB351BED0BC48DB87E60714B0F87B10" hidden="1">#REF!</definedName>
    <definedName name="BO8CD86369923940728C1C2BE79E65F821" hidden="1">#REF!</definedName>
    <definedName name="BO8CD90137A9AE413786FAE53E73F9E41A" hidden="1">#REF!</definedName>
    <definedName name="BO8CE988C33676417790CFB16378FA75C5" hidden="1">#REF!</definedName>
    <definedName name="BO8CEA0BE5F64E470E8F314D8854F5C2F6" hidden="1">#REF!</definedName>
    <definedName name="BO8CF198B7A80D406486BD6B809BB8A66F" hidden="1">#REF!</definedName>
    <definedName name="BO8CF83AF349DA409E9117395C19FF7BD2" hidden="1">#REF!</definedName>
    <definedName name="BO8D01168659584523859DCF14502605A4" hidden="1">#REF!</definedName>
    <definedName name="BO8D11E3A0C27E4ECABF2E3108ED4217A9" hidden="1">#REF!</definedName>
    <definedName name="BO8D280F52D9D44B3DBD753A5B43B64FBF" hidden="1">#REF!</definedName>
    <definedName name="BO8D3E756EB754440195E21EEC2B2F9CB7" hidden="1">#REF!</definedName>
    <definedName name="BO8D3FC16A893C4BDFAD57A4A4BC93F26B" hidden="1">#REF!</definedName>
    <definedName name="BO8D4564DA97DD4D1597A5C6B7C00ED65B" hidden="1">#REF!</definedName>
    <definedName name="BO8D4DC128A83B472AB101787214A73641" hidden="1">#REF!</definedName>
    <definedName name="BO8D51EF99D8354918B21C83A59CDE0A0A" hidden="1">#REF!</definedName>
    <definedName name="BO8D5245BE23FF43869A5D6657D9C57785" hidden="1">#REF!</definedName>
    <definedName name="BO8D52B9F40CE2455B8F1D8DCB744A6D8F" hidden="1">#REF!</definedName>
    <definedName name="BO8D56AE80332F4AF7925BF93215D038AD" hidden="1">#REF!</definedName>
    <definedName name="BO8D630EE4F9B44F1CA96C962084F33D84" hidden="1">#REF!</definedName>
    <definedName name="BO8D6B0B0877E147C6824C5E968C3A9C6E" hidden="1">#REF!</definedName>
    <definedName name="BO8D7613321E85487BBFF424CC6C0710EB" hidden="1">#REF!</definedName>
    <definedName name="BO8D76B0285C1E449B8EA95866DE7D6BB4" hidden="1">#REF!</definedName>
    <definedName name="BO8D77E396B99246ED96349D5E58D861E0" hidden="1">#REF!</definedName>
    <definedName name="BO8D7B6B703781460380DC96B5788166E7" hidden="1">#REF!</definedName>
    <definedName name="BO8D7F400B77EB476FA29CA0E3B699BEDA" hidden="1">#REF!</definedName>
    <definedName name="BO8D8438A6209A4F0BB7F1606E16D437FB" hidden="1">#REF!</definedName>
    <definedName name="BO8DA41B9BE40E4ACA91CD32A59F2E4664" hidden="1">#REF!</definedName>
    <definedName name="BO8DAC02376CDE46C4B47616698C1A6D1A" hidden="1">#REF!</definedName>
    <definedName name="BO8DAE1363AA2D4EDCA0B4FBAD257D97B5" hidden="1">#REF!</definedName>
    <definedName name="BO8DB51430F822439986F172A4710C20BB" hidden="1">#REF!</definedName>
    <definedName name="BO8DB8AD5D0FB5466E9FBDEC54EAD6C49E" hidden="1">#REF!</definedName>
    <definedName name="BO8DBFF6D837764E31B94B7BFF7E760B71" hidden="1">#REF!</definedName>
    <definedName name="BO8DC42D87F3C44F3F8B8D43A0D8A338F2" hidden="1">#REF!</definedName>
    <definedName name="BO8DD4B0241F8C4D71A037EAD0CB16A304" hidden="1">#REF!</definedName>
    <definedName name="BO8DD8DCBF5C8B4611BAFCA9BE58523F82" hidden="1">#REF!</definedName>
    <definedName name="BO8DF0A8C239AE469098B9D11F2DE39DA8" hidden="1">#REF!</definedName>
    <definedName name="BO8DF834253D06477683585F342B63D250" hidden="1">#REF!</definedName>
    <definedName name="BO8DF9D89D39E2464FBB7728842512836C" hidden="1">#REF!</definedName>
    <definedName name="BO8E0568BAD1F14A3F8606930E1A655074" hidden="1">#REF!</definedName>
    <definedName name="BO8E0F5B59425A44F88B5E099A5E7F82A0" hidden="1">#REF!</definedName>
    <definedName name="BO8E0FD6D2B976465299B5B63B66A81C4B" hidden="1">#REF!</definedName>
    <definedName name="BO8E12E21B4EFC4357A343A7DDFF2D51ED" hidden="1">#REF!</definedName>
    <definedName name="BO8E13CC4BE9DB421CAA7915A4C29B7962" hidden="1">#REF!</definedName>
    <definedName name="BO8E1713A751CE4A84BD91FF58A7D818F9" hidden="1">#REF!</definedName>
    <definedName name="BO8E17FCB2E3554EF69EC9B3B4B416256E" hidden="1">#REF!</definedName>
    <definedName name="BO8E28E8ED04A54E6BAA2B22EB4F92F50F" hidden="1">#REF!</definedName>
    <definedName name="BO8E2F0C38E78B465AA083A41EAFC4D94C" hidden="1">#REF!</definedName>
    <definedName name="BO8E32890AD432467F9E6957BD737C79F1" hidden="1">#REF!</definedName>
    <definedName name="BO8E35247CE2984C499FD4880D4FA43A2A" hidden="1">#REF!</definedName>
    <definedName name="BO8E3BD649152D40B6A305A8763B84B928" hidden="1">#REF!</definedName>
    <definedName name="BO8E59D6A290C045E6985C8F8D0BD89EC9" hidden="1">#REF!</definedName>
    <definedName name="BO8E62352CF5474E50B1057BF236C518C3" hidden="1">#REF!</definedName>
    <definedName name="BO8E77F59C5D3246CAB045EEFCDAFAD927" hidden="1">#REF!</definedName>
    <definedName name="BO8E9C4DE3A299409996005284DE337B83" hidden="1">#REF!</definedName>
    <definedName name="BO8EAC581D2199402283E5F9C1138BBBB2" hidden="1">#REF!</definedName>
    <definedName name="BO8EB66077D9A7421A8C417E7C147E690A" hidden="1">#REF!</definedName>
    <definedName name="BO8EB8870673D9456FB8887157D4D55A6F" hidden="1">#REF!</definedName>
    <definedName name="BO8EBABAC9AEB94128B3357CAF184B1F0F" hidden="1">#REF!</definedName>
    <definedName name="BO8EC9AEC409B0471ABF9F13991C7D9B86" hidden="1">#REF!</definedName>
    <definedName name="BO8EDB3995FDB5460B8E892380410AD715" hidden="1">#REF!</definedName>
    <definedName name="BO8EE3649FBBFA4226A38726AA60455E51" hidden="1">#REF!</definedName>
    <definedName name="BO8EE7C38D29384C419698A814A0F54842" hidden="1">#REF!</definedName>
    <definedName name="BO8EEE0A1A925140328266FEB4AF5372B5" hidden="1">#REF!</definedName>
    <definedName name="BO8F0B335C6D9E45DF8EAF04398055EF69" hidden="1">#REF!</definedName>
    <definedName name="BO8F120D3F03D34849AABC00FA2BA9D1BD" hidden="1">#REF!</definedName>
    <definedName name="BO8F199D982BA94736933FD398DC612D92" hidden="1">#REF!</definedName>
    <definedName name="BO8F241C76A58A4B11AAD08E9A4F72E375" hidden="1">#REF!</definedName>
    <definedName name="BO8F2CFFE2AC5F489AB490DF47F340A718" hidden="1">#REF!</definedName>
    <definedName name="BO8F2E9F9C69204D8BA2ACBC75836D3FF2" hidden="1">#REF!</definedName>
    <definedName name="BO8F31232301F54C98AFD85781F54707A5" hidden="1">#REF!</definedName>
    <definedName name="BO8F338401EA704148865BFBB0BBFC13C0" hidden="1">#REF!</definedName>
    <definedName name="BO8F34DF83806240FC9D63399C7BD05148" hidden="1">#REF!</definedName>
    <definedName name="BO8F3ABE8170A44D5E84D4C75DB0D8E4BD" hidden="1">#REF!</definedName>
    <definedName name="BO8F3F7841D58F44E1AAD043E75255DBC3" hidden="1">#REF!</definedName>
    <definedName name="BO8F450DA725C74D34A738B124757E30AA" hidden="1">#REF!</definedName>
    <definedName name="BO8F4A64ADA5084287B1000A3F79D03B5A" hidden="1">#REF!</definedName>
    <definedName name="BO8F4E778600704F71AD285B8834D958A4" hidden="1">#REF!</definedName>
    <definedName name="BO8F54F49E6220447883E1D1CEBBD6335D" hidden="1">#REF!</definedName>
    <definedName name="BO8F7098BA1CCB4B4A9FD13B0886AC4238" hidden="1">#REF!</definedName>
    <definedName name="BO8F752F848ED548CF905DDF854EB5429D" hidden="1">#REF!</definedName>
    <definedName name="BO8F77D7A0CAC04C1680A153101046795E" hidden="1">#REF!</definedName>
    <definedName name="BO8F78185C83674C639852F75B0B0C78FE" hidden="1">#REF!</definedName>
    <definedName name="BO8F783738EC384BE5AB27FFE7085D7028" hidden="1">#REF!</definedName>
    <definedName name="BO8F917CAB9E2A4B6AA651531D0B787BDA" hidden="1">#REF!</definedName>
    <definedName name="BO8F934ED0DBF94A679BD4F94C282C563A" hidden="1">#REF!</definedName>
    <definedName name="BO8F9BD2803E614202B7128A62987DDDBD" hidden="1">#REF!</definedName>
    <definedName name="BO8F9D81EE7F9F42C28543448FBEFFA81C" hidden="1">#REF!</definedName>
    <definedName name="BO8FA2529E789A48CF8CAC0D6D30B9AD56" hidden="1">#REF!</definedName>
    <definedName name="BO8FAB9936D2D64D9CA16084D3144AF15E" hidden="1">#REF!</definedName>
    <definedName name="BO8FBB042CB8F64548BD2E79D5431BD310" hidden="1">#REF!</definedName>
    <definedName name="BO8FBCE404F731452585CEE2880FE387FF" hidden="1">#REF!</definedName>
    <definedName name="BO8FBF0BB110A844B78B2054E35988E71E" hidden="1">#REF!</definedName>
    <definedName name="BO8FD168FC29744E75B53F513C619777D2" hidden="1">#REF!</definedName>
    <definedName name="BO8FD715F01098428EBE2DEF43CD9E1592" hidden="1">#REF!</definedName>
    <definedName name="BO8FD7CC927D0049578584C2D3E47BFAC9" hidden="1">#REF!</definedName>
    <definedName name="BO8FE2C64C09D043668A27253936F2C98B" hidden="1">#REF!</definedName>
    <definedName name="BO8FED77DF01F244ECB6ACC4C1B2ADF072" hidden="1">#REF!</definedName>
    <definedName name="BO8FEE49E69E4F4748A5D4612CB0A0A152" hidden="1">#REF!</definedName>
    <definedName name="BO8FFDF5124B2840E8922C23235AF118C6" hidden="1">#REF!</definedName>
    <definedName name="BO9006320E243748B29E62073E02FDCE9C" hidden="1">#REF!</definedName>
    <definedName name="BO900C1928FD47427DBEABBFB8B640263C" hidden="1">#REF!</definedName>
    <definedName name="BO9018C1479C7544CFB3A6048FB6DFE190" hidden="1">#REF!</definedName>
    <definedName name="BO901951B587E34CADB79A21D91B6AEC90" hidden="1">#REF!</definedName>
    <definedName name="BO901B1813E2DF43F48010C83C55357CAA" hidden="1">#REF!</definedName>
    <definedName name="BO902282CF0C18442FA0ECA8702548992D" hidden="1">#REF!</definedName>
    <definedName name="BO90277F5F1B4841A3A4707776BC31546D" hidden="1">#REF!</definedName>
    <definedName name="BO903ECF17AC75401597F632A3120F2082" hidden="1">#REF!</definedName>
    <definedName name="BO9044F1AA89A6492AB13E1C09C4380F01" hidden="1">#REF!</definedName>
    <definedName name="BO90542B52653440B48BA026A84FF774D2" hidden="1">#REF!</definedName>
    <definedName name="BO905ECD6A784F4EA4B47BF9B88C470EB0" hidden="1">#REF!</definedName>
    <definedName name="BO90680BA6902A47648DE1181B595510E6" hidden="1">#REF!</definedName>
    <definedName name="BO9068557641374B279053CF7D89C11B19" hidden="1">#REF!</definedName>
    <definedName name="BO9069775E555E4227AFAB0747DB66397C" hidden="1">#REF!</definedName>
    <definedName name="BO907156A3D7B3487C833A8D818DC0D7CF" hidden="1">#REF!</definedName>
    <definedName name="BO9071902AF6FB40E683AB058B4045701F" hidden="1">#REF!</definedName>
    <definedName name="BO907ADC4549F44B00B10813010CC5066A" hidden="1">#REF!</definedName>
    <definedName name="BO90875F448C0C45BB8BC9BEEE2A973A81" hidden="1">#REF!</definedName>
    <definedName name="BO90B8326E8A954ED2851592FA86839475" hidden="1">#REF!</definedName>
    <definedName name="BO90B99E3D216D4CB2B2390855BB32B86A" hidden="1">#REF!</definedName>
    <definedName name="BO90E5AD96337C42138BFB20987CC21E90" hidden="1">#REF!</definedName>
    <definedName name="BO90E667E585C6494F9914B5B4A319DC3D" hidden="1">#REF!</definedName>
    <definedName name="BO90EF89847A854907B45D39C9BA68CAE3" hidden="1">#REF!</definedName>
    <definedName name="BO90F92BE96D224F48B2F4096773E9C641" hidden="1">#REF!</definedName>
    <definedName name="BO910F790B3C71411CA8BEFDFEDBF23633" hidden="1">#REF!</definedName>
    <definedName name="BO9121064847EA4AAF8FA7C1DCC02B9AA0" hidden="1">#REF!</definedName>
    <definedName name="BO9122D3C6AA44418DB1E93278AB8E8022" hidden="1">#REF!</definedName>
    <definedName name="BO9127CCBD987A42EDB6792C21BC11FC9B" hidden="1">#REF!</definedName>
    <definedName name="BO912975F7B08D4C4F83FA9B9E48995723" hidden="1">#REF!</definedName>
    <definedName name="BO912AAF163FCE432DA79E11150309A00E" hidden="1">#REF!</definedName>
    <definedName name="BO912D26646C134AE1875719CAA3525976" hidden="1">#REF!</definedName>
    <definedName name="BO9136849444F84B7D9D4FD729F3F9F3F3" hidden="1">#REF!</definedName>
    <definedName name="BO913A9CD276024BCDAAA69A4903A2834B" hidden="1">#REF!</definedName>
    <definedName name="BO91419E54A3C14BA7B9E0DD4A601BB379" hidden="1">#REF!</definedName>
    <definedName name="BO914A34EB363F46CDB7925D1C66DD648B" hidden="1">#REF!</definedName>
    <definedName name="BO91615232B5654C8CB614A1C865859A0D" hidden="1">#REF!</definedName>
    <definedName name="BO9174AF7E769A4DF8883864AB80376D76" hidden="1">#REF!</definedName>
    <definedName name="BO9174C662B0304CFE9E2E4F41691C1983" hidden="1">#REF!</definedName>
    <definedName name="BO9175178779CE45788B9548A51B99B746" hidden="1">#REF!</definedName>
    <definedName name="BO917F0F08739D4076AE8A0FF09BA78F5A" hidden="1">#REF!</definedName>
    <definedName name="BO9182AD8D3F6645789E80C6B6F921BA87" hidden="1">#REF!</definedName>
    <definedName name="BO91A736CEF1944A21B42530566F4EB33D" hidden="1">#REF!</definedName>
    <definedName name="BO91B3EC47C6FD402DA7870D22CA98E3A3" hidden="1">#REF!</definedName>
    <definedName name="BO91B5FA2E7C224BCDA2A36965825032F7" hidden="1">#REF!</definedName>
    <definedName name="BO91B720AF61074F83A60B818FB6153073" hidden="1">#REF!</definedName>
    <definedName name="BO91B8AE83FF86495BAC47ACA27EF56540" hidden="1">#REF!</definedName>
    <definedName name="BO91CE7C6761BE48A9931ED9A9BE0315D5" hidden="1">#REF!</definedName>
    <definedName name="BO91DBB66CC85E41559DCC0AE44F56587D" hidden="1">#REF!</definedName>
    <definedName name="BO91E8F5259B5C4EB197B855E6ED103B8F" hidden="1">#REF!</definedName>
    <definedName name="BO91F6BC5C63E74944A07FCF739C550893" hidden="1">#REF!</definedName>
    <definedName name="BO91F6EC28409B4132844FC8E85304B8A2" hidden="1">#REF!</definedName>
    <definedName name="BO91FA6FDE0287414B8AA7B15BF01191AE" hidden="1">#REF!</definedName>
    <definedName name="BO9200F77904F847E381D8C333AF7F6533" hidden="1">#REF!</definedName>
    <definedName name="BO920AEC559F564D409ED03FD68232F207" hidden="1">#REF!</definedName>
    <definedName name="BO9211ECD3500D49DAA1494FF41DBC5F43" hidden="1">#REF!</definedName>
    <definedName name="BO921C80A4AAC54290A1709DBA2B9E738E" hidden="1">#REF!</definedName>
    <definedName name="BO921E88F3D9EC44059F11AB5297FED9DB" hidden="1">#REF!</definedName>
    <definedName name="BO921E98B6DAFE4D299928E323BD182980" hidden="1">#REF!</definedName>
    <definedName name="BO921FE8262D37439BB5789C189AB73252" hidden="1">#REF!</definedName>
    <definedName name="BO9221EDEC4C0D4D65B4D03044685ABBEA" hidden="1">#REF!</definedName>
    <definedName name="BO9224E1F893FA4BE6B00FAC32DDD083F4" hidden="1">#REF!</definedName>
    <definedName name="BO922568123FFB432093DE5C3E1125DA11" hidden="1">#REF!</definedName>
    <definedName name="BO923CD13F28C949059ED1A44AE3F9C314" hidden="1">#REF!</definedName>
    <definedName name="BO924AE25DED6C410F8A42DAF71A5BC141" hidden="1">#REF!</definedName>
    <definedName name="BO925246EF08E94F44AA40C058C890AB89" hidden="1">#REF!</definedName>
    <definedName name="BO926020B3E1DF4F6D8FDCA8C02547C01A" hidden="1">#REF!</definedName>
    <definedName name="BO92626B7181E140CAA16381D50E86E1E7" hidden="1">#REF!</definedName>
    <definedName name="BO926425212F7F4CE39F92B2F6C26D2C09" hidden="1">#REF!</definedName>
    <definedName name="BO927562A3059F48CCB9C6A2073948A0A4" hidden="1">#REF!</definedName>
    <definedName name="BO92782BF3F3F54FABBE586DDDF0E23D75" hidden="1">#REF!</definedName>
    <definedName name="BO927FFF8DA2D94155821FE1D7B95F5598" hidden="1">#REF!</definedName>
    <definedName name="BO92844C84F38742268617541364C9A0A3" hidden="1">#REF!</definedName>
    <definedName name="BO9284549E77504549BF85A68E9EA03629" hidden="1">#REF!</definedName>
    <definedName name="BO92898237799D4B969448F7F704185B97" hidden="1">#REF!</definedName>
    <definedName name="BO928E241B278545B5B5F1E7B555806578" hidden="1">#REF!</definedName>
    <definedName name="BO929B43732ABC4DFD945DBE63A9E9039D" hidden="1">#REF!</definedName>
    <definedName name="BO92AB68047EAB471AB3BD1F008BC39C0A" hidden="1">#REF!</definedName>
    <definedName name="BO92B8949C64B9495FB4ABF525BC049210" hidden="1">#REF!</definedName>
    <definedName name="BO92BDBC1C2FD14C05B817DEEB2A119103" hidden="1">#REF!</definedName>
    <definedName name="BO92CD42FED27C43C395362B00C9A3A796" hidden="1">#REF!</definedName>
    <definedName name="BO92CD82C1EB014F09980657E5E079B0B2" hidden="1">#REF!</definedName>
    <definedName name="BO92D2EF4DDE8042A8B416920EDE61EDEC" hidden="1">#REF!</definedName>
    <definedName name="BO92D48FEE1B1D4D648D78D81C36C30500" hidden="1">#REF!</definedName>
    <definedName name="BO92D5DDE2073A4B4FA363EE8F5EA22232" hidden="1">#REF!</definedName>
    <definedName name="BO92D8559178DA40F98FE8FFDF117751D1" hidden="1">#REF!</definedName>
    <definedName name="BO92DCD4F97F8E43F6B561094E67FFF609" hidden="1">#REF!</definedName>
    <definedName name="BO92E3A8A35D5A42E69A35900E6E9F2953" hidden="1">#REF!</definedName>
    <definedName name="BO92E8E9F0ED05482D9C8B998E99679EE0" hidden="1">#REF!</definedName>
    <definedName name="BO92F5D08E9DCD424BABF968CB16C78156" hidden="1">#REF!</definedName>
    <definedName name="BO92F836691E0A4DA48B3AEC1B203E4664" hidden="1">#REF!</definedName>
    <definedName name="BO931B3A55FBE943ABA6842AAA84AC1918" hidden="1">#REF!</definedName>
    <definedName name="BO931B9CB3C93548009429CE984557A4AF" hidden="1">#REF!</definedName>
    <definedName name="BO931E5528393140BB85950C1A94C88E3C" hidden="1">#REF!</definedName>
    <definedName name="BO9322600F98514D11B5CB4E9FDD8AF3F6" hidden="1">#REF!</definedName>
    <definedName name="BO93240BE4450247878AF07A34EB920144" hidden="1">#REF!</definedName>
    <definedName name="BO932BBFAAF1E741D7815AF964958385D9" hidden="1">#REF!</definedName>
    <definedName name="BO9339AD7898C74541ACBD9601147EA84B" hidden="1">#REF!</definedName>
    <definedName name="BO933E6463AD1E4AE783852D481518B0B7" hidden="1">#REF!</definedName>
    <definedName name="BO934A98F281554C4CB1EDD0AB81B59771" hidden="1">#REF!</definedName>
    <definedName name="BO935BC140DD514795BA35981CDAF2FB28" hidden="1">#REF!</definedName>
    <definedName name="BO9363661972974836B7CCE110CC4CBDDE" hidden="1">#REF!</definedName>
    <definedName name="BO936BA2DD48B34FC9B0C705758097D013" hidden="1">#REF!</definedName>
    <definedName name="BO9373175A5BBA4061B7D5362429BA73C9" hidden="1">#REF!</definedName>
    <definedName name="BO9378A427EEF84B549CC487DA41C814CC" hidden="1">#REF!</definedName>
    <definedName name="BO937C00FE04F24C67A51F944DFE62FE21" hidden="1">#REF!</definedName>
    <definedName name="BO937C249AE3D14C8DA15981435B9DF1CA" hidden="1">#REF!</definedName>
    <definedName name="BO9380D60848C14C40AF62504ECB1E7494" hidden="1">#REF!</definedName>
    <definedName name="BO938A4B7AAF8C4C96A087284B5062E000" hidden="1">#REF!</definedName>
    <definedName name="BO938BE720E9AC42A6AAD4DFFD59CDFF1D" hidden="1">#REF!</definedName>
    <definedName name="BO939203EB450D497589737356F60C1600" hidden="1">#REF!</definedName>
    <definedName name="BO939BE0E7CCF14418B852F4A3F213F2E5" hidden="1">#REF!</definedName>
    <definedName name="BO93A8C9AEAC104485B72AB4A8588CF02C" hidden="1">#REF!</definedName>
    <definedName name="BO93AEA742034E4ABCB08C941EAA66DD28" hidden="1">#REF!</definedName>
    <definedName name="BO93C244161DE44BB285C378A289CB1A5E" hidden="1">#REF!</definedName>
    <definedName name="BO93D642C8AB4C49CA89BF2E90D727A092" hidden="1">#REF!</definedName>
    <definedName name="BO93D8A1FCE6BB450BBFC400D8CAA636F7" hidden="1">#REF!</definedName>
    <definedName name="BO93D8D63649A34201A12B5069133C7853" hidden="1">#REF!</definedName>
    <definedName name="BO93E7F653EBA24C63BE0CE921A5E6D30E" hidden="1">#REF!</definedName>
    <definedName name="BO93ED178E06354794885A372394D46594" hidden="1">#REF!</definedName>
    <definedName name="BO93EE2CA582074CA19B93ED0B26423FB6" hidden="1">#REF!</definedName>
    <definedName name="BO93F358F093E84C7DAB9056BA4978A3DE" hidden="1">#REF!</definedName>
    <definedName name="BO93F7460CDAB1400691207BE90A44763A" hidden="1">#REF!</definedName>
    <definedName name="BO93F8F2274A9A4C7784A4B1E423BE505E" hidden="1">#REF!</definedName>
    <definedName name="BO93FD8187B640444EAB8D42E8B40EFC78" hidden="1">#REF!</definedName>
    <definedName name="BO94107BBC763244E7A65D0E18D072346C" hidden="1">#REF!</definedName>
    <definedName name="BO9412A6115F5D427FA8B45C28C2CADDCA" hidden="1">#REF!</definedName>
    <definedName name="BO9413362FA75E47F0B1B1BA89831C2247" hidden="1">#REF!</definedName>
    <definedName name="BO9416389CAE31459BAD3F630E6A06F6DB" hidden="1">#REF!</definedName>
    <definedName name="BO9416841FA96D457395F3EE23D809B37D" hidden="1">#REF!</definedName>
    <definedName name="BO9419B48546574C67AD0235D545ACAD43" hidden="1">#REF!</definedName>
    <definedName name="BO9419F2DB3E1C4AC1B9643171CCB39DD4" hidden="1">#REF!</definedName>
    <definedName name="BO94240A9E4F524DEB9D99E08C462C27D8" hidden="1">#REF!</definedName>
    <definedName name="BO942AD60B245B4C44985FBE7C74F19F05" hidden="1">#REF!</definedName>
    <definedName name="BO943619402EBD4662A3A8CBEB8C4063C8" hidden="1">#REF!</definedName>
    <definedName name="BO945C865F992A40AAA1DC83B5DBF55357" hidden="1">#REF!</definedName>
    <definedName name="BO946280B4D2A8413FB6C470352D49EC34" hidden="1">#REF!</definedName>
    <definedName name="BO9465E6ED93B84AF0BFD75BBF57C925B6" hidden="1">#REF!</definedName>
    <definedName name="BO94679B9E39F64837A52948F90CFC1145" hidden="1">#REF!</definedName>
    <definedName name="BO946D3E10749E4117AFC0DDFC98FF1408" hidden="1">#REF!</definedName>
    <definedName name="BO946D970A7F9A4048A9747D70DCEAFC01" hidden="1">#REF!</definedName>
    <definedName name="BO94755FBA8732460380218E7111D64777" hidden="1">#REF!</definedName>
    <definedName name="BO94930BC264264703A1402F3B00C4A8A7" hidden="1">#REF!</definedName>
    <definedName name="BO9496263076F7453E9ED7B3A02B91D90A" hidden="1">#REF!</definedName>
    <definedName name="BO949DCD0B4FD741B68F208B1F366704AD" hidden="1">#REF!</definedName>
    <definedName name="BO94AD04CAB56C44F880649B9FB4CAEDF8" hidden="1">#REF!</definedName>
    <definedName name="BO94B32BA024A6438EBEF45312277DD230" hidden="1">#REF!</definedName>
    <definedName name="BO94B8F9834DE14110B0C3AA142DD67203" hidden="1">#REF!</definedName>
    <definedName name="BO94C19A04005442199E29E395FF821134" hidden="1">#REF!</definedName>
    <definedName name="BO94CA78325B1C43C7B3457F984B5AE4EC" hidden="1">#REF!</definedName>
    <definedName name="BO94CB9D3B8E8B4F9582A994418A4DC02E" hidden="1">#REF!</definedName>
    <definedName name="BO94D39FFDF3C54840B108B1E54F2BF3BF" hidden="1">#REF!</definedName>
    <definedName name="BO94E35FC46E7644FE8E6E5B4D4D0B35D1" hidden="1">#REF!</definedName>
    <definedName name="BO94EFF135B9414B65A5494C1FADD5220B" hidden="1">#REF!</definedName>
    <definedName name="BO950216CFEF0B42629D0395A1BD3F63D6" hidden="1">#REF!</definedName>
    <definedName name="BO95164E67CC654893BADFEFD53AA79D45" hidden="1">#REF!</definedName>
    <definedName name="BO9519530311DD4FC2BDE2E22E53EEF39E" hidden="1">#REF!</definedName>
    <definedName name="BO951C3DF72B8D4A4093D9EC730032EB91" hidden="1">#REF!</definedName>
    <definedName name="BO951D2C7735CE4211B3BB09971719C764" hidden="1">#REF!</definedName>
    <definedName name="BO9520931ADBA04306A86352248A6BEAE1" hidden="1">#REF!</definedName>
    <definedName name="BO952C8718AFE54AD7A30CB822848CBA16" hidden="1">#REF!</definedName>
    <definedName name="BO953DEB0B95E744DEB064568745F9CA2D" hidden="1">#REF!</definedName>
    <definedName name="BO9542E7AD0BA84930BBAE864B042CB9BF" hidden="1">#REF!</definedName>
    <definedName name="BO95461B908C584485B0FE6F80505C336E" hidden="1">#REF!</definedName>
    <definedName name="BO9548AFBDA6E14DE78BA6827EDEA47344" hidden="1">#REF!</definedName>
    <definedName name="BO954C04532FE543398BC8381DE512AF5D" hidden="1">#REF!</definedName>
    <definedName name="BO954CFE1717F44CC1B4BD75521D1E1580" hidden="1">#REF!</definedName>
    <definedName name="BO954F5784C7EE48FBA79A5EBF2C2D56E2" hidden="1">#REF!</definedName>
    <definedName name="BO9555BB16265C4DA4AE965B4FE1FB15D8" hidden="1">#REF!</definedName>
    <definedName name="BO955D7CC7419E427E9331E9D2A7A7806A" hidden="1">#REF!</definedName>
    <definedName name="BO95694821E40E42BEA77114D8B33D78F9" hidden="1">#REF!</definedName>
    <definedName name="BO957C10D29A0B40E9AF4A1C41A9BB32E5" hidden="1">#REF!</definedName>
    <definedName name="BO959D00FDCE1A4D95AA757211B53213FC" hidden="1">#REF!</definedName>
    <definedName name="BO95B7C906FDC04D2288C5ADB54B0094D7" hidden="1">#REF!</definedName>
    <definedName name="BO95C0D13E9442418C89B46105490BE4A6" hidden="1">#REF!</definedName>
    <definedName name="BO95C1A5B1E9F94C39A611FE27E878B8D2" hidden="1">#REF!</definedName>
    <definedName name="BO95C8CE58C5AE4FD29FBA6434831B21EC" hidden="1">#REF!</definedName>
    <definedName name="BO95CC9E069F2940D5A71C73D4ED3B0AB5" hidden="1">#REF!</definedName>
    <definedName name="BO95CD154C598345FAAE4F8587274FF86F" hidden="1">#REF!</definedName>
    <definedName name="BO95CE26F3379042A48DB0682F66E6C80A" hidden="1">#REF!</definedName>
    <definedName name="BO95D7B44EE59944CCAFEC831E3A7D436B" hidden="1">#REF!</definedName>
    <definedName name="BO95E7F90CD69C4B8B8205ABD25822C1F7" hidden="1">#REF!</definedName>
    <definedName name="BO95FB50A4E5B6456CBB83EC5C2D6EA2D9" hidden="1">#REF!</definedName>
    <definedName name="BO9601E42E0F2146AC8E8A151D6F073EF8" hidden="1">#REF!</definedName>
    <definedName name="BO961439AAB43F46EA8C5E360DD985055E" hidden="1">#REF!</definedName>
    <definedName name="BO9615C35C78AF4D6888060CE2E8E29681" hidden="1">#REF!</definedName>
    <definedName name="BO961E3655AFA749BE8E6875C24AACE624" hidden="1">#REF!</definedName>
    <definedName name="BO962BD8C510064962A49EF68B4C37F0B0" hidden="1">#REF!</definedName>
    <definedName name="BO9641C447A7D14667A443CC9EAAB06DDA" hidden="1">#REF!</definedName>
    <definedName name="BO964BAB7D7F9847C8938FE29286D3F337" hidden="1">#REF!</definedName>
    <definedName name="BO964D8797B21D4294BEDF3514B94D4AE4" hidden="1">#REF!</definedName>
    <definedName name="BO965C4C3595B942D3B6CAB4D9A6D83566" hidden="1">#REF!</definedName>
    <definedName name="BO965D761D6F774374BA7E264A4426D70C" hidden="1">#REF!</definedName>
    <definedName name="BO9662615A68534F15A976693F7C28EF0B" hidden="1">#REF!</definedName>
    <definedName name="BO96667F3901924EF1B81394C462A8903B" hidden="1">#REF!</definedName>
    <definedName name="BO966921C38713484CB11E4FA4BB1FBB16" hidden="1">#REF!</definedName>
    <definedName name="BO966A6A432EBA4CEA8D4C251EDE05C5D3" hidden="1">#REF!</definedName>
    <definedName name="BO966DB1F54AED45828261AFB38B5B242A" hidden="1">#REF!</definedName>
    <definedName name="BO967D54F5919749769ED9E9DAE7FA98FE" hidden="1">#REF!</definedName>
    <definedName name="BO9681D3E9874F47FB9CC060DF4BE53AA9" hidden="1">#REF!</definedName>
    <definedName name="BO968AA625035F450BA6B7AF3597F8CD3A" hidden="1">#REF!</definedName>
    <definedName name="BO968C04BEE84E4FC480499B5BD8696A7A" hidden="1">#REF!</definedName>
    <definedName name="BO968F62ADC3FD43E18991B52E8CB67ED5" hidden="1">#REF!</definedName>
    <definedName name="BO969C461778BD42C79A7C593FA43AE827" hidden="1">#REF!</definedName>
    <definedName name="BO969DD6715ABC424298A4F526D7759015" hidden="1">#REF!</definedName>
    <definedName name="BO96ABE2DFB44A4825B348565025F77059" hidden="1">#REF!</definedName>
    <definedName name="BO96AD79758A7F403F8EF66239FC1D0480" hidden="1">#REF!</definedName>
    <definedName name="BO96C0C5045A1E41DEA32BEF66C1C05910" hidden="1">#REF!</definedName>
    <definedName name="BO96C2F64F7E5A4587A55EA5EBFFA28431" hidden="1">#REF!</definedName>
    <definedName name="BO96C83CD11E224094A783B29409F3CC6F" hidden="1">#REF!</definedName>
    <definedName name="BO970777A0762D43DFAB7DF179B49DD524" hidden="1">#REF!</definedName>
    <definedName name="BO970C30B06001457386E451FC4532A52E" hidden="1">#REF!</definedName>
    <definedName name="BO971205F145ED483684B57D3C54AD8DF7" hidden="1">#REF!</definedName>
    <definedName name="BO972B5F951ACC4BAAA2F5DD1B26A5DADA" hidden="1">#REF!</definedName>
    <definedName name="BO972FAB5FB8874C0184521A6A593E2DF0" hidden="1">#REF!</definedName>
    <definedName name="BO972FADA90A0F47328AE99686601BF48A" hidden="1">#REF!</definedName>
    <definedName name="BO9742B912C42A4F229505520C0D111AD3" hidden="1">#REF!</definedName>
    <definedName name="BO97433F45EE3444D58E0E82EE93E9471F" hidden="1">#REF!</definedName>
    <definedName name="BO97526DC9788B4ADE9F1894559A4F2AC9" hidden="1">#REF!</definedName>
    <definedName name="BO975979A0306544509D720F995D9B4522" hidden="1">#REF!</definedName>
    <definedName name="BO975B37AA8CF54C1E9559135A542B04F4" hidden="1">#REF!</definedName>
    <definedName name="BO9766E5EA4CDD49E4B1521B37EC046548" hidden="1">#REF!</definedName>
    <definedName name="BO976861FEA5C34ECC98FE4A8CA866D409" hidden="1">#REF!</definedName>
    <definedName name="BO97715050DD76470A9386027F4B70E0C5" hidden="1">#REF!</definedName>
    <definedName name="BO977325821A37494098B593807BBD4B63" hidden="1">#REF!</definedName>
    <definedName name="BO977343953C654A88A3ED45A7CE279013" hidden="1">#REF!</definedName>
    <definedName name="BO97889E3F3771412F91153318A9CE317B" hidden="1">#REF!</definedName>
    <definedName name="BO978FCDF6665644929CE52B9685A5D310" hidden="1">#REF!</definedName>
    <definedName name="BO979F8FBDC9FA4923981D5D89BC1A6F04" hidden="1">#REF!</definedName>
    <definedName name="BO97A1A28B8546474F8A7F549C4261D64F" hidden="1">#REF!</definedName>
    <definedName name="BO97A3706391E24C749B2C447A565399B3" hidden="1">#REF!</definedName>
    <definedName name="BO97A543FF47DA426DA58FC220DE56AB95" hidden="1">#REF!</definedName>
    <definedName name="BO97B2331A8F1643BA8F2547BE8BF3DB0C" hidden="1">#REF!</definedName>
    <definedName name="BO97BB72FB4DD0468687D1339FC954B079" hidden="1">#REF!</definedName>
    <definedName name="BO97F83CBB3D0049C39E1C59EF1EF05D50" hidden="1">#REF!</definedName>
    <definedName name="BO97F8864E2A9C42D6BEE691ACF9F6E81B" hidden="1">#REF!</definedName>
    <definedName name="BO97FA6BB707F740268794B8722D553854" hidden="1">#REF!</definedName>
    <definedName name="BO98015D339A7449289A51B7770F8C539C" hidden="1">#REF!</definedName>
    <definedName name="BO982607832CC44F50B65EE19CF367BDB3" hidden="1">#REF!</definedName>
    <definedName name="BO98300226542D4DD4814F18C52A66F6E1" hidden="1">#REF!</definedName>
    <definedName name="BO98343311F91D4A8AAB3D2838F6992C92" hidden="1">#REF!</definedName>
    <definedName name="BO983590A896E246A0AF2157CC3CBC044E" hidden="1">#REF!</definedName>
    <definedName name="BO984819F0E0DB462FBFEBBBFC27B5CFC3" hidden="1">#REF!</definedName>
    <definedName name="BO9850D7291BF1454EB025C0CCEFBD1457" hidden="1">#REF!</definedName>
    <definedName name="BO9851D25BC9AE47798AAB215A3E7811F8" hidden="1">#REF!</definedName>
    <definedName name="BO98554AB31CAE4C46A78A5DA75971DC4D" hidden="1">#REF!</definedName>
    <definedName name="BO9857E6A1FED24A368C92D0B900B48454" hidden="1">#REF!</definedName>
    <definedName name="BO986DACF1647F41FA845A9E30A1421B3F" hidden="1">#REF!</definedName>
    <definedName name="BO9874C8CC159545A19FD8CE1B0292606A" hidden="1">#REF!</definedName>
    <definedName name="BO9878BEC7346C47E2A643B56DA17004EE" hidden="1">#REF!</definedName>
    <definedName name="BO987C7670C9924BC2BF27DB28FE3C5BA5" hidden="1">#REF!</definedName>
    <definedName name="BO9889B04DD9BB463391D46AE57A9A7999" hidden="1">#REF!</definedName>
    <definedName name="BO988BE4B6E54E47AEADA52CCA17922E8E" hidden="1">#REF!</definedName>
    <definedName name="BO989136267D4B4D2092A736653D6B104A" hidden="1">#REF!</definedName>
    <definedName name="BO9896CA2A53324C7E80AF3C86E675BB5F" hidden="1">#REF!</definedName>
    <definedName name="BO989EBA084FB54D2887ECA62C7482BD73" hidden="1">#REF!</definedName>
    <definedName name="BO98A78CD3A8AA418C9FA0E60B39C0F791" hidden="1">#REF!</definedName>
    <definedName name="BO98A7EEF181A241FCA86BDC8F00B6526C" hidden="1">#REF!</definedName>
    <definedName name="BO98B6C41D8E054CE0B8C6DD9946035BDD" hidden="1">#REF!</definedName>
    <definedName name="BO98BA350E51B74F31AB0ECF8981B2D0CA" hidden="1">#REF!</definedName>
    <definedName name="BO98CB56A0EF4A42EDBDC2BA8337270B36" hidden="1">#REF!</definedName>
    <definedName name="BO98CFEF8BBE6F40AE9ECF6B9524436983" hidden="1">#REF!</definedName>
    <definedName name="BO98E003BAC9D14DEB830E161084DD112B" hidden="1">#REF!</definedName>
    <definedName name="BO98FB4FAB84864CBFAD2548534B615DD9" hidden="1">#REF!</definedName>
    <definedName name="BO98FCBD9841DB4569A42EAACC22C5C1B9" hidden="1">#REF!</definedName>
    <definedName name="BO990A8F3180694539939E3F1063A2C4FE" hidden="1">#REF!</definedName>
    <definedName name="BO991F3CDC2D6D4521A0470EEA16380B40" hidden="1">#REF!</definedName>
    <definedName name="BO992223C27450478E8C18FA80A05A4042" hidden="1">#REF!</definedName>
    <definedName name="BO9935843B69F84E4193247DE89B7F6253" hidden="1">#REF!</definedName>
    <definedName name="BO9940BCE0460C4AE98FC4CA68BDECD822" hidden="1">#REF!</definedName>
    <definedName name="BO994528F32B85435F824C8AAAAE4AA87C" hidden="1">#REF!</definedName>
    <definedName name="BO994C60C5B7FD481490DD22A6FE5FAFF2" hidden="1">#REF!</definedName>
    <definedName name="BO994D532289974F4EB218A50A632839E0" hidden="1">#REF!</definedName>
    <definedName name="BO99518804CD09445DBC9F2843A4498180" hidden="1">#REF!</definedName>
    <definedName name="BO9958BD41D3734822A7F6985C9F87E966" hidden="1">#REF!</definedName>
    <definedName name="BO995A217A46C54E1A96F96F3309A7D7F1" hidden="1">#REF!</definedName>
    <definedName name="BO9960B3647C024BDF930FA71DDFC689C6" hidden="1">#REF!</definedName>
    <definedName name="BO998819982DC14CF8B1F3F01BA8CB67A8" hidden="1">#REF!</definedName>
    <definedName name="BO998F4022BA194AB1B41533DC4D7159E4" hidden="1">#REF!</definedName>
    <definedName name="BO99A67829393548F6ADE97BA9879FF375" hidden="1">#REF!</definedName>
    <definedName name="BO99A6BB12BC0741DE9CD5B7FBB2E1A6C8" hidden="1">#REF!</definedName>
    <definedName name="BO99ABC564BC6C4A7AB93E429AC0D0C4B2" hidden="1">#REF!</definedName>
    <definedName name="BO99AC6189C0E9450395DF8928785A5AB7" hidden="1">#REF!</definedName>
    <definedName name="BO99AEA6239AA8490497769A0F787DA53E" hidden="1">#REF!</definedName>
    <definedName name="BO99B1C7FD469C430488984DD8AABC59CF" hidden="1">#REF!</definedName>
    <definedName name="BO99C6AF40142D48A78D3DDD6E3724F823" hidden="1">#REF!</definedName>
    <definedName name="BO99D05D2CE52D44188244A52958214A73" hidden="1">#REF!</definedName>
    <definedName name="BO99D2692BA5C542F79A1B9F48600FA827" hidden="1">#REF!</definedName>
    <definedName name="BO99D4BCC0D149492A86132A1BCFDC8F57" hidden="1">#REF!</definedName>
    <definedName name="BO99D52FB1C14344C1833FBCF78AEE564B" hidden="1">#REF!</definedName>
    <definedName name="BO99D97A52305D4B3993681F1B6DBF8F00" hidden="1">#REF!</definedName>
    <definedName name="BO99E40DD4BEA14D0BA6E33FDE61C7AD6F" hidden="1">#REF!</definedName>
    <definedName name="BO99EDF72886DD4BF9BA3E9252EDC834DA" hidden="1">#REF!</definedName>
    <definedName name="BO99FD01F6F2B9413493C2AECE4D70AC58" hidden="1">#REF!</definedName>
    <definedName name="BO99FD2198D8A94BBA9233C9F154A2A339" hidden="1">#REF!</definedName>
    <definedName name="BO99FF8454B71E455F8A845CF9685C18BC" hidden="1">#REF!</definedName>
    <definedName name="BO9A01304883BD4F1580044D5FBEC8E529" hidden="1">#REF!</definedName>
    <definedName name="BO9A1497D34A1D415B9D6867DD858D5D3D" hidden="1">#REF!</definedName>
    <definedName name="BO9A154EF4D58B49A6B7E57EDD957CD7A8" hidden="1">#REF!</definedName>
    <definedName name="BO9A1DEDBCD7B4461FA70EA8C5E9EFE807" hidden="1">#REF!</definedName>
    <definedName name="BO9A35AD9FEB044804A64639418DA8CD5B" hidden="1">#REF!</definedName>
    <definedName name="BO9A3EA148DA534FF9A4602BDAD0021405" hidden="1">#REF!</definedName>
    <definedName name="BO9A4155EEDED24AEF8C8DC5EE416C1DD8" hidden="1">#REF!</definedName>
    <definedName name="BO9A4B979D1AE842FCB5082E5BABC72117" hidden="1">#REF!</definedName>
    <definedName name="BO9A4DF981E5FB4BDEBF93DF5F65A169BC" hidden="1">#REF!</definedName>
    <definedName name="BO9A565A3C3BEC4D02A097298EF71447BF" hidden="1">#REF!</definedName>
    <definedName name="BO9A5E9518EECB4BD4BDA17EF5B50C4BD2" hidden="1">#REF!</definedName>
    <definedName name="BO9A615445564B44D3A4937D4F7C89A692" hidden="1">#REF!</definedName>
    <definedName name="BO9A616941E8B64B11B039534DAFF8CC4D" hidden="1">#REF!</definedName>
    <definedName name="BO9A730082ADA64EF59269A70A6BAF6745" hidden="1">#REF!</definedName>
    <definedName name="BO9A79C8CAE07944AC8BFBFCC7A709A467" hidden="1">#REF!</definedName>
    <definedName name="BO9A7D34DB1CF34C90B8A571F2AF4FF47F" hidden="1">#REF!</definedName>
    <definedName name="BO9A7EA7D7DE15469491816D4DB3DE3270" hidden="1">#REF!</definedName>
    <definedName name="BO9A859B2E73A540BA873BDB8F4BD6A981" hidden="1">#REF!</definedName>
    <definedName name="BO9A9C0FACAED344ADAEA8EB5A72B35BBF" hidden="1">#REF!</definedName>
    <definedName name="BO9AAFAAB284F44D59A829CFEECBCEC565" hidden="1">#REF!</definedName>
    <definedName name="BO9AB8D4A8F9664B02AE8FCF463AFE3C25" hidden="1">#REF!</definedName>
    <definedName name="BO9ABD2A29BBD9421993BE32D3F19B5C57" hidden="1">#REF!</definedName>
    <definedName name="BO9ABDE510F18F43099A55FCB92265C440" hidden="1">#REF!</definedName>
    <definedName name="BO9ABDEA7844264934AA24AB5743A2253B" hidden="1">#REF!</definedName>
    <definedName name="BO9ABF270B1BCA4FF890DE8BC9BB71B076" hidden="1">#REF!</definedName>
    <definedName name="BO9AC27525C34A426BBAED969BF63AD550" hidden="1">#REF!</definedName>
    <definedName name="BO9AC5927BDD604EC282DB2104F86B5FC7" hidden="1">#REF!</definedName>
    <definedName name="BO9AC69F373CD44F119284FF2C6012EBDF" hidden="1">#REF!</definedName>
    <definedName name="BO9ACBC6EA81E84AF3B1751D93D7590A70" hidden="1">#REF!</definedName>
    <definedName name="BO9ADE0FC246644675BB4A154C58A069FC" hidden="1">#REF!</definedName>
    <definedName name="BO9ADEA2F5EF8B437A826FAE67EE9E9A7E" hidden="1">#REF!</definedName>
    <definedName name="BO9AE358091CCD41EC90B5C9B038F636B7" hidden="1">#REF!</definedName>
    <definedName name="BO9AE8106D937D44BA979C0547DA549A4C" hidden="1">#REF!</definedName>
    <definedName name="BO9AF56565690543E0B343684F8D78AC7F" hidden="1">#REF!</definedName>
    <definedName name="BO9B037037A3414243B7821E47C67E83EE" hidden="1">#REF!</definedName>
    <definedName name="BO9B0A049201764FC88128A5B54570C992" hidden="1">#REF!</definedName>
    <definedName name="BO9B0DE4C93A8D4752A30013EFA3CCFAAA" hidden="1">#REF!</definedName>
    <definedName name="BO9B1AD9DA2E224141AB9071C8D841CD60" hidden="1">#REF!</definedName>
    <definedName name="BO9B1F53CA2C1440BFA32C9A136AD024B9" hidden="1">#REF!</definedName>
    <definedName name="BO9B25C2FC317040C0B3CFD8CC37E0DC0E" hidden="1">#REF!</definedName>
    <definedName name="BO9B410EE8A20E447194DAE5180BE40223" hidden="1">#REF!</definedName>
    <definedName name="BO9B4327DEA3B845C1BFC58A2192FE036D" hidden="1">#REF!</definedName>
    <definedName name="BO9B43B94883F446D289F6359ACE149BE6" hidden="1">#REF!</definedName>
    <definedName name="BO9B494E7000504864810A14C357C90E89" hidden="1">#REF!</definedName>
    <definedName name="BO9B521D5AF21F41B3A4E4A0391B8F1BA2" hidden="1">#REF!</definedName>
    <definedName name="BO9B523CE587CE419C9B9F4CA25D21D2E1" hidden="1">#REF!</definedName>
    <definedName name="BO9B63A01E2C9140A0BC98DD4820D278ED" hidden="1">#REF!</definedName>
    <definedName name="BO9B6606D0DCA64556810CCE28B455B28B" hidden="1">#REF!</definedName>
    <definedName name="BO9B6922325459437C895790770B014CE5" hidden="1">#REF!</definedName>
    <definedName name="BO9B6F3E293DCA4C209E8A90B519B5A9EF" hidden="1">#REF!</definedName>
    <definedName name="BO9B75825146084F11A18130F67BA3E483" hidden="1">#REF!</definedName>
    <definedName name="BO9B83C58AEF7E4DAD892BDFAD1A7B72D7" hidden="1">#REF!</definedName>
    <definedName name="BO9B938741F9554A8FB3926C8D555197FC" hidden="1">#REF!</definedName>
    <definedName name="BO9B99B967C6E34C60AC2DE2B01969E12C" hidden="1">#REF!</definedName>
    <definedName name="BO9BB23C1BF95F4B6EB69F194E69E08C96" hidden="1">#REF!</definedName>
    <definedName name="BO9BB29FDECC384E2CA43124486A79AA11" hidden="1">#REF!</definedName>
    <definedName name="BO9BB52229A9814080A5ABEC2F0543ED9F" hidden="1">#REF!</definedName>
    <definedName name="BO9BC0AF0B6A714E2FA300E1C9BB19F12E" hidden="1">#REF!</definedName>
    <definedName name="BO9BC6BFA6EF0645AC8B96D0EABE961AF7" hidden="1">#REF!</definedName>
    <definedName name="BO9BD5A45DC1904FD48736398BF3780966" hidden="1">#REF!</definedName>
    <definedName name="BO9BDE2FF542F141A3BAF588D6DE374459" hidden="1">#REF!</definedName>
    <definedName name="BO9BE865E321164829B92730A366F6FC08" hidden="1">#REF!</definedName>
    <definedName name="BO9BEAD0D93531450C9BE15B1234485455" hidden="1">#REF!</definedName>
    <definedName name="BO9BF246419FEB45269E1B88D04FCBB032" hidden="1">#REF!</definedName>
    <definedName name="BO9BFD3CF6A1834572B1AA4D2D0A62ABB5" hidden="1">#REF!</definedName>
    <definedName name="BO9C09642873E74AA68B825D0C1E14FC26" hidden="1">#REF!</definedName>
    <definedName name="BO9C142078F7654238B959C7CA2E086DEA" hidden="1">#REF!</definedName>
    <definedName name="BO9C15A540915D46E981F1A31DE3082051" hidden="1">#REF!</definedName>
    <definedName name="BO9C1E0AC51D1E4E5F8479E1DFDAB1CE24" hidden="1">#REF!</definedName>
    <definedName name="BO9C37EB8887A349C39FBF9079E1CF5482" hidden="1">#REF!</definedName>
    <definedName name="BO9C4B82D926104537B099015465DEEBFD" hidden="1">#REF!</definedName>
    <definedName name="BO9C6C9D095957449BA9C393FCDC870C94" hidden="1">#REF!</definedName>
    <definedName name="BO9C6D0311CC30440BAAA5585F62A37E67" hidden="1">#REF!</definedName>
    <definedName name="BO9C6FFDC140E2483FBC98065339B8DEC3" hidden="1">#REF!</definedName>
    <definedName name="BO9C75C0445588492C83BF84A433FEC042" hidden="1">#REF!</definedName>
    <definedName name="BO9C8B117A38D54D97A7391CB768254EE5" hidden="1">#REF!</definedName>
    <definedName name="BO9C93E2823FD940528BD2EEFB4F0AAFA5" hidden="1">#REF!</definedName>
    <definedName name="BO9C9C9434E7D941388D7DC122CB2E6241" hidden="1">#REF!</definedName>
    <definedName name="BO9CAD0470B79C466C90F403070A4A1C84" hidden="1">#REF!</definedName>
    <definedName name="BO9CBD5BCBDCA845CAB6F438B4652ED719" hidden="1">#REF!</definedName>
    <definedName name="BO9CC31790EC9042F387F52CD4BC55CD3D" hidden="1">#REF!</definedName>
    <definedName name="BO9CC43FF03BC4420C882656044F832480" hidden="1">#REF!</definedName>
    <definedName name="BO9CC811AC6A1548D49D05E45C23D86094" hidden="1">#REF!</definedName>
    <definedName name="BO9CE89903BC7846E282297CE609F00989" hidden="1">#REF!</definedName>
    <definedName name="BO9CEE3EFC4A644BA0A36751F141BBDBCE" hidden="1">#REF!</definedName>
    <definedName name="BO9CF8733E0E9B4C9695D4CB8DEB1B2A63" hidden="1">#REF!</definedName>
    <definedName name="BO9CFD23EB7B3E47BAA938FF35E1C87759" hidden="1">#REF!</definedName>
    <definedName name="BO9D02480314024DC5844E91765CF5B284" hidden="1">#REF!</definedName>
    <definedName name="BO9D109B72737F4A518ED6D41946C52856" hidden="1">#REF!</definedName>
    <definedName name="BO9D12D423E90D417EB559889B82EFDAC4" hidden="1">#REF!</definedName>
    <definedName name="BO9D1B2CCF41D543A5BA7C48D6608251B3" hidden="1">#REF!</definedName>
    <definedName name="BO9D20E77989F5474B8BEFA5CB7EE0A1E5" hidden="1">#REF!</definedName>
    <definedName name="BO9D2D2B302129497F878FD7EAA993654F" hidden="1">#REF!</definedName>
    <definedName name="BO9D345AA66C77483392E28F4BCFB7B4D0" hidden="1">#REF!</definedName>
    <definedName name="BO9D34F9EB53D742919B32CDDA2698C3E0" hidden="1">#REF!</definedName>
    <definedName name="BO9D4DC39D4FF24A0AA9E8CE82C87F4346" hidden="1">#REF!</definedName>
    <definedName name="BO9D4EDE75A548420489B48ADD7AA95547" hidden="1">#REF!</definedName>
    <definedName name="BO9D4FB594999B43B2868344ADE269A1C8" hidden="1">#REF!</definedName>
    <definedName name="BO9D529B63C5534EFC9FB8FC0A6E8298C2" hidden="1">#REF!</definedName>
    <definedName name="BO9D67039B85554B078F61BB69F5E26ABD" hidden="1">#REF!</definedName>
    <definedName name="BO9D8AA126E13F451D9E7C6400DED0C3D6" hidden="1">#REF!</definedName>
    <definedName name="BO9D903747DB6D43C68ED6D75BF58A43F8" hidden="1">#REF!</definedName>
    <definedName name="BO9D9461F16BB04CD78F900DAF39F7EE89" hidden="1">#REF!</definedName>
    <definedName name="BO9D94B87E3F0B42ADA7A9718851630191" hidden="1">#REF!</definedName>
    <definedName name="BO9DC4FC0DB58145B2BD576FEB2D9AD980" hidden="1">#REF!</definedName>
    <definedName name="BO9DCA4A0F41B8474CBB7CC058B326A76C" hidden="1">#REF!</definedName>
    <definedName name="BO9DD270EFD3CD4329A12C4517D1ED66EF" hidden="1">#REF!</definedName>
    <definedName name="BO9DDB87FE27D54A6E8A995BCB2B81E3E3" hidden="1">#REF!</definedName>
    <definedName name="BO9DE27444CCD043F7B6EDEF79BD71EEB6" hidden="1">#REF!</definedName>
    <definedName name="BO9E12E6D31D474F919EABC001611748B2" hidden="1">#REF!</definedName>
    <definedName name="BO9E16A8851FE44C2FB1D17B10464355F1" hidden="1">#REF!</definedName>
    <definedName name="BO9E17E62564144996B7E164CD66C3B358" hidden="1">#REF!</definedName>
    <definedName name="BO9E1D3A0EF11A4600BB680D11CC493B06" hidden="1">#REF!</definedName>
    <definedName name="BO9E2C34FC57304FA4B063DBC82CE165F3" hidden="1">#REF!</definedName>
    <definedName name="BO9E335318CA6D466EA0F11F178866E141" hidden="1">#REF!</definedName>
    <definedName name="BO9E3B91E074D6468EA755704E62D320EF" hidden="1">#REF!</definedName>
    <definedName name="BO9E4A69ED026E41A4A81E1A8769660BC7" hidden="1">#REF!</definedName>
    <definedName name="BO9E4C962490D34C39B32C733688006132" hidden="1">#REF!</definedName>
    <definedName name="BO9E60A5C24A6744288EA49B5A054054E6" hidden="1">#REF!</definedName>
    <definedName name="BO9E60F5E9139A4154939A2D8334010065" hidden="1">#REF!</definedName>
    <definedName name="BO9E6CE0059E3C4C61BCD7CB3DF7885667" hidden="1">#REF!</definedName>
    <definedName name="BO9E70753276B74B0994FD26EE3F3689CC" hidden="1">#REF!</definedName>
    <definedName name="BO9E801FA207C74C7FA17A33923A8CA6ED" hidden="1">#REF!</definedName>
    <definedName name="BO9E8F56F9925D45A395409973311962A9" hidden="1">#REF!</definedName>
    <definedName name="BO9E9175C084D64AA9869C1CCEC9C1328E" hidden="1">#REF!</definedName>
    <definedName name="BO9E976D1CBD154742A339100E81C3659C" hidden="1">#REF!</definedName>
    <definedName name="BO9EA07DF02D604F2CA7678368E11402DA" hidden="1">#REF!</definedName>
    <definedName name="BO9EA65116C4874DCE99E70373145A8F0E" hidden="1">#REF!</definedName>
    <definedName name="BO9EAA12AD2D0E4448A7C8AFAB08A6BF2A" hidden="1">#REF!</definedName>
    <definedName name="BO9EC3E8BAA9AE4D86A97D93025AA17025" hidden="1">#REF!</definedName>
    <definedName name="BO9EC452A3F0884BB9B3C0D50EDF759402" hidden="1">#REF!</definedName>
    <definedName name="BO9ED4B6DDAB29403DAB3171134112609F" hidden="1">#REF!</definedName>
    <definedName name="BO9ED97210C61943E4987E5B76E8245648" hidden="1">#REF!</definedName>
    <definedName name="BO9EDFC669CE0F443082A2C9E72DD5104D" hidden="1">#REF!</definedName>
    <definedName name="BO9EE5A40C868B4DEFBBA0015369B6F918" hidden="1">#REF!</definedName>
    <definedName name="BO9EF09F47E7AD4FEC97ADFDEB26B4D747" hidden="1">#REF!</definedName>
    <definedName name="BO9EF0DC6863AD4B75A577942480F8B1A7" hidden="1">#REF!</definedName>
    <definedName name="BO9EFEE6D846634B68A4A55D9C28F9A074" hidden="1">#REF!</definedName>
    <definedName name="BO9F097C79956045279407BE2A74BA77E0" hidden="1">#REF!</definedName>
    <definedName name="BO9F0A83BF17814CF1B54E2FF158B8F11E" hidden="1">#REF!</definedName>
    <definedName name="BO9F0D0C64C4664DCE9A95FAB572B3AFF9" hidden="1">#REF!</definedName>
    <definedName name="BO9F0FE2EB7ABE41BC8935F9C67B384CE4" hidden="1">#REF!</definedName>
    <definedName name="BO9F10ECFAE09F4F558754246C136637C2" hidden="1">#REF!</definedName>
    <definedName name="BO9F299768E9DF428087BBA862DAB57504" hidden="1">#REF!</definedName>
    <definedName name="BO9F30C3E7A14B4AA69D9199EC2329DA19" hidden="1">#REF!</definedName>
    <definedName name="BO9F35EF68A3984F44AF694B7D7EFDF400" hidden="1">#REF!</definedName>
    <definedName name="BO9F3815C59CD94487B9EEDEDBBFB9D5F9" hidden="1">#REF!</definedName>
    <definedName name="BO9F3A4AE9D55A4D16B6C257E6D4D706A9" hidden="1">#REF!</definedName>
    <definedName name="BO9F51BDC5AAF64E20B721575DE2926490" hidden="1">#REF!</definedName>
    <definedName name="BO9F587B242EEC4A32AE0FB7D80B93695D" hidden="1">#REF!</definedName>
    <definedName name="BO9F59F0CF054346C4A8B8071F63631632" hidden="1">#REF!</definedName>
    <definedName name="BO9F646D39CDE74F7CBF1FD85CE49F355F" hidden="1">#REF!</definedName>
    <definedName name="BO9F769FACCBC04F9F8063EA79472C0421" hidden="1">#REF!</definedName>
    <definedName name="BO9F77FA5560DD4B748ADC0D87FFD3C631" hidden="1">#REF!</definedName>
    <definedName name="BO9F7C553B6CB7402A977A72EDB28CF18B" hidden="1">#REF!</definedName>
    <definedName name="BO9F887FD6849F49D9AC6AB4D3CD65225C" hidden="1">#REF!</definedName>
    <definedName name="BO9F88E74E8FA9454194507C62BDD38B4C" hidden="1">#REF!</definedName>
    <definedName name="BO9F88FD5082FA4AB2A46F7939F463A781" hidden="1">#REF!</definedName>
    <definedName name="BO9F916FECEFA6451FA9FC8F431D8831D6" hidden="1">#REF!</definedName>
    <definedName name="BO9FA52B18E8F64006BB325E3D0DABA709" hidden="1">#REF!</definedName>
    <definedName name="BO9FB97496927A4E2881A5068E91A138AA" hidden="1">#REF!</definedName>
    <definedName name="BO9FD1FE04E4A44DBAA66287D8EAA6D691" hidden="1">#REF!</definedName>
    <definedName name="BO9FD5800BA7BF4CD2833F56BF64B17FDE" hidden="1">#REF!</definedName>
    <definedName name="BO9FD6A80880E14928B9751F707108B80D" hidden="1">#REF!</definedName>
    <definedName name="BO9FD9CCBF78BA40238DE953EEBECC9483" hidden="1">#REF!</definedName>
    <definedName name="BO9FDB5D88F35D41CC8829696BFBB49C62" hidden="1">#REF!</definedName>
    <definedName name="BO9FEACBD6B345412B9F3B8F8C935CBCDE" hidden="1">#REF!</definedName>
    <definedName name="BO9FF970A6066446D795155164CFD8F6F4" hidden="1">#REF!</definedName>
    <definedName name="BO9FFBC877F49C4970BF79331A907F9F59" hidden="1">#REF!</definedName>
    <definedName name="BO9FFFC27D381A442090D5EF53DE0DB117" hidden="1">#REF!</definedName>
    <definedName name="BOA003F64089C541088418A6675E5D4F2E" hidden="1">#REF!</definedName>
    <definedName name="BOA00499DFE0AD4D59A8EBD454682D4566" hidden="1">#REF!</definedName>
    <definedName name="BOA00880DB472548098F37346333C74D05" hidden="1">#REF!</definedName>
    <definedName name="BOA00A437FB37D42C082925B621039987F" hidden="1">#REF!</definedName>
    <definedName name="BOA01AFEFB19944AA7ADA3D3C3562A75AE" hidden="1">#REF!</definedName>
    <definedName name="BOA01C1304E20E4022809B91212D5C290C" hidden="1">#REF!</definedName>
    <definedName name="BOA01F47BE1F744DC68077D9E9859E20DB" hidden="1">#REF!</definedName>
    <definedName name="BOA025A1A7A93A4E19A3C564095AEB2AA8" hidden="1">#REF!</definedName>
    <definedName name="BOA040C52792D74D96B70DD108B0C73E9A" hidden="1">#REF!</definedName>
    <definedName name="BOA04179C8256F44A19D1E5207DE1D70E6" hidden="1">#REF!</definedName>
    <definedName name="BOA042FF813A194251B6C53BD0B889DD0E" hidden="1">#REF!</definedName>
    <definedName name="BOA043E51EFA3F442F95FCBAA021CD1FDA" hidden="1">#REF!</definedName>
    <definedName name="BOA04BB5B1ED1B419BB4F92E94E15DF689" hidden="1">#REF!</definedName>
    <definedName name="BOA051CE291D124DD3B30C2FE0A15AA4D8" hidden="1">#REF!</definedName>
    <definedName name="BOA052B9CF94274503A582CBD146A5D6D9" hidden="1">#REF!</definedName>
    <definedName name="BOA07BA99F6E984F378FFD1713BB865870" hidden="1">#REF!</definedName>
    <definedName name="BOA07DA9C9ECF64E58B820E1788E49C71D" hidden="1">#REF!</definedName>
    <definedName name="BOA07DD951DDDF4FE9969F28C0D641C385" hidden="1">#REF!</definedName>
    <definedName name="BOA0986713C3D24AA3B2115CF80A4DA0F5" hidden="1">#REF!</definedName>
    <definedName name="BOA09E84BC4ADF4944A8852B7DE8127ECE" hidden="1">#REF!</definedName>
    <definedName name="BOA0AD3AE8ED604DD4B7BCBD80F8D8B2E5" hidden="1">#REF!</definedName>
    <definedName name="BOA0AEBF8A366341D7909CF049E0E138F4" hidden="1">#REF!</definedName>
    <definedName name="BOA0BA6A9671A640468B314C2A00D0EF1D" hidden="1">#REF!</definedName>
    <definedName name="BOA0D1E6CC13894E4D938B2616CA0C9579" hidden="1">#REF!</definedName>
    <definedName name="BOA0D28D0B168046A08B0F7DC68B7A5B33" hidden="1">#REF!</definedName>
    <definedName name="BOA0D92B44B3AF4CC2B786187F992BC3DE" hidden="1">#REF!</definedName>
    <definedName name="BOA0EA6088DB204B369A978CDD15673181" hidden="1">#REF!</definedName>
    <definedName name="BOA0F23D93C6CB4E1394C3491A12FB918A" hidden="1">#REF!</definedName>
    <definedName name="BOA0FAB5E98F8F4DAF8BE79DE86C715B64" hidden="1">#REF!</definedName>
    <definedName name="BOA106979A8C734340A67B465554793DEC" hidden="1">#REF!</definedName>
    <definedName name="BOA10BBC0C79D043C6A8092D2E17BB2456" hidden="1">#REF!</definedName>
    <definedName name="BOA1178520C42A43C3A070D7384BF8763C" hidden="1">#REF!</definedName>
    <definedName name="BOA1225B1688F44712BC6B2AA19F86AD6F" hidden="1">#REF!</definedName>
    <definedName name="BOA12999E5B1F6425BBBF457431BB27AE8" hidden="1">#REF!</definedName>
    <definedName name="BOA133B53A1AE74BB1B8E32519A664FD6A" hidden="1">#REF!</definedName>
    <definedName name="BOA13DC474370242EEA0562E1E3B06B5D3" hidden="1">#REF!</definedName>
    <definedName name="BOA13EC368C4C648E19D1E947668E7F623" hidden="1">#REF!</definedName>
    <definedName name="BOA14670D35D0940AF9552B2571D36696B" hidden="1">#REF!</definedName>
    <definedName name="BOA15B3D509FBD48F5995D684F7D519199" hidden="1">#REF!</definedName>
    <definedName name="BOA15BEFD6D0224D1DB8D649FE16B4242E" hidden="1">#REF!</definedName>
    <definedName name="BOA16355018B0A4FB4B011DEA8FDEAB682" hidden="1">#REF!</definedName>
    <definedName name="BOA1649049BE814BDBA0CDC942B67CCA49" hidden="1">#REF!</definedName>
    <definedName name="BOA16946BFDAA94FC193A9E47DB9A195E4" hidden="1">#REF!</definedName>
    <definedName name="BOA170EB8108934041B9B7DAB1E4EA9941" hidden="1">#REF!</definedName>
    <definedName name="BOA1769B9A443748A1A774FC9BC3C3BE2C" hidden="1">#REF!</definedName>
    <definedName name="BOA18DE7D17B4149759E31E1CEF60F1D64" hidden="1">#REF!</definedName>
    <definedName name="BOA1A3A15F5F4B452382D4F6B152D2D792" hidden="1">#REF!</definedName>
    <definedName name="BOA1A5FBEF8D2A42BA8D985DCBFE49625F" hidden="1">#REF!</definedName>
    <definedName name="BOA1A6FB1E8EEC4B3F938EC99422BCB878" hidden="1">#REF!</definedName>
    <definedName name="BOA1BAA295386D4412B9A7E8C6DF769CD3" hidden="1">#REF!</definedName>
    <definedName name="BOA1C13AC98DF041FEABCB2C97F8D34D94" hidden="1">#REF!</definedName>
    <definedName name="BOA1CB41DE99B946ED8060E6D4E3CBBF6A" hidden="1">#REF!</definedName>
    <definedName name="BOA1CDD78036D245388EDEAFA6B39774E0" hidden="1">#REF!</definedName>
    <definedName name="BOA1E5782B38B947A9AB5AD877EF9C8EEA" hidden="1">#REF!</definedName>
    <definedName name="BOA1E77A95EC1548BF83D4198A0FCA0CBF" hidden="1">#REF!</definedName>
    <definedName name="BOA207616DFE424D428C7EFB6737A1CD2B" hidden="1">#REF!</definedName>
    <definedName name="BOA217BFD165254906B5E22149A244C73F" hidden="1">#REF!</definedName>
    <definedName name="BOA21870CC958F4E5692D77120B9FBEC53" hidden="1">#REF!</definedName>
    <definedName name="BOA22C882080AA49759628DC44AD0DBE9E" hidden="1">#REF!</definedName>
    <definedName name="BOA232885CE77D4C719E582B55FFA5CD9F" hidden="1">#REF!</definedName>
    <definedName name="BOA23733DB4F0F40D38F6FF7DCD848CC28" hidden="1">#REF!</definedName>
    <definedName name="BOA248533841684A95B772BFDCAEA98DF4" hidden="1">#REF!</definedName>
    <definedName name="BOA248D63C8D1141A1805C7DE124EA1782" hidden="1">#REF!</definedName>
    <definedName name="BOA254145C4AEA41FC8C8AF3471AF4C446" hidden="1">#REF!</definedName>
    <definedName name="BOA25C2F96F6114381A5B820C1C6E1A8F3" hidden="1">#REF!</definedName>
    <definedName name="BOA2630D1B26FA4442B4775CF68BE8EE3F" hidden="1">#REF!</definedName>
    <definedName name="BOA2631A8526EE4EC8872EC72D434CEF86" hidden="1">#REF!</definedName>
    <definedName name="BOA26621E7A644421AA98D0935C0CBE91C" hidden="1">#REF!</definedName>
    <definedName name="BOA288A7FD268D4BC58AAA6578BE404E19" hidden="1">#REF!</definedName>
    <definedName name="BOA28C2FD00509443C8779E0B6167BBE40" hidden="1">#REF!</definedName>
    <definedName name="BOA29BACD74C4A4005A810F5D2866C23A8" hidden="1">#REF!</definedName>
    <definedName name="BOA29E175B97B542ECB1AC79CA194927DB" hidden="1">#REF!</definedName>
    <definedName name="BOA2B06E6411F44525857D53FB2FEC6037" hidden="1">#REF!</definedName>
    <definedName name="BOA2B3ECCC72B14C90AAE14A289B4485FA" hidden="1">#REF!</definedName>
    <definedName name="BOA2B5C8698F154DB9AF521374243F45B8" hidden="1">#REF!</definedName>
    <definedName name="BOA2B823A7F54E41239DF7DA2437E3F287" hidden="1">#REF!</definedName>
    <definedName name="BOA2BAC3161C714AC6B847CED2CD851A67" hidden="1">#REF!</definedName>
    <definedName name="BOA2BE76EEBC0F4996B7CE7A148A9EBF0E" hidden="1">#REF!</definedName>
    <definedName name="BOA2C75C5634BD459C943E751434A2417C" hidden="1">#REF!</definedName>
    <definedName name="BOA2D7C158C09C44D5BCE62868324DADE5" hidden="1">#REF!</definedName>
    <definedName name="BOA2DA31257F7F4C18B64E1627837444ED" hidden="1">#REF!</definedName>
    <definedName name="BOA2DE90FC8D0F40829C031D4BF37D52A8" hidden="1">#REF!</definedName>
    <definedName name="BOA2E8E2A6BB0F440789D0BF744704E307" hidden="1">#REF!</definedName>
    <definedName name="BOA2EE7DF6AC3B49E58BAFEB2534E80106" hidden="1">#REF!</definedName>
    <definedName name="BOA2F3862B93D744C982E825EBE77C8F1F" hidden="1">#REF!</definedName>
    <definedName name="BOA2F6F24E03B84561976D0DE100648CEC" hidden="1">#REF!</definedName>
    <definedName name="BOA304B70595A7493285688114C1467EFD" hidden="1">#REF!</definedName>
    <definedName name="BOA324B9AA86B247518635EC767E46780E" hidden="1">#REF!</definedName>
    <definedName name="BOA32DEE114B184D7B99DC43459232DDE0" hidden="1">#REF!</definedName>
    <definedName name="BOA333276D38854DA28CC9859138D6FB8E" hidden="1">#REF!</definedName>
    <definedName name="BOA337DF717A24455E97B060158FFC53EB" hidden="1">#REF!</definedName>
    <definedName name="BOA363A3C42A0F4574A65D4070F2428DAD" hidden="1">#REF!</definedName>
    <definedName name="BOA36EA0BF8C434638AFAAA288FA2DE73C" hidden="1">#REF!</definedName>
    <definedName name="BOA3732ADAD18E4A5C954D9092CEF1DB4A" hidden="1">#REF!</definedName>
    <definedName name="BOA3755B409C114D2199E693463EAF269A" hidden="1">#REF!</definedName>
    <definedName name="BOA38D5014CE4B444FA28CB63D7C224CB9" hidden="1">#REF!</definedName>
    <definedName name="BOA39137B638AC4974979ABA079B35036D" hidden="1">#REF!</definedName>
    <definedName name="BOA3A69DECE3CB4B7FA649FC5D19F29AC0" hidden="1">#REF!</definedName>
    <definedName name="BOA3B58675C14642B7883E3D1CF94A578F" hidden="1">#REF!</definedName>
    <definedName name="BOA3B800EFD0DF403185DF831F49D6524F" hidden="1">#REF!</definedName>
    <definedName name="BOA3B90C1B02884B06AF07C7C2D81B41DB" hidden="1">#REF!</definedName>
    <definedName name="BOA3D296336AEC491DBE94EC35C517D786" hidden="1">#REF!</definedName>
    <definedName name="BOA3D3096EFDF34D208F22C3E27CF0AF54" hidden="1">#REF!</definedName>
    <definedName name="BOA3DB2601F4A4413783D86347BC2F71A0" hidden="1">#REF!</definedName>
    <definedName name="BOA3E683D6CB774665BE0AA6ABE522CFA0" hidden="1">#REF!</definedName>
    <definedName name="BOA3E8C9E3807E42EEBFF9FE2EBC220018" hidden="1">#REF!</definedName>
    <definedName name="BOA3FBED17DCB54A808AB972125DFDECE6" hidden="1">#REF!</definedName>
    <definedName name="BOA41CB8648E78456785D8D41BF374F274" hidden="1">#REF!</definedName>
    <definedName name="BOA41F85E811F442BA9E6BE13BEEE66C72" hidden="1">#REF!</definedName>
    <definedName name="BOA42220E66BB74C79B3E120AE61318CD0" hidden="1">#REF!</definedName>
    <definedName name="BOA4269440744E4ED1B8F8FBB6DDA374C8" hidden="1">#REF!</definedName>
    <definedName name="BOA42E7458D0654D109F853BB5939D1E05" hidden="1">#REF!</definedName>
    <definedName name="BOA4372818CCE54D63A32C106557A4547D" hidden="1">#REF!</definedName>
    <definedName name="BOA43B5E0DF9744CB0BF143D11824B3A98" hidden="1">#REF!</definedName>
    <definedName name="BOA43BC8A077CB431C986B16302DB08C74" hidden="1">#REF!</definedName>
    <definedName name="BOA443BF4C1AE7464DA864634866C0FF84" hidden="1">#REF!</definedName>
    <definedName name="BOA45296666EAE4FB0AEBD390E2A954FD5" hidden="1">#REF!</definedName>
    <definedName name="BOA453E2015C754B32AF4EDD2017E53434" hidden="1">#REF!</definedName>
    <definedName name="BOA45916E65A934310B1A2B5B7CC93D5F1" hidden="1">#REF!</definedName>
    <definedName name="BOA45C5CD9D77B40A2BB131A1F345C797E" hidden="1">#REF!</definedName>
    <definedName name="BOA465E7E2ECC047378314897BEA595F1B" hidden="1">#REF!</definedName>
    <definedName name="BOA4785426D51E4DFCBF8CD4BEA983300A" hidden="1">#REF!</definedName>
    <definedName name="BOA485C28970A8418C8DB79B626EC14332" hidden="1">#REF!</definedName>
    <definedName name="BOA48759F7A91E45AD9DEF920D86CA51E6" hidden="1">#REF!</definedName>
    <definedName name="BOA48A0BD9E343443296BD59EE4553E269" hidden="1">#REF!</definedName>
    <definedName name="BOA4956D8F5D51485682D8818D618682AD" hidden="1">#REF!</definedName>
    <definedName name="BOA49844205F5448BDB0F5B024229AF710" hidden="1">#REF!</definedName>
    <definedName name="BOA49C9DD3B78C40BE99E52146C3D912D7" hidden="1">#REF!</definedName>
    <definedName name="BOA4A05F0D838B46CC8AFC311F7C1431DD" hidden="1">#REF!</definedName>
    <definedName name="BOA4A13AA180DD420DB0ADCD58C09A8D47" hidden="1">#REF!</definedName>
    <definedName name="BOA4B28A12D3B24F5EA660DEAC8AD933FF" hidden="1">#REF!</definedName>
    <definedName name="BOA4B5DCD558DA499E8495CFC9147965E6" hidden="1">#REF!</definedName>
    <definedName name="BOA4B680E0BD6B41F78AAB99F62B5C3B06" hidden="1">#REF!</definedName>
    <definedName name="BOA4BEF0424E4144D985C3E269696CCD68" hidden="1">#REF!</definedName>
    <definedName name="BOA4BFC0295D554FE3B0B4406C61979B91" hidden="1">#REF!</definedName>
    <definedName name="BOA4C1C659531242818812D12370E0739E" hidden="1">#REF!</definedName>
    <definedName name="BOA4D7D021AD384059BF17C370A19FD2C8" hidden="1">#REF!</definedName>
    <definedName name="BOA4DD448E5D4243839AABB068976B59AD" hidden="1">#REF!</definedName>
    <definedName name="BOA4E70FD2A05D49D4A19FBAB8D9BAF3B9" hidden="1">#REF!</definedName>
    <definedName name="BOA4EC8A2F912B4282A1E35D1AF03806B1" hidden="1">#REF!</definedName>
    <definedName name="BOA507575FC0124F55929D272219504203" hidden="1">#REF!</definedName>
    <definedName name="BOA51C89C3673C49B7AEC6C5CFE93DD803" hidden="1">#REF!</definedName>
    <definedName name="BOA51EB5934DB74ED4B1AE46E0AA41EDB6" hidden="1">#REF!</definedName>
    <definedName name="BOA52BA1F0CB4E46958F691C12F32E23DD" hidden="1">#REF!</definedName>
    <definedName name="BOA541865AC82B4578AE769D48D73ECEDE" hidden="1">#REF!</definedName>
    <definedName name="BOA548C3DA2E27449EBF73FC62F4B27A77" hidden="1">#REF!</definedName>
    <definedName name="BOA54DE5D168A54A69B5D296F9CC023ABE" hidden="1">#REF!</definedName>
    <definedName name="BOA55BE17DBCA0422EBE5923084652BFC7" hidden="1">#REF!</definedName>
    <definedName name="BOA55F17E48D3949C69687082350A8B4DE" hidden="1">#REF!</definedName>
    <definedName name="BOA56930BDD0A44BFB8CD2C7204D47584D" hidden="1">#REF!</definedName>
    <definedName name="BOA57C2CB4023349618F53C61B1262217C" hidden="1">#REF!</definedName>
    <definedName name="BOA59351C652B2411C94FA98E87CADC6B2" hidden="1">#REF!</definedName>
    <definedName name="BOA59591E2A89048F187D7B41678E1F934" hidden="1">#REF!</definedName>
    <definedName name="BOA595E58AEFEF4709ABC9B7C7CFF237D5" hidden="1">#REF!</definedName>
    <definedName name="BOA597F7CC0082494CBE0F0F34C4AE00B5" hidden="1">#REF!</definedName>
    <definedName name="BOA59A668145BB46D4BB9FFA4FAE5A323F" hidden="1">#REF!</definedName>
    <definedName name="BOA59AEC12C134462BA4221E5C1C109E9D" hidden="1">#REF!</definedName>
    <definedName name="BOA5AA8ADDA9DA45BFBDF4EDDADCDAD363" hidden="1">#REF!</definedName>
    <definedName name="BOA5C268152C5241ABA13FCBEF34FCF6D6" hidden="1">#REF!</definedName>
    <definedName name="BOA5E586E4CBDE432FB48C9398EB844CF4" hidden="1">#REF!</definedName>
    <definedName name="BOA5E835917A1F4DB39B46E2F8A04843DA" hidden="1">#REF!</definedName>
    <definedName name="BOA5FA07DEF2864A9A83CB3E22F48EBE00" hidden="1">#REF!</definedName>
    <definedName name="BOA5FBC2A5C5EC4DF1973A6B3BDF2C00C3" hidden="1">#REF!</definedName>
    <definedName name="BOA5FD959DBF634FD0A71D11806DD0F932" hidden="1">#REF!</definedName>
    <definedName name="BOA600B122F9A04BAA8C7D7FDD41E02DFE" hidden="1">#REF!</definedName>
    <definedName name="BOA60748AF47054FCBA4B7DC7439675B6F" hidden="1">#REF!</definedName>
    <definedName name="BOA6156F44A02D46AF9BC852233656641D" hidden="1">#REF!</definedName>
    <definedName name="BOA6299E0654D34A06B4838941203E4E2E" hidden="1">#REF!</definedName>
    <definedName name="BOA62D4BA5DB33421E8419C5CC364255C4" hidden="1">#REF!</definedName>
    <definedName name="BOA62DA38FDE784AB29FE4B1A91814A9A2" hidden="1">#REF!</definedName>
    <definedName name="BOA632343E23F04B9A85B0ACB002A241F8" hidden="1">#REF!</definedName>
    <definedName name="BOA6357AB91D694F4D99C05103DC0D1479" hidden="1">#REF!</definedName>
    <definedName name="BOA635B525FF9341DEBEE151EDC3BDFD6A" hidden="1">#REF!</definedName>
    <definedName name="BOA637B85621FF4A2FA68EC814BA1DFF58" hidden="1">#REF!</definedName>
    <definedName name="BOA63C47E3E23542148549875FE873928C" hidden="1">#REF!</definedName>
    <definedName name="BOA63EAA0CD5FF46F3AE644AF6D2C8A55E" hidden="1">#REF!</definedName>
    <definedName name="BOA640312767A54B3CB5435DD641E8D18B" hidden="1">#REF!</definedName>
    <definedName name="BOA64428406C2E488AA29FCEBF85175431" hidden="1">#REF!</definedName>
    <definedName name="BOA6494B730A21472EA5FDE55FD291BCBF" hidden="1">#REF!</definedName>
    <definedName name="BOA64D43678A5C45BCBCE4CDCD5D274A4A" hidden="1">#REF!</definedName>
    <definedName name="BOA65C0829550C490AA90B6BF814CB3329" hidden="1">#REF!</definedName>
    <definedName name="BOA660816DA47745E4B2270B42752E40B1" hidden="1">#REF!</definedName>
    <definedName name="BOA67ACE4E3E914291B299ABF6CB43225C" hidden="1">#REF!</definedName>
    <definedName name="BOA686C4406EF74097A3C264FC75DE7E6C" hidden="1">#REF!</definedName>
    <definedName name="BOA691FE58DDF34535BE2B61A921F4C25A" hidden="1">#REF!</definedName>
    <definedName name="BOA6A0B544F9184F35A9F6F68BFE294E6F" hidden="1">#REF!</definedName>
    <definedName name="BOA6A4896E7264443FA2646639674F833C" hidden="1">#REF!</definedName>
    <definedName name="BOA6BD1C47B44D4E6DBCEC93DCC50647D3" hidden="1">#REF!</definedName>
    <definedName name="BOA6C5FA9AFEAA480FB8737BD0E738B150" hidden="1">#REF!</definedName>
    <definedName name="BOA6D84AC9541A44A0B9ACABBFB4AA85B7" hidden="1">#REF!</definedName>
    <definedName name="BOA6EF5AD8C69A4B7FB0AC82C9B690B7F2" hidden="1">#REF!</definedName>
    <definedName name="BOA7164F82A2904FF6915C5F0612A7AEB2" hidden="1">#REF!</definedName>
    <definedName name="BOA71DA6F58ED743509BAEA98A6367ACD9" hidden="1">#REF!</definedName>
    <definedName name="BOA73C0BA5341649F8988A56D6B496C80C" hidden="1">#REF!</definedName>
    <definedName name="BOA7495D652F8E40C797B0E87C43868F6C" hidden="1">#REF!</definedName>
    <definedName name="BOA7880E46DD5D492987E0913D42B5EF33" hidden="1">#REF!</definedName>
    <definedName name="BOA79FDC0AF9A143EA8D12874300E5BBAE" hidden="1">#REF!</definedName>
    <definedName name="BOA7A4943FF0134C05991CB5DAA295E1D9" hidden="1">#REF!</definedName>
    <definedName name="BOA7AA16BF69714AB9AA0B930D8B6446A7" hidden="1">#REF!</definedName>
    <definedName name="BOA7AC4B62AE3541ABA4CB002D3FB9A5D9" hidden="1">#REF!</definedName>
    <definedName name="BOA7BADD59A744459FBB1AA86926A1B352" hidden="1">#REF!</definedName>
    <definedName name="BOA7CC7B46F7F140DCB64189443FC13133" hidden="1">#REF!</definedName>
    <definedName name="BOA7D0A7A9407043B5BEDFB567AE27744D" hidden="1">#REF!</definedName>
    <definedName name="BOA7D6CA14567C4F609E593EAF1B3439FC" hidden="1">#REF!</definedName>
    <definedName name="BOA7DD3A9AA5614507A7061CB69FC17F15" hidden="1">#REF!</definedName>
    <definedName name="BOA7E8E0622263431C9A233B00F60B0AFF" hidden="1">#REF!</definedName>
    <definedName name="BOA7E96BF710164B9D8FDA642CAA4C1E01" hidden="1">#REF!</definedName>
    <definedName name="BOA7F4DD1EA65145B2A4E39D5B50ED08B9" hidden="1">#REF!</definedName>
    <definedName name="BOA7F5A3A7925B4BD3AD9F45661EC0E746" hidden="1">#REF!</definedName>
    <definedName name="BOA7FB14CF31DB43708665AB862E78DB12" hidden="1">#REF!</definedName>
    <definedName name="BOA7FF1C3E42E4482C86073793C314A6AD" hidden="1">#REF!</definedName>
    <definedName name="BOA80B7BA690674200B57D11BF21D9A825" hidden="1">#REF!</definedName>
    <definedName name="BOA819BF06B8ED412A88A55713291D67CA" hidden="1">#REF!</definedName>
    <definedName name="BOA81B3EF63A0C473E893E4910409C39B8" hidden="1">#REF!</definedName>
    <definedName name="BOA81CF3FAEA914F06AAB7EB5A5F3F4991" hidden="1">#REF!</definedName>
    <definedName name="BOA8280CA49FAE43318FE9E294088046E6" hidden="1">#REF!</definedName>
    <definedName name="BOA828650F5D2E4C86844692A8A3AF395B" hidden="1">#REF!</definedName>
    <definedName name="BOA82F14F4B6E44174A990F75DCB97C706" hidden="1">#REF!</definedName>
    <definedName name="BOA84DD6814BF345BFB2AFA556B9B492CC" hidden="1">#REF!</definedName>
    <definedName name="BOA85B2EA5D082451F93D323DE2BA986D6" hidden="1">#REF!</definedName>
    <definedName name="BOA86595DC87BF49229511990D0B4FDCDA" hidden="1">#REF!</definedName>
    <definedName name="BOA8684BF7EFA84601925418CBB0FAC657" hidden="1">#REF!</definedName>
    <definedName name="BOA86ECF3E1391469690A6A8024389CDB2" hidden="1">#REF!</definedName>
    <definedName name="BOA872CAFB084D4747A273BCE505DC5E84" hidden="1">#REF!</definedName>
    <definedName name="BOA8730470846A41A09ED1185BD5F15F0C" hidden="1">#REF!</definedName>
    <definedName name="BOA873A655D1774BB980D9A4A30FEDB154" hidden="1">#REF!</definedName>
    <definedName name="BOA88186C861EE4CADA49A22D80670B1E3" hidden="1">#REF!</definedName>
    <definedName name="BOA885C3455CFF4CAD8625D740E2FC2313" hidden="1">#REF!</definedName>
    <definedName name="BOA894425977F241EF93EC27E241EB1517" hidden="1">#REF!</definedName>
    <definedName name="BOA89A42FC7B0441C68F17295B4C4EB847" hidden="1">#REF!</definedName>
    <definedName name="BOA8A039B5670449B48F4CF6247190923B" hidden="1">#REF!</definedName>
    <definedName name="BOA8A2F4A64C1F49C3AD3C78E42BF56576" hidden="1">#REF!</definedName>
    <definedName name="BOA8A9B500E63049AE8B11F29491FBA2C4" hidden="1">#REF!</definedName>
    <definedName name="BOA8AE036217504FA18CECFC8676773182" hidden="1">#REF!</definedName>
    <definedName name="BOA8AE19DDF5F940E0925A4A7CAFB7987C" hidden="1">#REF!</definedName>
    <definedName name="BOA8B4EFEC8DB54132AB09A58E11777C60" hidden="1">#REF!</definedName>
    <definedName name="BOA8B5B51FD0E640BC840263CBCE3CABA8" hidden="1">#REF!</definedName>
    <definedName name="BOA8BA8CC60D004E328969738E3772F17D" hidden="1">#REF!</definedName>
    <definedName name="BOA8D98DD916114633A6B49930FA7C8D9E" hidden="1">#REF!</definedName>
    <definedName name="BOA8DBA80EEBD741C7AB7C530AC0734D40" hidden="1">#REF!</definedName>
    <definedName name="BOA8F64559FD5B42ABB1DB10BB41247324" hidden="1">#REF!</definedName>
    <definedName name="BOA8F79689F63B4501A2073B129B0F6FCD" hidden="1">#REF!</definedName>
    <definedName name="BOA8FDE0DDB66E4B8BB958004ADF3B3186" hidden="1">#REF!</definedName>
    <definedName name="BOA90CADC33A1C4510BF5F65027EB1336F" hidden="1">#REF!</definedName>
    <definedName name="BOA90EC0BDE43B44DFA5465285A52402DF" hidden="1">#REF!</definedName>
    <definedName name="BOA912868831054B36BB65F06DB4187564" hidden="1">#REF!</definedName>
    <definedName name="BOA9190BD6C7B148B2B6F561B395F70ABE" hidden="1">#REF!</definedName>
    <definedName name="BOA91DB03F16544CA1954746E9625EEAEF" hidden="1">#REF!</definedName>
    <definedName name="BOA9332335F53E41B7AF9B82A2461FA357" hidden="1">#REF!</definedName>
    <definedName name="BOA93B4A26A44D4493ACB93AE5E98BC402" hidden="1">#REF!</definedName>
    <definedName name="BOA9409E5F295946D2A8F9727BBEC56266" hidden="1">#REF!</definedName>
    <definedName name="BOA94F2B56659446E9B5BAC05CED68DDBD" hidden="1">#REF!</definedName>
    <definedName name="BOA950F591C406480EAB0E3DCC5F727EC5" hidden="1">#REF!</definedName>
    <definedName name="BOA952B816D8C5463A82CA5BA694DD4F24" hidden="1">#REF!</definedName>
    <definedName name="BOA95A45F23F4B4A24869EECB9C4FEC802" hidden="1">#REF!</definedName>
    <definedName name="BOA95E015B72344D50A2C71C390C333BC5" hidden="1">#REF!</definedName>
    <definedName name="BOA964C6A260184DAD9664F4EF8F05FC26" hidden="1">#REF!</definedName>
    <definedName name="BOA97D82300ED74DCDA71EB06337AE012D" hidden="1">#REF!</definedName>
    <definedName name="BOA97DE7C664074D069A049529C35A8BFE" hidden="1">#REF!</definedName>
    <definedName name="BOA987FC598B1841249B357506350A54B6" hidden="1">#REF!</definedName>
    <definedName name="BOA998BFA6696E4EE0812867AB104855F0" hidden="1">#REF!</definedName>
    <definedName name="BOA99948A725374376984C9C0982246EA2" hidden="1">#REF!</definedName>
    <definedName name="BOA9B1E249DCEC4306BD5D948C1CB22891" hidden="1">#REF!</definedName>
    <definedName name="BOA9B654B7E3844051B667DF74AED52129" hidden="1">#REF!</definedName>
    <definedName name="BOA9B8B8005914468CBF44BFBA49417150" hidden="1">#REF!</definedName>
    <definedName name="BOA9C797F8F8C5481FA4C97137ECED2840" hidden="1">#REF!</definedName>
    <definedName name="BOA9C91FB26A7842B4A196CD399B3D23C8" hidden="1">#REF!</definedName>
    <definedName name="BOA9D3FF8C5F874C0889B31CDB08783E49" hidden="1">#REF!</definedName>
    <definedName name="BOA9DDB9BD55B14F438A6CE276E4695021" hidden="1">#REF!</definedName>
    <definedName name="BOA9ED60FD5F844CD09508EBF4C0B3926A" hidden="1">#REF!</definedName>
    <definedName name="BOA9F4B9C5D3A64A1B883E60908A155CA2" hidden="1">#REF!</definedName>
    <definedName name="BOA9F57DA06917474CBCA71681EB4E8028" hidden="1">#REF!</definedName>
    <definedName name="BOA9F5837146F842EDA40C9B135D0FE7A6" hidden="1">#REF!</definedName>
    <definedName name="BOA9F7A690FD4A4CC0A01D0ED47E18612A" hidden="1">#REF!</definedName>
    <definedName name="BOA9FCA8A21C384F02A9B686ACAC7E0AB7" hidden="1">#REF!</definedName>
    <definedName name="BOAA02F8E6AD0D4ADBB254636CD6063A8B" hidden="1">#REF!</definedName>
    <definedName name="BOAA0300B4CEF34C5B98664430898D4F52" hidden="1">#REF!</definedName>
    <definedName name="BOAA07808F0341497DA3ECDD4183EF139B" hidden="1">#REF!</definedName>
    <definedName name="BOAA09E8E637CC493DB5CB613E75C86AE7" hidden="1">#REF!</definedName>
    <definedName name="BOAA1310CFCB074BAB8F36CAE8D7697E7D" hidden="1">#REF!</definedName>
    <definedName name="BOAA21AFDC1B4343959E9B91D89A619F61" hidden="1">#REF!</definedName>
    <definedName name="BOAA26D099691A428AB72D4D12E9EBB51C" hidden="1">#REF!</definedName>
    <definedName name="BOAA289B3B99EE40A1BAA1264A086B1090" hidden="1">#REF!</definedName>
    <definedName name="BOAA2FBD85973048F693C4B28962497D07" hidden="1">#REF!</definedName>
    <definedName name="BOAA365E142D5C454EB5A3ECC53CAA1E09" hidden="1">#REF!</definedName>
    <definedName name="BOAA37C194397D4DB18E8E3DDD2B779CB0" hidden="1">#REF!</definedName>
    <definedName name="BOAA3D152958DD4A549568D9E1C29ECF72" hidden="1">#REF!</definedName>
    <definedName name="BOAA3F2B9490C749189E04C779B89BFF06" hidden="1">#REF!</definedName>
    <definedName name="BOAA3FDD2FB2624D02B991006DCA629143" hidden="1">#REF!</definedName>
    <definedName name="BOAA44105E558C406FB0EF693566EB9D6F" hidden="1">#REF!</definedName>
    <definedName name="BOAA48519158ED48F38A6767ED9F953AC4" hidden="1">#REF!</definedName>
    <definedName name="BOAA53BE469B9B4D4FAC5D6EFBAFAA7E86" hidden="1">#REF!</definedName>
    <definedName name="BOAA5E124E21474FEF8C49B3E343976332" hidden="1">#REF!</definedName>
    <definedName name="BOAA626D403B8C4151A3FC2A285A432F32" hidden="1">#REF!</definedName>
    <definedName name="BOAA6C75AA27D54314A80989FE25C93948" hidden="1">#REF!</definedName>
    <definedName name="BOAA7AD125D1DA44618EA416381939819C" hidden="1">#REF!</definedName>
    <definedName name="BOAA89457F96EE4444A881F87426A41B48" hidden="1">#REF!</definedName>
    <definedName name="BOAA89D1957674468081C7B5FA930DF1C6" hidden="1">#REF!</definedName>
    <definedName name="BOAA96C7FB54B34C329708BAC5ED5F9DFA" hidden="1">#REF!</definedName>
    <definedName name="BOAAA4062C3ECE4F1FA6F7D215DEE1BE63" hidden="1">#REF!</definedName>
    <definedName name="BOAAA44B352AB44189B64626810C64B158" hidden="1">#REF!</definedName>
    <definedName name="BOAAACE4DD80774EFD85F793244E1685A1" hidden="1">#REF!</definedName>
    <definedName name="BOAAAE6F5ACD99404EAEC4EAF9655264DF" hidden="1">#REF!</definedName>
    <definedName name="BOAAB5324461D14445BB92845BA8DF09EB" hidden="1">#REF!</definedName>
    <definedName name="BOAAB576EB2C954B1090D8082E276BB7C8" hidden="1">#REF!</definedName>
    <definedName name="BOAAB97CE66FF6453B94FB683C22A59DAC" hidden="1">#REF!</definedName>
    <definedName name="BOAABFF32B01E542318D814456CC549DA4" hidden="1">#REF!</definedName>
    <definedName name="BOAACA57E10AF2467481D554035655AD18" hidden="1">#REF!</definedName>
    <definedName name="BOAAD0DA9FDCC0406E94CCA6A01D89EDCA" hidden="1">#REF!</definedName>
    <definedName name="BOAADEFF235378460AB6893B670C7C40D8" hidden="1">#REF!</definedName>
    <definedName name="BOAAE89E31CE664F578122193EC1A7A83B" hidden="1">#REF!</definedName>
    <definedName name="BOAAE9D3C3875F41EB8DC2FCD563BF7051" hidden="1">#REF!</definedName>
    <definedName name="BOAB0DF435B27F43E39334D32BCF801D81" hidden="1">#REF!</definedName>
    <definedName name="BOAB1976CA81724DBBA54ACF6EDAE618D9" hidden="1">#REF!</definedName>
    <definedName name="BOAB1ED54BBB5A40C8894F11B004A45E70" hidden="1">#REF!</definedName>
    <definedName name="BOAB230EF844714A8A881A9B88C45C09F1" hidden="1">#REF!</definedName>
    <definedName name="BOAB2989BE0D294538B043E5C6DE09659A" hidden="1">#REF!</definedName>
    <definedName name="BOAB3C1F01F83249FF9F23B16957071DB1" hidden="1">#REF!</definedName>
    <definedName name="BOAB53E31B8B9A47B1886130C8C1773D8D" hidden="1">#REF!</definedName>
    <definedName name="BOAB67E1E68DA04EA8953506350466849F" hidden="1">#REF!</definedName>
    <definedName name="BOAB71423E9BB94D7789A9AFAFC5F2E03D" hidden="1">#REF!</definedName>
    <definedName name="BOAB7A601CE0BA4A13BFDEE1268CB853A2" hidden="1">#REF!</definedName>
    <definedName name="BOAB9B9541C07A4962B93B311581993724" hidden="1">#REF!</definedName>
    <definedName name="BOABAE4C669B394F9EB0443B263E11E97E" hidden="1">#REF!</definedName>
    <definedName name="BOABB332BD03624C568BAF8EF300FE2A9F" hidden="1">#REF!</definedName>
    <definedName name="BOABBD0D4011314B2C8A7714D2698BFEF3" hidden="1">#REF!</definedName>
    <definedName name="BOABBE73C5E15F4541B0EB2F3DDCD6EE54" hidden="1">#REF!</definedName>
    <definedName name="BOABC0EF9762734558B3D64D6DCFC8E419" hidden="1">#REF!</definedName>
    <definedName name="BOABC7A058A494446FA54B57A06EE46935" hidden="1">#REF!</definedName>
    <definedName name="BOABCB082F04184AB0AFE2D27D149F593D" hidden="1">#REF!</definedName>
    <definedName name="BOABD08DB3AB1B45D6AF7C47D172C0AF1B" hidden="1">#REF!</definedName>
    <definedName name="BOABDA9868E87B456D8E7674A235AB0843" hidden="1">#REF!</definedName>
    <definedName name="BOABDDFD40C77641A29523D1BFC9056529" hidden="1">#REF!</definedName>
    <definedName name="BOABE0E3F8F0D34E0D83FFDAE54C5679E9" hidden="1">#REF!</definedName>
    <definedName name="BOABF0EDCD11C2410EAD7B9DF187274C1D" hidden="1">#REF!</definedName>
    <definedName name="BOAC09AC575A3248C2B2FBACCF1D7EEE17" hidden="1">#REF!</definedName>
    <definedName name="BOAC268CF6A68D402F9CF2BC2C9B4D7DC2" hidden="1">#REF!</definedName>
    <definedName name="BOAC2806EB8FD34342A9860821E171FE05" hidden="1">#REF!</definedName>
    <definedName name="BOAC29A2E18448486D864A2214F3FCDC0A" hidden="1">#REF!</definedName>
    <definedName name="BOAC2AE690B0954205B037E184E2B3BB7D" hidden="1">#REF!</definedName>
    <definedName name="BOAC383D7C385747C2AD0CC9D0C6EE8FD1" hidden="1">#REF!</definedName>
    <definedName name="BOAC45D1F394604C6E9767F21F0F8F4E4C" hidden="1">#REF!</definedName>
    <definedName name="BOAC55544068B142138C141638C3576770" hidden="1">#REF!</definedName>
    <definedName name="BOAC55ED52EED7478D8026B5EB62EEFE57" hidden="1">#REF!</definedName>
    <definedName name="BOAC5AFF75B8234640B1F29F6071E32E85" hidden="1">#REF!</definedName>
    <definedName name="BOAC640DA1972F43A1AB85124D6F10D31E" hidden="1">#REF!</definedName>
    <definedName name="BOAC78FC13FEF647C2A6FF68DF42C4519D" hidden="1">#REF!</definedName>
    <definedName name="BOAC7DFA001E314AC6ADDB9B845D782488" hidden="1">#REF!</definedName>
    <definedName name="BOAC80CB3B4B484A5F8172C4088CCFE6FE" hidden="1">#REF!</definedName>
    <definedName name="BOACAA8DF9EC3A44E2B82A7F666FE654D5" hidden="1">#REF!</definedName>
    <definedName name="BOACAC385EBA2C4C66910A10C48925D76D" hidden="1">#REF!</definedName>
    <definedName name="BOACB458813A6F4B359A2F4D2D4AF3CA97" hidden="1">#REF!</definedName>
    <definedName name="BOACB761594C7B461F83EDC80018BCEE8B" hidden="1">#REF!</definedName>
    <definedName name="BOACBD44B0208148F488A166DECAB33A13" hidden="1">#REF!</definedName>
    <definedName name="BOACCA4A02C648444A8A0CF09F35E1A57C" hidden="1">#REF!</definedName>
    <definedName name="BOACDCB83F372B463DB7098C401F8B0A4B" hidden="1">#REF!</definedName>
    <definedName name="BOACF46FE80798403393A61E40B82FB384" hidden="1">#REF!</definedName>
    <definedName name="BOACFB50A9541A4A5F8DF77887B6B6C80C" hidden="1">#REF!</definedName>
    <definedName name="BOAD0503E5D8F342CEB431FB2FFC1FC681" hidden="1">#REF!</definedName>
    <definedName name="BOAD05CB7B9DC648EC9ADC7FAEBBED9AFD" hidden="1">#REF!</definedName>
    <definedName name="BOAD07026530BF439B8BA8C6DB95B52C7F" hidden="1">#REF!</definedName>
    <definedName name="BOAD0929507A9F4C2E997C950A2E5A0056" hidden="1">#REF!</definedName>
    <definedName name="BOAD0C27CA78764A5D9A1D0D4F6E6274A7" hidden="1">#REF!</definedName>
    <definedName name="BOAD111D3D420C4A67871E020939F995EA" hidden="1">#REF!</definedName>
    <definedName name="BOAD184865A4804495B5D461E59DAB3771" hidden="1">#REF!</definedName>
    <definedName name="BOAD1EAFFE3430489D8085A0E379D7404A" hidden="1">#REF!</definedName>
    <definedName name="BOAD30DB9D8CBB4B6EAF49243604B19783" hidden="1">#REF!</definedName>
    <definedName name="BOAD506F9C09E4449FB66118170CE9CC89" hidden="1">#REF!</definedName>
    <definedName name="BOAD5984B53B4D4DC99D7696852A023662" hidden="1">#REF!</definedName>
    <definedName name="BOAD5AD52439C54190813D1E7691D6C653" hidden="1">#REF!</definedName>
    <definedName name="BOAD827A0D93094F8FB196AA960EFB8A3B" hidden="1">#REF!</definedName>
    <definedName name="BOAD83BFF483F94563B1F2B9830ABC5E2B" hidden="1">#REF!</definedName>
    <definedName name="BOAD8F6315432F4B23B950FB1F53076113" hidden="1">#REF!</definedName>
    <definedName name="BOAD9C9F031AD44AC38F1B54B73D58BB87" hidden="1">#REF!</definedName>
    <definedName name="BOADA7D7CAEABD463FBDC08DAFDEBCDCE8" hidden="1">#REF!</definedName>
    <definedName name="BOADAB9E0ADCE1418D86D4924536860336" hidden="1">#REF!</definedName>
    <definedName name="BOADC012CF830B48A3B8A75A7BF6D53623" hidden="1">#REF!</definedName>
    <definedName name="BOADC226C863EA46DB82C720AE5375A4E1" hidden="1">#REF!</definedName>
    <definedName name="BOADCD07D75DC04795AB9471279672C631" hidden="1">#REF!</definedName>
    <definedName name="BOADD6033B48F8457884AD22AB724BB561" hidden="1">#REF!</definedName>
    <definedName name="BOADE0B277A645407984E1F09E62505117" hidden="1">#REF!</definedName>
    <definedName name="BOADE80A923F8D469886805F6DCCDD1779" hidden="1">#REF!</definedName>
    <definedName name="BOADE99B1F5F454D92AD0A2C3AF360F5AC" hidden="1">#REF!</definedName>
    <definedName name="BOADEEE2071E0741F9AFC6977DE33D94CA" hidden="1">#REF!</definedName>
    <definedName name="BOADF93095CA444BAC8C75007B4DC819B2" hidden="1">#REF!</definedName>
    <definedName name="BOAE0085021A154A5CB1B519C15A7BACA9" hidden="1">#REF!</definedName>
    <definedName name="BOAE0398D9048542B5BEECF6CA5D65C831" hidden="1">#REF!</definedName>
    <definedName name="BOAE1168C53892482BB610AA791C019A03" hidden="1">#REF!</definedName>
    <definedName name="BOAE13FC2EC96B4EF88CFBBF46327207E6" hidden="1">#REF!</definedName>
    <definedName name="BOAE199AF198B04E90819B8B20FB323483" hidden="1">#REF!</definedName>
    <definedName name="BOAE22807BD3D34982943605BA3BCB6E92" hidden="1">#REF!</definedName>
    <definedName name="BOAE392FFDF649476588B722B597932FA4" hidden="1">#REF!</definedName>
    <definedName name="BOAE3DA71EC47D4887AD7AFC359BFF4283" hidden="1">#REF!</definedName>
    <definedName name="BOAE44FF2143094B7F8328CABBFB518070" hidden="1">#REF!</definedName>
    <definedName name="BOAE4B3117E03C4317A91B715D9A5465F2" hidden="1">#REF!</definedName>
    <definedName name="BOAE4D5748A51347DFB01F527BBA9F0A4D" hidden="1">#REF!</definedName>
    <definedName name="BOAE52C1FCAC814EE29FFA88F3E389BF4E" hidden="1">#REF!</definedName>
    <definedName name="BOAE553FE441064F8AA40189431442BE72" hidden="1">#REF!</definedName>
    <definedName name="BOAE6363F320D84A878EF0F211ED8AAE06" hidden="1">#REF!</definedName>
    <definedName name="BOAE7C84FCF3584665B43F76F81780A46C" hidden="1">#REF!</definedName>
    <definedName name="BOAE8BD4FD9DD14BE0A9E374E4406FD02A" hidden="1">#REF!</definedName>
    <definedName name="BOAEA0A07724CC48DC9099FF6D630C89D0" hidden="1">#REF!</definedName>
    <definedName name="BOAEA10BBE2802476A82CF8325EEA34227" hidden="1">#REF!</definedName>
    <definedName name="BOAEC7EAB465434D0385BA254B4FAFFBAD" hidden="1">#REF!</definedName>
    <definedName name="BOAECBD2CA77244E98ADD77E6DFB4C1F53" hidden="1">#REF!</definedName>
    <definedName name="BOAECC90CF05D646C5BBC14D52A3A909BF" hidden="1">#REF!</definedName>
    <definedName name="BOAECE4AE8210B4F439BB76249C409FA59" hidden="1">#REF!</definedName>
    <definedName name="BOAED9C995A63E439B8BED655EFB7E446B" hidden="1">#REF!</definedName>
    <definedName name="BOAEDA46DFE51641B2A41F9C8BC50071CC" hidden="1">#REF!</definedName>
    <definedName name="BOAEE281C02680463F9380D3ED2532B84D" hidden="1">#REF!</definedName>
    <definedName name="BOAEE483398B304950B91586ED2A5977A9" hidden="1">#REF!</definedName>
    <definedName name="BOAF19E1D96AFB49F79DF0DA102326F5D1" hidden="1">#REF!</definedName>
    <definedName name="BOAF25334AC33946E298D0A4F0B972F095" hidden="1">#REF!</definedName>
    <definedName name="BOAF255B49F9EC4E0AAD070A02E24110EE" hidden="1">#REF!</definedName>
    <definedName name="BOAF26A8EAE3C64DDD8FB34B431E6846C8" hidden="1">#REF!</definedName>
    <definedName name="BOAF2AE7B1708E412FB4D7D9DB6CB48E96" hidden="1">#REF!</definedName>
    <definedName name="BOAF2B657DACA448EAB6878EC520E981C5" hidden="1">#REF!</definedName>
    <definedName name="BOAF3758BCFE9140AE8E54F4865F95D1D0" hidden="1">#REF!</definedName>
    <definedName name="BOAF381C7EAD1F46EABAF8400861907442" hidden="1">#REF!</definedName>
    <definedName name="BOAF384495853445908853612BC7EF624F" hidden="1">#REF!</definedName>
    <definedName name="BOAF44C5DCED2F49B28613152964CEDF8B" hidden="1">#REF!</definedName>
    <definedName name="BOAF46E3AF3A4C4C35B17882FE2FA4359B" hidden="1">#REF!</definedName>
    <definedName name="BOAF47D7580C394711980F27BD4EB1FFC4" hidden="1">#REF!</definedName>
    <definedName name="BOAF4D5845FF7D4FF298501DB4F832967E" hidden="1">#REF!</definedName>
    <definedName name="BOAF52EF5CCAE54B6C94BA0278E80B301E" hidden="1">#REF!</definedName>
    <definedName name="BOAF5E79B25E2645B885D661E980FBA61D" hidden="1">#REF!</definedName>
    <definedName name="BOAF5F3FF6522C4803BFFE75B29E7623C3" hidden="1">#REF!</definedName>
    <definedName name="BOAF68F3E66A644C8A854FBF088273F701" hidden="1">#REF!</definedName>
    <definedName name="BOAF6BBD6B68F54A7FA472CD87BDE902E6" hidden="1">#REF!</definedName>
    <definedName name="BOAF6BCA85824C4C929F0FD55D9AE5AC7C" hidden="1">#REF!</definedName>
    <definedName name="BOAF72D7E91E0C42DF96440C6BFA3DB59D" hidden="1">#REF!</definedName>
    <definedName name="BOAF733B329A64410FBD690F78A3FFC1CB" hidden="1">#REF!</definedName>
    <definedName name="BOAF74A0327F3E419BBD61BD3EE6F06BBA" hidden="1">#REF!</definedName>
    <definedName name="BOAF8207C698FE4DD4A147FBB12673D748" hidden="1">#REF!</definedName>
    <definedName name="BOAF9C5EABCFA74DE195FAF0C47F5EAE1C" hidden="1">#REF!</definedName>
    <definedName name="BOAFB1749517504B56AAC330BF32A0C543" hidden="1">#REF!</definedName>
    <definedName name="BOAFB59FE56D6A469081672861299BA182" hidden="1">#REF!</definedName>
    <definedName name="BOAFBDAA672DD44F02BB8519E0FBF662D1" hidden="1">#REF!</definedName>
    <definedName name="BOAFC14918E3C0440AB072AA5D09B01674" hidden="1">#REF!</definedName>
    <definedName name="BOAFC2ACBBB6C648C8BEBC0CE6586320D9" hidden="1">#REF!</definedName>
    <definedName name="BOAFCB0580180C4F5B909B075C7F8154B5" hidden="1">#REF!</definedName>
    <definedName name="BOAFCCF97B6C30434F80EA4D4CD7A6E6B0" hidden="1">#REF!</definedName>
    <definedName name="BOAFD92033784E4347BEF08633B0D37AF4" hidden="1">#REF!</definedName>
    <definedName name="BOAFE0B7779EB449219BB7D90A62DFB882" hidden="1">#REF!</definedName>
    <definedName name="BOAFE2291F13494B2FAF49B44566D1BA23" hidden="1">#REF!</definedName>
    <definedName name="BOAFE70C28BF8E4A8192F6E27D87FB9AC8" hidden="1">#REF!</definedName>
    <definedName name="BOAFF11EEB8B204BC8A0097A4980EC9808" hidden="1">#REF!</definedName>
    <definedName name="BOB00F500EBC3441AD8713E07BB94D4D45" hidden="1">#REF!</definedName>
    <definedName name="BOB0129F9CEFE8419B82515DC60167DCED" hidden="1">#REF!</definedName>
    <definedName name="BOB01FA175799543B69D78892BC1CBA7FA" hidden="1">#REF!</definedName>
    <definedName name="BOB024EBB2B0994FEABB2C700CBB720F03" hidden="1">#REF!</definedName>
    <definedName name="BOB02BCB3F18FB4AA98FD991FBE27A326D" hidden="1">#REF!</definedName>
    <definedName name="BOB02D9103006448D9A5D6182A7AA4842A" hidden="1">#REF!</definedName>
    <definedName name="BOB0327231296C445CA34231A24A4DD886" hidden="1">#REF!</definedName>
    <definedName name="BOB034B20601BB438BA3949561AA0D55C2" hidden="1">#REF!</definedName>
    <definedName name="BOB03BA12414754C559391C1FF361D10C8" hidden="1">#REF!</definedName>
    <definedName name="BOB0435C4E4223418288FB12D21E456B43" hidden="1">#REF!</definedName>
    <definedName name="BOB05BA2799B08442E86A7921725D88408" hidden="1">#REF!</definedName>
    <definedName name="BOB06485AED45144169545E5A933DC7646" hidden="1">#REF!</definedName>
    <definedName name="BOB06DE65E29E641309402A9AFB12D9DFD" hidden="1">#REF!</definedName>
    <definedName name="BOB0752A517EE6439C8BFD263D4A8F18B8" hidden="1">#REF!</definedName>
    <definedName name="BOB077D44AB1AE459FA2B0161CE96B29F0" hidden="1">#REF!</definedName>
    <definedName name="BOB07D82CDF3EA4606A9572B1ACE184F16" hidden="1">#REF!</definedName>
    <definedName name="BOB081CB5C24494620A8F061461B1E0E54" hidden="1">#REF!</definedName>
    <definedName name="BOB08508542D35449080CF66726EFCF705" hidden="1">#REF!</definedName>
    <definedName name="BOB08EB443FF5D4649BF4A67F67EC41B1E" hidden="1">#REF!</definedName>
    <definedName name="BOB090EC79C6F64821BA2D583258833E54" hidden="1">#REF!</definedName>
    <definedName name="BOB0AB2890599443FB946D9E21CC8A461A" hidden="1">#REF!</definedName>
    <definedName name="BOB0C9EF8614A74E5D93A88A613ABAA6EE" hidden="1">#REF!</definedName>
    <definedName name="BOB0CF79422381432E8366A45CF09C7ECE" hidden="1">#REF!</definedName>
    <definedName name="BOB0CF95BB49DE49D8966757965DA1CCAF" hidden="1">#REF!</definedName>
    <definedName name="BOB0DC68234E7F4F3B801D461FF13EB17C" hidden="1">#REF!</definedName>
    <definedName name="BOB0E04007425B41278345C73FFADAC099" hidden="1">#REF!</definedName>
    <definedName name="BOB0EC3D97C07E4DCB8274DD2FA6A4BC69" hidden="1">#REF!</definedName>
    <definedName name="BOB0F26CB22196408E8B624DB1BC670C1D" hidden="1">#REF!</definedName>
    <definedName name="BOB10AB74213E645849CB673F1A06A60DD" hidden="1">#REF!</definedName>
    <definedName name="BOB10C3781F62B4184A41129BCBA35F8E8" hidden="1">#REF!</definedName>
    <definedName name="BOB1151C594BA04DC897564491D6D112B0" hidden="1">#REF!</definedName>
    <definedName name="BOB11BB4687E3C4E77940E48C1C6FA9B27" hidden="1">#REF!</definedName>
    <definedName name="BOB12F68B8D76C4E32AF05F9384C202E74" hidden="1">#REF!</definedName>
    <definedName name="BOB13819DEAD124BB4BF69344CDDE4CF35" hidden="1">#REF!</definedName>
    <definedName name="BOB1658FFD7E0341EDBAA855F65911E95D" hidden="1">#REF!</definedName>
    <definedName name="BOB16F731EAD8D42ABBB3AED91AD2DE6C7" hidden="1">#REF!</definedName>
    <definedName name="BOB172156C945148349A8849885BC0A678" hidden="1">#REF!</definedName>
    <definedName name="BOB17D82F051914DC89555E91E422E6461" hidden="1">#REF!</definedName>
    <definedName name="BOB1853743A0F44CA8A262C185041BED42" hidden="1">#REF!</definedName>
    <definedName name="BOB18E75A435DE4ABE9160F200D12E5084" hidden="1">#REF!</definedName>
    <definedName name="BOB1960E533FF84E9A9C0A9C2F8E1713F4" hidden="1">#REF!</definedName>
    <definedName name="BOB1A1984EFDE646BBA69DAFA589169489" hidden="1">#REF!</definedName>
    <definedName name="BOB1A7FB2825674E6C93EE7D24E3E6CED8" hidden="1">#REF!</definedName>
    <definedName name="BOB1B5049468294D53AFBC634B3088F901" hidden="1">#REF!</definedName>
    <definedName name="BOB1B8022722C3486480B14F38F75CC5A4" hidden="1">#REF!</definedName>
    <definedName name="BOB1D0E67AAC2740909DB9D3D4370A8E9B" hidden="1">#REF!</definedName>
    <definedName name="BOB1E015359263421CA5DC57156D6CEF6D" hidden="1">#REF!</definedName>
    <definedName name="BOB1ECE4CD264A49439226C4998C6DC20A" hidden="1">#REF!</definedName>
    <definedName name="BOB1EF4DF3C27544DBAAA4CCD057C523EA" hidden="1">#REF!</definedName>
    <definedName name="BOB20153BD73BF4227A85FA7AF030DF0F1" hidden="1">#REF!</definedName>
    <definedName name="BOB203288D71094A88A31DB60D9FE5A073" hidden="1">#REF!</definedName>
    <definedName name="BOB2138054F3114B6BA0A6625A89F5A503" hidden="1">#REF!</definedName>
    <definedName name="BOB2165BBDDAF44AD1A42B6ED602C25D50" hidden="1">#REF!</definedName>
    <definedName name="BOB22D4E0487CB41639CB01FFECE79BE32" hidden="1">#REF!</definedName>
    <definedName name="BOB24CB1C651874B7F9C928A5A82239D39" hidden="1">#REF!</definedName>
    <definedName name="BOB2573C995040481191E67CAF7FEE791A" hidden="1">#REF!</definedName>
    <definedName name="BOB25C37D186644000AE2CA57D58B82FC6" hidden="1">#REF!</definedName>
    <definedName name="BOB25E72CBE060481C9A80058EDB24A23E" hidden="1">#REF!</definedName>
    <definedName name="BOB264451CE9CE4866B6D78878B2A3D2E5" hidden="1">#REF!</definedName>
    <definedName name="BOB26B469973A744059CA3E6B03AB2CBB6" hidden="1">#REF!</definedName>
    <definedName name="BOB26BE35C567D4615A982A58A5170B333" hidden="1">#REF!</definedName>
    <definedName name="BOB27A0C2171054AA688DCC82F1A8E31A8" hidden="1">#REF!</definedName>
    <definedName name="BOB27C31A7A98E4BD79F77D6B504175A27" hidden="1">#REF!</definedName>
    <definedName name="BOB281EB7DB99845FABE12BC69B1C4A8CF" hidden="1">#REF!</definedName>
    <definedName name="BOB29B445D291348539A85C0A295812EA4" hidden="1">#REF!</definedName>
    <definedName name="BOB29FBBCE6CA4443A86F68AF4855CA2BC" hidden="1">#REF!</definedName>
    <definedName name="BOB2A257FE032A414C83ADFE54C30A72B7" hidden="1">#REF!</definedName>
    <definedName name="BOB2A90612CC92409CBF3DD014D5D74A3F" hidden="1">#REF!</definedName>
    <definedName name="BOB2B444F9E61E43A8B7916F51389B1810" hidden="1">#REF!</definedName>
    <definedName name="BOB2B96FE6874D4F3A88EBAE52EF19D1A0" hidden="1">#REF!</definedName>
    <definedName name="BOB2BC7A0475EC4B73A4C459AAF480D2ED" hidden="1">#REF!</definedName>
    <definedName name="BOB2BC955404624D8A8AD22FFDAA68C0FB" hidden="1">#REF!</definedName>
    <definedName name="BOB2CF5927E15D4E14B5E7D3133B74EDE5" hidden="1">#REF!</definedName>
    <definedName name="BOB2EB20CB480547FB902577BE895BD2DF" hidden="1">#REF!</definedName>
    <definedName name="BOB2FBE313FBB44D2190C46E4B604641C3" hidden="1">#REF!</definedName>
    <definedName name="BOB31C21D07864421A9B248D0ED37D1F56" hidden="1">#REF!</definedName>
    <definedName name="BOB32DE1A0B0C74E06B3241D1C50CBA51D" hidden="1">#REF!</definedName>
    <definedName name="BOB33A8E309317497987385859AA513378" hidden="1">#REF!</definedName>
    <definedName name="BOB33E5FDDF146407DADDFE87BB0770BDB" hidden="1">#REF!</definedName>
    <definedName name="BOB34ACC6328ED46D892FA7BDF50BB7960" hidden="1">#REF!</definedName>
    <definedName name="BOB359F0FF330445ED84549B0E3D219F4B" hidden="1">#REF!</definedName>
    <definedName name="BOB35C2F89030B4F199B789C70547179C3" hidden="1">#REF!</definedName>
    <definedName name="BOB372F4840BB147BE8F299BF6679474B5" hidden="1">#REF!</definedName>
    <definedName name="BOB37ACDD0B1414A168B636880549CCF70" hidden="1">#REF!</definedName>
    <definedName name="BOB37ADEBE55DF4605A9FFE27633EF0A62" hidden="1">#REF!</definedName>
    <definedName name="BOB38BF544CE4E468A9254418F7CBDA244" hidden="1">#REF!</definedName>
    <definedName name="BOB39D4313B3974263ABF9B81090AB3283" hidden="1">#REF!</definedName>
    <definedName name="BOB39DF9C9D4964A2D856490F6152FDF0C" hidden="1">#REF!</definedName>
    <definedName name="BOB3A3475CAF5943898DC8ABAA47FC00A8" hidden="1">#REF!</definedName>
    <definedName name="BOB3A6BCB7AFE4443FAC19B352FB7B5DE8" hidden="1">#REF!</definedName>
    <definedName name="BOB3B28E479493418499FB5696A1F866C2" hidden="1">#REF!</definedName>
    <definedName name="BOB3C3FD91DCC84A76AD754BE79F79583F" hidden="1">#REF!</definedName>
    <definedName name="BOB3C51E526F6E498685E6AAC574DE839B" hidden="1">#REF!</definedName>
    <definedName name="BOB3C65EF9ED0F4414A67C0A7D3A799A67" hidden="1">#REF!</definedName>
    <definedName name="BOB3CF7BE6E7264CA38E1C9BFB0F677C96" hidden="1">#REF!</definedName>
    <definedName name="BOB3D2CF6A542A48268FB6589C7CB9CBF2" hidden="1">#REF!</definedName>
    <definedName name="BOB3D32820497048C8A7E4E9081B994E29" hidden="1">#REF!</definedName>
    <definedName name="BOB3D5B36E0FB8404F944EE0D39A18AE87" hidden="1">#REF!</definedName>
    <definedName name="BOB3D7908E4190494082F2DB681B37444D" hidden="1">#REF!</definedName>
    <definedName name="BOB3D80A4EAA4843D2AC54FB3F142775C2" hidden="1">#REF!</definedName>
    <definedName name="BOB3E9A82A040A4964A072950A231EC036" hidden="1">#REF!</definedName>
    <definedName name="BOB3EA75A6B53B4B72BECDEBC607E3B3DE" hidden="1">#REF!</definedName>
    <definedName name="BOB3EF754AE6BB409AA2C86ACEA63D329E" hidden="1">#REF!</definedName>
    <definedName name="BOB3F1E02838EA4B1BB0C5441882DFBF47" hidden="1">#REF!</definedName>
    <definedName name="BOB4014076B7BB49C09953FAE16F54218C" hidden="1">#REF!</definedName>
    <definedName name="BOB411E6146B714397AC3F1D397580EF1F" hidden="1">#REF!</definedName>
    <definedName name="BOB41CCE82446D4F36B4A930573C0590C5" hidden="1">#REF!</definedName>
    <definedName name="BOB42235857287457CB25C82D0F28416DD" hidden="1">#REF!</definedName>
    <definedName name="BOB43DB40437E6493B837C0DB8FF40795B" hidden="1">#REF!</definedName>
    <definedName name="BOB45A6988D45041F9A8399B1DF6A1C85F" hidden="1">#REF!</definedName>
    <definedName name="BOB4605308CC9C45749F4ABE13C30ECE4E" hidden="1">#REF!</definedName>
    <definedName name="BOB465B30A98CB498FBDC20C5B6D671716" hidden="1">#REF!</definedName>
    <definedName name="BOB470F42D76414C508B7F785B21C3E5AD" hidden="1">#REF!</definedName>
    <definedName name="BOB474FEDE9D2A4612BA2A96B11B34BFF2" hidden="1">#REF!</definedName>
    <definedName name="BOB47A65DAFA284D4E9C8D878BA1189159" hidden="1">#REF!</definedName>
    <definedName name="BOB486A9E496CE471DB4E7F7BEBC89D3F6" hidden="1">#REF!</definedName>
    <definedName name="BOB49FC31D00CF4D788B8DCE09D776E09C" hidden="1">#REF!</definedName>
    <definedName name="BOB4A0BB951D424705A1A79722DA720E81" hidden="1">#REF!</definedName>
    <definedName name="BOB4A71221E79E49278199717213B852AC" hidden="1">#REF!</definedName>
    <definedName name="BOB4AC5E57ECC04B94868467C0E2EFC676" hidden="1">#REF!</definedName>
    <definedName name="BOB4AE4A8B4DB041AAA635F2E9FAD18107" hidden="1">#REF!</definedName>
    <definedName name="BOB4B196D3D3614BB0990C612CCB194296" hidden="1">#REF!</definedName>
    <definedName name="BOB4C0D3AFFC974596A0BF1A89680298B9" hidden="1">#REF!</definedName>
    <definedName name="BOB4CA2D29FC6D46C090DC835483EE6B19" hidden="1">#REF!</definedName>
    <definedName name="BOB4CFD76A9BBA423F9413D73A50B8E3D9" hidden="1">#REF!</definedName>
    <definedName name="BOB4D39D5A8FF74CDF92282E47217AD4C0" hidden="1">#REF!</definedName>
    <definedName name="BOB4D8EB06E6A541F785F982727A620132" hidden="1">#REF!</definedName>
    <definedName name="BOB4E1E01009F34B8B92915EE704040C47" hidden="1">#REF!</definedName>
    <definedName name="BOB4E3B8A2E8CD4E3AAD3B3D87452D5B50" hidden="1">#REF!</definedName>
    <definedName name="BOB4E6970314174C22A23CD2998F981F6A" hidden="1">#REF!</definedName>
    <definedName name="BOB4E7856816AC4B1890795302A5628B4E" hidden="1">#REF!</definedName>
    <definedName name="BOB4E97D44C73544679568ED824E38D1EC" hidden="1">#REF!</definedName>
    <definedName name="BOB4F30A70B12B4A9983F1CCE033BCFF68" hidden="1">#REF!</definedName>
    <definedName name="BOB504B42EC7C740FAAFDCA6E24CF911D9" hidden="1">#REF!</definedName>
    <definedName name="BOB50CAB38AC9C4C57AB8DED3AD2716C94" hidden="1">#REF!</definedName>
    <definedName name="BOB5170EEE60BA4A3E8E32D6DE15E5D32E" hidden="1">#REF!</definedName>
    <definedName name="BOB5175846E4AE480782AED046995B2BF2" hidden="1">#REF!</definedName>
    <definedName name="BOB52027AF7227401C8906F53DDA70922F" hidden="1">#REF!</definedName>
    <definedName name="BOB52E82C9D6964717A5345570EAE70D5A" hidden="1">#REF!</definedName>
    <definedName name="BOB53ABE8009384F67B912779F43E53150" hidden="1">#REF!</definedName>
    <definedName name="BOB55AB5F97D624B1A9EB174F428A25FF5" hidden="1">#REF!</definedName>
    <definedName name="BOB55E1F1198F14C609468DB1B9D8516B2" hidden="1">#REF!</definedName>
    <definedName name="BOB560CC4A48344801B7C7BC50BEA82DBC" hidden="1">#REF!</definedName>
    <definedName name="BOB56850D9C88D4AED944CA599BDDCF38D" hidden="1">#REF!</definedName>
    <definedName name="BOB56D905365194C0DBD127119E8577F6E" hidden="1">#REF!</definedName>
    <definedName name="BOB5701D543D874F56B3916A8E9393873B" hidden="1">#REF!</definedName>
    <definedName name="BOB574EFC94D5B44D5BC2FF1E6B3169A5D" hidden="1">#REF!</definedName>
    <definedName name="BOB58D940A745248DB914726794C0D9688" hidden="1">#REF!</definedName>
    <definedName name="BOB5931A5406A64981B9FE762663EF15D9" hidden="1">#REF!</definedName>
    <definedName name="BOB59543762BF1497CA95FDB7CDC060E17" hidden="1">#REF!</definedName>
    <definedName name="BOB598E0DF66594C95A4CD38157B5FDB20" hidden="1">#REF!</definedName>
    <definedName name="BOB59C7FC965454A3BB89FE6F7379537D9" hidden="1">#REF!</definedName>
    <definedName name="BOB5A397D8199B491493186890C5409C66" hidden="1">#REF!</definedName>
    <definedName name="BOB5AF7D0127E04D45B3927F609D16CCA0" hidden="1">#REF!</definedName>
    <definedName name="BOB5B5D4437E3E4874A00E90809359497D" hidden="1">#REF!</definedName>
    <definedName name="BOB5B82BBCB8704DD59AE74A83BBB5D6D7" hidden="1">#REF!</definedName>
    <definedName name="BOB5C735FDD94741DBBF780BE47D05D021" hidden="1">#REF!</definedName>
    <definedName name="BOB5D56A3ED48A4165B02F9008341ECBC7" hidden="1">#REF!</definedName>
    <definedName name="BOB5D7FFC499A544868F05FC7C3F0E8D9E" hidden="1">#REF!</definedName>
    <definedName name="BOB5D89C84CE58460092C4D8C639AAF5FF" hidden="1">#REF!</definedName>
    <definedName name="BOB5EC17A41669463A8783E28E492736E2" hidden="1">#REF!</definedName>
    <definedName name="BOB5F66A80CE624E5CBA61DD89F7F3DF6E" hidden="1">#REF!</definedName>
    <definedName name="BOB607E6D121DD430EB953846058C1C2DB" hidden="1">#REF!</definedName>
    <definedName name="BOB617BDDDF92C4B00A42846B294BA5774" hidden="1">#REF!</definedName>
    <definedName name="BOB6198DABB89F42879F3AE6CDAF5061D3" hidden="1">#REF!</definedName>
    <definedName name="BOB62E5089245F43318434BDA51576E52C" hidden="1">#REF!</definedName>
    <definedName name="BOB62EEEACD9A84F49A9D06AF33E63CA12" hidden="1">#REF!</definedName>
    <definedName name="BOB63098E665B04F72ACBE45F508C4D6B3" hidden="1">#REF!</definedName>
    <definedName name="BOB6357FC875814E18B9A2B6D7A1EC83D6" hidden="1">#REF!</definedName>
    <definedName name="BOB63856EA44CF4A1894C7F205A640D90F" hidden="1">#REF!</definedName>
    <definedName name="BOB63B6672FEE547079F387A0800D62D0B" hidden="1">#REF!</definedName>
    <definedName name="BOB6455514E5144513BDF4FEA59195D77B" hidden="1">#REF!</definedName>
    <definedName name="BOB647AECDE6DC46CDB3BA2194A6F7FC70" hidden="1">#REF!</definedName>
    <definedName name="BOB65A8AACAE204004A1B8D717093B224D" hidden="1">#REF!</definedName>
    <definedName name="BOB666CC50F79844DA86B38E02A6E54D6B" hidden="1">#REF!</definedName>
    <definedName name="BOB66B71E7A1F7487989D0086A6AED89FA" hidden="1">#REF!</definedName>
    <definedName name="BOB66D498F4B204D4A8DD0AC21DE49F7E4" hidden="1">#REF!</definedName>
    <definedName name="BOB6700FFD6B504BF6AA22F70A462A5B5B" hidden="1">#REF!</definedName>
    <definedName name="BOB67907EA1AD04747BAFF6F76D4C31180" hidden="1">#REF!</definedName>
    <definedName name="BOB68D4CD479DA40D6B36617606E8E8552" hidden="1">#REF!</definedName>
    <definedName name="BOB68DAB1F3A1D45A68B20D894D530071D" hidden="1">#REF!</definedName>
    <definedName name="BOB699A27251814F868614DB6E77B89DC5" hidden="1">#REF!</definedName>
    <definedName name="BOB6BFC0817F0E447D830BDCC6BD8569E8" hidden="1">#REF!</definedName>
    <definedName name="BOB6C2746564C0432590B8A77BEEE69CA1" hidden="1">#REF!</definedName>
    <definedName name="BOB6D2D6E4AB1D4B8EAC5D752E783D2555" hidden="1">#REF!</definedName>
    <definedName name="BOB6DCF5E790974FD099D4AEB4CC1AC0A7" hidden="1">#REF!</definedName>
    <definedName name="BOB6EAE608907A4D7A9FA5DB1093D42DF1" hidden="1">#REF!</definedName>
    <definedName name="BOB6EAED81AF2C4F5AB510286997E12F36" hidden="1">#REF!</definedName>
    <definedName name="BOB6F09119385A4B1592C88A16B628E851" hidden="1">#REF!</definedName>
    <definedName name="BOB6F27FD8EB634D55832DE0FDC15FD7E4" hidden="1">#REF!</definedName>
    <definedName name="BOB705A8E9175543B8BA3447322E7382B3" hidden="1">#REF!</definedName>
    <definedName name="BOB70BFDEFEC2144CDBA2B8B2B06E50731" hidden="1">#REF!</definedName>
    <definedName name="BOB7190ADB284746CDB24B0B5F1DEBDF38" hidden="1">#REF!</definedName>
    <definedName name="BOB738ACD61105421991515EB983D3EE0D" hidden="1">#REF!</definedName>
    <definedName name="BOB750421725734F21BB6E8ECEEF9D26B0" hidden="1">#REF!</definedName>
    <definedName name="BOB751DE3BA6F341E5800C518B70D5B088" hidden="1">#REF!</definedName>
    <definedName name="BOB7590E7907A04ED7A1BCA486EB144194" hidden="1">#REF!</definedName>
    <definedName name="BOB759359E0BA34EC98E3AFC1897ECEA50" hidden="1">#REF!</definedName>
    <definedName name="BOB76311B502CC4241B8EB69EB145AD993" hidden="1">#REF!</definedName>
    <definedName name="BOB7763A1112E747EFA6A13AA6D498F8DA" hidden="1">#REF!</definedName>
    <definedName name="BOB77CF889A45C4D98B7CA6993CE5A6758" hidden="1">#REF!</definedName>
    <definedName name="BOB77E656C54BC4682B90C7AC84EE34A07" hidden="1">#REF!</definedName>
    <definedName name="BOB7836FD3C4754E0C8762D3205BABE37A" hidden="1">#REF!</definedName>
    <definedName name="BOB7891C8E302F4E88A04B00A60923BDD2" hidden="1">#REF!</definedName>
    <definedName name="BOB79C094D1C944ED39E3DB417F0F88374" hidden="1">#REF!</definedName>
    <definedName name="BOB7A5F676C263465E9FF8BB998237D311" hidden="1">#REF!</definedName>
    <definedName name="BOB7A6D510F48B49199431273B42481F8C" hidden="1">#REF!</definedName>
    <definedName name="BOB7A7C18837354B27A74735C44D25B9B0" hidden="1">#REF!</definedName>
    <definedName name="BOB7AE52B7D5AA429CAD076A9AD4817407" hidden="1">#REF!</definedName>
    <definedName name="BOB7B17F2E9EB6454197E680FA096E2B98" hidden="1">#REF!</definedName>
    <definedName name="BOB7C317F8628044F89BE79767F394FC9B" hidden="1">#REF!</definedName>
    <definedName name="BOB7C561F8FEB44E6AAE97BAB1F4964526" hidden="1">#REF!</definedName>
    <definedName name="BOB7C6695A69844DEBA43D4373359B0FE4" hidden="1">#REF!</definedName>
    <definedName name="BOB7C853A4573945F2ACA231D4B82CB5B5" hidden="1">#REF!</definedName>
    <definedName name="BOB7CF3A4DB1A94DC58D3EE6563ABF1B1F" hidden="1">#REF!</definedName>
    <definedName name="BOB7DF919F2FCC4B2BB47DB2EFE412B5A5" hidden="1">#REF!</definedName>
    <definedName name="BOB7E9DDF68E694FD09AD10D87A360C431" hidden="1">#REF!</definedName>
    <definedName name="BOB7EE501DA30A49A1A53AB18DB04D4CD7" hidden="1">#REF!</definedName>
    <definedName name="BOB7F1267B63AC4FDEAF05F8A44DC5E38F" hidden="1">#REF!</definedName>
    <definedName name="BOB7F487593193415DA3C5D240F46163BB" hidden="1">#REF!</definedName>
    <definedName name="BOB803F441BE8B446DBEA0DDBE7A5E86CD" hidden="1">#REF!</definedName>
    <definedName name="BOB807E2E19FF545699B817928850EE76B" hidden="1">#REF!</definedName>
    <definedName name="BOB81E9D111CAC46E3A3AFD58EA8521E13" hidden="1">#REF!</definedName>
    <definedName name="BOB82910ACB1604AB9892165D623DF96D2" hidden="1">#REF!</definedName>
    <definedName name="BOB82C3A6623C34F80848546B686D71CE8" hidden="1">#REF!</definedName>
    <definedName name="BOB8358D6F6D764CF7B46D37B21B213F8D" hidden="1">#REF!</definedName>
    <definedName name="BOB83709E25DA24B26AFB4ECB7E8B61FEB" hidden="1">#REF!</definedName>
    <definedName name="BOB83AF06656AD410EA5C72A095D602C38" hidden="1">#REF!</definedName>
    <definedName name="BOB84917541DC74340891F8F9293BD308B" hidden="1">#REF!</definedName>
    <definedName name="BOB86E4883F0F54A4593FC6957F0F88E66" hidden="1">#REF!</definedName>
    <definedName name="BOB87483D9C2F54320AFAEAA2D34993CB5" hidden="1">#REF!</definedName>
    <definedName name="BOB87A094099AD439CB2A2D6CB183E1EEC" hidden="1">#REF!</definedName>
    <definedName name="BOB87F37B0134E4FCA80E5FAE213722B6D" hidden="1">#REF!</definedName>
    <definedName name="BOB882300F16A14F0A8D0D693C8DC7528B" hidden="1">#REF!</definedName>
    <definedName name="BOB89351A5D2DA4A76A148CA3BFCD5F1CC" hidden="1">#REF!</definedName>
    <definedName name="BOB897E4187FC0473E8398A141F2A1B2C6" hidden="1">#REF!</definedName>
    <definedName name="BOB89F6024F31E457C84C5674562FB70CC" hidden="1">#REF!</definedName>
    <definedName name="BOB8A23BD830EF4C36A7F109CE7F0DCFA5" hidden="1">#REF!</definedName>
    <definedName name="BOB8A4FBD530B74B69BF25C0B6AD3578AD" hidden="1">#REF!</definedName>
    <definedName name="BOB8B09827EB0148429CC5BED507551FCA" hidden="1">#REF!</definedName>
    <definedName name="BOB8B31B92CAC14444B0139962BC3C2B62" hidden="1">#REF!</definedName>
    <definedName name="BOB8BA48CBAB834E0188D507D8C9CF380C" hidden="1">#REF!</definedName>
    <definedName name="BOB8D45BE871E84558A6FBB855E282FEC6" hidden="1">#REF!</definedName>
    <definedName name="BOB8D88A7C1F1444288296D885A85B21D1" hidden="1">#REF!</definedName>
    <definedName name="BOB8DC2D14D7D24864B33E79FB6FD192FB" hidden="1">#REF!</definedName>
    <definedName name="BOB8E1C6F59A414224933C2FD734996660" hidden="1">#REF!</definedName>
    <definedName name="BOB8F6BF314C0E48CDBBA09222734A4AF5" hidden="1">#REF!</definedName>
    <definedName name="BOB8FB76CDAD134B1F9A82378FEE99B19A" hidden="1">#REF!</definedName>
    <definedName name="BOB8FC888F7F274D7ABFA1CE4402AF0C80" hidden="1">#REF!</definedName>
    <definedName name="BOB91B5538838B44BE886798F446EE961E" hidden="1">#REF!</definedName>
    <definedName name="BOB91B83E348F4487396143C09526EA45E" hidden="1">#REF!</definedName>
    <definedName name="BOB920E64A7E09487A86AE0A14E1DD7918" hidden="1">#REF!</definedName>
    <definedName name="BOB923629892A7415993EDBE25E71CEB3E" hidden="1">#REF!</definedName>
    <definedName name="BOB93F476931294287AFFC9D977863DF19" hidden="1">#REF!</definedName>
    <definedName name="BOB941D121BD8C48EF8E0EE57CE7670D74" hidden="1">#REF!</definedName>
    <definedName name="BOB949854849CD4697AA27BC56C08A635E" hidden="1">#REF!</definedName>
    <definedName name="BOB9621782A5E743E19D5B9B9DF998EF7F" hidden="1">#REF!</definedName>
    <definedName name="BOB966D3155BF447F987C6E9803AD640F6" hidden="1">#REF!</definedName>
    <definedName name="BOB970DB0D28EC41648AD26A449BD72AE1" hidden="1">#REF!</definedName>
    <definedName name="BOB9720B4D455E45F18DC0E0B6A09FD609" hidden="1">#REF!</definedName>
    <definedName name="BOB98BFBD4A80344B2A9EBEFF82B5A9BB1" hidden="1">#REF!</definedName>
    <definedName name="BOB98C7AD285104B07A7F83D1AB4C69304" hidden="1">#REF!</definedName>
    <definedName name="BOB9A55FA7705B4F1DB32449D6B413F778" hidden="1">#REF!</definedName>
    <definedName name="BOB9ADB5C15E7946E5854516562FAE6A8B" hidden="1">#REF!</definedName>
    <definedName name="BOB9B5D41401BE4B9FAF38DF19A6F5D2A6" hidden="1">#REF!</definedName>
    <definedName name="BOB9B8C4AFFB6E4EC1B949BA80A6776465" hidden="1">#REF!</definedName>
    <definedName name="BOB9BEA138B552444E90D5168070E0C1B8" hidden="1">#REF!</definedName>
    <definedName name="BOB9BFA727BF054A139862BFF34BB1D7D7" hidden="1">#REF!</definedName>
    <definedName name="BOB9C82B7B1E4C4F8E8C4DB5ABFCF1F678" hidden="1">#REF!</definedName>
    <definedName name="BOB9D6A0440C94432886FCE4848787DFA1" hidden="1">#REF!</definedName>
    <definedName name="BOB9D9F93BDF204DA3A53BC86EFC3ED7C9" hidden="1">#REF!</definedName>
    <definedName name="BOB9DC8C7869AF428B841BCAC58C152006" hidden="1">#REF!</definedName>
    <definedName name="BOB9E4F755F7BB4FEA8D10317F9BCDDC0E" hidden="1">#REF!</definedName>
    <definedName name="BOB9ED275C0DA14639BF2869BF372618B5" hidden="1">#REF!</definedName>
    <definedName name="BOB9F345A25889412A939386D4505C3AC5" hidden="1">#REF!</definedName>
    <definedName name="BOB9F3B397718241FFAB28CBF939E9F9FE" hidden="1">#REF!</definedName>
    <definedName name="BOB9F4DAF0E72D4F169E6558FC3C2FD492" hidden="1">#REF!</definedName>
    <definedName name="BOB9F6358962744AA5B838D436EFA1548F" hidden="1">#REF!</definedName>
    <definedName name="BOB9F9EC9898674CC89AAC61735E3EFC1B" hidden="1">#REF!</definedName>
    <definedName name="BOBA0000A98BAD4970BDD28EF93084624E" hidden="1">#REF!</definedName>
    <definedName name="BOBA06F12B42A94CD6AB34AC87F2B93DF5" hidden="1">#REF!</definedName>
    <definedName name="BOBA16CE48DE3440E4ADA3B92FF64E12DE" hidden="1">#REF!</definedName>
    <definedName name="BOBA1A8F7D4BDA4E37A3283995CC2668CD" hidden="1">#REF!</definedName>
    <definedName name="BOBA3AC7D69DAE4B9D9FFDF433F75E2124" hidden="1">#REF!</definedName>
    <definedName name="BOBA463FEEDB1E44E58964202CF821EF1E" hidden="1">#REF!</definedName>
    <definedName name="BOBA46E01F6E8C476BAF9BCB9501CCD2CA" hidden="1">#REF!</definedName>
    <definedName name="BOBA5761EBE04444469A5DD859527588AD" hidden="1">#REF!</definedName>
    <definedName name="BOBA57C6BCB22D47C09AFD9ED1C11A0098" hidden="1">#REF!</definedName>
    <definedName name="BOBA78BBEF6E9B45749D6CDE1E87B86756" hidden="1">#REF!</definedName>
    <definedName name="BOBA839E9B18174F6588FCBD5E97A0F4A7" hidden="1">#REF!</definedName>
    <definedName name="BOBA8A5490878640B589CB4E5F65236EB4" hidden="1">#REF!</definedName>
    <definedName name="BOBA904D46B32247BDB9BB8D5041886E35" hidden="1">#REF!</definedName>
    <definedName name="BOBA9335F762944593826C0D40FE40E77F" hidden="1">#REF!</definedName>
    <definedName name="BOBA9509BC5EFA4AA6BE2A0F3F37832487" hidden="1">#REF!</definedName>
    <definedName name="BOBA99D88CBF684BD2AA71105EB835FBF5" hidden="1">#REF!</definedName>
    <definedName name="BOBAA10B2F44DF419DB2FB67D2CB958ABC" hidden="1">#REF!</definedName>
    <definedName name="BOBAA3F5D565804104BA664822DB54F29E" hidden="1">#REF!</definedName>
    <definedName name="BOBAA7EBB8CB3A49D690A30BE7FCA61026" hidden="1">#REF!</definedName>
    <definedName name="BOBAB4A70DE3A04B54B3570ABDC3388651" hidden="1">#REF!</definedName>
    <definedName name="BOBAB728DC1AE743D096493E1294C1DEEE" hidden="1">#REF!</definedName>
    <definedName name="BOBAC1407143994FBBA71F103BAE62364E" hidden="1">#REF!</definedName>
    <definedName name="BOBAC8AEF0FDFB470AAC90F3A8C4BA6F35" hidden="1">#REF!</definedName>
    <definedName name="BOBAD172C09AD5413A98FDA4F94453A10A" hidden="1">#REF!</definedName>
    <definedName name="BOBAD4181093504B33BCCC3F0ECFE3670C" hidden="1">#REF!</definedName>
    <definedName name="BOBAD5CBF607BD4303A1F2D0153C0077BD" hidden="1">#REF!</definedName>
    <definedName name="BOBAD7A48D89CF42B88E6ED79539EBF42A" hidden="1">#REF!</definedName>
    <definedName name="BOBAE1782AB5834332BE9682AE0889D87A" hidden="1">#REF!</definedName>
    <definedName name="BOBAE26F09E8164635AA2B521E6596929B" hidden="1">#REF!</definedName>
    <definedName name="BOBAECD992D02A4C5688AE8B181677D80D" hidden="1">#REF!</definedName>
    <definedName name="BOBB064F7F4A934267A74810F4D0EF1EC5" hidden="1">#REF!</definedName>
    <definedName name="BOBB1085EBD6CD49918E593285031EFB2C" hidden="1">#REF!</definedName>
    <definedName name="BOBB16E729E48C44379A05C76B7F06DCA5" hidden="1">#REF!</definedName>
    <definedName name="BOBB1937FA9A2E4682ABC0DDB2E1FAD351" hidden="1">#REF!</definedName>
    <definedName name="BOBB2E8EBEA3B3421D9044AED0C8AA578F" hidden="1">#REF!</definedName>
    <definedName name="BOBB2E9C57B2FF4037AE1AC8736485D590" hidden="1">#REF!</definedName>
    <definedName name="BOBB32B5ABE0F346FDBC612772364D6437" hidden="1">#REF!</definedName>
    <definedName name="BOBB47DCF64FF84244B2CB288C183BFA76" hidden="1">#REF!</definedName>
    <definedName name="BOBB49985F34C14157B8CC28ABCB239479" hidden="1">#REF!</definedName>
    <definedName name="BOBB4A06CFCFC242999382540830758F57" hidden="1">#REF!</definedName>
    <definedName name="BOBB5733D691D147068154938E73D924CA" hidden="1">#REF!</definedName>
    <definedName name="BOBB59A30D046A4539A348DAB8B7D3ADB0" hidden="1">#REF!</definedName>
    <definedName name="BOBB671F864D93421194B67269CED82F2D" hidden="1">#REF!</definedName>
    <definedName name="BOBB680085EF6D4700BB41289937AFD9D3" hidden="1">#REF!</definedName>
    <definedName name="BOBB74A0DE746046E69CC22E3FA0180BB2" hidden="1">#REF!</definedName>
    <definedName name="BOBB8303A4DC8B476EA3A65D5A32259E3F" hidden="1">#REF!</definedName>
    <definedName name="BOBB834A90941D4BCCAC92B639B2C9E399" hidden="1">#REF!</definedName>
    <definedName name="BOBB85B994D44F4784A09D42B99A4DD8F7" hidden="1">#REF!</definedName>
    <definedName name="BOBB8F826CA07045D0AD1A67EBCEDA6CDD" hidden="1">#REF!</definedName>
    <definedName name="BOBB90A62F19054DBEA56DF98C68444D3D" hidden="1">#REF!</definedName>
    <definedName name="BOBBBA85B82BF04F8FBC7122AC3AE5F341" hidden="1">#REF!</definedName>
    <definedName name="BOBBC6E0ED53CE49139884A6782BA68E8C" hidden="1">#REF!</definedName>
    <definedName name="BOBBD4CD3071FB49ECB3AD33B5E00B79F1" hidden="1">#REF!</definedName>
    <definedName name="BOBBE54EC488774132B9F09D228B2D7F73" hidden="1">#REF!</definedName>
    <definedName name="BOBBF212C106844C2187AD2BE43B4E1E51" hidden="1">#REF!</definedName>
    <definedName name="BOBBF518FADC374B738FCA73BBF3132C38" hidden="1">#REF!</definedName>
    <definedName name="BOBBF64367663548B5A354A2DB5936292A" hidden="1">#REF!</definedName>
    <definedName name="BOBBFB0F4AACEA440CB73F2395ED86C4FC" hidden="1">#REF!</definedName>
    <definedName name="BOBBFC1B70A94B458688C5044F9DE9BA82" hidden="1">#REF!</definedName>
    <definedName name="BOBC02B125415A4A31A423BF60543352AE" hidden="1">#REF!</definedName>
    <definedName name="BOBC17A430D0C74A40BDE20C37ECBF9C2F" hidden="1">#REF!</definedName>
    <definedName name="BOBC1F0396560D4A8D9A242CA192A109A1" hidden="1">#REF!</definedName>
    <definedName name="BOBC1FC8695ACA41CDB52B4872D0CA33DD" hidden="1">#REF!</definedName>
    <definedName name="BOBC2A1AA27E554946A3A78977D31440FC" hidden="1">#REF!</definedName>
    <definedName name="BOBC36B2E17C1C4025A2B71C910A6F3FF1" hidden="1">#REF!</definedName>
    <definedName name="BOBC4A8AB33BBC4FEBABB43A1099B0FD3A" hidden="1">#REF!</definedName>
    <definedName name="BOBC55F66D87374DD38CA0F02D96E0F9F3" hidden="1">#REF!</definedName>
    <definedName name="BOBC5B9CCFB7F44D3597C9AF4DF80578C5" hidden="1">#REF!</definedName>
    <definedName name="BOBC5F14B5193248A392A98488C065642D" hidden="1">#REF!</definedName>
    <definedName name="BOBC630A480062481F8EBE992C6D83B18D" hidden="1">#REF!</definedName>
    <definedName name="BOBC68BFF782094FA8938CAB2DF0657C62" hidden="1">#REF!</definedName>
    <definedName name="BOBC8269E99BD049DB854D68319D09076D" hidden="1">#REF!</definedName>
    <definedName name="BOBC8352C5E29E4FEBA3868E3CCD3D6063" hidden="1">#REF!</definedName>
    <definedName name="BOBCA19229FCC74AAEBAF6E555603090BB" hidden="1">#REF!</definedName>
    <definedName name="BOBCAA1ABA6769435A9BADEDA297A3879B" hidden="1">#REF!</definedName>
    <definedName name="BOBCB504F39F22467E8A68487D6C3CC8AD" hidden="1">#REF!</definedName>
    <definedName name="BOBCE8325A9C0549BDBCB9B25B9B90883D" hidden="1">#REF!</definedName>
    <definedName name="BOBCEC410A6CFB4972A39D125F32E560AB" hidden="1">#REF!</definedName>
    <definedName name="BOBCEC8BF5D1C34282847EF6F527A1FCFE" hidden="1">#REF!</definedName>
    <definedName name="BOBCF247AE35ED43F98497E1995DC9F270" hidden="1">#REF!</definedName>
    <definedName name="BOBCF29D4FD8B843D0B23FEA14E5ACDE6A" hidden="1">#REF!</definedName>
    <definedName name="BOBCF79EB08EFA4B3999E14FD5016E97F1" hidden="1">#REF!</definedName>
    <definedName name="BOBCF899F3BB864D54BB94B7474B315E60" hidden="1">#REF!</definedName>
    <definedName name="BOBCFBAD2945ED4CD88759C0E2CD6F9C13" hidden="1">#REF!</definedName>
    <definedName name="BOBD0329294AF348749F3F4D87F6856F2E" hidden="1">#REF!</definedName>
    <definedName name="BOBD07545B83CC45BBB05AFBE52DE96916" hidden="1">#REF!</definedName>
    <definedName name="BOBD08AB9F96AD42DFBD8C9D23D2D35178" hidden="1">#REF!</definedName>
    <definedName name="BOBD0DA2C7B7A9422F8303174447B1D7CE" hidden="1">#REF!</definedName>
    <definedName name="BOBD102D5C3D0F47C1983829D32ACBCE8B" hidden="1">#REF!</definedName>
    <definedName name="BOBD183B891667431CA74F26716AFB4345" hidden="1">#REF!</definedName>
    <definedName name="BOBD1AB20D8E1948C9B53C79475A224E7A" hidden="1">#REF!</definedName>
    <definedName name="BOBD2505533D0D477B8BEE33A7C773807C" hidden="1">#REF!</definedName>
    <definedName name="BOBD25729EB2CE40BB8F7BCC7F509D3837" hidden="1">#REF!</definedName>
    <definedName name="BOBD2BE17F72034456B41213F63E0ECD27" hidden="1">#REF!</definedName>
    <definedName name="BOBD2C0483ECB64F04823FDF78F6330B85" hidden="1">#REF!</definedName>
    <definedName name="BOBD2FC99AFB64487CA8A2F43923BDF9B7" hidden="1">#REF!</definedName>
    <definedName name="BOBD37D018833444D3AD4278F3C3BE9413" hidden="1">#REF!</definedName>
    <definedName name="BOBD4865AD6C1F4A598D4BEAFC5D1074D1" hidden="1">#REF!</definedName>
    <definedName name="BOBD5714784A8F45AAAF16D5567C5B54E1" hidden="1">#REF!</definedName>
    <definedName name="BOBD682A5FD3BD46C989B99A79C60BF3C1" hidden="1">#REF!</definedName>
    <definedName name="BOBD69C533FEFC4CD6A9F24C77CDDE14C3" hidden="1">#REF!</definedName>
    <definedName name="BOBD8AB778FCAB4F36A3F4E38C047DCF4A" hidden="1">#REF!</definedName>
    <definedName name="BOBD99A58A7D3E4373B8054FB51ECAD498" hidden="1">#REF!</definedName>
    <definedName name="BOBDA752BDA3464B8896B344EE59334B1E" hidden="1">#REF!</definedName>
    <definedName name="BOBDBDB3F52AF1498CA933AD041B90B44E" hidden="1">#REF!</definedName>
    <definedName name="BOBDCA32E2AF7A4B96B467B3A2DD100E59" hidden="1">#REF!</definedName>
    <definedName name="BOBDD38C8288A54396AADB8C6CE28F9E30" hidden="1">#REF!</definedName>
    <definedName name="BOBDDBEE791C2342B0A438773FA531BA30" hidden="1">#REF!</definedName>
    <definedName name="BOBDE35A87518243D3940A2EACACE56432" hidden="1">#REF!</definedName>
    <definedName name="BOBDE8FC911F6240BCAEB11897AC2139FA" hidden="1">#REF!</definedName>
    <definedName name="BOBDF20212F88B45D693D7D0D6FE03AECD" hidden="1">#REF!</definedName>
    <definedName name="BOBDF2218966D14D8984E1363C8E38E823" hidden="1">#REF!</definedName>
    <definedName name="BOBE0EBDA12B1E4AB08906D28C78DA371C" hidden="1">#REF!</definedName>
    <definedName name="BOBE2461EA7A27495380C8BD6AF354A484" hidden="1">#REF!</definedName>
    <definedName name="BOBE2BE213A6EB434FA81F4F81DCC709BA" hidden="1">#REF!</definedName>
    <definedName name="BOBE2EA4C6964C43859E35131005BD58D5" hidden="1">#REF!</definedName>
    <definedName name="BOBE2F7808C61744219A1EB77AA3C2803E" hidden="1">#REF!</definedName>
    <definedName name="BOBE30AA34F50243A3A1B40D859C75AFBF" hidden="1">#REF!</definedName>
    <definedName name="BOBE3AED85AD944973AF01E679FD43F9C0" hidden="1">#REF!</definedName>
    <definedName name="BOBE3D6968E5E94A4C94F473180448BCA0" hidden="1">#REF!</definedName>
    <definedName name="BOBE48F1256CF841E68D5A56788DDBC7D8" hidden="1">#REF!</definedName>
    <definedName name="BOBE4A5B6A440E4B4CB84EF928495E3F8D" hidden="1">#REF!</definedName>
    <definedName name="BOBE4AEFF3662E43C5823EF77CF1796184" hidden="1">#REF!</definedName>
    <definedName name="BOBE57B3589A0E413EA44420672771EEE1" hidden="1">#REF!</definedName>
    <definedName name="BOBE598419D06D47E7B285E7E74CBE6F8C" hidden="1">#REF!</definedName>
    <definedName name="BOBE65C68AE0F041849C9A9D0DD2578D33" hidden="1">#REF!</definedName>
    <definedName name="BOBE7215ABBA0B419F9570EF5114448FC4" hidden="1">#REF!</definedName>
    <definedName name="BOBE72BBB4BD0445BC8E5D2342BB8A30F3" hidden="1">#REF!</definedName>
    <definedName name="BOBE74F199470D42168139E0757F43930B" hidden="1">#REF!</definedName>
    <definedName name="BOBE778B66C5DF4F15B2C7FB0028FB9BAC" hidden="1">#REF!</definedName>
    <definedName name="BOBE847E0212084D0E9AA2C411A683E4EC" hidden="1">#REF!</definedName>
    <definedName name="BOBE92AF4EF01F4606AFD512A2DC2D1973" hidden="1">#REF!</definedName>
    <definedName name="BOBE96348F2D524EDDA814670AD7116609" hidden="1">#REF!</definedName>
    <definedName name="BOBE98671BD1B54EFAB051DC1DF624B5A2" hidden="1">#REF!</definedName>
    <definedName name="BOBEAC376E25004E9F8740032524FCA681" hidden="1">#REF!</definedName>
    <definedName name="BOBEB219F2890143D0ABB227B2408F5FD2" hidden="1">#REF!</definedName>
    <definedName name="BOBEC30B956E9E43F9A9DBCA0D585950DE" hidden="1">#REF!</definedName>
    <definedName name="BOBEC49583263A41A282273BF0D9DF64F9" hidden="1">#REF!</definedName>
    <definedName name="BOBEC6AE8D2E464EBB971B6954DAA1B75C" hidden="1">#REF!</definedName>
    <definedName name="BOBEF798768CBA4CE7BB1EF155DD151A18" hidden="1">#REF!</definedName>
    <definedName name="BOBF0C52EB725A40EEB83DC65447D4BA66" hidden="1">#REF!</definedName>
    <definedName name="BOBF14097EB6E74E89BD1D61C5EF922D61" hidden="1">#REF!</definedName>
    <definedName name="BOBF2537C6FD5B420DA8103F191E99E79B" hidden="1">#REF!</definedName>
    <definedName name="BOBF25DFFF41B746D4A77F50F623C0A2B2" hidden="1">#REF!</definedName>
    <definedName name="BOBF2F371830B349FFAC2FD1CDCDF00250" hidden="1">#REF!</definedName>
    <definedName name="BOBF321CB3C1D943819B092FBCF79EA5C4" hidden="1">#REF!</definedName>
    <definedName name="BOBF3BF7BD524C430AA135E54550D43F68" hidden="1">#REF!</definedName>
    <definedName name="BOBF414C70680C4A3492936CFA833A3DF5" hidden="1">#REF!</definedName>
    <definedName name="BOBF48AD0735D34501ADC8094EE1ADBFB6" hidden="1">#REF!</definedName>
    <definedName name="BOBF5304D89D2740A8B775F2B1F2DC1D21" hidden="1">#REF!</definedName>
    <definedName name="BOBF54BEDE41204076801BE2DAA0F51CF1" hidden="1">#REF!</definedName>
    <definedName name="BOBF5C9049FD384A3AA566FC8CF9FC99A9" hidden="1">#REF!</definedName>
    <definedName name="BOBF5CCB9CE23647489B98B727E42F1CED" hidden="1">#REF!</definedName>
    <definedName name="BOBF622D0F56D24DF09B3555EB401B4017" hidden="1">#REF!</definedName>
    <definedName name="BOBF692E65FCB34D079DD05249C081E280" hidden="1">#REF!</definedName>
    <definedName name="BOBF804B0C14504C53A38C94D292222F69" hidden="1">#REF!</definedName>
    <definedName name="BOBF87D44F0EC64C69BD6232202EEBA270" hidden="1">#REF!</definedName>
    <definedName name="BOBF8D332FB680483D9F87916A7B4FC8F5" hidden="1">#REF!</definedName>
    <definedName name="BOBF9C0D7305F74E94A5A4FB2297342286" hidden="1">#REF!</definedName>
    <definedName name="BOBFAC087F26AC4EDDA62649BC457B32EB" hidden="1">#REF!</definedName>
    <definedName name="BOBFC58B4509AF4B5D839AC36E5DD6E917" hidden="1">#REF!</definedName>
    <definedName name="BOBFC7018E431542DE842D50BA24CECE70" hidden="1">#REF!</definedName>
    <definedName name="BOBFC7D63A57354B39B7A43B7F403A19AD" hidden="1">#REF!</definedName>
    <definedName name="BOBFE279CB13FF495B9E38FA3A2BD9EC47" hidden="1">#REF!</definedName>
    <definedName name="BOBFE4F0913F004F7F90E6511097A5AE62" hidden="1">#REF!</definedName>
    <definedName name="BOBFF063EBF6F94A89AAD2A0B90A240DD7" hidden="1">#REF!</definedName>
    <definedName name="BOBFF3A0F77ECD49508C4407CEDE1CFF38" hidden="1">#REF!</definedName>
    <definedName name="BOBFF6CE3EE3D0465580AAD448FAA06F12" hidden="1">#REF!</definedName>
    <definedName name="BOC002C5C316A7483187B213106FC2E2CE" hidden="1">#REF!</definedName>
    <definedName name="BOC00650127E534624BCBAD0750D3B3B6F" hidden="1">#REF!</definedName>
    <definedName name="BOC00A3390A1A446DEBC855DEF17F571F5" hidden="1">#REF!</definedName>
    <definedName name="BOC0153AF980094431829FE4A756F1633E" hidden="1">#REF!</definedName>
    <definedName name="BOC01BA6897124409EBCD3C711733E2DFF" hidden="1">#REF!</definedName>
    <definedName name="BOC01E3011E93A4E49BB31277D77A0FAC8" hidden="1">#REF!</definedName>
    <definedName name="BOC020BEFC61224AB2A0CE2B5A1420EA07" hidden="1">#REF!</definedName>
    <definedName name="BOC02A882E214A4407ABDF3FDCAAF22F2A" hidden="1">#REF!</definedName>
    <definedName name="BOC03795360B9F48B1ADF62D93A1B7BE46" hidden="1">#REF!</definedName>
    <definedName name="BOC039A288DB164F89AFF1AFEB33AB1595" hidden="1">#REF!</definedName>
    <definedName name="BOC0461A3FF7EA448D9B613E1BE33F540F" hidden="1">#REF!</definedName>
    <definedName name="BOC0540207029C4BBC946DDB4084DEAE8D" hidden="1">#REF!</definedName>
    <definedName name="BOC0562992C44B44D9A12D1B52A874FF04" hidden="1">#REF!</definedName>
    <definedName name="BOC057C4AAD49040C68F91376FDDC39366" hidden="1">#REF!</definedName>
    <definedName name="BOC05D60BC2FF846D4888E559CD3F6E293" hidden="1">#REF!</definedName>
    <definedName name="BOC0626737A9C14F2493A110F6B6358736" hidden="1">#REF!</definedName>
    <definedName name="BOC06955615E6D4797BC5D60628022334C" hidden="1">#REF!</definedName>
    <definedName name="BOC0697AAB0C7A4B3E830F38DA696FBDF8" hidden="1">#REF!</definedName>
    <definedName name="BOC06A329A3A3A40DA92FF21424F78A0BA" hidden="1">#REF!</definedName>
    <definedName name="BOC06C42121B0046338BF842EA122F1904" hidden="1">#REF!</definedName>
    <definedName name="BOC070EAE04692499FAC8E41B17433451D" hidden="1">#REF!</definedName>
    <definedName name="BOC07444B908D849079385A787E15B930C" hidden="1">#REF!</definedName>
    <definedName name="BOC077886C1FF94D56850DA984193E42C7" hidden="1">#REF!</definedName>
    <definedName name="BOC077C1EA87354FFCA4B3BD815E6401AC" hidden="1">#REF!</definedName>
    <definedName name="BOC078BD87247B4961B0F84CF4B86CBE1C" hidden="1">#REF!</definedName>
    <definedName name="BOC081391CAE7946858EC251AE68CAF4C7" hidden="1">#REF!</definedName>
    <definedName name="BOC0886D220A704202A4786E98ABC96A63" hidden="1">#REF!</definedName>
    <definedName name="BOC08BEA2E3C8446A1A4D489275A405BA7" hidden="1">#REF!</definedName>
    <definedName name="BOC099750FC6AF46AB9D5BF067DF80A4AB" hidden="1">#REF!</definedName>
    <definedName name="BOC099C957A41E40859765EF422F0B2FB7" hidden="1">#REF!</definedName>
    <definedName name="BOC09B66A22AEE4E5B857575F5F51F11B3" hidden="1">#REF!</definedName>
    <definedName name="BOC09F968A5E3F4AB1BF5E98D4B53793E5" hidden="1">#REF!</definedName>
    <definedName name="BOC0A0FA019DD14D829766543293C8EACA" hidden="1">#REF!</definedName>
    <definedName name="BOC0A92350E8EB44B0BAA33DC688165D49" hidden="1">#REF!</definedName>
    <definedName name="BOC0AE6E13FB594B74BD83A1FE10E15A9C" hidden="1">#REF!</definedName>
    <definedName name="BOC0CBD4E59EBA4776958A395C83F31D53" hidden="1">#REF!</definedName>
    <definedName name="BOC0D7C43C3CA843DE83F89ACE321D94EA" hidden="1">#REF!</definedName>
    <definedName name="BOC0DF717A1DEB4048820E85C77E02E0D6" hidden="1">#REF!</definedName>
    <definedName name="BOC0EF196E5EA54445933E73B775E9A070" hidden="1">#REF!</definedName>
    <definedName name="BOC120AD9FD05646A38E760C2CD3DA3BDE" hidden="1">#REF!</definedName>
    <definedName name="BOC127F59EBBAF4FE3995E5D7EBDCDA428" hidden="1">#REF!</definedName>
    <definedName name="BOC160A532ECD74BA0BB2B397B5CDDFB87" hidden="1">#REF!</definedName>
    <definedName name="BOC16181D00769443D8FC5C82DC63FA008" hidden="1">#REF!</definedName>
    <definedName name="BOC16C3D0483514148B442B5D219A8DBAF" hidden="1">#REF!</definedName>
    <definedName name="BOC1802EEDC24E47C8A674F864233D23EF" hidden="1">#REF!</definedName>
    <definedName name="BOC181AB355B524726857D70BC98C03C33" hidden="1">#REF!</definedName>
    <definedName name="BOC187317CF28D4AC3AF377111DA569600" hidden="1">#REF!</definedName>
    <definedName name="BOC18DF1DE3A0A4C3EBE638771A56B0959" hidden="1">#REF!</definedName>
    <definedName name="BOC1909CFF8AA04A568905B4BDFBD9DEF5" hidden="1">#REF!</definedName>
    <definedName name="BOC19B26A5A4CD496EB941396EBAFB8899" hidden="1">#REF!</definedName>
    <definedName name="BOC1BE9552E6F74169981557C5152D884B" hidden="1">#REF!</definedName>
    <definedName name="BOC1BEA31290F04314851F121EAEADFC8C" hidden="1">#REF!</definedName>
    <definedName name="BOC1C27813A6CF49619A46EB2BF418CB7E" hidden="1">#REF!</definedName>
    <definedName name="BOC1CDE286B240413AA8F80BD11B358D40" hidden="1">#REF!</definedName>
    <definedName name="BOC1D148D2167C43C7AF416D6C54C911EB" hidden="1">#REF!</definedName>
    <definedName name="BOC1DE4C7F19FF4960AF2432FD4FD984AA" hidden="1">#REF!</definedName>
    <definedName name="BOC1EA740DCED246E0B4F082760FD85F8B" hidden="1">#REF!</definedName>
    <definedName name="BOC1F1A196EA2D4FAEBAA13120212D4A12" hidden="1">#REF!</definedName>
    <definedName name="BOC206EB37F1954701AC092C6F8F562FBA" hidden="1">#REF!</definedName>
    <definedName name="BOC2192BC75D4943D2BE55BBE1A64793FD" hidden="1">#REF!</definedName>
    <definedName name="BOC21C3798F70945B5BF609108B197E021" hidden="1">#REF!</definedName>
    <definedName name="BOC228945FFCD74FDBA855A67928D60EF8" hidden="1">#REF!</definedName>
    <definedName name="BOC22AB9A87FCB4347B6C750587474CE2D" hidden="1">#REF!</definedName>
    <definedName name="BOC22C807AD5594241B2E4FEE07DE12B85" hidden="1">#REF!</definedName>
    <definedName name="BOC231944AD6454CB598B6AF7BD03AD1B8" hidden="1">#REF!</definedName>
    <definedName name="BOC238B5C2A5B440798D2E7C5DF36488A9" hidden="1">#REF!</definedName>
    <definedName name="BOC24579F1348745028AB405D34BD2D2CE" hidden="1">#REF!</definedName>
    <definedName name="BOC24A5162321B457F99D56A7CEDBE09A1" hidden="1">#REF!</definedName>
    <definedName name="BOC24CDF5FB0EF4FD6868D3953D31A6DCB" hidden="1">#REF!</definedName>
    <definedName name="BOC2746536C02B4DF9B2E6C7C5F9267A87" hidden="1">#REF!</definedName>
    <definedName name="BOC27888F0A79B4E11B716E8E010BF3A1C" hidden="1">#REF!</definedName>
    <definedName name="BOC2830E54449B4A6CA044BB9832D2DE86" hidden="1">#REF!</definedName>
    <definedName name="BOC28939A1443A4786BAFF21010B0797FA" hidden="1">#REF!</definedName>
    <definedName name="BOC290551685964ED7BB67EEC49D4AA60C" hidden="1">#REF!</definedName>
    <definedName name="BOC29BF1DF3B314509846E195703079B08" hidden="1">#REF!</definedName>
    <definedName name="BOC29FBCC35B65455989240A248A8C2F15" hidden="1">#REF!</definedName>
    <definedName name="BOC2A0A0BD00974655BFA9599D4C741813" hidden="1">#REF!</definedName>
    <definedName name="BOC2A0A4A3768046108B9DD8938414E374" hidden="1">#REF!</definedName>
    <definedName name="BOC2A4294786974B7E9BEF2B123A4D44A8" hidden="1">#REF!</definedName>
    <definedName name="BOC2AAA5A15799449FA78F0551E7B09764" hidden="1">#REF!</definedName>
    <definedName name="BOC2AC89EB03D9429C99350E19A3F40C1A" hidden="1">#REF!</definedName>
    <definedName name="BOC2AF9A860C344B3988307315F898AA81" hidden="1">#REF!</definedName>
    <definedName name="BOC2B0AC26B6F9424F8B6A33CA74E25FF7" hidden="1">#REF!</definedName>
    <definedName name="BOC2B57C28EC8A424BA87968A186D38B46" hidden="1">#REF!</definedName>
    <definedName name="BOC2C49B5F8DCE43539BA1ED93EE641352" hidden="1">#REF!</definedName>
    <definedName name="BOC2DC1862A47B45A2B988123C05731907" hidden="1">#REF!</definedName>
    <definedName name="BOC2E3EE0C69CC4BA7B347671B591A68CB" hidden="1">#REF!</definedName>
    <definedName name="BOC2E7E57A47714432BC7F7B2842A4D94B" hidden="1">#REF!</definedName>
    <definedName name="BOC3001736646F4689A41678BA713181D9" hidden="1">#REF!</definedName>
    <definedName name="BOC311870043774F25A3F2ECB62E05C3AA" hidden="1">#REF!</definedName>
    <definedName name="BOC31646B3E8974DA791CC6C950E4BE43E" hidden="1">#REF!</definedName>
    <definedName name="BOC32AE42D07D444BBA191B7F2D23BBB1D" hidden="1">#REF!</definedName>
    <definedName name="BOC3582CF963284E18B3A2D307A6610F8C" hidden="1">#REF!</definedName>
    <definedName name="BOC368E76DFB4E4EF88D0D2186A8CD89B9" hidden="1">#REF!</definedName>
    <definedName name="BOC3779C093E674E129A1871AEE76CA0B2" hidden="1">#REF!</definedName>
    <definedName name="BOC381D8009BE44E5181884A904458A507" hidden="1">#REF!</definedName>
    <definedName name="BOC38461B74791498181DF345B410F4B5B" hidden="1">#REF!</definedName>
    <definedName name="BOC3987B7CD5984CC9984B278329776DC5" hidden="1">#REF!</definedName>
    <definedName name="BOC39B2CD7980846689CFEF70DD7A4FD32" hidden="1">#REF!</definedName>
    <definedName name="BOC3A7CF460B244443A2BAEB77FBA92D6A" hidden="1">#REF!</definedName>
    <definedName name="BOC3B6180E2FA3448584654177475FC440" hidden="1">#REF!</definedName>
    <definedName name="BOC3B987C588304DDDBE021D2F41CB85FC" hidden="1">#REF!</definedName>
    <definedName name="BOC3BD7FD74AFC4A4DAD18451C971F14A2" hidden="1">#REF!</definedName>
    <definedName name="BOC3BFD9232A1F44EBB7B0D582D65072FD" hidden="1">#REF!</definedName>
    <definedName name="BOC3C182C00FCA4399B10C3D7A8AA574AE" hidden="1">#REF!</definedName>
    <definedName name="BOC3DB0395A38740358FA41AE003C6CDE5" hidden="1">#REF!</definedName>
    <definedName name="BOC3DE3593755245D0B206F9D6F047D065" hidden="1">#REF!</definedName>
    <definedName name="BOC3E41E70E0D54A708496B22E9B2BED29" hidden="1">#REF!</definedName>
    <definedName name="BOC3ECFC73C5F64A8BBEAA8C46B481B7ED" hidden="1">#REF!</definedName>
    <definedName name="BOC3F1B4D211514084BD8A093EEF4D69E8" hidden="1">#REF!</definedName>
    <definedName name="BOC3F941CA92574393ACC4F51CA9FA5209" hidden="1">#REF!</definedName>
    <definedName name="BOC403C82E6DD845EBB8479B3C4F03DE0A" hidden="1">#REF!</definedName>
    <definedName name="BOC405699CD1564234A56FDF5C1EC8839B" hidden="1">#REF!</definedName>
    <definedName name="BOC4102EFEC3B54349B8C23A1DFEEF72D4" hidden="1">#REF!</definedName>
    <definedName name="BOC41314D3A2774A52B2F134E4BD8824F8" hidden="1">#REF!</definedName>
    <definedName name="BOC414D231CCB9470186197CED2BE3E501" hidden="1">#REF!</definedName>
    <definedName name="BOC4194C336800431CBC256F31C13A40FE" hidden="1">#REF!</definedName>
    <definedName name="BOC4274FCB605A48F9940B4F6131EAD1A1" hidden="1">#REF!</definedName>
    <definedName name="BOC443D62A14144251A19235B122760708" hidden="1">#REF!</definedName>
    <definedName name="BOC46678E9BB26422890D1B74B76A0B2E1" hidden="1">#REF!</definedName>
    <definedName name="BOC467763A3EDD495D82514D7AC5DBB20D" hidden="1">#REF!</definedName>
    <definedName name="BOC46B9DC3074C46B4BDBA4A4D49419A4D" hidden="1">#REF!</definedName>
    <definedName name="BOC47BF0C58D614DA7A1EA6B4905550F5E" hidden="1">#REF!</definedName>
    <definedName name="BOC47F9DB68F6D480C958AF89BCBA64723" hidden="1">#REF!</definedName>
    <definedName name="BOC498B82E65A346C6BBEFADB1CEFAF47D" hidden="1">#REF!</definedName>
    <definedName name="BOC49D83497BA2426B82A337C7BB92728F" hidden="1">#REF!</definedName>
    <definedName name="BOC4A083E8FDF44A3484AF093EB435A32C" hidden="1">#REF!</definedName>
    <definedName name="BOC4A3A20B5764494DA2734BB8A59F464E" hidden="1">#REF!</definedName>
    <definedName name="BOC4A45FE3FD854B6C9B308BDE02A3E03A" hidden="1">#REF!</definedName>
    <definedName name="BOC4A7144484494916BA4BF56C4A5D906C" hidden="1">#REF!</definedName>
    <definedName name="BOC4B71D33956F4EC493A45A5A724A7978" hidden="1">#REF!</definedName>
    <definedName name="BOC4D1467401DF4EDB88D6D448C502B0A3" hidden="1">#REF!</definedName>
    <definedName name="BOC4D401EFF85446AC940923ED04DD84FA" hidden="1">#REF!</definedName>
    <definedName name="BOC4D9DE5057644F3899D0237FF13007F5" hidden="1">#REF!</definedName>
    <definedName name="BOC4DDD6C6E0F3466FBB1A7F843B0FA8CA" hidden="1">#REF!</definedName>
    <definedName name="BOC4EBDBC719F64B2E9353DB823A06665A" hidden="1">#REF!</definedName>
    <definedName name="BOC4ECD25783934B90854A2F558571020F" hidden="1">#REF!</definedName>
    <definedName name="BOC4F1E70708264C13A5E788B2480950CA" hidden="1">#REF!</definedName>
    <definedName name="BOC4FB4407E6D744C4AF283CFAF0178CF6" hidden="1">#REF!</definedName>
    <definedName name="BOC4FD282E9F7B441D8766DD25EEFEBBAA" hidden="1">#REF!</definedName>
    <definedName name="BOC4FED08F375F4EAFA4A5DD7705FFFC15" hidden="1">#REF!</definedName>
    <definedName name="BOC503FDB53C6F463BA2440734411F2366" hidden="1">#REF!</definedName>
    <definedName name="BOC504FAA91C1A41FA8D3C2DEC4E63334B" hidden="1">#REF!</definedName>
    <definedName name="BOC51C3ED08BB94CA4B8A1FC6EDBFE74E0" hidden="1">#REF!</definedName>
    <definedName name="BOC5256F80F0DE4F24820F4887873FC9EE" hidden="1">#REF!</definedName>
    <definedName name="BOC52EDB6A7A3D43809BF3E016DA4AAC12" hidden="1">#REF!</definedName>
    <definedName name="BOC5322AD70C46455E9D6877C90982790D" hidden="1">#REF!</definedName>
    <definedName name="BOC53FFBE4F2AD434B8E28DCD595BAE689" hidden="1">#REF!</definedName>
    <definedName name="BOC5483FA2D8BA440686489CA3FECE8A50" hidden="1">#REF!</definedName>
    <definedName name="BOC548B75655BE48B8BA84C36E300B1E68" hidden="1">#REF!</definedName>
    <definedName name="BOC5525EE8EE6444609B50EA3F4EB06953" hidden="1">#REF!</definedName>
    <definedName name="BOC5534E1864F644EC9ADB90061EF26DF4" hidden="1">#REF!</definedName>
    <definedName name="BOC5654C1728444683AAA03E8553C4E069" hidden="1">#REF!</definedName>
    <definedName name="BOC57E12394DE94538BCF9850B3111DEDE" hidden="1">#REF!</definedName>
    <definedName name="BOC581AF5B82264CC0B4C66C4275837E48" hidden="1">#REF!</definedName>
    <definedName name="BOC58BEF3C705E4974A9E5C4C6B00B2D9D" hidden="1">#REF!</definedName>
    <definedName name="BOC58E0055CEE0425CBE68DECFA26CCBE6" hidden="1">#REF!</definedName>
    <definedName name="BOC58E8E162E6447DAA7888A9719A6DCDB" hidden="1">#REF!</definedName>
    <definedName name="BOC59F026E37F14F07AF14008072D42C1D" hidden="1">#REF!</definedName>
    <definedName name="BOC59F1780BF734DF19B71ABDB10E6F325" hidden="1">#REF!</definedName>
    <definedName name="BOC5A5FD3E13A042C6BD6922A9F1989E36" hidden="1">#REF!</definedName>
    <definedName name="BOC5A6ADC391FA4287ACBFF6C2D73A1A56" hidden="1">#REF!</definedName>
    <definedName name="BOC5AC79EBA58546EEAE4B3130C706C892" hidden="1">#REF!</definedName>
    <definedName name="BOC5AD64032D9F45C3A081D7622CCD8509" hidden="1">#REF!</definedName>
    <definedName name="BOC5B3B00470D74144A6F0BF3173410B5A" hidden="1">#REF!</definedName>
    <definedName name="BOC5C7E9D1D0F545ADAAFBF76A171F9B94" hidden="1">#REF!</definedName>
    <definedName name="BOC5CD6FA222EB4A1A82F2985D282D5BEE" hidden="1">#REF!</definedName>
    <definedName name="BOC5D081E11F7440918D6807AF4129BC0D" hidden="1">#REF!</definedName>
    <definedName name="BOC5D918A00BDC47438AF460B667B42ECB" hidden="1">#REF!</definedName>
    <definedName name="BOC5F668A3861E44A3A9E94428EADE63B5" hidden="1">#REF!</definedName>
    <definedName name="BOC5F6AA0C638E4040969ADEC1E45B222F" hidden="1">#REF!</definedName>
    <definedName name="BOC5F9B86137704A7B9B46E06774850FD9" hidden="1">#REF!</definedName>
    <definedName name="BOC6120A667F8A4A08B5D918533B78912D" hidden="1">#REF!</definedName>
    <definedName name="BOC64F93EE6D254C7EA2773FD4BEA51C3E" hidden="1">#REF!</definedName>
    <definedName name="BOC662BE8834304C27BAFF47C172050588" hidden="1">#REF!</definedName>
    <definedName name="BOC66755A4669A45428695FDD1EC8B380B" hidden="1">#REF!</definedName>
    <definedName name="BOC66B692E24E5413F98DDA5A605832A50" hidden="1">#REF!</definedName>
    <definedName name="BOC66C789EFD68409CB9EFCF2C557398DA" hidden="1">#REF!</definedName>
    <definedName name="BOC67E44E0B8F048CABAE0855CBCC03314" hidden="1">#REF!</definedName>
    <definedName name="BOC6862856D3CF4D4A847CB88088E76DC0" hidden="1">#REF!</definedName>
    <definedName name="BOC69142E10D974AA282CC5C498E117FF0" hidden="1">#REF!</definedName>
    <definedName name="BOC69E56C7391C4563B787B04CFA4BEA0D" hidden="1">#REF!</definedName>
    <definedName name="BOC69ECEE6D0D8425FAD609AB5AD1D4A93" hidden="1">#REF!</definedName>
    <definedName name="BOC6A3654C4D894FD18DAE62D4A675DF54" hidden="1">#REF!</definedName>
    <definedName name="BOC6A61F727D9E4E5B92DFEA78D047BED1" hidden="1">#REF!</definedName>
    <definedName name="BOC6A771780BB34714A840EC22FE4BA614" hidden="1">#REF!</definedName>
    <definedName name="BOC6B22AAC2E2A462D97C1F28A602D78A6" hidden="1">#REF!</definedName>
    <definedName name="BOC6B3D3FEFDED4F028CCD6CAE519C5E7A" hidden="1">#REF!</definedName>
    <definedName name="BOC6B697293DA2455483C35ABD9FAB6BD0" hidden="1">#REF!</definedName>
    <definedName name="BOC6BC9C4DB3524511BA181B7FD51601FC" hidden="1">#REF!</definedName>
    <definedName name="BOC6C18BA28EEC46BA8F84B0CBB89DB180" hidden="1">#REF!</definedName>
    <definedName name="BOC6C3BE05EA864E6B88B6317BCE3F23C8" hidden="1">#REF!</definedName>
    <definedName name="BOC6CA8A149227486C8E44286A298592A9" hidden="1">#REF!</definedName>
    <definedName name="BOC6CEBE9833994D0D979770A8E4B2CC47" hidden="1">#REF!</definedName>
    <definedName name="BOC6CF5CC2CCED420CB898D072B629B20D" hidden="1">#REF!</definedName>
    <definedName name="BOC6DA4F3778CB4E4ABE58E9172884BBC9" hidden="1">#REF!</definedName>
    <definedName name="BOC6DBFD6796FB4BA997E354884749AFB1" hidden="1">#REF!</definedName>
    <definedName name="BOC6EE784AE3984C15BD11AF714A93775E" hidden="1">#REF!</definedName>
    <definedName name="BOC6EF95F1C4A94CB0895242ACFE065EB7" hidden="1">#REF!</definedName>
    <definedName name="BOC6F2DDD01290440D9CC47AF74F9B77CE" hidden="1">#REF!</definedName>
    <definedName name="BOC6F8C75C819248C9BC476600FAC07AA7" hidden="1">#REF!</definedName>
    <definedName name="BOC6FCE99B67DB46D5B70524313493D01E" hidden="1">#REF!</definedName>
    <definedName name="BOC6FF3D58673542B5A7C9883E8B3C417B" hidden="1">#REF!</definedName>
    <definedName name="BOC70405B934554CDC81F4BDBCFEEF712C" hidden="1">#REF!</definedName>
    <definedName name="BOC70BFD0DF1854A3799475BFCF4C1AD7B" hidden="1">#REF!</definedName>
    <definedName name="BOC7137CA1F6BA4A71B2EF58D51D3000C6" hidden="1">#REF!</definedName>
    <definedName name="BOC71977E3B9384220A98C048AE5EEA492" hidden="1">#REF!</definedName>
    <definedName name="BOC71CFA98C3C14444BEE060B7DD1FDCB4" hidden="1">#REF!</definedName>
    <definedName name="BOC721AD81D68047F288627AAE42BE056C" hidden="1">#REF!</definedName>
    <definedName name="BOC726AE4A9F7541FA9BF1A4AE1EB62A4C" hidden="1">#REF!</definedName>
    <definedName name="BOC728142AB6154537A6EBF766A8D514C8" hidden="1">#REF!</definedName>
    <definedName name="BOC72C73B86C9F43BBA0570043FA52BB30" hidden="1">#REF!</definedName>
    <definedName name="BOC7343FB75A924FE49909A3F202307E87" hidden="1">#REF!</definedName>
    <definedName name="BOC738F0BAC3D34FC6BFBBBF445EA6AA5D" hidden="1">#REF!</definedName>
    <definedName name="BOC73A2FF577754B55AC10538A7E98FE05" hidden="1">#REF!</definedName>
    <definedName name="BOC73CB7B0F4024F9FBE37930CA99B7B26" hidden="1">#REF!</definedName>
    <definedName name="BOC74865CD64084C0EACBCC63C991E7565" hidden="1">#REF!</definedName>
    <definedName name="BOC754CF9D493546E59C345CDC1343A5F0" hidden="1">#REF!</definedName>
    <definedName name="BOC7612C2D508C49D788B8D4B8E06BAED7" hidden="1">#REF!</definedName>
    <definedName name="BOC761AED986ED48FFB6D303492100F7F4" hidden="1">#REF!</definedName>
    <definedName name="BOC76ED6ECD9824F20A447BD5CCDEB936E" hidden="1">#REF!</definedName>
    <definedName name="BOC77229A74C4D468D99EC16FA6D259686" hidden="1">#REF!</definedName>
    <definedName name="BOC790CAA1028447C98523765C20F1DB7B" hidden="1">#REF!</definedName>
    <definedName name="BOC792E4B35CCF42219CE8965B8D00CC4B" hidden="1">#REF!</definedName>
    <definedName name="BOC79C0023ED7F478F86B26BB1AF1C8EC4" hidden="1">#REF!</definedName>
    <definedName name="BOC7A539E475F24751895AB85647DCFAB8" hidden="1">#REF!</definedName>
    <definedName name="BOC7A75EDABD58415DBAAA55230F7A89AD" hidden="1">#REF!</definedName>
    <definedName name="BOC7AE76E8A72A48EFB446530A42079266" hidden="1">#REF!</definedName>
    <definedName name="BOC7B43F12DFC5437B877CCB71F26C335C" hidden="1">#REF!</definedName>
    <definedName name="BOC7C01EB455D0494296575A7158C0D13F" hidden="1">#REF!</definedName>
    <definedName name="BOC7C3265EC7304D7F8EC72F0C1BD9AE20" hidden="1">#REF!</definedName>
    <definedName name="BOC7C6EC2CE7364EECB4AE5284C83B9883" hidden="1">#REF!</definedName>
    <definedName name="BOC7DA3BBC553247189CE0512777B2CE6F" hidden="1">#REF!</definedName>
    <definedName name="BOC7EAC248CB484EACBC6D1641FB1F5746" hidden="1">#REF!</definedName>
    <definedName name="BOC7EFECEDA1654965A5675BADB0FC818C" hidden="1">#REF!</definedName>
    <definedName name="BOC7F23567E0FC43EF8AFAF31F77B8C5D1" hidden="1">#REF!</definedName>
    <definedName name="BOC7FF3F5F776C4A789FAE16190E2C782D" hidden="1">#REF!</definedName>
    <definedName name="BOC8024B76DC9E43DEAE271469188DF598" hidden="1">#REF!</definedName>
    <definedName name="BOC803EED355C54ACAB0A10F133946C86C" hidden="1">#REF!</definedName>
    <definedName name="BOC80BD939CA284C88835330B815477149" hidden="1">#REF!</definedName>
    <definedName name="BOC80C72E59A2A425390D15A68AC0B2F68" hidden="1">#REF!</definedName>
    <definedName name="BOC80CE5AB846248CC889C1DA9D54D25E6" hidden="1">#REF!</definedName>
    <definedName name="BOC80F62C77E534F67B55C807C70EC446F" hidden="1">#REF!</definedName>
    <definedName name="BOC80FA1C0029C46BB837B78153D3B0943" hidden="1">#REF!</definedName>
    <definedName name="BOC8296EF4083341E8AC33E2972EFA7385" hidden="1">#REF!</definedName>
    <definedName name="BOC855EDAC13184DFBBFE5301166F5B620" hidden="1">#REF!</definedName>
    <definedName name="BOC86213D777EC406696B6FEDD2D67863F" hidden="1">#REF!</definedName>
    <definedName name="BOC8728EFFCA5645CB88692A09F7070149" hidden="1">#REF!</definedName>
    <definedName name="BOC87B38344BA34F728D97426A738200CD" hidden="1">#REF!</definedName>
    <definedName name="BOC87FF6644F374B7F977754153A6B493E" hidden="1">#REF!</definedName>
    <definedName name="BOC8842B6BE1C1463BB7601B9590CF58E1" hidden="1">#REF!</definedName>
    <definedName name="BOC8869887E70B4818A88E13173C4A1CF7" hidden="1">#REF!</definedName>
    <definedName name="BOC8972E7C46864D298A01DF1EB7930290" hidden="1">#REF!</definedName>
    <definedName name="BOC8A7E7BC26B640B989580B3BB8AEB1AE" hidden="1">#REF!</definedName>
    <definedName name="BOC8AA233CFB3E42669786F9DEB95C546E" hidden="1">#REF!</definedName>
    <definedName name="BOC8B7F86BE82F498C8F79B3F23FE1E7AF" hidden="1">#REF!</definedName>
    <definedName name="BOC8C10B1C8061426A980F67403B83C521" hidden="1">#REF!</definedName>
    <definedName name="BOC8C9FF12ABA64F6CA2C220BB9485DDCC" hidden="1">#REF!</definedName>
    <definedName name="BOC8D17043FE9D4029AF7D912201D279BE" hidden="1">#REF!</definedName>
    <definedName name="BOC8E4D2C4D1F34027A807B522E374B9E5" hidden="1">#REF!</definedName>
    <definedName name="BOC8EC793C482B4705AA0AAB0BA792213B" hidden="1">#REF!</definedName>
    <definedName name="BOC8F2EA51E05741DC929CFFF148A6F778" hidden="1">#REF!</definedName>
    <definedName name="BOC8F53A31316E4DE18690968A99BE6301" hidden="1">#REF!</definedName>
    <definedName name="BOC8F740D0F7C14C9FADF02E5A7FF774A7" hidden="1">#REF!</definedName>
    <definedName name="BOC8FBA24C47E442039F81CFF259CDA17D" hidden="1">#REF!</definedName>
    <definedName name="BOC9169EB243BB4787A93E27B0684745B9" hidden="1">#REF!</definedName>
    <definedName name="BOC91E1757BF2E4CC28A6C80B116F1EE50" hidden="1">#REF!</definedName>
    <definedName name="BOC926E891BA164AF8ABA57349159767C1" hidden="1">#REF!</definedName>
    <definedName name="BOC93A1F4615D346998D3007EA1503FC1D" hidden="1">#REF!</definedName>
    <definedName name="BOC94ED5679E6B4A95AFD8131D3B10B8AB" hidden="1">#REF!</definedName>
    <definedName name="BOC953C42F616848E0AA25F0CCCA75CA9D" hidden="1">#REF!</definedName>
    <definedName name="BOC959DF3C9D684ACCB02C559E4B4F9FC4" hidden="1">#REF!</definedName>
    <definedName name="BOC95B46FBAE66416A88B8878372DEB86C" hidden="1">#REF!</definedName>
    <definedName name="BOC96249CE2D604DC58C505A5BF5153C29" hidden="1">#REF!</definedName>
    <definedName name="BOC9671073082747B49BB45DF3098C7F9A" hidden="1">#REF!</definedName>
    <definedName name="BOC995DE8CB4784AC2923A4693444BF92F" hidden="1">#REF!</definedName>
    <definedName name="BOC99798025DBB40CD861EBABC1B3B9DC3" hidden="1">#REF!</definedName>
    <definedName name="BOC99AA6A75C5944F0A2513C9EE7857157" hidden="1">#REF!</definedName>
    <definedName name="BOC99D8953E27047FBBC64424DD0B1A1DC" hidden="1">#REF!</definedName>
    <definedName name="BOC99DEBEE81C24D7B84F07273A9763193" hidden="1">#REF!</definedName>
    <definedName name="BOC9A9E8F30812445EB0F0B4B940CCD77B" hidden="1">#REF!</definedName>
    <definedName name="BOC9ABE62A295C4072900414BC894C3883" hidden="1">#REF!</definedName>
    <definedName name="BOC9ADC0C89AE34C7EB6A0AE1DE4D53E7E" hidden="1">#REF!</definedName>
    <definedName name="BOC9AF0F0BA0D74737896F1A72402D007D" hidden="1">#REF!</definedName>
    <definedName name="BOC9BF0E36F41C40C2B1D861652525D9F2" hidden="1">#REF!</definedName>
    <definedName name="BOC9CB77920218454794E34566A1FF9CC0" hidden="1">#REF!</definedName>
    <definedName name="BOC9D3CB5A052D406D92A431B8601E8BDA" hidden="1">#REF!</definedName>
    <definedName name="BOC9D408364D1C49AEABD42695F397A50D" hidden="1">#REF!</definedName>
    <definedName name="BOC9DCDC9F8025495AA046BE19F464DD01" hidden="1">#REF!</definedName>
    <definedName name="BOC9E4DD95875F414B8CED24777DD25A47" hidden="1">#REF!</definedName>
    <definedName name="BOCA074A9DE8DD47D8AE05B92D00EBA10B" hidden="1">#REF!</definedName>
    <definedName name="BOCA0907671B4F485C97D9A6E59D340968" hidden="1">#REF!</definedName>
    <definedName name="BOCA09F46CFD2F40099C39D5C765650E32" hidden="1">#REF!</definedName>
    <definedName name="BOCA0BA33B7D9B4192A1308FB3A6CF4351" hidden="1">#REF!</definedName>
    <definedName name="BOCA123036C8A046E4AF0059A94790CC7B" hidden="1">#REF!</definedName>
    <definedName name="BOCA185A624EF9435D86E9F45DB8B2276D" hidden="1">#REF!</definedName>
    <definedName name="BOCA1AC40D035642BDAD851CD1C006E420" hidden="1">#REF!</definedName>
    <definedName name="BOCA1DF6CD1C434C9F8FDBA017D59B2A09" hidden="1">#REF!</definedName>
    <definedName name="BOCA20573B8BDD4A53BBDFFC10801487F0" hidden="1">#REF!</definedName>
    <definedName name="BOCA2A86E144ED43B88974C6CEF311C01E" hidden="1">#REF!</definedName>
    <definedName name="BOCA36DAA4DA0A44B2B28689803DB20F42" hidden="1">#REF!</definedName>
    <definedName name="BOCA3BF6AC3B23401998D0195DAF83BECC" hidden="1">#REF!</definedName>
    <definedName name="BOCA3F1F4E7C6847748BAF942709E44AF6" hidden="1">#REF!</definedName>
    <definedName name="BOCA421E6ABEB24C638FAA7721E35045C1" hidden="1">#REF!</definedName>
    <definedName name="BOCA42A6F4BD9E405F9A931721DDAB24F7" hidden="1">#REF!</definedName>
    <definedName name="BOCA4C0F5B356D44459C6A9C00BC229622" hidden="1">#REF!</definedName>
    <definedName name="BOCA4E648895974047B95F956C2BF7AA21" hidden="1">#REF!</definedName>
    <definedName name="BOCA6FA6D2AFBC4A70A97F32AB25EF3619" hidden="1">#REF!</definedName>
    <definedName name="BOCA7617AC50324926B86A79933FC253EF" hidden="1">#REF!</definedName>
    <definedName name="BOCA8B1B97D03545A088C2E5E0668F0ECD" hidden="1">#REF!</definedName>
    <definedName name="BOCA90235F95A84C5DA0A48125084C5AA7" hidden="1">#REF!</definedName>
    <definedName name="BOCA9D17F8F20E4A20B836655F0E80ADC8" hidden="1">#REF!</definedName>
    <definedName name="BOCAAC96D7A29A4D88895A18930CAC28C6" hidden="1">#REF!</definedName>
    <definedName name="BOCAB0C94A9F184085939BC58E7D6D720E" hidden="1">#REF!</definedName>
    <definedName name="BOCABA6A29917E49A980D74FE4A9ABBBF0" hidden="1">#REF!</definedName>
    <definedName name="BOCABB79DF922B4B70B3DB95181BB63716" hidden="1">#REF!</definedName>
    <definedName name="BOCAC20E70FC2C4EA2B35EE17BE4045985" hidden="1">#REF!</definedName>
    <definedName name="BOCACB271DE48B4D569E8AEA6609E67EF2" hidden="1">#REF!</definedName>
    <definedName name="BOCACF7B219BDB42B5987A986A14FE7AC4" hidden="1">#REF!</definedName>
    <definedName name="BOCAE04BDCCDDA40E38EFD0B67C249F503" hidden="1">#REF!</definedName>
    <definedName name="BOCAF3546900E5486CBE6AA381B80CBA81" hidden="1">#REF!</definedName>
    <definedName name="BOCAF3F067937048348A51E5C3C563D5A1" hidden="1">#REF!</definedName>
    <definedName name="BOCB0D6AD555F64AC08528F46910B95855" hidden="1">#REF!</definedName>
    <definedName name="BOCB11EB3ED01A43019D02FD957A29CF05" hidden="1">#REF!</definedName>
    <definedName name="BOCB23D564181E437B8722746637E10E65" hidden="1">#REF!</definedName>
    <definedName name="BOCB27A924F6314A6ABD6FF6AD41B9342E" hidden="1">#REF!</definedName>
    <definedName name="BOCB2CC4DD4A3A403681380830D5DC150F" hidden="1">#REF!</definedName>
    <definedName name="BOCB305D090CB5475D9E732F8E70C89760" hidden="1">#REF!</definedName>
    <definedName name="BOCB31D5260AF9477D963D3E321A7A5D5E" hidden="1">#REF!</definedName>
    <definedName name="BOCB34A805EB1043FB936B90C8CA4E1F22" hidden="1">#REF!</definedName>
    <definedName name="BOCB35F23AAD4747368EFADADE9507E348" hidden="1">#REF!</definedName>
    <definedName name="BOCB48B819BB7C4B27816DA4B7AE193893" hidden="1">#REF!</definedName>
    <definedName name="BOCB495ACFBECF47E5A597BBBBE2D51A06" hidden="1">#REF!</definedName>
    <definedName name="BOCB4DBA2CD0B8489A9184873D49892A37" hidden="1">#REF!</definedName>
    <definedName name="BOCB523FCF0A254CBE8ABFA887037CCDF0" hidden="1">#REF!</definedName>
    <definedName name="BOCB5AF87499394900A1347325CE886551" hidden="1">#REF!</definedName>
    <definedName name="BOCB5B88E25E404529982E2C418A89BA4C" hidden="1">#REF!</definedName>
    <definedName name="BOCB64320708644987A05E35DC65EBACB5" hidden="1">#REF!</definedName>
    <definedName name="BOCB7DC01146B942BF80B92AB6731FC9C1" hidden="1">#REF!</definedName>
    <definedName name="BOCBA5FDFA2EE44C39B1268A6A98CA44EF" hidden="1">#REF!</definedName>
    <definedName name="BOCBA76573B2ED44FEAA91D32D5908280C" hidden="1">#REF!</definedName>
    <definedName name="BOCBB9D0536C554F9CB96D2AC20131CED3" hidden="1">#REF!</definedName>
    <definedName name="BOCBD08E806CA645F1B18C58A56B984D1A" hidden="1">#REF!</definedName>
    <definedName name="BOCBD50580C8DA4978B2142B11DB4C4039" hidden="1">#REF!</definedName>
    <definedName name="BOCBE022C6EEDE4FCDA0C4CE22C65E7405" hidden="1">#REF!</definedName>
    <definedName name="BOCBE0E2989F7047EFB4262CB854AFB478" hidden="1">#REF!</definedName>
    <definedName name="BOCBE170BD519C42239D63A181E249338B" hidden="1">#REF!</definedName>
    <definedName name="BOCBE356A923AD4A1A9CAE4D0A4DC95801" hidden="1">#REF!</definedName>
    <definedName name="BOCBE7D75AA1E54C29BD2021C65EA254A5" hidden="1">#REF!</definedName>
    <definedName name="BOCC0988DE0D9D4DA0AD5433A273D8821B" hidden="1">#REF!</definedName>
    <definedName name="BOCC1015847B974795A4483E459E34DB01" hidden="1">#REF!</definedName>
    <definedName name="BOCC24710B85194CDF9D9350D965B4D8AA" hidden="1">#REF!</definedName>
    <definedName name="BOCC278275817A45EAA1616006CCF9CEC8" hidden="1">#REF!</definedName>
    <definedName name="BOCC304B8C3D0247A1BB1AF6B48F3EBA44" hidden="1">#REF!</definedName>
    <definedName name="BOCC39C4DE47BF4A008BC4E7675E0F2E3D" hidden="1">#REF!</definedName>
    <definedName name="BOCC3F4820175A4FD0A7ADD0F5009F795D" hidden="1">#REF!</definedName>
    <definedName name="BOCC45D87771CF46E5A0CF0725A7BDE5F8" hidden="1">#REF!</definedName>
    <definedName name="BOCC462160B28C40F5851B699E1B5B3DE0" hidden="1">#REF!</definedName>
    <definedName name="BOCC478F6C3DB940CBB2F090948867494D" hidden="1">#REF!</definedName>
    <definedName name="BOCC499937FE94443E8B2B48EBCA118016" hidden="1">#REF!</definedName>
    <definedName name="BOCC4B6592B93D4EF19DA0CD7D05E89727" hidden="1">#REF!</definedName>
    <definedName name="BOCC691B3EEEAC4150A39F921B686E1CA6" hidden="1">#REF!</definedName>
    <definedName name="BOCC6FD29C349E45168A68B76140925BA3" hidden="1">#REF!</definedName>
    <definedName name="BOCC7247C4594A4A21A2E663170011627B" hidden="1">#REF!</definedName>
    <definedName name="BOCC914A6654444A1C8BD964103A833C7E" hidden="1">#REF!</definedName>
    <definedName name="BOCC9C97E393F5478A995AB1A988040CD5" hidden="1">#REF!</definedName>
    <definedName name="BOCC9F344FE00E435D9331BD0B13B50A6C" hidden="1">#REF!</definedName>
    <definedName name="BOCCAA027688CC426FB1F162F5B44E3C51" hidden="1">#REF!</definedName>
    <definedName name="BOCCD1637BAA09400B93A67B02DB2A00F8" hidden="1">#REF!</definedName>
    <definedName name="BOCCD32B0C15CB4E30B9EB9A48262ED0D3" hidden="1">#REF!</definedName>
    <definedName name="BOCCD803188E674FFAA44B9ECA626F046B" hidden="1">#REF!</definedName>
    <definedName name="BOCCE003A89FB24C00B89EED22C3D10D40" hidden="1">#REF!</definedName>
    <definedName name="BOCCEEA8633284456AB7575D50F301C1CC" hidden="1">#REF!</definedName>
    <definedName name="BOCCEF1C1C578546FE9703792F4156C545" hidden="1">#REF!</definedName>
    <definedName name="BOCCF062646E38401E9F279EA04231458E" hidden="1">#REF!</definedName>
    <definedName name="BOCCF2FB76A68F43A79308251D35674951" hidden="1">#REF!</definedName>
    <definedName name="BOCCF57DF3D479442AB804DE221ED7A0A7" hidden="1">#REF!</definedName>
    <definedName name="BOCCFFD66261D64372B74FDE8B3EFB0FC1" hidden="1">#REF!</definedName>
    <definedName name="BOCD07EE31EE584A2A8CD595F42D9E97A0" hidden="1">#REF!</definedName>
    <definedName name="BOCD0CE88649764E57A5D376369BF59484" hidden="1">#REF!</definedName>
    <definedName name="BOCD0DD462F0EA48599BE7FA94F9047229" hidden="1">#REF!</definedName>
    <definedName name="BOCD12967B6A5F43A28F01BF1F72565969" hidden="1">#REF!</definedName>
    <definedName name="BOCD157E5830184FF9BEF9FA0AF580BE82" hidden="1">#REF!</definedName>
    <definedName name="BOCD2B329AF2EC4F69A5C6B0BEF727CAB4" hidden="1">#REF!</definedName>
    <definedName name="BOCD4BBC6A5E2F489FBFC5CBC907AE801E" hidden="1">#REF!</definedName>
    <definedName name="BOCD51D7197A5E476A86FD9C91675CA09B" hidden="1">#REF!</definedName>
    <definedName name="BOCD56E70353EA41F2A5031B6724EE8C54" hidden="1">#REF!</definedName>
    <definedName name="BOCD60CA51DA244C9E9EA2C41F88476315" hidden="1">#REF!</definedName>
    <definedName name="BOCD73BEA4010C4D27B5B0A496580D48C1" hidden="1">#REF!</definedName>
    <definedName name="BOCD757EB2615E48238575F35A849E9D5B" hidden="1">#REF!</definedName>
    <definedName name="BOCD772097CE3B4EC2B7E94DA07FB05A9B" hidden="1">#REF!</definedName>
    <definedName name="BOCD7725FFE7A94D618A05C04B8124A702" hidden="1">#REF!</definedName>
    <definedName name="BOCD781CA2DD4046F4AEE7B97833AA0F78" hidden="1">#REF!</definedName>
    <definedName name="BOCD78CE5CFEDE4B388FCD35F608A56ABD" hidden="1">#REF!</definedName>
    <definedName name="BOCD7D036FB62447C59D5DAF7B769196E7" hidden="1">#REF!</definedName>
    <definedName name="BOCD84F781EFD7405A893141D5B4D7E9D8" hidden="1">#REF!</definedName>
    <definedName name="BOCD8B1DDE93364DEFA1086000CE47B79D" hidden="1">#REF!</definedName>
    <definedName name="BOCD8BBB5A81F04ACFBB09683E8503F059" hidden="1">#REF!</definedName>
    <definedName name="BOCD8D8FFEF8624311A42CB41803748EC8" hidden="1">#REF!</definedName>
    <definedName name="BOCD8EA7989DDA43EE9E4B96CB216B56E4" hidden="1">#REF!</definedName>
    <definedName name="BOCD9C75175CE64E82A8C3F1E260A5797E" hidden="1">#REF!</definedName>
    <definedName name="BOCD9D664FF18E44E5A0A2C8537501DA49" hidden="1">#REF!</definedName>
    <definedName name="BOCDA5DFAE92A54BD0A2B7D7782CE547C8" hidden="1">#REF!</definedName>
    <definedName name="BOCDB87B3B429841F383B64AC9279B56F2" hidden="1">#REF!</definedName>
    <definedName name="BOCDBFF21B88DA41E0B846C70BD798273A" hidden="1">#REF!</definedName>
    <definedName name="BOCDC28E410C44432EBE863703C6AC51AA" hidden="1">#REF!</definedName>
    <definedName name="BOCDC7853C86654B15B07DE97211C2F420" hidden="1">#REF!</definedName>
    <definedName name="BOCDD3F91F8BFB4928B56CAEA40F5AEC08" hidden="1">#REF!</definedName>
    <definedName name="BOCDD94267DDFF4D0BA9DB6D7B5A7393A2" hidden="1">#REF!</definedName>
    <definedName name="BOCDE0510D777A4A2CA23062C08E568B79" hidden="1">#REF!</definedName>
    <definedName name="BOCDE5BE14268D4CC2AA3CB7E030D23296" hidden="1">#REF!</definedName>
    <definedName name="BOCDEA7761C90043388449EE8A988350B1" hidden="1">#REF!</definedName>
    <definedName name="BOCE097C4E4EA842EBA24952C2223BCC41" hidden="1">#REF!</definedName>
    <definedName name="BOCE0B0E6F79A44DAFA0481A70C4FEE4BC" hidden="1">#REF!</definedName>
    <definedName name="BOCE1E9B44B3AD4EABB0457DB1E112C202" hidden="1">#REF!</definedName>
    <definedName name="BOCE24BA090CD749E3A8FF80A8862AAC74" hidden="1">#REF!</definedName>
    <definedName name="BOCE2A1EC8AA1F43DDBCB06484DBC42EEB" hidden="1">#REF!</definedName>
    <definedName name="BOCE2D136A8AFF464DB05575B3718F6EB9" hidden="1">#REF!</definedName>
    <definedName name="BOCE5B7F2784A447BEB1988E35E2BF2599" hidden="1">#REF!</definedName>
    <definedName name="BOCE5EAECD91AB4C29B31F008E96377ED4" hidden="1">#REF!</definedName>
    <definedName name="BOCE6B34B83A554E14ADFAE5DF03F6372C" hidden="1">#REF!</definedName>
    <definedName name="BOCE6F3CCB0A3948BF882F41AA79B9834F" hidden="1">#REF!</definedName>
    <definedName name="BOCE7B890F14C946FA89A4E77333DD94C5" hidden="1">#REF!</definedName>
    <definedName name="BOCE7BB1451CF1437CB55C65065FF9AAFF" hidden="1">#REF!</definedName>
    <definedName name="BOCE7DB66047754CD4AE20CB4E8CE8A417" hidden="1">#REF!</definedName>
    <definedName name="BOCE7F5A785C2449A786DEAB41449823C3" hidden="1">#REF!</definedName>
    <definedName name="BOCE864BB427254EC895E646023798D387" hidden="1">#REF!</definedName>
    <definedName name="BOCE8E773603DE4D639CEAB43702042A5A" hidden="1">#REF!</definedName>
    <definedName name="BOCE97B683183A4EC8B69470642D678067" hidden="1">#REF!</definedName>
    <definedName name="BOCE9C94A72A964BA8B85447F4BC1ACE89" hidden="1">#REF!</definedName>
    <definedName name="BOCEAD43DDCC92470CAA368CFC62C8F0BB" hidden="1">#REF!</definedName>
    <definedName name="BOCEB1882C8C5B428196706BE892EE30B1" hidden="1">#REF!</definedName>
    <definedName name="BOCEBA9CE843AE4E19804C63A44FA43724" hidden="1">#REF!</definedName>
    <definedName name="BOCEBCC91D966A4164B68D20FE51528E77" hidden="1">#REF!</definedName>
    <definedName name="BOCED1479FEBB14DC591971D4A6481AF64" hidden="1">#REF!</definedName>
    <definedName name="BOCEE32C65257F468FB06F9F330F4873C3" hidden="1">#REF!</definedName>
    <definedName name="BOCEFCDC9614DB4F1EB2619D1E3C89E7B4" hidden="1">#REF!</definedName>
    <definedName name="BOCEFE7B1B728E4DA3960C1263762B5F76" hidden="1">#REF!</definedName>
    <definedName name="BOCF067095C5F540AB8552A7DCC44C1521" hidden="1">#REF!</definedName>
    <definedName name="BOCF0BFB9E52654F3CB4C2354AC79FCCE4" hidden="1">#REF!</definedName>
    <definedName name="BOCF14CB4951E7406A92C0819D85299FD8" hidden="1">#REF!</definedName>
    <definedName name="BOCF21DFC470674C91AFEAA08F5EE777D3" hidden="1">#REF!</definedName>
    <definedName name="BOCF463928AF504B73825A9333A76B12FA" hidden="1">#REF!</definedName>
    <definedName name="BOCF4F73DBC85645C8AE38B4D85F0128DB" hidden="1">#REF!</definedName>
    <definedName name="BOCF53D1F420B54CB6A13C7C732B6B0427" hidden="1">#REF!</definedName>
    <definedName name="BOCF557C6E59CA494994DEC4C1DDCB11BC" hidden="1">#REF!</definedName>
    <definedName name="BOCF6CEA67C664472EA76C93A4F0FAFBE7" hidden="1">#REF!</definedName>
    <definedName name="BOCF76C84ACC2B40E0AD05F47E71278321" hidden="1">#REF!</definedName>
    <definedName name="BOCF7B6E715ED04080B510F3E8DBC63790" hidden="1">#REF!</definedName>
    <definedName name="BOCF7E0CE53E404D63A891BAC3AA17E6C1" hidden="1">#REF!</definedName>
    <definedName name="BOCF7F2F0106184D2DA096AC85FDA39F98" hidden="1">#REF!</definedName>
    <definedName name="BOCF804194C1804845A2C41413209DAFB6" hidden="1">#REF!</definedName>
    <definedName name="BOCF833942CD6542189492BBB6BB2ACD78" hidden="1">#REF!</definedName>
    <definedName name="BOCF91D6B9BA924641AE33B00059AD92A4" hidden="1">#REF!</definedName>
    <definedName name="BOCF9B72862A844CB39AD2263362CA1011" hidden="1">#REF!</definedName>
    <definedName name="BOCF9E8732EBAE4C1E9C9398C7A0BB4758" hidden="1">#REF!</definedName>
    <definedName name="BOCFA1106A7396473C83D586595D83E094" hidden="1">#REF!</definedName>
    <definedName name="BOCFA116E43ACB48FFADD25F1EBD534125" hidden="1">#REF!</definedName>
    <definedName name="BOCFA403FD4D4B4CABAE1B1666220909F3" hidden="1">#REF!</definedName>
    <definedName name="BOCFA543FA86DC4514BEF89CD029DC8120" hidden="1">#REF!</definedName>
    <definedName name="BOCFC2B4DC104E41DE9DD0596AFC3844FA" hidden="1">#REF!</definedName>
    <definedName name="BOCFCCB63CB5B943E0B2007D3FD0B53C71" hidden="1">#REF!</definedName>
    <definedName name="BOCFCE1670FF04465588571ABF6EB4D6B8" hidden="1">#REF!</definedName>
    <definedName name="BOCFCEB44E9A594F139E0FAA8575E8A480" hidden="1">#REF!</definedName>
    <definedName name="BOCFD2F718C3184ED39FE17C58990217BC" hidden="1">#REF!</definedName>
    <definedName name="BOCFE843D26AE049F684E71DA2D9802837" hidden="1">#REF!</definedName>
    <definedName name="BOCFEC3041ED9C40E9AA0506DD41AFEF50" hidden="1">#REF!</definedName>
    <definedName name="BOCFECD2810D954775879BE954583B17C5" hidden="1">#REF!</definedName>
    <definedName name="BOCFF07B1CB42B49B5804CA83635EFD695" hidden="1">#REF!</definedName>
    <definedName name="BOCFF8D14E9FE946D49E487B5DB86B2636" hidden="1">#REF!</definedName>
    <definedName name="BOCFFB17AE391A4D4C95E8171F2D734F2E" hidden="1">#REF!</definedName>
    <definedName name="BOD0055E56DAAC43DCA6C2E30700EEA233" hidden="1">#REF!</definedName>
    <definedName name="BOD00682582F07467B91FCAF2E5833A071" hidden="1">#REF!</definedName>
    <definedName name="BOD006B4A6BA4E41E7AD9895A6DA9E0C7B" hidden="1">#REF!</definedName>
    <definedName name="BOD0117C5CEB004994B902AC5A6E98039E" hidden="1">#REF!</definedName>
    <definedName name="BOD015BB528B654D57B93F29970B778AE4" hidden="1">#REF!</definedName>
    <definedName name="BOD018127C859C4F7EB3CED5258024411C" hidden="1">#REF!</definedName>
    <definedName name="BOD020598AB4CA4C89B49875EAF76A2E72" hidden="1">#REF!</definedName>
    <definedName name="BOD020924676D34CC8B666FA1825ED090F" hidden="1">#REF!</definedName>
    <definedName name="BOD023612F351A483681A06D542E290449" hidden="1">#REF!</definedName>
    <definedName name="BOD02F6A830CED41D490A542D1069F934B" hidden="1">#REF!</definedName>
    <definedName name="BOD030A37F7895417FAB307A97A88DCB27" hidden="1">#REF!</definedName>
    <definedName name="BOD037543A72D245FE8AB64328D0B7A53A" hidden="1">#REF!</definedName>
    <definedName name="BOD041BB8013A5429E901E95DAE18599EF" hidden="1">#REF!</definedName>
    <definedName name="BOD042714A7FC14334B77841C609FB5CD9" hidden="1">#REF!</definedName>
    <definedName name="BOD0521ECEC08C4B02BA380838864DF621" hidden="1">#REF!</definedName>
    <definedName name="BOD05F71FEE4994FE4A3E9074930B36707" hidden="1">#REF!</definedName>
    <definedName name="BOD05F99368B4A47748288276334F9135F" hidden="1">#REF!</definedName>
    <definedName name="BOD061931D2931443A9ECADC5F02DC98E9" hidden="1">#REF!</definedName>
    <definedName name="BOD06477FDE764414C994617DBFC29A158" hidden="1">#REF!</definedName>
    <definedName name="BOD069C0C046454D1684A5F5A22519039F" hidden="1">#REF!</definedName>
    <definedName name="BOD06B4B91120F49119E1AB708ADCB20B1" hidden="1">#REF!</definedName>
    <definedName name="BOD06BA7064A7A48A49539DF1B0CF57E1F" hidden="1">#REF!</definedName>
    <definedName name="BOD07ECDB243EB4FD184CCBBC7EED26DB5" hidden="1">#REF!</definedName>
    <definedName name="BOD0856120648941C9A6245ADEAEF97FAA" hidden="1">#REF!</definedName>
    <definedName name="BOD08824EAABCC47268734F2D2D6E2AA1F" hidden="1">#REF!</definedName>
    <definedName name="BOD08C2C27A2F542FFAACD1C55CE1EDAE0" hidden="1">#REF!</definedName>
    <definedName name="BOD08E9CA1B9F64BF29EE2577CFACF6363" hidden="1">#REF!</definedName>
    <definedName name="BOD09710F2D95E4B5DA064808C272C8EA3" hidden="1">#REF!</definedName>
    <definedName name="BOD0993709ABB64F2B9F6B4ED4CC726772" hidden="1">#REF!</definedName>
    <definedName name="BOD09CC523EBF444559A7FEC444292EAF0" hidden="1">#REF!</definedName>
    <definedName name="BOD0AA3B237301459DA4FC290A75C4DAF0" hidden="1">#REF!</definedName>
    <definedName name="BOD0B07BA1EFDF4979816482E0DE58B10E" hidden="1">#REF!</definedName>
    <definedName name="BOD0B32FA56B0E491786CAF0E2655CE2A9" hidden="1">#REF!</definedName>
    <definedName name="BOD0B75D69940E44C49613D4C27CDC5E58" hidden="1">#REF!</definedName>
    <definedName name="BOD0C35C0D182C4289B79D02CC591F1CD9" hidden="1">#REF!</definedName>
    <definedName name="BOD0C54ABBE53D469F8C477AF0DB12FFF8" hidden="1">#REF!</definedName>
    <definedName name="BOD0CAD5AB78A646DCA7A095C9C90C6F53" hidden="1">#REF!</definedName>
    <definedName name="BOD0DC308492604439BA21F0A96ADB322E" hidden="1">#REF!</definedName>
    <definedName name="BOD0DDE23A5D3C4DDAB9AAC65578B12264" hidden="1">#REF!</definedName>
    <definedName name="BOD0E24862F0054742BA0A3175AC016C8B" hidden="1">#REF!</definedName>
    <definedName name="BOD1075E77674B456CACC8FE527A024792" hidden="1">#REF!</definedName>
    <definedName name="BOD1126B656251421192238ABCE4CC3F04" hidden="1">#REF!</definedName>
    <definedName name="BOD116239791D54BE69187C489B9BB3969" hidden="1">#REF!</definedName>
    <definedName name="BOD11DFE5EF7A14B16BA6993931377AA18" hidden="1">#REF!</definedName>
    <definedName name="BOD121239AA94D491990703E084B08FAB1" hidden="1">#REF!</definedName>
    <definedName name="BOD122B30CCF8542D3B2FA812FCC81A42D" hidden="1">#REF!</definedName>
    <definedName name="BOD1250BFA11154E74A77811FC99580580" hidden="1">#REF!</definedName>
    <definedName name="BOD12BFB15E9AA402E85EB6BBBC9C29CB1" hidden="1">#REF!</definedName>
    <definedName name="BOD12D9B99472E45578627692AB2488622" hidden="1">#REF!</definedName>
    <definedName name="BOD136941C97234B499BA8AA189BBA8C8D" hidden="1">#REF!</definedName>
    <definedName name="BOD14EF789EFED4782AE8BE17E6930F4AB" hidden="1">#REF!</definedName>
    <definedName name="BOD152770AF22B4ABB9D174F79952577DB" hidden="1">#REF!</definedName>
    <definedName name="BOD15A227032F4415891CC16E4BBB5D9C1" hidden="1">#REF!</definedName>
    <definedName name="BOD16447127036449EB9461BE2E786FFD4" hidden="1">#REF!</definedName>
    <definedName name="BOD172623A64DD4AA8B35B4A4569008AB1" hidden="1">#REF!</definedName>
    <definedName name="BOD1788B50A8674993807F674CCBF33628" hidden="1">#REF!</definedName>
    <definedName name="BOD1895AD9E1C7481F946CAAF5A436FB10" hidden="1">#REF!</definedName>
    <definedName name="BOD193F845B87A47C8AD0CB46518C9CFFE" hidden="1">#REF!</definedName>
    <definedName name="BOD199803F07E3441E967B2E5D6FD92490" hidden="1">#REF!</definedName>
    <definedName name="BOD19E9BC537CF4BFE9E01ACB46295ED5E" hidden="1">#REF!</definedName>
    <definedName name="BOD1A0E03A378E434891576A3A4520AEC9" hidden="1">#REF!</definedName>
    <definedName name="BOD1A19DA57E534CCEAC0E7AD13E48C3C8" hidden="1">#REF!</definedName>
    <definedName name="BOD1AFEBBFB6114013B27AC97FDC097838" hidden="1">#REF!</definedName>
    <definedName name="BOD1B0E98941C646FF9D8A0B01557C7B10" hidden="1">#REF!</definedName>
    <definedName name="BOD1BCE75B8AF54E3099F175B2E3DD6FA5" hidden="1">#REF!</definedName>
    <definedName name="BOD1BF2606B22041E5A735F1FBE227095A" hidden="1">#REF!</definedName>
    <definedName name="BOD1C759464E034606A880F16F6644E8B2" hidden="1">#REF!</definedName>
    <definedName name="BOD1D4F980C6864BBB9533DAB1DB32C35B" hidden="1">#REF!</definedName>
    <definedName name="BOD1E5E8D093E34449B2EFBB33DDED6D33" hidden="1">#REF!</definedName>
    <definedName name="BOD1F17FC4662D4E58B0CB9FFEEA650A0D" hidden="1">#REF!</definedName>
    <definedName name="BOD1F5B3B70ED94ADBA22650B2D2E1F651" hidden="1">#REF!</definedName>
    <definedName name="BOD1FCB3135C2641D399CE038DBEB9E203" hidden="1">#REF!</definedName>
    <definedName name="BOD1FE699996944F4F83270A0E79679AE1" hidden="1">#REF!</definedName>
    <definedName name="BOD202AA6F2BDA40C6B8298581366656B5" hidden="1">#REF!</definedName>
    <definedName name="BOD20DA1C8FD7345D6AB19B1A8F8689DD1" hidden="1">#REF!</definedName>
    <definedName name="BOD21231B91F3E4C258AFB39E4765456BA" hidden="1">#REF!</definedName>
    <definedName name="BOD21D4F0ED597478A9A1CF5C75621BC01" hidden="1">#REF!</definedName>
    <definedName name="BOD2227ABF2DFC4839900AA91FC8FBDC66" hidden="1">#REF!</definedName>
    <definedName name="BOD226DC50A56F4537B0624B3853B8BA8F" hidden="1">#REF!</definedName>
    <definedName name="BOD2312FE4BBCF43F7BF1768D9189E1D60" hidden="1">#REF!</definedName>
    <definedName name="BOD236201746894D37ABFBD8102C0711E2" hidden="1">#REF!</definedName>
    <definedName name="BOD237168A9379430EA4FC9CE8872AF06A" hidden="1">#REF!</definedName>
    <definedName name="BOD2389C65FBF64E30AA79B38F2C0EEF38" hidden="1">#REF!</definedName>
    <definedName name="BOD23B3D464E8343E083A2CF726F83B318" hidden="1">#REF!</definedName>
    <definedName name="BOD23C5271F9134B49A820282751DE6D02" hidden="1">#REF!</definedName>
    <definedName name="BOD23DBEBEB64946D8B00E623BB07B3777" hidden="1">#REF!</definedName>
    <definedName name="BOD241FC81710A40509FFFCA6FFAB6A4FC" hidden="1">#REF!</definedName>
    <definedName name="BOD2475FF6D9A04B96A9901A061CDCADEF" hidden="1">#REF!</definedName>
    <definedName name="BOD24AB4C7E8BD41D5AB7627726E662D28" hidden="1">#REF!</definedName>
    <definedName name="BOD24C21F91D644F3A8091E61FCDBFD2DA" hidden="1">#REF!</definedName>
    <definedName name="BOD252ADD163DF4CC2B9C438FD2C78EE89" hidden="1">#REF!</definedName>
    <definedName name="BOD25DF343C9534432BC4EDDF7FD4BCB8B" hidden="1">#REF!</definedName>
    <definedName name="BOD25EE09DFCB64BD2BB71E9E9CC20BC40" hidden="1">#REF!</definedName>
    <definedName name="BOD283A34B46C649B68FA6FF8E66FCBF21" hidden="1">#REF!</definedName>
    <definedName name="BOD287AEA88F7340B090CC06DB5BBD074D" hidden="1">#REF!</definedName>
    <definedName name="BOD287D75D9A8F49F9AF9A3BFBB5927679" hidden="1">#REF!</definedName>
    <definedName name="BOD28DEBB06E8642D0BDD41AD4F7252896" hidden="1">#REF!</definedName>
    <definedName name="BOD291F7DA2BB948C0A0B0C4318848488C" hidden="1">#REF!</definedName>
    <definedName name="BOD294162BE739465191528A6F5C44542B" hidden="1">#REF!</definedName>
    <definedName name="BOD29E86E0E54049E8AFD6FACC17FCB05C" hidden="1">#REF!</definedName>
    <definedName name="BOD2B4A48537F14B98A50A72A7B04BC1F9" hidden="1">#REF!</definedName>
    <definedName name="BOD2B6B58443D847FDB6829ABC39269B31" hidden="1">#REF!</definedName>
    <definedName name="BOD2BB2DC95F56496CAB94C280E187DDC4" hidden="1">#REF!</definedName>
    <definedName name="BOD2CF95D06F4D47E59ED9F16BF00FFEBF" hidden="1">#REF!</definedName>
    <definedName name="BOD2D20507421347DF82293D26EF2E3D47" hidden="1">#REF!</definedName>
    <definedName name="BOD2D436A1CE844DAF959A6961CD5977AE" hidden="1">#REF!</definedName>
    <definedName name="BOD3066EA13C1C46549995A7A358B7E0F0" hidden="1">#REF!</definedName>
    <definedName name="BOD318D98FA01F48958725B53C175E1FDB" hidden="1">#REF!</definedName>
    <definedName name="BOD31A25C54E5C4EDCB3058B2E87A4FA5D" hidden="1">#REF!</definedName>
    <definedName name="BOD31F6301EE734D759A574A2DA53FC062" hidden="1">#REF!</definedName>
    <definedName name="BOD32B534202BD44598B34597B74FC2A08" hidden="1">#REF!</definedName>
    <definedName name="BOD32B7C1A69E24CF097EFEF6C5939FA9E" hidden="1">#REF!</definedName>
    <definedName name="BOD32C99B0325C4CC1B3BE243E5FD67BF0" hidden="1">#REF!</definedName>
    <definedName name="BOD3343F57DF7F4E07958E1C5EFF2A0110" hidden="1">#REF!</definedName>
    <definedName name="BOD354EA9B02B84802B9F4DBD42E5292E1" hidden="1">#REF!</definedName>
    <definedName name="BOD356905173E4474D840BAC1079FA3DC9" hidden="1">#REF!</definedName>
    <definedName name="BOD36C4B7DC91541F8B5536B7C0EA266E1" hidden="1">#REF!</definedName>
    <definedName name="BOD36FF4294F0A435588CB92D265FF30A4" hidden="1">#REF!</definedName>
    <definedName name="BOD3754ABCE33145CC810EF5230606CA6B" hidden="1">#REF!</definedName>
    <definedName name="BOD37C7FFDF196454CBD8CB757159C3092" hidden="1">#REF!</definedName>
    <definedName name="BOD381673486894B688E116600C150D165" hidden="1">#REF!</definedName>
    <definedName name="BOD38587AA9C3D47F9B4FF319842198063" hidden="1">#REF!</definedName>
    <definedName name="BOD38AA01D30334D75A1777406B7D13478" hidden="1">#REF!</definedName>
    <definedName name="BOD39AABA5E2B54662AF94CCB27DFC52B1" hidden="1">#REF!</definedName>
    <definedName name="BOD3AA68B30FFC4DB9AE29F1333BB8B806" hidden="1">#REF!</definedName>
    <definedName name="BOD3AB9977D5F846CF8A6F7DC50789B382" hidden="1">#REF!</definedName>
    <definedName name="BOD3AE4731A4784CCC93B0B67D8E79A43C" hidden="1">#REF!</definedName>
    <definedName name="BOD3BAA13BA0ED4DC9B97E607972E4E2D7" hidden="1">#REF!</definedName>
    <definedName name="BOD3C247E9F42F4F9DB8310B9F9ADB8858" hidden="1">#REF!</definedName>
    <definedName name="BOD3C4311E35754A03818EF570935FA90D" hidden="1">#REF!</definedName>
    <definedName name="BOD3C61D3BC8EF4B3C9DDA3AF04DE34223" hidden="1">#REF!</definedName>
    <definedName name="BOD3D294015A8D411DB1B57A856A8BF576" hidden="1">#REF!</definedName>
    <definedName name="BOD3DCA25CD69342CB81B4500E1E27C30A" hidden="1">#REF!</definedName>
    <definedName name="BOD3DD8479F9574540A2E5B4B79E052BF7" hidden="1">#REF!</definedName>
    <definedName name="BOD3EC1C3D52AE4873B3EC0D151EA6AD85" hidden="1">#REF!</definedName>
    <definedName name="BOD3F08ECB1B8F4CFC8158D2E0070E6AAE" hidden="1">#REF!</definedName>
    <definedName name="BOD3F8EBB0EB544D969CF0CAED059BA6C2" hidden="1">#REF!</definedName>
    <definedName name="BOD3FC786B8666473A8977E660773C7641" hidden="1">#REF!</definedName>
    <definedName name="BOD4168F98FDED4D3B9D5CCC65534DA839" hidden="1">#REF!</definedName>
    <definedName name="BOD423DDE898904C0194B7FB01F80CFAFE" hidden="1">#REF!</definedName>
    <definedName name="BOD426A6BFD012478D95373E8B2F0BBFD1" hidden="1">#REF!</definedName>
    <definedName name="BOD429A20535AA4EA8B0BD8C762656CAFE" hidden="1">#REF!</definedName>
    <definedName name="BOD42A79AFF9854B99A1FF3AF78EE704E8" hidden="1">#REF!</definedName>
    <definedName name="BOD435681E3EA6435A80473BF9EB6B1085" hidden="1">#REF!</definedName>
    <definedName name="BOD43EDC8C463949DEB5611F614E4B823B" hidden="1">#REF!</definedName>
    <definedName name="BOD44197A6099D435EB0FE02E10D221AF6" hidden="1">#REF!</definedName>
    <definedName name="BOD444CD50B665452D9E49DE77C8602DA7" hidden="1">#REF!</definedName>
    <definedName name="BOD4544EEEEA324CF5AFDCDE200B33B1B3" hidden="1">#REF!</definedName>
    <definedName name="BOD4561814F62B47D38C8937677BF85716" hidden="1">#REF!</definedName>
    <definedName name="BOD457328FAD2C49119B4F6DF1B4A9795A" hidden="1">#REF!</definedName>
    <definedName name="BOD46392F7156D4184963D688CC78BD36E" hidden="1">#REF!</definedName>
    <definedName name="BOD472F2C8D22E4EE8A0BD06B873D63FEF" hidden="1">#REF!</definedName>
    <definedName name="BOD48065ED38A14B959CE2DB4763062C4E" hidden="1">#REF!</definedName>
    <definedName name="BOD4855FF09CCE441F963B5476A397ED7A" hidden="1">#REF!</definedName>
    <definedName name="BOD4920868DCD544988C7CB8FFCE623138" hidden="1">#REF!</definedName>
    <definedName name="BOD49402EE9C3C4D0DB29F38CDD48C48A5" hidden="1">#REF!</definedName>
    <definedName name="BOD49B28E2FD6B4E439DA1189F6C98B8FF" hidden="1">#REF!</definedName>
    <definedName name="BOD49E3AA6BEE9463298FC96D4EE039FB5" hidden="1">#REF!</definedName>
    <definedName name="BOD4A1F3DFED9A48F7A96E1E65E0BCED0F" hidden="1">#REF!</definedName>
    <definedName name="BOD4ABC40C225C4FCF83B8F3E7E71C22CA" hidden="1">#REF!</definedName>
    <definedName name="BOD4B278245AE34B58AC05F944C9D4EDC8" hidden="1">#REF!</definedName>
    <definedName name="BOD4C8D07010AD49B59E75753A49C9D237" hidden="1">#REF!</definedName>
    <definedName name="BOD4CBDBC6BF824D28980BEE3BD2AB688B" hidden="1">#REF!</definedName>
    <definedName name="BOD4E5E87F52CF4666A9AAB9DB6D4490C1" hidden="1">#REF!</definedName>
    <definedName name="BOD4F001903DE8470FBC38B24C34839CC6" hidden="1">#REF!</definedName>
    <definedName name="BOD4F503DDBE3D405B92C840CA5EDEA28E" hidden="1">#REF!</definedName>
    <definedName name="BOD501206A29FF4F2786B0236F942F9B67" hidden="1">#REF!</definedName>
    <definedName name="BOD51D8C03077B4373BCAC1837845FBCAA" hidden="1">#REF!</definedName>
    <definedName name="BOD522D91BF9934BD4AB4F5EAB88545C80" hidden="1">#REF!</definedName>
    <definedName name="BOD5340046BD7B41D48FA4C226BAA8CEE6" hidden="1">#REF!</definedName>
    <definedName name="BOD537C2FA5EEE45148F0386F93CFF1D06" hidden="1">#REF!</definedName>
    <definedName name="BOD5488344AC404D559CC6D808EF62DEB1" hidden="1">#REF!</definedName>
    <definedName name="BOD565D6AB52D143609F20A06C0EDA8DE5" hidden="1">#REF!</definedName>
    <definedName name="BOD56620A6B31544A88B48E2C5710B1C76" hidden="1">#REF!</definedName>
    <definedName name="BOD569D6D1DF504122B12F1EB5FAE51EB7" hidden="1">#REF!</definedName>
    <definedName name="BOD577956B0FAF49818DAABD596734ACF5" hidden="1">#REF!</definedName>
    <definedName name="BOD5781A6ECDAE4C8F9C1B949CAF4158C6" hidden="1">#REF!</definedName>
    <definedName name="BOD582F6F32F334E0DA045C4A74FEBFE85" hidden="1">#REF!</definedName>
    <definedName name="BOD5851AA1C9544A5AA3C9227A2D00347F" hidden="1">#REF!</definedName>
    <definedName name="BOD58E331116404BA18357C323A0354321" hidden="1">#REF!</definedName>
    <definedName name="BOD58FE7A3165E4A378E1603412A9239F7" hidden="1">#REF!</definedName>
    <definedName name="BOD59F514F5B234A3880E0ECEA8E52785E" hidden="1">#REF!</definedName>
    <definedName name="BOD5ACA476617A4E9AA67455C053490FD9" hidden="1">#REF!</definedName>
    <definedName name="BOD5ACE6BCE13A4C9A990CB89932C60D3E" hidden="1">#REF!</definedName>
    <definedName name="BOD5AF70E63D57493FA594E3308C495553" hidden="1">#REF!</definedName>
    <definedName name="BOD5B75AD9A4794B80890FF653712A67B4" hidden="1">#REF!</definedName>
    <definedName name="BOD5BAFE7792CB4961B403F80CBAA1C69E" hidden="1">#REF!</definedName>
    <definedName name="BOD5CE4708B17744A2B6D64496C757D63D" hidden="1">#REF!</definedName>
    <definedName name="BOD5D0C70D4C5348F18B7AA23677CC9570" hidden="1">#REF!</definedName>
    <definedName name="BOD5D47A78FEB344D19C31BA6FB2388B15" hidden="1">#REF!</definedName>
    <definedName name="BOD5E05F0B64D845CCB8348A3C3959813B" hidden="1">#REF!</definedName>
    <definedName name="BOD5E519FDCA674D5AB6EAE0BC2A1BC540" hidden="1">#REF!</definedName>
    <definedName name="BOD5ECA4D276DB4ECB943F8393E9B2141E" hidden="1">#REF!</definedName>
    <definedName name="BOD5EFDCBE874C4E9C90F73A4D1AA30793" hidden="1">#REF!</definedName>
    <definedName name="BOD5F47E05C25C460BA10401753C3B41D5" hidden="1">#REF!</definedName>
    <definedName name="BOD5F4A10016E945A4B5F7C32EB57C2E57" hidden="1">#REF!</definedName>
    <definedName name="BOD5F6490C0BE74C3EA549A1512EFD4B02" hidden="1">#REF!</definedName>
    <definedName name="BOD5F9EFCC397D403BA585F7A3F93657DC" hidden="1">#REF!</definedName>
    <definedName name="BOD5FA8E0A1B9F474ABB452C1EF2FCACC0" hidden="1">#REF!</definedName>
    <definedName name="BOD606F01979CA4EC9BE13FC8A11B8C954" hidden="1">#REF!</definedName>
    <definedName name="BOD607091530604B19AF14F8E6C1ECB6C1" hidden="1">#REF!</definedName>
    <definedName name="BOD60CDCE0D9BB4A91AB15C4A98B898389" hidden="1">#REF!</definedName>
    <definedName name="BOD61227A807604B93A4C22A1EE10A75A4" hidden="1">#REF!</definedName>
    <definedName name="BOD61A2934374341ADABB8D6C6FCA1FA1A" hidden="1">#REF!</definedName>
    <definedName name="BOD61C0E40290B4AAC85131A36E7B86632" hidden="1">#REF!</definedName>
    <definedName name="BOD621F2A7F04A42ED9D1F93A5B70B28AB" hidden="1">#REF!</definedName>
    <definedName name="BOD630DEC7B2E64373B31926C928FA4105" hidden="1">#REF!</definedName>
    <definedName name="BOD6337D530A25458DAB86C55CDE0E090D" hidden="1">#REF!</definedName>
    <definedName name="BOD638A6DEB2AE4E33B4F5012D446E3F2F" hidden="1">#REF!</definedName>
    <definedName name="BOD6478173B2A84F80B239D63D8B8FDA65" hidden="1">#REF!</definedName>
    <definedName name="BOD651C1A861994325BFBC3652A44C5A83" hidden="1">#REF!</definedName>
    <definedName name="BOD65B3E26012444AC958CA6C810522620" hidden="1">#REF!</definedName>
    <definedName name="BOD65B5938A0E04A09803D8F712499BE58" hidden="1">#REF!</definedName>
    <definedName name="BOD661C021CD644B04824ED8E0023E9648" hidden="1">#REF!</definedName>
    <definedName name="BOD661C8F2A0DD4C30BCE5C278133B6441" hidden="1">#REF!</definedName>
    <definedName name="BOD6679B2684B244889066E4818048E411" hidden="1">#REF!</definedName>
    <definedName name="BOD66EEE78A0DD435CAFB89209373763C1" hidden="1">#REF!</definedName>
    <definedName name="BOD678EA66FDBF4FE0A42C832CF861367B" hidden="1">#REF!</definedName>
    <definedName name="BOD6816396F50449129BA62E85B9EEF489" hidden="1">#REF!</definedName>
    <definedName name="BOD688BDDF71AC4B3E94E6748413E45FCA" hidden="1">#REF!</definedName>
    <definedName name="BOD68A918062F740B587E01C1337CF89F9" hidden="1">#REF!</definedName>
    <definedName name="BOD6938B068E404841A883DC945BBC1B29" hidden="1">#REF!</definedName>
    <definedName name="BOD6979F41FDED4826A0DE0572D08AFAC1" hidden="1">#REF!</definedName>
    <definedName name="BOD697D602C3D14185AF9EFD41E083BBBE" hidden="1">#REF!</definedName>
    <definedName name="BOD6984F78645949AAB6F974360E2F7FC2" hidden="1">#REF!</definedName>
    <definedName name="BOD6BA17BB54B24CA28900A1D2DAAA98C0" hidden="1">#REF!</definedName>
    <definedName name="BOD6D3014F43184401824056B2C0DCF69F" hidden="1">#REF!</definedName>
    <definedName name="BOD6DE7702B24E4A3AB418DF6829C5CA71" hidden="1">#REF!</definedName>
    <definedName name="BOD6E6718904854D7A8EA2112AF0019C05" hidden="1">#REF!</definedName>
    <definedName name="BOD6E721C4F8CB4396B0DC8D82543CF892" hidden="1">#REF!</definedName>
    <definedName name="BOD6ECD53C18BC4C978C5D3619AED4601E" hidden="1">#REF!</definedName>
    <definedName name="BOD6EE64D767BA4FEBA872492BA731C3DB" hidden="1">#REF!</definedName>
    <definedName name="BOD6FB4D08AE7E426DABD7E39A0DB94FDB" hidden="1">#REF!</definedName>
    <definedName name="BOD7051FD759F74E809A77EAB96C79AA53" hidden="1">#REF!</definedName>
    <definedName name="BOD70A858D0B174FF78271EC91A20AD93A" hidden="1">#REF!</definedName>
    <definedName name="BOD70B66DB8855401D8A71E8E8BACBD2EF" hidden="1">#REF!</definedName>
    <definedName name="BOD71A0C724249477BA66E732EE0E08084" hidden="1">#REF!</definedName>
    <definedName name="BOD7221D89ADFC472DB86B76D81BE0002F" hidden="1">#REF!</definedName>
    <definedName name="BOD728A8E54D9E4044B80911731F7DC529" hidden="1">#REF!</definedName>
    <definedName name="BOD7306075FD4C48A98B32158B2C619E37" hidden="1">#REF!</definedName>
    <definedName name="BOD73384BFD128497C8E078B9E2C69DF98" hidden="1">#REF!</definedName>
    <definedName name="BOD73C896B07FF4762A72436BD9C3D4B85" hidden="1">#REF!</definedName>
    <definedName name="BOD747EF9C40984BE28F493001670CA536" hidden="1">#REF!</definedName>
    <definedName name="BOD756DBF9269F44C59F063BDEB1214CD2" hidden="1">#REF!</definedName>
    <definedName name="BOD759CBBE99EF4E85933F5ACC73B184BF" hidden="1">#REF!</definedName>
    <definedName name="BOD7677DD4D4714B39A8C8AA6EDF13494A" hidden="1">#REF!</definedName>
    <definedName name="BOD77128844EDE41CBA24F12E8E407BAB6" hidden="1">#REF!</definedName>
    <definedName name="BOD7757F078FB94A3699D92C59992E5706" hidden="1">#REF!</definedName>
    <definedName name="BOD7832A5A35704194B00D064667182832" hidden="1">#REF!</definedName>
    <definedName name="BOD786745F16E642D9826BD69EBE5CC00D" hidden="1">#REF!</definedName>
    <definedName name="BOD79217BF28B44E90BBFCE7DFCF2D1C66" hidden="1">#REF!</definedName>
    <definedName name="BOD796DC27F38D411ABCB06A548B8802A0" hidden="1">#REF!</definedName>
    <definedName name="BOD7975EE708064E0F8431894602C9A30B" hidden="1">#REF!</definedName>
    <definedName name="BOD79C827B6EC545C7A225E61C7F3A812F" hidden="1">#REF!</definedName>
    <definedName name="BOD7B353A7A6BD4586A75760CD20038020" hidden="1">#REF!</definedName>
    <definedName name="BOD7B3F09CD09E43FCAED095867B637C9C" hidden="1">#REF!</definedName>
    <definedName name="BOD7C0158FF7474BD28B0A65BE072CC17B" hidden="1">#REF!</definedName>
    <definedName name="BOD7C1350B21C441D0BA5EC62FFA9F46C6" hidden="1">#REF!</definedName>
    <definedName name="BOD7C3BDF2F72F4FC39511DAA049D85FF2" hidden="1">#REF!</definedName>
    <definedName name="BOD7C9FC569A954D1795C2C1874D0645D5" hidden="1">#REF!</definedName>
    <definedName name="BOD7DA02D7C6884B76BB20C1F9520594DA" hidden="1">#REF!</definedName>
    <definedName name="BOD7E50133C03F4113AF3A6DE734CE0B16" hidden="1">#REF!</definedName>
    <definedName name="BOD7E917FA87514693A81210E81DB28650" hidden="1">#REF!</definedName>
    <definedName name="BOD7F700B887154A5BB4CD95CE31DF6A76" hidden="1">#REF!</definedName>
    <definedName name="BOD7F9649A60A4447697DBECC23FFDCE84" hidden="1">#REF!</definedName>
    <definedName name="BOD7FC2875159E4BE5BEDEF03EF8EE0C21" hidden="1">#REF!</definedName>
    <definedName name="BOD7FFB56E85734190AE3ADF9F3564CAEB" hidden="1">#REF!</definedName>
    <definedName name="BOD8012411113B439B912A7E42FFD47547" hidden="1">#REF!</definedName>
    <definedName name="BOD816164CC39A45018C8929C8F4D0291C" hidden="1">#REF!</definedName>
    <definedName name="BOD819CDCF4FB04D5BB5611159D622B5C3" hidden="1">#REF!</definedName>
    <definedName name="BOD820304C69744DF98E1E9CAFA9277B7A" hidden="1">#REF!</definedName>
    <definedName name="BOD821B1F2FAC141948C1880486586392C" hidden="1">#REF!</definedName>
    <definedName name="BOD830BA6CC0C54631A7603569E2FE4844" hidden="1">#REF!</definedName>
    <definedName name="BOD83A30E6D5614EBE89207C48E887B12C" hidden="1">#REF!</definedName>
    <definedName name="BOD843623897804A18ADC14CA480B9AD22" hidden="1">#REF!</definedName>
    <definedName name="BOD843A29C658D4C069773084B0E8F7F5C" hidden="1">#REF!</definedName>
    <definedName name="BOD8510521C58B4632BBB96CF659BD075B" hidden="1">#REF!</definedName>
    <definedName name="BOD8512C78BEC84751BA91BF1022DD6B7D" hidden="1">#REF!</definedName>
    <definedName name="BOD8542C015ABF4411BE7B7507DB2D38AA" hidden="1">#REF!</definedName>
    <definedName name="BOD876BBF1454B4BEC9370AF87F263CB96" hidden="1">#REF!</definedName>
    <definedName name="BOD8781FAC98224651A9035F7544A2ADBC" hidden="1">#REF!</definedName>
    <definedName name="BOD87BEEB1C27A4B66B6CD029BA8C872E4" hidden="1">#REF!</definedName>
    <definedName name="BOD88309A21E7F415BB8C2D4DD18ECC319" hidden="1">#REF!</definedName>
    <definedName name="BOD897EE1272B346E08F53A01A89A36C74" hidden="1">#REF!</definedName>
    <definedName name="BOD8AEC032FC86477381701178FEED8D1E" hidden="1">#REF!</definedName>
    <definedName name="BOD8B07E0EEB414482B718EE9FCC1BA031" hidden="1">#REF!</definedName>
    <definedName name="BOD8B80603287C4B42A35F709CDB9FA957" hidden="1">#REF!</definedName>
    <definedName name="BOD8C1217F7A8644F1A58562916028BFAE" hidden="1">#REF!</definedName>
    <definedName name="BOD8D108150B4D45049E1304DE2B43759A" hidden="1">#REF!</definedName>
    <definedName name="BOD8D92E12C604437AB98036C4E2333F57" hidden="1">#REF!</definedName>
    <definedName name="BOD8D935A7038B4501BBE85551958C42D8" hidden="1">#REF!</definedName>
    <definedName name="BOD8DE7EC6FCF8401E9D144F3069F513F0" hidden="1">#REF!</definedName>
    <definedName name="BOD8F4D80C28E94005B07DBF6214FF6C86" hidden="1">#REF!</definedName>
    <definedName name="BOD9095DE9CEB846A8897A6C4875C7D8B6" hidden="1">#REF!</definedName>
    <definedName name="BOD90E19ABE3134E638291461D45B525EB" hidden="1">#REF!</definedName>
    <definedName name="BOD91B421CC42A40B6BAA869A58912D696" hidden="1">#REF!</definedName>
    <definedName name="BOD9241ED3A9364CD1B3E04E35BF33E81A" hidden="1">#REF!</definedName>
    <definedName name="BOD92546223C3E456180A01C3652020A6E" hidden="1">#REF!</definedName>
    <definedName name="BOD93E2A6FD5F04CD590871461D3F9B5DF" hidden="1">#REF!</definedName>
    <definedName name="BOD943D5AA8E9A4813867BC6B7D4212481" hidden="1">#REF!</definedName>
    <definedName name="BOD9462627C0364B60AFB4A17FF8469294" hidden="1">#REF!</definedName>
    <definedName name="BOD94EBE27D32B45CFBA97EC9157509B19" hidden="1">#REF!</definedName>
    <definedName name="BOD9646D7A05DD4878B467267710384121" hidden="1">#REF!</definedName>
    <definedName name="BOD982A666F3AE4567AC24CF8B24280F98" hidden="1">#REF!</definedName>
    <definedName name="BOD99A09089FCD4ED48938FFFA7CDAC9DA" hidden="1">#REF!</definedName>
    <definedName name="BOD99ECC97466D4292991BD87F23BF1224" hidden="1">#REF!</definedName>
    <definedName name="BOD9A102906DD44B288AD841C5B0F54128" hidden="1">#REF!</definedName>
    <definedName name="BOD9ADCC2E63F04BD1A3137557AAD132E2" hidden="1">#REF!</definedName>
    <definedName name="BOD9BB18C5CEC94BA1933D2D69CB3BD953" hidden="1">#REF!</definedName>
    <definedName name="BOD9C748D17A7B488DB077D9D60536D5AF" hidden="1">#REF!</definedName>
    <definedName name="BOD9CAE766A70F40FC881F4556962E6A1E" hidden="1">#REF!</definedName>
    <definedName name="BOD9EB473E54DD45D39E36109A4223769D" hidden="1">#REF!</definedName>
    <definedName name="BOD9ED02DF5FFE4299A84A9DC6849E31AF" hidden="1">#REF!</definedName>
    <definedName name="BOD9F0F6D12BA74CA197BFB75764B9D81C" hidden="1">#REF!</definedName>
    <definedName name="BOD9F710E7627245B6B4C67963F566CB25" hidden="1">#REF!</definedName>
    <definedName name="BOD9F7716F85F247378D72DCF9C0513D3B" hidden="1">#REF!</definedName>
    <definedName name="BOD9F92DC49A9A445681FDD970FF6CA6C6" hidden="1">#REF!</definedName>
    <definedName name="BOD9FC89C22FB7442F99C258690E4D3FA1" hidden="1">#REF!</definedName>
    <definedName name="BODA00B47F79BB4DA9BA387DC47E76F011" hidden="1">#REF!</definedName>
    <definedName name="BODA00E593B59244C58E50BA882BF826FE" hidden="1">#REF!</definedName>
    <definedName name="BODA0444ED1B20494083D3356142E8511E" hidden="1">#REF!</definedName>
    <definedName name="BODA12497CA5CC44D0AEC5FD0123E25D14" hidden="1">#REF!</definedName>
    <definedName name="BODA1840CC9A6647B5878B2EA1B616E1A4" hidden="1">#REF!</definedName>
    <definedName name="BODA2BC9839AFB493F9E7DA2CFF380485B" hidden="1">#REF!</definedName>
    <definedName name="BODA31CEB0D0C4449A84F367B6C2FAA917" hidden="1">#REF!</definedName>
    <definedName name="BODA368B6720724DCA9AE99C713D079140" hidden="1">#REF!</definedName>
    <definedName name="BODA36E3B594C54CE8A38DA476F3E759D0" hidden="1">#REF!</definedName>
    <definedName name="BODA3A2B0600304F589479496F7FA4019D" hidden="1">#REF!</definedName>
    <definedName name="BODA3D0120A54D4AE581962A573E4956D2" hidden="1">#REF!</definedName>
    <definedName name="BODA490599311F4C7B8DEB5289D351CDCF" hidden="1">#REF!</definedName>
    <definedName name="BODA4C19AF557F4312A3663009970E647C" hidden="1">#REF!</definedName>
    <definedName name="BODA5AF0FA23B54F75BBD09B6E6E96C18E" hidden="1">#REF!</definedName>
    <definedName name="BODA5D042776C64E9DB8CE72DC84617F0D" hidden="1">#REF!</definedName>
    <definedName name="BODA64BD4FDFD542CF93C04659839C3A43" hidden="1">#REF!</definedName>
    <definedName name="BODA677690E363498793D257CF47C47F5C" hidden="1">#REF!</definedName>
    <definedName name="BODA6B00973A4F407599CE6261607BBEBA" hidden="1">#REF!</definedName>
    <definedName name="BODA768ADE3E7E45ECBA70AA76F49262C1" hidden="1">#REF!</definedName>
    <definedName name="BODA76B807AD884E409590150F7A114000" hidden="1">#REF!</definedName>
    <definedName name="BODA79350C093B4B7FAEF388EA6C8D3EE1" hidden="1">#REF!</definedName>
    <definedName name="BODA952316892C499EA2D4158FD92618C8" hidden="1">#REF!</definedName>
    <definedName name="BODA9899301F4346799A86A5FEF2EC7055" hidden="1">#REF!</definedName>
    <definedName name="BODA9F10E0B14D4BDB891E7BDC4F91DA07" hidden="1">#REF!</definedName>
    <definedName name="BODAB0016C82F646CDB9C6B0228341E09D" hidden="1">#REF!</definedName>
    <definedName name="BODAC2027642A74E08943960C4032F180A" hidden="1">#REF!</definedName>
    <definedName name="BODAC887E751FF438194FBB13F1284DD1E" hidden="1">#REF!</definedName>
    <definedName name="BODACB3DCCC8304D4BA0A4B52025AAF6FC" hidden="1">#REF!</definedName>
    <definedName name="BODAD3436322D74AC2B686603C92C9A387" hidden="1">#REF!</definedName>
    <definedName name="BODAE3FA6186894E2BA1E6FF1EFE132C00" hidden="1">#REF!</definedName>
    <definedName name="BODAF8B80A9402489688B12FA12BE046F4" hidden="1">#REF!</definedName>
    <definedName name="BODB13B37A48884F788A50D242A842737A" hidden="1">#REF!</definedName>
    <definedName name="BODB15DD60CEE2471B91D01D2D5AA4D3E1" hidden="1">#REF!</definedName>
    <definedName name="BODB1E3974A62F4579BEF54C1F8043BD92" hidden="1">#REF!</definedName>
    <definedName name="BODB1FB6B18C3C4C9D87E8EB72D33D28B4" hidden="1">#REF!</definedName>
    <definedName name="BODB43912443CB41C1999FEA264C6B78E9" hidden="1">#REF!</definedName>
    <definedName name="BODB45CCC3F7574D8885C7F37EE950306A" hidden="1">#REF!</definedName>
    <definedName name="BODB48036ADCE84D2EB942B0DD1051A645" hidden="1">#REF!</definedName>
    <definedName name="BODB4DAA6A48FB454A817A1A6D97ABCC25" hidden="1">#REF!</definedName>
    <definedName name="BODB505E8CF2684D6C806335227D42316C" hidden="1">#REF!</definedName>
    <definedName name="BODB67DF7F63F74527B6479FB58AA3DE91" hidden="1">#REF!</definedName>
    <definedName name="BODB6E6FA1C3C44E9CBF52C0CBFD3C7411" hidden="1">#REF!</definedName>
    <definedName name="BODB75ADB75E624F57B60C07B539892F1C" hidden="1">#REF!</definedName>
    <definedName name="BODB7B57906EB24AFD93B60FC553BA1E18" hidden="1">#REF!</definedName>
    <definedName name="BODB7D22A64B754EED9C2AE44F8098EDB6" hidden="1">#REF!</definedName>
    <definedName name="BODB820A47836243428A6B1722B8908EC1" hidden="1">#REF!</definedName>
    <definedName name="BODB8FB77C24C94A67A95D8FA37FE58EA0" hidden="1">#REF!</definedName>
    <definedName name="BODB919D2BF92B4DBA9B4FAFEAD7439753" hidden="1">#REF!</definedName>
    <definedName name="BODB9C3AFB433B40B4B176612103ED0807" hidden="1">#REF!</definedName>
    <definedName name="BODBA0F228F6D74F0C9C5E22A4B59A2839" hidden="1">#REF!</definedName>
    <definedName name="BODBA2F5E214ED4BC78A1BD01F8638BDF9" hidden="1">#REF!</definedName>
    <definedName name="BODBACB694BD7E44CEBE4E45C08FE131B4" hidden="1">#REF!</definedName>
    <definedName name="BODBBD5D8409644C468C54FD3D931960EB" hidden="1">#REF!</definedName>
    <definedName name="BODBCBA82F8E9249D89108036ADA662788" hidden="1">#REF!</definedName>
    <definedName name="BODBD104E8C7004854B202CBE0C003FEAD" hidden="1">#REF!</definedName>
    <definedName name="BODBE57A7EF8404AF5B3C8AEDBF48AB223" hidden="1">#REF!</definedName>
    <definedName name="BODBEEEB87A6444E32BADC7F1718A1A576" hidden="1">#REF!</definedName>
    <definedName name="BODBF8FFFCD2AB44D197FE04EBD6A5FD4A" hidden="1">#REF!</definedName>
    <definedName name="BODBFBB48EECEF4996820C307769DBD37F" hidden="1">#REF!</definedName>
    <definedName name="BODBFCF8CCC6324C318D66C83A5FBC2D05" hidden="1">#REF!</definedName>
    <definedName name="BODC00901AEC6E4E1880DEBF9AECA13618" hidden="1">#REF!</definedName>
    <definedName name="BODC0617E966DA4A49A005919B60EB0884" hidden="1">#REF!</definedName>
    <definedName name="BODC14076DC94946E8B204F6A9B1FD474D" hidden="1">#REF!</definedName>
    <definedName name="BODC2466BF70D243169B07F218B7842FA6" hidden="1">#REF!</definedName>
    <definedName name="BODC3C4D7089404422819FFF35151BE111" hidden="1">#REF!</definedName>
    <definedName name="BODC3D5DE14C4B4D10996BE2EA97644BA0" hidden="1">#REF!</definedName>
    <definedName name="BODC3F3335B67F4F989556CAF56681B87F" hidden="1">#REF!</definedName>
    <definedName name="BODC421164C06F42BDAEC627C75208B06A" hidden="1">#REF!</definedName>
    <definedName name="BODC47CAA239E14213A4F54BF0707697CC" hidden="1">#REF!</definedName>
    <definedName name="BODC5B5A5EA03C47B8BEB2E396CACF0E2E" hidden="1">#REF!</definedName>
    <definedName name="BODC6A5169D6D14AE7B8061DDEA3CA025D" hidden="1">#REF!</definedName>
    <definedName name="BODC737E7AFB7540519EDD0E5A0525B80A" hidden="1">#REF!</definedName>
    <definedName name="BODC844A8C943A4BB2839E99D476F423EB" hidden="1">#REF!</definedName>
    <definedName name="BODC884F78779C4E159DC4A432F21F4C66" hidden="1">#REF!</definedName>
    <definedName name="BODC94C384E9D0432BAEC355B6ED28D4EC" hidden="1">#REF!</definedName>
    <definedName name="BODC95A382AD8E42FB88EA674CF76813E6" hidden="1">#REF!</definedName>
    <definedName name="BODC994130966846C9880636CF2AB1C1E5" hidden="1">#REF!</definedName>
    <definedName name="BODC9E2F63C5834317AF920A41B2B9081D" hidden="1">#REF!</definedName>
    <definedName name="BODC9F6BB797884CCCBCE29A6AF7E0C643" hidden="1">#REF!</definedName>
    <definedName name="BODCAA246D97194570A40B0EA9C23F24F8" hidden="1">#REF!</definedName>
    <definedName name="BODCBF43DB5F9745C6911F1E9B6B6A5594" hidden="1">#REF!</definedName>
    <definedName name="BODCC001BC3CBA47AE8D215650F4DF35F6" hidden="1">#REF!</definedName>
    <definedName name="BODCC3F698F665412C8F806ECBDC0E37F6" hidden="1">#REF!</definedName>
    <definedName name="BODCD755FB5EEB43D5BE0D7271D4F2E0E6" hidden="1">#REF!</definedName>
    <definedName name="BODCDBE2925EB4496183C1E2B1BE491C98" hidden="1">#REF!</definedName>
    <definedName name="BODCE1C1B0524B450BA02A4BBAA1B7BC09" hidden="1">#REF!</definedName>
    <definedName name="BODCE67B1ABD0945F2BF5687D2FBEEF04D" hidden="1">#REF!</definedName>
    <definedName name="BODD00426B2ADE49D785976772A647B97C" hidden="1">#REF!</definedName>
    <definedName name="BODD03D1B865D64DE6855A6704112C1AEB" hidden="1">#REF!</definedName>
    <definedName name="BODD04DDB3A41647B8B7F218EC0BFCE0E8" hidden="1">#REF!</definedName>
    <definedName name="BODD05349F82B6457D9326A1AE48A8B793" hidden="1">#REF!</definedName>
    <definedName name="BODD0D90B4A13A46188548D558377A0863" hidden="1">#REF!</definedName>
    <definedName name="BODD0F308350C3480E9EC140B8008B5C9A" hidden="1">#REF!</definedName>
    <definedName name="BODD188E47B51947408D02F29C0E26E9CB" hidden="1">#REF!</definedName>
    <definedName name="BODD1E401FE77541C1A0AA62D2B2E76281" hidden="1">#REF!</definedName>
    <definedName name="BODD29E2144E7547F2A51874922700D110" hidden="1">#REF!</definedName>
    <definedName name="BODD2B4674B0D54FB1911D13FD35455351" hidden="1">#REF!</definedName>
    <definedName name="BODD47DFEFD79D4B399A669FE121E49F51" hidden="1">#REF!</definedName>
    <definedName name="BODD4CDD1442D5401BA377D5AA05FBF4C2" hidden="1">#REF!</definedName>
    <definedName name="BODD5F3702700044FDBAD7F24EB979E6B6" hidden="1">#REF!</definedName>
    <definedName name="BODD63BDC34BA745C5ABEAC00D924A0804" hidden="1">#REF!</definedName>
    <definedName name="BODD6BF6ADF5F74DC094457254434017CE" hidden="1">#REF!</definedName>
    <definedName name="BODD7A60680CB843A2AA0518A856B757C0" hidden="1">#REF!</definedName>
    <definedName name="BODD7C47E9158447BCB3C4B4BE22F65D8B" hidden="1">#REF!</definedName>
    <definedName name="BODD802CFF0D2C441EBD113023F2DDC9D2" hidden="1">#REF!</definedName>
    <definedName name="BODD8706A476D34B768BBEE04F47275209" hidden="1">#REF!</definedName>
    <definedName name="BODD8B4CD7C6F540B5A0C94568151312CE" hidden="1">#REF!</definedName>
    <definedName name="BODD92B8304617491F897A0858079DC145" hidden="1">#REF!</definedName>
    <definedName name="BODD97F5D417954A00987CB2D823083B39" hidden="1">#REF!</definedName>
    <definedName name="BODDA49FBC8F5E469988414B80DFDF66A9" hidden="1">#REF!</definedName>
    <definedName name="BODDABBB288AF842A9943B733911E0DCBA" hidden="1">#REF!</definedName>
    <definedName name="BODDAD585DF8CE43DBB20CC339E2F93AE0" hidden="1">#REF!</definedName>
    <definedName name="BODDB08F03BD114B9490F62B77EEA21C04" hidden="1">#REF!</definedName>
    <definedName name="BODDB15C30B2224922AF1049C676DFDC49" hidden="1">#REF!</definedName>
    <definedName name="BODDB6FD645C3E4E528268B29D04395346" hidden="1">#REF!</definedName>
    <definedName name="BODDB76BAF23D44E0098B2A26277D4FE19" hidden="1">#REF!</definedName>
    <definedName name="BODDC21717D61C43588A9AE355CFF2591F" hidden="1">#REF!</definedName>
    <definedName name="BODDC8BC7442174F47A915804405C91DE2" hidden="1">#REF!</definedName>
    <definedName name="BODDD3F4EF7B1B4A4B919BEFD1B9235886" hidden="1">#REF!</definedName>
    <definedName name="BODDD89B9E5D74439B9A641298BF423F72" hidden="1">#REF!</definedName>
    <definedName name="BODDE4BF959CEC4E6EB1765D666FC4E334" hidden="1">#REF!</definedName>
    <definedName name="BODDE542DC4D124A48AE60AD6CF7DFAEF4" hidden="1">#REF!</definedName>
    <definedName name="BODDE933A436D04056B6403FC0FFE71C24" hidden="1">#REF!</definedName>
    <definedName name="BODDF1C388B08A4EE6A56C3D47EBACE29E" hidden="1">#REF!</definedName>
    <definedName name="BODE06F0A926AE473788D89A33D13A16B7" hidden="1">#REF!</definedName>
    <definedName name="BODE071774D10943039A23AF1FFE99CFC0" hidden="1">#REF!</definedName>
    <definedName name="BODE08C68E66DE42A5A1F2913FF85498A5" hidden="1">#REF!</definedName>
    <definedName name="BODE106229DFDD40B686C7459F5A3D172D" hidden="1">#REF!</definedName>
    <definedName name="BODE14A43E0C3A4E919C0E25C1077A72AB" hidden="1">#REF!</definedName>
    <definedName name="BODE24375B6A5F493A8E4358835D3B0712" hidden="1">#REF!</definedName>
    <definedName name="BODE2488710BE347D69BB8C59CA1C07A1A" hidden="1">#REF!</definedName>
    <definedName name="BODE35238769474EBDB1C74FD992B5752E" hidden="1">#REF!</definedName>
    <definedName name="BODE457C9713EB4B0BA405750E5C8F7704" hidden="1">#REF!</definedName>
    <definedName name="BODE498A03EFFB42CC9D7065E128518969" hidden="1">#REF!</definedName>
    <definedName name="BODE502E3B8DB84DDAADFCE6E736CFF90A" hidden="1">#REF!</definedName>
    <definedName name="BODE5C6902422746A6849CBA3237CBBACC" hidden="1">#REF!</definedName>
    <definedName name="BODE729FEC74F84DC08A3170AE79A00448" hidden="1">#REF!</definedName>
    <definedName name="BODE7387CAF524447B950C9F1A78207588" hidden="1">#REF!</definedName>
    <definedName name="BODE7668EF38A844D9B4D1C848C58F3E76" hidden="1">#REF!</definedName>
    <definedName name="BODE88A5AD823140A7A4A610D32557F165" hidden="1">#REF!</definedName>
    <definedName name="BODE96889B24E849EDAB5AF60D6EBB7E70" hidden="1">#REF!</definedName>
    <definedName name="BODE97CBE9B45B41B6AA948C827DAD0DBE" hidden="1">#REF!</definedName>
    <definedName name="BODE9F43C5521540CE952FD90590B33F41" hidden="1">#REF!</definedName>
    <definedName name="BODEA25EF41D694B81BF611B7BA4393D8B" hidden="1">#REF!</definedName>
    <definedName name="BODEB9944D278C43B19E4542BFD12BE45E" hidden="1">#REF!</definedName>
    <definedName name="BODEBB4201A8C343038D0D81D52CD71557" hidden="1">#REF!</definedName>
    <definedName name="BODEC581678FC04124B01DE3BAD6691B03" hidden="1">#REF!</definedName>
    <definedName name="BODECC2369F5EA4C0D876E0F03736A8CB0" hidden="1">#REF!</definedName>
    <definedName name="BODECF8B111EA74B9A903C1EBE716E306F" hidden="1">#REF!</definedName>
    <definedName name="BODED10952DB0C49098533D2F32B2EBC54" hidden="1">#REF!</definedName>
    <definedName name="BODED505088B404FE4A1E4331C52C5F8F5" hidden="1">#REF!</definedName>
    <definedName name="BODED5B43DFF7E44B28541568B383D7101" hidden="1">#REF!</definedName>
    <definedName name="BODED6A7CB9D7A44C5B008C5515BA81F48" hidden="1">#REF!</definedName>
    <definedName name="BODEE0EC32CBF2448C8102FCB753E3D341" hidden="1">#REF!</definedName>
    <definedName name="BODEE172AF37684F498707F9735ABA747F" hidden="1">#REF!</definedName>
    <definedName name="BODEE42839F44E4EFFADD2430D9952F195" hidden="1">#REF!</definedName>
    <definedName name="BODEF7A861A474457884F711EFD37C6E1C" hidden="1">#REF!</definedName>
    <definedName name="BODF14A29571AF48DDAF191DBE51DAE3DA" hidden="1">#REF!</definedName>
    <definedName name="BODF1A622F4A5D4A3BBD8F0B5233578BF9" hidden="1">#REF!</definedName>
    <definedName name="BODF1A8B2B0B0544C6A1273BC2EF4686C8" hidden="1">#REF!</definedName>
    <definedName name="BODF207A1FBD8D485D9A983232D2D4ED58" hidden="1">#REF!</definedName>
    <definedName name="BODF2AC8F3CF3240188D136FE664AFA8F8" hidden="1">#REF!</definedName>
    <definedName name="BODF352BE480814E57B8A2FB25A8EF533E" hidden="1">#REF!</definedName>
    <definedName name="BODF38A21629AE4D458CF8B71E483EDAD3" hidden="1">#REF!</definedName>
    <definedName name="BODF3A45831CA5476C87A9472BF207B26F" hidden="1">#REF!</definedName>
    <definedName name="BODF4CD10072FE44478B79199D33F5F1E3" hidden="1">#REF!</definedName>
    <definedName name="BODF52C0A54B924AEE99560C55E0DE5DDB" hidden="1">#REF!</definedName>
    <definedName name="BODF54CC427F064B7CA6BE59B7167BE2DA" hidden="1">#REF!</definedName>
    <definedName name="BODF674E9ED7914391BB04D23BBD159A27" hidden="1">#REF!</definedName>
    <definedName name="BODF6C293AB72E4EDA8C2997811A51C92B" hidden="1">#REF!</definedName>
    <definedName name="BODF73D06768BD44DF937EE8FB4448C10E" hidden="1">#REF!</definedName>
    <definedName name="BODF82F43E971C4BCBA64CFC10CFA193DE" hidden="1">#REF!</definedName>
    <definedName name="BODF83DAA768E347ECA3E99DF0AAC20D97" hidden="1">#REF!</definedName>
    <definedName name="BODF87A0C5636440359AD412A601248248" hidden="1">#REF!</definedName>
    <definedName name="BODF8A3231249C4208AE9D0795EEB2BDDE" hidden="1">#REF!</definedName>
    <definedName name="BODF8EA10FA42742929AC2ECC571667832" hidden="1">#REF!</definedName>
    <definedName name="BODF913E4D7C9F4E639DD18A6B01E2D234" hidden="1">#REF!</definedName>
    <definedName name="BODF9215F5880840FE8799AA9CDF9F7D4F" hidden="1">#REF!</definedName>
    <definedName name="BODF991D8822F940EBAF216731AA012C11" hidden="1">#REF!</definedName>
    <definedName name="BODFA793098A8546C6A9EF5D4E2763C4BF" hidden="1">#REF!</definedName>
    <definedName name="BODFB49F4BD5F14FF7A4A8766C1E8C9C8F" hidden="1">#REF!</definedName>
    <definedName name="BODFC5B89E2B5E44EEB88B51118D5FDDF5" hidden="1">#REF!</definedName>
    <definedName name="BODFD0BE61084E4956B45CA3CE71C85C5A" hidden="1">#REF!</definedName>
    <definedName name="BODFD7A2093CE9432CA42747A1BBD8A0D9" hidden="1">#REF!</definedName>
    <definedName name="BOE0072C6AA8B746C5BD57A0BE4FD7DFEC" hidden="1">#REF!</definedName>
    <definedName name="BOE01663C5161E45DD9F78B1986E18DD93" hidden="1">#REF!</definedName>
    <definedName name="BOE0227AAB625C4AA398D22EE3D9F3B1B2" hidden="1">#REF!</definedName>
    <definedName name="BOE02478A8730645BA85EF05DFC2BFFB3E" hidden="1">#REF!</definedName>
    <definedName name="BOE031716054A54AECBB83BBAE651C51FB" hidden="1">#REF!</definedName>
    <definedName name="BOE032994194FC44338A91811FD99B31A8" hidden="1">#REF!</definedName>
    <definedName name="BOE035193A09D34297A35338657F1E8201" hidden="1">#REF!</definedName>
    <definedName name="BOE0489C19BE754EAE8879BF20B484C72E" hidden="1">#REF!</definedName>
    <definedName name="BOE04A720C190B41DBB2A5D467A4879AE6" hidden="1">#REF!</definedName>
    <definedName name="BOE04DF545F88046B88412DCFAA256DF22" hidden="1">#REF!</definedName>
    <definedName name="BOE04F7A19568A4D8C9F0D79777E305A35" hidden="1">#REF!</definedName>
    <definedName name="BOE05528BA1E324C27A5CECE252F27CDC3" hidden="1">#REF!</definedName>
    <definedName name="BOE0652F851A37440D9655FC96F00C95E9" hidden="1">#REF!</definedName>
    <definedName name="BOE065BCFB10CD45C99E2F9FA220D234EF" hidden="1">#REF!</definedName>
    <definedName name="BOE06B37EECBE84055AA64A0BA7AC37CFE" hidden="1">#REF!</definedName>
    <definedName name="BOE06FC83DA81E4C57A2D229755327A807" hidden="1">#REF!</definedName>
    <definedName name="BOE0796408CBFF432388F3DFF5CC05872E" hidden="1">#REF!</definedName>
    <definedName name="BOE07CD70360FE4A2F9A425D8573FB2ACD" hidden="1">#REF!</definedName>
    <definedName name="BOE09E29F463CA424BBFAC137296204F7B" hidden="1">#REF!</definedName>
    <definedName name="BOE0C5779A53A44A04B041736ED3558B1A" hidden="1">#REF!</definedName>
    <definedName name="BOE0C8CB79749546DAB5C182AC167B327F" hidden="1">#REF!</definedName>
    <definedName name="BOE0CF6ECBE4BE497582E866250CB732DF" hidden="1">#REF!</definedName>
    <definedName name="BOE0D015CDCFB440B3AD2B0414F9D6FD88" hidden="1">#REF!</definedName>
    <definedName name="BOE0D875225A4846349AB1A1C7779198C0" hidden="1">#REF!</definedName>
    <definedName name="BOE0D8A911D0A841DFBC43CAF3899CE817" hidden="1">#REF!</definedName>
    <definedName name="BOE0DE38D8C4874818984E2D600952BF26" hidden="1">#REF!</definedName>
    <definedName name="BOE0E083743777422DAF38243820B0F8F1" hidden="1">#REF!</definedName>
    <definedName name="BOE0E489B406BF4FF69E7E5C732A0A856B" hidden="1">#REF!</definedName>
    <definedName name="BOE0EB14789FB248E18F448C6986BCDDE3" hidden="1">#REF!</definedName>
    <definedName name="BOE0EEDF2EBE3E43799F46C22F5A4FC4F2" hidden="1">#REF!</definedName>
    <definedName name="BOE1000F85B1CB4E36AA52386C4FEB4A57" hidden="1">#REF!</definedName>
    <definedName name="BOE11EE0BEA65D46DDB2DE053C29781AEA" hidden="1">#REF!</definedName>
    <definedName name="BOE122E3DA2D7E427296CDEADEE76C204C" hidden="1">#REF!</definedName>
    <definedName name="BOE139841B3F834D77B80512E21AC47E01" hidden="1">#REF!</definedName>
    <definedName name="BOE13FB44C44704431A0D21151AB09A3CF" hidden="1">#REF!</definedName>
    <definedName name="BOE1473E7375CA4B1D90BE26EE8380744A" hidden="1">#REF!</definedName>
    <definedName name="BOE15065583D764334943293B17E8C3B66" hidden="1">#REF!</definedName>
    <definedName name="BOE15462FD52C94C09AA83F1FBFCBC066B" hidden="1">#REF!</definedName>
    <definedName name="BOE15717B6D5CD4C24AF44984907DAF238" hidden="1">#REF!</definedName>
    <definedName name="BOE1678A8E40724A058592E60B587DC585" hidden="1">#REF!</definedName>
    <definedName name="BOE172E49A97C64B03A91D3EA139260C7F" hidden="1">#REF!</definedName>
    <definedName name="BOE18CE4475986452298AFB757736B893A" hidden="1">#REF!</definedName>
    <definedName name="BOE193603A818F4EE8B60D207F1B0A2747" hidden="1">#REF!</definedName>
    <definedName name="BOE1A2A55DD0A74089984E995ED05A7AA3" hidden="1">#REF!</definedName>
    <definedName name="BOE1A520D6946F4D23A00C0027FC483ADB" hidden="1">#REF!</definedName>
    <definedName name="BOE1D3CD249DA14EDAA6FA66CAAC0913D0" hidden="1">#REF!</definedName>
    <definedName name="BOE1D6A3B855CB4FCDAF369984F63AF768" hidden="1">#REF!</definedName>
    <definedName name="BOE1E71717F9A44EDA93411465C1D1D279" hidden="1">#REF!</definedName>
    <definedName name="BOE202827C1BA7487D811A1E549AA16C16" hidden="1">#REF!</definedName>
    <definedName name="BOE20361EB30A34BBD83E96319A8420579" hidden="1">#REF!</definedName>
    <definedName name="BOE2036E8074684CC382463FA308C6F2B6" hidden="1">#REF!</definedName>
    <definedName name="BOE2176BB7355F4C338D566876978FE51E" hidden="1">#REF!</definedName>
    <definedName name="BOE2223E20DE1B4BE68830CC4CEE24C579" hidden="1">#REF!</definedName>
    <definedName name="BOE22275963ACA420998D0FD5913D1DA21" hidden="1">#REF!</definedName>
    <definedName name="BOE222C393E811410489C4F618197F40D2" hidden="1">#REF!</definedName>
    <definedName name="BOE23595CA5D6B47D8B9AB55613E56B26F" hidden="1">#REF!</definedName>
    <definedName name="BOE237D9BC54B04B469A08FDA5E10EF86B" hidden="1">#REF!</definedName>
    <definedName name="BOE241ED80084E46CCA5B05057792D952D" hidden="1">#REF!</definedName>
    <definedName name="BOE242AEC85565409E9379A70830DB5C2A" hidden="1">#REF!</definedName>
    <definedName name="BOE244A9C43D754421B545BE7E69DFF841" hidden="1">#REF!</definedName>
    <definedName name="BOE247C5EC599D4D0BA3EEF1841C9110A9" hidden="1">#REF!</definedName>
    <definedName name="BOE268388F64B340EC9CF16B5932049A8C" hidden="1">#REF!</definedName>
    <definedName name="BOE26C90862C274E1399A91A4AC4755D31" hidden="1">#REF!</definedName>
    <definedName name="BOE2723C37BC2D481CA7536880F712D099" hidden="1">#REF!</definedName>
    <definedName name="BOE27A02A1ED61465CB753B9D76ADDB2D1" hidden="1">#REF!</definedName>
    <definedName name="BOE287BB7538264FD9B7DFB582E7EB0C26" hidden="1">#REF!</definedName>
    <definedName name="BOE2880CAE61FF4C91BF4F58265ED031DD" hidden="1">#REF!</definedName>
    <definedName name="BOE28A57B3A86B496C9B11816374AA1AA0" hidden="1">#REF!</definedName>
    <definedName name="BOE29BC175BCB2426EACCF6E3643B74321" hidden="1">#REF!</definedName>
    <definedName name="BOE29E83C0FA2F47E0AE059A23CCC4F152" hidden="1">#REF!</definedName>
    <definedName name="BOE2A620132BCE4EC6B19884A84E6109D5" hidden="1">#REF!</definedName>
    <definedName name="BOE2AB731887654340B1B8083A20A31764" hidden="1">#REF!</definedName>
    <definedName name="BOE2AC3C26CA1C42E8A3DFF3EAA820FA7A" hidden="1">#REF!</definedName>
    <definedName name="BOE2B4F080B325487D9428D4A380892F22" hidden="1">#REF!</definedName>
    <definedName name="BOE2C257E384FE44AD9785D4F2FBCC5ACD" hidden="1">#REF!</definedName>
    <definedName name="BOE2C43E4AA0E44D5D8DCA706D1895B1CF" hidden="1">#REF!</definedName>
    <definedName name="BOE2C6F8BDAF1F4D4490FD339FBC1751CB" hidden="1">#REF!</definedName>
    <definedName name="BOE2D7C218F576483599CE34B180F42455" hidden="1">#REF!</definedName>
    <definedName name="BOE2D871C1D98E46D78EC82CF82591043F" hidden="1">#REF!</definedName>
    <definedName name="BOE2EECFDA905949928CC4DA6A98C5F2E6" hidden="1">#REF!</definedName>
    <definedName name="BOE2F099AC26074647B8293BDA5301A75F" hidden="1">#REF!</definedName>
    <definedName name="BOE2F2B05DE27E4C228EE0DCDA93A84AE5" hidden="1">#REF!</definedName>
    <definedName name="BOE2F44EB040B3482D909253992C66C346" hidden="1">#REF!</definedName>
    <definedName name="BOE30430034C874131B908C5E176FECD1C" hidden="1">#REF!</definedName>
    <definedName name="BOE3086526A0194B259EBF84B2BA39AF47" hidden="1">#REF!</definedName>
    <definedName name="BOE3087F16F9A2410B98693A847499248C" hidden="1">#REF!</definedName>
    <definedName name="BOE30F66EF46D749BD99A7D887356DDDC1" hidden="1">#REF!</definedName>
    <definedName name="BOE3133C8BEBF44F4C8A4B1D0B823E51CF" hidden="1">#REF!</definedName>
    <definedName name="BOE313D78B841B40F59B5989DB54F76100" hidden="1">#REF!</definedName>
    <definedName name="BOE316B62D204D4E66A68E3F071E46529F" hidden="1">#REF!</definedName>
    <definedName name="BOE3177178FE014D1C9A3D48927F84626A" hidden="1">#REF!</definedName>
    <definedName name="BOE32495E71F6C492B8E3CC07089E7C37C" hidden="1">#REF!</definedName>
    <definedName name="BOE3261CBE4C5E452CBF3F38CFA694898D" hidden="1">#REF!</definedName>
    <definedName name="BOE3276B997AEC425ABA684037300A294C" hidden="1">#REF!</definedName>
    <definedName name="BOE3287746EC4B47CBA4E1FB9CC14AF298" hidden="1">#REF!</definedName>
    <definedName name="BOE33765DC2A0B41199B7A259FF801CA04" hidden="1">#REF!</definedName>
    <definedName name="BOE34DDAC611EF424DAF166E1532E317F8" hidden="1">#REF!</definedName>
    <definedName name="BOE35B8E0C900A4834A137FA6005028C7B" hidden="1">#REF!</definedName>
    <definedName name="BOE35DD95AB2844737AB06B7603964E5B5" hidden="1">#REF!</definedName>
    <definedName name="BOE36B8B018D21421F8D19741C99678167" hidden="1">#REF!</definedName>
    <definedName name="BOE3805BC384C74085A772249C0FE7F8E1" hidden="1">#REF!</definedName>
    <definedName name="BOE3831D0D8CEF40EF9DE783D3D9EF64E4" hidden="1">#REF!</definedName>
    <definedName name="BOE3914D6549B746F48F316C68E1C42C7A" hidden="1">#REF!</definedName>
    <definedName name="BOE39628214D034074A31905F156D06424" hidden="1">#REF!</definedName>
    <definedName name="BOE39FAB7A74A64FF79B56A89D00D39ED1" hidden="1">#REF!</definedName>
    <definedName name="BOE3A1C882A6264B6F92218AE6FEF4D784" hidden="1">#REF!</definedName>
    <definedName name="BOE3AAC551F6F4418B9F61861A429B00D4" hidden="1">#REF!</definedName>
    <definedName name="BOE3B4A8F47C5347AB938B6FF88B007DB9" hidden="1">#REF!</definedName>
    <definedName name="BOE3B4C31E2363459F9CF7530F2BA5B1E0" hidden="1">#REF!</definedName>
    <definedName name="BOE3BB96B732C1435EB44B99E7D187022A" hidden="1">#REF!</definedName>
    <definedName name="BOE3C9EA40A2734BF0B1C8DC80193966BD" hidden="1">#REF!</definedName>
    <definedName name="BOE3CDC28B26FC4F479FBEAB25BB1D190D" hidden="1">#REF!</definedName>
    <definedName name="BOE3E9FABBAAFF436A9706A138E6F517EB" hidden="1">#REF!</definedName>
    <definedName name="BOE3F32B47D2C44577BEE987773411A86E" hidden="1">#REF!</definedName>
    <definedName name="BOE3F35167844F4744B81CD8A9CC153F7C" hidden="1">#REF!</definedName>
    <definedName name="BOE4090133A6734C499AB5AD6237B70E5B" hidden="1">#REF!</definedName>
    <definedName name="BOE417510D81BA4F49A7FF78231E6D3921" hidden="1">#REF!</definedName>
    <definedName name="BOE422E4403CCA4FBAB20D1BF5DED1AEC8" hidden="1">#REF!</definedName>
    <definedName name="BOE42405A5EE8344F5BD4581E7A893D34F" hidden="1">#REF!</definedName>
    <definedName name="BOE42B1DB0D5F44BDB9C884B7911C90056" hidden="1">#REF!</definedName>
    <definedName name="BOE43C1F3836504F6FA2A4E6DD3B0C0E49" hidden="1">#REF!</definedName>
    <definedName name="BOE43EE58280EB42CFBC3009DD9B45ABBF" hidden="1">#REF!</definedName>
    <definedName name="BOE449C49CE3DB45EFA03DDDF4B96081E0" hidden="1">#REF!</definedName>
    <definedName name="BOE4621E7A3DA54328B398B91C40F4854A" hidden="1">#REF!</definedName>
    <definedName name="BOE46A7233C0E54540A034CA8865F746EE" hidden="1">#REF!</definedName>
    <definedName name="BOE477D495D8D24D55A4415310ED9A27F8" hidden="1">#REF!</definedName>
    <definedName name="BOE484D8A5A36E4B05B91BBC7F2FE89A3D" hidden="1">#REF!</definedName>
    <definedName name="BOE48999CE5C6348B09EB3DBEF3664380C" hidden="1">#REF!</definedName>
    <definedName name="BOE49418F53CB142C6BF2075679D212623" hidden="1">#REF!</definedName>
    <definedName name="BOE49D6451033E4EE68CE6B1D77926F39A" hidden="1">#REF!</definedName>
    <definedName name="BOE4A2FC7DDFA34C7C86CE9CCC7398C9D0" hidden="1">#REF!</definedName>
    <definedName name="BOE4B4663861634B6380C6DEDF9D37515A" hidden="1">#REF!</definedName>
    <definedName name="BOE4BA9A13980D4F5AB426F701841862BF" hidden="1">#REF!</definedName>
    <definedName name="BOE4C4227C3DE04C81B2FA73EC45D76092" hidden="1">#REF!</definedName>
    <definedName name="BOE4E6575D8F7F499583FD75CF08FF0371" hidden="1">#REF!</definedName>
    <definedName name="BOE4F095E945424FD882FCC63FEADCD995" hidden="1">#REF!</definedName>
    <definedName name="BOE504C37B105B459C888EECED59F57583" hidden="1">#REF!</definedName>
    <definedName name="BOE50C504BC3314416BC885CC71E0985B7" hidden="1">#REF!</definedName>
    <definedName name="BOE512B6684BD744B791F11F317CB0155A" hidden="1">#REF!</definedName>
    <definedName name="BOE514F4FDEFEB4341BB0C97E538C37AFD" hidden="1">#REF!</definedName>
    <definedName name="BOE51710A891BC48659FDF998E29745D2D" hidden="1">#REF!</definedName>
    <definedName name="BOE51985C5BC004572AEA68D6142A8436B" hidden="1">#REF!</definedName>
    <definedName name="BOE51F44A0DDF34435997EF241474F25D0" hidden="1">#REF!</definedName>
    <definedName name="BOE51F8B56E81C4E70A837DC31C5255D68" hidden="1">#REF!</definedName>
    <definedName name="BOE541EBB9A57E40A685443F182D0975ED" hidden="1">#REF!</definedName>
    <definedName name="BOE548F41068534F22B30417C744EF5373" hidden="1">#REF!</definedName>
    <definedName name="BOE552172D364443588E235157E41FC6EF" hidden="1">#REF!</definedName>
    <definedName name="BOE562048AC955436DAD6E9CE5AB9C7544" hidden="1">#REF!</definedName>
    <definedName name="BOE5638EE9EF83470FA80E0440D5D8CB43" hidden="1">#REF!</definedName>
    <definedName name="BOE56B3327A2EF440BAB845200EC75F733" hidden="1">#REF!</definedName>
    <definedName name="BOE56CA3397EA34C098409285CFC7C0B63" hidden="1">#REF!</definedName>
    <definedName name="BOE56E130FA7FD45F4B588DE468A4E97FE" hidden="1">#REF!</definedName>
    <definedName name="BOE57180583A304754903E83AA8F4B9BA6" hidden="1">#REF!</definedName>
    <definedName name="BOE571CA43EBF54DA083E4D8D569F5D224" hidden="1">#REF!</definedName>
    <definedName name="BOE5721825846245DBA510FEBEFFAC0ED9" hidden="1">#REF!</definedName>
    <definedName name="BOE572B7BBA8C74E6DA73F32299EE4F2A4" hidden="1">#REF!</definedName>
    <definedName name="BOE57A1B7ABEDD46C29887760C46876F83" hidden="1">#REF!</definedName>
    <definedName name="BOE584EE6AC52F40BD954DA9034D468162" hidden="1">#REF!</definedName>
    <definedName name="BOE58ED27452A44E759328A287F793A242" hidden="1">#REF!</definedName>
    <definedName name="BOE58ED6DE749540B4B191C36E41FA3C4E" hidden="1">#REF!</definedName>
    <definedName name="BOE5A61B71E99441B8A2B0F127FEC68B11" hidden="1">#REF!</definedName>
    <definedName name="BOE5A92993EB8943578A0B8DD6E141EE88" hidden="1">#REF!</definedName>
    <definedName name="BOE5AA088337A34AD9B5911457F9CB0651" hidden="1">#REF!</definedName>
    <definedName name="BOE5ACE6726A3E446A8907831DAC978A0F" hidden="1">#REF!</definedName>
    <definedName name="BOE5B3274D9185461E8A8732B4FC80F12C" hidden="1">#REF!</definedName>
    <definedName name="BOE5B730814A4E440283146AAA1E4B9F28" hidden="1">#REF!</definedName>
    <definedName name="BOE5B945A3DA8343F990D04FBD764A06BC" hidden="1">#REF!</definedName>
    <definedName name="BOE5BC418CD9D04DBA81E65E007059E30C" hidden="1">#REF!</definedName>
    <definedName name="BOE5C0F300949641EE87DA78E854A2C980" hidden="1">#REF!</definedName>
    <definedName name="BOE5C20954FD8F4F5EAD32E96070DABD8E" hidden="1">#REF!</definedName>
    <definedName name="BOE5C2DC8BD95349E3A61A4BF77FB608E7" hidden="1">#REF!</definedName>
    <definedName name="BOE5C5844635D24D03B973AA15EBFAB900" hidden="1">#REF!</definedName>
    <definedName name="BOE5C6C75D4587439BBDED444F8D59EE7B" hidden="1">#REF!</definedName>
    <definedName name="BOE5CC6DF21DCB4D1C8DFD09F315882D71" hidden="1">#REF!</definedName>
    <definedName name="BOE5D1C3075C3947D0A9D759CC525BABA8" hidden="1">#REF!</definedName>
    <definedName name="BOE5DC0A1135EC4F8FBBA8019AB00C5F59" hidden="1">#REF!</definedName>
    <definedName name="BOE5E89310474D4A52887881F3DC4D7259" hidden="1">#REF!</definedName>
    <definedName name="BOE5F37519C82E4651AAF4CE9E9E5D9504" hidden="1">#REF!</definedName>
    <definedName name="BOE603D8CEB8554AFBBD909D483C22690F" hidden="1">#REF!</definedName>
    <definedName name="BOE60F91B88FA94B9495B6295E6D737EB1" hidden="1">#REF!</definedName>
    <definedName name="BOE62019F8AA64461C8DCCE9A7AFCE285F" hidden="1">#REF!</definedName>
    <definedName name="BOE62A6DFBFDB747DC82E2278C4F2B7BE8" hidden="1">#REF!</definedName>
    <definedName name="BOE62F1CBA81724A688FBFB606B2AA5496" hidden="1">#REF!</definedName>
    <definedName name="BOE63E58E702C54BA58111DFE0A66BAFDE" hidden="1">#REF!</definedName>
    <definedName name="BOE645E23DBBB041EAA426843C23660CBD" hidden="1">#REF!</definedName>
    <definedName name="BOE64FCB51E2CF4AB8B44E6E6D5A0273E7" hidden="1">#REF!</definedName>
    <definedName name="BOE666DDF9DA7C4014895CDE407408F66C" hidden="1">#REF!</definedName>
    <definedName name="BOE670E8BEFEAF403EBC68C69A08913541" hidden="1">#REF!</definedName>
    <definedName name="BOE676EE3F9FE24324A5FA4501938C5DA7" hidden="1">#REF!</definedName>
    <definedName name="BOE67A5412973946E19DDAD3339DB8CB15" hidden="1">#REF!</definedName>
    <definedName name="BOE68316744D924938B8A2430124ECA265" hidden="1">#REF!</definedName>
    <definedName name="BOE686AAF426084139B744C45DEC38A669" hidden="1">#REF!</definedName>
    <definedName name="BOE68C7699AD134C579065F6AA2AC52361" hidden="1">#REF!</definedName>
    <definedName name="BOE699453E7D904C71BE3907865B62F2D7" hidden="1">#REF!</definedName>
    <definedName name="BOE6A4CC4968704E99A38D387F4C5BDF20" hidden="1">#REF!</definedName>
    <definedName name="BOE6A895DF730D4C648D75B75EA8EC3D5B" hidden="1">#REF!</definedName>
    <definedName name="BOE6AB64E1AA394266B5E9CA50CDA62114" hidden="1">#REF!</definedName>
    <definedName name="BOE6AD42C661054E7DA3C3014D0D6CAFC2" hidden="1">#REF!</definedName>
    <definedName name="BOE6BC677AEF63439FB725357FD2AE4957" hidden="1">#REF!</definedName>
    <definedName name="BOE6C27514D2614E48B77DB13C26257AC7" hidden="1">#REF!</definedName>
    <definedName name="BOE6EAA319561C4E339CF0DFEEAD64C175" hidden="1">#REF!</definedName>
    <definedName name="BOE70239AD8D5A4EE19FB505ECCC483EF6" hidden="1">#REF!</definedName>
    <definedName name="BOE708C6D956D14213A9A0F5D71F80D177" hidden="1">#REF!</definedName>
    <definedName name="BOE713249A70E44E7D996C16A8A38A6C8F" hidden="1">#REF!</definedName>
    <definedName name="BOE715952FFD0744FB881F9B366512BC37" hidden="1">#REF!</definedName>
    <definedName name="BOE719B34B193B480DA0034AF29AC5BD1E" hidden="1">#REF!</definedName>
    <definedName name="BOE723F183EED040F89115312745C7C98D" hidden="1">#REF!</definedName>
    <definedName name="BOE72A2808D8A54F0C99F4BC9CFBA3EADF" hidden="1">#REF!</definedName>
    <definedName name="BOE73285E980B345BA990EEB8E4432ADFA" hidden="1">#REF!</definedName>
    <definedName name="BOE7499CCF54EF4F85AD9F14CCD1C4DEFD" hidden="1">#REF!</definedName>
    <definedName name="BOE74FE812004E4DCF874964C68F41FCF7" hidden="1">#REF!</definedName>
    <definedName name="BOE74FFF84953B42D7B70A13E79001D0D7" hidden="1">#REF!</definedName>
    <definedName name="BOE756C0AB570B43BB8566DCA680FC7AB3" hidden="1">#REF!</definedName>
    <definedName name="BOE760A0E7DAB84332BAB552BF5FC9159A" hidden="1">#REF!</definedName>
    <definedName name="BOE763020F3B8F42D4B22B14798C12544D" hidden="1">#REF!</definedName>
    <definedName name="BOE76AC300557449F1AE14437C61AF6DBE" hidden="1">#REF!</definedName>
    <definedName name="BOE778070FD4CE49638692AABA708FA9F7" hidden="1">#REF!</definedName>
    <definedName name="BOE77F96E796B845B49DA101FCC1ACEBF1" hidden="1">#REF!</definedName>
    <definedName name="BOE7804C2F5AD849F5B59BB49BB7C73A29" hidden="1">#REF!</definedName>
    <definedName name="BOE780FD10822F4D528401A6B4ADF3AA6F" hidden="1">#REF!</definedName>
    <definedName name="BOE785DDFF5CDC4D1C9FE39D53DE8EE81E" hidden="1">#REF!</definedName>
    <definedName name="BOE792E5C5FEF2496B90FE4C16F76E166F" hidden="1">#REF!</definedName>
    <definedName name="BOE7962CF301674546BE48459CC3BB58B4" hidden="1">#REF!</definedName>
    <definedName name="BOE798D7F8DA9E4D97A30B616DDE7DC338" hidden="1">#REF!</definedName>
    <definedName name="BOE79BAE4C6C6644E89B26E4AA08634BEC" hidden="1">#REF!</definedName>
    <definedName name="BOE7A45CA35A88467D986BB37469B53A4C" hidden="1">#REF!</definedName>
    <definedName name="BOE7A8E4F2E5EC4C49B34C9BCEEECDC5EA" hidden="1">#REF!</definedName>
    <definedName name="BOE7AC32302A634EC88E3E8123278FC19D" hidden="1">#REF!</definedName>
    <definedName name="BOE7AC813D937E48A9A41A4920BFFF3A62" hidden="1">#REF!</definedName>
    <definedName name="BOE7B676E190DF4786AAFB519E92F1191E" hidden="1">#REF!</definedName>
    <definedName name="BOE7B7F4F676A94A7F84AF4244024153B1" hidden="1">#REF!</definedName>
    <definedName name="BOE7BED555770346829F973D537C4C8F6E" hidden="1">#REF!</definedName>
    <definedName name="BOE7CC8531BC3F42CA8A9D6B22DD34A5C8" hidden="1">#REF!</definedName>
    <definedName name="BOE7DB888872E54A81861A5B0FCCE23F69" hidden="1">#REF!</definedName>
    <definedName name="BOE7DC714CA9884BB1AF10C24034D7AFCE" hidden="1">#REF!</definedName>
    <definedName name="BOE7DE0269A02C43569AAEE1D781357855" hidden="1">#REF!</definedName>
    <definedName name="BOE7E2CEE0DA554D16AF42AE852D287186" hidden="1">#REF!</definedName>
    <definedName name="BOE7E3089D3BC74A51BC8ABCAC05CFCB4B" hidden="1">#REF!</definedName>
    <definedName name="BOE7EB524ACF9748779D8285C2C3CA8648" hidden="1">#REF!</definedName>
    <definedName name="BOE7ECDACD4ABE4937A1548A177FDF18EC" hidden="1">#REF!</definedName>
    <definedName name="BOE80E8FE3C9C14C7389DF881A8ADD29A9" hidden="1">#REF!</definedName>
    <definedName name="BOE81043C2D1AC4AB492B6BC3968BDD3C8" hidden="1">#REF!</definedName>
    <definedName name="BOE81803C53FA34B44BFDE588EBB00F9D8" hidden="1">#REF!</definedName>
    <definedName name="BOE8219E389E3341C0A5AFCE7A4469EFAA" hidden="1">#REF!</definedName>
    <definedName name="BOE82602D442F540C982D6D717A5CBEFA0" hidden="1">#REF!</definedName>
    <definedName name="BOE826DD75AE464511864205F3605E6FEE" hidden="1">#REF!</definedName>
    <definedName name="BOE8280FA446D241ED95A4687CDEC836A8" hidden="1">#REF!</definedName>
    <definedName name="BOE82F1151E5C745FA8D224B7653BD8CA2" hidden="1">#REF!</definedName>
    <definedName name="BOE82FF0A14D26423BAA64418085931C9F" hidden="1">#REF!</definedName>
    <definedName name="BOE8492816A4174AF6BF2445753AA66B9D" hidden="1">#REF!</definedName>
    <definedName name="BOE850B706164D4C2E907E8175E4F517CA" hidden="1">#REF!</definedName>
    <definedName name="BOE8592501169545BBA0CD3AF1097D43C5" hidden="1">#REF!</definedName>
    <definedName name="BOE860395F514E4F83AC6859D8D2C926B4" hidden="1">#REF!</definedName>
    <definedName name="BOE8619FE84FFD4E15B8DB54D280792016" hidden="1">#REF!</definedName>
    <definedName name="BOE86E4A8EAD334EE7AA0776CEC24687C6" hidden="1">#REF!</definedName>
    <definedName name="BOE86E7F286DA241C8BD454A20423450C9" hidden="1">#REF!</definedName>
    <definedName name="BOE877EAE875DE4E23885330F9E082A075" hidden="1">#REF!</definedName>
    <definedName name="BOE877F72E6E0C40E3877E0C79F26757AF" hidden="1">#REF!</definedName>
    <definedName name="BOE87FA6BEA4B848CEADC08A2A4376640C" hidden="1">#REF!</definedName>
    <definedName name="BOE8879B24B7A94944A23FC4320A4E613E" hidden="1">#REF!</definedName>
    <definedName name="BOE88AFD4AB5A24A6EAECD50E8AB116886" hidden="1">#REF!</definedName>
    <definedName name="BOE88BF8B6801C482C88E8739B1486BC99" hidden="1">#REF!</definedName>
    <definedName name="BOE8942FE5407749AD94E1C83EFD4440C7" hidden="1">#REF!</definedName>
    <definedName name="BOE896F21AC5DB4AF4953BE17902BCC6A2" hidden="1">#REF!</definedName>
    <definedName name="BOE89A7E35AFF54965ADA8A758628E481D" hidden="1">#REF!</definedName>
    <definedName name="BOE89C44414AD345DC8E64A86806B6C757" hidden="1">#REF!</definedName>
    <definedName name="BOE8A1DEF744BF41B9A293B0B4A0817711" hidden="1">#REF!</definedName>
    <definedName name="BOE8AC3C28DBAB4B9C951F5984F091C4CD" hidden="1">#REF!</definedName>
    <definedName name="BOE8ACBAB036024ADBB66A05134CA37190" hidden="1">#REF!</definedName>
    <definedName name="BOE8AE6D3158644A6E85E2887190503B50" hidden="1">#REF!</definedName>
    <definedName name="BOE8B7ACD5B8274D49A8515BBA9AAB1EF6" hidden="1">#REF!</definedName>
    <definedName name="BOE8C23AECC33C4C2EBD70B2AE2B7A7076" hidden="1">#REF!</definedName>
    <definedName name="BOE8D8A80A4B9449D880ACC4C3ECE0365B" hidden="1">#REF!</definedName>
    <definedName name="BOE8E415C14DB943F0A1956519D69CC2A1" hidden="1">#REF!</definedName>
    <definedName name="BOE8E8D5DB0DE840C38AD669919685716C" hidden="1">#REF!</definedName>
    <definedName name="BOE8FDDDD7F0614678B2B4D07CE98E2FA4" hidden="1">#REF!</definedName>
    <definedName name="BOE908843B001E4257BEDD2496749647E4" hidden="1">#REF!</definedName>
    <definedName name="BOE90EEA92927741C0AEF29C717BF5DC3D" hidden="1">#REF!</definedName>
    <definedName name="BOE915D02A23ED421E9CD00A28A1369096" hidden="1">#REF!</definedName>
    <definedName name="BOE91ADDB085884EE5ADB5990AD342FB88" hidden="1">#REF!</definedName>
    <definedName name="BOE91BB66A346E4A5AAD29DF657EC11D1E" hidden="1">#REF!</definedName>
    <definedName name="BOE91D1B6B45D54B0AA0F58ED0C6A3F6D6" hidden="1">#REF!</definedName>
    <definedName name="BOE91F01C783934FBDAFD0CD3D3E607604" hidden="1">#REF!</definedName>
    <definedName name="BOE920BB365E6A4D22B271BFECBF9603F6" hidden="1">#REF!</definedName>
    <definedName name="BOE926DBE572B14DC88BED303CCB12C8E6" hidden="1">#REF!</definedName>
    <definedName name="BOE94367B32FA24AFEA1DDE6E7A753DFEB" hidden="1">#REF!</definedName>
    <definedName name="BOE9498DF83E85463B89CCF152693B2E0A" hidden="1">#REF!</definedName>
    <definedName name="BOE94A45191BE845F1955B33C30BE6684B" hidden="1">#REF!</definedName>
    <definedName name="BOE94B950501E442F8AD9977AB11C4C0F0" hidden="1">#REF!</definedName>
    <definedName name="BOE953A6B3A992491E8CCBE654A2BA0227" hidden="1">#REF!</definedName>
    <definedName name="BOE9548CDA0EE24A44A177E2A207F4B064" hidden="1">#REF!</definedName>
    <definedName name="BOE95853530F2E4F77B2DF79BA1CE74324" hidden="1">#REF!</definedName>
    <definedName name="BOE95866BA87D74DC8A51209EEC3C10921" hidden="1">#REF!</definedName>
    <definedName name="BOE97122F0528742B7A7402B75BFA3624F" hidden="1">#REF!</definedName>
    <definedName name="BOE9752D7FF60942B5BA8EFFF3714FCBC4" hidden="1">#REF!</definedName>
    <definedName name="BOE97C978D9C884C2CAA238E9817AAEE52" hidden="1">#REF!</definedName>
    <definedName name="BOE99D80E7B5814F33AC3ACA49A106FB30" hidden="1">#REF!</definedName>
    <definedName name="BOE9A02BDE68154E58A8B2BC3060E98378" hidden="1">#REF!</definedName>
    <definedName name="BOE9A33A8458E147DD8752B9256E4989DA" hidden="1">#REF!</definedName>
    <definedName name="BOE9A42E63A8F64BEBB09F5784DD7C5A10" hidden="1">#REF!</definedName>
    <definedName name="BOE9A6877DA7AC4930BA5AFEF4B73A9DD2" hidden="1">#REF!</definedName>
    <definedName name="BOE9A69B5001314A93BB74B34B45F34C65" hidden="1">#REF!</definedName>
    <definedName name="BOE9A8A0C9024442D7A3A56F13B828D845" hidden="1">#REF!</definedName>
    <definedName name="BOE9B0E8C006074405BC5A128CC799976F" hidden="1">#REF!</definedName>
    <definedName name="BOE9C49CCCB6E44C19958C6A3DDBEF4688" hidden="1">#REF!</definedName>
    <definedName name="BOE9C864A9BA2A494886CEC6341DA99CA6" hidden="1">#REF!</definedName>
    <definedName name="BOE9CF133BC5FA4DBD968624BFD3E693CD" hidden="1">#REF!</definedName>
    <definedName name="BOE9DABF9A72D746ABB0A8E3A583D292BF" hidden="1">#REF!</definedName>
    <definedName name="BOE9E7C9DC65B24321BA65C1A922164F21" hidden="1">#REF!</definedName>
    <definedName name="BOE9FA2856F145478AA6E9D66D7E6A8E4F" hidden="1">#REF!</definedName>
    <definedName name="BOEA11CC21208D4A0A8CE2DC5672733501" hidden="1">#REF!</definedName>
    <definedName name="BOEA1F4CF03D7B47F187C5C8F1158CCABB" hidden="1">#REF!</definedName>
    <definedName name="BOEA3BE6C2F1794E95AC57BEEE8DA90B89" hidden="1">#REF!</definedName>
    <definedName name="BOEA3CA65417C140AC973BA50B6406D014" hidden="1">#REF!</definedName>
    <definedName name="BOEA425472C1A349E491C24213F4A1B3D7" hidden="1">#REF!</definedName>
    <definedName name="BOEA45AF0679DE429097E507E0916272B7" hidden="1">#REF!</definedName>
    <definedName name="BOEA5E1D02D0E84702B68392C07F8424F9" hidden="1">#REF!</definedName>
    <definedName name="BOEA63614AD5F74C9CA82D0E7478AEEF49" hidden="1">#REF!</definedName>
    <definedName name="BOEA6CD7B6D68F43C2B14AD9922E408003" hidden="1">#REF!</definedName>
    <definedName name="BOEA702A0B345F460F8551F28E89F89099" hidden="1">#REF!</definedName>
    <definedName name="BOEA7BFD37879F4E5BAEC438F71B976587" hidden="1">#REF!</definedName>
    <definedName name="BOEA8C2016EDEF419E953BC10947FD6A62" hidden="1">#REF!</definedName>
    <definedName name="BOEA9D6C4D6C31476F887C9620B2B5C87B" hidden="1">#REF!</definedName>
    <definedName name="BOEAB2D64F9B7342E1A8AB612FA5E3C2CE" hidden="1">#REF!</definedName>
    <definedName name="BOEADCD4342BBB4920BFC5ADA838D258BA" hidden="1">#REF!</definedName>
    <definedName name="BOEADCD57575A54B29B4E2778FB59CA7C6" hidden="1">#REF!</definedName>
    <definedName name="BOEAE4CE333F87462FAF32FBCE7536BE56" hidden="1">#REF!</definedName>
    <definedName name="BOEAEBD6F6BB294C35808D48BA3BAA20E7" hidden="1">#REF!</definedName>
    <definedName name="BOEAF146AEE9A64E6B915FCE130F0973EB" hidden="1">#REF!</definedName>
    <definedName name="BOEAF58F5F4F2C47E18C41097E359C34F9" hidden="1">#REF!</definedName>
    <definedName name="BOEAFB10FC430444C8BBD67DA94123EA1B" hidden="1">#REF!</definedName>
    <definedName name="BOEB0A02E8781542938D74AF430440BBF5" hidden="1">#REF!</definedName>
    <definedName name="BOEB17219160FC4E8CA6EDABA49A91726E" hidden="1">#REF!</definedName>
    <definedName name="BOEB1ADDDD081C40D998B81BD8B1679D72" hidden="1">#REF!</definedName>
    <definedName name="BOEB2047169D1B4FE7B195CEDAF7B3AD2E" hidden="1">#REF!</definedName>
    <definedName name="BOEB2237EDDA394922803580A0DD9198FE" hidden="1">#REF!</definedName>
    <definedName name="BOEB2934B19B824F19872DB1CC8817D448" hidden="1">#REF!</definedName>
    <definedName name="BOEB2FEC4862D94EB5BBF3006AFECFC5AD" hidden="1">#REF!</definedName>
    <definedName name="BOEB4B8A1147FB4F0F916260F59AE0BDB2" hidden="1">#REF!</definedName>
    <definedName name="BOEB521C49E10D4608ACEA3EC0BE55DAA5" hidden="1">#REF!</definedName>
    <definedName name="BOEB560E0F3D3E4C47AAB04830413A8BDD" hidden="1">#REF!</definedName>
    <definedName name="BOEB6CC87C50C34F6190EF27299C2847DE" hidden="1">#REF!</definedName>
    <definedName name="BOEB711C546411402FAFA376A1623904A0" hidden="1">#REF!</definedName>
    <definedName name="BOEB78A4A451394FBCA88B10FA10D414B4" hidden="1">#REF!</definedName>
    <definedName name="BOEB7AB7366D6C4E26BF32DCB722FD0903" hidden="1">#REF!</definedName>
    <definedName name="BOEBA42ABC7CC442AA8FE83EF883A83DBB" hidden="1">#REF!</definedName>
    <definedName name="BOEBB46C1380964425A098371FA5F168E4" hidden="1">#REF!</definedName>
    <definedName name="BOEBCBBB91648B4D048799CE6EEF643342" hidden="1">#REF!</definedName>
    <definedName name="BOEBD600AB5EC34D05A27E0210D0E8AB80" hidden="1">#REF!</definedName>
    <definedName name="BOEBDA69F6FCB744498FB3B07074D91349" hidden="1">#REF!</definedName>
    <definedName name="BOEBDC08562C97449EB9B9163D3B063A26" hidden="1">#REF!</definedName>
    <definedName name="BOEBEBFB0CC0D943B7A4207D0E5D4E9F2E" hidden="1">#REF!</definedName>
    <definedName name="BOEC14F40A4BF34EB9BBD4E4FDCF0705FF" hidden="1">#REF!</definedName>
    <definedName name="BOEC1C7BC5DFB64ED5A9F0E1CB247E483D" hidden="1">#REF!</definedName>
    <definedName name="BOEC21FD88AD3C4E5E86572705D2F670E5" hidden="1">#REF!</definedName>
    <definedName name="BOEC33B9CDBDF646169098893065B7A359" hidden="1">#REF!</definedName>
    <definedName name="BOEC3D3C51D1E54820834B7977C4D693FE" hidden="1">#REF!</definedName>
    <definedName name="BOEC3E7870E3A94F31B3A4CCEAF3266570" hidden="1">#REF!</definedName>
    <definedName name="BOEC465505C514456A8AA5FDFF54318B36" hidden="1">#REF!</definedName>
    <definedName name="BOEC4DA8A3BBB94F6A8E4758E9A69DAEB5" hidden="1">#REF!</definedName>
    <definedName name="BOEC5087CB0FB74A47B6D44C4A48BF06A7" hidden="1">#REF!</definedName>
    <definedName name="BOEC52FD1B1B524207B3CAB0E79E4087A0" hidden="1">#REF!</definedName>
    <definedName name="BOEC5491CA98CD4FBDAC60B3F849853DE1" hidden="1">#REF!</definedName>
    <definedName name="BOEC561A297FA24CED8B856F41F1698394" hidden="1">#REF!</definedName>
    <definedName name="BOEC5D926C552A49869CA5DFF7A1169D6D" hidden="1">#REF!</definedName>
    <definedName name="BOEC5DB122632D4B2380E3F3587ADE91E1" hidden="1">#REF!</definedName>
    <definedName name="BOEC5F11953F564C5884D2361C1F3E59BC" hidden="1">#REF!</definedName>
    <definedName name="BOEC6285B8799043AB9CD76566C9024445" hidden="1">#REF!</definedName>
    <definedName name="BOEC720A81F03945DE82E2B43689C757C5" hidden="1">#REF!</definedName>
    <definedName name="BOEC772D1F7C9A4C288CA4B1FCA56C9A6F" hidden="1">#REF!</definedName>
    <definedName name="BOEC81AECFD1004B4F87F1F48E9B3ADC5F" hidden="1">#REF!</definedName>
    <definedName name="BOEC939EDB1D7D438BB635610C4C9D6A5B" hidden="1">#REF!</definedName>
    <definedName name="BOEC98DACC1C8446DFB8EDC8DB9CAB6597" hidden="1">#REF!</definedName>
    <definedName name="BOECACD1BBF634404AABE4205C761A432E" hidden="1">#REF!</definedName>
    <definedName name="BOECB66E7556A84F2FBFD0EEF1545508C5" hidden="1">#REF!</definedName>
    <definedName name="BOECB709AF3A8E4DC8A66CC9C62CBBC747" hidden="1">#REF!</definedName>
    <definedName name="BOECD9FC16D16D4D55918357FB6A4BFF4B" hidden="1">#REF!</definedName>
    <definedName name="BOECE0590910114C6C9BC047896EA1C4B8" hidden="1">#REF!</definedName>
    <definedName name="BOECE9070C9CEB4EDB9017F93949336171" hidden="1">#REF!</definedName>
    <definedName name="BOECF4D417F925458899A1A29D871FF8B2" hidden="1">#REF!</definedName>
    <definedName name="BOECF6574937DA4151ADE3FC50176E68B4" hidden="1">#REF!</definedName>
    <definedName name="BOED03F05BB96D4FD0A3E6B2835362E294" hidden="1">#REF!</definedName>
    <definedName name="BOED08A2B26F444A8AAD0ABF6E29752A30" hidden="1">#REF!</definedName>
    <definedName name="BOED22C9B8B6A84475B5E5D40DACB66F1A" hidden="1">#REF!</definedName>
    <definedName name="BOED2D92B5E14F48FC9951E7CB3816BF9D" hidden="1">#REF!</definedName>
    <definedName name="BOED33B60FEDA8426EBDB8B668837D7D0F" hidden="1">#REF!</definedName>
    <definedName name="BOED433F7C963648ABA1BF60A28D3AA588" hidden="1">#REF!</definedName>
    <definedName name="BOED449B0A9B5F4356A583D831A462937C" hidden="1">#REF!</definedName>
    <definedName name="BOED6BB06DCB6345238550A772384DC5F0" hidden="1">#REF!</definedName>
    <definedName name="BOED73392AE596484EB27BFAAABFBF46AD" hidden="1">#REF!</definedName>
    <definedName name="BOED75E66A33E04A0A8D3CC4489DB2899F" hidden="1">#REF!</definedName>
    <definedName name="BOED847360C53B4F3C96115FCFF44A999F" hidden="1">#REF!</definedName>
    <definedName name="BOEDA99B247D0E49468921F766139EE820" hidden="1">#REF!</definedName>
    <definedName name="BOEDAEBB3060814F30BB52063082E06A04" hidden="1">#REF!</definedName>
    <definedName name="BOEDCBB0FFEAF347999F44875DA2068A3E" hidden="1">#REF!</definedName>
    <definedName name="BOEDD718CE6564433680BEB9D65A2ED887" hidden="1">#REF!</definedName>
    <definedName name="BOEDD7239255124673886AFE2199F1E3E2" hidden="1">#REF!</definedName>
    <definedName name="BOEDDA70FD84DB41559CA65F82BB843747" hidden="1">#REF!</definedName>
    <definedName name="BOEDEBC96EBEEA42498E1C8A2AAD1B035B" hidden="1">#REF!</definedName>
    <definedName name="BOEDF78ACC12AE47ED8D4A467FC46B6A48" hidden="1">#REF!</definedName>
    <definedName name="BOEE03E772172E473B99006BBE5CDAC3DE" hidden="1">#REF!</definedName>
    <definedName name="BOEE0A6C645C404F0DAFA93F4FC04564FA" hidden="1">#REF!</definedName>
    <definedName name="BOEE1AE15E1C33423ABE1D58D3A815204E" hidden="1">#REF!</definedName>
    <definedName name="BOEE1C3EFF0529496F99578577DB17609D" hidden="1">#REF!</definedName>
    <definedName name="BOEE20881E763940B5B14AD31CA8ACA919" hidden="1">#REF!</definedName>
    <definedName name="BOEE3655D2019F485B996C8AA2BCB9FB24" hidden="1">#REF!</definedName>
    <definedName name="BOEE380941CBDC4083A613E375A8F2091C" hidden="1">#REF!</definedName>
    <definedName name="BOEE4AFFA294A2404C87210FFF2EB6FF46" hidden="1">#REF!</definedName>
    <definedName name="BOEE4C7D4338AA48BE974C0E9D259CF76E" hidden="1">#REF!</definedName>
    <definedName name="BOEE4D44EA71F74C20960029F0C350F462" hidden="1">#REF!</definedName>
    <definedName name="BOEE5EBCD53F2A40F5B72B2DA6DBA9F61D" hidden="1">#REF!</definedName>
    <definedName name="BOEE64F4D1FDBB47529E9DF3F6B7D678E9" hidden="1">#REF!</definedName>
    <definedName name="BOEE6B8030B47B4162A7CBB69D3D2847E5" hidden="1">#REF!</definedName>
    <definedName name="BOEE6CCE94F8C24E3CBC1477A165506724" hidden="1">#REF!</definedName>
    <definedName name="BOEE6FFCF82C7E4728AD056BEDC0CF49DF" hidden="1">#REF!</definedName>
    <definedName name="BOEE702D06A1BD4E60B14280E27BE9620B" hidden="1">#REF!</definedName>
    <definedName name="BOEE733EB1563742A48242556DEEFA5389" hidden="1">#REF!</definedName>
    <definedName name="BOEE79F92860524D4AA551B3670D99A656" hidden="1">#REF!</definedName>
    <definedName name="BOEE8EC640A81F4BDFB5109C5142B4CF3B" hidden="1">#REF!</definedName>
    <definedName name="BOEE8F263F4D774F42B8D683A4912940BD" hidden="1">#REF!</definedName>
    <definedName name="BOEEAC33E6A6024A2D980F26DC910565FE" hidden="1">#REF!</definedName>
    <definedName name="BOEEB87179511E4D099A7BB9B6E93220A6" hidden="1">#REF!</definedName>
    <definedName name="BOEEB89388BC7446D88F98BFF21F4416EC" hidden="1">#REF!</definedName>
    <definedName name="BOEEDFDF4EA1464EAB8BB215870A9123FA" hidden="1">#REF!</definedName>
    <definedName name="BOEEEE5BF28DEC44D2B02306CE27FB2031" hidden="1">#REF!</definedName>
    <definedName name="BOEEEF6C0F7BFE4C4D95A4E8E2D593F0B6" hidden="1">#REF!</definedName>
    <definedName name="BOEEF60926A9D2451397861DF2DB54CAA9" hidden="1">#REF!</definedName>
    <definedName name="BOEF007558B9024743BFE7DF0D69D54816" hidden="1">#REF!</definedName>
    <definedName name="BOEF03654FC092411BB962345B5620BF63" hidden="1">#REF!</definedName>
    <definedName name="BOEF0AAA25E7CE428FBBBB498C461EB6A7" hidden="1">#REF!</definedName>
    <definedName name="BOEF0B902E6DA14A0C8BBF8D3D42A416CD" hidden="1">#REF!</definedName>
    <definedName name="BOEF0BD39B67EB4C9394288A32904B7E75" hidden="1">#REF!</definedName>
    <definedName name="BOEF0C40FC914C4AA2A5FDEB9F1177A0B9" hidden="1">#REF!</definedName>
    <definedName name="BOEF375B8742494504892EB82EE765075D" hidden="1">#REF!</definedName>
    <definedName name="BOEF577BFB3F564B03AF92A0A242445F16" hidden="1">#REF!</definedName>
    <definedName name="BOEF5F6E6B72A546E9AACD50CC4BBF4F26" hidden="1">#REF!</definedName>
    <definedName name="BOEF7EC7E3E5F14602B88F2EDDFBC39638" hidden="1">#REF!</definedName>
    <definedName name="BOEF88520100354917921A1440DDFFE04A" hidden="1">#REF!</definedName>
    <definedName name="BOEFA61DB93F8D4BD7B41F9974A5902910" hidden="1">#REF!</definedName>
    <definedName name="BOEFB592B587864DC6B9E4642C20078D1B" hidden="1">#REF!</definedName>
    <definedName name="BOEFB7D48C769349439A5BF19B064DEDEF" hidden="1">#REF!</definedName>
    <definedName name="BOEFB843F5A4154F9C8AAF4EBDADE78A68" hidden="1">#REF!</definedName>
    <definedName name="BOEFBE3FAF93DB434797106BDD67D26467" hidden="1">#REF!</definedName>
    <definedName name="BOEFDA452D3ACF4E509C18B0EB7CED5C1B" hidden="1">#REF!</definedName>
    <definedName name="BOEFDF4D306B96413CA4B572D8AE126797" hidden="1">#REF!</definedName>
    <definedName name="BOEFE930DF89D24CF09AC904E75098D757" hidden="1">#REF!</definedName>
    <definedName name="BOEFFA960A83694DB3856919FF58F645C0" hidden="1">#REF!</definedName>
    <definedName name="BOEFFF9A328B514AB29C6EEE979F2D8C81" hidden="1">#REF!</definedName>
    <definedName name="BOEFFFCF5D9E5B47BD81E8BAAF68F8CE8B" hidden="1">#REF!</definedName>
    <definedName name="BOF00090E8834D4AC2BC93442CC55037BF" hidden="1">#REF!</definedName>
    <definedName name="BOF002E7ECEB7949F5A26004A71D7761BD" hidden="1">#REF!</definedName>
    <definedName name="BOF00AB2C131D4470B9A6736BA47C1A29C" hidden="1">#REF!</definedName>
    <definedName name="BOF00C6C249F374352BDCEAC6EECA6C09F" hidden="1">#REF!</definedName>
    <definedName name="BOF019956EE6FD41A19E0AAA6DD17D43B7" hidden="1">#REF!</definedName>
    <definedName name="BOF02F72AC22B14C80A20245E633FAB43E" hidden="1">#REF!</definedName>
    <definedName name="BOF033BA7070C94D71AD452DDDBADC9999" hidden="1">#REF!</definedName>
    <definedName name="BOF044CC84E6DC4546AE14B5BF25E98A1D" hidden="1">#REF!</definedName>
    <definedName name="BOF048057EA2084AD284E3AB87C78A631B" hidden="1">#REF!</definedName>
    <definedName name="BOF04DDFEE27C5437EA19E9A5972A7D9AB" hidden="1">#REF!</definedName>
    <definedName name="BOF04E5C93DB5E415AA112DAE13FC24EFF" hidden="1">#REF!</definedName>
    <definedName name="BOF04E93EF02F3473989DA213C332B02A6" hidden="1">#REF!</definedName>
    <definedName name="BOF050B962A2BE4EA598A0F8F3019899DC" hidden="1">#REF!</definedName>
    <definedName name="BOF056ECC1646447EB8ECBA4BD35E5E234" hidden="1">#REF!</definedName>
    <definedName name="BOF05BE523A72A4DEDB7B9CABDC3D33E39" hidden="1">#REF!</definedName>
    <definedName name="BOF0661EC70FE3408E9EDF18F95E2DCA7E" hidden="1">#REF!</definedName>
    <definedName name="BOF072FC8CF40449DFADC9BD51416866F6" hidden="1">#REF!</definedName>
    <definedName name="BOF0811454CAAF431EB63A2485BB7F60EE" hidden="1">#REF!</definedName>
    <definedName name="BOF08D0F28A9A545D599F417CBFEB097C0" hidden="1">#REF!</definedName>
    <definedName name="BOF097825C6DFA4CBAAF6767F86EFEFAFB" hidden="1">#REF!</definedName>
    <definedName name="BOF09A8D140623491081CD883F8F0EC488" hidden="1">#REF!</definedName>
    <definedName name="BOF0A0108CC40548B5B228403A4F192146" hidden="1">#REF!</definedName>
    <definedName name="BOF0A24394BCFD44268B0A5245F875D86B" hidden="1">#REF!</definedName>
    <definedName name="BOF0A330256FA24EDE9A53F62425B55800" hidden="1">#REF!</definedName>
    <definedName name="BOF0ACB9FFC4E94404B14D144C8C43184B" hidden="1">#REF!</definedName>
    <definedName name="BOF0B25A98C53043AAA07ECEB2E4D61337" hidden="1">#REF!</definedName>
    <definedName name="BOF0B5B92FF89B4A36B1C6271BEEDE89AC" hidden="1">#REF!</definedName>
    <definedName name="BOF0C528CB121A45E9A35C41026BF6134D" hidden="1">#REF!</definedName>
    <definedName name="BOF0C9432E3B18463296688D67D9B6D56A" hidden="1">#REF!</definedName>
    <definedName name="BOF0CDB8D5BF4C41B195D1E2CF5D3F131B" hidden="1">#REF!</definedName>
    <definedName name="BOF0E3DE6778AA41EF8D16829130032661" hidden="1">#REF!</definedName>
    <definedName name="BOF0EC79B971524CDE8CEFA961BBFC1F16" hidden="1">#REF!</definedName>
    <definedName name="BOF0FC66A39BE944BEB9541B599DE3ACDC" hidden="1">#REF!</definedName>
    <definedName name="BOF100315EB9FD4473B9C114715CDA364B" hidden="1">#REF!</definedName>
    <definedName name="BOF108B7E64FC845938AFCF7D6C9354EF5" hidden="1">#REF!</definedName>
    <definedName name="BOF10E520B266E41B0AD3D88C1D1F2B9A8" hidden="1">#REF!</definedName>
    <definedName name="BOF10EE2876E0647AB94BC70EB9E60C631" hidden="1">#REF!</definedName>
    <definedName name="BOF11F859C743F41E6B440C720851AE949" hidden="1">#REF!</definedName>
    <definedName name="BOF125FD99265B4A8383BD4F502759FCCC" hidden="1">#REF!</definedName>
    <definedName name="BOF12C5EE3E4824CC281DFAE51391FFDD7" hidden="1">#REF!</definedName>
    <definedName name="BOF12CF36461D94ECDB82164DB54F1F5C0" hidden="1">#REF!</definedName>
    <definedName name="BOF12D0AA39B734CA0AC89CA186E3E0AE1" hidden="1">#REF!</definedName>
    <definedName name="BOF137BE46E3DE4A8BA83799B124A3AFE7" hidden="1">#REF!</definedName>
    <definedName name="BOF1405EBE436845F4B859273790135EDD" hidden="1">#REF!</definedName>
    <definedName name="BOF14243902A1F4DD2A569F943848CEB58" hidden="1">#REF!</definedName>
    <definedName name="BOF143DC2343D64C6CB2BC6FC313A92696" hidden="1">#REF!</definedName>
    <definedName name="BOF1463AF17D63430AB2A8D77342E4C372" hidden="1">#REF!</definedName>
    <definedName name="BOF1465E28BB28412B8F9BB05D4C2C1E99" hidden="1">#REF!</definedName>
    <definedName name="BOF1595246B29342A0A2BD0BAC6AC596ED" hidden="1">#REF!</definedName>
    <definedName name="BOF15F3128D24843DCA19D417C38299873" hidden="1">#REF!</definedName>
    <definedName name="BOF15FD192CBF2476BA6A02084B7161BE3" hidden="1">#REF!</definedName>
    <definedName name="BOF16785F965914B8092B83543519FFA9C" hidden="1">#REF!</definedName>
    <definedName name="BOF17CF153AED74E40B7D49167C55F1D71" hidden="1">#REF!</definedName>
    <definedName name="BOF18515A989BB482D8E9805A606F5DDA8" hidden="1">#REF!</definedName>
    <definedName name="BOF1A548461F41455BB25F3EA405EEDA94" hidden="1">#REF!</definedName>
    <definedName name="BOF1BF90C810A74C1AA1C97A70203F1E04" hidden="1">#REF!</definedName>
    <definedName name="BOF1C7D79B6FF94E1EBEDCFE98C9E0C9AE" hidden="1">#REF!</definedName>
    <definedName name="BOF1CCC8B5394D442A85555ED2283AB9D5" hidden="1">#REF!</definedName>
    <definedName name="BOF1CD2FD9AED844AFB89F3B6933628B12" hidden="1">#REF!</definedName>
    <definedName name="BOF1CECD06280249B09209011F2BB04A6B" hidden="1">#REF!</definedName>
    <definedName name="BOF1E1177FA4314E6784B492028183C0AA" hidden="1">#REF!</definedName>
    <definedName name="BOF1E5241D483D4D2FAE18840CC012BCCF" hidden="1">#REF!</definedName>
    <definedName name="BOF1EE53272EC24B8A94D709E5C26FCCD5" hidden="1">#REF!</definedName>
    <definedName name="BOF1EF5057072145BB8C95D39864A133A5" hidden="1">#REF!</definedName>
    <definedName name="BOF1F5DB9437C048139E161A9AC46F81E2" hidden="1">#REF!</definedName>
    <definedName name="BOF1FAF0074CCA4821A876018A83A2E6C5" hidden="1">#REF!</definedName>
    <definedName name="BOF20BFD034AD64460A02B613B7A3A6E06" hidden="1">#REF!</definedName>
    <definedName name="BOF2131F640DF04B7F90417567C3FE074C" hidden="1">#REF!</definedName>
    <definedName name="BOF214BB9E20024B5590E8395410C66721" hidden="1">#REF!</definedName>
    <definedName name="BOF225A553C8794B57BB9F08B489426221" hidden="1">#REF!</definedName>
    <definedName name="BOF22C0A24DB5B4E2289883DED6B3847D6" hidden="1">#REF!</definedName>
    <definedName name="BOF232156954A14D0DA75295F22F6EB9D9" hidden="1">#REF!</definedName>
    <definedName name="BOF2345AB838A847F7BE245FF090C38F1C" hidden="1">#REF!</definedName>
    <definedName name="BOF23A604B82B241E2ADDEA6C3A3459238" hidden="1">#REF!</definedName>
    <definedName name="BOF248BF2222CC4E4581E0C6140BFDB006" hidden="1">#REF!</definedName>
    <definedName name="BOF253A444376743F0A078B628CE6B1F32" hidden="1">#REF!</definedName>
    <definedName name="BOF26798A8409644A499FEB553F55465FF" hidden="1">#REF!</definedName>
    <definedName name="BOF27F5E7124C54505A78775A69C5C6CF9" hidden="1">#REF!</definedName>
    <definedName name="BOF2A1E7D4AA7640A4B62F7ABB29024967" hidden="1">#REF!</definedName>
    <definedName name="BOF2AE96F93E5F497F9FE7E8D914D93B82" hidden="1">#REF!</definedName>
    <definedName name="BOF2B310E207D142EFB3F5A6617D789542" hidden="1">#REF!</definedName>
    <definedName name="BOF2BBD3217CAF4D9895A3ED5AC86C53AE" hidden="1">#REF!</definedName>
    <definedName name="BOF2BD2E080D0A4EA0A5A9C64B9922002D" hidden="1">#REF!</definedName>
    <definedName name="BOF2BDBC58442C4DA2938A0F6B95153E57" hidden="1">#REF!</definedName>
    <definedName name="BOF2BEFABCD09A4752A6CA36347EF2991A" hidden="1">#REF!</definedName>
    <definedName name="BOF2CE2E83F82040F0A10C127AB7AE33FA" hidden="1">#REF!</definedName>
    <definedName name="BOF2D5D54D55474A1CA75F51F480BB01E8" hidden="1">#REF!</definedName>
    <definedName name="BOF2D5ED6A403D4A1D9804C7A24C10CA74" hidden="1">#REF!</definedName>
    <definedName name="BOF2D8363A8B3B4625B2ED1512448C0BB0" hidden="1">#REF!</definedName>
    <definedName name="BOF2E2F19DBDF94967A4D048324C21E3FD" hidden="1">#REF!</definedName>
    <definedName name="BOF2EC7EF3D7654059AE8699F9DFC12E4A" hidden="1">#REF!</definedName>
    <definedName name="BOF2FAEDC0E76543669BA08D6081DEB77C" hidden="1">#REF!</definedName>
    <definedName name="BOF2FD3B5DE6DE4D2A80779AA4F7485CA8" hidden="1">#REF!</definedName>
    <definedName name="BOF2FF87E5492C4FE8B7E585308423B8CB" hidden="1">#REF!</definedName>
    <definedName name="BOF3066C906FDF404D911FA83A8978A1FE" hidden="1">#REF!</definedName>
    <definedName name="BOF30A9FBA10664094B413D2909941A70B" hidden="1">#REF!</definedName>
    <definedName name="BOF3159DE3DBC0424CA5628A1E2430C291" hidden="1">#REF!</definedName>
    <definedName name="BOF334234C88804F48B133FB8C3B43ADEF" hidden="1">#REF!</definedName>
    <definedName name="BOF34D1CF5A30E473CBF5BD0B972A0E15C" hidden="1">#REF!</definedName>
    <definedName name="BOF363B13895E14C0EAA6CBE9A182A5CBE" hidden="1">#REF!</definedName>
    <definedName name="BOF36A048365284FDAAEC39E26B835A000" hidden="1">#REF!</definedName>
    <definedName name="BOF370B7C3577B404AB03F5DCE4D828631" hidden="1">#REF!</definedName>
    <definedName name="BOF371480141084CE187A73C6CE19B9625" hidden="1">#REF!</definedName>
    <definedName name="BOF371EFD1A38147C2AD24EF320AC391AB" hidden="1">#REF!</definedName>
    <definedName name="BOF37C7F6BB8584C1B803F89179B8D75CA" hidden="1">#REF!</definedName>
    <definedName name="BOF381C0E9F749464497E14CB5D96A5787" hidden="1">#REF!</definedName>
    <definedName name="BOF38329BB9A464E2B852762E68246922E" hidden="1">#REF!</definedName>
    <definedName name="BOF38875BDA4EB46CB8A2CCB5908A7BCB7" hidden="1">#REF!</definedName>
    <definedName name="BOF39680939B5D4A459C2CF70A440FA91D" hidden="1">#REF!</definedName>
    <definedName name="BOF3979862B7E5486EB8CBF01A922675FF" hidden="1">#REF!</definedName>
    <definedName name="BOF3AC9290D1064C4B828315C1C5EB6934" hidden="1">#REF!</definedName>
    <definedName name="BOF3B24E8EE7DE4F5282C48873596A8075" hidden="1">#REF!</definedName>
    <definedName name="BOF3CCA890D74643D18E0BA337D23BFD95" hidden="1">#REF!</definedName>
    <definedName name="BOF3CFDD1FEB934CE28A86A9B1EB0B65D5" hidden="1">#REF!</definedName>
    <definedName name="BOF3D0CB223B334975B8D96B844C2F35E6" hidden="1">#REF!</definedName>
    <definedName name="BOF3D94101747D4D91A1A94E0D0B4792D5" hidden="1">#REF!</definedName>
    <definedName name="BOF3D9B85C7BF3488FA9C42BEEF48673F5" hidden="1">#REF!</definedName>
    <definedName name="BOF3DFD24303CF4F4B88EFF59B6027CC61" hidden="1">#REF!</definedName>
    <definedName name="BOF3F9DF20A31C4B6A8FF0E474065FA2DC" hidden="1">#REF!</definedName>
    <definedName name="BOF3FB6313222645C9BF5D83346E69B562" hidden="1">#REF!</definedName>
    <definedName name="BOF4014B0FFDCC4C8AAC67960F7EACA11B" hidden="1">#REF!</definedName>
    <definedName name="BOF40ABFBC6C404CFBBE82FCC0F04F45CE" hidden="1">#REF!</definedName>
    <definedName name="BOF40F1ADFC2984890A5A3CBADBE20EFBF" hidden="1">#REF!</definedName>
    <definedName name="BOF42523B9F1FE4A15842C4801082D1DF8" hidden="1">#REF!</definedName>
    <definedName name="BOF436A50FB5F8421D8607A308EF858C2F" hidden="1">#REF!</definedName>
    <definedName name="BOF448D5C0B2B34371A9DE1B82E069C013" hidden="1">#REF!</definedName>
    <definedName name="BOF4495C3EC7CF475F8CB984D9E850F84B" hidden="1">#REF!</definedName>
    <definedName name="BOF44F1EA1699B4D06BD911F33073CEE9D" hidden="1">#REF!</definedName>
    <definedName name="BOF4519A875C8F490CA6185539E9E7442B" hidden="1">#REF!</definedName>
    <definedName name="BOF469BB726D334CD2BCC14B89F2ABBB7C" hidden="1">#REF!</definedName>
    <definedName name="BOF46C1602F8FC44ED9E1D7BA1A298F4E7" hidden="1">#REF!</definedName>
    <definedName name="BOF471F59F7F4A4DDAA4D6A07332592C0B" hidden="1">#REF!</definedName>
    <definedName name="BOF4804CDD67344BD2A221D678F53258DC" hidden="1">#REF!</definedName>
    <definedName name="BOF485B1DCAECE4535BD4033C98F50A8F4" hidden="1">#REF!</definedName>
    <definedName name="BOF49B65FC0DEF459D94084A5CD9DE75E7" hidden="1">#REF!</definedName>
    <definedName name="BOF49D4BA192974434BD9560D7C3214276" hidden="1">#REF!</definedName>
    <definedName name="BOF4A1E1D2DAD0457F81F02F4F7519BF37" hidden="1">#REF!</definedName>
    <definedName name="BOF4A7DCFE646B4504B55B18F4826B49BB" hidden="1">#REF!</definedName>
    <definedName name="BOF4AEBEE570064D40808A6B63F2A7834F" hidden="1">#REF!</definedName>
    <definedName name="BOF4B227311C504E3D82348894ED9534E7" hidden="1">#REF!</definedName>
    <definedName name="BOF4B34BCFA4614D6194CCAD3AE9EABAD8" hidden="1">#REF!</definedName>
    <definedName name="BOF4B90DCAA3244C77A444A65819397042" hidden="1">#REF!</definedName>
    <definedName name="BOF4D5A413CD6642BA8C4F309E0D890C3C" hidden="1">#REF!</definedName>
    <definedName name="BOF4E235DCD6754EE6877F4E898B4E3398" hidden="1">#REF!</definedName>
    <definedName name="BOF4E80BB1FC924FCFA8A90A816AAE0A50" hidden="1">#REF!</definedName>
    <definedName name="BOF4E8EE7F09C24CCCAB5419C0A419ADD7" hidden="1">#REF!</definedName>
    <definedName name="BOF4EA58942DBD425AB20267AD78345AA0" hidden="1">#REF!</definedName>
    <definedName name="BOF4ECD87AB9164ECB80AAE08A920A0972" hidden="1">#REF!</definedName>
    <definedName name="BOF4EF67B82344491DA24CB09A78AA8EEF" hidden="1">#REF!</definedName>
    <definedName name="BOF503EA10645642DD8C6C500896DFD65D" hidden="1">#REF!</definedName>
    <definedName name="BOF50B4D2EA1F9474FACAE8F9DEDA0FE4A" hidden="1">#REF!</definedName>
    <definedName name="BOF50BBBCB96DA4F9F84547CF6BA440348" hidden="1">#REF!</definedName>
    <definedName name="BOF512B9CFD6ED4A24B558E2FAEF33EA71" hidden="1">#REF!</definedName>
    <definedName name="BOF51E820C0EBF404ABEB9BA40720FEA9D" hidden="1">#REF!</definedName>
    <definedName name="BOF523441F87304A92B097AF7780FB7817" hidden="1">#REF!</definedName>
    <definedName name="BOF534AE075980424DAF8605D49C99A19D" hidden="1">#REF!</definedName>
    <definedName name="BOF538476A39624F5CAC6688D99AF0737D" hidden="1">#REF!</definedName>
    <definedName name="BOF560F84326344D54AADFA876392FDF9D" hidden="1">#REF!</definedName>
    <definedName name="BOF565E7C2B89E4F5584B7DCD9B92FB559" hidden="1">#REF!</definedName>
    <definedName name="BOF56FAE257C17468AB49F78C67F26BA37" hidden="1">#REF!</definedName>
    <definedName name="BOF57AD5140AC24B1E8CA1889BFE7C8983" hidden="1">#REF!</definedName>
    <definedName name="BOF585087003EB47379516F9A034B5A9B1" hidden="1">#REF!</definedName>
    <definedName name="BOF58EFD9347A74A71B801873FC177105B" hidden="1">#REF!</definedName>
    <definedName name="BOF590C7B22C3245F291726339075B0522" hidden="1">#REF!</definedName>
    <definedName name="BOF5923661F1284470844147D6319E575F" hidden="1">#REF!</definedName>
    <definedName name="BOF598849C2175466DA992BD88F7D92D1F" hidden="1">#REF!</definedName>
    <definedName name="BOF5A34EB3830E43AAB57DDAFF7B03E329" hidden="1">#REF!</definedName>
    <definedName name="BOF5A74FDABF444221944DBCB9B069DEFE" hidden="1">#REF!</definedName>
    <definedName name="BOF5A90AF506454FF5A1B543E123833D2F" hidden="1">#REF!</definedName>
    <definedName name="BOF5B081AC90164CC6BF6A21831CC0B24F" hidden="1">#REF!</definedName>
    <definedName name="BOF5B5293ADB47470CA1AF85E04FFF1F31" hidden="1">#REF!</definedName>
    <definedName name="BOF5BF06C40BC540E39EA2976A57A68B95" hidden="1">#REF!</definedName>
    <definedName name="BOF5CC3480CE2C4500AD279C3F3DD492C8" hidden="1">#REF!</definedName>
    <definedName name="BOF5D1344E19654EDAAD8199FB37F6850F" hidden="1">#REF!</definedName>
    <definedName name="BOF5D8CD8542B5462C8938F71694233E9A" hidden="1">#REF!</definedName>
    <definedName name="BOF5D9F98588034B51B5F8E80D96FAF429" hidden="1">#REF!</definedName>
    <definedName name="BOF5E490726E2D4A5DB6D6E419DD7B5765" hidden="1">#REF!</definedName>
    <definedName name="BOF5EEEFC90E1C4D77A4C4297325CB633F" hidden="1">#REF!</definedName>
    <definedName name="BOF5F4E86ED08049E184091145EDFC277A" hidden="1">#REF!</definedName>
    <definedName name="BOF5FBE31421C2480F99D3565169893F20" hidden="1">#REF!</definedName>
    <definedName name="BOF5FC3C65B34C40FA93E5DE40B5566557" hidden="1">#REF!</definedName>
    <definedName name="BOF6084E5E136A4503897AB7ABD47DE8AB" hidden="1">#REF!</definedName>
    <definedName name="BOF61BD8E506334015A06B532EE16B45B2" hidden="1">#REF!</definedName>
    <definedName name="BOF64124A6A1FC4BC383754EF25800319B" hidden="1">#REF!</definedName>
    <definedName name="BOF64A0DEB16574F698AF7CA61751C2624" hidden="1">#REF!</definedName>
    <definedName name="BOF65B8945AB0F4241BC0E0D44588D0E9D" hidden="1">#REF!</definedName>
    <definedName name="BOF65EDBAFCC334A649A722DA7E9BF4B1C" hidden="1">#REF!</definedName>
    <definedName name="BOF665235562AD4BF5BAAFFC80BE652F62" hidden="1">#REF!</definedName>
    <definedName name="BOF67CCCCC9C1A44279F52B149081758BD" hidden="1">#REF!</definedName>
    <definedName name="BOF6897EA7553E4CB28802BD1F1264B7D4" hidden="1">#REF!</definedName>
    <definedName name="BOF68A3A79DCAD4088AE03623ABD99CA88" hidden="1">#REF!</definedName>
    <definedName name="BOF694EE80B5D24D0FA1AC99E16D3AB999" hidden="1">#REF!</definedName>
    <definedName name="BOF6A2050C04EF4F7592FC944C97AD0B2F" hidden="1">#REF!</definedName>
    <definedName name="BOF6BFE71541124B23914885C92821E017" hidden="1">#REF!</definedName>
    <definedName name="BOF6CA2BD9AAAB4492929995BE328F9A54" hidden="1">#REF!</definedName>
    <definedName name="BOF6E707E3FBAE4AD380B8CDC23CEAEB2C" hidden="1">#REF!</definedName>
    <definedName name="BOF6EBEFAD3CD348A988438A5BEF70E79F" hidden="1">#REF!</definedName>
    <definedName name="BOF6F2A40EAC514DBFB9953F2E3A35BF6F" hidden="1">#REF!</definedName>
    <definedName name="BOF6FBF4A8750941C9B6DE47261C79EACE" hidden="1">#REF!</definedName>
    <definedName name="BOF7067B359E144ED5AD74B2393EBA0E57" hidden="1">#REF!</definedName>
    <definedName name="BOF70938DB367E4D149BC02E6BAFD0195D" hidden="1">#REF!</definedName>
    <definedName name="BOF7237A50862A4D77BFD12ED70FF37FBF" hidden="1">#REF!</definedName>
    <definedName name="BOF726CA5DE18A4FDBBCE30A5A794F1F11" hidden="1">#REF!</definedName>
    <definedName name="BOF72A4628BBCC4E1F8FFA11619466796A" hidden="1">#REF!</definedName>
    <definedName name="BOF74129E45861416E92558DC56E7BCA42" hidden="1">#REF!</definedName>
    <definedName name="BOF74A141A20B6490FA9039C3A18A9F71C" hidden="1">#REF!</definedName>
    <definedName name="BOF74E800F8AB24B21A67C124DAC333722" hidden="1">#REF!</definedName>
    <definedName name="BOF75B7362A19143E1A17DBED181116A2D" hidden="1">#REF!</definedName>
    <definedName name="BOF75DD6070C8144FBAE7AEBB487FB4091" hidden="1">#REF!</definedName>
    <definedName name="BOF775D5025A66459FAF6143A045ACA3D0" hidden="1">#REF!</definedName>
    <definedName name="BOF7865F25CC8B474B908C074A588B4A58" hidden="1">#REF!</definedName>
    <definedName name="BOF78EBA653D5843C3BD46C0815836201E" hidden="1">#REF!</definedName>
    <definedName name="BOF79AD498D4704E219E6017415B970500" hidden="1">#REF!</definedName>
    <definedName name="BOF79B4DFD6A744A2E8BC9A8BA5233F516" hidden="1">#REF!</definedName>
    <definedName name="BOF7AB90F98F974157857C81905085FD0E" hidden="1">#REF!</definedName>
    <definedName name="BOF7AEF746C6F645928EDF4EC095EE26E8" hidden="1">#REF!</definedName>
    <definedName name="BOF7B4B29DE20B4CC0BB4ADBCDB3C12443" hidden="1">#REF!</definedName>
    <definedName name="BOF7B893474DB94F86B42E078D7E00E8CD" hidden="1">#REF!</definedName>
    <definedName name="BOF7BC4528BF59491BBDBC7F50FFD3741C" hidden="1">#REF!</definedName>
    <definedName name="BOF7C2ED0116C64726991162AC6FD27DE4" hidden="1">#REF!</definedName>
    <definedName name="BOF7C3ADCD676E47D99C52D547309EC544" hidden="1">#REF!</definedName>
    <definedName name="BOF7CFEE2F9D1E4E998FD384B827E1648E" hidden="1">#REF!</definedName>
    <definedName name="BOF7E0B752CCBB47C080EF57DBCF17204E" hidden="1">#REF!</definedName>
    <definedName name="BOF7EABF7E28BB46359CAA0D0E4E158B9E" hidden="1">#REF!</definedName>
    <definedName name="BOF7F007D74049454CAA444251231F55C3" hidden="1">#REF!</definedName>
    <definedName name="BOF7FA2573A7204BA8BB2FE315F7E90037" hidden="1">#REF!</definedName>
    <definedName name="BOF8020796F2364ED4ABAA213C8F0E3B94" hidden="1">#REF!</definedName>
    <definedName name="BOF802C9EC28104CB7B5499FEB65CA4FD7" hidden="1">#REF!</definedName>
    <definedName name="BOF808554E08284DF88B1980C03DBD3542" hidden="1">#REF!</definedName>
    <definedName name="BOF80B1D75630140A6BA5185E1B4A95698" hidden="1">#REF!</definedName>
    <definedName name="BOF813A8A5821E4C53A3426B9A868BC743" hidden="1">#REF!</definedName>
    <definedName name="BOF81439556F74427394F043225EBD8FC0" hidden="1">#REF!</definedName>
    <definedName name="BOF81BECE8D3734A32822788AE1974B593" hidden="1">#REF!</definedName>
    <definedName name="BOF81D421CC6B9417D941B25B996C72884" hidden="1">#REF!</definedName>
    <definedName name="BOF8211C967E024AFA99A0EFF12D45AEF0" hidden="1">#REF!</definedName>
    <definedName name="BOF8213881CED843A1841269B8EAD7F96F" hidden="1">#REF!</definedName>
    <definedName name="BOF822D3ABD1534D9F998B63C914C8ECD6" hidden="1">#REF!</definedName>
    <definedName name="BOF82C43F91B5C49E491F0134CBCC0086D" hidden="1">#REF!</definedName>
    <definedName name="BOF857E0257D5E43D5820430AAFC21F398" hidden="1">#REF!</definedName>
    <definedName name="BOF866A55A6A814E3BB4ADFA7BBD656797" hidden="1">#REF!</definedName>
    <definedName name="BOF867433AAE404C87804A6570CD9AA4C2" hidden="1">#REF!</definedName>
    <definedName name="BOF867605E04704C94881A0D9B97C2AF6D" hidden="1">#REF!</definedName>
    <definedName name="BOF86AD3E819A34654A11F74EC6DE7C3E8" hidden="1">#REF!</definedName>
    <definedName name="BOF87A41AC60194D5596D421A932CACB34" hidden="1">#REF!</definedName>
    <definedName name="BOF87E72475BF74EDB931AE92349BA1743" hidden="1">#REF!</definedName>
    <definedName name="BOF889CE13158A4FB382EE64FF8718C51B" hidden="1">#REF!</definedName>
    <definedName name="BOF88A659C69964B009B2D83565265FD86" hidden="1">#REF!</definedName>
    <definedName name="BOF8921A10B8E14D6E93498215DA5B4CC5" hidden="1">#REF!</definedName>
    <definedName name="BOF8AEB7F576C446909E0A327C72228592" hidden="1">#REF!</definedName>
    <definedName name="BOF8B07A1B50F54E5288258CD8F02A5F08" hidden="1">#REF!</definedName>
    <definedName name="BOF8B0CBE235594743825721777CB308B5" hidden="1">#REF!</definedName>
    <definedName name="BOF8BA711862C74BEE9FC10A7819806A97" hidden="1">#REF!</definedName>
    <definedName name="BOF8C93988A19A423794B6B09D20728F62" hidden="1">#REF!</definedName>
    <definedName name="BOF8D38CC096954A639266BEA031FC1BF6" hidden="1">#REF!</definedName>
    <definedName name="BOF8E47CD4DE724E67B67FA44FE9D0687F" hidden="1">#REF!</definedName>
    <definedName name="BOF8F3D3D100BF4624975FD9B421117776" hidden="1">#REF!</definedName>
    <definedName name="BOF900986C01994B3B8E193EF255736360" hidden="1">#REF!</definedName>
    <definedName name="BOF903C394B377476994924DCA53D31A19" hidden="1">#REF!</definedName>
    <definedName name="BOF9046FBF09C14605A1C1D415EA591897" hidden="1">#REF!</definedName>
    <definedName name="BOF904C7E5F32D4355A29848034E1C02A2" hidden="1">#REF!</definedName>
    <definedName name="BOF908A8F90DD64344AD0E0D7D9866BA5D" hidden="1">#REF!</definedName>
    <definedName name="BOF917D74EBDFB4853A0CDD3C83EEEF78B" hidden="1">#REF!</definedName>
    <definedName name="BOF9198EE697FD46B1A4AB693A4F8924F8" hidden="1">#REF!</definedName>
    <definedName name="BOF91B769502CB4CD1BBCB0265218703C1" hidden="1">#REF!</definedName>
    <definedName name="BOF91DB64553ED4A6C8E3A08C4E9BDD985" hidden="1">#REF!</definedName>
    <definedName name="BOF92C678865AE4CAFBBCD49C98AF63C2D" hidden="1">#REF!</definedName>
    <definedName name="BOF93184DE86DD4655A5C136CE4D67BE61" hidden="1">#REF!</definedName>
    <definedName name="BOF941EA18CFF34D0EA77EE7D6BC7E997E" hidden="1">#REF!</definedName>
    <definedName name="BOF9545A6789844DCF975C7F8E30C8DB7E" hidden="1">#REF!</definedName>
    <definedName name="BOF954CDC8C03046B79C0E0E0BBCF4ECB2" hidden="1">#REF!</definedName>
    <definedName name="BOF95C0DF323784C0C87570FDC60BD6C7C" hidden="1">#REF!</definedName>
    <definedName name="BOF9698CB8AE66414EB5C01C99FFF5ADC7" hidden="1">#REF!</definedName>
    <definedName name="BOF97115EC08D24C29845A1472CABA115A" hidden="1">#REF!</definedName>
    <definedName name="BOF973A8803E9F4F3D8DA5DC4CF01216D9" hidden="1">#REF!</definedName>
    <definedName name="BOF97F8B9A4B4A4627BFA15374FD2953BA" hidden="1">#REF!</definedName>
    <definedName name="BOF9801FCDD3594EF0935C956D2A5B94F7" hidden="1">#REF!</definedName>
    <definedName name="BOF982A38F26354265BB6CE78E56D046AA" hidden="1">#REF!</definedName>
    <definedName name="BOF98737EA666F4BD88D5BCD832B192B91" hidden="1">#REF!</definedName>
    <definedName name="BOF98B546D9E494E42925BE785099B56CF" hidden="1">#REF!</definedName>
    <definedName name="BOF9A7ECA7B3284EEBA3889CF5A16148EE" hidden="1">#REF!</definedName>
    <definedName name="BOF9ACA0F6681844B39D620B048DA8C234" hidden="1">#REF!</definedName>
    <definedName name="BOF9E2385EA1804CC1B1BA053D233E02A6" hidden="1">#REF!</definedName>
    <definedName name="BOF9EEC088BBDC4CA0AA698BE525CDAA85" hidden="1">#REF!</definedName>
    <definedName name="BOF9F3E5B0909B4D22AF1C6B14D47B7FC9" hidden="1">#REF!</definedName>
    <definedName name="BOF9F86764E0FF4403959D2388077FEFFA" hidden="1">#REF!</definedName>
    <definedName name="BOF9FE1D3728E84D69B366C936AC7B8BB0" hidden="1">#REF!</definedName>
    <definedName name="BOF9FF8DC9A7FE4261A05B9FEEA121F6FF" hidden="1">#REF!</definedName>
    <definedName name="BOFA2529D20BA84C50A147A7FDB56C2EFB" hidden="1">#REF!</definedName>
    <definedName name="BOFA32B9A012D6476FB7691631EB57453D" hidden="1">#REF!</definedName>
    <definedName name="BOFA38529889BD4E9DBF2AB1293A68FB9A" hidden="1">#REF!</definedName>
    <definedName name="BOFA39EE70CEC54BD388F3971B2A03E9CE" hidden="1">#REF!</definedName>
    <definedName name="BOFA3C1030CE7E4DFB9A356CB8DFDEF315" hidden="1">#REF!</definedName>
    <definedName name="BOFA4630B1838A40B995948B70067B8A7E" hidden="1">#REF!</definedName>
    <definedName name="BOFA4A80AF813E4016B53D5AA163B5710E" hidden="1">#REF!</definedName>
    <definedName name="BOFA5F0AD4A782471D81947F592AA492D1" hidden="1">#REF!</definedName>
    <definedName name="BOFA63A343622D415CB05B058CB376A8F0" hidden="1">#REF!</definedName>
    <definedName name="BOFA6BEC52E62F495E8A6774DB5F93DC79" hidden="1">#REF!</definedName>
    <definedName name="BOFA72F792627744DB892390DF4AB5C7D2" hidden="1">#REF!</definedName>
    <definedName name="BOFA757FC3C2914FDBAF9B90985D917372" hidden="1">#REF!</definedName>
    <definedName name="BOFA7DBACF98D443ABA6FBB112389DDA10" hidden="1">#REF!</definedName>
    <definedName name="BOFA8185A6DEAE4FF188992B49899A08C8" hidden="1">#REF!</definedName>
    <definedName name="BOFA821041CC364F63BC5FC72A7A2CFC87" hidden="1">#REF!</definedName>
    <definedName name="BOFA8699B82C4C404CABE153D3138A97BD" hidden="1">#REF!</definedName>
    <definedName name="BOFA8AAF04B5274141BAAC9B54C31A585D" hidden="1">#REF!</definedName>
    <definedName name="BOFA8F64294143401E9B255112E747CE41" hidden="1">#REF!</definedName>
    <definedName name="BOFA99B3D7D84E494DAB7DA499C0A80FEC" hidden="1">#REF!</definedName>
    <definedName name="BOFAB916E17A3C4804B41BF71709A14205" hidden="1">#REF!</definedName>
    <definedName name="BOFAC12FDDC1604E8D899473C32AFEBD9E" hidden="1">#REF!</definedName>
    <definedName name="BOFAC4A9E7912C4EF9B265121A3CFC81AA" hidden="1">#REF!</definedName>
    <definedName name="BOFAD406DDA2F24FD182A6482BD33C8551" hidden="1">#REF!</definedName>
    <definedName name="BOFADDB9E7A0344DA2A2987B44D52F91DF" hidden="1">#REF!</definedName>
    <definedName name="BOFAE1B6686E23416EA4A08BFA812852E3" hidden="1">#REF!</definedName>
    <definedName name="BOFAE47A40CF504B12BA9269972D666FAA" hidden="1">#REF!</definedName>
    <definedName name="BOFB06892DDF324A26BA54D536AF26874F" hidden="1">#REF!</definedName>
    <definedName name="BOFB21E9CAA40E440DB72750798E35AB29" hidden="1">#REF!</definedName>
    <definedName name="BOFB2342DD34464C649BD56ED3B55372F7" hidden="1">#REF!</definedName>
    <definedName name="BOFB2AD2C4509E4296B328CA926774635C" hidden="1">#REF!</definedName>
    <definedName name="BOFB2B456DA52042E5AC3A72CFA530C739" hidden="1">#REF!</definedName>
    <definedName name="BOFB373FCC96024F0FA7B9050A4DAADDF1" hidden="1">#REF!</definedName>
    <definedName name="BOFB3EE843E2EF41B69054E953A02D5F16" hidden="1">#REF!</definedName>
    <definedName name="BOFB40419992524FA0A3A140BB2A6E79DB" hidden="1">#REF!</definedName>
    <definedName name="BOFB50260EB58B47ABBEF4F0EF47611F0E" hidden="1">#REF!</definedName>
    <definedName name="BOFB5D978CAF8F4585B6FB3FAF0F389CA3" hidden="1">#REF!</definedName>
    <definedName name="BOFB5FDC97D499470989759D0B74B24E3B" hidden="1">#REF!</definedName>
    <definedName name="BOFB690BA83FA345C297F2BD53D54AF283" hidden="1">#REF!</definedName>
    <definedName name="BOFB6A5D5F3D204475B61F4E300CE3C184" hidden="1">#REF!</definedName>
    <definedName name="BOFB76F261074B46F891AD31EA57996035" hidden="1">#REF!</definedName>
    <definedName name="BOFB8390AE7B814030BD478C9456EEAC84" hidden="1">#REF!</definedName>
    <definedName name="BOFB960E4D73DB42C0A360D302F4054E1B" hidden="1">#REF!</definedName>
    <definedName name="BOFB9A140DDEA3433F90E49D304B3CB2E7" hidden="1">#REF!</definedName>
    <definedName name="BOFB9D88ED508845FFA4988C3ABBD07BFC" hidden="1">#REF!</definedName>
    <definedName name="BOFBBF14149B8E4ECC8ABFFEA6DEACF6A0" hidden="1">#REF!</definedName>
    <definedName name="BOFBBF434865AF4CF286C515E84F1EDEE5" hidden="1">#REF!</definedName>
    <definedName name="BOFBD0E721F0D34556B404E081D18AFF8D" hidden="1">#REF!</definedName>
    <definedName name="BOFBD174970C28490398398691BC80DDC7" hidden="1">#REF!</definedName>
    <definedName name="BOFBDE77A5957B4DA4A3FB8FBE52DA725D" hidden="1">#REF!</definedName>
    <definedName name="BOFBE0495EE90C43D4A2267C942BB21F8C" hidden="1">#REF!</definedName>
    <definedName name="BOFBE58B6B2F824502A073DA79888EF0AD" hidden="1">#REF!</definedName>
    <definedName name="BOFBF07FBE68754902AAD5E3C2574A0478" hidden="1">#REF!</definedName>
    <definedName name="BOFBF551F5A45A41CCA1C4785C7D8814A3" hidden="1">#REF!</definedName>
    <definedName name="BOFC06CEC5B35847888FAAE63F9BA3854E" hidden="1">#REF!</definedName>
    <definedName name="BOFC0C41ADC8CF478AAFF8F84F97EB93C2" hidden="1">#REF!</definedName>
    <definedName name="BOFC0DB4C2DA05414CB98567FBA1852FF7" hidden="1">#REF!</definedName>
    <definedName name="BOFC12C199BDB74E9AB7FBF326E9E0F495" hidden="1">#REF!</definedName>
    <definedName name="BOFC1A08B1525D4F2384B9A4A912180CB2" hidden="1">#REF!</definedName>
    <definedName name="BOFC28A6FC67D64261B1465C120CD2B0FD" hidden="1">#REF!</definedName>
    <definedName name="BOFC3671AA471B495DA647EF4B33273A26" hidden="1">#REF!</definedName>
    <definedName name="BOFC3D29199A9B4555B2028DB6B5B83122" hidden="1">#REF!</definedName>
    <definedName name="BOFC4077CF644D49D797AB9C0117E74702" hidden="1">#REF!</definedName>
    <definedName name="BOFC4249D45B1F41BEA22AD6D61BC5AE53" hidden="1">#REF!</definedName>
    <definedName name="BOFC42D11893A24173ABBC136AE855335B" hidden="1">#REF!</definedName>
    <definedName name="BOFC43B5B130244338B2BBE6467D49BEF5" hidden="1">#REF!</definedName>
    <definedName name="BOFC489C595BA9454C98C06EC5CE53B190" hidden="1">#REF!</definedName>
    <definedName name="BOFC491F0C6BC94860A701B51F48C9BCD1" hidden="1">#REF!</definedName>
    <definedName name="BOFC5ACA8D196F426CB85C3747DADE57F2" hidden="1">#REF!</definedName>
    <definedName name="BOFC5F054BB42C44608DF23285BD45B69B" hidden="1">#REF!</definedName>
    <definedName name="BOFC69F941BC764B4DBB191CE0706323C7" hidden="1">#REF!</definedName>
    <definedName name="BOFC6A1136B4CF4C6D9FAB29E5C066B7C4" hidden="1">#REF!</definedName>
    <definedName name="BOFC6E0281184F411A933D8EDFE12BF591" hidden="1">#REF!</definedName>
    <definedName name="BOFC7821684CEB493FA91FC4FCB8608127" hidden="1">#REF!</definedName>
    <definedName name="BOFC842083DB2A4A448A1668C615775C06" hidden="1">#REF!</definedName>
    <definedName name="BOFC859E0D6F8D415CA91486DF12815E5D" hidden="1">#REF!</definedName>
    <definedName name="BOFCA4D810C6ED460497AA6C4BD6C728B4" hidden="1">#REF!</definedName>
    <definedName name="BOFCA8924221C44BB4A203D4363939971F" hidden="1">#REF!</definedName>
    <definedName name="BOFCB6ABE3F39D496F9E8B8DA106534370" hidden="1">#REF!</definedName>
    <definedName name="BOFCB9EA4E310E49608BB29B156659CC95" hidden="1">#REF!</definedName>
    <definedName name="BOFCBF4EC7DD5D47F0B2DAB44C9A706CEC" hidden="1">#REF!</definedName>
    <definedName name="BOFCC46FC1C4AE41138AF475CE36299967" hidden="1">#REF!</definedName>
    <definedName name="BOFCC5DC63B6C541C9840AC81546C46588" hidden="1">#REF!</definedName>
    <definedName name="BOFCCA4AE4A7DB46BA824BD398D8C28AD4" hidden="1">#REF!</definedName>
    <definedName name="BOFCCC25E6EB664499BE134B68003E462B" hidden="1">#REF!</definedName>
    <definedName name="BOFCD8308078E64749B3AC8E32B7067B96" hidden="1">#REF!</definedName>
    <definedName name="BOFCDC2ADC094840909149F18B460C74F7" hidden="1">#REF!</definedName>
    <definedName name="BOFCF098D721E740058F3D0B24B82C2CE3" hidden="1">#REF!</definedName>
    <definedName name="BOFCF4421EEA1849E6A08018EC1050828A" hidden="1">#REF!</definedName>
    <definedName name="BOFD0CA662AC4E4EC3A69C07DD4BE8E5CC" hidden="1">#REF!</definedName>
    <definedName name="BOFD0E080A613441FD94B76F648CAF081F" hidden="1">#REF!</definedName>
    <definedName name="BOFD1B9B89D1754EEDA89D130877E835B2" hidden="1">#REF!</definedName>
    <definedName name="BOFD242C52576740459B10B31AF999F941" hidden="1">#REF!</definedName>
    <definedName name="BOFD2B5AA513C049278777C07846FFB29B" hidden="1">#REF!</definedName>
    <definedName name="BOFD4353783E8E4D8FBE17110972FE0C0B" hidden="1">#REF!</definedName>
    <definedName name="BOFD4DF7C398224437ABE66C58F2C630A2" hidden="1">#REF!</definedName>
    <definedName name="BOFD6C64B2C851424B8A8394258E5672AA" hidden="1">#REF!</definedName>
    <definedName name="BOFD711ABAA1A74EEB9E25667F91C143D9" hidden="1">#REF!</definedName>
    <definedName name="BOFD7FFFDC0395489A9A4A5CA124121BFD" hidden="1">#REF!</definedName>
    <definedName name="BOFD8E4E74A7A24898B596092D1AA97511" hidden="1">#REF!</definedName>
    <definedName name="BOFD9C5A13F5E04E6CB176652CCC432DCB" hidden="1">#REF!</definedName>
    <definedName name="BOFDA176B706F64661B9A68065D02F25DF" hidden="1">#REF!</definedName>
    <definedName name="BOFDA327A3EBCB43028527485513AABA5A" hidden="1">#REF!</definedName>
    <definedName name="BOFDA95C69CBC248EA937E7927258BD86C" hidden="1">#REF!</definedName>
    <definedName name="BOFDAB002C63424371BE578DA59D630470" hidden="1">#REF!</definedName>
    <definedName name="BOFDAFC23EC6A246A09B51B0BBDEA598BA" hidden="1">#REF!</definedName>
    <definedName name="BOFDB0C27CBCD54FF697D3CF06C8B3AC58" hidden="1">#REF!</definedName>
    <definedName name="BOFDB5E793317248B4BB5D576CCDB5DC4C" hidden="1">#REF!</definedName>
    <definedName name="BOFDB63C9B076248B19B4C49766FF1E8C2" hidden="1">#REF!</definedName>
    <definedName name="BOFDD4D8BCAF024B5589F8B4928ADEFCB7" hidden="1">#REF!</definedName>
    <definedName name="BOFDDC50CFACBB4E0E94D9AD30C374006B" hidden="1">#REF!</definedName>
    <definedName name="BOFDE4B16AC8964979A05EE6752EF2D81E" hidden="1">#REF!</definedName>
    <definedName name="BOFE058824E2CA423494E7BBB89BFC1827" hidden="1">#REF!</definedName>
    <definedName name="BOFE07C4D9A601446882557DC03C81BEA8" hidden="1">#REF!</definedName>
    <definedName name="BOFE0A73B67930446EA8CC1ECE26F704F4" hidden="1">#REF!</definedName>
    <definedName name="BOFE0C674B71BA4B478A554708AD6E4846" hidden="1">#REF!</definedName>
    <definedName name="BOFE11538B38C748DABA6E9B98D81AF15D" hidden="1">#REF!</definedName>
    <definedName name="BOFE1A7545F1A74289B7EA9E5CA87D2ADD" hidden="1">#REF!</definedName>
    <definedName name="BOFE2891BAFE69432FAE5F467C525A92A3" hidden="1">#REF!</definedName>
    <definedName name="BOFE2DEF8DA0174C6AA2A4126C5E1291EF" hidden="1">#REF!</definedName>
    <definedName name="BOFE34234FF0A84905A64190885B0ECB3B" hidden="1">#REF!</definedName>
    <definedName name="BOFE3A142BF26B46FDBF3A3B8731DA35FC" hidden="1">#REF!</definedName>
    <definedName name="BOFE4E24F9D0D74FEEAA554B4B6470193E" hidden="1">#REF!</definedName>
    <definedName name="BOFE4F61FA22B74588A46B32C0ECC145DD" hidden="1">#REF!</definedName>
    <definedName name="BOFE6862330400433582CE072D746567F6" hidden="1">#REF!</definedName>
    <definedName name="BOFE686FB8AF6F4457A8A238F841BCDFB7" hidden="1">#REF!</definedName>
    <definedName name="BOFE6CE17D2FD448078A335E700DB5FE65" hidden="1">#REF!</definedName>
    <definedName name="BOFE8672FC722F4F13B23228F9E423B6ED" hidden="1">#REF!</definedName>
    <definedName name="BOFE8C41E2159D4232B2A102ACE7826C4A" hidden="1">#REF!</definedName>
    <definedName name="BOFE8CB77E58FD444CAAB1C996F21DBAD3" hidden="1">#REF!</definedName>
    <definedName name="BOFE9B1418716848A4A8B5BEEC89B35CFB" hidden="1">#REF!</definedName>
    <definedName name="BOFEAEDA4D94774633B92078449223173D" hidden="1">#REF!</definedName>
    <definedName name="BOFEBA4B7C41A747CEA17AEFD8A61D1AED" hidden="1">#REF!</definedName>
    <definedName name="BOFEC6BC004C394EB3877E07CC1F0BED3B" hidden="1">#REF!</definedName>
    <definedName name="BOFED0CA4BD08049E4B33B805E37D9C450" hidden="1">#REF!</definedName>
    <definedName name="BOFED4BE01560440388CEB3A2B4ED5270B" hidden="1">#REF!</definedName>
    <definedName name="BOFED968AD40E2461ABAC7EC0AC7ACF13A" hidden="1">#REF!</definedName>
    <definedName name="BOFEE4D51401FC44AE93D21330BF981397" hidden="1">#REF!</definedName>
    <definedName name="BOFEF2A61BA52345D4A035226F5F1F5386" hidden="1">#REF!</definedName>
    <definedName name="BOFEF74530B8C34B44BF2881769CFA591D" hidden="1">#REF!</definedName>
    <definedName name="BOFEFC84DA12A448AEA12918F727888834" hidden="1">#REF!</definedName>
    <definedName name="BOFF141F9E8C80496999887608C197C432" hidden="1">#REF!</definedName>
    <definedName name="BOFF20714CBB854200BFD01C9A2EBC1511" hidden="1">#REF!</definedName>
    <definedName name="BOFF2C8BC44EF04A0DA5FAE9D8D5397F00" hidden="1">#REF!</definedName>
    <definedName name="BOFF39F060C92B4B55A4BC60686B25034D" hidden="1">#REF!</definedName>
    <definedName name="BOFF3E01A5E8574D69B323C27884179BF7" hidden="1">#REF!</definedName>
    <definedName name="BOFF46603597A94C129348055368842319" hidden="1">#REF!</definedName>
    <definedName name="BOFF4AFBFD373C4981913A647EDC7B863B" hidden="1">#REF!</definedName>
    <definedName name="BOFF4C2DB0631D4BFF9CCF86EFDA936630" hidden="1">#REF!</definedName>
    <definedName name="BOFF51DBB521524F92B5CDBFDB72570B1A" hidden="1">#REF!</definedName>
    <definedName name="BOFF5CE01BFCAD41C3B1310216B00B3B51" hidden="1">#REF!</definedName>
    <definedName name="BOFF637B9231424D60B8F721296AD070BA" hidden="1">#REF!</definedName>
    <definedName name="BOFF7845B81951427B952EF337834FC25F" hidden="1">#REF!</definedName>
    <definedName name="BOFF7F2D2EEDEA4B6F9AD0B50B2F04F10C" hidden="1">#REF!</definedName>
    <definedName name="BOFF81A5081B9F4F33AFE77F70F81F48E9" hidden="1">#REF!</definedName>
    <definedName name="BOFF93FD5565F544AAAEAF8BC489E96912" hidden="1">#REF!</definedName>
    <definedName name="BOFFA6AE2858254647AD1DB3CEF9223EBA" hidden="1">#REF!</definedName>
    <definedName name="BOFFAEFA6A1ED0429EB93003DCE2EAB086" hidden="1">#REF!</definedName>
    <definedName name="BOFFAFBC61BDAE49C08A70D6906492447F" hidden="1">#REF!</definedName>
    <definedName name="BOFFB0308A03DF4F25B29587DEF1C74FA2" hidden="1">#REF!</definedName>
    <definedName name="BOFFB2D93965FC4CE38608C6D9A373E99C" hidden="1">#REF!</definedName>
    <definedName name="BOFFB635C596534E3A82766B2DAE186FEA" hidden="1">#REF!</definedName>
    <definedName name="BOFFC5156365624583A6B13E8658B49488" hidden="1">#REF!</definedName>
    <definedName name="BOFFD1535D148943FA8C1277418B779D54" hidden="1">#REF!</definedName>
    <definedName name="BOFFD4A5DEB0BD4A6A83EEC89A0122DEF4" hidden="1">#REF!</definedName>
    <definedName name="BOFFDD5A196BAB4502B3F4048A9B1CA218" hidden="1">#REF!</definedName>
    <definedName name="BOFFE9CABC7606405AA2EF910ECCB7F35D" hidden="1">#REF!</definedName>
    <definedName name="BOFFEC084D6EDB4D6C9B0CE2A26ACFC530" hidden="1">#REF!</definedName>
    <definedName name="BOFFF7092DFF004CCABA46759FF6A283D7" hidden="1">#REF!</definedName>
    <definedName name="BOFFF87D2EAF964C5F829D28779DE2BDA1" hidden="1">#REF!</definedName>
    <definedName name="BOFFF944EE37754FE18E47A573CCDA18D4" hidden="1">#REF!</definedName>
    <definedName name="BOFFFA874F1F9347C6A81D78F4FB38DFC0" hidden="1">#REF!</definedName>
    <definedName name="bosse"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BrMarQ12020">#REF!</definedName>
    <definedName name="BrMarQ12021">#REF!</definedName>
    <definedName name="BrMarQ12022">#REF!</definedName>
    <definedName name="BrMarQ12023">#REF!</definedName>
    <definedName name="BrMarQ12024">#REF!</definedName>
    <definedName name="BrMarQ22020">#REF!</definedName>
    <definedName name="BrMarQ22021">#REF!</definedName>
    <definedName name="BrMarQ22022">#REF!</definedName>
    <definedName name="BrMarQ22023">#REF!</definedName>
    <definedName name="BrMarQ22024">#REF!</definedName>
    <definedName name="BrMarQ32020">#REF!</definedName>
    <definedName name="BrMarQ32021">#REF!</definedName>
    <definedName name="BrMarQ32022">#REF!</definedName>
    <definedName name="BrMarQ32023">#REF!</definedName>
    <definedName name="BrMarQ32024">#REF!</definedName>
    <definedName name="BrMarQ42020">#REF!</definedName>
    <definedName name="BrMarQ42021">#REF!</definedName>
    <definedName name="BrMarQ42022">#REF!</definedName>
    <definedName name="BrMarQ42023">#REF!</definedName>
    <definedName name="BrMarQ42024">#REF!</definedName>
    <definedName name="bro"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ro"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rozai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rozai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tdc2" hidden="1">#REF!</definedName>
    <definedName name="BU_code_act">#REF!</definedName>
    <definedName name="BU_code_F">#REF!</definedName>
    <definedName name="BU_detail">#REF!</definedName>
    <definedName name="BU_name_act">#REF!</definedName>
    <definedName name="Bud_code_act">#REF!</definedName>
    <definedName name="Bud_code_F">#REF!</definedName>
    <definedName name="Bud_name_act">#REF!</definedName>
    <definedName name="Bud_name_F">#REF!</definedName>
    <definedName name="CaF">#REF!</definedName>
    <definedName name="capex">#REF!</definedName>
    <definedName name="CapexCategory">#REF!</definedName>
    <definedName name="CarFP2020">#REF!</definedName>
    <definedName name="CarLP2020">#REF!</definedName>
    <definedName name="CarLP2021">#REF!</definedName>
    <definedName name="CarLP2022">#REF!</definedName>
    <definedName name="CarLP2023">#REF!</definedName>
    <definedName name="CarLP2024">#REF!</definedName>
    <definedName name="CarPurQ12020">#REF!</definedName>
    <definedName name="CarPurQ12021">#REF!</definedName>
    <definedName name="CarPurQ12022">#REF!</definedName>
    <definedName name="CarPurQ12023">#REF!</definedName>
    <definedName name="CarPurQ12024">#REF!</definedName>
    <definedName name="CarPurQ22020">#REF!</definedName>
    <definedName name="CarPurQ22021">#REF!</definedName>
    <definedName name="CarPurQ22022">#REF!</definedName>
    <definedName name="CarPurQ22023">#REF!</definedName>
    <definedName name="CarPurQ22024">#REF!</definedName>
    <definedName name="CarPurQ32020">#REF!</definedName>
    <definedName name="CarPurQ32021">#REF!</definedName>
    <definedName name="CarPurQ32022">#REF!</definedName>
    <definedName name="CarPurQ32023">#REF!</definedName>
    <definedName name="CarPurQ32024">#REF!</definedName>
    <definedName name="CarPurQ42020">#REF!</definedName>
    <definedName name="CarPurQ42021">#REF!</definedName>
    <definedName name="CarPurQ42022">#REF!</definedName>
    <definedName name="CarPurQ42023">#REF!</definedName>
    <definedName name="CarPurQ42024">#REF!</definedName>
    <definedName name="ccc"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c"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c"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cc"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cc"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F_code_act">#REF!</definedName>
    <definedName name="CF_code_F">#REF!</definedName>
    <definedName name="CF_code_mix">#REF!</definedName>
    <definedName name="CF_name_act">#REF!</definedName>
    <definedName name="CF_name_F">#REF!</definedName>
    <definedName name="CF_name_mix">#REF!</definedName>
    <definedName name="CF_type_act">#REF!</definedName>
    <definedName name="CF_type_F">#REF!</definedName>
    <definedName name="CF_type_mix">#REF!</definedName>
    <definedName name="chart" localSheetId="0">#REF!</definedName>
    <definedName name="chart">#REF!</definedName>
    <definedName name="ChuyenTienNoiBo">#REF!</definedName>
    <definedName name="CIQWBGuid" hidden="1">"621f55ae-6bbd-4e45-8f58-3e88dc7f13f9"</definedName>
    <definedName name="CL" localSheetId="0">#REF!</definedName>
    <definedName name="CL">#REF!</definedName>
    <definedName name="CLVC3">0.1</definedName>
    <definedName name="cnc" localSheetId="0">#REF!</definedName>
    <definedName name="cnc">#REF!</definedName>
    <definedName name="Code_KPI_act">#REF!</definedName>
    <definedName name="code_KPI_bud">#REF!</definedName>
    <definedName name="Code_report_act1">#REF!</definedName>
    <definedName name="Code_report_act2">#REF!</definedName>
    <definedName name="Code_report_F">#REF!</definedName>
    <definedName name="Code_report_F1">#REF!</definedName>
    <definedName name="Code_report_F2">#REF!</definedName>
    <definedName name="Code_report_mix2">#REF!</definedName>
    <definedName name="codky">#REF!</definedName>
    <definedName name="Col_1">#REF!</definedName>
    <definedName name="Col_2">#REF!</definedName>
    <definedName name="Col_3">#REF!</definedName>
    <definedName name="Col_4">#REF!</definedName>
    <definedName name="Col_5">#REF!</definedName>
    <definedName name="Col_6">#REF!</definedName>
    <definedName name="Col_7">#REF!</definedName>
    <definedName name="Col_8">#REF!</definedName>
    <definedName name="Col_9">#REF!</definedName>
    <definedName name="ColumnList">#REF!</definedName>
    <definedName name="Confirmation">#REF!</definedName>
    <definedName name="conx">#REF!</definedName>
    <definedName name="Currency">#REF!</definedName>
    <definedName name="Cwvu.GREY_ALL." hidden="1">#REF!</definedName>
    <definedName name="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aa"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aa"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ad" localSheetId="0">#REF!</definedName>
    <definedName name="dad">#REF!</definedName>
    <definedName name="daiC">"VLOOKUP(F2,dailuong,10,0)"</definedName>
    <definedName name="daiP">"VLOOKUP(F2,dailuong,4,0)"</definedName>
    <definedName name="daiR">"VLOOKUP(F2,dailuong,13,0)"</definedName>
    <definedName name="daiS">"VLOOKUP(F2,dailuong,7,0)"</definedName>
    <definedName name="dasc" localSheetId="0" hidden="1">{#N/A,#N/A,FALSE,"Aging Summary";#N/A,#N/A,FALSE,"Ratio Analysis";#N/A,#N/A,FALSE,"Test 120 Day Accts";#N/A,#N/A,FALSE,"Tickmarks"}</definedName>
    <definedName name="dasc" hidden="1">{#N/A,#N/A,FALSE,"Aging Summary";#N/A,#N/A,FALSE,"Ratio Analysis";#N/A,#N/A,FALSE,"Test 120 Day Accts";#N/A,#N/A,FALSE,"Tickmarks"}</definedName>
    <definedName name="data1" hidden="1">#REF!</definedName>
    <definedName name="data2" hidden="1">#REF!</definedName>
    <definedName name="data3" hidden="1">#REF!</definedName>
    <definedName name="DataFilter">#REF!</definedName>
    <definedName name="DataSort">#REF!</definedName>
    <definedName name="DataYTD" localSheetId="0">#REF!</definedName>
    <definedName name="DataYTD">#REF!</definedName>
    <definedName name="DateSelected">#REF!</definedName>
    <definedName name="DCR" localSheetId="0" hidden="1">#REF!</definedName>
    <definedName name="DCR" hidden="1">#REF!</definedName>
    <definedName name="dcwqc" localSheetId="0" hidden="1">{#N/A,#N/A,FALSE,"Aging Summary";#N/A,#N/A,FALSE,"Ratio Analysis";#N/A,#N/A,FALSE,"Test 120 Day Accts";#N/A,#N/A,FALSE,"Tickmarks"}</definedName>
    <definedName name="dcwqc" hidden="1">{#N/A,#N/A,FALSE,"Aging Summary";#N/A,#N/A,FALSE,"Ratio Analysis";#N/A,#N/A,FALSE,"Test 120 Day Accts";#N/A,#N/A,FALSE,"Tickmarks"}</definedName>
    <definedName name="d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afa"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afa"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d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d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ealtype">#REF!</definedName>
    <definedName name="delete" localSheetId="0" hidden="1">{"IGRONIC2",#N/A,FALSE,"IG fixed RONIC";"IGRONIC1",#N/A,FALSE,"IG fixed RONIC"}</definedName>
    <definedName name="delete" hidden="1">{"IGRONIC2",#N/A,FALSE,"IG fixed RONIC";"IGRONIC1",#N/A,FALSE,"IG fixed RONIC"}</definedName>
    <definedName name="delete2" localSheetId="0" hidden="1">{"IGRONIC2",#N/A,FALSE,"IG fixed RONIC";"IGRONIC1",#N/A,FALSE,"IG fixed RONIC"}</definedName>
    <definedName name="delete2" hidden="1">{"IGRONIC2",#N/A,FALSE,"IG fixed RONIC";"IGRONIC1",#N/A,FALSE,"IG fixed RONIC"}</definedName>
    <definedName name="DepreciationTime">#REF!</definedName>
    <definedName name="Description">#REF!</definedName>
    <definedName name="DeSPr">#REF!</definedName>
    <definedName name="DeSUM">#REF!</definedName>
    <definedName name="dfdf">#REF!</definedName>
    <definedName name="dfsafd"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d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s"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fa"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gjdgjdg" localSheetId="0" hidden="1">#REF!</definedName>
    <definedName name="dgjdgjdg" hidden="1">#REF!</definedName>
    <definedName name="DGN">#REF!</definedName>
    <definedName name="dgnx">#REF!</definedName>
    <definedName name="dgsdg" localSheetId="0" hidden="1">{"'Sheet1'!$L$16"}</definedName>
    <definedName name="dgsdg" hidden="1">{"'Sheet1'!$L$16"}</definedName>
    <definedName name="dgx">#REF!</definedName>
    <definedName name="dhgfdhgfd" localSheetId="0" hidden="1">#REF!</definedName>
    <definedName name="dhgfdhgfd" hidden="1">#REF!</definedName>
    <definedName name="dhgsd" localSheetId="0" hidden="1">{"Offgrid",#N/A,FALSE,"OFFGRID";"Region",#N/A,FALSE,"REGION";"Offgrid -2",#N/A,FALSE,"OFFGRID";"WTP",#N/A,FALSE,"WTP";"WTP -2",#N/A,FALSE,"WTP";"Project",#N/A,FALSE,"PROJECT";"Summary -2",#N/A,FALSE,"SUMMARY"}</definedName>
    <definedName name="dhgsd" hidden="1">{"Offgrid",#N/A,FALSE,"OFFGRID";"Region",#N/A,FALSE,"REGION";"Offgrid -2",#N/A,FALSE,"OFFGRID";"WTP",#N/A,FALSE,"WTP";"WTP -2",#N/A,FALSE,"WTP";"Project",#N/A,FALSE,"PROJECT";"Summary -2",#N/A,FALSE,"SUMMARY"}</definedName>
    <definedName name="dhhs" localSheetId="0" hidden="1">{"'Sheet1'!$L$16"}</definedName>
    <definedName name="dhhs" hidden="1">{"'Sheet1'!$L$16"}</definedName>
    <definedName name="dhjdjhg" localSheetId="0" hidden="1">#REF!</definedName>
    <definedName name="dhjdjhg" hidden="1">#REF!</definedName>
    <definedName name="DichVuThueNgoai">#REF!</definedName>
    <definedName name="DichVuTruongHoc">#REF!</definedName>
    <definedName name="diengiai">#REF!</definedName>
    <definedName name="Discount" hidden="1">#REF!</definedName>
    <definedName name="display_area_2" hidden="1">#REF!</definedName>
    <definedName name="djdgjg" localSheetId="0" hidden="1">#REF!</definedName>
    <definedName name="djdgjg" hidden="1">#REF!</definedName>
    <definedName name="dmct">#REF!</definedName>
    <definedName name="dmkhncc">#REF!</definedName>
    <definedName name="dmtk">#REF!</definedName>
    <definedName name="Document_array" localSheetId="0">{"Book1"}</definedName>
    <definedName name="Document_array">{"Book1"}</definedName>
    <definedName name="DongTienDauTu">#REF!</definedName>
    <definedName name="DongTienKinhDoanh">#REF!</definedName>
    <definedName name="DongTienTaiChinh">#REF!</definedName>
    <definedName name="DownPayment">#REF!</definedName>
    <definedName name="dsafd"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uckco">#REF!</definedName>
    <definedName name="duckno">#REF!</definedName>
    <definedName name="dudkno">#REF!</definedName>
    <definedName name="dudkyco">#REF!</definedName>
    <definedName name="DungCuChuyenMon">#REF!</definedName>
    <definedName name="DuPhong">#REF!</definedName>
    <definedName name="dvt">#REF!</definedName>
    <definedName name="DVTNX">#REF!</definedName>
    <definedName name="Ê1" localSheetId="0">#REF!</definedName>
    <definedName name="Ê1">#REF!</definedName>
    <definedName name="ee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e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eee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eee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hh"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hh"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n_KPI_bud">#REF!</definedName>
    <definedName name="ENG">#REF!</definedName>
    <definedName name="EPMWorkbookOptions_1" hidden="1">"TSEAAB|LCAAAAAAABADsvQdgHEmWJSYvbcp7f0r1StfgdKEIgGATJNiQQBDswYjN5pLsHWlHIymrKoHKZVZlXWYWQMztnbz33nvvvffee||997o7nU4n99//P1xmZAFs9s5K2smeIYCqyB8/fnwfPyIe/x7vFmV6mddNUS0/|2h3vPNRmi|n1axYXnz20bo939799KPf4|g3Th5/t6rfTqrq7Zerlpo2Kb23bB69a4rPPpq37erR3btXV1fjq3v"</definedName>
    <definedName name="EPMWorkbookOptions_10" hidden="1">"kzLPagD9cvk6u8xNy+7H3Pa7Vf12UlVviTdbJuMRZuTx3f7nYfOr2dHTdbaEI+c1vtJmZ81PZnWRTcr8i7y+oJcVhd7nv3Hi3v5yJQT6fwCj6wyXwVIAAA=="</definedName>
    <definedName name="EPMWorkbookOptions_2" hidden="1">"jqr64u7ezs3v39/7i|evpPF9k28WyabPlNP/IvjW7|a2PqNc0fXxSLZf5FH2|qU7WdZ0v258s8iv|Mvj6adZm|il9/iJb5NKb7anNF6t1XXBXXzV5/bLOz3OCN83HhNBHR7//s5df/P5PXp68|O7uzu//PX1pd2d879Px7v549|Heo4OdnZ27Tba6O1lN737/9//eT758ki3f/v5PT7/4Uv76/Z989fTz0zdnLz6nv8|zssm///guUHGIHa9WZT"</definedName>
    <definedName name="EPMWorkbookOptions_3" hidden="1">"HNPCLeGkEDI4TifazjPgow6SAgVHOETO8OfvXtYjbLl0|LRb5sGN3hpg7VJmhDrV7PqysL46Qqq/qordf547uRLza9yqOIvNkbnb5InNHm79pn2WVVFy3hxfMhL/e|u8X7z4q6aT0E4t93AFkshwl021Z|u6|WxS9a5zzyk|M3p59/|er3eXw39u0mIEJyEvD7O7v3DnY9ALHJ4He/rGd5fbTz|K78EoXerMrs|mVdrfK6vT7avf/p/fN8cr59/"</definedName>
    <definedName name="EPMWorkbookOptions_4" hidden="1">"9PZ/vb|3vnD7YP7eb69k|V7|7PJg/0Hk3voOXwrAvh51rSv85JkPZ99kS8mpLIizUKujDagJvK|R6bvGSp|f/w9|t/xyZuvjp|T6PYaDgD8dpHXWT2dX7umKanGR8ui/OwjsMxHHdnx3o1M2|3efXx381Af370Nzbxp/1nj0Vcv35x89erV6YuTD2DTnZ190r|359Ld//9xqUdHYdTnJ/9fZ9JvjBSnX736/zot/t8jsG/Ovjj92pJ67979|/v7"</definedName>
    <definedName name="EPMWorkbookOptions_5" hidden="1">"|7eX1L3//0kqCEhM|fKYOPTNt3fpV3JuPx2/|fLNj|xK2OxWrQbYFH7u8cnJl1|9ePO1ufXTB7s7BwcPbs|t9/7/x60eHUOmfXr68svXZ29e/4hl/Wa3arWBZYm6Z28|yBP69NN7997DFdr//yfLCh3F/NPfP2JSv9mtWm1g0s9fffnVy6/Po|8dVN7//yePMhlDpcof/f4vjv|/zq8/K2Q5fv4j/yhodqtWG|T45QkR|PTVD1GSP/3/pyQrIUO"</definedName>
    <definedName name="EPMWorkbookOptions_6" hidden="1">"mJXb9/Z|e/eTZ67MvX/zISwqa3arVJsZ99eXTr06|vmP//oz74P|njCuEDBn3|ZfHL36e26AoXSDQoM2PhDlodqtWA8L8xenx669enb7|IUrywXtIcpY/nDx8uP9wezaZ3Nvev797sD05f5BtZ5/O7k0e3ru/t3c||3|BJBsqSrjz8vTV2ZdPz37epn9Davw|b57|f50Q36C43qKRxWZ47fbx3dgac/CpaU7Q|qvw/of9lfvHr/LzOm/mXy6/XO"</definedName>
    <definedName name="EPMWorkbookOptions_7" hidden="1">"VLszQbfsjtTso8qwH0y|Xr7DI3Lbsfc9vvVvXbSVW9JSFtmYymdf|LsP3VTGft8Vnzk1ldZJMy/yKvLxyE3ue/ceLAfrkSavw/AQAA//|53YmeTSEAAA=="</definedName>
    <definedName name="EPMWorkbookOptions_8" hidden="1">"Ms1kDJn2Pi2/7ty7/+n/1/n1GyaL0XTy1Y9o02EZevYPfkSWmCT9vHZzh8iyd/D/eQXz/x6D+PL49/n9ib7HP0R7uLvz/z+DaMjYV/z2m/+Ps+w3TBn65Ockp/H/XpKQx/8jXokR5qf+P88o/+9R92/Ovvhhhj67u++h6rP84eThw/2H27PJ5N72/v3dg+3J+YNsO/t0dm/ykJyhvfPZ/wtUPUjYSUbu7D4Yv/nyzfH/55cTvkma7Hz6I5r0"</definedName>
    <definedName name="EPMWorkbookOptions_9" hidden="1">"+ORHNOnT5OGPaBLhk52H/18nyP97rN5Pnr56ffblix+m4dt7D8P3/5EYR6kY8uqTL9+8+fKLr16mP/n/eS/tG6XL8cmbr37+6rQoSU6effns7MX/94ny/x699sXp8WtaHnr9w1Rs9/7/p9gMGYlHwbGnr86+fHp28iM2fZ9GATbxRo/vHq9WZTHNWoJjPw8+Nc0JWrVcEuL02dOszfhj/8M3VXfwj1/l53XezL9cfrnKl0fnWdnkj++GH3K7"</definedName>
    <definedName name="esnrc14c1" hidden="1">#REF!</definedName>
    <definedName name="etr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tr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V__DECIMALSYMBOL__" hidden="1">"."</definedName>
    <definedName name="EV__EVCOM_OPTIONS__" hidden="1">8</definedName>
    <definedName name="EV__EXPOPTIONS__" hidden="1">0</definedName>
    <definedName name="EV__LASTREFTIME__" hidden="1">40241.6489930556</definedName>
    <definedName name="EV__LOCKEDCVW__FINANCE" hidden="1">"A61590,buTotal,Actual,Bankreporting,deTotal,dCLO,eTotal,gETOTAL,prTotal,rTotal,2010.OCT,YTD,"</definedName>
    <definedName name="EV__LOCKEDCVW__RATE" hidden="1">"Actual,EUR,Avg,Global,2006.TOTAL,YTD,"</definedName>
    <definedName name="EV__LOCKSTATUS__" hidden="1">4</definedName>
    <definedName name="EV__MAXEXPCOLS__" hidden="1">100</definedName>
    <definedName name="EV__MAXEXPROWS__" hidden="1">1000</definedName>
    <definedName name="EV__MEMORYCVW__" hidden="1">0</definedName>
    <definedName name="EV__WBEVMODE__" hidden="1">0</definedName>
    <definedName name="EV__WBREFOPTIONS__" hidden="1">4</definedName>
    <definedName name="EV__WBVERSION__" hidden="1">0</definedName>
    <definedName name="EV__WSINFO__" hidden="1">"feed"</definedName>
    <definedName name="eventlabels">#REF!</definedName>
    <definedName name="ewgbr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wgbr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x_rate">#REF!</definedName>
    <definedName name="Ex.rate">#REF!</definedName>
    <definedName name="ExchangeRate">#REF!</definedName>
    <definedName name="expensetype">#REF!</definedName>
    <definedName name="f" localSheetId="0" hidden="1">#REF!</definedName>
    <definedName name="f" hidden="1">#REF!</definedName>
    <definedName name="fff"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ff"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ffff"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ffff"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GDG" localSheetId="0" hidden="1">#REF!</definedName>
    <definedName name="FGDG" hidden="1">#REF!</definedName>
    <definedName name="finance">#REF!</definedName>
    <definedName name="FROM_DATE" localSheetId="0">#REF!</definedName>
    <definedName name="FROM_DATE">#REF!</definedName>
    <definedName name="front" localSheetId="0">#REF!</definedName>
    <definedName name="front">#REF!</definedName>
    <definedName name="fsdsfafd" hidden="1">{"CSheet",#N/A,FALSE,"C";"SmCap",#N/A,FALSE,"VAL1";"GulfCoast",#N/A,FALSE,"VAL1";"nav",#N/A,FALSE,"NAV";"Summary",#N/A,FALSE,"NAV"}</definedName>
    <definedName name="fshg" localSheetId="0" hidden="1">{"'Sheet1'!$L$16"}</definedName>
    <definedName name="fshg" hidden="1">{"'Sheet1'!$L$16"}</definedName>
    <definedName name="fsvs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svs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un_code_act">#REF!</definedName>
    <definedName name="Fun_code_F">#REF!</definedName>
    <definedName name="Fun_name_act">#REF!</definedName>
    <definedName name="Fun_name_F">#REF!</definedName>
    <definedName name="g" hidden="1">{#N/A,"DR",FALSE,"increm pf";#N/A,"MAMSI",FALSE,"increm pf";#N/A,"MAXI",FALSE,"increm pf";#N/A,"PCAM",FALSE,"increm pf";#N/A,"PHSV",FALSE,"increm pf";#N/A,"SIE",FALSE,"increm pf"}</definedName>
    <definedName name="g." localSheetId="0">#REF!</definedName>
    <definedName name="g.">#REF!</definedName>
    <definedName name="gd" localSheetId="0">#REF!</definedName>
    <definedName name="gd">#REF!</definedName>
    <definedName name="gdshd" localSheetId="0" hidden="1">{"'Sheet1'!$L$16"}</definedName>
    <definedName name="gdshd" hidden="1">{"'Sheet1'!$L$16"}</definedName>
    <definedName name="GDV" localSheetId="0">#REF!</definedName>
    <definedName name="GDV">#REF!</definedName>
    <definedName name="gfgfg" localSheetId="0">#REF!</definedName>
    <definedName name="gfgfg">#REF!</definedName>
    <definedName name="gg"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g"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g"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ggg"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ggg"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hdfhdf" localSheetId="0" hidden="1">#REF!</definedName>
    <definedName name="ghdfhdf" hidden="1">#REF!</definedName>
    <definedName name="ghhhhh"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hhhhh"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nr"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GoBack">#REF!</definedName>
    <definedName name="GracePeriod">#REF!</definedName>
    <definedName name="Gross_booking">#REF!</definedName>
    <definedName name="GrossRevPerMonth2020">#REF!</definedName>
    <definedName name="GrossRevPerMonth2021">#REF!</definedName>
    <definedName name="GrossRevPerMonth2022">#REF!</definedName>
    <definedName name="GrossRevPerMonth2023">#REF!</definedName>
    <definedName name="GrossRevPerMonth2024">#REF!</definedName>
    <definedName name="Group">#REF!</definedName>
    <definedName name="Group_CF">#REF!</definedName>
    <definedName name="gtnhap">#REF!</definedName>
    <definedName name="gtton">#REF!</definedName>
    <definedName name="gtxuat">#REF!</definedName>
    <definedName name="h" localSheetId="0" hidden="1">{"'Sheet1'!$L$16"}</definedName>
    <definedName name="h" hidden="1">{"'Sheet1'!$L$16"}</definedName>
    <definedName name="HanhChinh">#REF!</definedName>
    <definedName name="hdsdhd" localSheetId="0" hidden="1">{"Offgrid",#N/A,FALSE,"OFFGRID";"Region",#N/A,FALSE,"REGION";"Offgrid -2",#N/A,FALSE,"OFFGRID";"WTP",#N/A,FALSE,"WTP";"WTP -2",#N/A,FALSE,"WTP";"Project",#N/A,FALSE,"PROJECT";"Summary -2",#N/A,FALSE,"SUMMARY"}</definedName>
    <definedName name="hdsdhd" hidden="1">{"Offgrid",#N/A,FALSE,"OFFGRID";"Region",#N/A,FALSE,"REGION";"Offgrid -2",#N/A,FALSE,"OFFGRID";"WTP",#N/A,FALSE,"WTP";"WTP -2",#N/A,FALSE,"WTP";"Project",#N/A,FALSE,"PROJECT";"Summary -2",#N/A,FALSE,"SUMMARY"}</definedName>
    <definedName name="Heä_soá_laép_xaø_H">1.7</definedName>
    <definedName name="hesophucapdatdo" localSheetId="0">#REF!</definedName>
    <definedName name="hesophucapdatdo">#REF!</definedName>
    <definedName name="hh"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h"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h"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hhh"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hhh"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iddenRows" hidden="1">#REF!</definedName>
    <definedName name="Hideya_Tsukuma">#REF!</definedName>
    <definedName name="hjdgjdgh" localSheetId="0" hidden="1">#REF!</definedName>
    <definedName name="hjdgjdgh" hidden="1">#REF!</definedName>
    <definedName name="hjjkl" localSheetId="0" hidden="1">{"'Sheet1'!$L$16"}</definedName>
    <definedName name="hjjkl" hidden="1">{"'Sheet1'!$L$16"}</definedName>
    <definedName name="Hoang" localSheetId="0">{"Book1"}</definedName>
    <definedName name="Hoang">{"Book1"}</definedName>
    <definedName name="HSCT3">0.1</definedName>
    <definedName name="HSDN">2.5</definedName>
    <definedName name="hsgsgs"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sgsgs"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SLXH">1.7</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PathFileMac" hidden="1">"Macintosh HD:HomePageStuff:New_Home_Page:datafile:ctryprem.html"</definedName>
    <definedName name="HTML_Title" hidden="1">"00Q3961-SUM"</definedName>
    <definedName name="HTthang10" localSheetId="0">{"Book1"}</definedName>
    <definedName name="HTthang10">{"Book1"}</definedName>
    <definedName name="huy" localSheetId="0" hidden="1">{"'Sheet1'!$L$16"}</definedName>
    <definedName name="huy" hidden="1">{"'Sheet1'!$L$16"}</definedName>
    <definedName name="hwtrwrw"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wtrwr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hh" localSheetId="0" hidden="1">{"'Sheet1'!$L$16"}</definedName>
    <definedName name="ihh" hidden="1">{"'Sheet1'!$L$16"}</definedName>
    <definedName name="iii"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ii"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iiii"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iiii"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nsCom2020">#REF!</definedName>
    <definedName name="InsCom2021">#REF!</definedName>
    <definedName name="InsCom2022">#REF!</definedName>
    <definedName name="InsCom2023">#REF!</definedName>
    <definedName name="InsCom2024">#REF!</definedName>
    <definedName name="InsComQ12020">#REF!</definedName>
    <definedName name="InsComQ12021">#REF!</definedName>
    <definedName name="InsComQ12022">#REF!</definedName>
    <definedName name="InsComQ12023">#REF!</definedName>
    <definedName name="InsComQ12024">#REF!</definedName>
    <definedName name="InsComQ22020">#REF!</definedName>
    <definedName name="InsComQ22021">#REF!</definedName>
    <definedName name="InsComQ22022">#REF!</definedName>
    <definedName name="InsComQ22023">#REF!</definedName>
    <definedName name="InsComQ22024">#REF!</definedName>
    <definedName name="InsComQ32020">#REF!</definedName>
    <definedName name="InsComQ32021">#REF!</definedName>
    <definedName name="InsComQ32022">#REF!</definedName>
    <definedName name="InsComQ32023">#REF!</definedName>
    <definedName name="InsComQ32024">#REF!</definedName>
    <definedName name="InsComQ42020">#REF!</definedName>
    <definedName name="InsComQ42021">#REF!</definedName>
    <definedName name="InsComQ42022">#REF!</definedName>
    <definedName name="InsComQ42023">#REF!</definedName>
    <definedName name="InsComQ42024">#REF!</definedName>
    <definedName name="InsPenRate2020">#REF!</definedName>
    <definedName name="InsPenRate2021">#REF!</definedName>
    <definedName name="InsPenRate2022">#REF!</definedName>
    <definedName name="InsPenRate2023">#REF!</definedName>
    <definedName name="InsPenRate2024">#REF!</definedName>
    <definedName name="InsValue2020">#REF!</definedName>
    <definedName name="InsValue2021">#REF!</definedName>
    <definedName name="InsValue2022">#REF!</definedName>
    <definedName name="InsValue2023">#REF!</definedName>
    <definedName name="InsValue2024">#REF!</definedName>
    <definedName name="InterestRateonLoan">#REF!</definedName>
    <definedName name="IQ_ADDIN" hidden="1">"AUTO"</definedName>
    <definedName name="IQ_AE_BR" hidden="1">"c10"</definedName>
    <definedName name="IQ_AP_BR" hidden="1">"c34"</definedName>
    <definedName name="IQ_AR_BR" hidden="1">"c41"</definedName>
    <definedName name="IQ_ASSET_WRITEDOWN_BR" hidden="1">"c50"</definedName>
    <definedName name="IQ_ASSET_WRITEDOWN_CF_BR" hidden="1">"c53"</definedName>
    <definedName name="IQ_AVG_PRICE_TARGET" hidden="1">"c82"</definedName>
    <definedName name="IQ_CAPEX_BR" hidden="1">"c111"</definedName>
    <definedName name="IQ_CH">110000</definedName>
    <definedName name="IQ_CHANGE_AP_BR" hidden="1">"c135"</definedName>
    <definedName name="IQ_CHANGE_AR_BR" hidden="1">"c142"</definedName>
    <definedName name="IQ_CHANGE_OTHER_WORK_CAP_BR" hidden="1">"c154"</definedName>
    <definedName name="IQ_COMMERCIAL_DOM" hidden="1">"c177"</definedName>
    <definedName name="IQ_COMMERCIAL_MORT" hidden="1">"c179"</definedName>
    <definedName name="IQ_COMMON_APIC_BR" hidden="1">"c185"</definedName>
    <definedName name="IQ_COMMON_ISSUED_BR" hidden="1">"c199"</definedName>
    <definedName name="IQ_COMMON_REP_BR" hidden="1">"c208"</definedName>
    <definedName name="IQ_CQ">5000</definedName>
    <definedName name="IQ_CURRENCY_GAIN_BR" hidden="1">"c236"</definedName>
    <definedName name="IQ_CURRENT_PORT_DEBT_BR" hidden="1">"c1567"</definedName>
    <definedName name="IQ_CY">10000</definedName>
    <definedName name="IQ_DA_BR" hidden="1">"c248"</definedName>
    <definedName name="IQ_DA_CF_BR" hidden="1">"c251"</definedName>
    <definedName name="IQ_DA_SUPPL_BR" hidden="1">"c260"</definedName>
    <definedName name="IQ_DA_SUPPL_CF_BR" hidden="1">"c263"</definedName>
    <definedName name="IQ_DAILY">500000</definedName>
    <definedName name="IQ_DEF_AMORT_BR" hidden="1">"c278"</definedName>
    <definedName name="IQ_DEF_CHARGES_BR" hidden="1">"c288"</definedName>
    <definedName name="IQ_DEF_CHARGES_LT_BR" hidden="1">"c294"</definedName>
    <definedName name="IQ_DEF_TAX_ASSET_LT_BR" hidden="1">"c304"</definedName>
    <definedName name="IQ_DEF_TAX_LIAB_LT_BR" hidden="1">"c315"</definedName>
    <definedName name="IQ_DNTM" hidden="1">700000</definedName>
    <definedName name="IQ_EBT_BR" hidden="1">"c378"</definedName>
    <definedName name="IQ_EBT_EXCL_BR" hidden="1">"c381"</definedName>
    <definedName name="IQ_EST_EPS_SURPRISE" hidden="1">"c1635"</definedName>
    <definedName name="IQ_EXTRA_ACC_ITEMS_BR" hidden="1">"c412"</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GAIN_ASSETS_BR" hidden="1">"c454"</definedName>
    <definedName name="IQ_GAIN_ASSETS_CF_BR" hidden="1">"c457"</definedName>
    <definedName name="IQ_GAIN_ASSETS_REV_BR" hidden="1">"c474"</definedName>
    <definedName name="IQ_GAIN_INVEST_BR" hidden="1">"c1464"</definedName>
    <definedName name="IQ_GAIN_INVEST_CF_BR" hidden="1">"c482"</definedName>
    <definedName name="IQ_GAIN_INVEST_REV_BR" hidden="1">"c496"</definedName>
    <definedName name="IQ_GW_AMORT_BR" hidden="1">"c532"</definedName>
    <definedName name="IQ_GW_INTAN_AMORT_BR" hidden="1">"c1470"</definedName>
    <definedName name="IQ_GW_INTAN_AMORT_CF_BR" hidden="1">"c1473"</definedName>
    <definedName name="IQ_INC_EQUITY_BR" hidden="1">"c550"</definedName>
    <definedName name="IQ_INS_SETTLE_BR" hidden="1">"c572"</definedName>
    <definedName name="IQ_INT_EXP_BR" hidden="1">"c586"</definedName>
    <definedName name="IQ_INT_INC_BR" hidden="1">"c593"</definedName>
    <definedName name="IQ_INVEST_LOANS_CF_BR" hidden="1">"c630"</definedName>
    <definedName name="IQ_INVEST_SECURITY_CF_BR" hidden="1">"c639"</definedName>
    <definedName name="IQ_LATESTK" hidden="1">1000</definedName>
    <definedName name="IQ_LATESTQ" hidden="1">500</definedName>
    <definedName name="IQ_LEGAL_SETTLE_BR" hidden="1">"c649"</definedName>
    <definedName name="IQ_LOANS_CF_BR" hidden="1">"c661"</definedName>
    <definedName name="IQ_LT_DEBT_BR" hidden="1">"c676"</definedName>
    <definedName name="IQ_LT_DEBT_ISSUED_BR" hidden="1">"c683"</definedName>
    <definedName name="IQ_LT_DEBT_REPAID_BR" hidden="1">"c691"</definedName>
    <definedName name="IQ_LT_INVEST_BR" hidden="1">"c698"</definedName>
    <definedName name="IQ_LTM">2000</definedName>
    <definedName name="IQ_LTMMONTH" hidden="1">120000</definedName>
    <definedName name="IQ_MERGER_BR" hidden="1">"c715"</definedName>
    <definedName name="IQ_MERGER_RESTRUCTURE_BR" hidden="1">"c721"</definedName>
    <definedName name="IQ_MINORITY_INTEREST_BR" hidden="1">"c729"</definedName>
    <definedName name="IQ_MONTH">15000</definedName>
    <definedName name="IQ_MTD" hidden="1">800000</definedName>
    <definedName name="IQ_NAMES_REVISION_DATE_" hidden="1">"01/14/2021 04:00:13"</definedName>
    <definedName name="IQ_NAV_ACT_OR_EST" hidden="1">"c2225"</definedName>
    <definedName name="IQ_NET_DEBT_ISSUED_BR" hidden="1">"c753"</definedName>
    <definedName name="IQ_NET_INT_INC_BR" hidden="1">"c765"</definedName>
    <definedName name="IQ_NTM">6000</definedName>
    <definedName name="IQ_OG_TOTAL_OIL_PRODUCTON" hidden="1">"c2059"</definedName>
    <definedName name="IQ_OPER_INC_BR" hidden="1">"c850"</definedName>
    <definedName name="IQ_OTHER_ASSETS_BR" hidden="1">"c862"</definedName>
    <definedName name="IQ_OTHER_CA_SUPPL_BR" hidden="1">"c871"</definedName>
    <definedName name="IQ_OTHER_CL_SUPPL_BR" hidden="1">"c880"</definedName>
    <definedName name="IQ_OTHER_EQUITY_BR" hidden="1">"c888"</definedName>
    <definedName name="IQ_OTHER_FINANCE_ACT_BR" hidden="1">"c895"</definedName>
    <definedName name="IQ_OTHER_FINANCE_ACT_SUPPL_BR" hidden="1">"c901"</definedName>
    <definedName name="IQ_OTHER_INTAN_BR" hidden="1">"c909"</definedName>
    <definedName name="IQ_OTHER_INVEST_ACT_BR" hidden="1">"c918"</definedName>
    <definedName name="IQ_OTHER_INVEST_ACT_SUPPL_BR" hidden="1">"c924"</definedName>
    <definedName name="IQ_OTHER_LIAB_BR" hidden="1">"c932"</definedName>
    <definedName name="IQ_OTHER_LIAB_LT_BR" hidden="1">"c937"</definedName>
    <definedName name="IQ_OTHER_LT_ASSETS_BR" hidden="1">"c948"</definedName>
    <definedName name="IQ_OTHER_NON_OPER_EXP_BR" hidden="1">"c957"</definedName>
    <definedName name="IQ_OTHER_NON_OPER_EXP_SUPPL_BR" hidden="1">"c962"</definedName>
    <definedName name="IQ_OTHER_OPER_ACT_BR" hidden="1">"c985"</definedName>
    <definedName name="IQ_OTHER_OPER_BR" hidden="1">"c990"</definedName>
    <definedName name="IQ_OTHER_OPER_SUPPL_BR" hidden="1">"c994"</definedName>
    <definedName name="IQ_OTHER_OPER_TOT_BR" hidden="1">"c1000"</definedName>
    <definedName name="IQ_OTHER_REV_BR" hidden="1">"c1011"</definedName>
    <definedName name="IQ_OTHER_REV_SUPPL_BR" hidden="1">"c1016"</definedName>
    <definedName name="IQ_OTHER_UNUSUAL_BR" hidden="1">"c1561"</definedName>
    <definedName name="IQ_OTHER_UNUSUAL_SUPPL_BR" hidden="1">"c1496"</definedName>
    <definedName name="IQ_PC_WRITTEN" hidden="1">"c1027"</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REF_ISSUED_BR" hidden="1">"c1047"</definedName>
    <definedName name="IQ_PREF_OTHER_BR" hidden="1">"c1055"</definedName>
    <definedName name="IQ_PREF_REP_BR" hidden="1">"c1062"</definedName>
    <definedName name="IQ_QTD" hidden="1">750000</definedName>
    <definedName name="IQ_RESIDENTIAL_LOANS" hidden="1">"c1102"</definedName>
    <definedName name="IQ_RESTRUCTURE_BR" hidden="1">"c1106"</definedName>
    <definedName name="IQ_RETURN_ASSETS_BROK" hidden="1">"c1115"</definedName>
    <definedName name="IQ_RETURN_EQUITY_BROK" hidden="1">"c1120"</definedName>
    <definedName name="IQ_SALE_INTAN_CF_BR" hidden="1">"c1133"</definedName>
    <definedName name="IQ_SALE_PPE_CF_BR" hidden="1">"c1139"</definedName>
    <definedName name="IQ_SALE_REAL_ESTATE_CF_BR" hidden="1">"c1145"</definedName>
    <definedName name="IQ_SHAREOUTSTANDING" hidden="1">"c1347"</definedName>
    <definedName name="IQ_SPECIAL_DIV_CF_BR" hidden="1">"c1171"</definedName>
    <definedName name="IQ_ST_DEBT_BR" hidden="1">"c1178"</definedName>
    <definedName name="IQ_ST_DEBT_ISSUED_BR" hidden="1">"c1183"</definedName>
    <definedName name="IQ_ST_DEBT_REPAID_BR" hidden="1">"c1191"</definedName>
    <definedName name="IQ_TODAY" hidden="1">0</definedName>
    <definedName name="IQ_TOTAL_AR_BR" hidden="1">"c1231"</definedName>
    <definedName name="IQ_TOTAL_DEBT_ISSUED_BR" hidden="1">"c1253"</definedName>
    <definedName name="IQ_TOTAL_DEBT_REPAID_BR" hidden="1">"c1260"</definedName>
    <definedName name="IQ_TOTAL_LIAB_BR" hidden="1">"c1278"</definedName>
    <definedName name="IQ_TOTAL_OPER_EXP_BR" hidden="1">"c1284"</definedName>
    <definedName name="IQ_TOTAL_PENSION_OBLIGATION" hidden="1">"c1292"</definedName>
    <definedName name="IQ_TOTAL_REV_BR" hidden="1">"c1303"</definedName>
    <definedName name="IQ_TREASURY_OTHER_EQUITY_BR" hidden="1">"c1314"</definedName>
    <definedName name="IQ_UNEARN_REV_CURRENT_BR" hidden="1">"c1324"</definedName>
    <definedName name="IQ_WEEK">50000</definedName>
    <definedName name="IQ_YTD">3000</definedName>
    <definedName name="IQ_YTDMONTH" hidden="1">130000</definedName>
    <definedName name="jdstr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dstr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jj"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jj"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jjjj"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jjjj"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rtry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rtry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swt4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swt4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_1">#N/A</definedName>
    <definedName name="K_2">#N/A</definedName>
    <definedName name="kdy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dy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etqua" localSheetId="0">#REF!</definedName>
    <definedName name="ketqua">#REF!</definedName>
    <definedName name="ketyrty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etyrty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HGDFKHGFJKGF" hidden="1">#REF!</definedName>
    <definedName name="khlctt">#REF!</definedName>
    <definedName name="kho">#REF!</definedName>
    <definedName name="Khối" localSheetId="0" hidden="1">#REF!</definedName>
    <definedName name="Khối" hidden="1">#REF!</definedName>
    <definedName name="khu" localSheetId="0">#REF!</definedName>
    <definedName name="khu">#REF!</definedName>
    <definedName name="KilometersRun2020">#REF!</definedName>
    <definedName name="KilometersRun2021">#REF!</definedName>
    <definedName name="KilometersRun2022">#REF!</definedName>
    <definedName name="KilometersRun2023">#REF!</definedName>
    <definedName name="KilometersRun2024">#REF!</definedName>
    <definedName name="kjrtr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jrtr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kk"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kk"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kkkk"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kkkk"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mcp">#REF!</definedName>
    <definedName name="kset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set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yut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yut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41a" localSheetId="0">#REF!</definedName>
    <definedName name="l41a">#REF!</definedName>
    <definedName name="lcbthitruong" localSheetId="0">#REF!</definedName>
    <definedName name="lcbthitruong">#REF!</definedName>
    <definedName name="Legal_F">#REF!</definedName>
    <definedName name="limcount" hidden="1">2</definedName>
    <definedName name="ListOffset" hidden="1">1</definedName>
    <definedName name="lll"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l"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lll"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lll"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ui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ui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oai">#REF!</definedName>
    <definedName name="LoaiKH">#REF!</definedName>
    <definedName name="loaikho">#REF!</definedName>
    <definedName name="Loc_code_act">#REF!</definedName>
    <definedName name="Loc_code_F">#REF!</definedName>
    <definedName name="Loc_KPI_act">#REF!</definedName>
    <definedName name="loc_KPI_bud">#REF!</definedName>
    <definedName name="Loc_name_act">#REF!</definedName>
    <definedName name="Loc_name_F">#REF!</definedName>
    <definedName name="local">#REF!</definedName>
    <definedName name="Loyalty">#REF!</definedName>
    <definedName name="LoyOVH">#REF!</definedName>
    <definedName name="ltyuty"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tyuty"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uongcodinhtt" localSheetId="0">#REF!</definedName>
    <definedName name="luongcodinhtt">#REF!</definedName>
    <definedName name="luongtoithieuvung" localSheetId="0">#REF!</definedName>
    <definedName name="luongtoithieuvung">#REF!</definedName>
    <definedName name="MaCoSo">#REF!</definedName>
    <definedName name="MaintExp2020">#REF!</definedName>
    <definedName name="MaintExp2021">#REF!</definedName>
    <definedName name="MaintExp2022">#REF!</definedName>
    <definedName name="MaintExp2023">#REF!</definedName>
    <definedName name="MaintExp2024">#REF!</definedName>
    <definedName name="MaintExpQ12020">#REF!</definedName>
    <definedName name="MaintExpQ12021">#REF!</definedName>
    <definedName name="MaintExpQ12022">#REF!</definedName>
    <definedName name="MaintExpQ12023">#REF!</definedName>
    <definedName name="MaintExpQ12024">#REF!</definedName>
    <definedName name="MaintExpQ22020">#REF!</definedName>
    <definedName name="MaintExpQ22021">#REF!</definedName>
    <definedName name="MaintExpQ22022">#REF!</definedName>
    <definedName name="MaintExpQ22023">#REF!</definedName>
    <definedName name="MaintExpQ22024">#REF!</definedName>
    <definedName name="MaintExpQ32020">#REF!</definedName>
    <definedName name="MaintExpQ32021">#REF!</definedName>
    <definedName name="MaintExpQ32022">#REF!</definedName>
    <definedName name="MaintExpQ32023">#REF!</definedName>
    <definedName name="MaintExpQ32024">#REF!</definedName>
    <definedName name="MaintExpQ42020">#REF!</definedName>
    <definedName name="MaintExpQ42021">#REF!</definedName>
    <definedName name="MaintExpQ42022">#REF!</definedName>
    <definedName name="MaintExpQ42023">#REF!</definedName>
    <definedName name="MaintExpQ42024">#REF!</definedName>
    <definedName name="makhncc">#REF!</definedName>
    <definedName name="makhnccco">#REF!</definedName>
    <definedName name="makhnccno">#REF!</definedName>
    <definedName name="makho">#REF!</definedName>
    <definedName name="malctt">#REF!</definedName>
    <definedName name="MaNhomKMCP">#REF!</definedName>
    <definedName name="MaNhomTien">#REF!</definedName>
    <definedName name="MaNhomTK">#REF!</definedName>
    <definedName name="ManuCom2020">#REF!</definedName>
    <definedName name="ManuCom2021">#REF!</definedName>
    <definedName name="ManuCom2022">#REF!</definedName>
    <definedName name="ManuCom2023">#REF!</definedName>
    <definedName name="ManuCom2024">#REF!</definedName>
    <definedName name="ManuComQ12020">#REF!</definedName>
    <definedName name="ManuComQ12021">#REF!</definedName>
    <definedName name="ManuComQ12022">#REF!</definedName>
    <definedName name="ManuComQ12023">#REF!</definedName>
    <definedName name="ManuComQ12024">#REF!</definedName>
    <definedName name="ManuComQ22020">#REF!</definedName>
    <definedName name="ManuComQ22021">#REF!</definedName>
    <definedName name="ManuComQ22022">#REF!</definedName>
    <definedName name="ManuComQ22023">#REF!</definedName>
    <definedName name="ManuComQ22024">#REF!</definedName>
    <definedName name="ManuComQ32020">#REF!</definedName>
    <definedName name="ManuComQ32021">#REF!</definedName>
    <definedName name="ManuComQ32022">#REF!</definedName>
    <definedName name="ManuComQ32023">#REF!</definedName>
    <definedName name="ManuComQ32024">#REF!</definedName>
    <definedName name="ManuComQ42020">#REF!</definedName>
    <definedName name="ManuComQ42021">#REF!</definedName>
    <definedName name="ManuComQ42022">#REF!</definedName>
    <definedName name="ManuComQ42023">#REF!</definedName>
    <definedName name="ManuComQ42024">#REF!</definedName>
    <definedName name="ManuPenRate2020">#REF!</definedName>
    <definedName name="ManuPenRate2021">#REF!</definedName>
    <definedName name="ManuPenRate2022">#REF!</definedName>
    <definedName name="ManuPenRate2023">#REF!</definedName>
    <definedName name="ManuPenRate2024">#REF!</definedName>
    <definedName name="Marketing">#REF!</definedName>
    <definedName name="MaThang">#REF!</definedName>
    <definedName name="matrandcluong" localSheetId="0">#REF!</definedName>
    <definedName name="matrandcluong">#REF!</definedName>
    <definedName name="Mavtnx">#REF!</definedName>
    <definedName name="MEWarning" hidden="1">0</definedName>
    <definedName name="Million">#REF!</definedName>
    <definedName name="mmmmm"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mmmmm"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Month">#REF!</definedName>
    <definedName name="Month_act">#REF!</definedName>
    <definedName name="Month_CF">#REF!</definedName>
    <definedName name="Month_F">#REF!</definedName>
    <definedName name="Month_KPI_act">#REF!</definedName>
    <definedName name="month_KPI_bud">#REF!</definedName>
    <definedName name="month_staff">#REF!</definedName>
    <definedName name="Month_trip">#REF!</definedName>
    <definedName name="MonthList">#REF!</definedName>
    <definedName name="MonthsPaid" localSheetId="0">#REF!</definedName>
    <definedName name="MonthsPaid">#REF!</definedName>
    <definedName name="mst">#REF!</definedName>
    <definedName name="mucdich" localSheetId="0">#REF!</definedName>
    <definedName name="mucdich">#REF!</definedName>
    <definedName name="mvbr">#REF!</definedName>
    <definedName name="n"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am" localSheetId="0">{"Book1"}</definedName>
    <definedName name="nam">{"Book1"}</definedName>
    <definedName name="Name">#REF!</definedName>
    <definedName name="ndfd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dfd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dfdz"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dfdz"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gay1">#REF!</definedName>
    <definedName name="ngay2">#REF!</definedName>
    <definedName name="ngayct">#REF!</definedName>
    <definedName name="ngaygs">#REF!</definedName>
    <definedName name="ngaynx">#REF!</definedName>
    <definedName name="ngoclan210779" localSheetId="0">{"Book1"}</definedName>
    <definedName name="ngoclan210779">{"Book1"}</definedName>
    <definedName name="NhanSu">#REF!</definedName>
    <definedName name="nnn" localSheetId="0" hidden="1">#REF!</definedName>
    <definedName name="nnn" hidden="1">#REF!</definedName>
    <definedName name="nodky">#REF!</definedName>
    <definedName name="noidungcongviec" localSheetId="0">#REF!</definedName>
    <definedName name="noidungcongviec">#REF!</definedName>
    <definedName name="none" hidden="1">#REF!</definedName>
    <definedName name="nonx">#REF!</definedName>
    <definedName name="nstgs"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stgs"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oo"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oo"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oooo"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oooo"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pexRateInc2021">#REF!</definedName>
    <definedName name="OpexRateInc2022">#REF!</definedName>
    <definedName name="oppp" localSheetId="0" hidden="1">{#N/A,#N/A,FALSE,"Gesamt";#N/A,#N/A,FALSE,"Ree KG";#N/A,#N/A,FALSE,"Ree Inter";#N/A,#N/A,FALSE,"BTM";#N/A,#N/A,FALSE,"GmbH";#N/A,#N/A,FALSE,"Sonstige"}</definedName>
    <definedName name="oppp" hidden="1">{#N/A,#N/A,FALSE,"Gesamt";#N/A,#N/A,FALSE,"Ree KG";#N/A,#N/A,FALSE,"Ree Inter";#N/A,#N/A,FALSE,"BTM";#N/A,#N/A,FALSE,"GmbH";#N/A,#N/A,FALSE,"Sonstige"}</definedName>
    <definedName name="OpsExpQ12020">#REF!</definedName>
    <definedName name="OpsExpQ12021">#REF!</definedName>
    <definedName name="OpsExpQ12022">#REF!</definedName>
    <definedName name="OpsExpQ12023">#REF!</definedName>
    <definedName name="OpsExpQ12024">#REF!</definedName>
    <definedName name="OpsExpQ22020">#REF!</definedName>
    <definedName name="OpsExpQ22021">#REF!</definedName>
    <definedName name="OpsExpQ22022">#REF!</definedName>
    <definedName name="OpsExpQ22023">#REF!</definedName>
    <definedName name="OpsExpQ22024">#REF!</definedName>
    <definedName name="OpsExpQ32020">#REF!</definedName>
    <definedName name="OpsExpQ32021">#REF!</definedName>
    <definedName name="OpsExpQ32022">#REF!</definedName>
    <definedName name="OpsExpQ32023">#REF!</definedName>
    <definedName name="OpsExpQ32024">#REF!</definedName>
    <definedName name="OpsExpQ42020">#REF!</definedName>
    <definedName name="OpsExpQ42021">#REF!</definedName>
    <definedName name="OpsExpQ42022">#REF!</definedName>
    <definedName name="OpsExpQ42023">#REF!</definedName>
    <definedName name="OpsExpQ42024">#REF!</definedName>
    <definedName name="OrderTable" hidden="1">#REF!</definedName>
    <definedName name="P" hidden="1">{#N/A,"DR",FALSE,"increm pf";#N/A,"MAMSI",FALSE,"increm pf";#N/A,"MAXI",FALSE,"increm pf";#N/A,"PCAM",FALSE,"increm pf";#N/A,"PHSV",FALSE,"increm pf";#N/A,"SIE",FALSE,"increm pf"}</definedName>
    <definedName name="PercentComplete" localSheetId="0">[0]!PercentCompleteBeyond*[0]!PeriodInPlan</definedName>
    <definedName name="PercentComplete">PercentCompleteBeyond*PeriodInPlan</definedName>
    <definedName name="PercentCompleteBeyond" hidden="1">(#REF!=MEDIAN(#REF!,#REF!,#REF!+#REF!)*(#REF!&gt;0))*((#REF!&lt;(INT(#REF!+#REF!*#REF!)))+(#REF!=#REF!))*(#REF!&gt;0)</definedName>
    <definedName name="PeriodInActual">#REF!=MEDIAN(#REF!,#REF!,#REF!+#REF!-1)</definedName>
    <definedName name="PeriodInPlan" hidden="1">#REF!=MEDIAN(#REF!,#REF!,#REF!+#REF!-1)</definedName>
    <definedName name="PhanBoKhauHao">#REF!</definedName>
    <definedName name="PhucapThamnien" localSheetId="0">#REF!</definedName>
    <definedName name="PhucapThamnien">#REF!</definedName>
    <definedName name="picture1" localSheetId="0">#REF!</definedName>
    <definedName name="picture1">#REF!</definedName>
    <definedName name="picture2" localSheetId="0">#REF!</definedName>
    <definedName name="picture2">#REF!</definedName>
    <definedName name="picture23" localSheetId="0">INDEX(#REF!,MATCH(#REF!,#REF!))</definedName>
    <definedName name="picture23">INDEX(#REF!,MATCH(#REF!,#REF!))</definedName>
    <definedName name="PL" localSheetId="0">OFFSET(#REF!,0,0,COUNTA(#REF!),1)</definedName>
    <definedName name="PL">OFFSET(#REF!,0,0,COUNTA(#REF!),1)</definedName>
    <definedName name="Plan" localSheetId="0">PeriodInPlan*(#REF!&gt;0)</definedName>
    <definedName name="Plan">PeriodInPlan*(#REF!&gt;0)</definedName>
    <definedName name="PLLYDOTUCHOI" localSheetId="0">#REF!</definedName>
    <definedName name="PLLYDOTUCHOI">#REF!</definedName>
    <definedName name="poo"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oo"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pp"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pp"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pppp"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pppp"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R" hidden="1">{"'Sheet1'!$L$16"}</definedName>
    <definedName name="prd" hidden="1">{"Netbacks",#N/A,FALSE,"Netbacks"}</definedName>
    <definedName name="prd." hidden="1">{"IS Years",#N/A,FALSE,"Income Statement";"IS Q96",#N/A,FALSE,"Income Statement";"IS Q97",#N/A,FALSE,"Income Statement";"Corporate",#N/A,FALSE,"Corporate Profile";"Netbacks",#N/A,FALSE,"Netbacks"}</definedName>
    <definedName name="_xlnm.Print_Area" localSheetId="4">'Saleplan&amp;PnL'!$A$1:$AO$33</definedName>
    <definedName name="_xlnm.Print_Area" localSheetId="3">SAP_Speadsheet!$A$1:$BF$223</definedName>
    <definedName name="ProdForm" hidden="1">#REF!</definedName>
    <definedName name="ProfitSharingRatio2020">#REF!</definedName>
    <definedName name="ProfitSharingRatio2021">#REF!</definedName>
    <definedName name="ProfitSharingRatio2022">#REF!</definedName>
    <definedName name="ProfitSharingRatio2023">#REF!</definedName>
    <definedName name="ProfitSharingRatio2024">#REF!</definedName>
    <definedName name="program" localSheetId="0">#REF!</definedName>
    <definedName name="program">#REF!</definedName>
    <definedName name="project">#REF!</definedName>
    <definedName name="project_cost">#REF!</definedName>
    <definedName name="PrSAp3">#REF!</definedName>
    <definedName name="PrSpr">#REF!</definedName>
    <definedName name="PrSUM">#REF!</definedName>
    <definedName name="ptsSpr">#REF!</definedName>
    <definedName name="purpose" localSheetId="0">#REF!</definedName>
    <definedName name="purpose">#REF!</definedName>
    <definedName name="q" localSheetId="0" hidden="1">#REF!</definedName>
    <definedName name="q" hidden="1">#REF!</definedName>
    <definedName name="Q1FY2020">#REF!</definedName>
    <definedName name="Q1FY2021">#REF!</definedName>
    <definedName name="Q1FY2022">#REF!</definedName>
    <definedName name="Q1FY2023">#REF!</definedName>
    <definedName name="Q1FY2024">#REF!</definedName>
    <definedName name="Q2FY2020">#REF!</definedName>
    <definedName name="Q2FY2021">#REF!</definedName>
    <definedName name="Q2FY2022">#REF!</definedName>
    <definedName name="Q2FY2023">#REF!</definedName>
    <definedName name="Q2FY2024">#REF!</definedName>
    <definedName name="Q3FY2020">#REF!</definedName>
    <definedName name="Q3FY2021">#REF!</definedName>
    <definedName name="Q3FY2022">#REF!</definedName>
    <definedName name="Q3FY2023">#REF!</definedName>
    <definedName name="Q3FY2024">#REF!</definedName>
    <definedName name="Q4FY2020">#REF!</definedName>
    <definedName name="Q4FY2021">#REF!</definedName>
    <definedName name="Q4FY2022">#REF!</definedName>
    <definedName name="Q4FY2023">#REF!</definedName>
    <definedName name="Q4FY2024">#REF!</definedName>
    <definedName name="qiyf" localSheetId="0" hidden="1">{0}</definedName>
    <definedName name="qiyf" hidden="1">{0}</definedName>
    <definedName name="qqq"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qq"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qqqq"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qqqq"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uy">#REF!</definedName>
    <definedName name="Rate" localSheetId="0">#REF!</definedName>
    <definedName name="Rate">#REF!</definedName>
    <definedName name="rawdata" localSheetId="0">#REF!</definedName>
    <definedName name="rawdata">#REF!</definedName>
    <definedName name="RCArea" hidden="1">#REF!</definedName>
    <definedName name="REFSITE" localSheetId="0">#REF!</definedName>
    <definedName name="REFSITE">#REF!</definedName>
    <definedName name="refuse" localSheetId="0">#REF!</definedName>
    <definedName name="refuse">#REF!</definedName>
    <definedName name="Region" localSheetId="0">#REF!</definedName>
    <definedName name="Region">#REF!</definedName>
    <definedName name="Region_Business_Overview" localSheetId="0">#REF!</definedName>
    <definedName name="Region_Business_Overview">#REF!</definedName>
    <definedName name="RentQ12020">#REF!</definedName>
    <definedName name="RentQ12021">#REF!</definedName>
    <definedName name="RentQ12022">#REF!</definedName>
    <definedName name="RentQ12023">#REF!</definedName>
    <definedName name="RentQ12024">#REF!</definedName>
    <definedName name="RentQ22020">#REF!</definedName>
    <definedName name="RentQ22021">#REF!</definedName>
    <definedName name="RentQ22022">#REF!</definedName>
    <definedName name="RentQ22023">#REF!</definedName>
    <definedName name="RentQ22024">#REF!</definedName>
    <definedName name="RentQ32020">#REF!</definedName>
    <definedName name="RentQ32021">#REF!</definedName>
    <definedName name="RentQ32022">#REF!</definedName>
    <definedName name="RentQ32023">#REF!</definedName>
    <definedName name="RentQ32024">#REF!</definedName>
    <definedName name="RentQ42020">#REF!</definedName>
    <definedName name="RentQ42021">#REF!</definedName>
    <definedName name="RentQ42022">#REF!</definedName>
    <definedName name="RentQ42023">#REF!</definedName>
    <definedName name="RentQ42024">#REF!</definedName>
    <definedName name="RepairCost">#REF!</definedName>
    <definedName name="Report_act">#REF!</definedName>
    <definedName name="Report_F">#REF!</definedName>
    <definedName name="ReportList">#REF!</definedName>
    <definedName name="ReportType">#REF!</definedName>
    <definedName name="result" localSheetId="0">#REF!</definedName>
    <definedName name="result">#REF!</definedName>
    <definedName name="RevShareRatioBeKIACo2020">#REF!</definedName>
    <definedName name="RevShareRatioBeKIACo2021">#REF!</definedName>
    <definedName name="RevShareRatioBeKIACo2022">#REF!</definedName>
    <definedName name="RevShareRatioBeKIACo2023">#REF!</definedName>
    <definedName name="RevShareRatioBeKIACo2024">#REF!</definedName>
    <definedName name="rfwerw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fwerw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PTYEAR" localSheetId="0">#REF!</definedName>
    <definedName name="RPTYEAR">#REF!</definedName>
    <definedName name="rr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r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rrr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rrr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strsw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strsw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tr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tr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54er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54er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alQ12020">#REF!</definedName>
    <definedName name="SalQ12021">#REF!</definedName>
    <definedName name="SalQ12022">#REF!</definedName>
    <definedName name="SalQ12023">#REF!</definedName>
    <definedName name="SalQ12024">#REF!</definedName>
    <definedName name="SalQ22020">#REF!</definedName>
    <definedName name="SalQ22021">#REF!</definedName>
    <definedName name="SalQ22022">#REF!</definedName>
    <definedName name="SalQ22023">#REF!</definedName>
    <definedName name="SalQ22024">#REF!</definedName>
    <definedName name="SalQ32020">#REF!</definedName>
    <definedName name="SalQ32021">#REF!</definedName>
    <definedName name="SalQ32022">#REF!</definedName>
    <definedName name="SalQ32023">#REF!</definedName>
    <definedName name="SalQ32024">#REF!</definedName>
    <definedName name="SalQ42020">#REF!</definedName>
    <definedName name="SalQ42021">#REF!</definedName>
    <definedName name="SalQ42022">#REF!</definedName>
    <definedName name="SalQ42023">#REF!</definedName>
    <definedName name="SalQ42024">#REF!</definedName>
    <definedName name="SalvageValue">#REF!</definedName>
    <definedName name="SANPHAM" localSheetId="0">#REF!</definedName>
    <definedName name="SANPHAM">#REF!</definedName>
    <definedName name="sbrtrt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brtrt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BRUT">#REF!</definedName>
    <definedName name="SBRUT1">#REF!</definedName>
    <definedName name="sda" localSheetId="0">#REF!</definedName>
    <definedName name="sda">#REF!</definedName>
    <definedName name="sdas" hidden="1">{"Total",#N/A,FALSE,"Six Fields";"PDP",#N/A,FALSE,"Six Fields";"PNP",#N/A,FALSE,"Six Fields";"PUD",#N/A,FALSE,"Six Fields";"Prob",#N/A,FALSE,"Six Fields"}</definedName>
    <definedName name="sdgfdh" localSheetId="0" hidden="1">{"'Sheet1'!$L$16"}</definedName>
    <definedName name="sdgfdh" hidden="1">{"'Sheet1'!$L$16"}</definedName>
    <definedName name="sdhrt" localSheetId="0" hidden="1">{"'Sheet1'!$L$16"}</definedName>
    <definedName name="sdhrt" hidden="1">{"'Sheet1'!$L$16"}</definedName>
    <definedName name="sencount" hidden="1">2</definedName>
    <definedName name="seyrt" localSheetId="0" hidden="1">{"'Sheet1'!$L$16"}</definedName>
    <definedName name="seyrt" hidden="1">{"'Sheet1'!$L$16"}</definedName>
    <definedName name="sgfhg" localSheetId="0" hidden="1">{"'Sheet1'!$L$16"}</definedName>
    <definedName name="sgfhg" hidden="1">{"'Sheet1'!$L$16"}</definedName>
    <definedName name="sgfhgf" localSheetId="0" hidden="1">{"Offgrid",#N/A,FALSE,"OFFGRID";"Region",#N/A,FALSE,"REGION";"Offgrid -2",#N/A,FALSE,"OFFGRID";"WTP",#N/A,FALSE,"WTP";"WTP -2",#N/A,FALSE,"WTP";"Project",#N/A,FALSE,"PROJECT";"Summary -2",#N/A,FALSE,"SUMMARY"}</definedName>
    <definedName name="sgfhgf" hidden="1">{"Offgrid",#N/A,FALSE,"OFFGRID";"Region",#N/A,FALSE,"REGION";"Offgrid -2",#N/A,FALSE,"OFFGRID";"WTP",#N/A,FALSE,"WTP";"WTP -2",#N/A,FALSE,"WTP";"Project",#N/A,FALSE,"PROJECT";"Summary -2",#N/A,FALSE,"SUMMARY"}</definedName>
    <definedName name="sghfhf" localSheetId="0" hidden="1">{"Offgrid",#N/A,FALSE,"OFFGRID";"Region",#N/A,FALSE,"REGION";"Offgrid -2",#N/A,FALSE,"OFFGRID";"WTP",#N/A,FALSE,"WTP";"WTP -2",#N/A,FALSE,"WTP";"Project",#N/A,FALSE,"PROJECT";"Summary -2",#N/A,FALSE,"SUMMARY"}</definedName>
    <definedName name="sghfhf" hidden="1">{"Offgrid",#N/A,FALSE,"OFFGRID";"Region",#N/A,FALSE,"REGION";"Offgrid -2",#N/A,FALSE,"OFFGRID";"WTP",#N/A,FALSE,"WTP";"WTP -2",#N/A,FALSE,"WTP";"Project",#N/A,FALSE,"PROJECT";"Summary -2",#N/A,FALSE,"SUMMARY"}</definedName>
    <definedName name="SheetList">#REF!</definedName>
    <definedName name="shfg" localSheetId="0" hidden="1">{#N/A,#N/A,FALSE,"Chi tiÆt"}</definedName>
    <definedName name="shfg" hidden="1">{#N/A,#N/A,FALSE,"Chi tiÆt"}</definedName>
    <definedName name="shfgb" localSheetId="0" hidden="1">{"'Sheet1'!$L$16"}</definedName>
    <definedName name="shfgb" hidden="1">{"'Sheet1'!$L$16"}</definedName>
    <definedName name="shfgf" localSheetId="0" hidden="1">{"'Sheet1'!$L$16"}</definedName>
    <definedName name="shfgf" hidden="1">{"'Sheet1'!$L$16"}</definedName>
    <definedName name="shfghgf" localSheetId="0" hidden="1">{#N/A,#N/A,FALSE,"Sheet1";#N/A,#N/A,FALSE,"Compliance";#N/A,#N/A,FALSE,"Liquidity Summary - Local";#N/A,#N/A,FALSE,"Liquidity Summary - Foreign";#N/A,#N/A,FALSE,"Interest Rate Risk - Local";#N/A,#N/A,FALSE,"Interest Rate Risk - Foreign";#N/A,#N/A,FALSE,"Sources &amp; Uses - Local";#N/A,#N/A,FALSE,"Sources &amp; Uses - Foreign";#N/A,#N/A,FALSE,"Forecast-USD";#N/A,#N/A,FALSE,"Forecast-VND"}</definedName>
    <definedName name="shfghgf" hidden="1">{#N/A,#N/A,FALSE,"Sheet1";#N/A,#N/A,FALSE,"Compliance";#N/A,#N/A,FALSE,"Liquidity Summary - Local";#N/A,#N/A,FALSE,"Liquidity Summary - Foreign";#N/A,#N/A,FALSE,"Interest Rate Risk - Local";#N/A,#N/A,FALSE,"Interest Rate Risk - Foreign";#N/A,#N/A,FALSE,"Sources &amp; Uses - Local";#N/A,#N/A,FALSE,"Sources &amp; Uses - Foreign";#N/A,#N/A,FALSE,"Forecast-USD";#N/A,#N/A,FALSE,"Forecast-VND"}</definedName>
    <definedName name="SHTK">#REF!</definedName>
    <definedName name="shyt" localSheetId="0" hidden="1">{"'Sheet1'!$L$16"}</definedName>
    <definedName name="shyt" hidden="1">{"'Sheet1'!$L$16"}</definedName>
    <definedName name="slnhap">#REF!</definedName>
    <definedName name="slton">#REF!</definedName>
    <definedName name="slxuat">#REF!</definedName>
    <definedName name="soct">#REF!</definedName>
    <definedName name="sohd">#REF!</definedName>
    <definedName name="sophieunx">#REF!</definedName>
    <definedName name="sotien">#REF!</definedName>
    <definedName name="SpecialPrice" hidden="1">#REF!</definedName>
    <definedName name="srt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rt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ss"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ss"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sss" localSheetId="0" hidden="1">{#N/A,#N/A,FALSE,"Gesamt";#N/A,#N/A,FALSE,"Ree KG";#N/A,#N/A,FALSE,"Ree Inter";#N/A,#N/A,FALSE,"BTM";#N/A,#N/A,FALSE,"GmbH";#N/A,#N/A,FALSE,"Sonstige"}</definedName>
    <definedName name="ssssss" hidden="1">{#N/A,#N/A,FALSE,"Gesamt";#N/A,#N/A,FALSE,"Ree KG";#N/A,#N/A,FALSE,"Ree Inter";#N/A,#N/A,FALSE,"BTM";#N/A,#N/A,FALSE,"GmbH";#N/A,#N/A,FALSE,"Sonstige"}</definedName>
    <definedName name="stt">#REF!</definedName>
    <definedName name="STTC">#REF!</definedName>
    <definedName name="sttnx">#REF!</definedName>
    <definedName name="sua" localSheetId="0" hidden="1">{"'Sheet1'!$L$16"}</definedName>
    <definedName name="sua" hidden="1">{"'Sheet1'!$L$16"}</definedName>
    <definedName name="SWITCH_EXPENSES">1</definedName>
    <definedName name="SWITCH_LIABILITIES">1</definedName>
    <definedName name="sy" hidden="1">#REF!</definedName>
    <definedName name="sygg" localSheetId="0" hidden="1">{"'Sheet1'!$L$16"}</definedName>
    <definedName name="sygg" hidden="1">{"'Sheet1'!$L$16"}</definedName>
    <definedName name="TABLE" localSheetId="0">#REF!</definedName>
    <definedName name="TABLE">#REF!</definedName>
    <definedName name="table_total_apps" localSheetId="0">data_total_Apps</definedName>
    <definedName name="table_total_apps">data_total_Apps</definedName>
    <definedName name="Task_Type">#REF!</definedName>
    <definedName name="tbl_ProdInfo" hidden="1">#REF!</definedName>
    <definedName name="TelQ12020">#REF!</definedName>
    <definedName name="TelQ12021">#REF!</definedName>
    <definedName name="TelQ12022">#REF!</definedName>
    <definedName name="TelQ12023">#REF!</definedName>
    <definedName name="TelQ12024">#REF!</definedName>
    <definedName name="TelQ22020">#REF!</definedName>
    <definedName name="TelQ22021">#REF!</definedName>
    <definedName name="TelQ22022">#REF!</definedName>
    <definedName name="TelQ22023">#REF!</definedName>
    <definedName name="TelQ22024">#REF!</definedName>
    <definedName name="TelQ32020">#REF!</definedName>
    <definedName name="TelQ32021">#REF!</definedName>
    <definedName name="TelQ32022">#REF!</definedName>
    <definedName name="TelQ32023">#REF!</definedName>
    <definedName name="TelQ32024">#REF!</definedName>
    <definedName name="TelQ42020">#REF!</definedName>
    <definedName name="TelQ42021">#REF!</definedName>
    <definedName name="TelQ42022">#REF!</definedName>
    <definedName name="TelQ42023">#REF!</definedName>
    <definedName name="TelQ42024">#REF!</definedName>
    <definedName name="tengs">#REF!</definedName>
    <definedName name="Tenkhncc">#REF!</definedName>
    <definedName name="tenkho">#REF!</definedName>
    <definedName name="tennx">#REF!</definedName>
    <definedName name="TextRefCopyRangeCount" hidden="1">29</definedName>
    <definedName name="tha" localSheetId="0" hidden="1">{"'Sheet1'!$L$16"}</definedName>
    <definedName name="tha" hidden="1">{"'Sheet1'!$L$16"}</definedName>
    <definedName name="thang10" localSheetId="0">{"Book1"}</definedName>
    <definedName name="thang10">{"Book1"}</definedName>
    <definedName name="ThanhLapBanDau">#REF!</definedName>
    <definedName name="ThucPham">#REF!</definedName>
    <definedName name="ThuePhiLePhi">#REF!</definedName>
    <definedName name="tienthue">#REF!</definedName>
    <definedName name="tkco">#REF!</definedName>
    <definedName name="TKKetChuyen">#REF!</definedName>
    <definedName name="TKLoaiBa">#REF!</definedName>
    <definedName name="TKLoaiBay">#REF!</definedName>
    <definedName name="TKLoaiBon">#REF!</definedName>
    <definedName name="TKLoaiHai">#REF!</definedName>
    <definedName name="TKLoaiMot">#REF!</definedName>
    <definedName name="TKLoaiNam">#REF!</definedName>
    <definedName name="TKLoaiSau">#REF!</definedName>
    <definedName name="TKLoaiTam">#REF!</definedName>
    <definedName name="TKMoKy">#REF!</definedName>
    <definedName name="tkno">#REF!</definedName>
    <definedName name="tkscai">#REF!</definedName>
    <definedName name="TO_DATE" localSheetId="0">#REF!</definedName>
    <definedName name="TO_DATE">#REF!</definedName>
    <definedName name="ToolsQ12020">#REF!</definedName>
    <definedName name="ToolsQ12021">#REF!</definedName>
    <definedName name="ToolsQ12022">#REF!</definedName>
    <definedName name="ToolsQ12023">#REF!</definedName>
    <definedName name="ToolsQ12024">#REF!</definedName>
    <definedName name="ToolsQ22020">#REF!</definedName>
    <definedName name="ToolsQ22021">#REF!</definedName>
    <definedName name="ToolsQ22022">#REF!</definedName>
    <definedName name="ToolsQ22023">#REF!</definedName>
    <definedName name="ToolsQ22024">#REF!</definedName>
    <definedName name="ToolsQ32020">#REF!</definedName>
    <definedName name="ToolsQ32021">#REF!</definedName>
    <definedName name="ToolsQ32022">#REF!</definedName>
    <definedName name="ToolsQ32023">#REF!</definedName>
    <definedName name="ToolsQ32024">#REF!</definedName>
    <definedName name="ToolsQ42020">#REF!</definedName>
    <definedName name="ToolsQ42021">#REF!</definedName>
    <definedName name="ToolsQ42022">#REF!</definedName>
    <definedName name="ToolsQ42023">#REF!</definedName>
    <definedName name="ToolsQ42024">#REF!</definedName>
    <definedName name="training">#REF!</definedName>
    <definedName name="Trạng_thái_khoản_vay_được_duyệt" localSheetId="0">#REF!</definedName>
    <definedName name="Trạng_thái_khoản_vay_được_duyệt">#REF!</definedName>
    <definedName name="trend1">#REF!</definedName>
    <definedName name="trend2">#REF!</definedName>
    <definedName name="trend3">#REF!</definedName>
    <definedName name="tstr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str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D" localSheetId="0">#REF!</definedName>
    <definedName name="TTD">#REF!</definedName>
    <definedName name="ttntt" localSheetId="0">#REF!</definedName>
    <definedName name="ttntt">#REF!</definedName>
    <definedName name="ttnx">#REF!</definedName>
    <definedName name="tt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tt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tt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uchoi" localSheetId="0">#REF!</definedName>
    <definedName name="tuchoi">#REF!</definedName>
    <definedName name="tyledieuchinhluong" localSheetId="0">#REF!</definedName>
    <definedName name="tyledieuchinhluong">#REF!</definedName>
    <definedName name="Type_detail">#REF!</definedName>
    <definedName name="u" hidden="1">{"CSheet",#N/A,FALSE,"C";"SmCap",#N/A,FALSE,"VAL1";"GulfCoast",#N/A,FALSE,"VAL1";"nav",#N/A,FALSE,"NAV";"Summary",#N/A,FALSE,"NAV"}</definedName>
    <definedName name="ư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ư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ư377" localSheetId="0">#REF!</definedName>
    <definedName name="ư377">#REF!</definedName>
    <definedName name="ủ8" localSheetId="0">#REF!</definedName>
    <definedName name="ủ8">#REF!</definedName>
    <definedName name="uet5w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et5w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etew"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ete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nit">#REF!</definedName>
    <definedName name="urtr4es"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rtr4es"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SDVND">#REF!</definedName>
    <definedName name="UtilRate2020">#REF!</definedName>
    <definedName name="UtilRate2021">#REF!</definedName>
    <definedName name="UtilRate2022">#REF!</definedName>
    <definedName name="UtilRate2023">#REF!</definedName>
    <definedName name="UtilRate2024">#REF!</definedName>
    <definedName name="uuu"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uu"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uuuu"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uuuu"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yggg"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yggg"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aluevx">42.314159</definedName>
    <definedName name="vertex42_copyright" hidden="1">"© 2006-2018 Vertex42 LLC"</definedName>
    <definedName name="vertex42_id" hidden="1">"gantt-chart_L.xlsx"</definedName>
    <definedName name="vertex42_title" hidden="1">"Gantt Chart Template"</definedName>
    <definedName name="VPBBaseSalaryScale" localSheetId="0">#REF!</definedName>
    <definedName name="VPBBaseSalaryScale">#REF!</definedName>
    <definedName name="VPBBaseSalaryScaleSale" localSheetId="0">#REF!</definedName>
    <definedName name="VPBBaseSalaryScaleSale">#REF!</definedName>
    <definedName name="VPBdata" localSheetId="0">#REF!</definedName>
    <definedName name="VPBdata">#REF!</definedName>
    <definedName name="vvv"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vv"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vvvv"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vvvv"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zv" localSheetId="0" hidden="1">{#N/A,#N/A,FALSE,"Gesamt";#N/A,#N/A,FALSE,"Ree KG";#N/A,#N/A,FALSE,"Ree Inter";#N/A,#N/A,FALSE,"BTM";#N/A,#N/A,FALSE,"GmbH";#N/A,#N/A,FALSE,"Sonstige"}</definedName>
    <definedName name="vzv" hidden="1">{#N/A,#N/A,FALSE,"Gesamt";#N/A,#N/A,FALSE,"Ree KG";#N/A,#N/A,FALSE,"Ree Inter";#N/A,#N/A,FALSE,"BTM";#N/A,#N/A,FALSE,"GmbH";#N/A,#N/A,FALSE,"Sonstige"}</definedName>
    <definedName name="w"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BS">#REF!</definedName>
    <definedName name="wijziging" hidden="1">#REF!</definedName>
    <definedName name="wrn.A." localSheetId="0" hidden="1">{#N/A,#N/A,FALSE,"Sheet1";#N/A,#N/A,FALSE,"Compliance";#N/A,#N/A,FALSE,"Liquidity Summary - Local";#N/A,#N/A,FALSE,"Liquidity Summary - Foreign";#N/A,#N/A,FALSE,"Interest Rate Risk - Local";#N/A,#N/A,FALSE,"Interest Rate Risk - Foreign";#N/A,#N/A,FALSE,"Sources &amp; Uses - Local";#N/A,#N/A,FALSE,"Sources &amp; Uses - Foreign";#N/A,#N/A,FALSE,"Forecast-USD";#N/A,#N/A,FALSE,"Forecast-VND"}</definedName>
    <definedName name="wrn.A." hidden="1">{#N/A,#N/A,FALSE,"Sheet1";#N/A,#N/A,FALSE,"Compliance";#N/A,#N/A,FALSE,"Liquidity Summary - Local";#N/A,#N/A,FALSE,"Liquidity Summary - Foreign";#N/A,#N/A,FALSE,"Interest Rate Risk - Local";#N/A,#N/A,FALSE,"Interest Rate Risk - Foreign";#N/A,#N/A,FALSE,"Sources &amp; Uses - Local";#N/A,#N/A,FALSE,"Sources &amp; Uses - Foreign";#N/A,#N/A,FALSE,"Forecast-USD";#N/A,#N/A,FALSE,"Forecast-VND"}</definedName>
    <definedName name="wrn.Aging._.and._.Trend._.Analysis." localSheetId="0"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chi._.tiÆt." localSheetId="0" hidden="1">{#N/A,#N/A,FALSE,"Chi tiÆt"}</definedName>
    <definedName name="wrn.chi._.tiÆt." hidden="1">{#N/A,#N/A,FALSE,"Chi tiÆt"}</definedName>
    <definedName name="wrn.Corporate." hidden="1">{"Corporate",#N/A,FALSE,"Corporate Profile"}</definedName>
    <definedName name="wrn.cotop." hidden="1">{"ReportTop",#N/A,FALSE,"report top"}</definedName>
    <definedName name="wrn.cotop2." hidden="1">{"ReportTop",#N/A,FALSE,"report top"}</definedName>
    <definedName name="wrn.FCB." hidden="1">{"FCB_ALL",#N/A,FALSE,"FCB"}</definedName>
    <definedName name="wrn.fcb2" hidden="1">{"FCB_ALL",#N/A,FALSE,"FCB"}</definedName>
    <definedName name="wrn.graph." hidden="1">{"graph",#N/A,FALSE,"RIGCOUNT";"graph",#N/A,FALSE,"ON_OFFSHORE";"graph",#N/A,FALSE,"crewcnt";"graph",#N/A,FALSE,"OILvGAS";"graph",#N/A,FALSE,"OFF_RIGCOUNT";"graph",#N/A,FALSE,"indep perf";"graph",#N/A,FALSE,"oil serv perf"}</definedName>
    <definedName name="wrn.IGRONICbasicdata." localSheetId="0" hidden="1">{"IGRONIC2",#N/A,FALSE,"IG fixed RONIC";"IGRONIC1",#N/A,FALSE,"IG fixed RONIC"}</definedName>
    <definedName name="wrn.IGRONICbasicdata." hidden="1">{"IGRONIC2",#N/A,FALSE,"IG fixed RONIC";"IGRONIC1",#N/A,FALSE,"IG fixed RONIC"}</definedName>
    <definedName name="wrn.IGRONICbasicdata2" localSheetId="0" hidden="1">{"IGRONIC2",#N/A,FALSE,"IG fixed RONIC";"IGRONIC1",#N/A,FALSE,"IG fixed RONIC"}</definedName>
    <definedName name="wrn.IGRONICbasicdata2" hidden="1">{"IGRONIC2",#N/A,FALSE,"IG fixed RONIC";"IGRONIC1",#N/A,FALSE,"IG fixed RONIC"}</definedName>
    <definedName name="wrn.IS._.Q96." hidden="1">{"IS Q96",#N/A,FALSE,"Income Statement"}</definedName>
    <definedName name="wrn.IS._.Q97." hidden="1">{"IS Q97",#N/A,FALSE,"Income Statement"}</definedName>
    <definedName name="wrn.IS._.Years." hidden="1">{"IS Years",#N/A,FALSE,"Income Statement"}</definedName>
    <definedName name="wrn.JODM._.Graphs." hidden="1">{"graph",#N/A,FALSE,"WWJU";"graph",#N/A,FALSE,"WWSEM";"graph",#N/A,FALSE,"GOMJU";"graph",#N/A,FALSE,"GOMSEM";"graph",#N/A,FALSE,"NSJU";"graph",#N/A,FALSE,"NSSEM";"graph",#N/A,FALSE,"WAJU";"graph",#N/A,FALSE,"STOCKPRI";"graph",#N/A,FALSE,"CFTEV";"graph",#N/A,FALSE,"NAV-RCV";"graph",#N/A,FALSE,"CRUDEWW"}</definedName>
    <definedName name="wrn.Main._.Fields."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wrn.Netbacks." hidden="1">{"Netbacks",#N/A,FALSE,"Netbacks"}</definedName>
    <definedName name="wrn.PLX." hidden="1">{"cred comp",#N/A,FALSE,"Comparable Credit Analysis";"IS",#N/A,FALSE,"IS";"Sensitivity",#N/A,FALSE,"Sensitivity";"BS",#N/A,FALSE,"BS";"Bond Summary",#N/A,FALSE,"B Summary";"AD",#N/A,FALSE,"Accretion";"NAV",#N/A,FALSE,"NAV";"SU",#N/A,FALSE,"S&amp;U";"acq. study",#N/A,FALSE,"Acq. Study";"F Charges",#N/A,FALSE,"Fixed Charges"}</definedName>
    <definedName name="wrn.Print_Buyer." hidden="1">{#N/A,"DR",FALSE,"increm pf";#N/A,"MAMSI",FALSE,"increm pf";#N/A,"MAXI",FALSE,"increm pf";#N/A,"PCAM",FALSE,"increm pf";#N/A,"PHSV",FALSE,"increm pf";#N/A,"SIE",FALSE,"increm pf"}</definedName>
    <definedName name="wrn.Print_Target."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All." hidden="1">{"IS Years",#N/A,FALSE,"Income Statement";"IS Q96",#N/A,FALSE,"Income Statement";"IS Q97",#N/A,FALSE,"Income Statement";"Corporate",#N/A,FALSE,"Corporate Profile";"Netbacks",#N/A,FALSE,"Netbacks"}</definedName>
    <definedName name="wrn.print._.graphs." hidden="1">{"cap_structure",#N/A,FALSE,"Graph-Mkt Cap";"price",#N/A,FALSE,"Graph-Price";"ebit",#N/A,FALSE,"Graph-EBITDA";"ebitda",#N/A,FALSE,"Graph-EBITDA"}</definedName>
    <definedName name="wrn.print._.raw._.data._.entry." hidden="1">{"inputs raw data",#N/A,TRUE,"INPUT"}</definedName>
    <definedName name="wrn.print._.summary._.sheets." hidden="1">{"summary1",#N/A,TRUE,"Comps";"summary2",#N/A,TRUE,"Comps";"summary3",#N/A,TRUE,"Comps"}</definedName>
    <definedName name="wrn.Report." localSheetId="0" hidden="1">{"Offgrid",#N/A,FALSE,"OFFGRID";"Region",#N/A,FALSE,"REGION";"Offgrid -2",#N/A,FALSE,"OFFGRID";"WTP",#N/A,FALSE,"WTP";"WTP -2",#N/A,FALSE,"WTP";"Project",#N/A,FALSE,"PROJECT";"Summary -2",#N/A,FALSE,"SUMMARY"}</definedName>
    <definedName name="wrn.Report." hidden="1">{"Offgrid",#N/A,FALSE,"OFFGRID";"Region",#N/A,FALSE,"REGION";"Offgrid -2",#N/A,FALSE,"OFFGRID";"WTP",#N/A,FALSE,"WTP";"WTP -2",#N/A,FALSE,"WTP";"Project",#N/A,FALSE,"PROJECT";"Summary -2",#N/A,FALSE,"SUMMARY"}</definedName>
    <definedName name="wrn.Roll._.Up._.Fields." hidden="1">{"Total",#N/A,FALSE,"Six Fields";"PDP",#N/A,FALSE,"Six Fields";"PNP",#N/A,FALSE,"Six Fields";"PUD",#N/A,FALSE,"Six Fields";"Prob",#N/A,FALSE,"Six Fields"}</definedName>
    <definedName name="wrn.STAND_ALONE_BOTH." hidden="1">{"FCB_ALL",#N/A,FALSE,"FCB";"GREY_ALL",#N/A,FALSE,"GREY"}</definedName>
    <definedName name="wrn.Summary." hidden="1">{"Sum1",#N/A,FALSE,"Reserve Report";"Sum2",#N/A,FALSE,"Reserve Report";"Sum3",#N/A,FALSE,"Reserve Report";"Sum4",#N/A,FALSE,"Reserve Report"}</definedName>
    <definedName name="wrn.TheWholeEnchilada." hidden="1">{"CSheet",#N/A,FALSE,"C";"SmCap",#N/A,FALSE,"VAL1";"GulfCoast",#N/A,FALSE,"VAL1";"nav",#N/A,FALSE,"NAV";"Summary",#N/A,FALSE,"NAV"}</definedName>
    <definedName name="wrn.Total."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Total."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Total._.Proved." hidden="1">{"Total",#N/A,FALSE,"Total Proved";"PDP",#N/A,FALSE,"Total Proved";"PNP",#N/A,FALSE,"Total Proved";"PUD",#N/A,FALSE,"Total Proved"}</definedName>
    <definedName name="wrn.Total._.Proved._.plus._.Probable." hidden="1">{"Total",#N/A,FALSE,"Total Proved + Probable";"PDP",#N/A,FALSE,"Total Proved + Probable";"PNP",#N/A,FALSE,"Total Proved + Probable";"PUD",#N/A,FALSE,"Total Proved + Probable";"Prob",#N/A,FALSE,"Total Proved + Probable"}</definedName>
    <definedName name="wrn.Total.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Total.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Working._.Capital." localSheetId="0" hidden="1">{#N/A,#N/A,FALSE,"Gesamt";#N/A,#N/A,FALSE,"Ree KG";#N/A,#N/A,FALSE,"Ree Inter";#N/A,#N/A,FALSE,"BTM";#N/A,#N/A,FALSE,"GmbH";#N/A,#N/A,FALSE,"Sonstige"}</definedName>
    <definedName name="wrn.Working._.Capital." hidden="1">{#N/A,#N/A,FALSE,"Gesamt";#N/A,#N/A,FALSE,"Ree KG";#N/A,#N/A,FALSE,"Ree Inter";#N/A,#N/A,FALSE,"BTM";#N/A,#N/A,FALSE,"GmbH";#N/A,#N/A,FALSE,"Sonstige"}</definedName>
    <definedName name="wrnf.report" localSheetId="0" hidden="1">{"Offgrid",#N/A,FALSE,"OFFGRID";"Region",#N/A,FALSE,"REGION";"Offgrid -2",#N/A,FALSE,"OFFGRID";"WTP",#N/A,FALSE,"WTP";"WTP -2",#N/A,FALSE,"WTP";"Project",#N/A,FALSE,"PROJECT";"Summary -2",#N/A,FALSE,"SUMMARY"}</definedName>
    <definedName name="wrnf.report" hidden="1">{"Offgrid",#N/A,FALSE,"OFFGRID";"Region",#N/A,FALSE,"REGION";"Offgrid -2",#N/A,FALSE,"OFFGRID";"WTP",#N/A,FALSE,"WTP";"WTP -2",#N/A,FALSE,"WTP";"Project",#N/A,FALSE,"PROJECT";"Summary -2",#N/A,FALSE,"SUMMARY"}</definedName>
    <definedName name="wvu.inputs._.raw._.data." hidden="1">{TRUE,TRUE,-1.25,-15.5,604.5,369,FALSE,FALSE,TRUE,TRUE,0,1,83,1,38,4,5,4,TRUE,TRUE,3,TRUE,1,TRUE,75,"Swvu.inputs._.raw._.data.","ACwvu.inputs._.raw._.data.",#N/A,FALSE,FALSE,0.5,0.5,0.5,0.5,2,"&amp;F","&amp;A&amp;RPage &amp;P",FALSE,FALSE,FALSE,FALSE,1,60,#N/A,#N/A,"=R1C61:R53C89","=C1:C5",#N/A,#N/A,FALSE,FALSE,FALSE,1,600,600,FALSE,FALSE,TRUE,TRUE,TRUE}</definedName>
    <definedName name="wvu.summary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wwww"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www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XCCT">0.5</definedName>
    <definedName name="xsvrde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xsvrde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xsx" localSheetId="0" hidden="1">{"'Sheet1'!$L$16"}</definedName>
    <definedName name="xsx" hidden="1">{"'Sheet1'!$L$16"}</definedName>
    <definedName name="xxxxx"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xxxxx"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ỵ" localSheetId="0">#REF!</definedName>
    <definedName name="ỵ">#REF!</definedName>
    <definedName name="Ỷ9" localSheetId="0">#REF!</definedName>
    <definedName name="Ỷ9">#REF!</definedName>
    <definedName name="yaafa"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aafa"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earList">#REF!</definedName>
    <definedName name="YTD1" localSheetId="0">#REF!</definedName>
    <definedName name="YTD1">#REF!</definedName>
    <definedName name="YTD10" localSheetId="0">#REF!</definedName>
    <definedName name="YTD10">#REF!</definedName>
    <definedName name="YTD11" localSheetId="0">#REF!</definedName>
    <definedName name="YTD11">#REF!</definedName>
    <definedName name="YTD12" localSheetId="0">#REF!</definedName>
    <definedName name="YTD12">#REF!</definedName>
    <definedName name="YTD2" localSheetId="0">#REF!</definedName>
    <definedName name="YTD2">#REF!</definedName>
    <definedName name="YTD3" localSheetId="0">#REF!</definedName>
    <definedName name="YTD3">#REF!</definedName>
    <definedName name="YTD4" localSheetId="0">#REF!</definedName>
    <definedName name="YTD4">#REF!</definedName>
    <definedName name="YTD5" localSheetId="0">#REF!</definedName>
    <definedName name="YTD5">#REF!</definedName>
    <definedName name="YTD6" localSheetId="0">#REF!</definedName>
    <definedName name="YTD6">#REF!</definedName>
    <definedName name="YTD7" localSheetId="0">#REF!</definedName>
    <definedName name="YTD7">#REF!</definedName>
    <definedName name="YTD8" localSheetId="0">#REF!</definedName>
    <definedName name="YTD8">#REF!</definedName>
    <definedName name="YTD9" localSheetId="0">#REF!</definedName>
    <definedName name="YTD9">#REF!</definedName>
    <definedName name="ytysew"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tyse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uru"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uru"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xc"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xc"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yy"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yy"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yyy"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yyy"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z" hidden="1">{"CSheet",#N/A,FALSE,"C";"SmCap",#N/A,FALSE,"VAL1";"GulfCoast",#N/A,FALSE,"VAL1";"nav",#N/A,FALSE,"NAV";"Summary",#N/A,FALSE,"NAV"}</definedName>
    <definedName name="zdfgxzdfg" hidden="1">{"ReportTop",#N/A,FALSE,"report top"}</definedName>
    <definedName name="zone" localSheetId="0">#REF!</definedName>
    <definedName name="zone">#REF!</definedName>
    <definedName name="zzzzzz"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zzzzzz"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ввыфс" localSheetId="0" hidden="1">{#N/A,#N/A,FALSE,"Aging Summary";#N/A,#N/A,FALSE,"Ratio Analysis";#N/A,#N/A,FALSE,"Test 120 Day Accts";#N/A,#N/A,FALSE,"Tickmarks"}</definedName>
    <definedName name="ввыфс" hidden="1">{#N/A,#N/A,FALSE,"Aging Summary";#N/A,#N/A,FALSE,"Ratio Analysis";#N/A,#N/A,FALSE,"Test 120 Day Accts";#N/A,#N/A,FALSE,"Tickmarks"}</definedName>
    <definedName name="выфс" localSheetId="0" hidden="1">{#N/A,#N/A,FALSE,"Aging Summary";#N/A,#N/A,FALSE,"Ratio Analysis";#N/A,#N/A,FALSE,"Test 120 Day Accts";#N/A,#N/A,FALSE,"Tickmarks"}</definedName>
    <definedName name="выфс" hidden="1">{#N/A,#N/A,FALSE,"Aging Summary";#N/A,#N/A,FALSE,"Ratio Analysis";#N/A,#N/A,FALSE,"Test 120 Day Accts";#N/A,#N/A,FALSE,"Tickmarks"}</definedName>
    <definedName name="структура" localSheetId="0" hidden="1">{#N/A,#N/A,FALSE,"Aging Summary";#N/A,#N/A,FALSE,"Ratio Analysis";#N/A,#N/A,FALSE,"Test 120 Day Accts";#N/A,#N/A,FALSE,"Tickmarks"}</definedName>
    <definedName name="структура" hidden="1">{#N/A,#N/A,FALSE,"Aging Summary";#N/A,#N/A,FALSE,"Ratio Analysis";#N/A,#N/A,FALSE,"Test 120 Day Accts";#N/A,#N/A,FALSE,"Tickmarks"}</definedName>
    <definedName name="ФФ" localSheetId="0" hidden="1">{#N/A,#N/A,FALSE,"Aging Summary";#N/A,#N/A,FALSE,"Ratio Analysis";#N/A,#N/A,FALSE,"Test 120 Day Accts";#N/A,#N/A,FALSE,"Tickmarks"}</definedName>
    <definedName name="ФФ" hidden="1">{#N/A,#N/A,FALSE,"Aging Summary";#N/A,#N/A,FALSE,"Ratio Analysis";#N/A,#N/A,FALSE,"Test 120 Day Accts";#N/A,#N/A,FALSE,"Tickmarks"}</definedName>
    <definedName name="фыч" localSheetId="0" hidden="1">{#N/A,#N/A,FALSE,"Aging Summary";#N/A,#N/A,FALSE,"Ratio Analysis";#N/A,#N/A,FALSE,"Test 120 Day Accts";#N/A,#N/A,FALSE,"Tickmarks"}</definedName>
    <definedName name="фыч" hidden="1">{#N/A,#N/A,FALSE,"Aging Summary";#N/A,#N/A,FALSE,"Ratio Analysis";#N/A,#N/A,FALSE,"Test 120 Day Accts";#N/A,#N/A,FALSE,"Tickmarks"}</definedName>
  </definedNames>
  <calcPr calcId="181029"/>
  <pivotCaches>
    <pivotCache cacheId="6" r:id="rId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K114" i="7" l="1"/>
  <c r="AJ114" i="7"/>
  <c r="AI114" i="7"/>
  <c r="AH114" i="7"/>
  <c r="AG114" i="7"/>
  <c r="AF114" i="7"/>
  <c r="AE114" i="7"/>
  <c r="AD114" i="7"/>
  <c r="AC114" i="7"/>
  <c r="AB114" i="7"/>
  <c r="AA114" i="7"/>
  <c r="Z114" i="7"/>
  <c r="Y114" i="7"/>
  <c r="X114" i="7"/>
  <c r="W114" i="7"/>
  <c r="V114" i="7"/>
  <c r="U114" i="7"/>
  <c r="T114" i="7"/>
  <c r="S114" i="7"/>
  <c r="R114" i="7"/>
  <c r="Q114" i="7"/>
  <c r="P114" i="7"/>
  <c r="O114" i="7"/>
  <c r="N114" i="7"/>
  <c r="M114" i="7"/>
  <c r="L114" i="7"/>
  <c r="K114" i="7"/>
  <c r="J114" i="7"/>
  <c r="I114" i="7"/>
  <c r="H114" i="7"/>
  <c r="G114" i="7"/>
  <c r="F114" i="7"/>
  <c r="E114" i="7"/>
  <c r="D114" i="7"/>
  <c r="C114" i="7"/>
  <c r="B114" i="7"/>
  <c r="AK113" i="7"/>
  <c r="AJ113" i="7"/>
  <c r="AI113" i="7"/>
  <c r="AH113" i="7"/>
  <c r="AG113" i="7"/>
  <c r="AF113" i="7"/>
  <c r="AE113" i="7"/>
  <c r="AD113" i="7"/>
  <c r="AC113" i="7"/>
  <c r="AB113" i="7"/>
  <c r="AA113" i="7"/>
  <c r="Z113" i="7"/>
  <c r="Y113" i="7"/>
  <c r="X113" i="7"/>
  <c r="W113" i="7"/>
  <c r="V113" i="7"/>
  <c r="U113" i="7"/>
  <c r="T113" i="7"/>
  <c r="S113" i="7"/>
  <c r="R113" i="7"/>
  <c r="Q113" i="7"/>
  <c r="P113" i="7"/>
  <c r="O113" i="7"/>
  <c r="N113" i="7"/>
  <c r="M113" i="7"/>
  <c r="L113" i="7"/>
  <c r="K113" i="7"/>
  <c r="J113" i="7"/>
  <c r="I113" i="7"/>
  <c r="H113" i="7"/>
  <c r="G113" i="7"/>
  <c r="F113" i="7"/>
  <c r="E113" i="7"/>
  <c r="D113" i="7"/>
  <c r="C113" i="7"/>
  <c r="B113" i="7"/>
  <c r="AK112" i="7"/>
  <c r="AJ112" i="7"/>
  <c r="AI112" i="7"/>
  <c r="AH112" i="7"/>
  <c r="AG112" i="7"/>
  <c r="AF112" i="7"/>
  <c r="AE112" i="7"/>
  <c r="AD112" i="7"/>
  <c r="AC112" i="7"/>
  <c r="AB112" i="7"/>
  <c r="AA112" i="7"/>
  <c r="Z112" i="7"/>
  <c r="Y112" i="7"/>
  <c r="X112" i="7"/>
  <c r="W112" i="7"/>
  <c r="V112" i="7"/>
  <c r="U112" i="7"/>
  <c r="T112" i="7"/>
  <c r="S112" i="7"/>
  <c r="R112" i="7"/>
  <c r="Q112" i="7"/>
  <c r="P112" i="7"/>
  <c r="O112" i="7"/>
  <c r="N112" i="7"/>
  <c r="M112" i="7"/>
  <c r="L112" i="7"/>
  <c r="K112" i="7"/>
  <c r="J112" i="7"/>
  <c r="I112" i="7"/>
  <c r="H112" i="7"/>
  <c r="G112" i="7"/>
  <c r="F112" i="7"/>
  <c r="E112" i="7"/>
  <c r="D112" i="7"/>
  <c r="C112" i="7"/>
  <c r="B112" i="7"/>
  <c r="AK111" i="7"/>
  <c r="AJ111" i="7"/>
  <c r="AI111" i="7"/>
  <c r="AH111" i="7"/>
  <c r="AG111" i="7"/>
  <c r="AF111" i="7"/>
  <c r="AE111" i="7"/>
  <c r="AD111" i="7"/>
  <c r="AC111" i="7"/>
  <c r="AB111" i="7"/>
  <c r="AA111" i="7"/>
  <c r="Z111" i="7"/>
  <c r="Y111" i="7"/>
  <c r="X111" i="7"/>
  <c r="W111" i="7"/>
  <c r="V111" i="7"/>
  <c r="U111" i="7"/>
  <c r="T111" i="7"/>
  <c r="S111" i="7"/>
  <c r="R111" i="7"/>
  <c r="Q111" i="7"/>
  <c r="P111" i="7"/>
  <c r="O111" i="7"/>
  <c r="N111" i="7"/>
  <c r="M111" i="7"/>
  <c r="L111" i="7"/>
  <c r="K111" i="7"/>
  <c r="J111" i="7"/>
  <c r="I111" i="7"/>
  <c r="H111" i="7"/>
  <c r="G111" i="7"/>
  <c r="F111" i="7"/>
  <c r="E111" i="7"/>
  <c r="D111" i="7"/>
  <c r="C111" i="7"/>
  <c r="B111" i="7"/>
  <c r="AK110" i="7"/>
  <c r="AJ110" i="7"/>
  <c r="AI110" i="7"/>
  <c r="AH110" i="7"/>
  <c r="AG110" i="7"/>
  <c r="AF110" i="7"/>
  <c r="AE110" i="7"/>
  <c r="AD110" i="7"/>
  <c r="AC110" i="7"/>
  <c r="AB110" i="7"/>
  <c r="AA110" i="7"/>
  <c r="Z110" i="7"/>
  <c r="Y110" i="7"/>
  <c r="X110" i="7"/>
  <c r="W110" i="7"/>
  <c r="V110" i="7"/>
  <c r="U110" i="7"/>
  <c r="T110" i="7"/>
  <c r="S110" i="7"/>
  <c r="R110" i="7"/>
  <c r="Q110" i="7"/>
  <c r="P110" i="7"/>
  <c r="O110" i="7"/>
  <c r="N110" i="7"/>
  <c r="M110" i="7"/>
  <c r="L110" i="7"/>
  <c r="K110" i="7"/>
  <c r="J110" i="7"/>
  <c r="I110" i="7"/>
  <c r="H110" i="7"/>
  <c r="G110" i="7"/>
  <c r="F110" i="7"/>
  <c r="E110" i="7"/>
  <c r="D110" i="7"/>
  <c r="C110" i="7"/>
  <c r="B110" i="7"/>
  <c r="AK109" i="7"/>
  <c r="AJ109" i="7"/>
  <c r="AI109" i="7"/>
  <c r="AH109" i="7"/>
  <c r="AG109" i="7"/>
  <c r="AF109" i="7"/>
  <c r="AE109" i="7"/>
  <c r="AD109" i="7"/>
  <c r="AC109" i="7"/>
  <c r="AB109" i="7"/>
  <c r="AA109" i="7"/>
  <c r="Z109" i="7"/>
  <c r="Y109" i="7"/>
  <c r="X109" i="7"/>
  <c r="W109" i="7"/>
  <c r="V109" i="7"/>
  <c r="U109" i="7"/>
  <c r="T109" i="7"/>
  <c r="S109" i="7"/>
  <c r="R109" i="7"/>
  <c r="Q109" i="7"/>
  <c r="P109" i="7"/>
  <c r="O109" i="7"/>
  <c r="N109" i="7"/>
  <c r="M109" i="7"/>
  <c r="L109" i="7"/>
  <c r="K109" i="7"/>
  <c r="J109" i="7"/>
  <c r="I109" i="7"/>
  <c r="H109" i="7"/>
  <c r="G109" i="7"/>
  <c r="F109" i="7"/>
  <c r="E109" i="7"/>
  <c r="D109" i="7"/>
  <c r="C109" i="7"/>
  <c r="B109" i="7"/>
  <c r="AK108" i="7"/>
  <c r="AJ108" i="7"/>
  <c r="AI108" i="7"/>
  <c r="AH108" i="7"/>
  <c r="AG108" i="7"/>
  <c r="AF108" i="7"/>
  <c r="AE108" i="7"/>
  <c r="AD108" i="7"/>
  <c r="AC108" i="7"/>
  <c r="AB108" i="7"/>
  <c r="AA108" i="7"/>
  <c r="Z108" i="7"/>
  <c r="Y108" i="7"/>
  <c r="X108" i="7"/>
  <c r="W108" i="7"/>
  <c r="V108" i="7"/>
  <c r="U108" i="7"/>
  <c r="T108" i="7"/>
  <c r="S108" i="7"/>
  <c r="R108" i="7"/>
  <c r="Q108" i="7"/>
  <c r="P108" i="7"/>
  <c r="O108" i="7"/>
  <c r="N108" i="7"/>
  <c r="M108" i="7"/>
  <c r="L108" i="7"/>
  <c r="K108" i="7"/>
  <c r="J108" i="7"/>
  <c r="I108" i="7"/>
  <c r="H108" i="7"/>
  <c r="G108" i="7"/>
  <c r="F108" i="7"/>
  <c r="E108" i="7"/>
  <c r="D108" i="7"/>
  <c r="C108" i="7"/>
  <c r="B108" i="7"/>
  <c r="AK107" i="7"/>
  <c r="AJ107" i="7"/>
  <c r="AI107" i="7"/>
  <c r="AH107" i="7"/>
  <c r="AG107" i="7"/>
  <c r="AF107" i="7"/>
  <c r="AE107" i="7"/>
  <c r="AD107" i="7"/>
  <c r="AC107" i="7"/>
  <c r="AB107" i="7"/>
  <c r="AA107" i="7"/>
  <c r="Z107" i="7"/>
  <c r="Y107" i="7"/>
  <c r="X107" i="7"/>
  <c r="W107" i="7"/>
  <c r="V107" i="7"/>
  <c r="U107" i="7"/>
  <c r="T107" i="7"/>
  <c r="S107" i="7"/>
  <c r="R107" i="7"/>
  <c r="Q107" i="7"/>
  <c r="P107" i="7"/>
  <c r="O107" i="7"/>
  <c r="N107" i="7"/>
  <c r="M107" i="7"/>
  <c r="L107" i="7"/>
  <c r="K107" i="7"/>
  <c r="J107" i="7"/>
  <c r="I107" i="7"/>
  <c r="H107" i="7"/>
  <c r="G107" i="7"/>
  <c r="F107" i="7"/>
  <c r="E107" i="7"/>
  <c r="D107" i="7"/>
  <c r="C107" i="7"/>
  <c r="B107" i="7"/>
  <c r="AK106" i="7"/>
  <c r="AJ106" i="7"/>
  <c r="AI106" i="7"/>
  <c r="AH106" i="7"/>
  <c r="AG106" i="7"/>
  <c r="AF106" i="7"/>
  <c r="AE106" i="7"/>
  <c r="AD106" i="7"/>
  <c r="AC106" i="7"/>
  <c r="AB106" i="7"/>
  <c r="AA106" i="7"/>
  <c r="Z106" i="7"/>
  <c r="Y106" i="7"/>
  <c r="X106" i="7"/>
  <c r="W106" i="7"/>
  <c r="V106" i="7"/>
  <c r="U106" i="7"/>
  <c r="T106" i="7"/>
  <c r="S106" i="7"/>
  <c r="R106" i="7"/>
  <c r="Q106" i="7"/>
  <c r="P106" i="7"/>
  <c r="O106" i="7"/>
  <c r="N106" i="7"/>
  <c r="M106" i="7"/>
  <c r="L106" i="7"/>
  <c r="K106" i="7"/>
  <c r="J106" i="7"/>
  <c r="I106" i="7"/>
  <c r="H106" i="7"/>
  <c r="G106" i="7"/>
  <c r="F106" i="7"/>
  <c r="E106" i="7"/>
  <c r="D106" i="7"/>
  <c r="C106" i="7"/>
  <c r="B106" i="7"/>
  <c r="AK105" i="7"/>
  <c r="AJ105" i="7"/>
  <c r="AI105" i="7"/>
  <c r="AH105" i="7"/>
  <c r="AG105" i="7"/>
  <c r="AF105" i="7"/>
  <c r="AE105" i="7"/>
  <c r="AD105" i="7"/>
  <c r="AC105" i="7"/>
  <c r="AB105" i="7"/>
  <c r="AA105" i="7"/>
  <c r="Z105" i="7"/>
  <c r="Y105" i="7"/>
  <c r="X105" i="7"/>
  <c r="W105" i="7"/>
  <c r="V105" i="7"/>
  <c r="U105" i="7"/>
  <c r="T105" i="7"/>
  <c r="S105" i="7"/>
  <c r="R105" i="7"/>
  <c r="Q105" i="7"/>
  <c r="P105" i="7"/>
  <c r="O105" i="7"/>
  <c r="N105" i="7"/>
  <c r="M105" i="7"/>
  <c r="L105" i="7"/>
  <c r="K105" i="7"/>
  <c r="J105" i="7"/>
  <c r="I105" i="7"/>
  <c r="H105" i="7"/>
  <c r="G105" i="7"/>
  <c r="F105" i="7"/>
  <c r="E105" i="7"/>
  <c r="D105" i="7"/>
  <c r="C105" i="7"/>
  <c r="B105" i="7"/>
  <c r="AK104" i="7"/>
  <c r="AJ104" i="7"/>
  <c r="AI104" i="7"/>
  <c r="AH104" i="7"/>
  <c r="AG104" i="7"/>
  <c r="AF104" i="7"/>
  <c r="AE104" i="7"/>
  <c r="AD104" i="7"/>
  <c r="AC104" i="7"/>
  <c r="AB104" i="7"/>
  <c r="AA104" i="7"/>
  <c r="Z104" i="7"/>
  <c r="Y104" i="7"/>
  <c r="X104" i="7"/>
  <c r="W104" i="7"/>
  <c r="V104" i="7"/>
  <c r="U104" i="7"/>
  <c r="T104" i="7"/>
  <c r="S104" i="7"/>
  <c r="R104" i="7"/>
  <c r="Q104" i="7"/>
  <c r="P104" i="7"/>
  <c r="O104" i="7"/>
  <c r="N104" i="7"/>
  <c r="M104" i="7"/>
  <c r="L104" i="7"/>
  <c r="K104" i="7"/>
  <c r="J104" i="7"/>
  <c r="I104" i="7"/>
  <c r="H104" i="7"/>
  <c r="G104" i="7"/>
  <c r="F104" i="7"/>
  <c r="E104" i="7"/>
  <c r="D104" i="7"/>
  <c r="C104" i="7"/>
  <c r="B104" i="7"/>
  <c r="AK103" i="7"/>
  <c r="AJ103" i="7"/>
  <c r="AI103" i="7"/>
  <c r="AH103" i="7"/>
  <c r="AG103" i="7"/>
  <c r="AF103" i="7"/>
  <c r="AE103" i="7"/>
  <c r="AD103" i="7"/>
  <c r="AC103" i="7"/>
  <c r="AB103" i="7"/>
  <c r="AA103" i="7"/>
  <c r="Z103" i="7"/>
  <c r="Y103" i="7"/>
  <c r="X103" i="7"/>
  <c r="W103" i="7"/>
  <c r="V103" i="7"/>
  <c r="U103" i="7"/>
  <c r="T103" i="7"/>
  <c r="S103" i="7"/>
  <c r="R103" i="7"/>
  <c r="Q103" i="7"/>
  <c r="P103" i="7"/>
  <c r="O103" i="7"/>
  <c r="N103" i="7"/>
  <c r="M103" i="7"/>
  <c r="L103" i="7"/>
  <c r="K103" i="7"/>
  <c r="J103" i="7"/>
  <c r="I103" i="7"/>
  <c r="H103" i="7"/>
  <c r="G103" i="7"/>
  <c r="F103" i="7"/>
  <c r="E103" i="7"/>
  <c r="D103" i="7"/>
  <c r="C103" i="7"/>
  <c r="B103" i="7"/>
  <c r="AK102" i="7"/>
  <c r="AJ102" i="7"/>
  <c r="AI102" i="7"/>
  <c r="AH102" i="7"/>
  <c r="AG102" i="7"/>
  <c r="AF102" i="7"/>
  <c r="AE102" i="7"/>
  <c r="AD102" i="7"/>
  <c r="AC102" i="7"/>
  <c r="AB102" i="7"/>
  <c r="AA102" i="7"/>
  <c r="Z102" i="7"/>
  <c r="Y102" i="7"/>
  <c r="X102" i="7"/>
  <c r="W102" i="7"/>
  <c r="V102" i="7"/>
  <c r="U102" i="7"/>
  <c r="T102" i="7"/>
  <c r="S102" i="7"/>
  <c r="R102" i="7"/>
  <c r="Q102" i="7"/>
  <c r="P102" i="7"/>
  <c r="O102" i="7"/>
  <c r="N102" i="7"/>
  <c r="M102" i="7"/>
  <c r="L102" i="7"/>
  <c r="K102" i="7"/>
  <c r="J102" i="7"/>
  <c r="I102" i="7"/>
  <c r="H102" i="7"/>
  <c r="G102" i="7"/>
  <c r="F102" i="7"/>
  <c r="E102" i="7"/>
  <c r="D102" i="7"/>
  <c r="C102" i="7"/>
  <c r="B102" i="7"/>
  <c r="AK101" i="7"/>
  <c r="AJ101" i="7"/>
  <c r="AI101" i="7"/>
  <c r="AH101" i="7"/>
  <c r="AG101" i="7"/>
  <c r="AF101" i="7"/>
  <c r="AE101" i="7"/>
  <c r="AD101" i="7"/>
  <c r="AC101" i="7"/>
  <c r="AB101" i="7"/>
  <c r="AA101" i="7"/>
  <c r="Z101" i="7"/>
  <c r="Y101" i="7"/>
  <c r="X101" i="7"/>
  <c r="W101" i="7"/>
  <c r="V101" i="7"/>
  <c r="U101" i="7"/>
  <c r="T101" i="7"/>
  <c r="S101" i="7"/>
  <c r="R101" i="7"/>
  <c r="Q101" i="7"/>
  <c r="P101" i="7"/>
  <c r="O101" i="7"/>
  <c r="N101" i="7"/>
  <c r="M101" i="7"/>
  <c r="L101" i="7"/>
  <c r="K101" i="7"/>
  <c r="J101" i="7"/>
  <c r="I101" i="7"/>
  <c r="H101" i="7"/>
  <c r="G101" i="7"/>
  <c r="F101" i="7"/>
  <c r="E101" i="7"/>
  <c r="D101" i="7"/>
  <c r="C101" i="7"/>
  <c r="B101" i="7"/>
  <c r="AK100" i="7"/>
  <c r="AJ100" i="7"/>
  <c r="AI100" i="7"/>
  <c r="AH100" i="7"/>
  <c r="AG100" i="7"/>
  <c r="AF100" i="7"/>
  <c r="AE100" i="7"/>
  <c r="AD100" i="7"/>
  <c r="AC100" i="7"/>
  <c r="AB100" i="7"/>
  <c r="AA100" i="7"/>
  <c r="Z100" i="7"/>
  <c r="Y100" i="7"/>
  <c r="X100" i="7"/>
  <c r="W100" i="7"/>
  <c r="V100" i="7"/>
  <c r="U100" i="7"/>
  <c r="T100" i="7"/>
  <c r="S100" i="7"/>
  <c r="R100" i="7"/>
  <c r="Q100" i="7"/>
  <c r="P100" i="7"/>
  <c r="O100" i="7"/>
  <c r="N100" i="7"/>
  <c r="M100" i="7"/>
  <c r="L100" i="7"/>
  <c r="K100" i="7"/>
  <c r="J100" i="7"/>
  <c r="I100" i="7"/>
  <c r="H100" i="7"/>
  <c r="G100" i="7"/>
  <c r="F100" i="7"/>
  <c r="E100" i="7"/>
  <c r="D100" i="7"/>
  <c r="C100" i="7"/>
  <c r="B100" i="7"/>
  <c r="AK99" i="7"/>
  <c r="AJ99" i="7"/>
  <c r="AI99" i="7"/>
  <c r="AH99" i="7"/>
  <c r="AG99" i="7"/>
  <c r="AF99" i="7"/>
  <c r="AE99" i="7"/>
  <c r="AD99" i="7"/>
  <c r="AC99" i="7"/>
  <c r="AB99" i="7"/>
  <c r="AA99" i="7"/>
  <c r="Z99" i="7"/>
  <c r="Y99" i="7"/>
  <c r="X99" i="7"/>
  <c r="W99" i="7"/>
  <c r="V99" i="7"/>
  <c r="U99" i="7"/>
  <c r="T99" i="7"/>
  <c r="S99" i="7"/>
  <c r="R99" i="7"/>
  <c r="Q99" i="7"/>
  <c r="P99" i="7"/>
  <c r="O99" i="7"/>
  <c r="N99" i="7"/>
  <c r="M99" i="7"/>
  <c r="L99" i="7"/>
  <c r="K99" i="7"/>
  <c r="J99" i="7"/>
  <c r="I99" i="7"/>
  <c r="H99" i="7"/>
  <c r="G99" i="7"/>
  <c r="F99" i="7"/>
  <c r="E99" i="7"/>
  <c r="D99" i="7"/>
  <c r="C99" i="7"/>
  <c r="B99" i="7"/>
  <c r="AK98" i="7"/>
  <c r="AJ98" i="7"/>
  <c r="AI98" i="7"/>
  <c r="AH98" i="7"/>
  <c r="AG98" i="7"/>
  <c r="AF98" i="7"/>
  <c r="AE98" i="7"/>
  <c r="AD98" i="7"/>
  <c r="AC98" i="7"/>
  <c r="AB98" i="7"/>
  <c r="AA98" i="7"/>
  <c r="Z98" i="7"/>
  <c r="Y98" i="7"/>
  <c r="X98" i="7"/>
  <c r="W98" i="7"/>
  <c r="V98" i="7"/>
  <c r="U98" i="7"/>
  <c r="T98" i="7"/>
  <c r="S98" i="7"/>
  <c r="R98" i="7"/>
  <c r="Q98" i="7"/>
  <c r="P98" i="7"/>
  <c r="O98" i="7"/>
  <c r="N98" i="7"/>
  <c r="M98" i="7"/>
  <c r="L98" i="7"/>
  <c r="K98" i="7"/>
  <c r="J98" i="7"/>
  <c r="I98" i="7"/>
  <c r="H98" i="7"/>
  <c r="G98" i="7"/>
  <c r="F98" i="7"/>
  <c r="E98" i="7"/>
  <c r="D98" i="7"/>
  <c r="C98" i="7"/>
  <c r="B98" i="7"/>
  <c r="AK97" i="7"/>
  <c r="AJ97" i="7"/>
  <c r="AI97" i="7"/>
  <c r="AH97" i="7"/>
  <c r="AG97" i="7"/>
  <c r="AF97" i="7"/>
  <c r="AE97" i="7"/>
  <c r="AD97" i="7"/>
  <c r="AC97" i="7"/>
  <c r="AB97" i="7"/>
  <c r="AA97" i="7"/>
  <c r="Z97" i="7"/>
  <c r="Y97" i="7"/>
  <c r="X97" i="7"/>
  <c r="W97" i="7"/>
  <c r="V97" i="7"/>
  <c r="U97" i="7"/>
  <c r="T97" i="7"/>
  <c r="S97" i="7"/>
  <c r="R97" i="7"/>
  <c r="Q97" i="7"/>
  <c r="P97" i="7"/>
  <c r="O97" i="7"/>
  <c r="N97" i="7"/>
  <c r="M97" i="7"/>
  <c r="L97" i="7"/>
  <c r="K97" i="7"/>
  <c r="J97" i="7"/>
  <c r="I97" i="7"/>
  <c r="H97" i="7"/>
  <c r="G97" i="7"/>
  <c r="F97" i="7"/>
  <c r="E97" i="7"/>
  <c r="D97" i="7"/>
  <c r="C97" i="7"/>
  <c r="B97" i="7"/>
  <c r="AK96" i="7"/>
  <c r="AJ96" i="7"/>
  <c r="AI96" i="7"/>
  <c r="AH96" i="7"/>
  <c r="AG96" i="7"/>
  <c r="AF96" i="7"/>
  <c r="AE96" i="7"/>
  <c r="AD96" i="7"/>
  <c r="AC96" i="7"/>
  <c r="AB96" i="7"/>
  <c r="AA96" i="7"/>
  <c r="Z96" i="7"/>
  <c r="Y96" i="7"/>
  <c r="X96" i="7"/>
  <c r="W96" i="7"/>
  <c r="V96" i="7"/>
  <c r="U96" i="7"/>
  <c r="T96" i="7"/>
  <c r="S96" i="7"/>
  <c r="R96" i="7"/>
  <c r="Q96" i="7"/>
  <c r="P96" i="7"/>
  <c r="O96" i="7"/>
  <c r="N96" i="7"/>
  <c r="M96" i="7"/>
  <c r="L96" i="7"/>
  <c r="K96" i="7"/>
  <c r="J96" i="7"/>
  <c r="I96" i="7"/>
  <c r="H96" i="7"/>
  <c r="G96" i="7"/>
  <c r="F96" i="7"/>
  <c r="E96" i="7"/>
  <c r="D96" i="7"/>
  <c r="C96" i="7"/>
  <c r="B96" i="7"/>
  <c r="AK95" i="7"/>
  <c r="AJ95" i="7"/>
  <c r="AI95" i="7"/>
  <c r="AH95" i="7"/>
  <c r="AG95" i="7"/>
  <c r="AF95" i="7"/>
  <c r="AE95" i="7"/>
  <c r="AD95" i="7"/>
  <c r="AC95" i="7"/>
  <c r="AB95" i="7"/>
  <c r="AA95" i="7"/>
  <c r="Z95" i="7"/>
  <c r="Y95" i="7"/>
  <c r="X95" i="7"/>
  <c r="W95" i="7"/>
  <c r="V95" i="7"/>
  <c r="U95" i="7"/>
  <c r="T95" i="7"/>
  <c r="S95" i="7"/>
  <c r="R95" i="7"/>
  <c r="Q95" i="7"/>
  <c r="P95" i="7"/>
  <c r="O95" i="7"/>
  <c r="N95" i="7"/>
  <c r="M95" i="7"/>
  <c r="L95" i="7"/>
  <c r="K95" i="7"/>
  <c r="J95" i="7"/>
  <c r="I95" i="7"/>
  <c r="H95" i="7"/>
  <c r="G95" i="7"/>
  <c r="F95" i="7"/>
  <c r="E95" i="7"/>
  <c r="D95" i="7"/>
  <c r="C95" i="7"/>
  <c r="B95" i="7"/>
  <c r="AK94" i="7"/>
  <c r="AJ94" i="7"/>
  <c r="AI94" i="7"/>
  <c r="AH94" i="7"/>
  <c r="AG94" i="7"/>
  <c r="AF94" i="7"/>
  <c r="AE94" i="7"/>
  <c r="AD94" i="7"/>
  <c r="AC94" i="7"/>
  <c r="AB94" i="7"/>
  <c r="AA94" i="7"/>
  <c r="Z94" i="7"/>
  <c r="Y94" i="7"/>
  <c r="X94" i="7"/>
  <c r="W94" i="7"/>
  <c r="V94" i="7"/>
  <c r="U94" i="7"/>
  <c r="T94" i="7"/>
  <c r="S94" i="7"/>
  <c r="R94" i="7"/>
  <c r="Q94" i="7"/>
  <c r="P94" i="7"/>
  <c r="O94" i="7"/>
  <c r="N94" i="7"/>
  <c r="M94" i="7"/>
  <c r="L94" i="7"/>
  <c r="K94" i="7"/>
  <c r="J94" i="7"/>
  <c r="I94" i="7"/>
  <c r="H94" i="7"/>
  <c r="G94" i="7"/>
  <c r="F94" i="7"/>
  <c r="E94" i="7"/>
  <c r="D94" i="7"/>
  <c r="C94" i="7"/>
  <c r="B94" i="7"/>
  <c r="AK93" i="7"/>
  <c r="AJ93" i="7"/>
  <c r="AI93" i="7"/>
  <c r="AH93" i="7"/>
  <c r="AG93" i="7"/>
  <c r="AF93" i="7"/>
  <c r="AE93" i="7"/>
  <c r="AD93" i="7"/>
  <c r="AC93" i="7"/>
  <c r="AB93" i="7"/>
  <c r="AA93" i="7"/>
  <c r="Z93" i="7"/>
  <c r="Y93" i="7"/>
  <c r="X93" i="7"/>
  <c r="W93" i="7"/>
  <c r="V93" i="7"/>
  <c r="U93" i="7"/>
  <c r="T93" i="7"/>
  <c r="S93" i="7"/>
  <c r="R93" i="7"/>
  <c r="Q93" i="7"/>
  <c r="P93" i="7"/>
  <c r="O93" i="7"/>
  <c r="N93" i="7"/>
  <c r="M93" i="7"/>
  <c r="L93" i="7"/>
  <c r="K93" i="7"/>
  <c r="J93" i="7"/>
  <c r="I93" i="7"/>
  <c r="H93" i="7"/>
  <c r="G93" i="7"/>
  <c r="F93" i="7"/>
  <c r="E93" i="7"/>
  <c r="D93" i="7"/>
  <c r="C93" i="7"/>
  <c r="B93" i="7"/>
  <c r="AK92" i="7"/>
  <c r="AJ92" i="7"/>
  <c r="AI92" i="7"/>
  <c r="AH92" i="7"/>
  <c r="AG92" i="7"/>
  <c r="AF92" i="7"/>
  <c r="AE92" i="7"/>
  <c r="AD92" i="7"/>
  <c r="AC92" i="7"/>
  <c r="AB92" i="7"/>
  <c r="AA92" i="7"/>
  <c r="Z92" i="7"/>
  <c r="Y92" i="7"/>
  <c r="X92" i="7"/>
  <c r="W92" i="7"/>
  <c r="V92" i="7"/>
  <c r="U92" i="7"/>
  <c r="T92" i="7"/>
  <c r="S92" i="7"/>
  <c r="R92" i="7"/>
  <c r="Q92" i="7"/>
  <c r="P92" i="7"/>
  <c r="O92" i="7"/>
  <c r="N92" i="7"/>
  <c r="M92" i="7"/>
  <c r="L92" i="7"/>
  <c r="K92" i="7"/>
  <c r="J92" i="7"/>
  <c r="I92" i="7"/>
  <c r="H92" i="7"/>
  <c r="G92" i="7"/>
  <c r="F92" i="7"/>
  <c r="E92" i="7"/>
  <c r="D92" i="7"/>
  <c r="C92" i="7"/>
  <c r="B92" i="7"/>
  <c r="AK91" i="7"/>
  <c r="AJ91" i="7"/>
  <c r="AI91" i="7"/>
  <c r="AH91" i="7"/>
  <c r="AG91" i="7"/>
  <c r="AF91" i="7"/>
  <c r="AE91" i="7"/>
  <c r="AD91" i="7"/>
  <c r="AC91" i="7"/>
  <c r="AB91" i="7"/>
  <c r="AA91" i="7"/>
  <c r="Z91" i="7"/>
  <c r="Y91" i="7"/>
  <c r="X91" i="7"/>
  <c r="W91" i="7"/>
  <c r="V91" i="7"/>
  <c r="U91" i="7"/>
  <c r="T91" i="7"/>
  <c r="S91" i="7"/>
  <c r="R91" i="7"/>
  <c r="Q91" i="7"/>
  <c r="P91" i="7"/>
  <c r="O91" i="7"/>
  <c r="N91" i="7"/>
  <c r="M91" i="7"/>
  <c r="L91" i="7"/>
  <c r="K91" i="7"/>
  <c r="J91" i="7"/>
  <c r="I91" i="7"/>
  <c r="H91" i="7"/>
  <c r="G91" i="7"/>
  <c r="F91" i="7"/>
  <c r="E91" i="7"/>
  <c r="D91" i="7"/>
  <c r="C91" i="7"/>
  <c r="B91" i="7"/>
  <c r="AJ90" i="7"/>
  <c r="AI90" i="7"/>
  <c r="AH90" i="7"/>
  <c r="AG90" i="7"/>
  <c r="AF90" i="7"/>
  <c r="AE90" i="7"/>
  <c r="AD90" i="7"/>
  <c r="AC90" i="7"/>
  <c r="AB90" i="7"/>
  <c r="AA90" i="7"/>
  <c r="Z90" i="7"/>
  <c r="Y90" i="7"/>
  <c r="X90" i="7"/>
  <c r="W90" i="7"/>
  <c r="V90" i="7"/>
  <c r="U90" i="7"/>
  <c r="T90" i="7"/>
  <c r="S90" i="7"/>
  <c r="R90" i="7"/>
  <c r="Q90" i="7"/>
  <c r="P90" i="7"/>
  <c r="O90" i="7"/>
  <c r="N90" i="7"/>
  <c r="M90" i="7"/>
  <c r="L90" i="7"/>
  <c r="K90" i="7"/>
  <c r="J90" i="7"/>
  <c r="I90" i="7"/>
  <c r="H90" i="7"/>
  <c r="G90" i="7"/>
  <c r="F90" i="7"/>
  <c r="E90" i="7"/>
  <c r="D90" i="7"/>
  <c r="C90" i="7"/>
  <c r="B90" i="7"/>
  <c r="AI89" i="7"/>
  <c r="AH89" i="7"/>
  <c r="AG89" i="7"/>
  <c r="AF89" i="7"/>
  <c r="AE89" i="7"/>
  <c r="AD89" i="7"/>
  <c r="AC89" i="7"/>
  <c r="AB89" i="7"/>
  <c r="AA89" i="7"/>
  <c r="Z89" i="7"/>
  <c r="Y89" i="7"/>
  <c r="X89" i="7"/>
  <c r="W89" i="7"/>
  <c r="V89" i="7"/>
  <c r="U89" i="7"/>
  <c r="T89" i="7"/>
  <c r="S89" i="7"/>
  <c r="R89" i="7"/>
  <c r="Q89" i="7"/>
  <c r="P89" i="7"/>
  <c r="O89" i="7"/>
  <c r="N89" i="7"/>
  <c r="M89" i="7"/>
  <c r="L89" i="7"/>
  <c r="K89" i="7"/>
  <c r="J89" i="7"/>
  <c r="I89" i="7"/>
  <c r="H89" i="7"/>
  <c r="G89" i="7"/>
  <c r="F89" i="7"/>
  <c r="E89" i="7"/>
  <c r="D89" i="7"/>
  <c r="C89" i="7"/>
  <c r="B89" i="7"/>
  <c r="AH88" i="7"/>
  <c r="AG88" i="7"/>
  <c r="AF88" i="7"/>
  <c r="AE88" i="7"/>
  <c r="AD88" i="7"/>
  <c r="AC88" i="7"/>
  <c r="AB88" i="7"/>
  <c r="AA88" i="7"/>
  <c r="Z88" i="7"/>
  <c r="Y88" i="7"/>
  <c r="X88" i="7"/>
  <c r="W88" i="7"/>
  <c r="V88" i="7"/>
  <c r="U88" i="7"/>
  <c r="T88" i="7"/>
  <c r="S88" i="7"/>
  <c r="R88" i="7"/>
  <c r="Q88" i="7"/>
  <c r="P88" i="7"/>
  <c r="O88" i="7"/>
  <c r="N88" i="7"/>
  <c r="M88" i="7"/>
  <c r="L88" i="7"/>
  <c r="K88" i="7"/>
  <c r="J88" i="7"/>
  <c r="I88" i="7"/>
  <c r="H88" i="7"/>
  <c r="G88" i="7"/>
  <c r="F88" i="7"/>
  <c r="E88" i="7"/>
  <c r="D88" i="7"/>
  <c r="C88" i="7"/>
  <c r="B88" i="7"/>
  <c r="AG87" i="7"/>
  <c r="AF87" i="7"/>
  <c r="AE87" i="7"/>
  <c r="AD87" i="7"/>
  <c r="AC87" i="7"/>
  <c r="AB87" i="7"/>
  <c r="AA87" i="7"/>
  <c r="Z87" i="7"/>
  <c r="Y87" i="7"/>
  <c r="X87" i="7"/>
  <c r="W87" i="7"/>
  <c r="V87" i="7"/>
  <c r="U87" i="7"/>
  <c r="T87" i="7"/>
  <c r="S87" i="7"/>
  <c r="R87" i="7"/>
  <c r="Q87" i="7"/>
  <c r="P87" i="7"/>
  <c r="O87" i="7"/>
  <c r="N87" i="7"/>
  <c r="M87" i="7"/>
  <c r="L87" i="7"/>
  <c r="K87" i="7"/>
  <c r="J87" i="7"/>
  <c r="I87" i="7"/>
  <c r="H87" i="7"/>
  <c r="G87" i="7"/>
  <c r="F87" i="7"/>
  <c r="E87" i="7"/>
  <c r="D87" i="7"/>
  <c r="C87" i="7"/>
  <c r="B87" i="7"/>
  <c r="AF86" i="7"/>
  <c r="AE86" i="7"/>
  <c r="AD86" i="7"/>
  <c r="AC86" i="7"/>
  <c r="AB86" i="7"/>
  <c r="AA86" i="7"/>
  <c r="Z86" i="7"/>
  <c r="Y86" i="7"/>
  <c r="X86" i="7"/>
  <c r="W86" i="7"/>
  <c r="V86" i="7"/>
  <c r="U86" i="7"/>
  <c r="T86" i="7"/>
  <c r="S86" i="7"/>
  <c r="R86" i="7"/>
  <c r="Q86" i="7"/>
  <c r="P86" i="7"/>
  <c r="O86" i="7"/>
  <c r="N86" i="7"/>
  <c r="M86" i="7"/>
  <c r="L86" i="7"/>
  <c r="K86" i="7"/>
  <c r="J86" i="7"/>
  <c r="I86" i="7"/>
  <c r="H86" i="7"/>
  <c r="G86" i="7"/>
  <c r="F86" i="7"/>
  <c r="E86" i="7"/>
  <c r="D86" i="7"/>
  <c r="C86" i="7"/>
  <c r="B86" i="7"/>
  <c r="AE85" i="7"/>
  <c r="AD85" i="7"/>
  <c r="AC85" i="7"/>
  <c r="AB85" i="7"/>
  <c r="AA85" i="7"/>
  <c r="Z85" i="7"/>
  <c r="Y85" i="7"/>
  <c r="X85" i="7"/>
  <c r="W85" i="7"/>
  <c r="V85" i="7"/>
  <c r="U85" i="7"/>
  <c r="T85" i="7"/>
  <c r="S85" i="7"/>
  <c r="R85" i="7"/>
  <c r="Q85" i="7"/>
  <c r="P85" i="7"/>
  <c r="O85" i="7"/>
  <c r="N85" i="7"/>
  <c r="M85" i="7"/>
  <c r="L85" i="7"/>
  <c r="K85" i="7"/>
  <c r="J85" i="7"/>
  <c r="I85" i="7"/>
  <c r="H85" i="7"/>
  <c r="G85" i="7"/>
  <c r="F85" i="7"/>
  <c r="E85" i="7"/>
  <c r="D85" i="7"/>
  <c r="C85" i="7"/>
  <c r="B85" i="7"/>
  <c r="AD84" i="7"/>
  <c r="AC84" i="7"/>
  <c r="AB84" i="7"/>
  <c r="AA84" i="7"/>
  <c r="Z84" i="7"/>
  <c r="Y84" i="7"/>
  <c r="X84" i="7"/>
  <c r="W84" i="7"/>
  <c r="V84" i="7"/>
  <c r="U84" i="7"/>
  <c r="T84" i="7"/>
  <c r="S84" i="7"/>
  <c r="R84" i="7"/>
  <c r="Q84" i="7"/>
  <c r="P84" i="7"/>
  <c r="O84" i="7"/>
  <c r="N84" i="7"/>
  <c r="M84" i="7"/>
  <c r="L84" i="7"/>
  <c r="K84" i="7"/>
  <c r="J84" i="7"/>
  <c r="I84" i="7"/>
  <c r="H84" i="7"/>
  <c r="G84" i="7"/>
  <c r="F84" i="7"/>
  <c r="E84" i="7"/>
  <c r="D84" i="7"/>
  <c r="C84" i="7"/>
  <c r="B84" i="7"/>
  <c r="AC83" i="7"/>
  <c r="AB83" i="7"/>
  <c r="AA83" i="7"/>
  <c r="Z83" i="7"/>
  <c r="Y83" i="7"/>
  <c r="X83" i="7"/>
  <c r="W83" i="7"/>
  <c r="V83" i="7"/>
  <c r="U83" i="7"/>
  <c r="T83" i="7"/>
  <c r="S83" i="7"/>
  <c r="R83" i="7"/>
  <c r="Q83" i="7"/>
  <c r="P83" i="7"/>
  <c r="O83" i="7"/>
  <c r="N83" i="7"/>
  <c r="M83" i="7"/>
  <c r="L83" i="7"/>
  <c r="K83" i="7"/>
  <c r="J83" i="7"/>
  <c r="I83" i="7"/>
  <c r="H83" i="7"/>
  <c r="G83" i="7"/>
  <c r="F83" i="7"/>
  <c r="E83" i="7"/>
  <c r="D83" i="7"/>
  <c r="C83" i="7"/>
  <c r="B83" i="7"/>
  <c r="AB82" i="7"/>
  <c r="AA82" i="7"/>
  <c r="Z82" i="7"/>
  <c r="Y82" i="7"/>
  <c r="X82" i="7"/>
  <c r="W82" i="7"/>
  <c r="V82" i="7"/>
  <c r="U82" i="7"/>
  <c r="T82" i="7"/>
  <c r="S82" i="7"/>
  <c r="R82" i="7"/>
  <c r="Q82" i="7"/>
  <c r="P82" i="7"/>
  <c r="O82" i="7"/>
  <c r="N82" i="7"/>
  <c r="M82" i="7"/>
  <c r="L82" i="7"/>
  <c r="K82" i="7"/>
  <c r="J82" i="7"/>
  <c r="I82" i="7"/>
  <c r="H82" i="7"/>
  <c r="G82" i="7"/>
  <c r="F82" i="7"/>
  <c r="E82" i="7"/>
  <c r="D82" i="7"/>
  <c r="C82" i="7"/>
  <c r="B82" i="7"/>
  <c r="AA81" i="7"/>
  <c r="Z81" i="7"/>
  <c r="Y81" i="7"/>
  <c r="X81" i="7"/>
  <c r="W81" i="7"/>
  <c r="V81" i="7"/>
  <c r="U81" i="7"/>
  <c r="T81" i="7"/>
  <c r="S81" i="7"/>
  <c r="R81" i="7"/>
  <c r="Q81" i="7"/>
  <c r="P81" i="7"/>
  <c r="O81" i="7"/>
  <c r="N81" i="7"/>
  <c r="M81" i="7"/>
  <c r="L81" i="7"/>
  <c r="K81" i="7"/>
  <c r="J81" i="7"/>
  <c r="I81" i="7"/>
  <c r="H81" i="7"/>
  <c r="G81" i="7"/>
  <c r="F81" i="7"/>
  <c r="E81" i="7"/>
  <c r="D81" i="7"/>
  <c r="C81" i="7"/>
  <c r="B81" i="7"/>
  <c r="Z80" i="7"/>
  <c r="Y80" i="7"/>
  <c r="X80" i="7"/>
  <c r="W80" i="7"/>
  <c r="V80" i="7"/>
  <c r="U80" i="7"/>
  <c r="T80" i="7"/>
  <c r="S80" i="7"/>
  <c r="R80" i="7"/>
  <c r="Q80" i="7"/>
  <c r="P80" i="7"/>
  <c r="O80" i="7"/>
  <c r="N80" i="7"/>
  <c r="M80" i="7"/>
  <c r="L80" i="7"/>
  <c r="K80" i="7"/>
  <c r="J80" i="7"/>
  <c r="I80" i="7"/>
  <c r="H80" i="7"/>
  <c r="G80" i="7"/>
  <c r="F80" i="7"/>
  <c r="E80" i="7"/>
  <c r="D80" i="7"/>
  <c r="C80" i="7"/>
  <c r="B80" i="7"/>
  <c r="Y79" i="7"/>
  <c r="X79" i="7"/>
  <c r="W79" i="7"/>
  <c r="V79" i="7"/>
  <c r="U79" i="7"/>
  <c r="T79" i="7"/>
  <c r="S79" i="7"/>
  <c r="R79" i="7"/>
  <c r="Q79" i="7"/>
  <c r="P79" i="7"/>
  <c r="O79" i="7"/>
  <c r="N79" i="7"/>
  <c r="M79" i="7"/>
  <c r="L79" i="7"/>
  <c r="K79" i="7"/>
  <c r="J79" i="7"/>
  <c r="I79" i="7"/>
  <c r="H79" i="7"/>
  <c r="G79" i="7"/>
  <c r="F79" i="7"/>
  <c r="E79" i="7"/>
  <c r="D79" i="7"/>
  <c r="C79" i="7"/>
  <c r="B79" i="7"/>
  <c r="X78" i="7"/>
  <c r="W78" i="7"/>
  <c r="V78" i="7"/>
  <c r="U78" i="7"/>
  <c r="T78" i="7"/>
  <c r="S78" i="7"/>
  <c r="R78" i="7"/>
  <c r="Q78" i="7"/>
  <c r="P78" i="7"/>
  <c r="O78" i="7"/>
  <c r="N78" i="7"/>
  <c r="M78" i="7"/>
  <c r="L78" i="7"/>
  <c r="K78" i="7"/>
  <c r="J78" i="7"/>
  <c r="I78" i="7"/>
  <c r="H78" i="7"/>
  <c r="G78" i="7"/>
  <c r="F78" i="7"/>
  <c r="E78" i="7"/>
  <c r="D78" i="7"/>
  <c r="C78" i="7"/>
  <c r="B78" i="7"/>
  <c r="W77" i="7"/>
  <c r="V77" i="7"/>
  <c r="U77" i="7"/>
  <c r="T77" i="7"/>
  <c r="S77" i="7"/>
  <c r="R77" i="7"/>
  <c r="Q77" i="7"/>
  <c r="P77" i="7"/>
  <c r="O77" i="7"/>
  <c r="N77" i="7"/>
  <c r="M77" i="7"/>
  <c r="L77" i="7"/>
  <c r="K77" i="7"/>
  <c r="J77" i="7"/>
  <c r="I77" i="7"/>
  <c r="H77" i="7"/>
  <c r="G77" i="7"/>
  <c r="F77" i="7"/>
  <c r="E77" i="7"/>
  <c r="D77" i="7"/>
  <c r="C77" i="7"/>
  <c r="B77" i="7"/>
  <c r="V76" i="7"/>
  <c r="U76" i="7"/>
  <c r="T76" i="7"/>
  <c r="S76" i="7"/>
  <c r="R76" i="7"/>
  <c r="Q76" i="7"/>
  <c r="P76" i="7"/>
  <c r="O76" i="7"/>
  <c r="N76" i="7"/>
  <c r="M76" i="7"/>
  <c r="L76" i="7"/>
  <c r="K76" i="7"/>
  <c r="J76" i="7"/>
  <c r="I76" i="7"/>
  <c r="H76" i="7"/>
  <c r="G76" i="7"/>
  <c r="F76" i="7"/>
  <c r="E76" i="7"/>
  <c r="D76" i="7"/>
  <c r="C76" i="7"/>
  <c r="B76" i="7"/>
  <c r="U75" i="7"/>
  <c r="T75" i="7"/>
  <c r="S75" i="7"/>
  <c r="R75" i="7"/>
  <c r="Q75" i="7"/>
  <c r="P75" i="7"/>
  <c r="O75" i="7"/>
  <c r="N75" i="7"/>
  <c r="M75" i="7"/>
  <c r="L75" i="7"/>
  <c r="K75" i="7"/>
  <c r="J75" i="7"/>
  <c r="I75" i="7"/>
  <c r="H75" i="7"/>
  <c r="G75" i="7"/>
  <c r="F75" i="7"/>
  <c r="E75" i="7"/>
  <c r="D75" i="7"/>
  <c r="C75" i="7"/>
  <c r="B75" i="7"/>
  <c r="T74" i="7"/>
  <c r="S74" i="7"/>
  <c r="R74" i="7"/>
  <c r="Q74" i="7"/>
  <c r="P74" i="7"/>
  <c r="O74" i="7"/>
  <c r="N74" i="7"/>
  <c r="M74" i="7"/>
  <c r="L74" i="7"/>
  <c r="K74" i="7"/>
  <c r="J74" i="7"/>
  <c r="I74" i="7"/>
  <c r="H74" i="7"/>
  <c r="G74" i="7"/>
  <c r="F74" i="7"/>
  <c r="E74" i="7"/>
  <c r="D74" i="7"/>
  <c r="C74" i="7"/>
  <c r="B74" i="7"/>
  <c r="S73" i="7"/>
  <c r="R73" i="7"/>
  <c r="Q73" i="7"/>
  <c r="P73" i="7"/>
  <c r="O73" i="7"/>
  <c r="N73" i="7"/>
  <c r="M73" i="7"/>
  <c r="L73" i="7"/>
  <c r="K73" i="7"/>
  <c r="J73" i="7"/>
  <c r="I73" i="7"/>
  <c r="H73" i="7"/>
  <c r="G73" i="7"/>
  <c r="F73" i="7"/>
  <c r="E73" i="7"/>
  <c r="D73" i="7"/>
  <c r="C73" i="7"/>
  <c r="B73" i="7"/>
  <c r="R72" i="7"/>
  <c r="Q72" i="7"/>
  <c r="P72" i="7"/>
  <c r="O72" i="7"/>
  <c r="N72" i="7"/>
  <c r="M72" i="7"/>
  <c r="L72" i="7"/>
  <c r="K72" i="7"/>
  <c r="J72" i="7"/>
  <c r="I72" i="7"/>
  <c r="H72" i="7"/>
  <c r="G72" i="7"/>
  <c r="F72" i="7"/>
  <c r="E72" i="7"/>
  <c r="D72" i="7"/>
  <c r="C72" i="7"/>
  <c r="B72" i="7"/>
  <c r="Q71" i="7"/>
  <c r="P71" i="7"/>
  <c r="O71" i="7"/>
  <c r="N71" i="7"/>
  <c r="M71" i="7"/>
  <c r="L71" i="7"/>
  <c r="K71" i="7"/>
  <c r="J71" i="7"/>
  <c r="I71" i="7"/>
  <c r="H71" i="7"/>
  <c r="G71" i="7"/>
  <c r="F71" i="7"/>
  <c r="E71" i="7"/>
  <c r="D71" i="7"/>
  <c r="C71" i="7"/>
  <c r="B71" i="7"/>
  <c r="P70" i="7"/>
  <c r="O70" i="7"/>
  <c r="N70" i="7"/>
  <c r="M70" i="7"/>
  <c r="L70" i="7"/>
  <c r="K70" i="7"/>
  <c r="J70" i="7"/>
  <c r="I70" i="7"/>
  <c r="H70" i="7"/>
  <c r="G70" i="7"/>
  <c r="F70" i="7"/>
  <c r="E70" i="7"/>
  <c r="D70" i="7"/>
  <c r="C70" i="7"/>
  <c r="B70" i="7"/>
  <c r="O69" i="7"/>
  <c r="N69" i="7"/>
  <c r="M69" i="7"/>
  <c r="L69" i="7"/>
  <c r="K69" i="7"/>
  <c r="J69" i="7"/>
  <c r="I69" i="7"/>
  <c r="H69" i="7"/>
  <c r="G69" i="7"/>
  <c r="F69" i="7"/>
  <c r="E69" i="7"/>
  <c r="D69" i="7"/>
  <c r="C69" i="7"/>
  <c r="B69" i="7"/>
  <c r="N68" i="7"/>
  <c r="M68" i="7"/>
  <c r="L68" i="7"/>
  <c r="K68" i="7"/>
  <c r="J68" i="7"/>
  <c r="I68" i="7"/>
  <c r="H68" i="7"/>
  <c r="G68" i="7"/>
  <c r="F68" i="7"/>
  <c r="E68" i="7"/>
  <c r="D68" i="7"/>
  <c r="C68" i="7"/>
  <c r="B68" i="7"/>
  <c r="M67" i="7"/>
  <c r="L67" i="7"/>
  <c r="K67" i="7"/>
  <c r="J67" i="7"/>
  <c r="I67" i="7"/>
  <c r="H67" i="7"/>
  <c r="G67" i="7"/>
  <c r="F67" i="7"/>
  <c r="E67" i="7"/>
  <c r="D67" i="7"/>
  <c r="C67" i="7"/>
  <c r="B67" i="7"/>
  <c r="L66" i="7"/>
  <c r="K66" i="7"/>
  <c r="J66" i="7"/>
  <c r="I66" i="7"/>
  <c r="H66" i="7"/>
  <c r="G66" i="7"/>
  <c r="F66" i="7"/>
  <c r="E66" i="7"/>
  <c r="D66" i="7"/>
  <c r="C66" i="7"/>
  <c r="B66" i="7"/>
  <c r="K65" i="7"/>
  <c r="J65" i="7"/>
  <c r="I65" i="7"/>
  <c r="H65" i="7"/>
  <c r="G65" i="7"/>
  <c r="F65" i="7"/>
  <c r="E65" i="7"/>
  <c r="D65" i="7"/>
  <c r="C65" i="7"/>
  <c r="B65" i="7"/>
  <c r="J64" i="7"/>
  <c r="I64" i="7"/>
  <c r="H64" i="7"/>
  <c r="G64" i="7"/>
  <c r="F64" i="7"/>
  <c r="E64" i="7"/>
  <c r="D64" i="7"/>
  <c r="C64" i="7"/>
  <c r="B64" i="7"/>
  <c r="I63" i="7"/>
  <c r="H63" i="7"/>
  <c r="G63" i="7"/>
  <c r="F63" i="7"/>
  <c r="E63" i="7"/>
  <c r="D63" i="7"/>
  <c r="C63" i="7"/>
  <c r="B63" i="7"/>
  <c r="H62" i="7"/>
  <c r="G62" i="7"/>
  <c r="F62" i="7"/>
  <c r="E62" i="7"/>
  <c r="D62" i="7"/>
  <c r="C62" i="7"/>
  <c r="B62" i="7"/>
  <c r="G61" i="7"/>
  <c r="F61" i="7"/>
  <c r="E61" i="7"/>
  <c r="D61" i="7"/>
  <c r="C61" i="7"/>
  <c r="B61" i="7"/>
  <c r="F60" i="7"/>
  <c r="E60" i="7"/>
  <c r="D60" i="7"/>
  <c r="C60" i="7"/>
  <c r="B60" i="7"/>
  <c r="E59" i="7"/>
  <c r="D59" i="7"/>
  <c r="C59" i="7"/>
  <c r="B59" i="7"/>
  <c r="D58" i="7"/>
  <c r="C58" i="7"/>
  <c r="B58" i="7"/>
  <c r="C57" i="7"/>
  <c r="B57" i="7"/>
  <c r="B56" i="7"/>
  <c r="AL5" i="7"/>
  <c r="B4" i="7"/>
  <c r="B3" i="7"/>
  <c r="H10" i="6"/>
  <c r="G10" i="6"/>
  <c r="F10" i="6"/>
  <c r="L6" i="6"/>
  <c r="K6" i="6"/>
  <c r="J6" i="6"/>
  <c r="D5" i="6"/>
  <c r="E4" i="6"/>
  <c r="E221" i="5"/>
  <c r="AU218" i="5"/>
  <c r="AV217" i="5" s="1"/>
  <c r="AR218" i="5"/>
  <c r="AS217" i="5" s="1"/>
  <c r="AQ218" i="5"/>
  <c r="AR217" i="5" s="1"/>
  <c r="AB218" i="5"/>
  <c r="AC217" i="5" s="1"/>
  <c r="AA218" i="5"/>
  <c r="AB217" i="5" s="1"/>
  <c r="O218" i="5"/>
  <c r="P217" i="5" s="1"/>
  <c r="L218" i="5"/>
  <c r="M217" i="5" s="1"/>
  <c r="K218" i="5"/>
  <c r="L217" i="5" s="1"/>
  <c r="AI217" i="5"/>
  <c r="AH217" i="5"/>
  <c r="AG217" i="5"/>
  <c r="S217" i="5"/>
  <c r="E217" i="5"/>
  <c r="E209" i="5"/>
  <c r="E213" i="5" s="1"/>
  <c r="BF205" i="5"/>
  <c r="BF218" i="5" s="1"/>
  <c r="BE205" i="5"/>
  <c r="BE218" i="5" s="1"/>
  <c r="BF217" i="5" s="1"/>
  <c r="AZ205" i="5"/>
  <c r="AZ218" i="5" s="1"/>
  <c r="BA217" i="5" s="1"/>
  <c r="AY205" i="5"/>
  <c r="AY218" i="5" s="1"/>
  <c r="AZ217" i="5" s="1"/>
  <c r="AX205" i="5"/>
  <c r="AX218" i="5" s="1"/>
  <c r="AY217" i="5" s="1"/>
  <c r="AW205" i="5"/>
  <c r="AW218" i="5" s="1"/>
  <c r="AX217" i="5" s="1"/>
  <c r="AR205" i="5"/>
  <c r="AQ205" i="5"/>
  <c r="AP205" i="5"/>
  <c r="AP218" i="5" s="1"/>
  <c r="AQ217" i="5" s="1"/>
  <c r="AO205" i="5"/>
  <c r="AO218" i="5" s="1"/>
  <c r="AP217" i="5" s="1"/>
  <c r="AJ205" i="5"/>
  <c r="AJ218" i="5" s="1"/>
  <c r="AK217" i="5" s="1"/>
  <c r="AI205" i="5"/>
  <c r="AI218" i="5" s="1"/>
  <c r="AJ217" i="5" s="1"/>
  <c r="AH205" i="5"/>
  <c r="AH218" i="5" s="1"/>
  <c r="AG205" i="5"/>
  <c r="AG218" i="5" s="1"/>
  <c r="AB205" i="5"/>
  <c r="AA205" i="5"/>
  <c r="Z205" i="5"/>
  <c r="Z218" i="5" s="1"/>
  <c r="AA217" i="5" s="1"/>
  <c r="Y205" i="5"/>
  <c r="Y218" i="5" s="1"/>
  <c r="Z217" i="5" s="1"/>
  <c r="T205" i="5"/>
  <c r="T218" i="5" s="1"/>
  <c r="U217" i="5" s="1"/>
  <c r="S205" i="5"/>
  <c r="S218" i="5" s="1"/>
  <c r="T217" i="5" s="1"/>
  <c r="R205" i="5"/>
  <c r="R218" i="5" s="1"/>
  <c r="L205" i="5"/>
  <c r="K205" i="5"/>
  <c r="J205" i="5"/>
  <c r="J218" i="5" s="1"/>
  <c r="K217" i="5" s="1"/>
  <c r="I205" i="5"/>
  <c r="I218" i="5" s="1"/>
  <c r="J217" i="5" s="1"/>
  <c r="BF201" i="5"/>
  <c r="BE201" i="5"/>
  <c r="BD201" i="5"/>
  <c r="BD205" i="5" s="1"/>
  <c r="BD218" i="5" s="1"/>
  <c r="BE217" i="5" s="1"/>
  <c r="BC201" i="5"/>
  <c r="BC205" i="5" s="1"/>
  <c r="BC218" i="5" s="1"/>
  <c r="BD217" i="5" s="1"/>
  <c r="BB201" i="5"/>
  <c r="BB205" i="5" s="1"/>
  <c r="BB218" i="5" s="1"/>
  <c r="BC217" i="5" s="1"/>
  <c r="BA201" i="5"/>
  <c r="BA205" i="5" s="1"/>
  <c r="BA218" i="5" s="1"/>
  <c r="BB217" i="5" s="1"/>
  <c r="AZ201" i="5"/>
  <c r="AY201" i="5"/>
  <c r="AX201" i="5"/>
  <c r="AW201" i="5"/>
  <c r="AV201" i="5"/>
  <c r="AV205" i="5" s="1"/>
  <c r="AV218" i="5" s="1"/>
  <c r="AW217" i="5" s="1"/>
  <c r="AU201" i="5"/>
  <c r="AU205" i="5" s="1"/>
  <c r="AT201" i="5"/>
  <c r="AT205" i="5" s="1"/>
  <c r="AT218" i="5" s="1"/>
  <c r="AU217" i="5" s="1"/>
  <c r="AS201" i="5"/>
  <c r="AS205" i="5" s="1"/>
  <c r="AS218" i="5" s="1"/>
  <c r="AT217" i="5" s="1"/>
  <c r="AR201" i="5"/>
  <c r="AQ201" i="5"/>
  <c r="AP201" i="5"/>
  <c r="AO201" i="5"/>
  <c r="AN201" i="5"/>
  <c r="AN205" i="5" s="1"/>
  <c r="AN218" i="5" s="1"/>
  <c r="AO217" i="5" s="1"/>
  <c r="AM201" i="5"/>
  <c r="AM205" i="5" s="1"/>
  <c r="AM218" i="5" s="1"/>
  <c r="AN217" i="5" s="1"/>
  <c r="AL201" i="5"/>
  <c r="AL205" i="5" s="1"/>
  <c r="AL218" i="5" s="1"/>
  <c r="AM217" i="5" s="1"/>
  <c r="AK201" i="5"/>
  <c r="AK205" i="5" s="1"/>
  <c r="AK218" i="5" s="1"/>
  <c r="AL217" i="5" s="1"/>
  <c r="AJ201" i="5"/>
  <c r="AI201" i="5"/>
  <c r="AH201" i="5"/>
  <c r="AG201" i="5"/>
  <c r="AF201" i="5"/>
  <c r="AF205" i="5" s="1"/>
  <c r="AF218" i="5" s="1"/>
  <c r="AE201" i="5"/>
  <c r="AE205" i="5" s="1"/>
  <c r="AE218" i="5" s="1"/>
  <c r="AF217" i="5" s="1"/>
  <c r="AD201" i="5"/>
  <c r="AD205" i="5" s="1"/>
  <c r="AD218" i="5" s="1"/>
  <c r="AE217" i="5" s="1"/>
  <c r="AC201" i="5"/>
  <c r="AC205" i="5" s="1"/>
  <c r="AC218" i="5" s="1"/>
  <c r="AD217" i="5" s="1"/>
  <c r="AB201" i="5"/>
  <c r="AA201" i="5"/>
  <c r="Z201" i="5"/>
  <c r="Y201" i="5"/>
  <c r="X201" i="5"/>
  <c r="X205" i="5" s="1"/>
  <c r="X218" i="5" s="1"/>
  <c r="Y217" i="5" s="1"/>
  <c r="W201" i="5"/>
  <c r="W205" i="5" s="1"/>
  <c r="W218" i="5" s="1"/>
  <c r="X217" i="5" s="1"/>
  <c r="V201" i="5"/>
  <c r="V205" i="5" s="1"/>
  <c r="V218" i="5" s="1"/>
  <c r="W217" i="5" s="1"/>
  <c r="U201" i="5"/>
  <c r="U205" i="5" s="1"/>
  <c r="U218" i="5" s="1"/>
  <c r="V217" i="5" s="1"/>
  <c r="T201" i="5"/>
  <c r="S201" i="5"/>
  <c r="R201" i="5"/>
  <c r="Q201" i="5"/>
  <c r="Q205" i="5" s="1"/>
  <c r="Q218" i="5" s="1"/>
  <c r="R217" i="5" s="1"/>
  <c r="P201" i="5"/>
  <c r="P205" i="5" s="1"/>
  <c r="P218" i="5" s="1"/>
  <c r="Q217" i="5" s="1"/>
  <c r="O201" i="5"/>
  <c r="O205" i="5" s="1"/>
  <c r="N201" i="5"/>
  <c r="N205" i="5" s="1"/>
  <c r="N218" i="5" s="1"/>
  <c r="O217" i="5" s="1"/>
  <c r="M201" i="5"/>
  <c r="M205" i="5" s="1"/>
  <c r="M218" i="5" s="1"/>
  <c r="N217" i="5" s="1"/>
  <c r="L201" i="5"/>
  <c r="K201" i="5"/>
  <c r="J201" i="5"/>
  <c r="I201" i="5"/>
  <c r="H201" i="5"/>
  <c r="H205" i="5" s="1"/>
  <c r="H218" i="5" s="1"/>
  <c r="I217" i="5" s="1"/>
  <c r="G201" i="5"/>
  <c r="G205" i="5" s="1"/>
  <c r="G218" i="5" s="1"/>
  <c r="H217" i="5" s="1"/>
  <c r="F201" i="5"/>
  <c r="F205" i="5" s="1"/>
  <c r="F218" i="5" s="1"/>
  <c r="G217" i="5" s="1"/>
  <c r="E201" i="5"/>
  <c r="E205" i="5" s="1"/>
  <c r="E218" i="5" s="1"/>
  <c r="F217" i="5" s="1"/>
  <c r="BF194" i="5"/>
  <c r="BE194" i="5"/>
  <c r="BD194" i="5"/>
  <c r="BC194" i="5"/>
  <c r="BB194" i="5"/>
  <c r="BA194" i="5"/>
  <c r="AZ194" i="5"/>
  <c r="AY194" i="5"/>
  <c r="AX194" i="5"/>
  <c r="AW194" i="5"/>
  <c r="AV194" i="5"/>
  <c r="AU194" i="5"/>
  <c r="AT194" i="5"/>
  <c r="AS194" i="5"/>
  <c r="AR194" i="5"/>
  <c r="AQ194" i="5"/>
  <c r="AP194" i="5"/>
  <c r="AO194" i="5"/>
  <c r="AN194" i="5"/>
  <c r="AM194" i="5"/>
  <c r="AL194" i="5"/>
  <c r="AK194" i="5"/>
  <c r="AJ194" i="5"/>
  <c r="AI194" i="5"/>
  <c r="AH194" i="5"/>
  <c r="AG194" i="5"/>
  <c r="AF194" i="5"/>
  <c r="AE194" i="5"/>
  <c r="AD194" i="5"/>
  <c r="AC194" i="5"/>
  <c r="AB194" i="5"/>
  <c r="AA194" i="5"/>
  <c r="Z194" i="5"/>
  <c r="Y194" i="5"/>
  <c r="X194" i="5"/>
  <c r="W194" i="5"/>
  <c r="V194" i="5"/>
  <c r="U194" i="5"/>
  <c r="T194" i="5"/>
  <c r="S194" i="5"/>
  <c r="R194" i="5"/>
  <c r="Q194" i="5"/>
  <c r="P194" i="5"/>
  <c r="O194" i="5"/>
  <c r="N194" i="5"/>
  <c r="M194" i="5"/>
  <c r="L194" i="5"/>
  <c r="K194" i="5"/>
  <c r="J194" i="5"/>
  <c r="I194" i="5"/>
  <c r="H194" i="5"/>
  <c r="G194" i="5"/>
  <c r="F194" i="5"/>
  <c r="E194" i="5"/>
  <c r="E193" i="5"/>
  <c r="E195" i="5" s="1"/>
  <c r="E91" i="5"/>
  <c r="D12" i="5"/>
  <c r="F5" i="5"/>
  <c r="E5" i="5"/>
  <c r="F114" i="4"/>
  <c r="G114" i="4" s="1"/>
  <c r="H114" i="4" s="1"/>
  <c r="I114" i="4" s="1"/>
  <c r="J114" i="4" s="1"/>
  <c r="K114" i="4" s="1"/>
  <c r="L114" i="4" s="1"/>
  <c r="M114" i="4" s="1"/>
  <c r="N114" i="4" s="1"/>
  <c r="O114" i="4" s="1"/>
  <c r="E82" i="4"/>
  <c r="H81" i="4"/>
  <c r="G81" i="4"/>
  <c r="E81" i="4" s="1"/>
  <c r="D81" i="4"/>
  <c r="D96" i="3" s="1"/>
  <c r="E96" i="3" s="1"/>
  <c r="F96" i="3" s="1"/>
  <c r="E117" i="5" s="1"/>
  <c r="H80" i="4"/>
  <c r="G80" i="4"/>
  <c r="F80" i="4"/>
  <c r="E80" i="4"/>
  <c r="D80" i="4"/>
  <c r="G79" i="4"/>
  <c r="F79" i="4"/>
  <c r="E79" i="4"/>
  <c r="H78" i="4"/>
  <c r="G78" i="4"/>
  <c r="F78" i="4"/>
  <c r="E78" i="4"/>
  <c r="D78" i="4"/>
  <c r="D93" i="3" s="1"/>
  <c r="H77" i="4"/>
  <c r="G77" i="4"/>
  <c r="F77" i="4"/>
  <c r="E77" i="4" s="1"/>
  <c r="H76" i="4"/>
  <c r="G76" i="4"/>
  <c r="F76" i="4"/>
  <c r="E76" i="4"/>
  <c r="D63" i="4"/>
  <c r="D62" i="4"/>
  <c r="D61" i="4"/>
  <c r="E78" i="3" s="1"/>
  <c r="D60" i="4"/>
  <c r="D59" i="4"/>
  <c r="E46" i="4"/>
  <c r="F46" i="4" s="1"/>
  <c r="E32" i="4"/>
  <c r="F32" i="4" s="1"/>
  <c r="E31" i="4"/>
  <c r="D31" i="4"/>
  <c r="F27" i="4"/>
  <c r="E27" i="4"/>
  <c r="K24" i="4"/>
  <c r="I24" i="4"/>
  <c r="H24" i="4"/>
  <c r="E12" i="3" s="1"/>
  <c r="G24" i="4"/>
  <c r="E10" i="3" s="1"/>
  <c r="L21" i="4"/>
  <c r="J24" i="4" s="1"/>
  <c r="E34" i="3" s="1"/>
  <c r="L20" i="4"/>
  <c r="L19" i="4"/>
  <c r="F106" i="3"/>
  <c r="F105" i="3"/>
  <c r="E126" i="5" s="1"/>
  <c r="F104" i="3"/>
  <c r="E125" i="5" s="1"/>
  <c r="F103" i="3"/>
  <c r="E124" i="5" s="1"/>
  <c r="E103" i="3"/>
  <c r="E102" i="3"/>
  <c r="F102" i="3" s="1"/>
  <c r="E123" i="5" s="1"/>
  <c r="E101" i="3"/>
  <c r="F101" i="3" s="1"/>
  <c r="E122" i="5" s="1"/>
  <c r="E100" i="3"/>
  <c r="F100" i="3" s="1"/>
  <c r="E121" i="5" s="1"/>
  <c r="F99" i="3"/>
  <c r="E120" i="5" s="1"/>
  <c r="E99" i="3"/>
  <c r="D98" i="3"/>
  <c r="E98" i="3" s="1"/>
  <c r="F98" i="3" s="1"/>
  <c r="E119" i="5" s="1"/>
  <c r="D97" i="3"/>
  <c r="E97" i="3" s="1"/>
  <c r="F97" i="3" s="1"/>
  <c r="E118" i="5" s="1"/>
  <c r="D95" i="3"/>
  <c r="E94" i="3"/>
  <c r="F94" i="3" s="1"/>
  <c r="E115" i="5" s="1"/>
  <c r="D94" i="3"/>
  <c r="D92" i="3"/>
  <c r="E92" i="3" s="1"/>
  <c r="F92" i="3" s="1"/>
  <c r="E113" i="5" s="1"/>
  <c r="D91" i="3"/>
  <c r="E71" i="3"/>
  <c r="E67" i="3"/>
  <c r="E66" i="3"/>
  <c r="E65" i="3"/>
  <c r="E90" i="5" s="1"/>
  <c r="E63" i="3"/>
  <c r="E89" i="5" s="1"/>
  <c r="E88" i="5" s="1"/>
  <c r="E61" i="3"/>
  <c r="E86" i="5" s="1"/>
  <c r="E85" i="5" s="1"/>
  <c r="S50" i="3"/>
  <c r="R50" i="3"/>
  <c r="Q50" i="3"/>
  <c r="P50" i="3"/>
  <c r="O50" i="3"/>
  <c r="S47" i="3"/>
  <c r="R47" i="3"/>
  <c r="Q47" i="3"/>
  <c r="P47" i="3"/>
  <c r="O47" i="3"/>
  <c r="N47" i="3" s="1"/>
  <c r="S46" i="3"/>
  <c r="R46" i="3"/>
  <c r="R45" i="3" s="1"/>
  <c r="R19" i="3" s="1"/>
  <c r="Q46" i="3"/>
  <c r="P46" i="3"/>
  <c r="S45" i="3"/>
  <c r="Q45" i="3"/>
  <c r="Q19" i="3" s="1"/>
  <c r="P45" i="3"/>
  <c r="P19" i="3" s="1"/>
  <c r="S44" i="3"/>
  <c r="R44" i="3"/>
  <c r="Q44" i="3"/>
  <c r="P44" i="3"/>
  <c r="O44" i="3"/>
  <c r="N44" i="3" s="1"/>
  <c r="S42" i="3"/>
  <c r="R42" i="3"/>
  <c r="Q42" i="3"/>
  <c r="P42" i="3"/>
  <c r="S36" i="3"/>
  <c r="R36" i="3"/>
  <c r="Q36" i="3"/>
  <c r="P36" i="3"/>
  <c r="E35" i="3"/>
  <c r="E31" i="3"/>
  <c r="C31" i="3"/>
  <c r="E30" i="3"/>
  <c r="C30" i="3"/>
  <c r="C29" i="3"/>
  <c r="C28" i="3"/>
  <c r="C27" i="3"/>
  <c r="S19" i="3"/>
  <c r="F19" i="3"/>
  <c r="E18" i="3"/>
  <c r="E19" i="3" s="1"/>
  <c r="G19" i="3" s="1"/>
  <c r="H6" i="3"/>
  <c r="H5" i="3"/>
  <c r="H4" i="3"/>
  <c r="D2" i="3"/>
  <c r="C2" i="3"/>
  <c r="B2" i="3"/>
  <c r="BB54" i="7" l="1"/>
  <c r="AT54" i="7"/>
  <c r="AL54" i="7"/>
  <c r="AD54" i="7"/>
  <c r="V54" i="7"/>
  <c r="N54" i="7"/>
  <c r="F54" i="7"/>
  <c r="BI54" i="7"/>
  <c r="BA54" i="7"/>
  <c r="AS54" i="7"/>
  <c r="AK54" i="7"/>
  <c r="AK55" i="7" s="1"/>
  <c r="AC54" i="7"/>
  <c r="U54" i="7"/>
  <c r="M54" i="7"/>
  <c r="E54" i="7"/>
  <c r="BD54" i="7"/>
  <c r="AV54" i="7"/>
  <c r="AN54" i="7"/>
  <c r="BF54" i="7"/>
  <c r="AR54" i="7"/>
  <c r="AG54" i="7"/>
  <c r="W54" i="7"/>
  <c r="K54" i="7"/>
  <c r="BE54" i="7"/>
  <c r="AQ54" i="7"/>
  <c r="AF54" i="7"/>
  <c r="T54" i="7"/>
  <c r="AY54" i="7"/>
  <c r="AM54" i="7"/>
  <c r="AA54" i="7"/>
  <c r="Q54" i="7"/>
  <c r="G54" i="7"/>
  <c r="AZ54" i="7"/>
  <c r="AH54" i="7"/>
  <c r="P54" i="7"/>
  <c r="AX54" i="7"/>
  <c r="AE54" i="7"/>
  <c r="O54" i="7"/>
  <c r="AW54" i="7"/>
  <c r="AB54" i="7"/>
  <c r="L54" i="7"/>
  <c r="AU54" i="7"/>
  <c r="Z54" i="7"/>
  <c r="AP54" i="7"/>
  <c r="Y54" i="7"/>
  <c r="BH54" i="7"/>
  <c r="AO54" i="7"/>
  <c r="X54" i="7"/>
  <c r="D54" i="7"/>
  <c r="BG54" i="7"/>
  <c r="AJ54" i="7"/>
  <c r="S54" i="7"/>
  <c r="C54" i="7"/>
  <c r="AI54" i="7"/>
  <c r="R54" i="7"/>
  <c r="B54" i="7"/>
  <c r="BC54" i="7"/>
  <c r="E73" i="5"/>
  <c r="E65" i="5"/>
  <c r="D27" i="5"/>
  <c r="E63" i="5"/>
  <c r="O36" i="3" s="1"/>
  <c r="N36" i="3" s="1"/>
  <c r="D17" i="5"/>
  <c r="E20" i="5" s="1"/>
  <c r="F14" i="5"/>
  <c r="U47" i="3"/>
  <c r="G6" i="5"/>
  <c r="E14" i="3"/>
  <c r="D19" i="3" s="1"/>
  <c r="F6" i="5"/>
  <c r="E13" i="5"/>
  <c r="E6" i="5"/>
  <c r="D18" i="3"/>
  <c r="C19" i="3" s="1"/>
  <c r="D6" i="5"/>
  <c r="U44" i="3"/>
  <c r="D11" i="5"/>
  <c r="D7" i="5"/>
  <c r="O46" i="3"/>
  <c r="E95" i="3"/>
  <c r="F95" i="3" s="1"/>
  <c r="E116" i="5" s="1"/>
  <c r="F13" i="5"/>
  <c r="F202" i="5" s="1"/>
  <c r="E93" i="3"/>
  <c r="F93" i="3" s="1"/>
  <c r="E114" i="5" s="1"/>
  <c r="G5" i="5"/>
  <c r="E117" i="3"/>
  <c r="E91" i="3"/>
  <c r="F91" i="3" s="1"/>
  <c r="E112" i="5" s="1"/>
  <c r="G18" i="3"/>
  <c r="N50" i="3"/>
  <c r="E104" i="5"/>
  <c r="E106" i="5"/>
  <c r="E107" i="5"/>
  <c r="E105" i="5"/>
  <c r="E96" i="5"/>
  <c r="E34" i="5"/>
  <c r="E14" i="5"/>
  <c r="E68" i="5" a="1"/>
  <c r="E68" i="5" s="1"/>
  <c r="E222" i="5"/>
  <c r="E214" i="5"/>
  <c r="I54" i="7"/>
  <c r="E5" i="6"/>
  <c r="C4" i="7"/>
  <c r="F4" i="6"/>
  <c r="AL107" i="7"/>
  <c r="AL99" i="7"/>
  <c r="AL91" i="7"/>
  <c r="AL112" i="7"/>
  <c r="AL104" i="7"/>
  <c r="AL96" i="7"/>
  <c r="AL109" i="7"/>
  <c r="AL114" i="7"/>
  <c r="AL106" i="7"/>
  <c r="AL111" i="7"/>
  <c r="AL108" i="7"/>
  <c r="AL113" i="7"/>
  <c r="AL105" i="7"/>
  <c r="AL97" i="7"/>
  <c r="AL100" i="7"/>
  <c r="AL94" i="7"/>
  <c r="AL76" i="7"/>
  <c r="AL74" i="7"/>
  <c r="AL98" i="7"/>
  <c r="AL102" i="7"/>
  <c r="AL90" i="7"/>
  <c r="AL86" i="7"/>
  <c r="AL82" i="7"/>
  <c r="AL110" i="7"/>
  <c r="AL103" i="7"/>
  <c r="AL92" i="7"/>
  <c r="AL95" i="7"/>
  <c r="AL84" i="7"/>
  <c r="AL101" i="7"/>
  <c r="AL89" i="7"/>
  <c r="AL88" i="7"/>
  <c r="AL93" i="7"/>
  <c r="AL87" i="7"/>
  <c r="AL73" i="7"/>
  <c r="AL81" i="7"/>
  <c r="AL75" i="7"/>
  <c r="AL67" i="7"/>
  <c r="AL60" i="7"/>
  <c r="AL56" i="7"/>
  <c r="AL80" i="7"/>
  <c r="AL77" i="7"/>
  <c r="AL68" i="7"/>
  <c r="AL69" i="7"/>
  <c r="AL63" i="7"/>
  <c r="AL65" i="7"/>
  <c r="AL64" i="7"/>
  <c r="AL62" i="7"/>
  <c r="AL72" i="7"/>
  <c r="AL71" i="7"/>
  <c r="AL59" i="7"/>
  <c r="AL66" i="7"/>
  <c r="AL55" i="7"/>
  <c r="AM5" i="7"/>
  <c r="E196" i="5"/>
  <c r="I10" i="6"/>
  <c r="H54" i="7"/>
  <c r="E14" i="6"/>
  <c r="J54" i="7"/>
  <c r="E179" i="5" l="1"/>
  <c r="F39" i="5"/>
  <c r="F162" i="5" s="1"/>
  <c r="AI55" i="7"/>
  <c r="AK57" i="7"/>
  <c r="AK27" i="7" s="1" a="1"/>
  <c r="AK27" i="7" s="1"/>
  <c r="AJ56" i="7"/>
  <c r="AG73" i="7"/>
  <c r="AC69" i="7"/>
  <c r="U61" i="7"/>
  <c r="AI75" i="7"/>
  <c r="X64" i="7"/>
  <c r="AE71" i="7"/>
  <c r="V62" i="7"/>
  <c r="Q57" i="7"/>
  <c r="AA67" i="7"/>
  <c r="P56" i="7"/>
  <c r="W63" i="7"/>
  <c r="AJ76" i="7"/>
  <c r="T60" i="7"/>
  <c r="AD70" i="7"/>
  <c r="AK77" i="7"/>
  <c r="AB68" i="7"/>
  <c r="Z66" i="7"/>
  <c r="S59" i="7"/>
  <c r="R58" i="7"/>
  <c r="AH74" i="7"/>
  <c r="AF72" i="7"/>
  <c r="Y65" i="7"/>
  <c r="O55" i="7"/>
  <c r="O18" i="7" s="1" a="1"/>
  <c r="O18" i="7" s="1"/>
  <c r="AK65" i="7"/>
  <c r="AD58" i="7"/>
  <c r="AH62" i="7"/>
  <c r="AF60" i="7"/>
  <c r="AC57" i="7"/>
  <c r="AG61" i="7"/>
  <c r="AB56" i="7"/>
  <c r="AA55" i="7"/>
  <c r="AE59" i="7"/>
  <c r="AJ64" i="7"/>
  <c r="AI63" i="7"/>
  <c r="AK69" i="7"/>
  <c r="AC61" i="7"/>
  <c r="AF64" i="7"/>
  <c r="AJ68" i="7"/>
  <c r="AI67" i="7"/>
  <c r="AD62" i="7"/>
  <c r="Y57" i="7"/>
  <c r="X56" i="7"/>
  <c r="W55" i="7"/>
  <c r="AH66" i="7"/>
  <c r="AE63" i="7"/>
  <c r="AB60" i="7"/>
  <c r="Z58" i="7"/>
  <c r="AG65" i="7"/>
  <c r="AA59" i="7"/>
  <c r="AG75" i="7"/>
  <c r="AF74" i="7"/>
  <c r="AK79" i="7"/>
  <c r="AC71" i="7"/>
  <c r="U63" i="7"/>
  <c r="X66" i="7"/>
  <c r="AJ78" i="7"/>
  <c r="AI77" i="7"/>
  <c r="Y67" i="7"/>
  <c r="N56" i="7"/>
  <c r="AA69" i="7"/>
  <c r="Q59" i="7"/>
  <c r="Z68" i="7"/>
  <c r="V64" i="7"/>
  <c r="P58" i="7"/>
  <c r="AE73" i="7"/>
  <c r="AD72" i="7"/>
  <c r="O57" i="7"/>
  <c r="AH76" i="7"/>
  <c r="AB70" i="7"/>
  <c r="W65" i="7"/>
  <c r="R60" i="7"/>
  <c r="M55" i="7"/>
  <c r="T62" i="7"/>
  <c r="S61" i="7"/>
  <c r="AH75" i="7"/>
  <c r="AK78" i="7"/>
  <c r="AJ77" i="7"/>
  <c r="AG74" i="7"/>
  <c r="Y66" i="7"/>
  <c r="AB69" i="7"/>
  <c r="AA68" i="7"/>
  <c r="R59" i="7"/>
  <c r="U62" i="7"/>
  <c r="AE72" i="7"/>
  <c r="AC70" i="7"/>
  <c r="X65" i="7"/>
  <c r="T61" i="7"/>
  <c r="P57" i="7"/>
  <c r="O56" i="7"/>
  <c r="AD71" i="7"/>
  <c r="V63" i="7"/>
  <c r="AI76" i="7"/>
  <c r="Z67" i="7"/>
  <c r="W64" i="7"/>
  <c r="S60" i="7"/>
  <c r="N55" i="7"/>
  <c r="AF73" i="7"/>
  <c r="Q58" i="7"/>
  <c r="J43" i="7" a="1"/>
  <c r="J43" i="7" s="1"/>
  <c r="D45" i="5" a="1"/>
  <c r="D45" i="5" s="1"/>
  <c r="E37" i="5"/>
  <c r="E140" i="5" s="1"/>
  <c r="E41" i="5"/>
  <c r="E144" i="5" s="1"/>
  <c r="E30" i="5"/>
  <c r="E28" i="5"/>
  <c r="E31" i="5"/>
  <c r="E33" i="5"/>
  <c r="E16" i="5"/>
  <c r="E100" i="5" s="1"/>
  <c r="E99" i="5" s="1"/>
  <c r="E11" i="5"/>
  <c r="F12" i="5"/>
  <c r="AL78" i="7"/>
  <c r="E35" i="5"/>
  <c r="E36" i="5"/>
  <c r="E157" i="5"/>
  <c r="F142" i="5"/>
  <c r="F139" i="5"/>
  <c r="U36" i="3"/>
  <c r="AJ88" i="7"/>
  <c r="AG85" i="7"/>
  <c r="AK89" i="7"/>
  <c r="AI87" i="7"/>
  <c r="AH86" i="7"/>
  <c r="V74" i="7"/>
  <c r="Y77" i="7"/>
  <c r="X76" i="7"/>
  <c r="W75" i="7"/>
  <c r="M65" i="7"/>
  <c r="P68" i="7"/>
  <c r="AF84" i="7"/>
  <c r="AA79" i="7"/>
  <c r="O67" i="7"/>
  <c r="AB80" i="7"/>
  <c r="S71" i="7"/>
  <c r="Q69" i="7"/>
  <c r="F58" i="7"/>
  <c r="N66" i="7"/>
  <c r="I61" i="7"/>
  <c r="AE83" i="7"/>
  <c r="AC81" i="7"/>
  <c r="AD82" i="7"/>
  <c r="Z78" i="7"/>
  <c r="L64" i="7"/>
  <c r="H60" i="7"/>
  <c r="R70" i="7"/>
  <c r="E57" i="7"/>
  <c r="G59" i="7"/>
  <c r="U73" i="7"/>
  <c r="T72" i="7"/>
  <c r="J62" i="7"/>
  <c r="K63" i="7"/>
  <c r="D56" i="7"/>
  <c r="C55" i="7"/>
  <c r="AK67" i="7"/>
  <c r="AD60" i="7"/>
  <c r="AG63" i="7"/>
  <c r="Y55" i="7"/>
  <c r="AH64" i="7"/>
  <c r="AJ66" i="7"/>
  <c r="AF62" i="7"/>
  <c r="Z56" i="7"/>
  <c r="AC59" i="7"/>
  <c r="AB58" i="7"/>
  <c r="AA57" i="7"/>
  <c r="AE61" i="7"/>
  <c r="AI65" i="7"/>
  <c r="AK61" i="7"/>
  <c r="AG57" i="7"/>
  <c r="AF56" i="7"/>
  <c r="AI59" i="7"/>
  <c r="AH58" i="7"/>
  <c r="AH43" i="7" s="1" a="1"/>
  <c r="AH43" i="7" s="1"/>
  <c r="AE55" i="7"/>
  <c r="AJ60" i="7"/>
  <c r="AG55" i="7"/>
  <c r="AG43" i="7" s="1" a="1"/>
  <c r="AG43" i="7" s="1"/>
  <c r="AH56" i="7"/>
  <c r="AK59" i="7"/>
  <c r="AJ58" i="7"/>
  <c r="AI57" i="7"/>
  <c r="AK71" i="7"/>
  <c r="AC63" i="7"/>
  <c r="AF66" i="7"/>
  <c r="AD64" i="7"/>
  <c r="AA61" i="7"/>
  <c r="V56" i="7"/>
  <c r="AH68" i="7"/>
  <c r="AE65" i="7"/>
  <c r="Y59" i="7"/>
  <c r="X58" i="7"/>
  <c r="AJ70" i="7"/>
  <c r="AI69" i="7"/>
  <c r="AG67" i="7"/>
  <c r="W57" i="7"/>
  <c r="AB62" i="7"/>
  <c r="U55" i="7"/>
  <c r="U43" i="7" s="1" a="1"/>
  <c r="U43" i="7" s="1"/>
  <c r="Z60" i="7"/>
  <c r="AG66" i="7"/>
  <c r="AJ69" i="7"/>
  <c r="AI68" i="7"/>
  <c r="AF65" i="7"/>
  <c r="Z59" i="7"/>
  <c r="AK70" i="7"/>
  <c r="AH67" i="7"/>
  <c r="AE64" i="7"/>
  <c r="AC62" i="7"/>
  <c r="V55" i="7"/>
  <c r="AD63" i="7"/>
  <c r="Y58" i="7"/>
  <c r="X57" i="7"/>
  <c r="AB61" i="7"/>
  <c r="W56" i="7"/>
  <c r="AA60" i="7"/>
  <c r="AK84" i="7"/>
  <c r="AH81" i="7"/>
  <c r="AG80" i="7"/>
  <c r="AC76" i="7"/>
  <c r="AB75" i="7"/>
  <c r="AJ83" i="7"/>
  <c r="Y72" i="7"/>
  <c r="Q64" i="7"/>
  <c r="AD77" i="7"/>
  <c r="Z73" i="7"/>
  <c r="T67" i="7"/>
  <c r="S66" i="7"/>
  <c r="P63" i="7"/>
  <c r="J57" i="7"/>
  <c r="W70" i="7"/>
  <c r="U68" i="7"/>
  <c r="M60" i="7"/>
  <c r="AE78" i="7"/>
  <c r="AI82" i="7"/>
  <c r="AF79" i="7"/>
  <c r="AA74" i="7"/>
  <c r="X71" i="7"/>
  <c r="O62" i="7"/>
  <c r="L59" i="7"/>
  <c r="H55" i="7"/>
  <c r="H43" i="7" s="1" a="1"/>
  <c r="H43" i="7" s="1"/>
  <c r="R65" i="7"/>
  <c r="I56" i="7"/>
  <c r="N61" i="7"/>
  <c r="V69" i="7"/>
  <c r="K58" i="7"/>
  <c r="AL70" i="7"/>
  <c r="D4" i="7"/>
  <c r="D3" i="7" s="1"/>
  <c r="F5" i="6"/>
  <c r="G4" i="6"/>
  <c r="E38" i="5"/>
  <c r="E95" i="5"/>
  <c r="E134" i="5"/>
  <c r="E139" i="5"/>
  <c r="F31" i="5"/>
  <c r="F154" i="5" s="1"/>
  <c r="F36" i="5"/>
  <c r="F68" i="5" a="1"/>
  <c r="F68" i="5" s="1"/>
  <c r="F152" i="5"/>
  <c r="E202" i="5"/>
  <c r="E51" i="5"/>
  <c r="E58" i="5" s="1"/>
  <c r="D44" i="5"/>
  <c r="AC65" i="7"/>
  <c r="AF68" i="7"/>
  <c r="AJ72" i="7"/>
  <c r="AE67" i="7"/>
  <c r="V58" i="7"/>
  <c r="AI71" i="7"/>
  <c r="AG69" i="7"/>
  <c r="AA63" i="7"/>
  <c r="X60" i="7"/>
  <c r="AH70" i="7"/>
  <c r="AB64" i="7"/>
  <c r="Z62" i="7"/>
  <c r="T56" i="7"/>
  <c r="AK73" i="7"/>
  <c r="W59" i="7"/>
  <c r="U57" i="7"/>
  <c r="Y61" i="7"/>
  <c r="S55" i="7"/>
  <c r="S43" i="7" s="1" a="1"/>
  <c r="S43" i="7" s="1"/>
  <c r="AD66" i="7"/>
  <c r="AK63" i="7"/>
  <c r="AD56" i="7"/>
  <c r="AI61" i="7"/>
  <c r="AG59" i="7"/>
  <c r="AF58" i="7"/>
  <c r="AH60" i="7"/>
  <c r="AE57" i="7"/>
  <c r="AE43" i="7" s="1" a="1"/>
  <c r="AE43" i="7" s="1"/>
  <c r="AJ62" i="7"/>
  <c r="AC55" i="7"/>
  <c r="AJ61" i="7"/>
  <c r="AH59" i="7"/>
  <c r="AI60" i="7"/>
  <c r="AG58" i="7"/>
  <c r="AD55" i="7"/>
  <c r="AK62" i="7"/>
  <c r="AK39" i="7" s="1" a="1"/>
  <c r="AK39" i="7" s="1"/>
  <c r="AE56" i="7"/>
  <c r="AF57" i="7"/>
  <c r="F134" i="5"/>
  <c r="C3" i="7"/>
  <c r="E151" i="5"/>
  <c r="E39" i="5"/>
  <c r="E40" i="5"/>
  <c r="E142" i="5"/>
  <c r="E133" i="5"/>
  <c r="E171" i="5"/>
  <c r="F40" i="5"/>
  <c r="F143" i="5" s="1"/>
  <c r="F93" i="5"/>
  <c r="E19" i="5"/>
  <c r="E21" i="5" s="1"/>
  <c r="E64" i="5"/>
  <c r="AL17" i="7" s="1" a="1"/>
  <c r="AL17" i="7" s="1"/>
  <c r="AK56" i="7"/>
  <c r="AK18" i="7" s="1" a="1"/>
  <c r="AK18" i="7" s="1"/>
  <c r="AJ55" i="7"/>
  <c r="AG62" i="7"/>
  <c r="AJ65" i="7"/>
  <c r="AH63" i="7"/>
  <c r="Z55" i="7"/>
  <c r="Z18" i="7" s="1" a="1"/>
  <c r="Z18" i="7" s="1"/>
  <c r="AC58" i="7"/>
  <c r="AB57" i="7"/>
  <c r="AA56" i="7"/>
  <c r="AF61" i="7"/>
  <c r="AE60" i="7"/>
  <c r="AK66" i="7"/>
  <c r="AD59" i="7"/>
  <c r="AI64" i="7"/>
  <c r="AK76" i="7"/>
  <c r="AJ75" i="7"/>
  <c r="Y64" i="7"/>
  <c r="AG72" i="7"/>
  <c r="AB67" i="7"/>
  <c r="AI74" i="7"/>
  <c r="AA66" i="7"/>
  <c r="AD69" i="7"/>
  <c r="R57" i="7"/>
  <c r="AF71" i="7"/>
  <c r="X63" i="7"/>
  <c r="U60" i="7"/>
  <c r="T59" i="7"/>
  <c r="Z65" i="7"/>
  <c r="S58" i="7"/>
  <c r="AE70" i="7"/>
  <c r="AC68" i="7"/>
  <c r="P55" i="7"/>
  <c r="P43" i="7" s="1" a="1"/>
  <c r="P43" i="7" s="1"/>
  <c r="AH73" i="7"/>
  <c r="W62" i="7"/>
  <c r="V61" i="7"/>
  <c r="Q56" i="7"/>
  <c r="AK72" i="7"/>
  <c r="AG68" i="7"/>
  <c r="AJ71" i="7"/>
  <c r="AI70" i="7"/>
  <c r="AC64" i="7"/>
  <c r="Z61" i="7"/>
  <c r="U56" i="7"/>
  <c r="AE66" i="7"/>
  <c r="T55" i="7"/>
  <c r="T18" i="7" s="1" a="1"/>
  <c r="T18" i="7" s="1"/>
  <c r="X59" i="7"/>
  <c r="AH69" i="7"/>
  <c r="AB63" i="7"/>
  <c r="W58" i="7"/>
  <c r="V57" i="7"/>
  <c r="AA62" i="7"/>
  <c r="AD65" i="7"/>
  <c r="Y60" i="7"/>
  <c r="AF67" i="7"/>
  <c r="O42" i="3"/>
  <c r="AH55" i="7"/>
  <c r="AK58" i="7"/>
  <c r="AJ57" i="7"/>
  <c r="AI56" i="7"/>
  <c r="AI43" i="7" s="1" a="1"/>
  <c r="AI43" i="7" s="1"/>
  <c r="AH57" i="7"/>
  <c r="AK60" i="7"/>
  <c r="AK16" i="7" s="1" a="1"/>
  <c r="AK16" i="7" s="1"/>
  <c r="AJ59" i="7"/>
  <c r="AG56" i="7"/>
  <c r="AF55" i="7"/>
  <c r="AI58" i="7"/>
  <c r="E29" i="5"/>
  <c r="E152" i="5" s="1"/>
  <c r="E138" i="5"/>
  <c r="E153" i="5"/>
  <c r="E177" i="5"/>
  <c r="F30" i="5"/>
  <c r="F153" i="5" s="1"/>
  <c r="AM112" i="7"/>
  <c r="AM104" i="7"/>
  <c r="AM96" i="7"/>
  <c r="AM109" i="7"/>
  <c r="AM101" i="7"/>
  <c r="AM93" i="7"/>
  <c r="AM114" i="7"/>
  <c r="AM106" i="7"/>
  <c r="AM111" i="7"/>
  <c r="AM108" i="7"/>
  <c r="AM113" i="7"/>
  <c r="AM105" i="7"/>
  <c r="AM110" i="7"/>
  <c r="AM102" i="7"/>
  <c r="AM94" i="7"/>
  <c r="AM88" i="7"/>
  <c r="AM86" i="7"/>
  <c r="AM84" i="7"/>
  <c r="AM97" i="7"/>
  <c r="AM107" i="7"/>
  <c r="AM95" i="7"/>
  <c r="AM91" i="7"/>
  <c r="AM83" i="7"/>
  <c r="AM103" i="7"/>
  <c r="AM99" i="7"/>
  <c r="AM85" i="7"/>
  <c r="AM92" i="7"/>
  <c r="AM82" i="7"/>
  <c r="AM80" i="7"/>
  <c r="AM76" i="7"/>
  <c r="AM90" i="7"/>
  <c r="AM89" i="7"/>
  <c r="AM100" i="7"/>
  <c r="AM98" i="7"/>
  <c r="AM79" i="7"/>
  <c r="AM75" i="7"/>
  <c r="AM71" i="7"/>
  <c r="AM69" i="7"/>
  <c r="AM67" i="7"/>
  <c r="AM65" i="7"/>
  <c r="AM78" i="7"/>
  <c r="AM73" i="7"/>
  <c r="AM66" i="7"/>
  <c r="AM64" i="7"/>
  <c r="AM62" i="7"/>
  <c r="AM61" i="7"/>
  <c r="AM63" i="7"/>
  <c r="AM56" i="7"/>
  <c r="AM77" i="7"/>
  <c r="AM81" i="7"/>
  <c r="AM72" i="7"/>
  <c r="AM74" i="7"/>
  <c r="AM87" i="7"/>
  <c r="AM60" i="7"/>
  <c r="AM59" i="7"/>
  <c r="AM58" i="7"/>
  <c r="AM57" i="7"/>
  <c r="AM70" i="7"/>
  <c r="AM68" i="7"/>
  <c r="AM55" i="7"/>
  <c r="AN5" i="7"/>
  <c r="AL79" i="7"/>
  <c r="AL85" i="7"/>
  <c r="AJ82" i="7"/>
  <c r="AD76" i="7"/>
  <c r="AG79" i="7"/>
  <c r="AF78" i="7"/>
  <c r="AE77" i="7"/>
  <c r="AA73" i="7"/>
  <c r="U67" i="7"/>
  <c r="X70" i="7"/>
  <c r="W69" i="7"/>
  <c r="V68" i="7"/>
  <c r="N60" i="7"/>
  <c r="AK83" i="7"/>
  <c r="AI81" i="7"/>
  <c r="Z72" i="7"/>
  <c r="S65" i="7"/>
  <c r="I55" i="7"/>
  <c r="I18" i="7" s="1" a="1"/>
  <c r="I18" i="7" s="1"/>
  <c r="AH80" i="7"/>
  <c r="T66" i="7"/>
  <c r="AB74" i="7"/>
  <c r="P62" i="7"/>
  <c r="AC75" i="7"/>
  <c r="Y71" i="7"/>
  <c r="Q63" i="7"/>
  <c r="K57" i="7"/>
  <c r="O61" i="7"/>
  <c r="J56" i="7"/>
  <c r="R64" i="7"/>
  <c r="M59" i="7"/>
  <c r="L58" i="7"/>
  <c r="E66" i="5"/>
  <c r="E162" i="5"/>
  <c r="E158" i="5"/>
  <c r="E197" i="5"/>
  <c r="F193" i="5" s="1"/>
  <c r="F197" i="5" s="1"/>
  <c r="G193" i="5" s="1"/>
  <c r="E174" i="5"/>
  <c r="F29" i="5"/>
  <c r="F172" i="5" s="1"/>
  <c r="F159" i="5"/>
  <c r="AK88" i="7"/>
  <c r="AC80" i="7"/>
  <c r="AF83" i="7"/>
  <c r="Z77" i="7"/>
  <c r="AJ87" i="7"/>
  <c r="AB79" i="7"/>
  <c r="Q68" i="7"/>
  <c r="AD81" i="7"/>
  <c r="T71" i="7"/>
  <c r="AI86" i="7"/>
  <c r="AH85" i="7"/>
  <c r="W74" i="7"/>
  <c r="S70" i="7"/>
  <c r="Y76" i="7"/>
  <c r="O66" i="7"/>
  <c r="J61" i="7"/>
  <c r="E56" i="7"/>
  <c r="AE82" i="7"/>
  <c r="P67" i="7"/>
  <c r="N65" i="7"/>
  <c r="D55" i="7"/>
  <c r="R69" i="7"/>
  <c r="H59" i="7"/>
  <c r="AA78" i="7"/>
  <c r="M64" i="7"/>
  <c r="I60" i="7"/>
  <c r="G58" i="7"/>
  <c r="V73" i="7"/>
  <c r="X75" i="7"/>
  <c r="U72" i="7"/>
  <c r="AG84" i="7"/>
  <c r="K62" i="7"/>
  <c r="F57" i="7"/>
  <c r="L63" i="7"/>
  <c r="AK80" i="7"/>
  <c r="AH77" i="7"/>
  <c r="AC72" i="7"/>
  <c r="AJ79" i="7"/>
  <c r="Y68" i="7"/>
  <c r="AE74" i="7"/>
  <c r="AB71" i="7"/>
  <c r="AA70" i="7"/>
  <c r="V65" i="7"/>
  <c r="R61" i="7"/>
  <c r="AF75" i="7"/>
  <c r="X67" i="7"/>
  <c r="M56" i="7"/>
  <c r="AI78" i="7"/>
  <c r="AG76" i="7"/>
  <c r="AD73" i="7"/>
  <c r="L55" i="7"/>
  <c r="L43" i="7" s="1" a="1"/>
  <c r="L43" i="7" s="1"/>
  <c r="Z69" i="7"/>
  <c r="W66" i="7"/>
  <c r="Q60" i="7"/>
  <c r="O58" i="7"/>
  <c r="U64" i="7"/>
  <c r="P59" i="7"/>
  <c r="T63" i="7"/>
  <c r="N57" i="7"/>
  <c r="S62" i="7"/>
  <c r="AK82" i="7"/>
  <c r="AH79" i="7"/>
  <c r="AC74" i="7"/>
  <c r="AJ81" i="7"/>
  <c r="AI80" i="7"/>
  <c r="Y70" i="7"/>
  <c r="Q62" i="7"/>
  <c r="AG78" i="7"/>
  <c r="T65" i="7"/>
  <c r="AE76" i="7"/>
  <c r="AA72" i="7"/>
  <c r="AF77" i="7"/>
  <c r="J55" i="7"/>
  <c r="J18" i="7" s="1" a="1"/>
  <c r="J18" i="7" s="1"/>
  <c r="S64" i="7"/>
  <c r="M58" i="7"/>
  <c r="R63" i="7"/>
  <c r="L57" i="7"/>
  <c r="AD75" i="7"/>
  <c r="AB73" i="7"/>
  <c r="Z71" i="7"/>
  <c r="P61" i="7"/>
  <c r="W68" i="7"/>
  <c r="K56" i="7"/>
  <c r="V67" i="7"/>
  <c r="U66" i="7"/>
  <c r="O60" i="7"/>
  <c r="X69" i="7"/>
  <c r="N59" i="7"/>
  <c r="E136" i="5"/>
  <c r="J10" i="6"/>
  <c r="U50" i="3"/>
  <c r="F11" i="5"/>
  <c r="F173" i="5"/>
  <c r="F178" i="5"/>
  <c r="AL83" i="7"/>
  <c r="E79" i="5"/>
  <c r="E12" i="5"/>
  <c r="E137" i="5"/>
  <c r="E173" i="5"/>
  <c r="E176" i="5"/>
  <c r="G153" i="5"/>
  <c r="G141" i="5"/>
  <c r="G93" i="5"/>
  <c r="G173" i="5"/>
  <c r="G68" i="5" a="1"/>
  <c r="G68" i="5" s="1"/>
  <c r="G37" i="5"/>
  <c r="G140" i="5" s="1"/>
  <c r="G31" i="5"/>
  <c r="G32" i="5"/>
  <c r="G175" i="5" s="1"/>
  <c r="G40" i="5"/>
  <c r="G143" i="5" s="1"/>
  <c r="G36" i="5"/>
  <c r="G139" i="5" s="1"/>
  <c r="G13" i="5"/>
  <c r="G202" i="5" s="1"/>
  <c r="G30" i="5"/>
  <c r="G133" i="5" s="1"/>
  <c r="G11" i="5"/>
  <c r="G38" i="5"/>
  <c r="G161" i="5" s="1"/>
  <c r="H5" i="5"/>
  <c r="G12" i="5"/>
  <c r="G14" i="5"/>
  <c r="F35" i="5"/>
  <c r="F158" i="5" s="1"/>
  <c r="F32" i="5"/>
  <c r="F135" i="5" s="1"/>
  <c r="F174" i="5"/>
  <c r="F133" i="5"/>
  <c r="F132" i="5"/>
  <c r="F179" i="5"/>
  <c r="G179" i="5" s="1"/>
  <c r="AK90" i="7"/>
  <c r="AJ89" i="7"/>
  <c r="AI88" i="7"/>
  <c r="AC82" i="7"/>
  <c r="AF85" i="7"/>
  <c r="AE84" i="7"/>
  <c r="AD83" i="7"/>
  <c r="Z79" i="7"/>
  <c r="AG86" i="7"/>
  <c r="U74" i="7"/>
  <c r="AH87" i="7"/>
  <c r="AA80" i="7"/>
  <c r="Q70" i="7"/>
  <c r="I62" i="7"/>
  <c r="V75" i="7"/>
  <c r="L65" i="7"/>
  <c r="Y78" i="7"/>
  <c r="T73" i="7"/>
  <c r="S72" i="7"/>
  <c r="B55" i="7"/>
  <c r="W76" i="7"/>
  <c r="R71" i="7"/>
  <c r="P69" i="7"/>
  <c r="E58" i="7"/>
  <c r="AB81" i="7"/>
  <c r="D57" i="7"/>
  <c r="O68" i="7"/>
  <c r="M66" i="7"/>
  <c r="J63" i="7"/>
  <c r="N67" i="7"/>
  <c r="H61" i="7"/>
  <c r="X77" i="7"/>
  <c r="C56" i="7"/>
  <c r="K64" i="7"/>
  <c r="G60" i="7"/>
  <c r="F59" i="7"/>
  <c r="AG64" i="7"/>
  <c r="AJ67" i="7"/>
  <c r="AI66" i="7"/>
  <c r="AE62" i="7"/>
  <c r="Z57" i="7"/>
  <c r="Z43" i="7" s="1" a="1"/>
  <c r="Z43" i="7" s="1"/>
  <c r="AC60" i="7"/>
  <c r="AH65" i="7"/>
  <c r="AD61" i="7"/>
  <c r="AB59" i="7"/>
  <c r="AK68" i="7"/>
  <c r="AA58" i="7"/>
  <c r="AF63" i="7"/>
  <c r="Y56" i="7"/>
  <c r="Y43" i="7" s="1" a="1"/>
  <c r="Y43" i="7" s="1"/>
  <c r="X55" i="7"/>
  <c r="X18" i="7" s="1" a="1"/>
  <c r="X18" i="7" s="1"/>
  <c r="AC56" i="7"/>
  <c r="AC18" i="7" s="1" a="1"/>
  <c r="AC18" i="7" s="1"/>
  <c r="AJ63" i="7"/>
  <c r="AB55" i="7"/>
  <c r="AD57" i="7"/>
  <c r="AF59" i="7"/>
  <c r="AF43" i="7" s="1" a="1"/>
  <c r="AF43" i="7" s="1"/>
  <c r="AH61" i="7"/>
  <c r="AI62" i="7"/>
  <c r="AG60" i="7"/>
  <c r="AK64" i="7"/>
  <c r="AK25" i="7" s="1" a="1"/>
  <c r="AK25" i="7" s="1"/>
  <c r="AE58" i="7"/>
  <c r="AG81" i="7"/>
  <c r="AJ84" i="7"/>
  <c r="AK85" i="7"/>
  <c r="AH82" i="7"/>
  <c r="AD78" i="7"/>
  <c r="AF80" i="7"/>
  <c r="Y73" i="7"/>
  <c r="U69" i="7"/>
  <c r="AI83" i="7"/>
  <c r="X72" i="7"/>
  <c r="P64" i="7"/>
  <c r="AA75" i="7"/>
  <c r="W71" i="7"/>
  <c r="AC77" i="7"/>
  <c r="O63" i="7"/>
  <c r="I57" i="7"/>
  <c r="H56" i="7"/>
  <c r="Z74" i="7"/>
  <c r="AB76" i="7"/>
  <c r="AE79" i="7"/>
  <c r="V70" i="7"/>
  <c r="N62" i="7"/>
  <c r="J58" i="7"/>
  <c r="T68" i="7"/>
  <c r="Q65" i="7"/>
  <c r="S67" i="7"/>
  <c r="M61" i="7"/>
  <c r="G55" i="7"/>
  <c r="R66" i="7"/>
  <c r="L60" i="7"/>
  <c r="K59" i="7"/>
  <c r="AL57" i="7"/>
  <c r="AL48" i="7" s="1" a="1"/>
  <c r="AL48" i="7" s="1"/>
  <c r="AL61" i="7"/>
  <c r="AL49" i="7" s="1" a="1"/>
  <c r="AL49" i="7" s="1"/>
  <c r="AL58" i="7"/>
  <c r="E223" i="5"/>
  <c r="F221" i="5"/>
  <c r="E32" i="5"/>
  <c r="E135" i="5" s="1"/>
  <c r="E154" i="5"/>
  <c r="E103" i="5"/>
  <c r="E159" i="5"/>
  <c r="E178" i="5"/>
  <c r="F34" i="5"/>
  <c r="F157" i="5" s="1"/>
  <c r="F37" i="5"/>
  <c r="F160" i="5" s="1"/>
  <c r="F140" i="5"/>
  <c r="N46" i="3"/>
  <c r="O45" i="3"/>
  <c r="AK74" i="7"/>
  <c r="AJ73" i="7"/>
  <c r="AG70" i="7"/>
  <c r="Y62" i="7"/>
  <c r="AB65" i="7"/>
  <c r="AC66" i="7"/>
  <c r="R55" i="7"/>
  <c r="R18" i="7" s="1" a="1"/>
  <c r="R18" i="7" s="1"/>
  <c r="U58" i="7"/>
  <c r="T57" i="7"/>
  <c r="T43" i="7" s="1" a="1"/>
  <c r="T43" i="7" s="1"/>
  <c r="AH71" i="7"/>
  <c r="X61" i="7"/>
  <c r="W60" i="7"/>
  <c r="V59" i="7"/>
  <c r="AE68" i="7"/>
  <c r="AF69" i="7"/>
  <c r="AI72" i="7"/>
  <c r="AD67" i="7"/>
  <c r="AA64" i="7"/>
  <c r="Z63" i="7"/>
  <c r="S56" i="7"/>
  <c r="AK75" i="7"/>
  <c r="AH72" i="7"/>
  <c r="AC67" i="7"/>
  <c r="AI73" i="7"/>
  <c r="AF70" i="7"/>
  <c r="AE69" i="7"/>
  <c r="AG71" i="7"/>
  <c r="Y63" i="7"/>
  <c r="V60" i="7"/>
  <c r="AB66" i="7"/>
  <c r="Q55" i="7"/>
  <c r="Q18" i="7" s="1" a="1"/>
  <c r="Q18" i="7" s="1"/>
  <c r="X62" i="7"/>
  <c r="AA65" i="7"/>
  <c r="T58" i="7"/>
  <c r="W61" i="7"/>
  <c r="W43" i="7" s="1" a="1"/>
  <c r="W43" i="7" s="1"/>
  <c r="U59" i="7"/>
  <c r="AJ74" i="7"/>
  <c r="Z64" i="7"/>
  <c r="S57" i="7"/>
  <c r="R56" i="7"/>
  <c r="AD68" i="7"/>
  <c r="AD74" i="7"/>
  <c r="AG77" i="7"/>
  <c r="AF76" i="7"/>
  <c r="AH78" i="7"/>
  <c r="U65" i="7"/>
  <c r="AI79" i="7"/>
  <c r="X68" i="7"/>
  <c r="AK81" i="7"/>
  <c r="AC73" i="7"/>
  <c r="W67" i="7"/>
  <c r="AB72" i="7"/>
  <c r="Z70" i="7"/>
  <c r="T64" i="7"/>
  <c r="N58" i="7"/>
  <c r="Q61" i="7"/>
  <c r="P60" i="7"/>
  <c r="AJ80" i="7"/>
  <c r="AE75" i="7"/>
  <c r="R62" i="7"/>
  <c r="K55" i="7"/>
  <c r="K18" i="7" s="1" a="1"/>
  <c r="K18" i="7" s="1"/>
  <c r="L56" i="7"/>
  <c r="AA71" i="7"/>
  <c r="O59" i="7"/>
  <c r="Y69" i="7"/>
  <c r="V66" i="7"/>
  <c r="S63" i="7"/>
  <c r="M57" i="7"/>
  <c r="AG83" i="7"/>
  <c r="AJ86" i="7"/>
  <c r="AI85" i="7"/>
  <c r="AH84" i="7"/>
  <c r="Y75" i="7"/>
  <c r="X74" i="7"/>
  <c r="AE81" i="7"/>
  <c r="U71" i="7"/>
  <c r="M63" i="7"/>
  <c r="Z76" i="7"/>
  <c r="P66" i="7"/>
  <c r="AF82" i="7"/>
  <c r="AD80" i="7"/>
  <c r="AK87" i="7"/>
  <c r="F56" i="7"/>
  <c r="W73" i="7"/>
  <c r="L62" i="7"/>
  <c r="I59" i="7"/>
  <c r="AA77" i="7"/>
  <c r="AB78" i="7"/>
  <c r="S69" i="7"/>
  <c r="H58" i="7"/>
  <c r="Q67" i="7"/>
  <c r="N64" i="7"/>
  <c r="K61" i="7"/>
  <c r="J60" i="7"/>
  <c r="V72" i="7"/>
  <c r="E55" i="7"/>
  <c r="AC79" i="7"/>
  <c r="G57" i="7"/>
  <c r="R68" i="7"/>
  <c r="O65" i="7"/>
  <c r="T70" i="7"/>
  <c r="AK86" i="7"/>
  <c r="AI84" i="7"/>
  <c r="Z75" i="7"/>
  <c r="AJ85" i="7"/>
  <c r="AG82" i="7"/>
  <c r="AF81" i="7"/>
  <c r="AC78" i="7"/>
  <c r="AH83" i="7"/>
  <c r="AB77" i="7"/>
  <c r="AA76" i="7"/>
  <c r="Q66" i="7"/>
  <c r="T69" i="7"/>
  <c r="S68" i="7"/>
  <c r="Y74" i="7"/>
  <c r="X73" i="7"/>
  <c r="M62" i="7"/>
  <c r="J59" i="7"/>
  <c r="AD79" i="7"/>
  <c r="L61" i="7"/>
  <c r="I58" i="7"/>
  <c r="AE80" i="7"/>
  <c r="W72" i="7"/>
  <c r="V71" i="7"/>
  <c r="H57" i="7"/>
  <c r="P65" i="7"/>
  <c r="G56" i="7"/>
  <c r="R67" i="7"/>
  <c r="F55" i="7"/>
  <c r="O64" i="7"/>
  <c r="K60" i="7"/>
  <c r="U70" i="7"/>
  <c r="N63" i="7"/>
  <c r="G196" i="5" l="1"/>
  <c r="G195" i="5"/>
  <c r="G197" i="5"/>
  <c r="H193" i="5" s="1"/>
  <c r="AC30" i="7" a="1"/>
  <c r="AC30" i="7" s="1"/>
  <c r="X30" i="7" a="1"/>
  <c r="X30" i="7" s="1"/>
  <c r="O30" i="7" a="1"/>
  <c r="O30" i="7" s="1"/>
  <c r="AG30" i="7" a="1"/>
  <c r="AG30" i="7" s="1"/>
  <c r="AB30" i="7" a="1"/>
  <c r="AB30" i="7" s="1"/>
  <c r="S30" i="7" a="1"/>
  <c r="S30" i="7" s="1"/>
  <c r="J30" i="7" a="1"/>
  <c r="J30" i="7" s="1"/>
  <c r="AD30" i="7" a="1"/>
  <c r="AD30" i="7" s="1"/>
  <c r="U30" i="7" a="1"/>
  <c r="U30" i="7" s="1"/>
  <c r="P30" i="7" a="1"/>
  <c r="P30" i="7" s="1"/>
  <c r="Y30" i="7" a="1"/>
  <c r="Y30" i="7" s="1"/>
  <c r="AI30" i="7" a="1"/>
  <c r="AI30" i="7" s="1"/>
  <c r="AA30" i="7" a="1"/>
  <c r="AA30" i="7" s="1"/>
  <c r="T30" i="7" a="1"/>
  <c r="T30" i="7" s="1"/>
  <c r="M30" i="7" a="1"/>
  <c r="M30" i="7" s="1"/>
  <c r="AH30" i="7" a="1"/>
  <c r="AH30" i="7" s="1"/>
  <c r="L30" i="7" a="1"/>
  <c r="L30" i="7" s="1"/>
  <c r="AF30" i="7" a="1"/>
  <c r="AF30" i="7" s="1"/>
  <c r="Z30" i="7" a="1"/>
  <c r="Z30" i="7" s="1"/>
  <c r="R30" i="7" a="1"/>
  <c r="R30" i="7" s="1"/>
  <c r="K30" i="7" a="1"/>
  <c r="K30" i="7" s="1"/>
  <c r="N30" i="7" a="1"/>
  <c r="N30" i="7" s="1"/>
  <c r="W30" i="7" a="1"/>
  <c r="W30" i="7" s="1"/>
  <c r="AK30" i="7" a="1"/>
  <c r="AK30" i="7" s="1"/>
  <c r="H30" i="7" a="1"/>
  <c r="H30" i="7" s="1"/>
  <c r="AJ30" i="7" a="1"/>
  <c r="AJ30" i="7" s="1"/>
  <c r="V30" i="7" a="1"/>
  <c r="V30" i="7" s="1"/>
  <c r="AE30" i="7" a="1"/>
  <c r="AE30" i="7" s="1"/>
  <c r="Q30" i="7" a="1"/>
  <c r="Q30" i="7" s="1"/>
  <c r="I30" i="7" a="1"/>
  <c r="I30" i="7" s="1"/>
  <c r="AL25" i="7" a="1"/>
  <c r="AL25" i="7" s="1"/>
  <c r="AL42" i="7" a="1"/>
  <c r="AL42" i="7" s="1"/>
  <c r="AL38" i="7" a="1"/>
  <c r="AL38" i="7" s="1"/>
  <c r="AM50" i="7" a="1"/>
  <c r="AM50" i="7" s="1"/>
  <c r="AM47" i="7" a="1"/>
  <c r="AM47" i="7" s="1"/>
  <c r="AM48" i="7" a="1"/>
  <c r="AM48" i="7" s="1"/>
  <c r="AM46" i="7" a="1"/>
  <c r="AM46" i="7" s="1"/>
  <c r="AM38" i="7" a="1"/>
  <c r="AM38" i="7" s="1"/>
  <c r="AM45" i="7" a="1"/>
  <c r="AM45" i="7" s="1"/>
  <c r="AM37" i="7" a="1"/>
  <c r="AM37" i="7" s="1"/>
  <c r="AM49" i="7" a="1"/>
  <c r="AM49" i="7" s="1"/>
  <c r="AM40" i="7" a="1"/>
  <c r="AM40" i="7" s="1"/>
  <c r="AM42" i="7" a="1"/>
  <c r="AM42" i="7" s="1"/>
  <c r="AM28" i="7" a="1"/>
  <c r="AM28" i="7" s="1"/>
  <c r="AM41" i="7" a="1"/>
  <c r="AM41" i="7" s="1"/>
  <c r="AM44" i="7" a="1"/>
  <c r="AM44" i="7" s="1"/>
  <c r="AM43" i="7" a="1"/>
  <c r="AM43" i="7" s="1"/>
  <c r="AM30" i="7" a="1"/>
  <c r="AM30" i="7" s="1"/>
  <c r="AM39" i="7" a="1"/>
  <c r="AM39" i="7" s="1"/>
  <c r="AM25" i="7" a="1"/>
  <c r="AM25" i="7" s="1"/>
  <c r="AM23" i="7" a="1"/>
  <c r="AM23" i="7" s="1"/>
  <c r="AM29" i="7" a="1"/>
  <c r="AM29" i="7" s="1"/>
  <c r="AM26" i="7" a="1"/>
  <c r="AM26" i="7" s="1"/>
  <c r="AM24" i="7" a="1"/>
  <c r="AM24" i="7" s="1"/>
  <c r="AM17" i="7" a="1"/>
  <c r="AM17" i="7" s="1"/>
  <c r="AM21" i="7" a="1"/>
  <c r="AM21" i="7" s="1"/>
  <c r="AM20" i="7" s="1"/>
  <c r="AM18" i="7" a="1"/>
  <c r="AM18" i="7" s="1"/>
  <c r="AM16" i="7" a="1"/>
  <c r="AM16" i="7" s="1"/>
  <c r="AM27" i="7" a="1"/>
  <c r="AM27" i="7" s="1"/>
  <c r="AM12" i="7" a="1"/>
  <c r="AM12" i="7" s="1"/>
  <c r="AK24" i="7" a="1"/>
  <c r="AK24" i="7" s="1"/>
  <c r="F26" i="7" a="1"/>
  <c r="F26" i="7" s="1"/>
  <c r="F25" i="7" a="1"/>
  <c r="F25" i="7" s="1"/>
  <c r="F24" i="7" a="1"/>
  <c r="F24" i="7" s="1"/>
  <c r="F27" i="7" a="1"/>
  <c r="F27" i="7" s="1"/>
  <c r="F23" i="7" a="1"/>
  <c r="F23" i="7" s="1"/>
  <c r="F21" i="7" a="1"/>
  <c r="F21" i="7" s="1"/>
  <c r="F16" i="7" a="1"/>
  <c r="F16" i="7" s="1"/>
  <c r="F175" i="5"/>
  <c r="E164" i="5"/>
  <c r="AB39" i="7" a="1"/>
  <c r="AB39" i="7" s="1"/>
  <c r="AB25" i="7" a="1"/>
  <c r="AB25" i="7" s="1"/>
  <c r="AB27" i="7" a="1"/>
  <c r="AB27" i="7" s="1"/>
  <c r="AB24" i="7" a="1"/>
  <c r="AB24" i="7" s="1"/>
  <c r="AB23" i="7" a="1"/>
  <c r="AB23" i="7" s="1"/>
  <c r="AB26" i="7" a="1"/>
  <c r="AB26" i="7" s="1"/>
  <c r="AB16" i="7" a="1"/>
  <c r="AB16" i="7" s="1"/>
  <c r="AB21" i="7" a="1"/>
  <c r="AB21" i="7" s="1"/>
  <c r="AB20" i="7" s="1"/>
  <c r="G33" i="5"/>
  <c r="G155" i="5"/>
  <c r="G163" i="5"/>
  <c r="G135" i="5"/>
  <c r="AL12" i="7" a="1"/>
  <c r="AL12" i="7" s="1"/>
  <c r="AL21" i="7" a="1"/>
  <c r="AL21" i="7" s="1"/>
  <c r="AL20" i="7" s="1"/>
  <c r="AL26" i="7" a="1"/>
  <c r="AL26" i="7" s="1"/>
  <c r="AL30" i="7" a="1"/>
  <c r="AL30" i="7" s="1"/>
  <c r="AL46" i="7" a="1"/>
  <c r="AL46" i="7" s="1"/>
  <c r="AK26" i="7" a="1"/>
  <c r="AK26" i="7" s="1"/>
  <c r="AJ39" i="7" a="1"/>
  <c r="AJ39" i="7" s="1"/>
  <c r="AJ27" i="7" a="1"/>
  <c r="AJ27" i="7" s="1"/>
  <c r="AJ26" i="7" a="1"/>
  <c r="AJ26" i="7" s="1"/>
  <c r="AJ24" i="7" a="1"/>
  <c r="AJ24" i="7" s="1"/>
  <c r="AJ25" i="7" a="1"/>
  <c r="AJ25" i="7" s="1"/>
  <c r="AJ16" i="7" a="1"/>
  <c r="AJ16" i="7" s="1"/>
  <c r="AJ21" i="7" a="1"/>
  <c r="AJ21" i="7" s="1"/>
  <c r="AJ20" i="7" s="1"/>
  <c r="AJ23" i="7" a="1"/>
  <c r="AJ23" i="7" s="1"/>
  <c r="AC39" i="7" a="1"/>
  <c r="AC39" i="7" s="1"/>
  <c r="AC26" i="7" a="1"/>
  <c r="AC26" i="7" s="1"/>
  <c r="AC25" i="7" a="1"/>
  <c r="AC25" i="7" s="1"/>
  <c r="AC27" i="7" a="1"/>
  <c r="AC27" i="7" s="1"/>
  <c r="AC16" i="7" a="1"/>
  <c r="AC16" i="7" s="1"/>
  <c r="AC23" i="7" a="1"/>
  <c r="AC23" i="7" s="1"/>
  <c r="AC21" i="7" a="1"/>
  <c r="AC21" i="7" s="1"/>
  <c r="AC20" i="7" s="1"/>
  <c r="AC24" i="7" a="1"/>
  <c r="AC24" i="7" s="1"/>
  <c r="AD28" i="7" a="1"/>
  <c r="AD28" i="7" s="1"/>
  <c r="U28" i="7" a="1"/>
  <c r="U28" i="7" s="1"/>
  <c r="P28" i="7" a="1"/>
  <c r="P28" i="7" s="1"/>
  <c r="AH28" i="7" a="1"/>
  <c r="AH28" i="7" s="1"/>
  <c r="Y28" i="7" a="1"/>
  <c r="Y28" i="7" s="1"/>
  <c r="T28" i="7" a="1"/>
  <c r="T28" i="7" s="1"/>
  <c r="K28" i="7" a="1"/>
  <c r="K28" i="7" s="1"/>
  <c r="AE28" i="7" a="1"/>
  <c r="AE28" i="7" s="1"/>
  <c r="V28" i="7" a="1"/>
  <c r="V28" i="7" s="1"/>
  <c r="M28" i="7" a="1"/>
  <c r="M28" i="7" s="1"/>
  <c r="H28" i="7" a="1"/>
  <c r="H28" i="7" s="1"/>
  <c r="AI28" i="7" a="1"/>
  <c r="AI28" i="7" s="1"/>
  <c r="W28" i="7" a="1"/>
  <c r="W28" i="7" s="1"/>
  <c r="O28" i="7" a="1"/>
  <c r="O28" i="7" s="1"/>
  <c r="I28" i="7" a="1"/>
  <c r="I28" i="7" s="1"/>
  <c r="AK28" i="7" a="1"/>
  <c r="AK28" i="7" s="1"/>
  <c r="AC28" i="7" a="1"/>
  <c r="AC28" i="7" s="1"/>
  <c r="AF28" i="7" a="1"/>
  <c r="AF28" i="7" s="1"/>
  <c r="S28" i="7" a="1"/>
  <c r="S28" i="7" s="1"/>
  <c r="AB28" i="7" a="1"/>
  <c r="AB28" i="7" s="1"/>
  <c r="R28" i="7" a="1"/>
  <c r="R28" i="7" s="1"/>
  <c r="AJ28" i="7" a="1"/>
  <c r="AJ28" i="7" s="1"/>
  <c r="X28" i="7" a="1"/>
  <c r="X28" i="7" s="1"/>
  <c r="L28" i="7" a="1"/>
  <c r="L28" i="7" s="1"/>
  <c r="AG28" i="7" a="1"/>
  <c r="AG28" i="7" s="1"/>
  <c r="J28" i="7" a="1"/>
  <c r="J28" i="7" s="1"/>
  <c r="Q28" i="7" a="1"/>
  <c r="Q28" i="7" s="1"/>
  <c r="N28" i="7" a="1"/>
  <c r="N28" i="7" s="1"/>
  <c r="AA28" i="7" a="1"/>
  <c r="AA28" i="7" s="1"/>
  <c r="Z28" i="7" a="1"/>
  <c r="Z28" i="7" s="1"/>
  <c r="F33" i="5"/>
  <c r="V27" i="7" a="1"/>
  <c r="V27" i="7" s="1"/>
  <c r="V39" i="7" a="1"/>
  <c r="V39" i="7" s="1"/>
  <c r="V26" i="7" a="1"/>
  <c r="V26" i="7" s="1"/>
  <c r="V24" i="7" a="1"/>
  <c r="V24" i="7" s="1"/>
  <c r="V23" i="7" a="1"/>
  <c r="V23" i="7" s="1"/>
  <c r="V25" i="7" a="1"/>
  <c r="V25" i="7" s="1"/>
  <c r="V16" i="7" a="1"/>
  <c r="V16" i="7" s="1"/>
  <c r="V21" i="7" a="1"/>
  <c r="V21" i="7" s="1"/>
  <c r="V20" i="7" s="1"/>
  <c r="Y39" i="7" a="1"/>
  <c r="Y39" i="7" s="1"/>
  <c r="Y25" i="7" a="1"/>
  <c r="Y25" i="7" s="1"/>
  <c r="Y24" i="7" a="1"/>
  <c r="Y24" i="7" s="1"/>
  <c r="Y21" i="7" a="1"/>
  <c r="Y21" i="7" s="1"/>
  <c r="Y20" i="7" s="1"/>
  <c r="Y27" i="7" a="1"/>
  <c r="Y27" i="7" s="1"/>
  <c r="Y26" i="7" a="1"/>
  <c r="Y26" i="7" s="1"/>
  <c r="Y23" i="7" a="1"/>
  <c r="Y23" i="7" s="1"/>
  <c r="Y16" i="7" a="1"/>
  <c r="Y16" i="7" s="1"/>
  <c r="AE44" i="7" a="1"/>
  <c r="AE44" i="7" s="1"/>
  <c r="Z44" i="7" a="1"/>
  <c r="Z44" i="7" s="1"/>
  <c r="Q44" i="7" a="1"/>
  <c r="Q44" i="7" s="1"/>
  <c r="H44" i="7" a="1"/>
  <c r="H44" i="7" s="1"/>
  <c r="AI44" i="7" a="1"/>
  <c r="AI44" i="7" s="1"/>
  <c r="AD44" i="7" a="1"/>
  <c r="AD44" i="7" s="1"/>
  <c r="U44" i="7" a="1"/>
  <c r="U44" i="7" s="1"/>
  <c r="L44" i="7" a="1"/>
  <c r="L44" i="7" s="1"/>
  <c r="AF44" i="7" a="1"/>
  <c r="AF44" i="7" s="1"/>
  <c r="W44" i="7" a="1"/>
  <c r="W44" i="7" s="1"/>
  <c r="R44" i="7" a="1"/>
  <c r="R44" i="7" s="1"/>
  <c r="I44" i="7" a="1"/>
  <c r="I44" i="7" s="1"/>
  <c r="AJ44" i="7" a="1"/>
  <c r="AJ44" i="7" s="1"/>
  <c r="N44" i="7" a="1"/>
  <c r="N44" i="7" s="1"/>
  <c r="AH44" i="7" a="1"/>
  <c r="AH44" i="7" s="1"/>
  <c r="AB44" i="7" a="1"/>
  <c r="AB44" i="7" s="1"/>
  <c r="T44" i="7" a="1"/>
  <c r="T44" i="7" s="1"/>
  <c r="M44" i="7" a="1"/>
  <c r="M44" i="7" s="1"/>
  <c r="AA44" i="7" a="1"/>
  <c r="AA44" i="7" s="1"/>
  <c r="AG44" i="7" a="1"/>
  <c r="AG44" i="7" s="1"/>
  <c r="Y44" i="7" a="1"/>
  <c r="Y44" i="7" s="1"/>
  <c r="S44" i="7" a="1"/>
  <c r="S44" i="7" s="1"/>
  <c r="K44" i="7" a="1"/>
  <c r="K44" i="7" s="1"/>
  <c r="J44" i="7" a="1"/>
  <c r="J44" i="7" s="1"/>
  <c r="X44" i="7" a="1"/>
  <c r="X44" i="7" s="1"/>
  <c r="P44" i="7" a="1"/>
  <c r="P44" i="7" s="1"/>
  <c r="AK44" i="7" a="1"/>
  <c r="AK44" i="7" s="1"/>
  <c r="AC44" i="7" a="1"/>
  <c r="AC44" i="7" s="1"/>
  <c r="V44" i="7" a="1"/>
  <c r="V44" i="7" s="1"/>
  <c r="O44" i="7" a="1"/>
  <c r="O44" i="7" s="1"/>
  <c r="AI37" i="7" a="1"/>
  <c r="AI37" i="7" s="1"/>
  <c r="AD37" i="7" a="1"/>
  <c r="AD37" i="7" s="1"/>
  <c r="U37" i="7" a="1"/>
  <c r="U37" i="7" s="1"/>
  <c r="AH37" i="7" a="1"/>
  <c r="AH37" i="7" s="1"/>
  <c r="AJ37" i="7" a="1"/>
  <c r="AJ37" i="7" s="1"/>
  <c r="AA37" i="7" a="1"/>
  <c r="AA37" i="7" s="1"/>
  <c r="AF37" i="7" a="1"/>
  <c r="AF37" i="7" s="1"/>
  <c r="Y37" i="7" a="1"/>
  <c r="Y37" i="7" s="1"/>
  <c r="T37" i="7" a="1"/>
  <c r="T37" i="7" s="1"/>
  <c r="O37" i="7" a="1"/>
  <c r="O37" i="7" s="1"/>
  <c r="J37" i="7" a="1"/>
  <c r="J37" i="7" s="1"/>
  <c r="AE37" i="7" a="1"/>
  <c r="AE37" i="7" s="1"/>
  <c r="N37" i="7" a="1"/>
  <c r="N37" i="7" s="1"/>
  <c r="AG37" i="7" a="1"/>
  <c r="AG37" i="7" s="1"/>
  <c r="P37" i="7" a="1"/>
  <c r="P37" i="7" s="1"/>
  <c r="AK37" i="7" a="1"/>
  <c r="AK37" i="7" s="1"/>
  <c r="AB37" i="7" a="1"/>
  <c r="AB37" i="7" s="1"/>
  <c r="R37" i="7" a="1"/>
  <c r="R37" i="7" s="1"/>
  <c r="K37" i="7" a="1"/>
  <c r="K37" i="7" s="1"/>
  <c r="Z37" i="7" a="1"/>
  <c r="Z37" i="7" s="1"/>
  <c r="I37" i="7" a="1"/>
  <c r="I37" i="7" s="1"/>
  <c r="X37" i="7" a="1"/>
  <c r="X37" i="7" s="1"/>
  <c r="Q37" i="7" a="1"/>
  <c r="Q37" i="7" s="1"/>
  <c r="H37" i="7" a="1"/>
  <c r="H37" i="7" s="1"/>
  <c r="W37" i="7" a="1"/>
  <c r="W37" i="7" s="1"/>
  <c r="V37" i="7" a="1"/>
  <c r="V37" i="7" s="1"/>
  <c r="M37" i="7" a="1"/>
  <c r="M37" i="7" s="1"/>
  <c r="AC37" i="7" a="1"/>
  <c r="AC37" i="7" s="1"/>
  <c r="S37" i="7" a="1"/>
  <c r="S37" i="7" s="1"/>
  <c r="L37" i="7" a="1"/>
  <c r="L37" i="7" s="1"/>
  <c r="E131" i="5"/>
  <c r="I43" i="7" a="1"/>
  <c r="I43" i="7" s="1"/>
  <c r="AJ43" i="7" a="1"/>
  <c r="AJ43" i="7" s="1"/>
  <c r="W39" i="7" a="1"/>
  <c r="W39" i="7" s="1"/>
  <c r="W26" i="7" a="1"/>
  <c r="W26" i="7" s="1"/>
  <c r="W23" i="7" a="1"/>
  <c r="W23" i="7" s="1"/>
  <c r="W25" i="7" a="1"/>
  <c r="W25" i="7" s="1"/>
  <c r="W27" i="7" a="1"/>
  <c r="W27" i="7" s="1"/>
  <c r="W24" i="7" a="1"/>
  <c r="W24" i="7" s="1"/>
  <c r="W16" i="7" a="1"/>
  <c r="W16" i="7" s="1"/>
  <c r="W21" i="7" a="1"/>
  <c r="W21" i="7" s="1"/>
  <c r="W20" i="7" s="1"/>
  <c r="L18" i="7" a="1"/>
  <c r="L18" i="7" s="1"/>
  <c r="E25" i="7" a="1"/>
  <c r="E25" i="7" s="1"/>
  <c r="E27" i="7" a="1"/>
  <c r="E27" i="7" s="1"/>
  <c r="E24" i="7" a="1"/>
  <c r="E24" i="7" s="1"/>
  <c r="E21" i="7" a="1"/>
  <c r="E21" i="7" s="1"/>
  <c r="E26" i="7" a="1"/>
  <c r="E26" i="7" s="1"/>
  <c r="E23" i="7" a="1"/>
  <c r="E23" i="7" s="1"/>
  <c r="E16" i="7" a="1"/>
  <c r="E16" i="7" s="1"/>
  <c r="N45" i="3"/>
  <c r="O19" i="3"/>
  <c r="B25" i="7" a="1"/>
  <c r="B25" i="7" s="1"/>
  <c r="B26" i="7" a="1"/>
  <c r="B26" i="7" s="1"/>
  <c r="B23" i="7" a="1"/>
  <c r="B23" i="7" s="1"/>
  <c r="B16" i="7" a="1"/>
  <c r="B16" i="7" s="1"/>
  <c r="B24" i="7" a="1"/>
  <c r="B24" i="7" s="1"/>
  <c r="B27" i="7" a="1"/>
  <c r="B27" i="7" s="1"/>
  <c r="B21" i="7" a="1"/>
  <c r="B21" i="7" s="1"/>
  <c r="H155" i="5"/>
  <c r="H142" i="5"/>
  <c r="H140" i="5"/>
  <c r="H136" i="5"/>
  <c r="H174" i="5"/>
  <c r="H162" i="5"/>
  <c r="H160" i="5"/>
  <c r="H135" i="5"/>
  <c r="H197" i="5"/>
  <c r="I193" i="5" s="1"/>
  <c r="H93" i="5"/>
  <c r="H39" i="5"/>
  <c r="H37" i="5"/>
  <c r="H33" i="5"/>
  <c r="H176" i="5" s="1"/>
  <c r="H31" i="5"/>
  <c r="H154" i="5" s="1"/>
  <c r="H13" i="5"/>
  <c r="H202" i="5" s="1"/>
  <c r="H11" i="5"/>
  <c r="H38" i="5"/>
  <c r="H141" i="5" s="1"/>
  <c r="H34" i="5"/>
  <c r="H177" i="5" s="1"/>
  <c r="H68" i="5" a="1"/>
  <c r="H68" i="5" s="1"/>
  <c r="H32" i="5"/>
  <c r="H175" i="5" s="1"/>
  <c r="I5" i="5"/>
  <c r="H12" i="5"/>
  <c r="H14" i="5"/>
  <c r="H6" i="5"/>
  <c r="G35" i="5"/>
  <c r="H36" i="5" s="1"/>
  <c r="E175" i="5"/>
  <c r="AL43" i="7" a="1"/>
  <c r="AL43" i="7" s="1"/>
  <c r="AL47" i="7" a="1"/>
  <c r="AL47" i="7" s="1"/>
  <c r="F195" i="5"/>
  <c r="F196" i="5"/>
  <c r="AF39" i="7" a="1"/>
  <c r="AF39" i="7" s="1"/>
  <c r="AF26" i="7" a="1"/>
  <c r="AF26" i="7" s="1"/>
  <c r="AF24" i="7" a="1"/>
  <c r="AF24" i="7" s="1"/>
  <c r="AF23" i="7" a="1"/>
  <c r="AF23" i="7" s="1"/>
  <c r="AF25" i="7" a="1"/>
  <c r="AF25" i="7" s="1"/>
  <c r="AF21" i="7" a="1"/>
  <c r="AF21" i="7" s="1"/>
  <c r="AF20" i="7" s="1"/>
  <c r="AF27" i="7" a="1"/>
  <c r="AF27" i="7" s="1"/>
  <c r="AF16" i="7" a="1"/>
  <c r="AF16" i="7" s="1"/>
  <c r="AH39" i="7" a="1"/>
  <c r="AH39" i="7" s="1"/>
  <c r="AH25" i="7" a="1"/>
  <c r="AH25" i="7" s="1"/>
  <c r="AH27" i="7" a="1"/>
  <c r="AH27" i="7" s="1"/>
  <c r="AH23" i="7" a="1"/>
  <c r="AH23" i="7" s="1"/>
  <c r="AH16" i="7" a="1"/>
  <c r="AH16" i="7" s="1"/>
  <c r="AH24" i="7" a="1"/>
  <c r="AH24" i="7" s="1"/>
  <c r="AH26" i="7" a="1"/>
  <c r="AH26" i="7" s="1"/>
  <c r="AH21" i="7" a="1"/>
  <c r="AH21" i="7" s="1"/>
  <c r="AH20" i="7" s="1"/>
  <c r="F163" i="5"/>
  <c r="F155" i="5"/>
  <c r="AI47" i="7" a="1"/>
  <c r="AI47" i="7" s="1"/>
  <c r="AC47" i="7" a="1"/>
  <c r="AC47" i="7" s="1"/>
  <c r="T47" i="7" a="1"/>
  <c r="T47" i="7" s="1"/>
  <c r="K47" i="7" a="1"/>
  <c r="K47" i="7" s="1"/>
  <c r="AG47" i="7" a="1"/>
  <c r="AG47" i="7" s="1"/>
  <c r="X47" i="7" a="1"/>
  <c r="X47" i="7" s="1"/>
  <c r="O47" i="7" a="1"/>
  <c r="O47" i="7" s="1"/>
  <c r="J47" i="7" a="1"/>
  <c r="J47" i="7" s="1"/>
  <c r="AB47" i="7" a="1"/>
  <c r="AB47" i="7" s="1"/>
  <c r="S47" i="7" a="1"/>
  <c r="S47" i="7" s="1"/>
  <c r="N47" i="7" a="1"/>
  <c r="N47" i="7" s="1"/>
  <c r="AK47" i="7" a="1"/>
  <c r="AK47" i="7" s="1"/>
  <c r="AF47" i="7" a="1"/>
  <c r="AF47" i="7" s="1"/>
  <c r="W47" i="7" a="1"/>
  <c r="W47" i="7" s="1"/>
  <c r="AA47" i="7" a="1"/>
  <c r="AA47" i="7" s="1"/>
  <c r="V47" i="7" a="1"/>
  <c r="V47" i="7" s="1"/>
  <c r="M47" i="7" a="1"/>
  <c r="M47" i="7" s="1"/>
  <c r="AJ47" i="7" a="1"/>
  <c r="AJ47" i="7" s="1"/>
  <c r="AE47" i="7" a="1"/>
  <c r="AE47" i="7" s="1"/>
  <c r="AD47" i="7" a="1"/>
  <c r="AD47" i="7" s="1"/>
  <c r="U47" i="7" a="1"/>
  <c r="U47" i="7" s="1"/>
  <c r="L47" i="7" a="1"/>
  <c r="L47" i="7" s="1"/>
  <c r="Z47" i="7" a="1"/>
  <c r="Z47" i="7" s="1"/>
  <c r="Y47" i="7" a="1"/>
  <c r="Y47" i="7" s="1"/>
  <c r="I47" i="7" a="1"/>
  <c r="I47" i="7" s="1"/>
  <c r="H47" i="7" a="1"/>
  <c r="H47" i="7" s="1"/>
  <c r="R47" i="7" a="1"/>
  <c r="R47" i="7" s="1"/>
  <c r="Q47" i="7" a="1"/>
  <c r="Q47" i="7" s="1"/>
  <c r="AH47" i="7" a="1"/>
  <c r="AH47" i="7" s="1"/>
  <c r="P47" i="7" a="1"/>
  <c r="P47" i="7" s="1"/>
  <c r="E161" i="5"/>
  <c r="AE39" i="7" a="1"/>
  <c r="AE39" i="7" s="1"/>
  <c r="AE25" i="7" a="1"/>
  <c r="AE25" i="7" s="1"/>
  <c r="AE26" i="7" a="1"/>
  <c r="AE26" i="7" s="1"/>
  <c r="AE27" i="7" a="1"/>
  <c r="AE27" i="7" s="1"/>
  <c r="AE23" i="7" a="1"/>
  <c r="AE23" i="7" s="1"/>
  <c r="AE21" i="7" a="1"/>
  <c r="AE21" i="7" s="1"/>
  <c r="AE20" i="7" s="1"/>
  <c r="AE24" i="7" a="1"/>
  <c r="AE24" i="7" s="1"/>
  <c r="AE16" i="7" a="1"/>
  <c r="AE16" i="7" s="1"/>
  <c r="F177" i="5"/>
  <c r="AC43" i="7" a="1"/>
  <c r="AC43" i="7" s="1"/>
  <c r="Q43" i="7" a="1"/>
  <c r="Q43" i="7" s="1"/>
  <c r="U46" i="3"/>
  <c r="P18" i="7" a="1"/>
  <c r="P18" i="7" s="1"/>
  <c r="G154" i="5"/>
  <c r="E24" i="5"/>
  <c r="E17" i="5"/>
  <c r="F19" i="5" s="1"/>
  <c r="F96" i="5"/>
  <c r="F105" i="5"/>
  <c r="F104" i="5"/>
  <c r="F106" i="5"/>
  <c r="F107" i="5"/>
  <c r="AD39" i="7" a="1"/>
  <c r="AD39" i="7" s="1"/>
  <c r="AD26" i="7" a="1"/>
  <c r="AD26" i="7" s="1"/>
  <c r="AD21" i="7" a="1"/>
  <c r="AD21" i="7" s="1"/>
  <c r="AD20" i="7" s="1"/>
  <c r="AD19" i="7" s="1"/>
  <c r="AD25" i="7" a="1"/>
  <c r="AD25" i="7" s="1"/>
  <c r="AD27" i="7" a="1"/>
  <c r="AD27" i="7" s="1"/>
  <c r="AD23" i="7" a="1"/>
  <c r="AD23" i="7" s="1"/>
  <c r="AD16" i="7" a="1"/>
  <c r="AD16" i="7" s="1"/>
  <c r="AD24" i="7" a="1"/>
  <c r="AD24" i="7" s="1"/>
  <c r="E4" i="7"/>
  <c r="H4" i="6"/>
  <c r="G5" i="6"/>
  <c r="U39" i="7" a="1"/>
  <c r="U39" i="7" s="1"/>
  <c r="U27" i="7" a="1"/>
  <c r="U27" i="7" s="1"/>
  <c r="U26" i="7" a="1"/>
  <c r="U26" i="7" s="1"/>
  <c r="U24" i="7" a="1"/>
  <c r="U24" i="7" s="1"/>
  <c r="U23" i="7" a="1"/>
  <c r="U23" i="7" s="1"/>
  <c r="U25" i="7" a="1"/>
  <c r="U25" i="7" s="1"/>
  <c r="U21" i="7" a="1"/>
  <c r="U21" i="7" s="1"/>
  <c r="U20" i="7" s="1"/>
  <c r="U16" i="7" a="1"/>
  <c r="U16" i="7" s="1"/>
  <c r="AH46" i="7" a="1"/>
  <c r="AH46" i="7" s="1"/>
  <c r="Y46" i="7" a="1"/>
  <c r="Y46" i="7" s="1"/>
  <c r="P46" i="7" a="1"/>
  <c r="P46" i="7" s="1"/>
  <c r="AC46" i="7" a="1"/>
  <c r="AC46" i="7" s="1"/>
  <c r="T46" i="7" a="1"/>
  <c r="T46" i="7" s="1"/>
  <c r="K46" i="7" a="1"/>
  <c r="K46" i="7" s="1"/>
  <c r="AG46" i="7" a="1"/>
  <c r="AG46" i="7" s="1"/>
  <c r="X46" i="7" a="1"/>
  <c r="X46" i="7" s="1"/>
  <c r="O46" i="7" a="1"/>
  <c r="O46" i="7" s="1"/>
  <c r="J46" i="7" a="1"/>
  <c r="J46" i="7" s="1"/>
  <c r="AF46" i="7" a="1"/>
  <c r="AF46" i="7" s="1"/>
  <c r="W46" i="7" a="1"/>
  <c r="W46" i="7" s="1"/>
  <c r="AE46" i="7" a="1"/>
  <c r="AE46" i="7" s="1"/>
  <c r="Z46" i="7" a="1"/>
  <c r="Z46" i="7" s="1"/>
  <c r="Q46" i="7" a="1"/>
  <c r="Q46" i="7" s="1"/>
  <c r="H46" i="7" a="1"/>
  <c r="H46" i="7" s="1"/>
  <c r="AK46" i="7" a="1"/>
  <c r="AK46" i="7" s="1"/>
  <c r="N46" i="7" a="1"/>
  <c r="N46" i="7" s="1"/>
  <c r="AJ46" i="7" a="1"/>
  <c r="AJ46" i="7" s="1"/>
  <c r="AI46" i="7" a="1"/>
  <c r="AI46" i="7" s="1"/>
  <c r="V46" i="7" a="1"/>
  <c r="V46" i="7" s="1"/>
  <c r="M46" i="7" a="1"/>
  <c r="M46" i="7" s="1"/>
  <c r="U46" i="7" a="1"/>
  <c r="U46" i="7" s="1"/>
  <c r="L46" i="7" a="1"/>
  <c r="L46" i="7" s="1"/>
  <c r="S46" i="7" a="1"/>
  <c r="S46" i="7" s="1"/>
  <c r="AD46" i="7" a="1"/>
  <c r="AD46" i="7" s="1"/>
  <c r="R46" i="7" a="1"/>
  <c r="R46" i="7" s="1"/>
  <c r="I46" i="7" a="1"/>
  <c r="I46" i="7" s="1"/>
  <c r="AB46" i="7" a="1"/>
  <c r="AB46" i="7" s="1"/>
  <c r="AA46" i="7" a="1"/>
  <c r="AA46" i="7" s="1"/>
  <c r="E160" i="5"/>
  <c r="N25" i="7" a="1"/>
  <c r="N25" i="7" s="1"/>
  <c r="N39" i="7" a="1"/>
  <c r="N39" i="7" s="1"/>
  <c r="N27" i="7" a="1"/>
  <c r="N27" i="7" s="1"/>
  <c r="N26" i="7" a="1"/>
  <c r="N26" i="7" s="1"/>
  <c r="N21" i="7" a="1"/>
  <c r="N21" i="7" s="1"/>
  <c r="N20" i="7" s="1"/>
  <c r="N19" i="7" s="1"/>
  <c r="N24" i="7" a="1"/>
  <c r="N24" i="7" s="1"/>
  <c r="N23" i="7" a="1"/>
  <c r="N23" i="7" s="1"/>
  <c r="N16" i="7" a="1"/>
  <c r="N16" i="7" s="1"/>
  <c r="M39" i="7" a="1"/>
  <c r="M39" i="7" s="1"/>
  <c r="M27" i="7" a="1"/>
  <c r="M27" i="7" s="1"/>
  <c r="M26" i="7" a="1"/>
  <c r="M26" i="7" s="1"/>
  <c r="M25" i="7" a="1"/>
  <c r="M25" i="7" s="1"/>
  <c r="M16" i="7" a="1"/>
  <c r="M16" i="7" s="1"/>
  <c r="M23" i="7" a="1"/>
  <c r="M23" i="7" s="1"/>
  <c r="M24" i="7" a="1"/>
  <c r="M24" i="7" s="1"/>
  <c r="M21" i="7" a="1"/>
  <c r="M21" i="7" s="1"/>
  <c r="M20" i="7" s="1"/>
  <c r="M19" i="7" s="1"/>
  <c r="F138" i="5"/>
  <c r="AJ18" i="7" a="1"/>
  <c r="AJ18" i="7" s="1"/>
  <c r="U18" i="7" a="1"/>
  <c r="U18" i="7" s="1"/>
  <c r="G159" i="5"/>
  <c r="AL27" i="7" a="1"/>
  <c r="AL27" i="7" s="1"/>
  <c r="AL39" i="7" a="1"/>
  <c r="AL39" i="7" s="1"/>
  <c r="N42" i="3"/>
  <c r="AD50" i="7" a="1"/>
  <c r="AD50" i="7" s="1"/>
  <c r="Y50" i="7" a="1"/>
  <c r="Y50" i="7" s="1"/>
  <c r="AH50" i="7" a="1"/>
  <c r="AH50" i="7" s="1"/>
  <c r="AF50" i="7" a="1"/>
  <c r="AF50" i="7" s="1"/>
  <c r="U50" i="7" a="1"/>
  <c r="U50" i="7" s="1"/>
  <c r="L50" i="7" a="1"/>
  <c r="L50" i="7" s="1"/>
  <c r="Z50" i="7" a="1"/>
  <c r="Z50" i="7" s="1"/>
  <c r="P50" i="7" a="1"/>
  <c r="P50" i="7" s="1"/>
  <c r="AK50" i="7" a="1"/>
  <c r="AK50" i="7" s="1"/>
  <c r="AI50" i="7" a="1"/>
  <c r="AI50" i="7" s="1"/>
  <c r="AB50" i="7" a="1"/>
  <c r="AB50" i="7" s="1"/>
  <c r="R50" i="7" a="1"/>
  <c r="R50" i="7" s="1"/>
  <c r="M50" i="7" a="1"/>
  <c r="M50" i="7" s="1"/>
  <c r="V50" i="7" a="1"/>
  <c r="V50" i="7" s="1"/>
  <c r="AC50" i="7" a="1"/>
  <c r="AC50" i="7" s="1"/>
  <c r="T50" i="7" a="1"/>
  <c r="T50" i="7" s="1"/>
  <c r="N50" i="7" a="1"/>
  <c r="N50" i="7" s="1"/>
  <c r="AA50" i="7" a="1"/>
  <c r="AA50" i="7" s="1"/>
  <c r="S50" i="7" a="1"/>
  <c r="S50" i="7" s="1"/>
  <c r="K50" i="7" a="1"/>
  <c r="K50" i="7" s="1"/>
  <c r="AJ50" i="7" a="1"/>
  <c r="AJ50" i="7" s="1"/>
  <c r="X50" i="7" a="1"/>
  <c r="X50" i="7" s="1"/>
  <c r="Q50" i="7" a="1"/>
  <c r="Q50" i="7" s="1"/>
  <c r="J50" i="7" a="1"/>
  <c r="J50" i="7" s="1"/>
  <c r="AG50" i="7" a="1"/>
  <c r="AG50" i="7" s="1"/>
  <c r="I50" i="7" a="1"/>
  <c r="I50" i="7" s="1"/>
  <c r="H50" i="7" a="1"/>
  <c r="H50" i="7" s="1"/>
  <c r="AE50" i="7" a="1"/>
  <c r="AE50" i="7" s="1"/>
  <c r="W50" i="7" a="1"/>
  <c r="W50" i="7" s="1"/>
  <c r="O50" i="7" a="1"/>
  <c r="O50" i="7" s="1"/>
  <c r="AL28" i="7" a="1"/>
  <c r="AL28" i="7" s="1"/>
  <c r="AL41" i="7" a="1"/>
  <c r="AL41" i="7" s="1"/>
  <c r="K39" i="7" a="1"/>
  <c r="K39" i="7" s="1"/>
  <c r="K26" i="7" a="1"/>
  <c r="K26" i="7" s="1"/>
  <c r="K25" i="7" a="1"/>
  <c r="K25" i="7" s="1"/>
  <c r="K24" i="7" a="1"/>
  <c r="K24" i="7" s="1"/>
  <c r="K27" i="7" a="1"/>
  <c r="K27" i="7" s="1"/>
  <c r="K21" i="7" a="1"/>
  <c r="K21" i="7" s="1"/>
  <c r="K20" i="7" s="1"/>
  <c r="K19" i="7" s="1"/>
  <c r="K23" i="7" a="1"/>
  <c r="K23" i="7" s="1"/>
  <c r="K16" i="7" a="1"/>
  <c r="K16" i="7" s="1"/>
  <c r="F78" i="5"/>
  <c r="G174" i="5"/>
  <c r="AL44" i="7" a="1"/>
  <c r="AL44" i="7" s="1"/>
  <c r="K10" i="6"/>
  <c r="L39" i="7" a="1"/>
  <c r="L39" i="7" s="1"/>
  <c r="L24" i="7" a="1"/>
  <c r="L24" i="7" s="1"/>
  <c r="L23" i="7" a="1"/>
  <c r="L23" i="7" s="1"/>
  <c r="L27" i="7" a="1"/>
  <c r="L27" i="7" s="1"/>
  <c r="L26" i="7" a="1"/>
  <c r="L26" i="7" s="1"/>
  <c r="L25" i="7" a="1"/>
  <c r="L25" i="7" s="1"/>
  <c r="L16" i="7" a="1"/>
  <c r="L16" i="7" s="1"/>
  <c r="L21" i="7" a="1"/>
  <c r="L21" i="7" s="1"/>
  <c r="L20" i="7" s="1"/>
  <c r="I26" i="7" a="1"/>
  <c r="I26" i="7" s="1"/>
  <c r="I39" i="7" a="1"/>
  <c r="I39" i="7" s="1"/>
  <c r="I25" i="7" a="1"/>
  <c r="I25" i="7" s="1"/>
  <c r="I27" i="7" a="1"/>
  <c r="I27" i="7" s="1"/>
  <c r="I21" i="7" a="1"/>
  <c r="I21" i="7" s="1"/>
  <c r="I20" i="7" s="1"/>
  <c r="I19" i="7" s="1"/>
  <c r="I24" i="7" a="1"/>
  <c r="I24" i="7" s="1"/>
  <c r="I23" i="7" a="1"/>
  <c r="I23" i="7" s="1"/>
  <c r="I16" i="7" a="1"/>
  <c r="I16" i="7" s="1"/>
  <c r="AH38" i="7" a="1"/>
  <c r="AH38" i="7" s="1"/>
  <c r="Y38" i="7" a="1"/>
  <c r="Y38" i="7" s="1"/>
  <c r="P38" i="7" a="1"/>
  <c r="P38" i="7" s="1"/>
  <c r="AC38" i="7" a="1"/>
  <c r="AC38" i="7" s="1"/>
  <c r="T38" i="7" a="1"/>
  <c r="T38" i="7" s="1"/>
  <c r="K38" i="7" a="1"/>
  <c r="K38" i="7" s="1"/>
  <c r="AE38" i="7" a="1"/>
  <c r="AE38" i="7" s="1"/>
  <c r="Z38" i="7" a="1"/>
  <c r="Z38" i="7" s="1"/>
  <c r="Q38" i="7" a="1"/>
  <c r="Q38" i="7" s="1"/>
  <c r="H38" i="7" a="1"/>
  <c r="H38" i="7" s="1"/>
  <c r="AK38" i="7" a="1"/>
  <c r="AK38" i="7" s="1"/>
  <c r="AD38" i="7" a="1"/>
  <c r="AD38" i="7" s="1"/>
  <c r="W38" i="7" a="1"/>
  <c r="W38" i="7" s="1"/>
  <c r="O38" i="7" a="1"/>
  <c r="O38" i="7" s="1"/>
  <c r="V38" i="7" a="1"/>
  <c r="V38" i="7" s="1"/>
  <c r="N38" i="7" a="1"/>
  <c r="N38" i="7" s="1"/>
  <c r="AF38" i="7" a="1"/>
  <c r="AF38" i="7" s="1"/>
  <c r="X38" i="7" a="1"/>
  <c r="X38" i="7" s="1"/>
  <c r="AJ38" i="7" a="1"/>
  <c r="AJ38" i="7" s="1"/>
  <c r="M38" i="7" a="1"/>
  <c r="M38" i="7" s="1"/>
  <c r="AI38" i="7" a="1"/>
  <c r="AI38" i="7" s="1"/>
  <c r="L38" i="7" a="1"/>
  <c r="L38" i="7" s="1"/>
  <c r="AG38" i="7" a="1"/>
  <c r="AG38" i="7" s="1"/>
  <c r="U38" i="7" a="1"/>
  <c r="U38" i="7" s="1"/>
  <c r="J38" i="7" a="1"/>
  <c r="J38" i="7" s="1"/>
  <c r="I38" i="7" a="1"/>
  <c r="I38" i="7" s="1"/>
  <c r="S38" i="7" a="1"/>
  <c r="S38" i="7" s="1"/>
  <c r="AB38" i="7" a="1"/>
  <c r="AB38" i="7" s="1"/>
  <c r="R38" i="7" a="1"/>
  <c r="R38" i="7" s="1"/>
  <c r="AA38" i="7" a="1"/>
  <c r="AA38" i="7" s="1"/>
  <c r="Z39" i="7" a="1"/>
  <c r="Z39" i="7" s="1"/>
  <c r="Z27" i="7" a="1"/>
  <c r="Z27" i="7" s="1"/>
  <c r="Z24" i="7" a="1"/>
  <c r="Z24" i="7" s="1"/>
  <c r="Z21" i="7" a="1"/>
  <c r="Z21" i="7" s="1"/>
  <c r="Z20" i="7" s="1"/>
  <c r="Z26" i="7" a="1"/>
  <c r="Z26" i="7" s="1"/>
  <c r="Z25" i="7" a="1"/>
  <c r="Z25" i="7" s="1"/>
  <c r="Z16" i="7" a="1"/>
  <c r="Z16" i="7" s="1"/>
  <c r="Z23" i="7" a="1"/>
  <c r="Z23" i="7" s="1"/>
  <c r="AE49" i="7" a="1"/>
  <c r="AE49" i="7" s="1"/>
  <c r="V49" i="7" a="1"/>
  <c r="V49" i="7" s="1"/>
  <c r="Q49" i="7" a="1"/>
  <c r="Q49" i="7" s="1"/>
  <c r="H49" i="7" a="1"/>
  <c r="H49" i="7" s="1"/>
  <c r="AI49" i="7" a="1"/>
  <c r="AI49" i="7" s="1"/>
  <c r="Z49" i="7" a="1"/>
  <c r="Z49" i="7" s="1"/>
  <c r="U49" i="7" a="1"/>
  <c r="U49" i="7" s="1"/>
  <c r="L49" i="7" a="1"/>
  <c r="L49" i="7" s="1"/>
  <c r="AF49" i="7" a="1"/>
  <c r="AF49" i="7" s="1"/>
  <c r="W49" i="7" a="1"/>
  <c r="W49" i="7" s="1"/>
  <c r="N49" i="7" a="1"/>
  <c r="N49" i="7" s="1"/>
  <c r="I49" i="7" a="1"/>
  <c r="I49" i="7" s="1"/>
  <c r="AD49" i="7" a="1"/>
  <c r="AD49" i="7" s="1"/>
  <c r="AK49" i="7" a="1"/>
  <c r="AK49" i="7" s="1"/>
  <c r="AC49" i="7" a="1"/>
  <c r="AC49" i="7" s="1"/>
  <c r="O49" i="7" a="1"/>
  <c r="O49" i="7" s="1"/>
  <c r="AJ49" i="7" a="1"/>
  <c r="AJ49" i="7" s="1"/>
  <c r="AB49" i="7" a="1"/>
  <c r="AB49" i="7" s="1"/>
  <c r="T49" i="7" a="1"/>
  <c r="T49" i="7" s="1"/>
  <c r="M49" i="7" a="1"/>
  <c r="M49" i="7" s="1"/>
  <c r="AH49" i="7" a="1"/>
  <c r="AH49" i="7" s="1"/>
  <c r="AA49" i="7" a="1"/>
  <c r="AA49" i="7" s="1"/>
  <c r="AG49" i="7" a="1"/>
  <c r="AG49" i="7" s="1"/>
  <c r="Y49" i="7" a="1"/>
  <c r="Y49" i="7" s="1"/>
  <c r="S49" i="7" a="1"/>
  <c r="S49" i="7" s="1"/>
  <c r="K49" i="7" a="1"/>
  <c r="K49" i="7" s="1"/>
  <c r="R49" i="7" a="1"/>
  <c r="R49" i="7" s="1"/>
  <c r="J49" i="7" a="1"/>
  <c r="J49" i="7" s="1"/>
  <c r="X49" i="7" a="1"/>
  <c r="X49" i="7" s="1"/>
  <c r="P49" i="7" a="1"/>
  <c r="P49" i="7" s="1"/>
  <c r="E163" i="5"/>
  <c r="D46" i="5"/>
  <c r="E27" i="5"/>
  <c r="H39" i="7" a="1"/>
  <c r="H39" i="7" s="1"/>
  <c r="H26" i="7" a="1"/>
  <c r="H26" i="7" s="1"/>
  <c r="H25" i="7" a="1"/>
  <c r="H25" i="7" s="1"/>
  <c r="H16" i="7" a="1"/>
  <c r="H16" i="7" s="1"/>
  <c r="H27" i="7" a="1"/>
  <c r="H27" i="7" s="1"/>
  <c r="H21" i="7" a="1"/>
  <c r="H21" i="7" s="1"/>
  <c r="H20" i="7" s="1"/>
  <c r="H24" i="7" a="1"/>
  <c r="H24" i="7" s="1"/>
  <c r="H23" i="7" a="1"/>
  <c r="H23" i="7" s="1"/>
  <c r="C25" i="7" a="1"/>
  <c r="C25" i="7" s="1"/>
  <c r="C16" i="7" a="1"/>
  <c r="C16" i="7" s="1"/>
  <c r="C24" i="7" a="1"/>
  <c r="C24" i="7" s="1"/>
  <c r="C23" i="7" a="1"/>
  <c r="C23" i="7" s="1"/>
  <c r="C27" i="7" a="1"/>
  <c r="C27" i="7" s="1"/>
  <c r="C26" i="7" a="1"/>
  <c r="C26" i="7" s="1"/>
  <c r="C21" i="7" a="1"/>
  <c r="C21" i="7" s="1"/>
  <c r="AH29" i="7" a="1"/>
  <c r="AH29" i="7" s="1"/>
  <c r="Y29" i="7" a="1"/>
  <c r="Y29" i="7" s="1"/>
  <c r="T29" i="7" a="1"/>
  <c r="T29" i="7" s="1"/>
  <c r="K29" i="7" a="1"/>
  <c r="K29" i="7" s="1"/>
  <c r="AC29" i="7" a="1"/>
  <c r="AC29" i="7" s="1"/>
  <c r="X29" i="7" a="1"/>
  <c r="X29" i="7" s="1"/>
  <c r="O29" i="7" a="1"/>
  <c r="O29" i="7" s="1"/>
  <c r="AI29" i="7" a="1"/>
  <c r="AI29" i="7" s="1"/>
  <c r="Z29" i="7" a="1"/>
  <c r="Z29" i="7" s="1"/>
  <c r="Q29" i="7" a="1"/>
  <c r="Q29" i="7" s="1"/>
  <c r="L29" i="7" a="1"/>
  <c r="L29" i="7" s="1"/>
  <c r="AG29" i="7" a="1"/>
  <c r="AG29" i="7" s="1"/>
  <c r="AJ29" i="7" a="1"/>
  <c r="AJ29" i="7" s="1"/>
  <c r="AB29" i="7" a="1"/>
  <c r="AB29" i="7" s="1"/>
  <c r="V29" i="7" a="1"/>
  <c r="V29" i="7" s="1"/>
  <c r="N29" i="7" a="1"/>
  <c r="N29" i="7" s="1"/>
  <c r="U29" i="7" a="1"/>
  <c r="U29" i="7" s="1"/>
  <c r="AA29" i="7" a="1"/>
  <c r="AA29" i="7" s="1"/>
  <c r="R29" i="7" a="1"/>
  <c r="R29" i="7" s="1"/>
  <c r="H29" i="7" a="1"/>
  <c r="H29" i="7" s="1"/>
  <c r="AE29" i="7" a="1"/>
  <c r="AE29" i="7" s="1"/>
  <c r="AD29" i="7" a="1"/>
  <c r="AD29" i="7" s="1"/>
  <c r="P29" i="7" a="1"/>
  <c r="P29" i="7" s="1"/>
  <c r="M29" i="7" a="1"/>
  <c r="M29" i="7" s="1"/>
  <c r="W29" i="7" a="1"/>
  <c r="W29" i="7" s="1"/>
  <c r="J29" i="7" a="1"/>
  <c r="J29" i="7" s="1"/>
  <c r="AK29" i="7" a="1"/>
  <c r="AK29" i="7" s="1"/>
  <c r="AF29" i="7" a="1"/>
  <c r="AF29" i="7" s="1"/>
  <c r="S29" i="7" a="1"/>
  <c r="S29" i="7" s="1"/>
  <c r="I29" i="7" a="1"/>
  <c r="I29" i="7" s="1"/>
  <c r="D47" i="5"/>
  <c r="N43" i="7" a="1"/>
  <c r="N43" i="7" s="1"/>
  <c r="AA27" i="7" a="1"/>
  <c r="AA27" i="7" s="1"/>
  <c r="AA39" i="7" a="1"/>
  <c r="AA39" i="7" s="1"/>
  <c r="AA24" i="7" a="1"/>
  <c r="AA24" i="7" s="1"/>
  <c r="AA25" i="7" a="1"/>
  <c r="AA25" i="7" s="1"/>
  <c r="AA23" i="7" a="1"/>
  <c r="AA23" i="7" s="1"/>
  <c r="AA26" i="7" a="1"/>
  <c r="AA26" i="7" s="1"/>
  <c r="AA21" i="7" a="1"/>
  <c r="AA21" i="7" s="1"/>
  <c r="AA20" i="7" s="1"/>
  <c r="AA19" i="7" s="1"/>
  <c r="AA16" i="7" a="1"/>
  <c r="AA16" i="7" s="1"/>
  <c r="O39" i="7" a="1"/>
  <c r="O39" i="7" s="1"/>
  <c r="O27" i="7" a="1"/>
  <c r="O27" i="7" s="1"/>
  <c r="O26" i="7" a="1"/>
  <c r="O26" i="7" s="1"/>
  <c r="O25" i="7" a="1"/>
  <c r="O25" i="7" s="1"/>
  <c r="O24" i="7" a="1"/>
  <c r="O24" i="7" s="1"/>
  <c r="O23" i="7" a="1"/>
  <c r="O23" i="7" s="1"/>
  <c r="O16" i="7" a="1"/>
  <c r="O16" i="7" s="1"/>
  <c r="O21" i="7" a="1"/>
  <c r="O21" i="7" s="1"/>
  <c r="O20" i="7" s="1"/>
  <c r="O19" i="7" s="1"/>
  <c r="F16" i="5"/>
  <c r="G96" i="5" s="1"/>
  <c r="G95" i="5" s="1"/>
  <c r="M18" i="7" a="1"/>
  <c r="M18" i="7" s="1"/>
  <c r="AD18" i="7" a="1"/>
  <c r="AD18" i="7" s="1"/>
  <c r="AF18" i="7" a="1"/>
  <c r="AF18" i="7" s="1"/>
  <c r="AB18" i="7" a="1"/>
  <c r="AB18" i="7" s="1"/>
  <c r="Q39" i="7" a="1"/>
  <c r="Q39" i="7" s="1"/>
  <c r="Q25" i="7" a="1"/>
  <c r="Q25" i="7" s="1"/>
  <c r="Q24" i="7" a="1"/>
  <c r="Q24" i="7" s="1"/>
  <c r="Q23" i="7" a="1"/>
  <c r="Q23" i="7" s="1"/>
  <c r="Q21" i="7" a="1"/>
  <c r="Q21" i="7" s="1"/>
  <c r="Q20" i="7" s="1"/>
  <c r="Q16" i="7" a="1"/>
  <c r="Q16" i="7" s="1"/>
  <c r="Q27" i="7" a="1"/>
  <c r="Q27" i="7" s="1"/>
  <c r="Q26" i="7" a="1"/>
  <c r="Q26" i="7" s="1"/>
  <c r="R26" i="7" a="1"/>
  <c r="R26" i="7" s="1"/>
  <c r="R39" i="7" a="1"/>
  <c r="R39" i="7" s="1"/>
  <c r="R23" i="7" a="1"/>
  <c r="R23" i="7" s="1"/>
  <c r="R21" i="7" a="1"/>
  <c r="R21" i="7" s="1"/>
  <c r="R20" i="7" s="1"/>
  <c r="R16" i="7" a="1"/>
  <c r="R16" i="7" s="1"/>
  <c r="R27" i="7" a="1"/>
  <c r="R27" i="7" s="1"/>
  <c r="R24" i="7" a="1"/>
  <c r="R24" i="7" s="1"/>
  <c r="R25" i="7" a="1"/>
  <c r="R25" i="7" s="1"/>
  <c r="AL16" i="7" a="1"/>
  <c r="AL16" i="7" s="1"/>
  <c r="AL18" i="7" a="1"/>
  <c r="AL18" i="7" s="1"/>
  <c r="AL50" i="7" a="1"/>
  <c r="AL50" i="7" s="1"/>
  <c r="G25" i="7" a="1"/>
  <c r="G25" i="7" s="1"/>
  <c r="G27" i="7" a="1"/>
  <c r="G27" i="7" s="1"/>
  <c r="G23" i="7" a="1"/>
  <c r="G23" i="7" s="1"/>
  <c r="G26" i="7" a="1"/>
  <c r="G26" i="7" s="1"/>
  <c r="G24" i="7" a="1"/>
  <c r="G24" i="7" s="1"/>
  <c r="G16" i="7" a="1"/>
  <c r="G16" i="7" s="1"/>
  <c r="G21" i="7" a="1"/>
  <c r="G21" i="7" s="1"/>
  <c r="G134" i="5"/>
  <c r="G160" i="5"/>
  <c r="AL23" i="7" a="1"/>
  <c r="AL23" i="7" s="1"/>
  <c r="AL40" i="7" a="1"/>
  <c r="AL40" i="7" s="1"/>
  <c r="AL45" i="7" a="1"/>
  <c r="AL45" i="7" s="1"/>
  <c r="F137" i="5"/>
  <c r="E172" i="5"/>
  <c r="AK21" i="7" a="1"/>
  <c r="AK21" i="7" s="1"/>
  <c r="AK20" i="7" s="1"/>
  <c r="AK19" i="7" s="1"/>
  <c r="T39" i="7" a="1"/>
  <c r="T39" i="7" s="1"/>
  <c r="T26" i="7" a="1"/>
  <c r="T26" i="7" s="1"/>
  <c r="T25" i="7" a="1"/>
  <c r="T25" i="7" s="1"/>
  <c r="T27" i="7" a="1"/>
  <c r="T27" i="7" s="1"/>
  <c r="T23" i="7" a="1"/>
  <c r="T23" i="7" s="1"/>
  <c r="T24" i="7" a="1"/>
  <c r="T24" i="7" s="1"/>
  <c r="T21" i="7" a="1"/>
  <c r="T21" i="7" s="1"/>
  <c r="T20" i="7" s="1"/>
  <c r="T19" i="7" s="1"/>
  <c r="T16" i="7" a="1"/>
  <c r="T16" i="7" s="1"/>
  <c r="AJ48" i="7" a="1"/>
  <c r="AJ48" i="7" s="1"/>
  <c r="AA48" i="7" a="1"/>
  <c r="AA48" i="7" s="1"/>
  <c r="W48" i="7" a="1"/>
  <c r="W48" i="7" s="1"/>
  <c r="S48" i="7" a="1"/>
  <c r="S48" i="7" s="1"/>
  <c r="O48" i="7" a="1"/>
  <c r="O48" i="7" s="1"/>
  <c r="K48" i="7" a="1"/>
  <c r="K48" i="7" s="1"/>
  <c r="AE48" i="7" a="1"/>
  <c r="AE48" i="7" s="1"/>
  <c r="AK48" i="7" a="1"/>
  <c r="AK48" i="7" s="1"/>
  <c r="AB48" i="7" a="1"/>
  <c r="AB48" i="7" s="1"/>
  <c r="X48" i="7" a="1"/>
  <c r="X48" i="7" s="1"/>
  <c r="T48" i="7" a="1"/>
  <c r="T48" i="7" s="1"/>
  <c r="P48" i="7" a="1"/>
  <c r="P48" i="7" s="1"/>
  <c r="L48" i="7" a="1"/>
  <c r="L48" i="7" s="1"/>
  <c r="H48" i="7" a="1"/>
  <c r="H48" i="7" s="1"/>
  <c r="AF48" i="7" a="1"/>
  <c r="AF48" i="7" s="1"/>
  <c r="Y48" i="7" a="1"/>
  <c r="Y48" i="7" s="1"/>
  <c r="R48" i="7" a="1"/>
  <c r="R48" i="7" s="1"/>
  <c r="AD48" i="7" a="1"/>
  <c r="AD48" i="7" s="1"/>
  <c r="Q48" i="7" a="1"/>
  <c r="Q48" i="7" s="1"/>
  <c r="J48" i="7" a="1"/>
  <c r="J48" i="7" s="1"/>
  <c r="AC48" i="7" a="1"/>
  <c r="AC48" i="7" s="1"/>
  <c r="V48" i="7" a="1"/>
  <c r="V48" i="7" s="1"/>
  <c r="AI48" i="7" a="1"/>
  <c r="AI48" i="7" s="1"/>
  <c r="I48" i="7" a="1"/>
  <c r="I48" i="7" s="1"/>
  <c r="U48" i="7" a="1"/>
  <c r="U48" i="7" s="1"/>
  <c r="N48" i="7" a="1"/>
  <c r="N48" i="7" s="1"/>
  <c r="AH48" i="7" a="1"/>
  <c r="AH48" i="7" s="1"/>
  <c r="Z48" i="7" a="1"/>
  <c r="Z48" i="7" s="1"/>
  <c r="M48" i="7" a="1"/>
  <c r="M48" i="7" s="1"/>
  <c r="AG48" i="7" a="1"/>
  <c r="AG48" i="7" s="1"/>
  <c r="E141" i="5"/>
  <c r="AE12" i="7" a="1"/>
  <c r="AE12" i="7" s="1"/>
  <c r="V12" i="7" a="1"/>
  <c r="V12" i="7" s="1"/>
  <c r="Q12" i="7" a="1"/>
  <c r="Q12" i="7" s="1"/>
  <c r="H12" i="7" a="1"/>
  <c r="H12" i="7" s="1"/>
  <c r="AI12" i="7" a="1"/>
  <c r="AI12" i="7" s="1"/>
  <c r="Z12" i="7" a="1"/>
  <c r="Z12" i="7" s="1"/>
  <c r="U12" i="7" a="1"/>
  <c r="U12" i="7" s="1"/>
  <c r="L12" i="7" a="1"/>
  <c r="L12" i="7" s="1"/>
  <c r="AD12" i="7" a="1"/>
  <c r="AD12" i="7" s="1"/>
  <c r="Y12" i="7" a="1"/>
  <c r="Y12" i="7" s="1"/>
  <c r="P12" i="7" a="1"/>
  <c r="P12" i="7" s="1"/>
  <c r="AJ12" i="7" a="1"/>
  <c r="AJ12" i="7" s="1"/>
  <c r="AA12" i="7" a="1"/>
  <c r="AA12" i="7" s="1"/>
  <c r="R12" i="7" a="1"/>
  <c r="R12" i="7" s="1"/>
  <c r="M12" i="7" a="1"/>
  <c r="M12" i="7" s="1"/>
  <c r="I12" i="7" a="1"/>
  <c r="I12" i="7" s="1"/>
  <c r="AH12" i="7" a="1"/>
  <c r="AH12" i="7" s="1"/>
  <c r="AG12" i="7" a="1"/>
  <c r="AG12" i="7" s="1"/>
  <c r="X12" i="7" a="1"/>
  <c r="X12" i="7" s="1"/>
  <c r="O12" i="7" a="1"/>
  <c r="O12" i="7" s="1"/>
  <c r="AF12" i="7" a="1"/>
  <c r="AF12" i="7" s="1"/>
  <c r="W12" i="7" a="1"/>
  <c r="W12" i="7" s="1"/>
  <c r="N12" i="7" a="1"/>
  <c r="N12" i="7" s="1"/>
  <c r="AC12" i="7" a="1"/>
  <c r="AC12" i="7" s="1"/>
  <c r="T12" i="7" a="1"/>
  <c r="T12" i="7" s="1"/>
  <c r="K12" i="7" a="1"/>
  <c r="K12" i="7" s="1"/>
  <c r="AK12" i="7" a="1"/>
  <c r="AK12" i="7" s="1"/>
  <c r="AB12" i="7" a="1"/>
  <c r="AB12" i="7" s="1"/>
  <c r="S12" i="7" a="1"/>
  <c r="S12" i="7" s="1"/>
  <c r="J12" i="7" a="1"/>
  <c r="J12" i="7" s="1"/>
  <c r="E75" i="5"/>
  <c r="AF42" i="7" a="1"/>
  <c r="AF42" i="7" s="1"/>
  <c r="W42" i="7" a="1"/>
  <c r="W42" i="7" s="1"/>
  <c r="R42" i="7" a="1"/>
  <c r="R42" i="7" s="1"/>
  <c r="I42" i="7" a="1"/>
  <c r="I42" i="7" s="1"/>
  <c r="AJ42" i="7" a="1"/>
  <c r="AJ42" i="7" s="1"/>
  <c r="AA42" i="7" a="1"/>
  <c r="AA42" i="7" s="1"/>
  <c r="V42" i="7" a="1"/>
  <c r="V42" i="7" s="1"/>
  <c r="M42" i="7" a="1"/>
  <c r="M42" i="7" s="1"/>
  <c r="AG42" i="7" a="1"/>
  <c r="AG42" i="7" s="1"/>
  <c r="X42" i="7" a="1"/>
  <c r="X42" i="7" s="1"/>
  <c r="O42" i="7" a="1"/>
  <c r="O42" i="7" s="1"/>
  <c r="J42" i="7" a="1"/>
  <c r="J42" i="7" s="1"/>
  <c r="AE42" i="7" a="1"/>
  <c r="AE42" i="7" s="1"/>
  <c r="AD42" i="7" a="1"/>
  <c r="AD42" i="7" s="1"/>
  <c r="P42" i="7" a="1"/>
  <c r="P42" i="7" s="1"/>
  <c r="H42" i="7" a="1"/>
  <c r="H42" i="7" s="1"/>
  <c r="AK42" i="7" a="1"/>
  <c r="AK42" i="7" s="1"/>
  <c r="AC42" i="7" a="1"/>
  <c r="AC42" i="7" s="1"/>
  <c r="U42" i="7" a="1"/>
  <c r="U42" i="7" s="1"/>
  <c r="N42" i="7" a="1"/>
  <c r="N42" i="7" s="1"/>
  <c r="AI42" i="7" a="1"/>
  <c r="AI42" i="7" s="1"/>
  <c r="AB42" i="7" a="1"/>
  <c r="AB42" i="7" s="1"/>
  <c r="AH42" i="7" a="1"/>
  <c r="AH42" i="7" s="1"/>
  <c r="Z42" i="7" a="1"/>
  <c r="Z42" i="7" s="1"/>
  <c r="T42" i="7" a="1"/>
  <c r="T42" i="7" s="1"/>
  <c r="L42" i="7" a="1"/>
  <c r="L42" i="7" s="1"/>
  <c r="S42" i="7" a="1"/>
  <c r="S42" i="7" s="1"/>
  <c r="K42" i="7" a="1"/>
  <c r="K42" i="7" s="1"/>
  <c r="Y42" i="7" a="1"/>
  <c r="Y42" i="7" s="1"/>
  <c r="Q42" i="7" a="1"/>
  <c r="Q42" i="7" s="1"/>
  <c r="E156" i="5"/>
  <c r="K43" i="7" a="1"/>
  <c r="K43" i="7" s="1"/>
  <c r="M43" i="7" a="1"/>
  <c r="M43" i="7" s="1"/>
  <c r="AI39" i="7" a="1"/>
  <c r="AI39" i="7" s="1"/>
  <c r="AI27" i="7" a="1"/>
  <c r="AI27" i="7" s="1"/>
  <c r="AI16" i="7" a="1"/>
  <c r="AI16" i="7" s="1"/>
  <c r="AI24" i="7" a="1"/>
  <c r="AI24" i="7" s="1"/>
  <c r="AI26" i="7" a="1"/>
  <c r="AI26" i="7" s="1"/>
  <c r="AI25" i="7" a="1"/>
  <c r="AI25" i="7" s="1"/>
  <c r="AI21" i="7" a="1"/>
  <c r="AI21" i="7" s="1"/>
  <c r="AI20" i="7" s="1"/>
  <c r="AI23" i="7" a="1"/>
  <c r="AI23" i="7" s="1"/>
  <c r="F38" i="5"/>
  <c r="N18" i="7" a="1"/>
  <c r="N18" i="7" s="1"/>
  <c r="H18" i="7" a="1"/>
  <c r="H18" i="7" s="1"/>
  <c r="W18" i="7" a="1"/>
  <c r="W18" i="7" s="1"/>
  <c r="AH18" i="7" a="1"/>
  <c r="AH18" i="7" s="1"/>
  <c r="AL37" i="7" a="1"/>
  <c r="AL37" i="7" s="1"/>
  <c r="D27" i="7" a="1"/>
  <c r="D27" i="7" s="1"/>
  <c r="D24" i="7" a="1"/>
  <c r="D24" i="7" s="1"/>
  <c r="D23" i="7" a="1"/>
  <c r="D23" i="7" s="1"/>
  <c r="D21" i="7" a="1"/>
  <c r="D21" i="7" s="1"/>
  <c r="D26" i="7" a="1"/>
  <c r="D26" i="7" s="1"/>
  <c r="D16" i="7" a="1"/>
  <c r="D16" i="7" s="1"/>
  <c r="D25" i="7" a="1"/>
  <c r="D25" i="7" s="1"/>
  <c r="P39" i="7" a="1"/>
  <c r="P39" i="7" s="1"/>
  <c r="P25" i="7" a="1"/>
  <c r="P25" i="7" s="1"/>
  <c r="P26" i="7" a="1"/>
  <c r="P26" i="7" s="1"/>
  <c r="P24" i="7" a="1"/>
  <c r="P24" i="7" s="1"/>
  <c r="P27" i="7" a="1"/>
  <c r="P27" i="7" s="1"/>
  <c r="P23" i="7" a="1"/>
  <c r="P23" i="7" s="1"/>
  <c r="P21" i="7" a="1"/>
  <c r="P21" i="7" s="1"/>
  <c r="P20" i="7" s="1"/>
  <c r="P19" i="7" s="1"/>
  <c r="P16" i="7" a="1"/>
  <c r="P16" i="7" s="1"/>
  <c r="AG17" i="7" a="1"/>
  <c r="AG17" i="7" s="1"/>
  <c r="AB17" i="7" a="1"/>
  <c r="AB17" i="7" s="1"/>
  <c r="W17" i="7" a="1"/>
  <c r="W17" i="7" s="1"/>
  <c r="Q17" i="7" a="1"/>
  <c r="Q17" i="7" s="1"/>
  <c r="L17" i="7" a="1"/>
  <c r="L17" i="7" s="1"/>
  <c r="V17" i="7" a="1"/>
  <c r="V17" i="7" s="1"/>
  <c r="AK17" i="7" a="1"/>
  <c r="AK17" i="7" s="1"/>
  <c r="AF17" i="7" a="1"/>
  <c r="AF17" i="7" s="1"/>
  <c r="AA17" i="7" a="1"/>
  <c r="AA17" i="7" s="1"/>
  <c r="U17" i="7" a="1"/>
  <c r="U17" i="7" s="1"/>
  <c r="P17" i="7" a="1"/>
  <c r="P17" i="7" s="1"/>
  <c r="K17" i="7" a="1"/>
  <c r="K17" i="7" s="1"/>
  <c r="AH17" i="7" a="1"/>
  <c r="AH17" i="7" s="1"/>
  <c r="R17" i="7" a="1"/>
  <c r="R17" i="7" s="1"/>
  <c r="AD17" i="7" a="1"/>
  <c r="AD17" i="7" s="1"/>
  <c r="AC17" i="7" a="1"/>
  <c r="AC17" i="7" s="1"/>
  <c r="S17" i="7" a="1"/>
  <c r="S17" i="7" s="1"/>
  <c r="H17" i="7" a="1"/>
  <c r="H17" i="7" s="1"/>
  <c r="Z17" i="7" a="1"/>
  <c r="Z17" i="7" s="1"/>
  <c r="AJ17" i="7" a="1"/>
  <c r="AJ17" i="7" s="1"/>
  <c r="Y17" i="7" a="1"/>
  <c r="Y17" i="7" s="1"/>
  <c r="O17" i="7" a="1"/>
  <c r="O17" i="7" s="1"/>
  <c r="N17" i="7" a="1"/>
  <c r="N17" i="7" s="1"/>
  <c r="AI17" i="7" a="1"/>
  <c r="AI17" i="7" s="1"/>
  <c r="X17" i="7" a="1"/>
  <c r="X17" i="7" s="1"/>
  <c r="M17" i="7" a="1"/>
  <c r="M17" i="7" s="1"/>
  <c r="J17" i="7" a="1"/>
  <c r="J17" i="7" s="1"/>
  <c r="AE17" i="7" a="1"/>
  <c r="AE17" i="7" s="1"/>
  <c r="T17" i="7" a="1"/>
  <c r="T17" i="7" s="1"/>
  <c r="I17" i="7" a="1"/>
  <c r="I17" i="7" s="1"/>
  <c r="S25" i="7" a="1"/>
  <c r="S25" i="7" s="1"/>
  <c r="S39" i="7" a="1"/>
  <c r="S39" i="7" s="1"/>
  <c r="S27" i="7" a="1"/>
  <c r="S27" i="7" s="1"/>
  <c r="S16" i="7" a="1"/>
  <c r="S16" i="7" s="1"/>
  <c r="S26" i="7" a="1"/>
  <c r="S26" i="7" s="1"/>
  <c r="S21" i="7" a="1"/>
  <c r="S21" i="7" s="1"/>
  <c r="S20" i="7" s="1"/>
  <c r="S19" i="7" s="1"/>
  <c r="S24" i="7" a="1"/>
  <c r="S24" i="7" s="1"/>
  <c r="S23" i="7" a="1"/>
  <c r="S23" i="7" s="1"/>
  <c r="AK41" i="7" a="1"/>
  <c r="AK41" i="7" s="1"/>
  <c r="AB41" i="7" a="1"/>
  <c r="AB41" i="7" s="1"/>
  <c r="S41" i="7" a="1"/>
  <c r="S41" i="7" s="1"/>
  <c r="N41" i="7" a="1"/>
  <c r="N41" i="7" s="1"/>
  <c r="AF41" i="7" a="1"/>
  <c r="AF41" i="7" s="1"/>
  <c r="W41" i="7" a="1"/>
  <c r="W41" i="7" s="1"/>
  <c r="R41" i="7" a="1"/>
  <c r="R41" i="7" s="1"/>
  <c r="I41" i="7" a="1"/>
  <c r="I41" i="7" s="1"/>
  <c r="AC41" i="7" a="1"/>
  <c r="AC41" i="7" s="1"/>
  <c r="T41" i="7" a="1"/>
  <c r="T41" i="7" s="1"/>
  <c r="K41" i="7" a="1"/>
  <c r="K41" i="7" s="1"/>
  <c r="AG41" i="7" a="1"/>
  <c r="AG41" i="7" s="1"/>
  <c r="Y41" i="7" a="1"/>
  <c r="Y41" i="7" s="1"/>
  <c r="Q41" i="7" a="1"/>
  <c r="Q41" i="7" s="1"/>
  <c r="J41" i="7" a="1"/>
  <c r="J41" i="7" s="1"/>
  <c r="AE41" i="7" a="1"/>
  <c r="AE41" i="7" s="1"/>
  <c r="X41" i="7" a="1"/>
  <c r="X41" i="7" s="1"/>
  <c r="AD41" i="7" a="1"/>
  <c r="AD41" i="7" s="1"/>
  <c r="V41" i="7" a="1"/>
  <c r="V41" i="7" s="1"/>
  <c r="P41" i="7" a="1"/>
  <c r="P41" i="7" s="1"/>
  <c r="H41" i="7" a="1"/>
  <c r="H41" i="7" s="1"/>
  <c r="AJ41" i="7" a="1"/>
  <c r="AJ41" i="7" s="1"/>
  <c r="O41" i="7" a="1"/>
  <c r="O41" i="7" s="1"/>
  <c r="U41" i="7" a="1"/>
  <c r="U41" i="7" s="1"/>
  <c r="M41" i="7" a="1"/>
  <c r="M41" i="7" s="1"/>
  <c r="AI41" i="7" a="1"/>
  <c r="AI41" i="7" s="1"/>
  <c r="AA41" i="7" a="1"/>
  <c r="AA41" i="7" s="1"/>
  <c r="L41" i="7" a="1"/>
  <c r="L41" i="7" s="1"/>
  <c r="AH41" i="7" a="1"/>
  <c r="AH41" i="7" s="1"/>
  <c r="Z41" i="7" a="1"/>
  <c r="Z41" i="7" s="1"/>
  <c r="X39" i="7" a="1"/>
  <c r="X39" i="7" s="1"/>
  <c r="X27" i="7" a="1"/>
  <c r="X27" i="7" s="1"/>
  <c r="X26" i="7" a="1"/>
  <c r="X26" i="7" s="1"/>
  <c r="X25" i="7" a="1"/>
  <c r="X25" i="7" s="1"/>
  <c r="X16" i="7" a="1"/>
  <c r="X16" i="7" s="1"/>
  <c r="X21" i="7" a="1"/>
  <c r="X21" i="7" s="1"/>
  <c r="X20" i="7" s="1"/>
  <c r="X19" i="7" s="1"/>
  <c r="X24" i="7" a="1"/>
  <c r="X24" i="7" s="1"/>
  <c r="X23" i="7" a="1"/>
  <c r="X23" i="7" s="1"/>
  <c r="E155" i="5"/>
  <c r="AL24" i="7" a="1"/>
  <c r="AL24" i="7" s="1"/>
  <c r="AL29" i="7" a="1"/>
  <c r="AL29" i="7" s="1"/>
  <c r="J39" i="7" a="1"/>
  <c r="J39" i="7" s="1"/>
  <c r="J27" i="7" a="1"/>
  <c r="J27" i="7" s="1"/>
  <c r="J26" i="7" a="1"/>
  <c r="J26" i="7" s="1"/>
  <c r="J24" i="7" a="1"/>
  <c r="J24" i="7" s="1"/>
  <c r="J25" i="7" a="1"/>
  <c r="J25" i="7" s="1"/>
  <c r="J21" i="7" a="1"/>
  <c r="J21" i="7" s="1"/>
  <c r="J20" i="7" s="1"/>
  <c r="J23" i="7" a="1"/>
  <c r="J23" i="7" s="1"/>
  <c r="J16" i="7" a="1"/>
  <c r="J16" i="7" s="1"/>
  <c r="E143" i="5"/>
  <c r="AN113" i="7"/>
  <c r="AN111" i="7"/>
  <c r="AN109" i="7"/>
  <c r="AN107" i="7"/>
  <c r="AN105" i="7"/>
  <c r="AN103" i="7"/>
  <c r="AN101" i="7"/>
  <c r="AN99" i="7"/>
  <c r="AN97" i="7"/>
  <c r="AN95" i="7"/>
  <c r="AN93" i="7"/>
  <c r="AN91" i="7"/>
  <c r="AN89" i="7"/>
  <c r="AN87" i="7"/>
  <c r="AN114" i="7"/>
  <c r="AN112" i="7"/>
  <c r="AN110" i="7"/>
  <c r="AN108" i="7"/>
  <c r="AN106" i="7"/>
  <c r="AN104" i="7"/>
  <c r="AN102" i="7"/>
  <c r="AN100" i="7"/>
  <c r="AN98" i="7"/>
  <c r="AN96" i="7"/>
  <c r="AN94" i="7"/>
  <c r="AN92" i="7"/>
  <c r="AN90" i="7"/>
  <c r="AN88" i="7"/>
  <c r="AN85" i="7"/>
  <c r="AN83" i="7"/>
  <c r="AN84" i="7"/>
  <c r="AN78" i="7"/>
  <c r="AN76" i="7"/>
  <c r="AN74" i="7"/>
  <c r="AN82" i="7"/>
  <c r="AN80" i="7"/>
  <c r="AN86" i="7"/>
  <c r="AN70" i="7"/>
  <c r="AN68" i="7"/>
  <c r="AN66" i="7"/>
  <c r="AN64" i="7"/>
  <c r="AN81" i="7"/>
  <c r="AN73" i="7"/>
  <c r="AN62" i="7"/>
  <c r="AN72" i="7"/>
  <c r="AN79" i="7"/>
  <c r="AN77" i="7"/>
  <c r="AN60" i="7"/>
  <c r="AN58" i="7"/>
  <c r="AN56" i="7"/>
  <c r="AN61" i="7"/>
  <c r="AN57" i="7"/>
  <c r="AN59" i="7"/>
  <c r="AN71" i="7"/>
  <c r="AN75" i="7"/>
  <c r="AN69" i="7"/>
  <c r="AN65" i="7"/>
  <c r="AN55" i="7"/>
  <c r="AN67" i="7"/>
  <c r="AN63" i="7"/>
  <c r="AO5" i="7"/>
  <c r="AK23" i="7" a="1"/>
  <c r="AK23" i="7" s="1"/>
  <c r="F41" i="5"/>
  <c r="AI45" i="7" a="1"/>
  <c r="AI45" i="7" s="1"/>
  <c r="AD45" i="7" a="1"/>
  <c r="AD45" i="7" s="1"/>
  <c r="U45" i="7" a="1"/>
  <c r="U45" i="7" s="1"/>
  <c r="L45" i="7" a="1"/>
  <c r="L45" i="7" s="1"/>
  <c r="AH45" i="7" a="1"/>
  <c r="AH45" i="7" s="1"/>
  <c r="Y45" i="7" a="1"/>
  <c r="Y45" i="7" s="1"/>
  <c r="P45" i="7" a="1"/>
  <c r="P45" i="7" s="1"/>
  <c r="AC45" i="7" a="1"/>
  <c r="AC45" i="7" s="1"/>
  <c r="T45" i="7" a="1"/>
  <c r="T45" i="7" s="1"/>
  <c r="AJ45" i="7" a="1"/>
  <c r="AJ45" i="7" s="1"/>
  <c r="AA45" i="7" a="1"/>
  <c r="AA45" i="7" s="1"/>
  <c r="V45" i="7" a="1"/>
  <c r="V45" i="7" s="1"/>
  <c r="M45" i="7" a="1"/>
  <c r="M45" i="7" s="1"/>
  <c r="AK45" i="7" a="1"/>
  <c r="AK45" i="7" s="1"/>
  <c r="AB45" i="7" a="1"/>
  <c r="AB45" i="7" s="1"/>
  <c r="S45" i="7" a="1"/>
  <c r="S45" i="7" s="1"/>
  <c r="K45" i="7" a="1"/>
  <c r="K45" i="7" s="1"/>
  <c r="R45" i="7" a="1"/>
  <c r="R45" i="7" s="1"/>
  <c r="J45" i="7" a="1"/>
  <c r="J45" i="7" s="1"/>
  <c r="Z45" i="7" a="1"/>
  <c r="Z45" i="7" s="1"/>
  <c r="Q45" i="7" a="1"/>
  <c r="Q45" i="7" s="1"/>
  <c r="AG45" i="7" a="1"/>
  <c r="AG45" i="7" s="1"/>
  <c r="X45" i="7" a="1"/>
  <c r="X45" i="7" s="1"/>
  <c r="I45" i="7" a="1"/>
  <c r="I45" i="7" s="1"/>
  <c r="O45" i="7" a="1"/>
  <c r="O45" i="7" s="1"/>
  <c r="H45" i="7" a="1"/>
  <c r="H45" i="7" s="1"/>
  <c r="AF45" i="7" a="1"/>
  <c r="AF45" i="7" s="1"/>
  <c r="W45" i="7" a="1"/>
  <c r="W45" i="7" s="1"/>
  <c r="N45" i="7" a="1"/>
  <c r="N45" i="7" s="1"/>
  <c r="AE45" i="7" a="1"/>
  <c r="AE45" i="7" s="1"/>
  <c r="AG40" i="7" a="1"/>
  <c r="AG40" i="7" s="1"/>
  <c r="X40" i="7" a="1"/>
  <c r="X40" i="7" s="1"/>
  <c r="O40" i="7" a="1"/>
  <c r="O40" i="7" s="1"/>
  <c r="J40" i="7" a="1"/>
  <c r="J40" i="7" s="1"/>
  <c r="AK40" i="7" a="1"/>
  <c r="AK40" i="7" s="1"/>
  <c r="AB40" i="7" a="1"/>
  <c r="AB40" i="7" s="1"/>
  <c r="S40" i="7" a="1"/>
  <c r="S40" i="7" s="1"/>
  <c r="N40" i="7" a="1"/>
  <c r="N40" i="7" s="1"/>
  <c r="AH40" i="7" a="1"/>
  <c r="AH40" i="7" s="1"/>
  <c r="Y40" i="7" a="1"/>
  <c r="Y40" i="7" s="1"/>
  <c r="P40" i="7" a="1"/>
  <c r="P40" i="7" s="1"/>
  <c r="AI40" i="7" a="1"/>
  <c r="AI40" i="7" s="1"/>
  <c r="AA40" i="7" a="1"/>
  <c r="AA40" i="7" s="1"/>
  <c r="T40" i="7" a="1"/>
  <c r="T40" i="7" s="1"/>
  <c r="Z40" i="7" a="1"/>
  <c r="Z40" i="7" s="1"/>
  <c r="R40" i="7" a="1"/>
  <c r="R40" i="7" s="1"/>
  <c r="L40" i="7" a="1"/>
  <c r="L40" i="7" s="1"/>
  <c r="AF40" i="7" a="1"/>
  <c r="AF40" i="7" s="1"/>
  <c r="K40" i="7" a="1"/>
  <c r="K40" i="7" s="1"/>
  <c r="Q40" i="7" a="1"/>
  <c r="Q40" i="7" s="1"/>
  <c r="I40" i="7" a="1"/>
  <c r="I40" i="7" s="1"/>
  <c r="AE40" i="7" a="1"/>
  <c r="AE40" i="7" s="1"/>
  <c r="W40" i="7" a="1"/>
  <c r="W40" i="7" s="1"/>
  <c r="AD40" i="7" a="1"/>
  <c r="AD40" i="7" s="1"/>
  <c r="AJ40" i="7" a="1"/>
  <c r="AJ40" i="7" s="1"/>
  <c r="AC40" i="7" a="1"/>
  <c r="AC40" i="7" s="1"/>
  <c r="U40" i="7" a="1"/>
  <c r="U40" i="7" s="1"/>
  <c r="M40" i="7" a="1"/>
  <c r="M40" i="7" s="1"/>
  <c r="H40" i="7" a="1"/>
  <c r="H40" i="7" s="1"/>
  <c r="V40" i="7" a="1"/>
  <c r="V40" i="7" s="1"/>
  <c r="X43" i="7" a="1"/>
  <c r="X43" i="7" s="1"/>
  <c r="R43" i="7" a="1"/>
  <c r="R43" i="7" s="1"/>
  <c r="AB43" i="7" a="1"/>
  <c r="AB43" i="7" s="1"/>
  <c r="V43" i="7" a="1"/>
  <c r="V43" i="7" s="1"/>
  <c r="E18" i="5"/>
  <c r="E62" i="5" s="1"/>
  <c r="AM15" i="7" s="1" a="1"/>
  <c r="AM15" i="7" s="1"/>
  <c r="Y18" i="7" a="1"/>
  <c r="Y18" i="7" s="1"/>
  <c r="S18" i="7" a="1"/>
  <c r="S18" i="7" s="1"/>
  <c r="AI18" i="7" a="1"/>
  <c r="AI18" i="7" s="1"/>
  <c r="AA18" i="7" a="1"/>
  <c r="AA18" i="7" s="1"/>
  <c r="V18" i="7" a="1"/>
  <c r="V18" i="7" s="1"/>
  <c r="AG39" i="7" a="1"/>
  <c r="AG39" i="7" s="1"/>
  <c r="AG27" i="7" a="1"/>
  <c r="AG27" i="7" s="1"/>
  <c r="AG26" i="7" a="1"/>
  <c r="AG26" i="7" s="1"/>
  <c r="AG24" i="7" a="1"/>
  <c r="AG24" i="7" s="1"/>
  <c r="AG23" i="7" a="1"/>
  <c r="AG23" i="7" s="1"/>
  <c r="AG16" i="7" a="1"/>
  <c r="AG16" i="7" s="1"/>
  <c r="AG21" i="7" a="1"/>
  <c r="AG21" i="7" s="1"/>
  <c r="AG20" i="7" s="1"/>
  <c r="AG19" i="7" s="1"/>
  <c r="AG25" i="7" a="1"/>
  <c r="AG25" i="7" s="1"/>
  <c r="E78" i="5"/>
  <c r="AD43" i="7" a="1"/>
  <c r="AD43" i="7" s="1"/>
  <c r="O43" i="7" a="1"/>
  <c r="O43" i="7" s="1"/>
  <c r="AK43" i="7" a="1"/>
  <c r="AK43" i="7" s="1"/>
  <c r="AA43" i="7" a="1"/>
  <c r="AA43" i="7" s="1"/>
  <c r="E132" i="5"/>
  <c r="AE18" i="7" a="1"/>
  <c r="AE18" i="7" s="1"/>
  <c r="AG18" i="7" a="1"/>
  <c r="AG18" i="7" s="1"/>
  <c r="H159" i="5" l="1"/>
  <c r="H139" i="5"/>
  <c r="AC36" i="7" a="1"/>
  <c r="AC36" i="7" s="1"/>
  <c r="T36" i="7" a="1"/>
  <c r="T36" i="7" s="1"/>
  <c r="K36" i="7" a="1"/>
  <c r="K36" i="7" s="1"/>
  <c r="AG36" i="7" a="1"/>
  <c r="AG36" i="7" s="1"/>
  <c r="X36" i="7" a="1"/>
  <c r="X36" i="7" s="1"/>
  <c r="O36" i="7" a="1"/>
  <c r="O36" i="7" s="1"/>
  <c r="J36" i="7" a="1"/>
  <c r="J36" i="7" s="1"/>
  <c r="AI36" i="7" a="1"/>
  <c r="AI36" i="7" s="1"/>
  <c r="AD36" i="7" a="1"/>
  <c r="AD36" i="7" s="1"/>
  <c r="U36" i="7" a="1"/>
  <c r="U36" i="7" s="1"/>
  <c r="L36" i="7" a="1"/>
  <c r="L36" i="7" s="1"/>
  <c r="AH36" i="7" a="1"/>
  <c r="AH36" i="7" s="1"/>
  <c r="AA36" i="7" a="1"/>
  <c r="AA36" i="7" s="1"/>
  <c r="S36" i="7" a="1"/>
  <c r="S36" i="7" s="1"/>
  <c r="Z36" i="7" a="1"/>
  <c r="Z36" i="7" s="1"/>
  <c r="R36" i="7" a="1"/>
  <c r="R36" i="7" s="1"/>
  <c r="AF36" i="7" a="1"/>
  <c r="AF36" i="7" s="1"/>
  <c r="Y36" i="7" a="1"/>
  <c r="Y36" i="7" s="1"/>
  <c r="Q36" i="7" a="1"/>
  <c r="Q36" i="7" s="1"/>
  <c r="I36" i="7" a="1"/>
  <c r="I36" i="7" s="1"/>
  <c r="V36" i="7" a="1"/>
  <c r="V36" i="7" s="1"/>
  <c r="N36" i="7" a="1"/>
  <c r="N36" i="7" s="1"/>
  <c r="H36" i="7" a="1"/>
  <c r="H36" i="7" s="1"/>
  <c r="AJ36" i="7" a="1"/>
  <c r="AJ36" i="7" s="1"/>
  <c r="AB36" i="7" a="1"/>
  <c r="AB36" i="7" s="1"/>
  <c r="M36" i="7" a="1"/>
  <c r="M36" i="7" s="1"/>
  <c r="AK36" i="7" a="1"/>
  <c r="AK36" i="7" s="1"/>
  <c r="AE36" i="7" a="1"/>
  <c r="AE36" i="7" s="1"/>
  <c r="W36" i="7" a="1"/>
  <c r="W36" i="7" s="1"/>
  <c r="P36" i="7" a="1"/>
  <c r="P36" i="7" s="1"/>
  <c r="F51" i="5"/>
  <c r="F58" i="5" s="1"/>
  <c r="E44" i="5"/>
  <c r="F66" i="5"/>
  <c r="F64" i="5" s="1"/>
  <c r="F18" i="5"/>
  <c r="F62" i="5" s="1"/>
  <c r="E130" i="5"/>
  <c r="E145" i="5" s="1"/>
  <c r="E146" i="5" s="1"/>
  <c r="E183" i="5" s="1" a="1"/>
  <c r="E183" i="5" s="1"/>
  <c r="E170" i="5"/>
  <c r="E180" i="5" s="1"/>
  <c r="E181" i="5" s="1"/>
  <c r="E45" i="5" a="1"/>
  <c r="E45" i="5" s="1"/>
  <c r="AL36" i="7" a="1"/>
  <c r="AL36" i="7" s="1"/>
  <c r="E150" i="5"/>
  <c r="E165" i="5" s="1"/>
  <c r="E166" i="5" s="1"/>
  <c r="F28" i="5"/>
  <c r="F144" i="5"/>
  <c r="F164" i="5"/>
  <c r="G41" i="5"/>
  <c r="F141" i="5"/>
  <c r="G39" i="5"/>
  <c r="F161" i="5"/>
  <c r="F79" i="5"/>
  <c r="R19" i="7"/>
  <c r="F95" i="5"/>
  <c r="H161" i="5"/>
  <c r="H134" i="5"/>
  <c r="W19" i="7"/>
  <c r="F20" i="5"/>
  <c r="F21" i="5" s="1"/>
  <c r="I196" i="5"/>
  <c r="I195" i="5"/>
  <c r="AC19" i="7"/>
  <c r="AJ19" i="7"/>
  <c r="U19" i="7"/>
  <c r="I4" i="6"/>
  <c r="F4" i="7"/>
  <c r="H5" i="6"/>
  <c r="I197" i="5"/>
  <c r="J193" i="5" s="1"/>
  <c r="I162" i="5"/>
  <c r="I93" i="5"/>
  <c r="I140" i="5"/>
  <c r="I156" i="5"/>
  <c r="I135" i="5"/>
  <c r="I161" i="5"/>
  <c r="I158" i="5"/>
  <c r="I155" i="5"/>
  <c r="I39" i="5"/>
  <c r="I142" i="5" s="1"/>
  <c r="I37" i="5"/>
  <c r="I35" i="5"/>
  <c r="I138" i="5" s="1"/>
  <c r="I33" i="5"/>
  <c r="I176" i="5" s="1"/>
  <c r="I11" i="5"/>
  <c r="I12" i="5"/>
  <c r="I14" i="5"/>
  <c r="J5" i="5"/>
  <c r="I68" i="5" a="1"/>
  <c r="I68" i="5" s="1"/>
  <c r="I141" i="5"/>
  <c r="I32" i="5"/>
  <c r="I40" i="5"/>
  <c r="I143" i="5" s="1"/>
  <c r="I13" i="5"/>
  <c r="I202" i="5" s="1"/>
  <c r="I38" i="5"/>
  <c r="I34" i="5"/>
  <c r="I137" i="5" s="1"/>
  <c r="I6" i="5"/>
  <c r="H157" i="5"/>
  <c r="U42" i="3"/>
  <c r="E3" i="7"/>
  <c r="V19" i="7"/>
  <c r="F156" i="5"/>
  <c r="F176" i="5"/>
  <c r="F136" i="5"/>
  <c r="G34" i="5"/>
  <c r="G136" i="5"/>
  <c r="G176" i="5"/>
  <c r="G156" i="5"/>
  <c r="AM19" i="7"/>
  <c r="F100" i="5"/>
  <c r="F99" i="5" s="1"/>
  <c r="G16" i="5"/>
  <c r="G105" i="5"/>
  <c r="G107" i="5"/>
  <c r="G104" i="5"/>
  <c r="AN50" i="7" a="1"/>
  <c r="AN50" i="7" s="1"/>
  <c r="AN49" i="7" a="1"/>
  <c r="AN49" i="7" s="1"/>
  <c r="AN48" i="7" a="1"/>
  <c r="AN48" i="7" s="1"/>
  <c r="AN44" i="7" a="1"/>
  <c r="AN44" i="7" s="1"/>
  <c r="AN43" i="7" a="1"/>
  <c r="AN43" i="7" s="1"/>
  <c r="AN46" i="7" a="1"/>
  <c r="AN46" i="7" s="1"/>
  <c r="AN38" i="7" a="1"/>
  <c r="AN38" i="7" s="1"/>
  <c r="AN41" i="7" a="1"/>
  <c r="AN41" i="7" s="1"/>
  <c r="AN40" i="7" a="1"/>
  <c r="AN40" i="7" s="1"/>
  <c r="AN39" i="7" a="1"/>
  <c r="AN39" i="7" s="1"/>
  <c r="AN47" i="7" a="1"/>
  <c r="AN47" i="7" s="1"/>
  <c r="AN42" i="7" a="1"/>
  <c r="AN42" i="7" s="1"/>
  <c r="AN28" i="7" a="1"/>
  <c r="AN28" i="7" s="1"/>
  <c r="AN36" i="7" a="1"/>
  <c r="AN36" i="7" s="1"/>
  <c r="AN45" i="7" a="1"/>
  <c r="AN45" i="7" s="1"/>
  <c r="AN31" i="7" a="1"/>
  <c r="AN31" i="7" s="1"/>
  <c r="AN37" i="7" a="1"/>
  <c r="AN37" i="7" s="1"/>
  <c r="AN30" i="7" a="1"/>
  <c r="AN30" i="7" s="1"/>
  <c r="AN25" i="7" a="1"/>
  <c r="AN25" i="7" s="1"/>
  <c r="AN29" i="7" a="1"/>
  <c r="AN29" i="7" s="1"/>
  <c r="AN18" i="7" a="1"/>
  <c r="AN18" i="7" s="1"/>
  <c r="AN16" i="7" a="1"/>
  <c r="AN16" i="7" s="1"/>
  <c r="AN26" i="7" a="1"/>
  <c r="AN26" i="7" s="1"/>
  <c r="AN23" i="7" a="1"/>
  <c r="AN23" i="7" s="1"/>
  <c r="AN27" i="7" a="1"/>
  <c r="AN27" i="7" s="1"/>
  <c r="AN21" i="7" a="1"/>
  <c r="AN21" i="7" s="1"/>
  <c r="AN20" i="7" s="1"/>
  <c r="AN15" i="7" a="1"/>
  <c r="AN15" i="7" s="1"/>
  <c r="AN12" i="7" a="1"/>
  <c r="AN12" i="7" s="1"/>
  <c r="AN17" i="7" a="1"/>
  <c r="AN17" i="7" s="1"/>
  <c r="AN24" i="7" a="1"/>
  <c r="AN24" i="7" s="1"/>
  <c r="AN7" i="7" a="1"/>
  <c r="AN7" i="7" s="1"/>
  <c r="AN51" i="7" s="1"/>
  <c r="AH19" i="7"/>
  <c r="G106" i="5"/>
  <c r="H106" i="5"/>
  <c r="H156" i="5"/>
  <c r="AB19" i="7"/>
  <c r="AM36" i="7" a="1"/>
  <c r="AM36" i="7" s="1"/>
  <c r="G178" i="5"/>
  <c r="H179" i="5" s="1"/>
  <c r="G138" i="5"/>
  <c r="G158" i="5"/>
  <c r="H196" i="5"/>
  <c r="H195" i="5"/>
  <c r="Z19" i="7"/>
  <c r="L19" i="7"/>
  <c r="F103" i="5"/>
  <c r="AF19" i="7"/>
  <c r="U45" i="3"/>
  <c r="N19" i="3"/>
  <c r="AL19" i="7"/>
  <c r="G78" i="5"/>
  <c r="H19" i="7"/>
  <c r="AD15" i="7" a="1"/>
  <c r="AD15" i="7" s="1"/>
  <c r="N15" i="7" a="1"/>
  <c r="N15" i="7" s="1"/>
  <c r="Z15" i="7" a="1"/>
  <c r="Z15" i="7" s="1"/>
  <c r="J15" i="7" a="1"/>
  <c r="J15" i="7" s="1"/>
  <c r="AG15" i="7" a="1"/>
  <c r="AG15" i="7" s="1"/>
  <c r="AA15" i="7" a="1"/>
  <c r="AA15" i="7" s="1"/>
  <c r="S15" i="7" a="1"/>
  <c r="S15" i="7" s="1"/>
  <c r="L15" i="7" a="1"/>
  <c r="L15" i="7" s="1"/>
  <c r="Y15" i="7" a="1"/>
  <c r="Y15" i="7" s="1"/>
  <c r="R15" i="7" a="1"/>
  <c r="R15" i="7" s="1"/>
  <c r="AF15" i="7" a="1"/>
  <c r="AF15" i="7" s="1"/>
  <c r="X15" i="7" a="1"/>
  <c r="X15" i="7" s="1"/>
  <c r="Q15" i="7" a="1"/>
  <c r="Q15" i="7" s="1"/>
  <c r="K15" i="7" a="1"/>
  <c r="K15" i="7" s="1"/>
  <c r="AH15" i="7" a="1"/>
  <c r="AH15" i="7" s="1"/>
  <c r="T15" i="7" a="1"/>
  <c r="T15" i="7" s="1"/>
  <c r="AB15" i="7" a="1"/>
  <c r="AB15" i="7" s="1"/>
  <c r="M15" i="7" a="1"/>
  <c r="M15" i="7" s="1"/>
  <c r="I15" i="7" a="1"/>
  <c r="I15" i="7" s="1"/>
  <c r="AK15" i="7" a="1"/>
  <c r="AK15" i="7" s="1"/>
  <c r="W15" i="7" a="1"/>
  <c r="W15" i="7" s="1"/>
  <c r="H15" i="7" a="1"/>
  <c r="H15" i="7" s="1"/>
  <c r="AJ15" i="7" a="1"/>
  <c r="AJ15" i="7" s="1"/>
  <c r="V15" i="7" a="1"/>
  <c r="V15" i="7" s="1"/>
  <c r="AI15" i="7" a="1"/>
  <c r="AI15" i="7" s="1"/>
  <c r="U15" i="7" a="1"/>
  <c r="U15" i="7" s="1"/>
  <c r="AE15" i="7" a="1"/>
  <c r="AE15" i="7" s="1"/>
  <c r="AC15" i="7" a="1"/>
  <c r="AC15" i="7" s="1"/>
  <c r="P15" i="7" a="1"/>
  <c r="P15" i="7" s="1"/>
  <c r="O15" i="7" a="1"/>
  <c r="O15" i="7" s="1"/>
  <c r="E61" i="5"/>
  <c r="AL15" i="7" a="1"/>
  <c r="AL15" i="7" s="1"/>
  <c r="AO113" i="7"/>
  <c r="AO111" i="7"/>
  <c r="AO109" i="7"/>
  <c r="AO107" i="7"/>
  <c r="AO105" i="7"/>
  <c r="AO103" i="7"/>
  <c r="AO101" i="7"/>
  <c r="AO99" i="7"/>
  <c r="AO97" i="7"/>
  <c r="AO95" i="7"/>
  <c r="AO93" i="7"/>
  <c r="AO91" i="7"/>
  <c r="AO89" i="7"/>
  <c r="AO85" i="7"/>
  <c r="AO83" i="7"/>
  <c r="AO81" i="7"/>
  <c r="AO114" i="7"/>
  <c r="AO106" i="7"/>
  <c r="AO98" i="7"/>
  <c r="AO90" i="7"/>
  <c r="AO87" i="7"/>
  <c r="AO108" i="7"/>
  <c r="AO110" i="7"/>
  <c r="AO92" i="7"/>
  <c r="AO80" i="7"/>
  <c r="AO79" i="7"/>
  <c r="AO77" i="7"/>
  <c r="AO75" i="7"/>
  <c r="AO73" i="7"/>
  <c r="AO104" i="7"/>
  <c r="AO112" i="7"/>
  <c r="AO102" i="7"/>
  <c r="AO100" i="7"/>
  <c r="AO88" i="7"/>
  <c r="AO96" i="7"/>
  <c r="AO86" i="7"/>
  <c r="AO76" i="7"/>
  <c r="AO70" i="7"/>
  <c r="AO68" i="7"/>
  <c r="AO66" i="7"/>
  <c r="AO64" i="7"/>
  <c r="AO62" i="7"/>
  <c r="AO84" i="7"/>
  <c r="AO94" i="7"/>
  <c r="AO78" i="7"/>
  <c r="AO72" i="7"/>
  <c r="AO74" i="7"/>
  <c r="AO69" i="7"/>
  <c r="AO59" i="7"/>
  <c r="AO57" i="7"/>
  <c r="AO55" i="7"/>
  <c r="AO82" i="7"/>
  <c r="AO67" i="7"/>
  <c r="AO56" i="7"/>
  <c r="AO58" i="7"/>
  <c r="AO71" i="7"/>
  <c r="AO61" i="7"/>
  <c r="AO60" i="7"/>
  <c r="AO65" i="7"/>
  <c r="AO63" i="7"/>
  <c r="AP5" i="7"/>
  <c r="J19" i="7"/>
  <c r="AI19" i="7"/>
  <c r="Q19" i="7"/>
  <c r="AE19" i="7"/>
  <c r="H104" i="5"/>
  <c r="H137" i="5"/>
  <c r="Y19" i="7"/>
  <c r="F24" i="5" l="1"/>
  <c r="F17" i="5"/>
  <c r="F3" i="7"/>
  <c r="G162" i="5"/>
  <c r="G142" i="5"/>
  <c r="H40" i="5"/>
  <c r="I163" i="5"/>
  <c r="G4" i="7"/>
  <c r="J4" i="6"/>
  <c r="I5" i="6"/>
  <c r="E47" i="5"/>
  <c r="E50" i="5"/>
  <c r="AF14" i="7" a="1"/>
  <c r="AF14" i="7" s="1"/>
  <c r="W14" i="7" a="1"/>
  <c r="W14" i="7" s="1"/>
  <c r="N14" i="7" a="1"/>
  <c r="N14" i="7" s="1"/>
  <c r="I14" i="7" a="1"/>
  <c r="I14" i="7" s="1"/>
  <c r="AG14" i="7" a="1"/>
  <c r="AG14" i="7" s="1"/>
  <c r="X14" i="7" a="1"/>
  <c r="X14" i="7" s="1"/>
  <c r="O14" i="7" a="1"/>
  <c r="O14" i="7" s="1"/>
  <c r="AJ14" i="7" a="1"/>
  <c r="AJ14" i="7" s="1"/>
  <c r="R14" i="7" a="1"/>
  <c r="R14" i="7" s="1"/>
  <c r="L14" i="7" a="1"/>
  <c r="L14" i="7" s="1"/>
  <c r="AD14" i="7" a="1"/>
  <c r="AD14" i="7" s="1"/>
  <c r="Q14" i="7" a="1"/>
  <c r="Q14" i="7" s="1"/>
  <c r="AI14" i="7" a="1"/>
  <c r="AI14" i="7" s="1"/>
  <c r="AC14" i="7" a="1"/>
  <c r="AC14" i="7" s="1"/>
  <c r="K14" i="7" a="1"/>
  <c r="K14" i="7" s="1"/>
  <c r="AK14" i="7" a="1"/>
  <c r="AK14" i="7" s="1"/>
  <c r="AE14" i="7" a="1"/>
  <c r="AE14" i="7" s="1"/>
  <c r="Y14" i="7" a="1"/>
  <c r="Y14" i="7" s="1"/>
  <c r="S14" i="7" a="1"/>
  <c r="S14" i="7" s="1"/>
  <c r="T14" i="7" a="1"/>
  <c r="T14" i="7" s="1"/>
  <c r="AB14" i="7" a="1"/>
  <c r="AB14" i="7" s="1"/>
  <c r="P14" i="7" a="1"/>
  <c r="P14" i="7" s="1"/>
  <c r="AA14" i="7" a="1"/>
  <c r="AA14" i="7" s="1"/>
  <c r="Z14" i="7" a="1"/>
  <c r="Z14" i="7" s="1"/>
  <c r="M14" i="7" a="1"/>
  <c r="M14" i="7" s="1"/>
  <c r="V14" i="7" a="1"/>
  <c r="V14" i="7" s="1"/>
  <c r="J14" i="7" a="1"/>
  <c r="J14" i="7" s="1"/>
  <c r="AH14" i="7" a="1"/>
  <c r="AH14" i="7" s="1"/>
  <c r="U14" i="7" a="1"/>
  <c r="U14" i="7" s="1"/>
  <c r="H14" i="7" a="1"/>
  <c r="H14" i="7" s="1"/>
  <c r="E77" i="5"/>
  <c r="AL14" i="7" a="1"/>
  <c r="AL14" i="7" s="1"/>
  <c r="AM14" i="7" a="1"/>
  <c r="AM14" i="7" s="1"/>
  <c r="AN14" i="7" a="1"/>
  <c r="AN14" i="7" s="1"/>
  <c r="G100" i="5"/>
  <c r="G99" i="5" s="1"/>
  <c r="H96" i="5"/>
  <c r="H16" i="5"/>
  <c r="H107" i="5"/>
  <c r="G79" i="5"/>
  <c r="G157" i="5"/>
  <c r="G177" i="5"/>
  <c r="G137" i="5"/>
  <c r="H35" i="5"/>
  <c r="I178" i="5"/>
  <c r="I175" i="5"/>
  <c r="AP114" i="7"/>
  <c r="AP109" i="7"/>
  <c r="AP106" i="7"/>
  <c r="AP101" i="7"/>
  <c r="AP98" i="7"/>
  <c r="AP93" i="7"/>
  <c r="AP90" i="7"/>
  <c r="AP87" i="7"/>
  <c r="AP111" i="7"/>
  <c r="AP108" i="7"/>
  <c r="AP113" i="7"/>
  <c r="AP110" i="7"/>
  <c r="AP105" i="7"/>
  <c r="AP112" i="7"/>
  <c r="AP107" i="7"/>
  <c r="AP104" i="7"/>
  <c r="AP99" i="7"/>
  <c r="AP96" i="7"/>
  <c r="AP91" i="7"/>
  <c r="AP95" i="7"/>
  <c r="AP92" i="7"/>
  <c r="AP83" i="7"/>
  <c r="AP80" i="7"/>
  <c r="AP79" i="7"/>
  <c r="AP77" i="7"/>
  <c r="AP75" i="7"/>
  <c r="AP89" i="7"/>
  <c r="AP81" i="7"/>
  <c r="AP102" i="7"/>
  <c r="AP103" i="7"/>
  <c r="AP94" i="7"/>
  <c r="AP72" i="7"/>
  <c r="AP100" i="7"/>
  <c r="AP88" i="7"/>
  <c r="AP97" i="7"/>
  <c r="AP82" i="7"/>
  <c r="AP74" i="7"/>
  <c r="AP69" i="7"/>
  <c r="AP66" i="7"/>
  <c r="AP64" i="7"/>
  <c r="AP59" i="7"/>
  <c r="AP57" i="7"/>
  <c r="AP55" i="7"/>
  <c r="AP65" i="7"/>
  <c r="AP63" i="7"/>
  <c r="AP86" i="7"/>
  <c r="AP85" i="7"/>
  <c r="AP84" i="7"/>
  <c r="AP70" i="7"/>
  <c r="AP78" i="7"/>
  <c r="AP76" i="7"/>
  <c r="AP73" i="7"/>
  <c r="AP71" i="7"/>
  <c r="AP60" i="7"/>
  <c r="AP58" i="7"/>
  <c r="AP68" i="7"/>
  <c r="AP67" i="7"/>
  <c r="AP56" i="7"/>
  <c r="AP62" i="7"/>
  <c r="AP61" i="7"/>
  <c r="AQ5" i="7"/>
  <c r="AN19" i="7"/>
  <c r="I157" i="5"/>
  <c r="I177" i="5"/>
  <c r="G164" i="5"/>
  <c r="G144" i="5"/>
  <c r="H41" i="5"/>
  <c r="AG31" i="7" a="1"/>
  <c r="AG31" i="7" s="1"/>
  <c r="AB31" i="7" a="1"/>
  <c r="AB31" i="7" s="1"/>
  <c r="S31" i="7" a="1"/>
  <c r="S31" i="7" s="1"/>
  <c r="J31" i="7" a="1"/>
  <c r="J31" i="7" s="1"/>
  <c r="AK31" i="7" a="1"/>
  <c r="AK31" i="7" s="1"/>
  <c r="AF31" i="7" a="1"/>
  <c r="AF31" i="7" s="1"/>
  <c r="W31" i="7" a="1"/>
  <c r="W31" i="7" s="1"/>
  <c r="N31" i="7" a="1"/>
  <c r="N31" i="7" s="1"/>
  <c r="AH31" i="7" a="1"/>
  <c r="AH31" i="7" s="1"/>
  <c r="Y31" i="7" a="1"/>
  <c r="Y31" i="7" s="1"/>
  <c r="T31" i="7" a="1"/>
  <c r="T31" i="7" s="1"/>
  <c r="K31" i="7" a="1"/>
  <c r="K31" i="7" s="1"/>
  <c r="P31" i="7" a="1"/>
  <c r="P31" i="7" s="1"/>
  <c r="H31" i="7" a="1"/>
  <c r="H31" i="7" s="1"/>
  <c r="AJ31" i="7" a="1"/>
  <c r="AJ31" i="7" s="1"/>
  <c r="AD31" i="7" a="1"/>
  <c r="AD31" i="7" s="1"/>
  <c r="V31" i="7" a="1"/>
  <c r="V31" i="7" s="1"/>
  <c r="AC31" i="7" a="1"/>
  <c r="AC31" i="7" s="1"/>
  <c r="AI31" i="7" a="1"/>
  <c r="AI31" i="7" s="1"/>
  <c r="AA31" i="7" a="1"/>
  <c r="AA31" i="7" s="1"/>
  <c r="U31" i="7" a="1"/>
  <c r="U31" i="7" s="1"/>
  <c r="M31" i="7" a="1"/>
  <c r="M31" i="7" s="1"/>
  <c r="Z31" i="7" a="1"/>
  <c r="Z31" i="7" s="1"/>
  <c r="R31" i="7" a="1"/>
  <c r="R31" i="7" s="1"/>
  <c r="AE31" i="7" a="1"/>
  <c r="AE31" i="7" s="1"/>
  <c r="X31" i="7" a="1"/>
  <c r="X31" i="7" s="1"/>
  <c r="Q31" i="7" a="1"/>
  <c r="Q31" i="7" s="1"/>
  <c r="I31" i="7" a="1"/>
  <c r="I31" i="7" s="1"/>
  <c r="O31" i="7" a="1"/>
  <c r="O31" i="7" s="1"/>
  <c r="L31" i="7" a="1"/>
  <c r="L31" i="7" s="1"/>
  <c r="AL31" i="7" a="1"/>
  <c r="AL31" i="7" s="1"/>
  <c r="AM31" i="7" a="1"/>
  <c r="AM31" i="7" s="1"/>
  <c r="U19" i="3"/>
  <c r="I160" i="5"/>
  <c r="F61" i="5"/>
  <c r="F77" i="5" s="1"/>
  <c r="AO50" i="7" a="1"/>
  <c r="AO50" i="7" s="1"/>
  <c r="AO49" i="7" a="1"/>
  <c r="AO49" i="7" s="1"/>
  <c r="AO42" i="7" a="1"/>
  <c r="AO42" i="7" s="1"/>
  <c r="AO41" i="7" a="1"/>
  <c r="AO41" i="7" s="1"/>
  <c r="AO46" i="7" a="1"/>
  <c r="AO46" i="7" s="1"/>
  <c r="AO47" i="7" a="1"/>
  <c r="AO47" i="7" s="1"/>
  <c r="AO48" i="7" a="1"/>
  <c r="AO48" i="7" s="1"/>
  <c r="AO44" i="7" a="1"/>
  <c r="AO44" i="7" s="1"/>
  <c r="AO40" i="7" a="1"/>
  <c r="AO40" i="7" s="1"/>
  <c r="AO39" i="7" a="1"/>
  <c r="AO39" i="7" s="1"/>
  <c r="AO43" i="7" a="1"/>
  <c r="AO43" i="7" s="1"/>
  <c r="AO45" i="7" a="1"/>
  <c r="AO45" i="7" s="1"/>
  <c r="AO37" i="7" a="1"/>
  <c r="AO37" i="7" s="1"/>
  <c r="AO36" i="7" a="1"/>
  <c r="AO36" i="7" s="1"/>
  <c r="AO29" i="7" a="1"/>
  <c r="AO29" i="7" s="1"/>
  <c r="AO26" i="7" a="1"/>
  <c r="AO26" i="7" s="1"/>
  <c r="AO38" i="7" a="1"/>
  <c r="AO38" i="7" s="1"/>
  <c r="AO30" i="7" a="1"/>
  <c r="AO30" i="7" s="1"/>
  <c r="AO28" i="7" a="1"/>
  <c r="AO28" i="7" s="1"/>
  <c r="AO27" i="7" a="1"/>
  <c r="AO27" i="7" s="1"/>
  <c r="AO31" i="7" a="1"/>
  <c r="AO31" i="7" s="1"/>
  <c r="AO23" i="7" a="1"/>
  <c r="AO23" i="7" s="1"/>
  <c r="AO25" i="7" a="1"/>
  <c r="AO25" i="7" s="1"/>
  <c r="AO21" i="7" a="1"/>
  <c r="AO21" i="7" s="1"/>
  <c r="AO20" i="7" s="1"/>
  <c r="AO19" i="7" s="1"/>
  <c r="AO24" i="7" a="1"/>
  <c r="AO24" i="7" s="1"/>
  <c r="AO14" i="7" a="1"/>
  <c r="AO14" i="7" s="1"/>
  <c r="AO18" i="7" a="1"/>
  <c r="AO18" i="7" s="1"/>
  <c r="AO17" i="7" a="1"/>
  <c r="AO17" i="7" s="1"/>
  <c r="AO15" i="7" a="1"/>
  <c r="AO15" i="7" s="1"/>
  <c r="AO7" i="7" a="1"/>
  <c r="AO7" i="7" s="1"/>
  <c r="AO51" i="7" s="1"/>
  <c r="AO16" i="7" a="1"/>
  <c r="AO16" i="7" s="1"/>
  <c r="AO12" i="7" a="1"/>
  <c r="AO12" i="7" s="1"/>
  <c r="AO8" i="7" a="1"/>
  <c r="AO8" i="7" s="1"/>
  <c r="G103" i="5"/>
  <c r="J195" i="5"/>
  <c r="J196" i="5"/>
  <c r="F171" i="5"/>
  <c r="F131" i="5"/>
  <c r="F151" i="5"/>
  <c r="G29" i="5"/>
  <c r="AJ7" i="7" a="1"/>
  <c r="AJ7" i="7" s="1"/>
  <c r="AJ51" i="7" s="1"/>
  <c r="AE7" i="7" a="1"/>
  <c r="AE7" i="7" s="1"/>
  <c r="AE51" i="7" s="1"/>
  <c r="Y7" i="7" a="1"/>
  <c r="Y7" i="7" s="1"/>
  <c r="Y51" i="7" s="1"/>
  <c r="T7" i="7" a="1"/>
  <c r="T7" i="7" s="1"/>
  <c r="T51" i="7" s="1"/>
  <c r="O7" i="7" a="1"/>
  <c r="O7" i="7" s="1"/>
  <c r="O51" i="7" s="1"/>
  <c r="I7" i="7" a="1"/>
  <c r="I7" i="7" s="1"/>
  <c r="I51" i="7" s="1"/>
  <c r="AD7" i="7" a="1"/>
  <c r="AD7" i="7" s="1"/>
  <c r="AD51" i="7" s="1"/>
  <c r="N7" i="7" a="1"/>
  <c r="N7" i="7" s="1"/>
  <c r="N51" i="7" s="1"/>
  <c r="AI7" i="7" a="1"/>
  <c r="AI7" i="7" s="1"/>
  <c r="AI51" i="7" s="1"/>
  <c r="AC7" i="7" a="1"/>
  <c r="AC7" i="7" s="1"/>
  <c r="AC51" i="7" s="1"/>
  <c r="X7" i="7" a="1"/>
  <c r="X7" i="7" s="1"/>
  <c r="X51" i="7" s="1"/>
  <c r="S7" i="7" a="1"/>
  <c r="S7" i="7" s="1"/>
  <c r="S51" i="7" s="1"/>
  <c r="M7" i="7" a="1"/>
  <c r="M7" i="7" s="1"/>
  <c r="M51" i="7" s="1"/>
  <c r="H7" i="7" a="1"/>
  <c r="H7" i="7" s="1"/>
  <c r="H51" i="7" s="1"/>
  <c r="AG7" i="7" a="1"/>
  <c r="AG7" i="7" s="1"/>
  <c r="AG51" i="7" s="1"/>
  <c r="AB7" i="7" a="1"/>
  <c r="AB7" i="7" s="1"/>
  <c r="AB51" i="7" s="1"/>
  <c r="W7" i="7" a="1"/>
  <c r="W7" i="7" s="1"/>
  <c r="W51" i="7" s="1"/>
  <c r="Q7" i="7" a="1"/>
  <c r="Q7" i="7" s="1"/>
  <c r="Q51" i="7" s="1"/>
  <c r="L7" i="7" a="1"/>
  <c r="L7" i="7" s="1"/>
  <c r="L51" i="7" s="1"/>
  <c r="J7" i="7" a="1"/>
  <c r="J7" i="7" s="1"/>
  <c r="J51" i="7" s="1"/>
  <c r="R7" i="7" a="1"/>
  <c r="R7" i="7" s="1"/>
  <c r="R51" i="7" s="1"/>
  <c r="AK7" i="7" a="1"/>
  <c r="AK7" i="7" s="1"/>
  <c r="AK51" i="7" s="1"/>
  <c r="AA7" i="7" a="1"/>
  <c r="AA7" i="7" s="1"/>
  <c r="AA51" i="7" s="1"/>
  <c r="P7" i="7" a="1"/>
  <c r="P7" i="7" s="1"/>
  <c r="P51" i="7" s="1"/>
  <c r="Z7" i="7" a="1"/>
  <c r="Z7" i="7" s="1"/>
  <c r="Z51" i="7" s="1"/>
  <c r="AH7" i="7" a="1"/>
  <c r="AH7" i="7" s="1"/>
  <c r="AH51" i="7" s="1"/>
  <c r="V7" i="7" a="1"/>
  <c r="V7" i="7" s="1"/>
  <c r="V51" i="7" s="1"/>
  <c r="AF7" i="7" a="1"/>
  <c r="AF7" i="7" s="1"/>
  <c r="AF51" i="7" s="1"/>
  <c r="U7" i="7" a="1"/>
  <c r="U7" i="7" s="1"/>
  <c r="U51" i="7" s="1"/>
  <c r="K7" i="7" a="1"/>
  <c r="K7" i="7" s="1"/>
  <c r="K51" i="7" s="1"/>
  <c r="F209" i="5"/>
  <c r="F213" i="5" s="1"/>
  <c r="E46" i="5"/>
  <c r="F27" i="5"/>
  <c r="AL7" i="7" a="1"/>
  <c r="AL7" i="7" s="1"/>
  <c r="AL51" i="7" s="1"/>
  <c r="AM7" i="7" a="1"/>
  <c r="AM7" i="7" s="1"/>
  <c r="AM51" i="7" s="1"/>
  <c r="J197" i="5"/>
  <c r="K193" i="5" s="1"/>
  <c r="J143" i="5"/>
  <c r="J138" i="5"/>
  <c r="J161" i="5"/>
  <c r="J93" i="5"/>
  <c r="J159" i="5"/>
  <c r="J139" i="5"/>
  <c r="J68" i="5" a="1"/>
  <c r="J68" i="5" s="1"/>
  <c r="J40" i="5"/>
  <c r="J163" i="5" s="1"/>
  <c r="J38" i="5"/>
  <c r="J36" i="5"/>
  <c r="J33" i="5"/>
  <c r="K5" i="5"/>
  <c r="J34" i="5"/>
  <c r="J14" i="5"/>
  <c r="J12" i="5"/>
  <c r="J141" i="5"/>
  <c r="J39" i="5"/>
  <c r="J35" i="5"/>
  <c r="J158" i="5" s="1"/>
  <c r="J11" i="5"/>
  <c r="J13" i="5"/>
  <c r="J202" i="5" s="1"/>
  <c r="J6" i="5"/>
  <c r="I136" i="5"/>
  <c r="F75" i="5"/>
  <c r="H105" i="5"/>
  <c r="K163" i="5" l="1"/>
  <c r="K143" i="5"/>
  <c r="K138" i="5"/>
  <c r="K197" i="5"/>
  <c r="L193" i="5" s="1"/>
  <c r="K177" i="5"/>
  <c r="K140" i="5"/>
  <c r="K178" i="5"/>
  <c r="K159" i="5"/>
  <c r="K142" i="5"/>
  <c r="K68" i="5" a="1"/>
  <c r="K68" i="5" s="1"/>
  <c r="K40" i="5"/>
  <c r="K36" i="5"/>
  <c r="K139" i="5" s="1"/>
  <c r="K34" i="5"/>
  <c r="K157" i="5" s="1"/>
  <c r="K137" i="5"/>
  <c r="K93" i="5"/>
  <c r="L5" i="5"/>
  <c r="K37" i="5"/>
  <c r="K160" i="5" s="1"/>
  <c r="K14" i="5"/>
  <c r="K12" i="5"/>
  <c r="K39" i="5"/>
  <c r="K35" i="5"/>
  <c r="K158" i="5" s="1"/>
  <c r="K11" i="5"/>
  <c r="K13" i="5"/>
  <c r="K202" i="5" s="1"/>
  <c r="K6" i="5"/>
  <c r="H100" i="5"/>
  <c r="H99" i="5" s="1"/>
  <c r="I104" i="5"/>
  <c r="I106" i="5"/>
  <c r="I16" i="5"/>
  <c r="I105" i="5"/>
  <c r="I107" i="5"/>
  <c r="I96" i="5"/>
  <c r="I95" i="5" s="1"/>
  <c r="J176" i="5"/>
  <c r="F222" i="5"/>
  <c r="F214" i="5"/>
  <c r="H158" i="5"/>
  <c r="H138" i="5"/>
  <c r="H178" i="5"/>
  <c r="I179" i="5" s="1"/>
  <c r="J179" i="5" s="1"/>
  <c r="I79" i="5"/>
  <c r="I36" i="5"/>
  <c r="H95" i="5"/>
  <c r="J5" i="6"/>
  <c r="K4" i="6"/>
  <c r="H4" i="7"/>
  <c r="H78" i="5"/>
  <c r="G3" i="7"/>
  <c r="AQ114" i="7"/>
  <c r="AQ111" i="7"/>
  <c r="AQ108" i="7"/>
  <c r="AQ103" i="7"/>
  <c r="AQ100" i="7"/>
  <c r="AQ95" i="7"/>
  <c r="AQ92" i="7"/>
  <c r="AQ113" i="7"/>
  <c r="AQ110" i="7"/>
  <c r="AQ112" i="7"/>
  <c r="AQ107" i="7"/>
  <c r="AQ85" i="7"/>
  <c r="AQ91" i="7"/>
  <c r="AQ89" i="7"/>
  <c r="AQ81" i="7"/>
  <c r="AQ104" i="7"/>
  <c r="AQ101" i="7"/>
  <c r="AQ98" i="7"/>
  <c r="AQ82" i="7"/>
  <c r="AQ102" i="7"/>
  <c r="AQ109" i="7"/>
  <c r="AQ105" i="7"/>
  <c r="AQ97" i="7"/>
  <c r="AQ72" i="7"/>
  <c r="AQ106" i="7"/>
  <c r="AQ84" i="7"/>
  <c r="AQ77" i="7"/>
  <c r="AQ74" i="7"/>
  <c r="AQ90" i="7"/>
  <c r="AQ94" i="7"/>
  <c r="AQ88" i="7"/>
  <c r="AQ87" i="7"/>
  <c r="AQ99" i="7"/>
  <c r="AQ93" i="7"/>
  <c r="AQ86" i="7"/>
  <c r="AQ76" i="7"/>
  <c r="AQ70" i="7"/>
  <c r="AQ68" i="7"/>
  <c r="AQ66" i="7"/>
  <c r="AQ83" i="7"/>
  <c r="AQ65" i="7"/>
  <c r="AQ63" i="7"/>
  <c r="AQ96" i="7"/>
  <c r="AQ79" i="7"/>
  <c r="AQ71" i="7"/>
  <c r="AQ80" i="7"/>
  <c r="AQ78" i="7"/>
  <c r="AQ75" i="7"/>
  <c r="AQ73" i="7"/>
  <c r="AQ62" i="7"/>
  <c r="AQ57" i="7"/>
  <c r="AQ55" i="7"/>
  <c r="AQ69" i="7"/>
  <c r="AQ59" i="7"/>
  <c r="AQ58" i="7"/>
  <c r="AQ67" i="7"/>
  <c r="AQ64" i="7"/>
  <c r="AQ56" i="7"/>
  <c r="AQ61" i="7"/>
  <c r="AQ60" i="7"/>
  <c r="AR5" i="7"/>
  <c r="K195" i="5"/>
  <c r="K196" i="5"/>
  <c r="J142" i="5"/>
  <c r="J162" i="5"/>
  <c r="J137" i="5"/>
  <c r="H79" i="5"/>
  <c r="H103" i="5"/>
  <c r="H163" i="5"/>
  <c r="H143" i="5"/>
  <c r="I41" i="5"/>
  <c r="G20" i="5"/>
  <c r="G19" i="5"/>
  <c r="G21" i="5" s="1"/>
  <c r="G24" i="5" s="1"/>
  <c r="AP50" i="7" a="1"/>
  <c r="AP50" i="7" s="1"/>
  <c r="AP48" i="7" a="1"/>
  <c r="AP48" i="7" s="1"/>
  <c r="AP40" i="7" a="1"/>
  <c r="AP40" i="7" s="1"/>
  <c r="AP39" i="7" a="1"/>
  <c r="AP39" i="7" s="1"/>
  <c r="AP46" i="7" a="1"/>
  <c r="AP46" i="7" s="1"/>
  <c r="AP47" i="7" a="1"/>
  <c r="AP47" i="7" s="1"/>
  <c r="AP49" i="7" a="1"/>
  <c r="AP49" i="7" s="1"/>
  <c r="AP42" i="7" a="1"/>
  <c r="AP42" i="7" s="1"/>
  <c r="AP31" i="7" a="1"/>
  <c r="AP31" i="7" s="1"/>
  <c r="AP44" i="7" a="1"/>
  <c r="AP44" i="7" s="1"/>
  <c r="AP36" i="7" a="1"/>
  <c r="AP36" i="7" s="1"/>
  <c r="AP30" i="7" a="1"/>
  <c r="AP30" i="7" s="1"/>
  <c r="AP43" i="7" a="1"/>
  <c r="AP43" i="7" s="1"/>
  <c r="AP45" i="7" a="1"/>
  <c r="AP45" i="7" s="1"/>
  <c r="AP41" i="7" a="1"/>
  <c r="AP41" i="7" s="1"/>
  <c r="AP28" i="7" a="1"/>
  <c r="AP28" i="7" s="1"/>
  <c r="AP38" i="7" a="1"/>
  <c r="AP38" i="7" s="1"/>
  <c r="AP37" i="7" a="1"/>
  <c r="AP37" i="7" s="1"/>
  <c r="AP27" i="7" a="1"/>
  <c r="AP27" i="7" s="1"/>
  <c r="AP29" i="7" a="1"/>
  <c r="AP29" i="7" s="1"/>
  <c r="AP26" i="7" a="1"/>
  <c r="AP26" i="7" s="1"/>
  <c r="AP24" i="7" a="1"/>
  <c r="AP24" i="7" s="1"/>
  <c r="AP21" i="7" a="1"/>
  <c r="AP21" i="7" s="1"/>
  <c r="AP20" i="7" s="1"/>
  <c r="AP19" i="7" s="1"/>
  <c r="AP25" i="7" a="1"/>
  <c r="AP25" i="7" s="1"/>
  <c r="AP14" i="7" a="1"/>
  <c r="AP14" i="7" s="1"/>
  <c r="AP23" i="7" a="1"/>
  <c r="AP23" i="7" s="1"/>
  <c r="AP15" i="7" a="1"/>
  <c r="AP15" i="7" s="1"/>
  <c r="AP18" i="7" a="1"/>
  <c r="AP18" i="7" s="1"/>
  <c r="AP16" i="7" a="1"/>
  <c r="AP16" i="7" s="1"/>
  <c r="AP17" i="7" a="1"/>
  <c r="AP17" i="7" s="1"/>
  <c r="AP8" i="7" a="1"/>
  <c r="AP8" i="7" s="1"/>
  <c r="AP12" i="7" a="1"/>
  <c r="AP12" i="7" s="1"/>
  <c r="AP7" i="7" a="1"/>
  <c r="AP7" i="7" s="1"/>
  <c r="AP51" i="7" s="1"/>
  <c r="AI8" i="7" a="1"/>
  <c r="AI8" i="7" s="1"/>
  <c r="Z8" i="7" a="1"/>
  <c r="Z8" i="7" s="1"/>
  <c r="V8" i="7" a="1"/>
  <c r="V8" i="7" s="1"/>
  <c r="R8" i="7" a="1"/>
  <c r="R8" i="7" s="1"/>
  <c r="N8" i="7" a="1"/>
  <c r="N8" i="7" s="1"/>
  <c r="J8" i="7" a="1"/>
  <c r="J8" i="7" s="1"/>
  <c r="AD8" i="7" a="1"/>
  <c r="AD8" i="7" s="1"/>
  <c r="AH8" i="7" a="1"/>
  <c r="AH8" i="7" s="1"/>
  <c r="Y8" i="7" a="1"/>
  <c r="Y8" i="7" s="1"/>
  <c r="U8" i="7" a="1"/>
  <c r="U8" i="7" s="1"/>
  <c r="Q8" i="7" a="1"/>
  <c r="Q8" i="7" s="1"/>
  <c r="M8" i="7" a="1"/>
  <c r="M8" i="7" s="1"/>
  <c r="I8" i="7" a="1"/>
  <c r="I8" i="7" s="1"/>
  <c r="AJ8" i="7" a="1"/>
  <c r="AJ8" i="7" s="1"/>
  <c r="AE8" i="7" a="1"/>
  <c r="AE8" i="7" s="1"/>
  <c r="AA8" i="7" a="1"/>
  <c r="AA8" i="7" s="1"/>
  <c r="S8" i="7" a="1"/>
  <c r="S8" i="7" s="1"/>
  <c r="K8" i="7" a="1"/>
  <c r="K8" i="7" s="1"/>
  <c r="AG8" i="7" a="1"/>
  <c r="AG8" i="7" s="1"/>
  <c r="X8" i="7" a="1"/>
  <c r="X8" i="7" s="1"/>
  <c r="P8" i="7" a="1"/>
  <c r="P8" i="7" s="1"/>
  <c r="H8" i="7" a="1"/>
  <c r="H8" i="7" s="1"/>
  <c r="AF8" i="7" a="1"/>
  <c r="AF8" i="7" s="1"/>
  <c r="W8" i="7" a="1"/>
  <c r="W8" i="7" s="1"/>
  <c r="O8" i="7" a="1"/>
  <c r="O8" i="7" s="1"/>
  <c r="AK8" i="7" a="1"/>
  <c r="AK8" i="7" s="1"/>
  <c r="AC8" i="7" a="1"/>
  <c r="AC8" i="7" s="1"/>
  <c r="L8" i="7" a="1"/>
  <c r="L8" i="7" s="1"/>
  <c r="AB8" i="7" a="1"/>
  <c r="AB8" i="7" s="1"/>
  <c r="T8" i="7" a="1"/>
  <c r="T8" i="7" s="1"/>
  <c r="E59" i="5"/>
  <c r="AL8" i="7" a="1"/>
  <c r="AL8" i="7" s="1"/>
  <c r="AM8" i="7" a="1"/>
  <c r="AM8" i="7" s="1"/>
  <c r="AN8" i="7" a="1"/>
  <c r="AN8" i="7" s="1"/>
  <c r="G152" i="5"/>
  <c r="G172" i="5"/>
  <c r="G132" i="5"/>
  <c r="H30" i="5"/>
  <c r="J157" i="5"/>
  <c r="J136" i="5"/>
  <c r="J156" i="5"/>
  <c r="J178" i="5"/>
  <c r="K179" i="5" s="1"/>
  <c r="G51" i="5"/>
  <c r="G58" i="5" s="1"/>
  <c r="F44" i="5"/>
  <c r="F170" i="5"/>
  <c r="F180" i="5" s="1"/>
  <c r="F181" i="5" s="1"/>
  <c r="F150" i="5"/>
  <c r="F165" i="5" s="1"/>
  <c r="F166" i="5" s="1"/>
  <c r="F130" i="5"/>
  <c r="F145" i="5" s="1"/>
  <c r="F146" i="5" s="1"/>
  <c r="F183" i="5" s="1" a="1"/>
  <c r="F183" i="5" s="1"/>
  <c r="G28" i="5"/>
  <c r="F45" i="5" a="1"/>
  <c r="F45" i="5" s="1"/>
  <c r="G18" i="5"/>
  <c r="G62" i="5" s="1"/>
  <c r="J177" i="5"/>
  <c r="H144" i="5"/>
  <c r="H164" i="5"/>
  <c r="K5" i="6" l="1"/>
  <c r="L4" i="6"/>
  <c r="I4" i="7"/>
  <c r="I3" i="7" s="1"/>
  <c r="F47" i="5"/>
  <c r="F50" i="5"/>
  <c r="G66" i="5"/>
  <c r="G64" i="5" s="1"/>
  <c r="AR114" i="7"/>
  <c r="AR112" i="7"/>
  <c r="AR110" i="7"/>
  <c r="AR108" i="7"/>
  <c r="AR106" i="7"/>
  <c r="AR104" i="7"/>
  <c r="AR102" i="7"/>
  <c r="AR100" i="7"/>
  <c r="AR98" i="7"/>
  <c r="AR96" i="7"/>
  <c r="AR94" i="7"/>
  <c r="AR92" i="7"/>
  <c r="AR90" i="7"/>
  <c r="AR88" i="7"/>
  <c r="AR113" i="7"/>
  <c r="AR111" i="7"/>
  <c r="AR109" i="7"/>
  <c r="AR107" i="7"/>
  <c r="AR105" i="7"/>
  <c r="AR103" i="7"/>
  <c r="AR101" i="7"/>
  <c r="AR99" i="7"/>
  <c r="AR97" i="7"/>
  <c r="AR95" i="7"/>
  <c r="AR93" i="7"/>
  <c r="AR91" i="7"/>
  <c r="AR89" i="7"/>
  <c r="AR87" i="7"/>
  <c r="AR86" i="7"/>
  <c r="AR84" i="7"/>
  <c r="AR82" i="7"/>
  <c r="AR83" i="7"/>
  <c r="AR80" i="7"/>
  <c r="AR79" i="7"/>
  <c r="AR77" i="7"/>
  <c r="AR75" i="7"/>
  <c r="AR74" i="7"/>
  <c r="AR85" i="7"/>
  <c r="AR78" i="7"/>
  <c r="AR73" i="7"/>
  <c r="AR71" i="7"/>
  <c r="AR69" i="7"/>
  <c r="AR67" i="7"/>
  <c r="AR65" i="7"/>
  <c r="AR76" i="7"/>
  <c r="AR61" i="7"/>
  <c r="AR81" i="7"/>
  <c r="AR64" i="7"/>
  <c r="AR59" i="7"/>
  <c r="AR57" i="7"/>
  <c r="AR55" i="7"/>
  <c r="AR58" i="7"/>
  <c r="AR72" i="7"/>
  <c r="AR68" i="7"/>
  <c r="AR56" i="7"/>
  <c r="AR70" i="7"/>
  <c r="AR66" i="7"/>
  <c r="AR63" i="7"/>
  <c r="AR62" i="7"/>
  <c r="AR60" i="7"/>
  <c r="AS5" i="7"/>
  <c r="I139" i="5"/>
  <c r="I159" i="5"/>
  <c r="J37" i="5"/>
  <c r="J79" i="5"/>
  <c r="L143" i="5"/>
  <c r="L163" i="5"/>
  <c r="L179" i="5"/>
  <c r="L197" i="5"/>
  <c r="M193" i="5" s="1"/>
  <c r="L140" i="5"/>
  <c r="L160" i="5"/>
  <c r="L40" i="5"/>
  <c r="L38" i="5"/>
  <c r="L161" i="5" s="1"/>
  <c r="L36" i="5"/>
  <c r="L139" i="5" s="1"/>
  <c r="L93" i="5"/>
  <c r="L37" i="5"/>
  <c r="L14" i="5"/>
  <c r="L12" i="5"/>
  <c r="L68" i="5" a="1"/>
  <c r="L68" i="5" s="1"/>
  <c r="L35" i="5"/>
  <c r="M5" i="5"/>
  <c r="L11" i="5"/>
  <c r="L13" i="5"/>
  <c r="L202" i="5" s="1"/>
  <c r="L6" i="5"/>
  <c r="K162" i="5"/>
  <c r="I100" i="5"/>
  <c r="I99" i="5" s="1"/>
  <c r="J104" i="5"/>
  <c r="J107" i="5"/>
  <c r="J16" i="5"/>
  <c r="J106" i="5"/>
  <c r="J96" i="5"/>
  <c r="J105" i="5"/>
  <c r="H3" i="7"/>
  <c r="I103" i="5"/>
  <c r="L195" i="5"/>
  <c r="L196" i="5"/>
  <c r="AQ50" i="7" a="1"/>
  <c r="AQ50" i="7" s="1"/>
  <c r="AQ47" i="7" a="1"/>
  <c r="AQ47" i="7" s="1"/>
  <c r="AQ39" i="7" a="1"/>
  <c r="AQ39" i="7" s="1"/>
  <c r="AQ46" i="7" a="1"/>
  <c r="AQ46" i="7" s="1"/>
  <c r="AQ38" i="7" a="1"/>
  <c r="AQ38" i="7" s="1"/>
  <c r="AQ49" i="7" a="1"/>
  <c r="AQ49" i="7" s="1"/>
  <c r="AQ45" i="7" a="1"/>
  <c r="AQ45" i="7" s="1"/>
  <c r="AQ48" i="7" a="1"/>
  <c r="AQ48" i="7" s="1"/>
  <c r="AQ41" i="7" a="1"/>
  <c r="AQ41" i="7" s="1"/>
  <c r="AQ44" i="7" a="1"/>
  <c r="AQ44" i="7" s="1"/>
  <c r="AQ36" i="7" a="1"/>
  <c r="AQ36" i="7" s="1"/>
  <c r="AQ29" i="7" a="1"/>
  <c r="AQ29" i="7" s="1"/>
  <c r="AQ28" i="7" a="1"/>
  <c r="AQ28" i="7" s="1"/>
  <c r="AQ43" i="7" a="1"/>
  <c r="AQ43" i="7" s="1"/>
  <c r="AQ42" i="7" a="1"/>
  <c r="AQ42" i="7" s="1"/>
  <c r="AQ31" i="7" a="1"/>
  <c r="AQ31" i="7" s="1"/>
  <c r="AQ40" i="7" a="1"/>
  <c r="AQ40" i="7" s="1"/>
  <c r="AQ37" i="7" a="1"/>
  <c r="AQ37" i="7" s="1"/>
  <c r="AQ26" i="7" a="1"/>
  <c r="AQ26" i="7" s="1"/>
  <c r="AQ25" i="7" a="1"/>
  <c r="AQ25" i="7" s="1"/>
  <c r="AQ27" i="7" a="1"/>
  <c r="AQ27" i="7" s="1"/>
  <c r="AQ24" i="7" a="1"/>
  <c r="AQ24" i="7" s="1"/>
  <c r="AQ30" i="7" a="1"/>
  <c r="AQ30" i="7" s="1"/>
  <c r="AQ23" i="7" a="1"/>
  <c r="AQ23" i="7" s="1"/>
  <c r="AQ17" i="7" a="1"/>
  <c r="AQ17" i="7" s="1"/>
  <c r="AQ21" i="7" a="1"/>
  <c r="AQ21" i="7" s="1"/>
  <c r="AQ20" i="7" s="1"/>
  <c r="AQ13" i="7" a="1"/>
  <c r="AQ13" i="7" s="1"/>
  <c r="AQ14" i="7" a="1"/>
  <c r="AQ14" i="7" s="1"/>
  <c r="AQ8" i="7" a="1"/>
  <c r="AQ8" i="7" s="1"/>
  <c r="AQ18" i="7" a="1"/>
  <c r="AQ18" i="7" s="1"/>
  <c r="AQ15" i="7" a="1"/>
  <c r="AQ15" i="7" s="1"/>
  <c r="AQ12" i="7" a="1"/>
  <c r="AQ12" i="7" s="1"/>
  <c r="AQ16" i="7" a="1"/>
  <c r="AQ16" i="7" s="1"/>
  <c r="AQ7" i="7" a="1"/>
  <c r="AQ7" i="7" s="1"/>
  <c r="AQ51" i="7" s="1"/>
  <c r="F46" i="5"/>
  <c r="G209" i="5" s="1"/>
  <c r="G213" i="5" s="1"/>
  <c r="G27" i="5"/>
  <c r="H173" i="5"/>
  <c r="H153" i="5"/>
  <c r="H133" i="5"/>
  <c r="I31" i="5"/>
  <c r="AK13" i="7" a="1"/>
  <c r="AK13" i="7" s="1"/>
  <c r="AB13" i="7" a="1"/>
  <c r="AB13" i="7" s="1"/>
  <c r="S13" i="7" a="1"/>
  <c r="S13" i="7" s="1"/>
  <c r="AF13" i="7" a="1"/>
  <c r="AF13" i="7" s="1"/>
  <c r="AA13" i="7" a="1"/>
  <c r="AA13" i="7" s="1"/>
  <c r="V13" i="7" a="1"/>
  <c r="V13" i="7" s="1"/>
  <c r="L13" i="7" a="1"/>
  <c r="L13" i="7" s="1"/>
  <c r="U13" i="7" a="1"/>
  <c r="U13" i="7" s="1"/>
  <c r="P13" i="7" a="1"/>
  <c r="P13" i="7" s="1"/>
  <c r="AJ13" i="7" a="1"/>
  <c r="AJ13" i="7" s="1"/>
  <c r="AE13" i="7" a="1"/>
  <c r="AE13" i="7" s="1"/>
  <c r="Z13" i="7" a="1"/>
  <c r="Z13" i="7" s="1"/>
  <c r="K13" i="7" a="1"/>
  <c r="K13" i="7" s="1"/>
  <c r="AG13" i="7" a="1"/>
  <c r="AG13" i="7" s="1"/>
  <c r="Q13" i="7" a="1"/>
  <c r="Q13" i="7" s="1"/>
  <c r="H13" i="7" a="1"/>
  <c r="H13" i="7" s="1"/>
  <c r="AH13" i="7" a="1"/>
  <c r="AH13" i="7" s="1"/>
  <c r="W13" i="7" a="1"/>
  <c r="W13" i="7" s="1"/>
  <c r="M13" i="7" a="1"/>
  <c r="M13" i="7" s="1"/>
  <c r="T13" i="7" a="1"/>
  <c r="T13" i="7" s="1"/>
  <c r="AD13" i="7" a="1"/>
  <c r="AD13" i="7" s="1"/>
  <c r="J13" i="7" a="1"/>
  <c r="J13" i="7" s="1"/>
  <c r="AC13" i="7" a="1"/>
  <c r="AC13" i="7" s="1"/>
  <c r="I13" i="7" a="1"/>
  <c r="I13" i="7" s="1"/>
  <c r="R13" i="7" a="1"/>
  <c r="R13" i="7" s="1"/>
  <c r="Y13" i="7" a="1"/>
  <c r="Y13" i="7" s="1"/>
  <c r="O13" i="7" a="1"/>
  <c r="O13" i="7" s="1"/>
  <c r="AI13" i="7" a="1"/>
  <c r="AI13" i="7" s="1"/>
  <c r="X13" i="7" a="1"/>
  <c r="X13" i="7" s="1"/>
  <c r="N13" i="7" a="1"/>
  <c r="N13" i="7" s="1"/>
  <c r="E76" i="5"/>
  <c r="AL13" i="7" a="1"/>
  <c r="AL13" i="7" s="1"/>
  <c r="E57" i="5"/>
  <c r="AM13" i="7" a="1"/>
  <c r="AM13" i="7" s="1"/>
  <c r="AN13" i="7" a="1"/>
  <c r="AN13" i="7" s="1"/>
  <c r="AO13" i="7" a="1"/>
  <c r="AO13" i="7" s="1"/>
  <c r="G61" i="5"/>
  <c r="G17" i="5"/>
  <c r="AP13" i="7" a="1"/>
  <c r="AP13" i="7" s="1"/>
  <c r="I144" i="5"/>
  <c r="I164" i="5"/>
  <c r="J41" i="5"/>
  <c r="F223" i="5"/>
  <c r="G221" i="5"/>
  <c r="G75" i="5"/>
  <c r="G151" i="5"/>
  <c r="G131" i="5"/>
  <c r="G171" i="5"/>
  <c r="H29" i="5"/>
  <c r="G222" i="5" l="1"/>
  <c r="G214" i="5"/>
  <c r="I174" i="5"/>
  <c r="I78" i="5"/>
  <c r="I134" i="5"/>
  <c r="I154" i="5"/>
  <c r="J32" i="5"/>
  <c r="H132" i="5"/>
  <c r="H152" i="5"/>
  <c r="H172" i="5"/>
  <c r="I30" i="5"/>
  <c r="J144" i="5"/>
  <c r="J164" i="5"/>
  <c r="K41" i="5"/>
  <c r="L141" i="5"/>
  <c r="AS114" i="7"/>
  <c r="AS112" i="7"/>
  <c r="AS110" i="7"/>
  <c r="AS108" i="7"/>
  <c r="AS106" i="7"/>
  <c r="AS104" i="7"/>
  <c r="AS102" i="7"/>
  <c r="AS100" i="7"/>
  <c r="AS98" i="7"/>
  <c r="AS96" i="7"/>
  <c r="AS94" i="7"/>
  <c r="AS92" i="7"/>
  <c r="AS90" i="7"/>
  <c r="AS88" i="7"/>
  <c r="AS111" i="7"/>
  <c r="AS103" i="7"/>
  <c r="AS95" i="7"/>
  <c r="AS86" i="7"/>
  <c r="AS84" i="7"/>
  <c r="AS82" i="7"/>
  <c r="AS80" i="7"/>
  <c r="AS89" i="7"/>
  <c r="AS113" i="7"/>
  <c r="AS105" i="7"/>
  <c r="AS107" i="7"/>
  <c r="AS109" i="7"/>
  <c r="AS101" i="7"/>
  <c r="AS93" i="7"/>
  <c r="AS87" i="7"/>
  <c r="AS78" i="7"/>
  <c r="AS76" i="7"/>
  <c r="AS74" i="7"/>
  <c r="AS72" i="7"/>
  <c r="AS99" i="7"/>
  <c r="AS81" i="7"/>
  <c r="AS85" i="7"/>
  <c r="AS77" i="7"/>
  <c r="AS73" i="7"/>
  <c r="AS71" i="7"/>
  <c r="AS69" i="7"/>
  <c r="AS67" i="7"/>
  <c r="AS65" i="7"/>
  <c r="AS63" i="7"/>
  <c r="AS61" i="7"/>
  <c r="AS91" i="7"/>
  <c r="AS83" i="7"/>
  <c r="AS97" i="7"/>
  <c r="AS79" i="7"/>
  <c r="AS60" i="7"/>
  <c r="AS58" i="7"/>
  <c r="AS56" i="7"/>
  <c r="AS66" i="7"/>
  <c r="AS62" i="7"/>
  <c r="AS68" i="7"/>
  <c r="AS70" i="7"/>
  <c r="AS75" i="7"/>
  <c r="AS59" i="7"/>
  <c r="AS64" i="7"/>
  <c r="AS57" i="7"/>
  <c r="AS55" i="7"/>
  <c r="AT5" i="7"/>
  <c r="M161" i="5"/>
  <c r="M159" i="5"/>
  <c r="M197" i="5"/>
  <c r="N193" i="5" s="1"/>
  <c r="M141" i="5"/>
  <c r="M160" i="5"/>
  <c r="M139" i="5"/>
  <c r="M93" i="5"/>
  <c r="M38" i="5"/>
  <c r="M36" i="5"/>
  <c r="M68" i="5" a="1"/>
  <c r="M68" i="5" s="1"/>
  <c r="M13" i="5"/>
  <c r="M202" i="5" s="1"/>
  <c r="M39" i="5"/>
  <c r="M142" i="5" s="1"/>
  <c r="M37" i="5"/>
  <c r="M140" i="5" s="1"/>
  <c r="M14" i="5"/>
  <c r="M12" i="5"/>
  <c r="M11" i="5"/>
  <c r="N5" i="5"/>
  <c r="M6" i="5"/>
  <c r="L5" i="6"/>
  <c r="J4" i="7"/>
  <c r="M4" i="6"/>
  <c r="AR49" i="7" a="1"/>
  <c r="AR49" i="7" s="1"/>
  <c r="AR50" i="7" a="1"/>
  <c r="AR50" i="7" s="1"/>
  <c r="AR45" i="7" a="1"/>
  <c r="AR45" i="7" s="1"/>
  <c r="AR37" i="7" a="1"/>
  <c r="AR37" i="7" s="1"/>
  <c r="AR47" i="7" a="1"/>
  <c r="AR47" i="7" s="1"/>
  <c r="AR44" i="7" a="1"/>
  <c r="AR44" i="7" s="1"/>
  <c r="AR48" i="7" a="1"/>
  <c r="AR48" i="7" s="1"/>
  <c r="AR39" i="7" a="1"/>
  <c r="AR39" i="7" s="1"/>
  <c r="AR43" i="7" a="1"/>
  <c r="AR43" i="7" s="1"/>
  <c r="AR38" i="7" a="1"/>
  <c r="AR38" i="7" s="1"/>
  <c r="AR42" i="7" a="1"/>
  <c r="AR42" i="7" s="1"/>
  <c r="AR46" i="7" a="1"/>
  <c r="AR46" i="7" s="1"/>
  <c r="AR41" i="7" a="1"/>
  <c r="AR41" i="7" s="1"/>
  <c r="AR40" i="7" a="1"/>
  <c r="AR40" i="7" s="1"/>
  <c r="AR36" i="7" a="1"/>
  <c r="AR36" i="7" s="1"/>
  <c r="AR29" i="7" a="1"/>
  <c r="AR29" i="7" s="1"/>
  <c r="AR31" i="7" a="1"/>
  <c r="AR31" i="7" s="1"/>
  <c r="AR28" i="7" a="1"/>
  <c r="AR28" i="7" s="1"/>
  <c r="AR24" i="7" a="1"/>
  <c r="AR24" i="7" s="1"/>
  <c r="AR23" i="7" a="1"/>
  <c r="AR23" i="7" s="1"/>
  <c r="AR30" i="7" a="1"/>
  <c r="AR30" i="7" s="1"/>
  <c r="AR26" i="7" a="1"/>
  <c r="AR26" i="7" s="1"/>
  <c r="AR27" i="7" a="1"/>
  <c r="AR27" i="7" s="1"/>
  <c r="AR17" i="7" a="1"/>
  <c r="AR17" i="7" s="1"/>
  <c r="AR16" i="7" a="1"/>
  <c r="AR16" i="7" s="1"/>
  <c r="AR25" i="7" a="1"/>
  <c r="AR25" i="7" s="1"/>
  <c r="AR14" i="7" a="1"/>
  <c r="AR14" i="7" s="1"/>
  <c r="AR9" i="7" a="1"/>
  <c r="AR9" i="7" s="1"/>
  <c r="AR12" i="7" a="1"/>
  <c r="AR12" i="7" s="1"/>
  <c r="AR8" i="7" a="1"/>
  <c r="AR8" i="7" s="1"/>
  <c r="AR18" i="7" a="1"/>
  <c r="AR18" i="7" s="1"/>
  <c r="AR11" i="7" a="1"/>
  <c r="AR11" i="7" s="1"/>
  <c r="AR15" i="7" a="1"/>
  <c r="AR15" i="7" s="1"/>
  <c r="AR21" i="7" a="1"/>
  <c r="AR21" i="7" s="1"/>
  <c r="AR20" i="7" s="1"/>
  <c r="AR13" i="7" a="1"/>
  <c r="AR13" i="7" s="1"/>
  <c r="AR7" i="7" a="1"/>
  <c r="AR7" i="7" s="1"/>
  <c r="AR51" i="7" s="1"/>
  <c r="J95" i="5"/>
  <c r="L104" i="5"/>
  <c r="L159" i="5"/>
  <c r="M195" i="5"/>
  <c r="M196" i="5"/>
  <c r="H51" i="5"/>
  <c r="H58" i="5" s="1"/>
  <c r="G44" i="5"/>
  <c r="G130" i="5"/>
  <c r="G145" i="5" s="1"/>
  <c r="G146" i="5" s="1"/>
  <c r="G183" i="5" s="1" a="1"/>
  <c r="G183" i="5" s="1"/>
  <c r="G170" i="5"/>
  <c r="G180" i="5" s="1"/>
  <c r="G181" i="5" s="1"/>
  <c r="G45" i="5" a="1"/>
  <c r="G45" i="5" s="1"/>
  <c r="G150" i="5"/>
  <c r="G165" i="5" s="1"/>
  <c r="G166" i="5" s="1"/>
  <c r="H28" i="5"/>
  <c r="H18" i="5"/>
  <c r="H62" i="5" s="1"/>
  <c r="H66" i="5"/>
  <c r="H64" i="5" s="1"/>
  <c r="AJ11" i="7" a="1"/>
  <c r="AJ11" i="7" s="1"/>
  <c r="AA11" i="7" a="1"/>
  <c r="AA11" i="7" s="1"/>
  <c r="R11" i="7" a="1"/>
  <c r="R11" i="7" s="1"/>
  <c r="M11" i="7" a="1"/>
  <c r="M11" i="7" s="1"/>
  <c r="AE11" i="7" a="1"/>
  <c r="AE11" i="7" s="1"/>
  <c r="V11" i="7" a="1"/>
  <c r="V11" i="7" s="1"/>
  <c r="Q11" i="7" a="1"/>
  <c r="Q11" i="7" s="1"/>
  <c r="H11" i="7" a="1"/>
  <c r="H11" i="7" s="1"/>
  <c r="AI11" i="7" a="1"/>
  <c r="AI11" i="7" s="1"/>
  <c r="Z11" i="7" a="1"/>
  <c r="Z11" i="7" s="1"/>
  <c r="U11" i="7" a="1"/>
  <c r="U11" i="7" s="1"/>
  <c r="L11" i="7" a="1"/>
  <c r="L11" i="7" s="1"/>
  <c r="AF11" i="7" a="1"/>
  <c r="AF11" i="7" s="1"/>
  <c r="W11" i="7" a="1"/>
  <c r="W11" i="7" s="1"/>
  <c r="N11" i="7" a="1"/>
  <c r="N11" i="7" s="1"/>
  <c r="I11" i="7" a="1"/>
  <c r="I11" i="7" s="1"/>
  <c r="AD11" i="7" a="1"/>
  <c r="AD11" i="7" s="1"/>
  <c r="AC11" i="7" a="1"/>
  <c r="AC11" i="7" s="1"/>
  <c r="T11" i="7" a="1"/>
  <c r="T11" i="7" s="1"/>
  <c r="K11" i="7" a="1"/>
  <c r="K11" i="7" s="1"/>
  <c r="AK11" i="7" a="1"/>
  <c r="AK11" i="7" s="1"/>
  <c r="AB11" i="7" a="1"/>
  <c r="AB11" i="7" s="1"/>
  <c r="S11" i="7" a="1"/>
  <c r="S11" i="7" s="1"/>
  <c r="J11" i="7" a="1"/>
  <c r="J11" i="7" s="1"/>
  <c r="Y11" i="7" a="1"/>
  <c r="Y11" i="7" s="1"/>
  <c r="P11" i="7" a="1"/>
  <c r="P11" i="7" s="1"/>
  <c r="AH11" i="7" a="1"/>
  <c r="AH11" i="7" s="1"/>
  <c r="AG11" i="7" a="1"/>
  <c r="AG11" i="7" s="1"/>
  <c r="X11" i="7" a="1"/>
  <c r="X11" i="7" s="1"/>
  <c r="O11" i="7" a="1"/>
  <c r="O11" i="7" s="1"/>
  <c r="E55" i="5"/>
  <c r="E82" i="5"/>
  <c r="AL11" i="7" a="1"/>
  <c r="AL11" i="7" s="1"/>
  <c r="E81" i="5"/>
  <c r="E74" i="5" s="1"/>
  <c r="AM11" i="7" a="1"/>
  <c r="AM11" i="7" s="1"/>
  <c r="AN11" i="7" a="1"/>
  <c r="AN11" i="7" s="1"/>
  <c r="AO11" i="7" a="1"/>
  <c r="AO11" i="7" s="1"/>
  <c r="AP11" i="7" a="1"/>
  <c r="AP11" i="7" s="1"/>
  <c r="J100" i="5"/>
  <c r="J99" i="5" s="1"/>
  <c r="K107" i="5"/>
  <c r="K96" i="5"/>
  <c r="K95" i="5" s="1"/>
  <c r="K105" i="5"/>
  <c r="K106" i="5"/>
  <c r="K16" i="5"/>
  <c r="L178" i="5"/>
  <c r="M179" i="5" s="1"/>
  <c r="H20" i="5"/>
  <c r="H19" i="5"/>
  <c r="G77" i="5"/>
  <c r="L107" i="5"/>
  <c r="L106" i="5"/>
  <c r="J140" i="5"/>
  <c r="J160" i="5"/>
  <c r="K38" i="5"/>
  <c r="F59" i="5"/>
  <c r="AQ11" i="7" a="1"/>
  <c r="AQ11" i="7" s="1"/>
  <c r="F26" i="6"/>
  <c r="E26" i="6" s="1"/>
  <c r="F27" i="6"/>
  <c r="E27" i="6" s="1"/>
  <c r="J103" i="5"/>
  <c r="L138" i="5"/>
  <c r="K104" i="5"/>
  <c r="AQ19" i="7"/>
  <c r="L158" i="5"/>
  <c r="AH22" i="7" l="1" a="1"/>
  <c r="AH22" i="7" s="1"/>
  <c r="R22" i="7" a="1"/>
  <c r="R22" i="7" s="1"/>
  <c r="AD22" i="7" a="1"/>
  <c r="AD22" i="7" s="1"/>
  <c r="N22" i="7" a="1"/>
  <c r="N22" i="7" s="1"/>
  <c r="AC22" i="7" a="1"/>
  <c r="AC22" i="7" s="1"/>
  <c r="V22" i="7" a="1"/>
  <c r="V22" i="7" s="1"/>
  <c r="H22" i="7" a="1"/>
  <c r="H22" i="7" s="1"/>
  <c r="AJ22" i="7" a="1"/>
  <c r="AJ22" i="7" s="1"/>
  <c r="AB22" i="7" a="1"/>
  <c r="AB22" i="7" s="1"/>
  <c r="U22" i="7" a="1"/>
  <c r="U22" i="7" s="1"/>
  <c r="O22" i="7" a="1"/>
  <c r="O22" i="7" s="1"/>
  <c r="AI22" i="7" a="1"/>
  <c r="AI22" i="7" s="1"/>
  <c r="M22" i="7" a="1"/>
  <c r="M22" i="7" s="1"/>
  <c r="AG22" i="7" a="1"/>
  <c r="AG22" i="7" s="1"/>
  <c r="AA22" i="7" a="1"/>
  <c r="AA22" i="7" s="1"/>
  <c r="AK22" i="7" a="1"/>
  <c r="AK22" i="7" s="1"/>
  <c r="AE22" i="7" a="1"/>
  <c r="AE22" i="7" s="1"/>
  <c r="W22" i="7" a="1"/>
  <c r="W22" i="7" s="1"/>
  <c r="P22" i="7" a="1"/>
  <c r="P22" i="7" s="1"/>
  <c r="I22" i="7" a="1"/>
  <c r="I22" i="7" s="1"/>
  <c r="Y22" i="7" a="1"/>
  <c r="Y22" i="7" s="1"/>
  <c r="K22" i="7" a="1"/>
  <c r="K22" i="7" s="1"/>
  <c r="X22" i="7" a="1"/>
  <c r="X22" i="7" s="1"/>
  <c r="J22" i="7" a="1"/>
  <c r="J22" i="7" s="1"/>
  <c r="T22" i="7" a="1"/>
  <c r="T22" i="7" s="1"/>
  <c r="S22" i="7" a="1"/>
  <c r="S22" i="7" s="1"/>
  <c r="Q22" i="7" a="1"/>
  <c r="Q22" i="7" s="1"/>
  <c r="AF22" i="7" a="1"/>
  <c r="AF22" i="7" s="1"/>
  <c r="L22" i="7" a="1"/>
  <c r="L22" i="7" s="1"/>
  <c r="Z22" i="7" a="1"/>
  <c r="Z22" i="7" s="1"/>
  <c r="E72" i="5"/>
  <c r="E71" i="5" s="1"/>
  <c r="AL22" i="7" a="1"/>
  <c r="AL22" i="7" s="1"/>
  <c r="AM22" i="7" a="1"/>
  <c r="AM22" i="7" s="1"/>
  <c r="AN22" i="7" a="1"/>
  <c r="AN22" i="7" s="1"/>
  <c r="AO22" i="7" a="1"/>
  <c r="AO22" i="7" s="1"/>
  <c r="AP22" i="7" a="1"/>
  <c r="AP22" i="7" s="1"/>
  <c r="AQ22" i="7" a="1"/>
  <c r="AQ22" i="7" s="1"/>
  <c r="AR22" i="7" a="1"/>
  <c r="AR22" i="7" s="1"/>
  <c r="K100" i="5"/>
  <c r="K99" i="5" s="1"/>
  <c r="L16" i="5"/>
  <c r="G46" i="5"/>
  <c r="H209" i="5" s="1"/>
  <c r="H213" i="5" s="1"/>
  <c r="M5" i="6"/>
  <c r="N4" i="6"/>
  <c r="K4" i="7"/>
  <c r="K3" i="7" s="1"/>
  <c r="I133" i="5"/>
  <c r="I173" i="5"/>
  <c r="I153" i="5"/>
  <c r="J31" i="5"/>
  <c r="J175" i="5"/>
  <c r="J155" i="5"/>
  <c r="J135" i="5"/>
  <c r="K33" i="5"/>
  <c r="H75" i="5"/>
  <c r="J3" i="7"/>
  <c r="AR10" i="7"/>
  <c r="H151" i="5"/>
  <c r="H171" i="5"/>
  <c r="H131" i="5"/>
  <c r="I29" i="5"/>
  <c r="K103" i="5"/>
  <c r="L103" i="5"/>
  <c r="AR19" i="7"/>
  <c r="M162" i="5"/>
  <c r="AT108" i="7"/>
  <c r="AT100" i="7"/>
  <c r="AT92" i="7"/>
  <c r="AT89" i="7"/>
  <c r="AT113" i="7"/>
  <c r="AT105" i="7"/>
  <c r="AT97" i="7"/>
  <c r="AT110" i="7"/>
  <c r="AT107" i="7"/>
  <c r="AT112" i="7"/>
  <c r="AT109" i="7"/>
  <c r="AT106" i="7"/>
  <c r="AT98" i="7"/>
  <c r="AT90" i="7"/>
  <c r="AT114" i="7"/>
  <c r="AT104" i="7"/>
  <c r="AT101" i="7"/>
  <c r="AT82" i="7"/>
  <c r="AT78" i="7"/>
  <c r="AT76" i="7"/>
  <c r="AT74" i="7"/>
  <c r="AT111" i="7"/>
  <c r="AT102" i="7"/>
  <c r="AT87" i="7"/>
  <c r="AT86" i="7"/>
  <c r="AT99" i="7"/>
  <c r="AT103" i="7"/>
  <c r="AT91" i="7"/>
  <c r="AT84" i="7"/>
  <c r="AT95" i="7"/>
  <c r="AT81" i="7"/>
  <c r="AT94" i="7"/>
  <c r="AT88" i="7"/>
  <c r="AT83" i="7"/>
  <c r="AT93" i="7"/>
  <c r="AT96" i="7"/>
  <c r="AT80" i="7"/>
  <c r="AT72" i="7"/>
  <c r="AT71" i="7"/>
  <c r="AT61" i="7"/>
  <c r="AT60" i="7"/>
  <c r="AT58" i="7"/>
  <c r="AT56" i="7"/>
  <c r="AT68" i="7"/>
  <c r="AT85" i="7"/>
  <c r="AT69" i="7"/>
  <c r="AT63" i="7"/>
  <c r="AT62" i="7"/>
  <c r="AT65" i="7"/>
  <c r="AT64" i="7"/>
  <c r="AT59" i="7"/>
  <c r="AT77" i="7"/>
  <c r="AT73" i="7"/>
  <c r="AT79" i="7"/>
  <c r="AT70" i="7"/>
  <c r="AT67" i="7"/>
  <c r="AT66" i="7"/>
  <c r="AT75" i="7"/>
  <c r="AT57" i="7"/>
  <c r="AT55" i="7"/>
  <c r="AU5" i="7"/>
  <c r="L96" i="5"/>
  <c r="L95" i="5" s="1"/>
  <c r="L105" i="5"/>
  <c r="F76" i="5"/>
  <c r="F57" i="5"/>
  <c r="H21" i="5"/>
  <c r="G47" i="5"/>
  <c r="G50" i="5"/>
  <c r="N195" i="5"/>
  <c r="N196" i="5"/>
  <c r="AS48" i="7" a="1"/>
  <c r="AS48" i="7" s="1"/>
  <c r="AS50" i="7" a="1"/>
  <c r="AS50" i="7" s="1"/>
  <c r="AS49" i="7" a="1"/>
  <c r="AS49" i="7" s="1"/>
  <c r="AS43" i="7" a="1"/>
  <c r="AS43" i="7" s="1"/>
  <c r="AS42" i="7" a="1"/>
  <c r="AS42" i="7" s="1"/>
  <c r="AS45" i="7" a="1"/>
  <c r="AS45" i="7" s="1"/>
  <c r="AS37" i="7" a="1"/>
  <c r="AS37" i="7" s="1"/>
  <c r="AS38" i="7" a="1"/>
  <c r="AS38" i="7" s="1"/>
  <c r="AS41" i="7" a="1"/>
  <c r="AS41" i="7" s="1"/>
  <c r="AS46" i="7" a="1"/>
  <c r="AS46" i="7" s="1"/>
  <c r="AS40" i="7" a="1"/>
  <c r="AS40" i="7" s="1"/>
  <c r="AS47" i="7" a="1"/>
  <c r="AS47" i="7" s="1"/>
  <c r="AS44" i="7" a="1"/>
  <c r="AS44" i="7" s="1"/>
  <c r="AS39" i="7" a="1"/>
  <c r="AS39" i="7" s="1"/>
  <c r="AS28" i="7" a="1"/>
  <c r="AS28" i="7" s="1"/>
  <c r="AS31" i="7" a="1"/>
  <c r="AS31" i="7" s="1"/>
  <c r="AS27" i="7" a="1"/>
  <c r="AS27" i="7" s="1"/>
  <c r="AS30" i="7" a="1"/>
  <c r="AS30" i="7" s="1"/>
  <c r="AS25" i="7" a="1"/>
  <c r="AS25" i="7" s="1"/>
  <c r="AS36" i="7" a="1"/>
  <c r="AS36" i="7" s="1"/>
  <c r="AS29" i="7" a="1"/>
  <c r="AS29" i="7" s="1"/>
  <c r="AS26" i="7" a="1"/>
  <c r="AS26" i="7" s="1"/>
  <c r="AS16" i="7" a="1"/>
  <c r="AS16" i="7" s="1"/>
  <c r="AS21" i="7" a="1"/>
  <c r="AS21" i="7" s="1"/>
  <c r="AS20" i="7" s="1"/>
  <c r="AS18" i="7" a="1"/>
  <c r="AS18" i="7" s="1"/>
  <c r="AS24" i="7" a="1"/>
  <c r="AS24" i="7" s="1"/>
  <c r="AS22" i="7" a="1"/>
  <c r="AS22" i="7" s="1"/>
  <c r="AS11" i="7" a="1"/>
  <c r="AS11" i="7" s="1"/>
  <c r="AS15" i="7" a="1"/>
  <c r="AS15" i="7" s="1"/>
  <c r="AS23" i="7" a="1"/>
  <c r="AS23" i="7" s="1"/>
  <c r="AS17" i="7" a="1"/>
  <c r="AS17" i="7" s="1"/>
  <c r="AS12" i="7" a="1"/>
  <c r="AS12" i="7" s="1"/>
  <c r="AS8" i="7" a="1"/>
  <c r="AS8" i="7" s="1"/>
  <c r="AS14" i="7" a="1"/>
  <c r="AS14" i="7" s="1"/>
  <c r="AS7" i="7" a="1"/>
  <c r="AS7" i="7" s="1"/>
  <c r="AS9" i="7" a="1"/>
  <c r="AS9" i="7" s="1"/>
  <c r="AS13" i="7" a="1"/>
  <c r="AS13" i="7" s="1"/>
  <c r="AD9" i="7" a="1"/>
  <c r="AD9" i="7" s="1"/>
  <c r="U9" i="7" a="1"/>
  <c r="U9" i="7" s="1"/>
  <c r="L9" i="7" a="1"/>
  <c r="L9" i="7" s="1"/>
  <c r="AH9" i="7" a="1"/>
  <c r="AH9" i="7" s="1"/>
  <c r="Y9" i="7" a="1"/>
  <c r="Y9" i="7" s="1"/>
  <c r="P9" i="7" a="1"/>
  <c r="P9" i="7" s="1"/>
  <c r="K9" i="7" a="1"/>
  <c r="K9" i="7" s="1"/>
  <c r="AC9" i="7" a="1"/>
  <c r="AC9" i="7" s="1"/>
  <c r="T9" i="7" a="1"/>
  <c r="T9" i="7" s="1"/>
  <c r="O9" i="7" a="1"/>
  <c r="O9" i="7" s="1"/>
  <c r="AI9" i="7" a="1"/>
  <c r="AI9" i="7" s="1"/>
  <c r="Z9" i="7" a="1"/>
  <c r="Z9" i="7" s="1"/>
  <c r="Q9" i="7" a="1"/>
  <c r="Q9" i="7" s="1"/>
  <c r="H9" i="7" a="1"/>
  <c r="H9" i="7" s="1"/>
  <c r="AE9" i="7" a="1"/>
  <c r="AE9" i="7" s="1"/>
  <c r="V9" i="7" a="1"/>
  <c r="V9" i="7" s="1"/>
  <c r="M9" i="7" a="1"/>
  <c r="M9" i="7" s="1"/>
  <c r="S9" i="7" a="1"/>
  <c r="S9" i="7" s="1"/>
  <c r="J9" i="7" a="1"/>
  <c r="J9" i="7" s="1"/>
  <c r="E189" i="5"/>
  <c r="E187" i="5"/>
  <c r="AK9" i="7" a="1"/>
  <c r="AK9" i="7" s="1"/>
  <c r="AB9" i="7" a="1"/>
  <c r="AB9" i="7" s="1"/>
  <c r="AA9" i="7" a="1"/>
  <c r="AA9" i="7" s="1"/>
  <c r="R9" i="7" a="1"/>
  <c r="R9" i="7" s="1"/>
  <c r="I9" i="7" a="1"/>
  <c r="I9" i="7" s="1"/>
  <c r="AJ9" i="7" a="1"/>
  <c r="AJ9" i="7" s="1"/>
  <c r="W9" i="7" a="1"/>
  <c r="W9" i="7" s="1"/>
  <c r="N9" i="7" a="1"/>
  <c r="N9" i="7" s="1"/>
  <c r="E188" i="5"/>
  <c r="AG9" i="7" a="1"/>
  <c r="AG9" i="7" s="1"/>
  <c r="AF9" i="7" a="1"/>
  <c r="AF9" i="7" s="1"/>
  <c r="X9" i="7" a="1"/>
  <c r="X9" i="7" s="1"/>
  <c r="AL9" i="7" a="1"/>
  <c r="AL9" i="7" s="1"/>
  <c r="AM9" i="7" a="1"/>
  <c r="AM9" i="7" s="1"/>
  <c r="AN9" i="7" a="1"/>
  <c r="AN9" i="7" s="1"/>
  <c r="AO9" i="7" a="1"/>
  <c r="AO9" i="7" s="1"/>
  <c r="AP9" i="7" a="1"/>
  <c r="AP9" i="7" s="1"/>
  <c r="AQ9" i="7" a="1"/>
  <c r="AQ9" i="7" s="1"/>
  <c r="N163" i="5"/>
  <c r="N197" i="5"/>
  <c r="O193" i="5" s="1"/>
  <c r="N141" i="5"/>
  <c r="N160" i="5"/>
  <c r="N143" i="5"/>
  <c r="N93" i="5"/>
  <c r="N140" i="5"/>
  <c r="N68" i="5" a="1"/>
  <c r="N68" i="5" s="1"/>
  <c r="N39" i="5"/>
  <c r="N142" i="5" s="1"/>
  <c r="N37" i="5"/>
  <c r="N11" i="5"/>
  <c r="N38" i="5"/>
  <c r="N161" i="5" s="1"/>
  <c r="N13" i="5"/>
  <c r="N202" i="5" s="1"/>
  <c r="N40" i="5"/>
  <c r="N12" i="5"/>
  <c r="N14" i="5"/>
  <c r="O5" i="5"/>
  <c r="N6" i="5"/>
  <c r="K164" i="5"/>
  <c r="K144" i="5"/>
  <c r="L41" i="5"/>
  <c r="G223" i="5"/>
  <c r="H221" i="5"/>
  <c r="K161" i="5"/>
  <c r="K141" i="5"/>
  <c r="L39" i="5"/>
  <c r="K79" i="5"/>
  <c r="H61" i="5"/>
  <c r="H222" i="5" l="1"/>
  <c r="H214" i="5"/>
  <c r="AL33" i="7"/>
  <c r="AL10" i="7"/>
  <c r="AK32" i="7" a="1"/>
  <c r="AK32" i="7" s="1"/>
  <c r="AF32" i="7" a="1"/>
  <c r="AF32" i="7" s="1"/>
  <c r="W32" i="7" a="1"/>
  <c r="W32" i="7" s="1"/>
  <c r="N32" i="7" a="1"/>
  <c r="N32" i="7" s="1"/>
  <c r="AJ32" i="7" a="1"/>
  <c r="AJ32" i="7" s="1"/>
  <c r="AA32" i="7" a="1"/>
  <c r="AA32" i="7" s="1"/>
  <c r="R32" i="7" a="1"/>
  <c r="R32" i="7" s="1"/>
  <c r="I32" i="7" a="1"/>
  <c r="I32" i="7" s="1"/>
  <c r="AC32" i="7" a="1"/>
  <c r="AC32" i="7" s="1"/>
  <c r="X32" i="7" a="1"/>
  <c r="X32" i="7" s="1"/>
  <c r="O32" i="7" a="1"/>
  <c r="O32" i="7" s="1"/>
  <c r="AI32" i="7" a="1"/>
  <c r="AI32" i="7" s="1"/>
  <c r="AI33" i="7" s="1"/>
  <c r="AB32" i="7" a="1"/>
  <c r="AB32" i="7" s="1"/>
  <c r="U32" i="7" a="1"/>
  <c r="U32" i="7" s="1"/>
  <c r="M32" i="7" a="1"/>
  <c r="M32" i="7" s="1"/>
  <c r="T32" i="7" a="1"/>
  <c r="T32" i="7" s="1"/>
  <c r="L32" i="7" a="1"/>
  <c r="L32" i="7" s="1"/>
  <c r="AH32" i="7" a="1"/>
  <c r="AH32" i="7" s="1"/>
  <c r="Z32" i="7" a="1"/>
  <c r="Z32" i="7" s="1"/>
  <c r="S32" i="7" a="1"/>
  <c r="S32" i="7" s="1"/>
  <c r="AE32" i="7" a="1"/>
  <c r="AE32" i="7" s="1"/>
  <c r="Y32" i="7" a="1"/>
  <c r="Y32" i="7" s="1"/>
  <c r="Q32" i="7" a="1"/>
  <c r="Q32" i="7" s="1"/>
  <c r="J32" i="7" a="1"/>
  <c r="J32" i="7" s="1"/>
  <c r="P32" i="7" a="1"/>
  <c r="P32" i="7" s="1"/>
  <c r="H32" i="7" a="1"/>
  <c r="H32" i="7" s="1"/>
  <c r="AD32" i="7" a="1"/>
  <c r="AD32" i="7" s="1"/>
  <c r="AD33" i="7" s="1"/>
  <c r="V32" i="7" a="1"/>
  <c r="V32" i="7" s="1"/>
  <c r="AG32" i="7" a="1"/>
  <c r="AG32" i="7" s="1"/>
  <c r="K32" i="7" a="1"/>
  <c r="K32" i="7" s="1"/>
  <c r="AL32" i="7" a="1"/>
  <c r="AL32" i="7" s="1"/>
  <c r="AM32" i="7" a="1"/>
  <c r="AM32" i="7" s="1"/>
  <c r="AN32" i="7" a="1"/>
  <c r="AN32" i="7" s="1"/>
  <c r="AN33" i="7" s="1"/>
  <c r="AO32" i="7" a="1"/>
  <c r="AO32" i="7" s="1"/>
  <c r="AP32" i="7" a="1"/>
  <c r="AP32" i="7" s="1"/>
  <c r="AQ32" i="7" a="1"/>
  <c r="AQ32" i="7" s="1"/>
  <c r="AR32" i="7" a="1"/>
  <c r="AR32" i="7" s="1"/>
  <c r="AR33" i="7" s="1"/>
  <c r="O197" i="5"/>
  <c r="P193" i="5" s="1"/>
  <c r="O142" i="5"/>
  <c r="O163" i="5"/>
  <c r="O162" i="5"/>
  <c r="O93" i="5"/>
  <c r="O68" i="5" a="1"/>
  <c r="O68" i="5" s="1"/>
  <c r="O27" i="5"/>
  <c r="O150" i="5" s="1"/>
  <c r="O39" i="5"/>
  <c r="O143" i="5"/>
  <c r="O38" i="5"/>
  <c r="O141" i="5" s="1"/>
  <c r="O13" i="5"/>
  <c r="O202" i="5" s="1"/>
  <c r="O11" i="5"/>
  <c r="O170" i="5"/>
  <c r="O40" i="5"/>
  <c r="O12" i="5"/>
  <c r="P5" i="5"/>
  <c r="O14" i="5"/>
  <c r="O6" i="5"/>
  <c r="O18" i="5" s="1"/>
  <c r="O62" i="5" s="1"/>
  <c r="AN10" i="7"/>
  <c r="AK10" i="7"/>
  <c r="AK33" i="7"/>
  <c r="AE33" i="7"/>
  <c r="AE10" i="7"/>
  <c r="T33" i="7"/>
  <c r="T10" i="7"/>
  <c r="L33" i="7"/>
  <c r="L10" i="7"/>
  <c r="W33" i="7"/>
  <c r="W10" i="7"/>
  <c r="AD10" i="7"/>
  <c r="AM33" i="7"/>
  <c r="AM10" i="7"/>
  <c r="N33" i="7"/>
  <c r="N10" i="7"/>
  <c r="AC10" i="7"/>
  <c r="AC33" i="7"/>
  <c r="U10" i="7"/>
  <c r="U33" i="7"/>
  <c r="L4" i="7"/>
  <c r="L3" i="7" s="1"/>
  <c r="N5" i="6"/>
  <c r="O4" i="6"/>
  <c r="AJ33" i="7"/>
  <c r="AJ10" i="7"/>
  <c r="I152" i="5"/>
  <c r="I132" i="5"/>
  <c r="I172" i="5"/>
  <c r="J30" i="5"/>
  <c r="K136" i="5"/>
  <c r="K156" i="5"/>
  <c r="K176" i="5"/>
  <c r="L34" i="5"/>
  <c r="J174" i="5"/>
  <c r="J134" i="5"/>
  <c r="J154" i="5"/>
  <c r="J78" i="5"/>
  <c r="K32" i="5"/>
  <c r="P33" i="7"/>
  <c r="P10" i="7"/>
  <c r="K33" i="7"/>
  <c r="K10" i="7"/>
  <c r="G59" i="5"/>
  <c r="L164" i="5"/>
  <c r="L144" i="5"/>
  <c r="M41" i="5"/>
  <c r="X33" i="7"/>
  <c r="X10" i="7"/>
  <c r="S33" i="7"/>
  <c r="S10" i="7"/>
  <c r="AT50" i="7" a="1"/>
  <c r="AT50" i="7" s="1"/>
  <c r="AT49" i="7" a="1"/>
  <c r="AT49" i="7" s="1"/>
  <c r="AT41" i="7" a="1"/>
  <c r="AT41" i="7" s="1"/>
  <c r="AT48" i="7" a="1"/>
  <c r="AT48" i="7" s="1"/>
  <c r="AT40" i="7" a="1"/>
  <c r="AT40" i="7" s="1"/>
  <c r="AT47" i="7" a="1"/>
  <c r="AT47" i="7" s="1"/>
  <c r="AT43" i="7" a="1"/>
  <c r="AT43" i="7" s="1"/>
  <c r="AT42" i="7" a="1"/>
  <c r="AT42" i="7" s="1"/>
  <c r="AT37" i="7" a="1"/>
  <c r="AT37" i="7" s="1"/>
  <c r="AT32" i="7" a="1"/>
  <c r="AT32" i="7" s="1"/>
  <c r="AT45" i="7" a="1"/>
  <c r="AT45" i="7" s="1"/>
  <c r="AT31" i="7" a="1"/>
  <c r="AT31" i="7" s="1"/>
  <c r="AT46" i="7" a="1"/>
  <c r="AT46" i="7" s="1"/>
  <c r="AT39" i="7" a="1"/>
  <c r="AT39" i="7" s="1"/>
  <c r="AT44" i="7" a="1"/>
  <c r="AT44" i="7" s="1"/>
  <c r="AT38" i="7" a="1"/>
  <c r="AT38" i="7" s="1"/>
  <c r="AT30" i="7" a="1"/>
  <c r="AT30" i="7" s="1"/>
  <c r="AT25" i="7" a="1"/>
  <c r="AT25" i="7" s="1"/>
  <c r="AT36" i="7" a="1"/>
  <c r="AT36" i="7" s="1"/>
  <c r="AT27" i="7" a="1"/>
  <c r="AT27" i="7" s="1"/>
  <c r="AT29" i="7" a="1"/>
  <c r="AT29" i="7" s="1"/>
  <c r="AT21" i="7" a="1"/>
  <c r="AT21" i="7" s="1"/>
  <c r="AT20" i="7" s="1"/>
  <c r="AT28" i="7" a="1"/>
  <c r="AT28" i="7" s="1"/>
  <c r="AT22" i="7" a="1"/>
  <c r="AT22" i="7" s="1"/>
  <c r="AT24" i="7" a="1"/>
  <c r="AT24" i="7" s="1"/>
  <c r="AT18" i="7" a="1"/>
  <c r="AT18" i="7" s="1"/>
  <c r="AT15" i="7" a="1"/>
  <c r="AT15" i="7" s="1"/>
  <c r="AT26" i="7" a="1"/>
  <c r="AT26" i="7" s="1"/>
  <c r="AT16" i="7" a="1"/>
  <c r="AT16" i="7" s="1"/>
  <c r="AT23" i="7" a="1"/>
  <c r="AT23" i="7" s="1"/>
  <c r="AT17" i="7" a="1"/>
  <c r="AT17" i="7" s="1"/>
  <c r="AT11" i="7" a="1"/>
  <c r="AT11" i="7" s="1"/>
  <c r="AT12" i="7" a="1"/>
  <c r="AT12" i="7" s="1"/>
  <c r="AT7" i="7" a="1"/>
  <c r="AT7" i="7" s="1"/>
  <c r="AT9" i="7" a="1"/>
  <c r="AT9" i="7" s="1"/>
  <c r="AT13" i="7" a="1"/>
  <c r="AT13" i="7" s="1"/>
  <c r="AT14" i="7" a="1"/>
  <c r="AT14" i="7" s="1"/>
  <c r="AT8" i="7" a="1"/>
  <c r="AT8" i="7" s="1"/>
  <c r="H77" i="5"/>
  <c r="N105" i="5"/>
  <c r="O196" i="5"/>
  <c r="O195" i="5"/>
  <c r="AQ33" i="7"/>
  <c r="AQ10" i="7"/>
  <c r="AF33" i="7"/>
  <c r="AF10" i="7"/>
  <c r="R33" i="7"/>
  <c r="R10" i="7"/>
  <c r="AI10" i="7"/>
  <c r="Y33" i="7"/>
  <c r="Y10" i="7"/>
  <c r="AS32" i="7" a="1"/>
  <c r="AS32" i="7" s="1"/>
  <c r="Q33" i="7"/>
  <c r="Q10" i="7"/>
  <c r="AU113" i="7"/>
  <c r="AU105" i="7"/>
  <c r="AU97" i="7"/>
  <c r="AU110" i="7"/>
  <c r="AU102" i="7"/>
  <c r="AU94" i="7"/>
  <c r="AU88" i="7"/>
  <c r="AU107" i="7"/>
  <c r="AU112" i="7"/>
  <c r="AU109" i="7"/>
  <c r="AU106" i="7"/>
  <c r="AU114" i="7"/>
  <c r="AU111" i="7"/>
  <c r="AU103" i="7"/>
  <c r="AU95" i="7"/>
  <c r="AU86" i="7"/>
  <c r="AU84" i="7"/>
  <c r="AU98" i="7"/>
  <c r="AU87" i="7"/>
  <c r="AU85" i="7"/>
  <c r="AU108" i="7"/>
  <c r="AU100" i="7"/>
  <c r="AU81" i="7"/>
  <c r="AU78" i="7"/>
  <c r="AU91" i="7"/>
  <c r="AU90" i="7"/>
  <c r="AU79" i="7"/>
  <c r="AU75" i="7"/>
  <c r="AU104" i="7"/>
  <c r="AU93" i="7"/>
  <c r="AU89" i="7"/>
  <c r="AU101" i="7"/>
  <c r="AU99" i="7"/>
  <c r="AU96" i="7"/>
  <c r="AU77" i="7"/>
  <c r="AU73" i="7"/>
  <c r="AU71" i="7"/>
  <c r="AU69" i="7"/>
  <c r="AU67" i="7"/>
  <c r="AU65" i="7"/>
  <c r="AU76" i="7"/>
  <c r="AU68" i="7"/>
  <c r="AU82" i="7"/>
  <c r="AU80" i="7"/>
  <c r="AU92" i="7"/>
  <c r="AU72" i="7"/>
  <c r="AU64" i="7"/>
  <c r="AU59" i="7"/>
  <c r="AU58" i="7"/>
  <c r="AU60" i="7"/>
  <c r="AU55" i="7"/>
  <c r="AU83" i="7"/>
  <c r="AU70" i="7"/>
  <c r="AU74" i="7"/>
  <c r="AU63" i="7"/>
  <c r="AU61" i="7"/>
  <c r="AU56" i="7"/>
  <c r="AU57" i="7"/>
  <c r="AU66" i="7"/>
  <c r="AU62" i="7"/>
  <c r="AV5" i="7"/>
  <c r="I33" i="7"/>
  <c r="I10" i="7"/>
  <c r="Z33" i="7"/>
  <c r="Z10" i="7"/>
  <c r="N162" i="5"/>
  <c r="AP33" i="7"/>
  <c r="AP10" i="7"/>
  <c r="AG33" i="7"/>
  <c r="AG10" i="7"/>
  <c r="AA33" i="7"/>
  <c r="AA10" i="7"/>
  <c r="M10" i="7"/>
  <c r="M33" i="7"/>
  <c r="AH33" i="7"/>
  <c r="AH10" i="7"/>
  <c r="AS19" i="7"/>
  <c r="AS33" i="7" s="1"/>
  <c r="L100" i="5"/>
  <c r="L99" i="5" s="1"/>
  <c r="M104" i="5"/>
  <c r="M105" i="5"/>
  <c r="M106" i="5"/>
  <c r="M96" i="5"/>
  <c r="M95" i="5" s="1"/>
  <c r="M107" i="5"/>
  <c r="M16" i="5"/>
  <c r="N107" i="5" s="1"/>
  <c r="H33" i="7"/>
  <c r="H10" i="7"/>
  <c r="AS10" i="7"/>
  <c r="J33" i="7"/>
  <c r="J10" i="7"/>
  <c r="AS51" i="7"/>
  <c r="L142" i="5"/>
  <c r="L162" i="5"/>
  <c r="M40" i="5"/>
  <c r="AO33" i="7"/>
  <c r="AO10" i="7"/>
  <c r="AB33" i="7"/>
  <c r="AB10" i="7"/>
  <c r="V33" i="7"/>
  <c r="V10" i="7"/>
  <c r="O33" i="7"/>
  <c r="O10" i="7"/>
  <c r="H24" i="5"/>
  <c r="H27" i="5" s="1"/>
  <c r="H17" i="5"/>
  <c r="F55" i="5"/>
  <c r="F82" i="5"/>
  <c r="F74" i="5" s="1"/>
  <c r="F81" i="5"/>
  <c r="F72" i="5" l="1"/>
  <c r="F71" i="5" s="1"/>
  <c r="M163" i="5"/>
  <c r="M143" i="5"/>
  <c r="N41" i="5"/>
  <c r="M144" i="5"/>
  <c r="M164" i="5"/>
  <c r="K175" i="5"/>
  <c r="K135" i="5"/>
  <c r="K155" i="5"/>
  <c r="L33" i="5"/>
  <c r="P196" i="5"/>
  <c r="P195" i="5"/>
  <c r="AU47" i="7" a="1"/>
  <c r="AU47" i="7" s="1"/>
  <c r="AU50" i="7" a="1"/>
  <c r="AU50" i="7" s="1"/>
  <c r="AU48" i="7" a="1"/>
  <c r="AU48" i="7" s="1"/>
  <c r="AU40" i="7" a="1"/>
  <c r="AU40" i="7" s="1"/>
  <c r="AU39" i="7" a="1"/>
  <c r="AU39" i="7" s="1"/>
  <c r="AU46" i="7" a="1"/>
  <c r="AU46" i="7" s="1"/>
  <c r="AU49" i="7" a="1"/>
  <c r="AU49" i="7" s="1"/>
  <c r="AU42" i="7" a="1"/>
  <c r="AU42" i="7" s="1"/>
  <c r="AU45" i="7" a="1"/>
  <c r="AU45" i="7" s="1"/>
  <c r="AU30" i="7" a="1"/>
  <c r="AU30" i="7" s="1"/>
  <c r="AU41" i="7" a="1"/>
  <c r="AU41" i="7" s="1"/>
  <c r="AU36" i="7" a="1"/>
  <c r="AU36" i="7" s="1"/>
  <c r="AU29" i="7" a="1"/>
  <c r="AU29" i="7" s="1"/>
  <c r="AU44" i="7" a="1"/>
  <c r="AU44" i="7" s="1"/>
  <c r="AU43" i="7" a="1"/>
  <c r="AU43" i="7" s="1"/>
  <c r="AU32" i="7" a="1"/>
  <c r="AU32" i="7" s="1"/>
  <c r="AU24" i="7" a="1"/>
  <c r="AU24" i="7" s="1"/>
  <c r="AU38" i="7" a="1"/>
  <c r="AU38" i="7" s="1"/>
  <c r="AU37" i="7" a="1"/>
  <c r="AU37" i="7" s="1"/>
  <c r="AU27" i="7" a="1"/>
  <c r="AU27" i="7" s="1"/>
  <c r="AU31" i="7" a="1"/>
  <c r="AU31" i="7" s="1"/>
  <c r="AU26" i="7" a="1"/>
  <c r="AU26" i="7" s="1"/>
  <c r="AU28" i="7" a="1"/>
  <c r="AU28" i="7" s="1"/>
  <c r="AU25" i="7" a="1"/>
  <c r="AU25" i="7" s="1"/>
  <c r="AU21" i="7" a="1"/>
  <c r="AU21" i="7" s="1"/>
  <c r="AU20" i="7" s="1"/>
  <c r="AU18" i="7" a="1"/>
  <c r="AU18" i="7" s="1"/>
  <c r="AU23" i="7" a="1"/>
  <c r="AU23" i="7" s="1"/>
  <c r="AU16" i="7" a="1"/>
  <c r="AU16" i="7" s="1"/>
  <c r="AU15" i="7" a="1"/>
  <c r="AU15" i="7" s="1"/>
  <c r="AU13" i="7" a="1"/>
  <c r="AU13" i="7" s="1"/>
  <c r="AU9" i="7" a="1"/>
  <c r="AU9" i="7" s="1"/>
  <c r="AU17" i="7" a="1"/>
  <c r="AU17" i="7" s="1"/>
  <c r="AU22" i="7" a="1"/>
  <c r="AU22" i="7" s="1"/>
  <c r="AU7" i="7" a="1"/>
  <c r="AU7" i="7" s="1"/>
  <c r="AU11" i="7" a="1"/>
  <c r="AU11" i="7" s="1"/>
  <c r="AU14" i="7" a="1"/>
  <c r="AU14" i="7" s="1"/>
  <c r="AU12" i="7" a="1"/>
  <c r="AU12" i="7" s="1"/>
  <c r="AU8" i="7" a="1"/>
  <c r="AU8" i="7" s="1"/>
  <c r="P197" i="5"/>
  <c r="Q193" i="5" s="1"/>
  <c r="P107" i="5"/>
  <c r="P104" i="5"/>
  <c r="P143" i="5"/>
  <c r="P93" i="5"/>
  <c r="P106" i="5"/>
  <c r="P105" i="5"/>
  <c r="P100" i="5"/>
  <c r="P99" i="5" s="1"/>
  <c r="P39" i="5"/>
  <c r="P13" i="5"/>
  <c r="P202" i="5" s="1"/>
  <c r="P66" i="5"/>
  <c r="P64" i="5" s="1"/>
  <c r="P11" i="5"/>
  <c r="Q19" i="5" s="1"/>
  <c r="Q5" i="5"/>
  <c r="P27" i="5"/>
  <c r="P17" i="5"/>
  <c r="P40" i="5"/>
  <c r="P28" i="5"/>
  <c r="P151" i="5" s="1"/>
  <c r="P68" i="5" a="1"/>
  <c r="P68" i="5" s="1"/>
  <c r="O38" i="3" s="1"/>
  <c r="P24" i="5"/>
  <c r="P20" i="5"/>
  <c r="P14" i="5"/>
  <c r="P12" i="5"/>
  <c r="P6" i="5"/>
  <c r="P18" i="5" s="1"/>
  <c r="I19" i="5"/>
  <c r="I20" i="5"/>
  <c r="M103" i="5"/>
  <c r="AT19" i="7"/>
  <c r="M4" i="7"/>
  <c r="M3" i="7" s="1"/>
  <c r="P4" i="6"/>
  <c r="O5" i="6"/>
  <c r="N96" i="5"/>
  <c r="N95" i="5" s="1"/>
  <c r="O161" i="5"/>
  <c r="F189" i="5"/>
  <c r="F187" i="5"/>
  <c r="F188" i="5"/>
  <c r="H223" i="5"/>
  <c r="I221" i="5"/>
  <c r="H44" i="5"/>
  <c r="I51" i="5"/>
  <c r="I58" i="5" s="1"/>
  <c r="H130" i="5"/>
  <c r="H145" i="5" s="1"/>
  <c r="H146" i="5" s="1"/>
  <c r="H183" i="5" s="1" a="1"/>
  <c r="H183" i="5" s="1"/>
  <c r="H170" i="5"/>
  <c r="H180" i="5" s="1"/>
  <c r="H181" i="5" s="1"/>
  <c r="H150" i="5"/>
  <c r="H165" i="5" s="1"/>
  <c r="H166" i="5" s="1"/>
  <c r="H45" i="5" a="1"/>
  <c r="H45" i="5" s="1"/>
  <c r="I28" i="5"/>
  <c r="I18" i="5"/>
  <c r="I62" i="5" s="1"/>
  <c r="N106" i="5"/>
  <c r="L157" i="5"/>
  <c r="L137" i="5"/>
  <c r="L177" i="5"/>
  <c r="L79" i="5"/>
  <c r="M35" i="5"/>
  <c r="J153" i="5"/>
  <c r="J133" i="5"/>
  <c r="J173" i="5"/>
  <c r="K31" i="5"/>
  <c r="O130" i="5"/>
  <c r="G76" i="5"/>
  <c r="G57" i="5"/>
  <c r="M100" i="5"/>
  <c r="M99" i="5" s="1"/>
  <c r="N16" i="5"/>
  <c r="AT33" i="7"/>
  <c r="AT10" i="7"/>
  <c r="AV113" i="7"/>
  <c r="AV111" i="7"/>
  <c r="AV109" i="7"/>
  <c r="AV107" i="7"/>
  <c r="AV105" i="7"/>
  <c r="AV103" i="7"/>
  <c r="AV101" i="7"/>
  <c r="AV99" i="7"/>
  <c r="AV97" i="7"/>
  <c r="AV95" i="7"/>
  <c r="AV93" i="7"/>
  <c r="AV91" i="7"/>
  <c r="AV89" i="7"/>
  <c r="AV87" i="7"/>
  <c r="AV114" i="7"/>
  <c r="AV112" i="7"/>
  <c r="AV110" i="7"/>
  <c r="AV108" i="7"/>
  <c r="AV106" i="7"/>
  <c r="AV104" i="7"/>
  <c r="AV102" i="7"/>
  <c r="AV100" i="7"/>
  <c r="AV98" i="7"/>
  <c r="AV96" i="7"/>
  <c r="AV94" i="7"/>
  <c r="AV92" i="7"/>
  <c r="AV90" i="7"/>
  <c r="AV88" i="7"/>
  <c r="AV85" i="7"/>
  <c r="AV83" i="7"/>
  <c r="AV86" i="7"/>
  <c r="AV84" i="7"/>
  <c r="AV82" i="7"/>
  <c r="AV78" i="7"/>
  <c r="AV76" i="7"/>
  <c r="AV74" i="7"/>
  <c r="AV79" i="7"/>
  <c r="AV75" i="7"/>
  <c r="AV70" i="7"/>
  <c r="AV68" i="7"/>
  <c r="AV66" i="7"/>
  <c r="AV64" i="7"/>
  <c r="AV80" i="7"/>
  <c r="AV62" i="7"/>
  <c r="AV77" i="7"/>
  <c r="AV65" i="7"/>
  <c r="AV61" i="7"/>
  <c r="AV60" i="7"/>
  <c r="AV58" i="7"/>
  <c r="AV56" i="7"/>
  <c r="AV55" i="7"/>
  <c r="AV73" i="7"/>
  <c r="AV72" i="7"/>
  <c r="AV81" i="7"/>
  <c r="AV71" i="7"/>
  <c r="AV57" i="7"/>
  <c r="AV69" i="7"/>
  <c r="AV67" i="7"/>
  <c r="AV63" i="7"/>
  <c r="AV59" i="7"/>
  <c r="AW5" i="7"/>
  <c r="AT51" i="7"/>
  <c r="N104" i="5"/>
  <c r="N100" i="5" l="1"/>
  <c r="N99" i="5" s="1"/>
  <c r="O16" i="5"/>
  <c r="O104" i="5"/>
  <c r="P62" i="5"/>
  <c r="P61" i="5" s="1"/>
  <c r="P77" i="5" s="1"/>
  <c r="O15" i="3"/>
  <c r="Q51" i="5"/>
  <c r="Q58" i="5" s="1"/>
  <c r="P103" i="5"/>
  <c r="G55" i="5"/>
  <c r="G82" i="5"/>
  <c r="G81" i="5"/>
  <c r="P162" i="5"/>
  <c r="L156" i="5"/>
  <c r="L136" i="5"/>
  <c r="L176" i="5"/>
  <c r="M34" i="5"/>
  <c r="AW113" i="7"/>
  <c r="AW111" i="7"/>
  <c r="AW109" i="7"/>
  <c r="AW107" i="7"/>
  <c r="AW105" i="7"/>
  <c r="AW103" i="7"/>
  <c r="AW101" i="7"/>
  <c r="AW99" i="7"/>
  <c r="AW97" i="7"/>
  <c r="AW95" i="7"/>
  <c r="AW93" i="7"/>
  <c r="AW91" i="7"/>
  <c r="AW89" i="7"/>
  <c r="AW110" i="7"/>
  <c r="AW102" i="7"/>
  <c r="AW94" i="7"/>
  <c r="AW88" i="7"/>
  <c r="AW85" i="7"/>
  <c r="AW83" i="7"/>
  <c r="AW81" i="7"/>
  <c r="AW79" i="7"/>
  <c r="AW112" i="7"/>
  <c r="AW106" i="7"/>
  <c r="AW114" i="7"/>
  <c r="AW108" i="7"/>
  <c r="AW100" i="7"/>
  <c r="AW92" i="7"/>
  <c r="AW84" i="7"/>
  <c r="AW96" i="7"/>
  <c r="AW77" i="7"/>
  <c r="AW75" i="7"/>
  <c r="AW73" i="7"/>
  <c r="AW104" i="7"/>
  <c r="AW90" i="7"/>
  <c r="AW70" i="7"/>
  <c r="AW68" i="7"/>
  <c r="AW66" i="7"/>
  <c r="AW64" i="7"/>
  <c r="AW62" i="7"/>
  <c r="AW87" i="7"/>
  <c r="AW98" i="7"/>
  <c r="AW74" i="7"/>
  <c r="AW80" i="7"/>
  <c r="AW86" i="7"/>
  <c r="AW82" i="7"/>
  <c r="AW67" i="7"/>
  <c r="AW59" i="7"/>
  <c r="AW57" i="7"/>
  <c r="AW55" i="7"/>
  <c r="AW71" i="7"/>
  <c r="AW65" i="7"/>
  <c r="AW60" i="7"/>
  <c r="AW72" i="7"/>
  <c r="AW69" i="7"/>
  <c r="AW58" i="7"/>
  <c r="AW76" i="7"/>
  <c r="AW63" i="7"/>
  <c r="AW56" i="7"/>
  <c r="AW78" i="7"/>
  <c r="AW61" i="7"/>
  <c r="AX5" i="7"/>
  <c r="AU51" i="7"/>
  <c r="N144" i="5"/>
  <c r="N164" i="5"/>
  <c r="O41" i="5"/>
  <c r="N4" i="7"/>
  <c r="N3" i="7" s="1"/>
  <c r="Q4" i="6"/>
  <c r="P5" i="6"/>
  <c r="O54" i="3"/>
  <c r="P142" i="5"/>
  <c r="AU19" i="7"/>
  <c r="AU33" i="7" s="1"/>
  <c r="O96" i="5"/>
  <c r="O95" i="5" s="1"/>
  <c r="AV50" i="7" a="1"/>
  <c r="AV50" i="7" s="1"/>
  <c r="AV46" i="7" a="1"/>
  <c r="AV46" i="7" s="1"/>
  <c r="AV38" i="7" a="1"/>
  <c r="AV38" i="7" s="1"/>
  <c r="AV45" i="7" a="1"/>
  <c r="AV45" i="7" s="1"/>
  <c r="AV37" i="7" a="1"/>
  <c r="AV37" i="7" s="1"/>
  <c r="AV47" i="7" a="1"/>
  <c r="AV47" i="7" s="1"/>
  <c r="AV49" i="7" a="1"/>
  <c r="AV49" i="7" s="1"/>
  <c r="AV48" i="7" a="1"/>
  <c r="AV48" i="7" s="1"/>
  <c r="AV40" i="7" a="1"/>
  <c r="AV40" i="7" s="1"/>
  <c r="AV41" i="7" a="1"/>
  <c r="AV41" i="7" s="1"/>
  <c r="AV28" i="7" a="1"/>
  <c r="AV28" i="7" s="1"/>
  <c r="AV44" i="7" a="1"/>
  <c r="AV44" i="7" s="1"/>
  <c r="AV39" i="7" a="1"/>
  <c r="AV39" i="7" s="1"/>
  <c r="AV43" i="7" a="1"/>
  <c r="AV43" i="7" s="1"/>
  <c r="AV42" i="7" a="1"/>
  <c r="AV42" i="7" s="1"/>
  <c r="AV30" i="7" a="1"/>
  <c r="AV30" i="7" s="1"/>
  <c r="AV29" i="7" a="1"/>
  <c r="AV29" i="7" s="1"/>
  <c r="AV36" i="7" a="1"/>
  <c r="AV36" i="7" s="1"/>
  <c r="AV32" i="7" a="1"/>
  <c r="AV32" i="7" s="1"/>
  <c r="AV31" i="7" a="1"/>
  <c r="AV31" i="7" s="1"/>
  <c r="AV25" i="7" a="1"/>
  <c r="AV25" i="7" s="1"/>
  <c r="AV24" i="7" a="1"/>
  <c r="AV24" i="7" s="1"/>
  <c r="AV23" i="7" a="1"/>
  <c r="AV23" i="7" s="1"/>
  <c r="AV27" i="7" a="1"/>
  <c r="AV27" i="7" s="1"/>
  <c r="AV17" i="7" a="1"/>
  <c r="AV17" i="7" s="1"/>
  <c r="AV22" i="7" a="1"/>
  <c r="AV22" i="7" s="1"/>
  <c r="AV26" i="7" a="1"/>
  <c r="AV26" i="7" s="1"/>
  <c r="AV21" i="7" a="1"/>
  <c r="AV21" i="7" s="1"/>
  <c r="AV20" i="7" s="1"/>
  <c r="AV19" i="7" s="1"/>
  <c r="AV18" i="7" a="1"/>
  <c r="AV18" i="7" s="1"/>
  <c r="AV15" i="7" a="1"/>
  <c r="AV15" i="7" s="1"/>
  <c r="AV13" i="7" a="1"/>
  <c r="AV13" i="7" s="1"/>
  <c r="AV9" i="7" a="1"/>
  <c r="AV9" i="7" s="1"/>
  <c r="AV12" i="7" a="1"/>
  <c r="AV12" i="7" s="1"/>
  <c r="AV8" i="7" a="1"/>
  <c r="AV8" i="7" s="1"/>
  <c r="AV16" i="7" a="1"/>
  <c r="AV16" i="7" s="1"/>
  <c r="AV11" i="7" a="1"/>
  <c r="AV11" i="7" s="1"/>
  <c r="AV14" i="7" a="1"/>
  <c r="AV14" i="7" s="1"/>
  <c r="AV7" i="7" a="1"/>
  <c r="AV7" i="7" s="1"/>
  <c r="AV51" i="7" s="1"/>
  <c r="O107" i="5"/>
  <c r="O56" i="3" s="1"/>
  <c r="O55" i="3"/>
  <c r="P131" i="5"/>
  <c r="P150" i="5"/>
  <c r="M158" i="5"/>
  <c r="M138" i="5"/>
  <c r="M178" i="5"/>
  <c r="N179" i="5" s="1"/>
  <c r="N36" i="5"/>
  <c r="I75" i="5"/>
  <c r="P170" i="5"/>
  <c r="P130" i="5"/>
  <c r="Q196" i="5"/>
  <c r="Q195" i="5"/>
  <c r="AU10" i="7"/>
  <c r="I151" i="5"/>
  <c r="I131" i="5"/>
  <c r="I171" i="5"/>
  <c r="J29" i="5"/>
  <c r="H47" i="5"/>
  <c r="H50" i="5"/>
  <c r="I21" i="5"/>
  <c r="Q197" i="5"/>
  <c r="R193" i="5" s="1"/>
  <c r="Q107" i="5"/>
  <c r="Q100" i="5"/>
  <c r="Q99" i="5" s="1"/>
  <c r="Q93" i="5"/>
  <c r="Q170" i="5"/>
  <c r="Q105" i="5"/>
  <c r="Q150" i="5"/>
  <c r="Q143" i="5"/>
  <c r="Q106" i="5"/>
  <c r="Q104" i="5"/>
  <c r="Q66" i="5"/>
  <c r="Q64" i="5" s="1"/>
  <c r="Q11" i="5"/>
  <c r="Q27" i="5"/>
  <c r="Q28" i="5"/>
  <c r="Q171" i="5" s="1"/>
  <c r="Q17" i="5"/>
  <c r="R5" i="5"/>
  <c r="Q40" i="5"/>
  <c r="Q14" i="5"/>
  <c r="Q68" i="5" a="1"/>
  <c r="Q68" i="5" s="1"/>
  <c r="Q29" i="5"/>
  <c r="Q172" i="5" s="1"/>
  <c r="Q13" i="5"/>
  <c r="Q202" i="5" s="1"/>
  <c r="Q12" i="5"/>
  <c r="Q20" i="5"/>
  <c r="Q21" i="5" s="1"/>
  <c r="Q24" i="5"/>
  <c r="Q6" i="5"/>
  <c r="Q18" i="5" s="1"/>
  <c r="O106" i="5"/>
  <c r="N103" i="5"/>
  <c r="K134" i="5"/>
  <c r="K154" i="5"/>
  <c r="K174" i="5"/>
  <c r="K78" i="5"/>
  <c r="L32" i="5"/>
  <c r="I66" i="5"/>
  <c r="I64" i="5" s="1"/>
  <c r="I61" i="5" s="1"/>
  <c r="I209" i="5"/>
  <c r="I213" i="5" s="1"/>
  <c r="H46" i="5"/>
  <c r="P163" i="5"/>
  <c r="P171" i="5"/>
  <c r="O105" i="5"/>
  <c r="I77" i="5" l="1"/>
  <c r="I222" i="5"/>
  <c r="I214" i="5"/>
  <c r="L135" i="5"/>
  <c r="L175" i="5"/>
  <c r="L155" i="5"/>
  <c r="M33" i="5"/>
  <c r="R197" i="5"/>
  <c r="S193" i="5" s="1"/>
  <c r="R153" i="5"/>
  <c r="R133" i="5"/>
  <c r="R105" i="5"/>
  <c r="R107" i="5"/>
  <c r="R100" i="5"/>
  <c r="R99" i="5" s="1"/>
  <c r="R93" i="5"/>
  <c r="R106" i="5"/>
  <c r="R104" i="5"/>
  <c r="R30" i="5"/>
  <c r="R173" i="5" s="1"/>
  <c r="R28" i="5"/>
  <c r="R171" i="5" s="1"/>
  <c r="R68" i="5" a="1"/>
  <c r="R68" i="5" s="1"/>
  <c r="R27" i="5"/>
  <c r="R150" i="5" s="1"/>
  <c r="R17" i="5"/>
  <c r="S5" i="5"/>
  <c r="R14" i="5"/>
  <c r="R12" i="5"/>
  <c r="R29" i="5"/>
  <c r="R132" i="5" s="1"/>
  <c r="R66" i="5"/>
  <c r="R64" i="5" s="1"/>
  <c r="R11" i="5"/>
  <c r="R20" i="5"/>
  <c r="R13" i="5"/>
  <c r="R202" i="5" s="1"/>
  <c r="R24" i="5"/>
  <c r="R6" i="5"/>
  <c r="R18" i="5" s="1"/>
  <c r="R62" i="5" s="1"/>
  <c r="R61" i="5" s="1"/>
  <c r="R77" i="5" s="1"/>
  <c r="O103" i="5"/>
  <c r="Q103" i="5"/>
  <c r="R51" i="5"/>
  <c r="R58" i="5" s="1"/>
  <c r="Q151" i="5"/>
  <c r="O4" i="7"/>
  <c r="O3" i="7" s="1"/>
  <c r="R4" i="6"/>
  <c r="Q5" i="6"/>
  <c r="O53" i="3"/>
  <c r="Q132" i="5"/>
  <c r="R196" i="5"/>
  <c r="R195" i="5"/>
  <c r="M137" i="5"/>
  <c r="M157" i="5"/>
  <c r="M79" i="5"/>
  <c r="M177" i="5"/>
  <c r="N35" i="5"/>
  <c r="O100" i="5"/>
  <c r="O99" i="5" s="1"/>
  <c r="O51" i="3" s="1"/>
  <c r="P16" i="5"/>
  <c r="Q16" i="5" s="1"/>
  <c r="R16" i="5" s="1"/>
  <c r="R19" i="5"/>
  <c r="R21" i="5" s="1"/>
  <c r="I24" i="5"/>
  <c r="I27" i="5" s="1"/>
  <c r="I17" i="5"/>
  <c r="AV33" i="7"/>
  <c r="AV10" i="7"/>
  <c r="O144" i="5"/>
  <c r="O164" i="5"/>
  <c r="P41" i="5"/>
  <c r="AX112" i="7"/>
  <c r="AX107" i="7"/>
  <c r="AX104" i="7"/>
  <c r="AX99" i="7"/>
  <c r="AX96" i="7"/>
  <c r="AX91" i="7"/>
  <c r="AX109" i="7"/>
  <c r="AX106" i="7"/>
  <c r="AX114" i="7"/>
  <c r="AX111" i="7"/>
  <c r="AX108" i="7"/>
  <c r="AX89" i="7"/>
  <c r="AX102" i="7"/>
  <c r="AX85" i="7"/>
  <c r="AX77" i="7"/>
  <c r="AX75" i="7"/>
  <c r="AX93" i="7"/>
  <c r="AX90" i="7"/>
  <c r="AX80" i="7"/>
  <c r="AX79" i="7"/>
  <c r="AX103" i="7"/>
  <c r="AX100" i="7"/>
  <c r="AX113" i="7"/>
  <c r="AX105" i="7"/>
  <c r="AX110" i="7"/>
  <c r="AX101" i="7"/>
  <c r="AX98" i="7"/>
  <c r="AX95" i="7"/>
  <c r="AX92" i="7"/>
  <c r="AX87" i="7"/>
  <c r="AX86" i="7"/>
  <c r="AX94" i="7"/>
  <c r="AX88" i="7"/>
  <c r="AX83" i="7"/>
  <c r="AX82" i="7"/>
  <c r="AX97" i="7"/>
  <c r="AX81" i="7"/>
  <c r="AX78" i="7"/>
  <c r="AX67" i="7"/>
  <c r="AX62" i="7"/>
  <c r="AX59" i="7"/>
  <c r="AX57" i="7"/>
  <c r="AX55" i="7"/>
  <c r="AX70" i="7"/>
  <c r="AX84" i="7"/>
  <c r="AX76" i="7"/>
  <c r="AX74" i="7"/>
  <c r="AX72" i="7"/>
  <c r="AX73" i="7"/>
  <c r="AX63" i="7"/>
  <c r="AX71" i="7"/>
  <c r="AX69" i="7"/>
  <c r="AX68" i="7"/>
  <c r="AX58" i="7"/>
  <c r="AX65" i="7"/>
  <c r="AX56" i="7"/>
  <c r="AX66" i="7"/>
  <c r="AX64" i="7"/>
  <c r="AX61" i="7"/>
  <c r="AX60" i="7"/>
  <c r="AY5" i="7"/>
  <c r="Q163" i="5"/>
  <c r="Q62" i="5"/>
  <c r="Q152" i="5"/>
  <c r="Q130" i="5"/>
  <c r="Q131" i="5"/>
  <c r="H59" i="5"/>
  <c r="N139" i="5"/>
  <c r="N159" i="5"/>
  <c r="O37" i="5"/>
  <c r="AW49" i="7" a="1"/>
  <c r="AW49" i="7" s="1"/>
  <c r="AW48" i="7" a="1"/>
  <c r="AW48" i="7" s="1"/>
  <c r="AW44" i="7" a="1"/>
  <c r="AW44" i="7" s="1"/>
  <c r="AW47" i="7" a="1"/>
  <c r="AW47" i="7" s="1"/>
  <c r="AW43" i="7" a="1"/>
  <c r="AW43" i="7" s="1"/>
  <c r="AW46" i="7" a="1"/>
  <c r="AW46" i="7" s="1"/>
  <c r="AW38" i="7" a="1"/>
  <c r="AW38" i="7" s="1"/>
  <c r="AW40" i="7" a="1"/>
  <c r="AW40" i="7" s="1"/>
  <c r="AW39" i="7" a="1"/>
  <c r="AW39" i="7" s="1"/>
  <c r="AW50" i="7" a="1"/>
  <c r="AW50" i="7" s="1"/>
  <c r="AW42" i="7" a="1"/>
  <c r="AW42" i="7" s="1"/>
  <c r="AW41" i="7" a="1"/>
  <c r="AW41" i="7" s="1"/>
  <c r="AW29" i="7" a="1"/>
  <c r="AW29" i="7" s="1"/>
  <c r="AW36" i="7" a="1"/>
  <c r="AW36" i="7" s="1"/>
  <c r="AW37" i="7" a="1"/>
  <c r="AW37" i="7" s="1"/>
  <c r="AW32" i="7" a="1"/>
  <c r="AW32" i="7" s="1"/>
  <c r="AW45" i="7" a="1"/>
  <c r="AW45" i="7" s="1"/>
  <c r="AW30" i="7" a="1"/>
  <c r="AW30" i="7" s="1"/>
  <c r="AW27" i="7" a="1"/>
  <c r="AW27" i="7" s="1"/>
  <c r="AW24" i="7" a="1"/>
  <c r="AW24" i="7" s="1"/>
  <c r="AW28" i="7" a="1"/>
  <c r="AW28" i="7" s="1"/>
  <c r="AW31" i="7" a="1"/>
  <c r="AW31" i="7" s="1"/>
  <c r="AW17" i="7" a="1"/>
  <c r="AW17" i="7" s="1"/>
  <c r="AW22" i="7" a="1"/>
  <c r="AW22" i="7" s="1"/>
  <c r="AW16" i="7" a="1"/>
  <c r="AW16" i="7" s="1"/>
  <c r="AW26" i="7" a="1"/>
  <c r="AW26" i="7" s="1"/>
  <c r="AW25" i="7" a="1"/>
  <c r="AW25" i="7" s="1"/>
  <c r="AW12" i="7" a="1"/>
  <c r="AW12" i="7" s="1"/>
  <c r="AW8" i="7" a="1"/>
  <c r="AW8" i="7" s="1"/>
  <c r="AW11" i="7" a="1"/>
  <c r="AW11" i="7" s="1"/>
  <c r="AW14" i="7" a="1"/>
  <c r="AW14" i="7" s="1"/>
  <c r="AW21" i="7" a="1"/>
  <c r="AW21" i="7" s="1"/>
  <c r="AW20" i="7" s="1"/>
  <c r="AW15" i="7" a="1"/>
  <c r="AW15" i="7" s="1"/>
  <c r="AW18" i="7" a="1"/>
  <c r="AW18" i="7" s="1"/>
  <c r="AW9" i="7" a="1"/>
  <c r="AW9" i="7" s="1"/>
  <c r="AW13" i="7" a="1"/>
  <c r="AW13" i="7" s="1"/>
  <c r="AW7" i="7" a="1"/>
  <c r="AW7" i="7" s="1"/>
  <c r="AW51" i="7" s="1"/>
  <c r="Q75" i="5"/>
  <c r="J172" i="5"/>
  <c r="J152" i="5"/>
  <c r="J132" i="5"/>
  <c r="K30" i="5"/>
  <c r="J20" i="5" l="1"/>
  <c r="J19" i="5"/>
  <c r="J21" i="5" s="1"/>
  <c r="J24" i="5" s="1"/>
  <c r="J17" i="5"/>
  <c r="R130" i="5"/>
  <c r="S196" i="5"/>
  <c r="S195" i="5"/>
  <c r="I44" i="5"/>
  <c r="J51" i="5"/>
  <c r="J58" i="5" s="1"/>
  <c r="I150" i="5"/>
  <c r="I165" i="5" s="1"/>
  <c r="I166" i="5" s="1"/>
  <c r="I45" i="5" a="1"/>
  <c r="I45" i="5" s="1"/>
  <c r="I130" i="5"/>
  <c r="I145" i="5" s="1"/>
  <c r="I146" i="5" s="1"/>
  <c r="I183" i="5" s="1" a="1"/>
  <c r="I183" i="5" s="1"/>
  <c r="I170" i="5"/>
  <c r="I180" i="5" s="1"/>
  <c r="I181" i="5" s="1"/>
  <c r="J28" i="5"/>
  <c r="J18" i="5"/>
  <c r="J62" i="5" s="1"/>
  <c r="P4" i="7"/>
  <c r="P3" i="7" s="1"/>
  <c r="R5" i="6"/>
  <c r="S4" i="6"/>
  <c r="S172" i="5"/>
  <c r="S107" i="5"/>
  <c r="S105" i="5"/>
  <c r="S197" i="5"/>
  <c r="T193" i="5" s="1"/>
  <c r="S153" i="5"/>
  <c r="S133" i="5"/>
  <c r="S93" i="5"/>
  <c r="S134" i="5"/>
  <c r="S106" i="5"/>
  <c r="S100" i="5"/>
  <c r="S99" i="5" s="1"/>
  <c r="S173" i="5"/>
  <c r="S104" i="5"/>
  <c r="S68" i="5" a="1"/>
  <c r="S68" i="5" s="1"/>
  <c r="S30" i="5"/>
  <c r="S28" i="5"/>
  <c r="S131" i="5" s="1"/>
  <c r="S24" i="5"/>
  <c r="S132" i="5"/>
  <c r="S66" i="5"/>
  <c r="S64" i="5" s="1"/>
  <c r="S17" i="5"/>
  <c r="T5" i="5"/>
  <c r="S14" i="5"/>
  <c r="S12" i="5"/>
  <c r="S29" i="5"/>
  <c r="S152" i="5" s="1"/>
  <c r="S31" i="5"/>
  <c r="S154" i="5" s="1"/>
  <c r="S27" i="5"/>
  <c r="S20" i="5"/>
  <c r="S13" i="5"/>
  <c r="S202" i="5" s="1"/>
  <c r="S11" i="5"/>
  <c r="S6" i="5"/>
  <c r="S18" i="5" s="1"/>
  <c r="S62" i="5" s="1"/>
  <c r="S61" i="5" s="1"/>
  <c r="S77" i="5" s="1"/>
  <c r="R172" i="5"/>
  <c r="Q61" i="5"/>
  <c r="R152" i="5"/>
  <c r="K133" i="5"/>
  <c r="K153" i="5"/>
  <c r="K173" i="5"/>
  <c r="L31" i="5"/>
  <c r="AW10" i="7"/>
  <c r="P144" i="5"/>
  <c r="P164" i="5"/>
  <c r="Q41" i="5"/>
  <c r="S51" i="5"/>
  <c r="S58" i="5" s="1"/>
  <c r="R151" i="5"/>
  <c r="J221" i="5"/>
  <c r="I223" i="5"/>
  <c r="H76" i="5"/>
  <c r="H57" i="5"/>
  <c r="AY114" i="7"/>
  <c r="AY112" i="7"/>
  <c r="AY107" i="7"/>
  <c r="AY104" i="7"/>
  <c r="AY99" i="7"/>
  <c r="AY96" i="7"/>
  <c r="AY91" i="7"/>
  <c r="AY87" i="7"/>
  <c r="AY109" i="7"/>
  <c r="AY106" i="7"/>
  <c r="AY111" i="7"/>
  <c r="AY108" i="7"/>
  <c r="AY113" i="7"/>
  <c r="AY110" i="7"/>
  <c r="AY105" i="7"/>
  <c r="AY102" i="7"/>
  <c r="AY97" i="7"/>
  <c r="AY94" i="7"/>
  <c r="AY88" i="7"/>
  <c r="AY85" i="7"/>
  <c r="AY93" i="7"/>
  <c r="AY90" i="7"/>
  <c r="AY80" i="7"/>
  <c r="AY79" i="7"/>
  <c r="AY83" i="7"/>
  <c r="AY81" i="7"/>
  <c r="AY103" i="7"/>
  <c r="AY89" i="7"/>
  <c r="AY84" i="7"/>
  <c r="AY95" i="7"/>
  <c r="AY76" i="7"/>
  <c r="AY72" i="7"/>
  <c r="AY101" i="7"/>
  <c r="AY100" i="7"/>
  <c r="AY98" i="7"/>
  <c r="AY86" i="7"/>
  <c r="AY92" i="7"/>
  <c r="AY70" i="7"/>
  <c r="AY68" i="7"/>
  <c r="AY66" i="7"/>
  <c r="AY82" i="7"/>
  <c r="AY77" i="7"/>
  <c r="AY64" i="7"/>
  <c r="AY63" i="7"/>
  <c r="AY78" i="7"/>
  <c r="AY73" i="7"/>
  <c r="AY71" i="7"/>
  <c r="AY61" i="7"/>
  <c r="AY56" i="7"/>
  <c r="AY74" i="7"/>
  <c r="AY75" i="7"/>
  <c r="AY65" i="7"/>
  <c r="AY57" i="7"/>
  <c r="AY67" i="7"/>
  <c r="AY55" i="7"/>
  <c r="AY62" i="7"/>
  <c r="AY60" i="7"/>
  <c r="AY59" i="7"/>
  <c r="AY58" i="7"/>
  <c r="AY69" i="7"/>
  <c r="AZ5" i="7"/>
  <c r="R131" i="5"/>
  <c r="AW19" i="7"/>
  <c r="AW33" i="7" s="1"/>
  <c r="O140" i="5"/>
  <c r="O160" i="5"/>
  <c r="P38" i="5"/>
  <c r="N138" i="5"/>
  <c r="N178" i="5"/>
  <c r="O179" i="5" s="1"/>
  <c r="N158" i="5"/>
  <c r="O36" i="5"/>
  <c r="R75" i="5"/>
  <c r="R170" i="5"/>
  <c r="AX50" i="7" a="1"/>
  <c r="AX50" i="7" s="1"/>
  <c r="AX48" i="7" a="1"/>
  <c r="AX48" i="7" s="1"/>
  <c r="AX42" i="7" a="1"/>
  <c r="AX42" i="7" s="1"/>
  <c r="AX41" i="7" a="1"/>
  <c r="AX41" i="7" s="1"/>
  <c r="AX49" i="7" a="1"/>
  <c r="AX49" i="7" s="1"/>
  <c r="AX46" i="7" a="1"/>
  <c r="AX46" i="7" s="1"/>
  <c r="AX44" i="7" a="1"/>
  <c r="AX44" i="7" s="1"/>
  <c r="AX39" i="7" a="1"/>
  <c r="AX39" i="7" s="1"/>
  <c r="AX32" i="7" a="1"/>
  <c r="AX32" i="7" s="1"/>
  <c r="AX43" i="7" a="1"/>
  <c r="AX43" i="7" s="1"/>
  <c r="AX47" i="7" a="1"/>
  <c r="AX47" i="7" s="1"/>
  <c r="AX45" i="7" a="1"/>
  <c r="AX45" i="7" s="1"/>
  <c r="AX40" i="7" a="1"/>
  <c r="AX40" i="7" s="1"/>
  <c r="AX37" i="7" a="1"/>
  <c r="AX37" i="7" s="1"/>
  <c r="AX28" i="7" a="1"/>
  <c r="AX28" i="7" s="1"/>
  <c r="AX26" i="7" a="1"/>
  <c r="AX26" i="7" s="1"/>
  <c r="AX31" i="7" a="1"/>
  <c r="AX31" i="7" s="1"/>
  <c r="AX38" i="7" a="1"/>
  <c r="AX38" i="7" s="1"/>
  <c r="AX36" i="7" a="1"/>
  <c r="AX36" i="7" s="1"/>
  <c r="AX29" i="7" a="1"/>
  <c r="AX29" i="7" s="1"/>
  <c r="AX27" i="7" a="1"/>
  <c r="AX27" i="7" s="1"/>
  <c r="AX23" i="7" a="1"/>
  <c r="AX23" i="7" s="1"/>
  <c r="AX22" i="7" a="1"/>
  <c r="AX22" i="7" s="1"/>
  <c r="AX30" i="7" a="1"/>
  <c r="AX30" i="7" s="1"/>
  <c r="AX24" i="7" a="1"/>
  <c r="AX24" i="7" s="1"/>
  <c r="AX16" i="7" a="1"/>
  <c r="AX16" i="7" s="1"/>
  <c r="AX25" i="7" a="1"/>
  <c r="AX25" i="7" s="1"/>
  <c r="AX17" i="7" a="1"/>
  <c r="AX17" i="7" s="1"/>
  <c r="AX11" i="7" a="1"/>
  <c r="AX11" i="7" s="1"/>
  <c r="AX14" i="7" a="1"/>
  <c r="AX14" i="7" s="1"/>
  <c r="AX21" i="7" a="1"/>
  <c r="AX21" i="7" s="1"/>
  <c r="AX20" i="7" s="1"/>
  <c r="AX18" i="7" a="1"/>
  <c r="AX18" i="7" s="1"/>
  <c r="AX12" i="7" a="1"/>
  <c r="AX12" i="7" s="1"/>
  <c r="AX13" i="7" a="1"/>
  <c r="AX13" i="7" s="1"/>
  <c r="AX8" i="7" a="1"/>
  <c r="AX8" i="7" s="1"/>
  <c r="AX15" i="7" a="1"/>
  <c r="AX15" i="7" s="1"/>
  <c r="AX9" i="7" a="1"/>
  <c r="AX9" i="7" s="1"/>
  <c r="AX7" i="7" a="1"/>
  <c r="AX7" i="7" s="1"/>
  <c r="AX51" i="7" s="1"/>
  <c r="O52" i="3"/>
  <c r="S19" i="5"/>
  <c r="S21" i="5" s="1"/>
  <c r="R103" i="5"/>
  <c r="M156" i="5"/>
  <c r="M136" i="5"/>
  <c r="M176" i="5"/>
  <c r="N34" i="5"/>
  <c r="S75" i="5" l="1"/>
  <c r="AX19" i="7"/>
  <c r="S171" i="5"/>
  <c r="I47" i="5"/>
  <c r="I50" i="5"/>
  <c r="K20" i="5"/>
  <c r="K19" i="5"/>
  <c r="K21" i="5" s="1"/>
  <c r="T196" i="5"/>
  <c r="T195" i="5"/>
  <c r="AX33" i="7"/>
  <c r="AX10" i="7"/>
  <c r="P161" i="5"/>
  <c r="P141" i="5"/>
  <c r="Q39" i="5"/>
  <c r="H55" i="5"/>
  <c r="H82" i="5"/>
  <c r="H81" i="5"/>
  <c r="Q77" i="5"/>
  <c r="S174" i="5"/>
  <c r="S151" i="5"/>
  <c r="AZ114" i="7"/>
  <c r="AZ112" i="7"/>
  <c r="AZ110" i="7"/>
  <c r="AZ108" i="7"/>
  <c r="AZ106" i="7"/>
  <c r="AZ104" i="7"/>
  <c r="AZ102" i="7"/>
  <c r="AZ100" i="7"/>
  <c r="AZ98" i="7"/>
  <c r="AZ96" i="7"/>
  <c r="AZ94" i="7"/>
  <c r="AZ92" i="7"/>
  <c r="AZ90" i="7"/>
  <c r="AZ88" i="7"/>
  <c r="AZ113" i="7"/>
  <c r="AZ111" i="7"/>
  <c r="AZ109" i="7"/>
  <c r="AZ107" i="7"/>
  <c r="AZ105" i="7"/>
  <c r="AZ103" i="7"/>
  <c r="AZ101" i="7"/>
  <c r="AZ99" i="7"/>
  <c r="AZ97" i="7"/>
  <c r="AZ95" i="7"/>
  <c r="AZ93" i="7"/>
  <c r="AZ91" i="7"/>
  <c r="AZ89" i="7"/>
  <c r="AZ87" i="7"/>
  <c r="AZ86" i="7"/>
  <c r="AZ84" i="7"/>
  <c r="AZ82" i="7"/>
  <c r="AZ83" i="7"/>
  <c r="AZ81" i="7"/>
  <c r="AZ77" i="7"/>
  <c r="AZ75" i="7"/>
  <c r="AZ76" i="7"/>
  <c r="AZ72" i="7"/>
  <c r="AZ71" i="7"/>
  <c r="AZ69" i="7"/>
  <c r="AZ67" i="7"/>
  <c r="AZ65" i="7"/>
  <c r="AZ85" i="7"/>
  <c r="AZ70" i="7"/>
  <c r="AZ64" i="7"/>
  <c r="AZ63" i="7"/>
  <c r="AZ73" i="7"/>
  <c r="AZ78" i="7"/>
  <c r="AZ79" i="7"/>
  <c r="AZ68" i="7"/>
  <c r="AZ62" i="7"/>
  <c r="AZ59" i="7"/>
  <c r="AZ57" i="7"/>
  <c r="AZ55" i="7"/>
  <c r="AZ61" i="7"/>
  <c r="AZ56" i="7"/>
  <c r="AZ66" i="7"/>
  <c r="AZ74" i="7"/>
  <c r="AZ58" i="7"/>
  <c r="AZ80" i="7"/>
  <c r="AZ60" i="7"/>
  <c r="BA5" i="7"/>
  <c r="O21" i="3"/>
  <c r="N137" i="5"/>
  <c r="N177" i="5"/>
  <c r="N79" i="5"/>
  <c r="N157" i="5"/>
  <c r="O35" i="5"/>
  <c r="Q164" i="5"/>
  <c r="Q144" i="5"/>
  <c r="R41" i="5"/>
  <c r="T51" i="5"/>
  <c r="T58" i="5" s="1"/>
  <c r="H74" i="5"/>
  <c r="H72" i="5" s="1"/>
  <c r="H71" i="5" s="1"/>
  <c r="S103" i="5"/>
  <c r="S5" i="6"/>
  <c r="Q4" i="7"/>
  <c r="Q3" i="7" s="1"/>
  <c r="T4" i="6"/>
  <c r="J75" i="5"/>
  <c r="J66" i="5"/>
  <c r="J64" i="5" s="1"/>
  <c r="I46" i="5"/>
  <c r="J209" i="5" s="1"/>
  <c r="J213" i="5" s="1"/>
  <c r="J27" i="5"/>
  <c r="O139" i="5"/>
  <c r="O159" i="5"/>
  <c r="P37" i="5"/>
  <c r="AY47" i="7" a="1"/>
  <c r="AY47" i="7" s="1"/>
  <c r="AY50" i="7" a="1"/>
  <c r="AY50" i="7" s="1"/>
  <c r="AY48" i="7" a="1"/>
  <c r="AY48" i="7" s="1"/>
  <c r="AY41" i="7" a="1"/>
  <c r="AY41" i="7" s="1"/>
  <c r="AY40" i="7" a="1"/>
  <c r="AY40" i="7" s="1"/>
  <c r="AY49" i="7" a="1"/>
  <c r="AY49" i="7" s="1"/>
  <c r="AY43" i="7" a="1"/>
  <c r="AY43" i="7" s="1"/>
  <c r="AY44" i="7" a="1"/>
  <c r="AY44" i="7" s="1"/>
  <c r="AY31" i="7" a="1"/>
  <c r="AY31" i="7" s="1"/>
  <c r="AY27" i="7" a="1"/>
  <c r="AY27" i="7" s="1"/>
  <c r="AY38" i="7" a="1"/>
  <c r="AY38" i="7" s="1"/>
  <c r="AY30" i="7" a="1"/>
  <c r="AY30" i="7" s="1"/>
  <c r="AY42" i="7" a="1"/>
  <c r="AY42" i="7" s="1"/>
  <c r="AY45" i="7" a="1"/>
  <c r="AY45" i="7" s="1"/>
  <c r="AY39" i="7" a="1"/>
  <c r="AY39" i="7" s="1"/>
  <c r="AY32" i="7" a="1"/>
  <c r="AY32" i="7" s="1"/>
  <c r="AY25" i="7" a="1"/>
  <c r="AY25" i="7" s="1"/>
  <c r="AY46" i="7" a="1"/>
  <c r="AY46" i="7" s="1"/>
  <c r="AY36" i="7" a="1"/>
  <c r="AY36" i="7" s="1"/>
  <c r="AY28" i="7" a="1"/>
  <c r="AY28" i="7" s="1"/>
  <c r="AY37" i="7" a="1"/>
  <c r="AY37" i="7" s="1"/>
  <c r="AY26" i="7" a="1"/>
  <c r="AY26" i="7" s="1"/>
  <c r="AY29" i="7" a="1"/>
  <c r="AY29" i="7" s="1"/>
  <c r="AY23" i="7" a="1"/>
  <c r="AY23" i="7" s="1"/>
  <c r="AY22" i="7" a="1"/>
  <c r="AY22" i="7" s="1"/>
  <c r="AY16" i="7" a="1"/>
  <c r="AY16" i="7" s="1"/>
  <c r="AY13" i="7" a="1"/>
  <c r="AY13" i="7" s="1"/>
  <c r="AY18" i="7" a="1"/>
  <c r="AY18" i="7" s="1"/>
  <c r="AY14" i="7" a="1"/>
  <c r="AY14" i="7" s="1"/>
  <c r="AY24" i="7" a="1"/>
  <c r="AY24" i="7" s="1"/>
  <c r="AY17" i="7" a="1"/>
  <c r="AY17" i="7" s="1"/>
  <c r="AY21" i="7" a="1"/>
  <c r="AY21" i="7" s="1"/>
  <c r="AY20" i="7" s="1"/>
  <c r="AY15" i="7" a="1"/>
  <c r="AY15" i="7" s="1"/>
  <c r="AY11" i="7" a="1"/>
  <c r="AY11" i="7" s="1"/>
  <c r="AY8" i="7" a="1"/>
  <c r="AY8" i="7" s="1"/>
  <c r="AY7" i="7" a="1"/>
  <c r="AY7" i="7" s="1"/>
  <c r="AY51" i="7" s="1"/>
  <c r="AY12" i="7" a="1"/>
  <c r="AY12" i="7" s="1"/>
  <c r="AY9" i="7" a="1"/>
  <c r="AY9" i="7" s="1"/>
  <c r="L134" i="5"/>
  <c r="L154" i="5"/>
  <c r="L78" i="5"/>
  <c r="L174" i="5"/>
  <c r="M32" i="5"/>
  <c r="T19" i="5"/>
  <c r="S130" i="5"/>
  <c r="S170" i="5"/>
  <c r="J61" i="5"/>
  <c r="J77" i="5" s="1"/>
  <c r="S16" i="5"/>
  <c r="T16" i="5" s="1"/>
  <c r="T152" i="5"/>
  <c r="T197" i="5"/>
  <c r="U193" i="5" s="1"/>
  <c r="T172" i="5"/>
  <c r="T105" i="5"/>
  <c r="T106" i="5"/>
  <c r="T107" i="5"/>
  <c r="T100" i="5"/>
  <c r="T99" i="5" s="1"/>
  <c r="T104" i="5"/>
  <c r="T103" i="5" s="1"/>
  <c r="T32" i="5"/>
  <c r="T135" i="5" s="1"/>
  <c r="T24" i="5"/>
  <c r="T132" i="5"/>
  <c r="T66" i="5"/>
  <c r="T64" i="5" s="1"/>
  <c r="T93" i="5"/>
  <c r="T30" i="5"/>
  <c r="T173" i="5" s="1"/>
  <c r="T14" i="5"/>
  <c r="T12" i="5"/>
  <c r="T68" i="5" a="1"/>
  <c r="T68" i="5" s="1"/>
  <c r="T28" i="5"/>
  <c r="T151" i="5" s="1"/>
  <c r="T29" i="5"/>
  <c r="T31" i="5"/>
  <c r="T154" i="5" s="1"/>
  <c r="T155" i="5"/>
  <c r="T27" i="5"/>
  <c r="T17" i="5"/>
  <c r="U5" i="5"/>
  <c r="T20" i="5"/>
  <c r="T11" i="5"/>
  <c r="T13" i="5"/>
  <c r="T202" i="5" s="1"/>
  <c r="T6" i="5"/>
  <c r="T18" i="5" s="1"/>
  <c r="S150" i="5"/>
  <c r="J151" i="5"/>
  <c r="J131" i="5"/>
  <c r="J171" i="5"/>
  <c r="K29" i="5"/>
  <c r="J222" i="5" l="1"/>
  <c r="J214" i="5"/>
  <c r="R164" i="5"/>
  <c r="R144" i="5"/>
  <c r="AY10" i="7"/>
  <c r="T62" i="5"/>
  <c r="U51" i="5"/>
  <c r="U58" i="5" s="1"/>
  <c r="T153" i="5"/>
  <c r="T171" i="5"/>
  <c r="T131" i="5"/>
  <c r="T150" i="5"/>
  <c r="T133" i="5"/>
  <c r="T174" i="5"/>
  <c r="T134" i="5"/>
  <c r="T175" i="5"/>
  <c r="I59" i="5"/>
  <c r="U174" i="5"/>
  <c r="U172" i="5"/>
  <c r="U170" i="5"/>
  <c r="U175" i="5"/>
  <c r="U173" i="5"/>
  <c r="U134" i="5"/>
  <c r="U106" i="5"/>
  <c r="U197" i="5"/>
  <c r="V193" i="5" s="1"/>
  <c r="U107" i="5"/>
  <c r="U100" i="5"/>
  <c r="U99" i="5" s="1"/>
  <c r="U152" i="5"/>
  <c r="U130" i="5"/>
  <c r="U104" i="5"/>
  <c r="U105" i="5"/>
  <c r="U133" i="5"/>
  <c r="U66" i="5"/>
  <c r="U64" i="5" s="1"/>
  <c r="U45" i="5" a="1"/>
  <c r="U45" i="5" s="1"/>
  <c r="U153" i="5"/>
  <c r="U150" i="5"/>
  <c r="U32" i="5"/>
  <c r="U155" i="5" s="1"/>
  <c r="U33" i="5"/>
  <c r="U176" i="5" s="1"/>
  <c r="U28" i="5"/>
  <c r="U151" i="5" s="1"/>
  <c r="U29" i="5"/>
  <c r="U132" i="5" s="1"/>
  <c r="U30" i="5"/>
  <c r="U20" i="5"/>
  <c r="U16" i="5"/>
  <c r="U13" i="5"/>
  <c r="U202" i="5" s="1"/>
  <c r="U93" i="5"/>
  <c r="U31" i="5"/>
  <c r="U154" i="5" s="1"/>
  <c r="U14" i="5"/>
  <c r="U12" i="5"/>
  <c r="U27" i="5"/>
  <c r="U24" i="5"/>
  <c r="V5" i="5"/>
  <c r="U17" i="5"/>
  <c r="U11" i="5"/>
  <c r="V19" i="5" s="1"/>
  <c r="U6" i="5"/>
  <c r="U18" i="5" s="1"/>
  <c r="U62" i="5" s="1"/>
  <c r="U61" i="5" s="1"/>
  <c r="U77" i="5" s="1"/>
  <c r="T130" i="5"/>
  <c r="T170" i="5"/>
  <c r="AY19" i="7"/>
  <c r="AY33" i="7" s="1"/>
  <c r="P140" i="5"/>
  <c r="P160" i="5"/>
  <c r="Q38" i="5"/>
  <c r="J44" i="5"/>
  <c r="K51" i="5"/>
  <c r="K58" i="5" s="1"/>
  <c r="J45" i="5" a="1"/>
  <c r="J45" i="5" s="1"/>
  <c r="K66" i="5" s="1"/>
  <c r="K64" i="5" s="1"/>
  <c r="J170" i="5"/>
  <c r="J180" i="5" s="1"/>
  <c r="J181" i="5" s="1"/>
  <c r="J150" i="5"/>
  <c r="J165" i="5" s="1"/>
  <c r="J166" i="5" s="1"/>
  <c r="J130" i="5"/>
  <c r="J145" i="5" s="1"/>
  <c r="J146" i="5" s="1"/>
  <c r="J183" i="5" s="1" a="1"/>
  <c r="J183" i="5" s="1"/>
  <c r="K28" i="5"/>
  <c r="K18" i="5"/>
  <c r="K62" i="5" s="1"/>
  <c r="BA114" i="7"/>
  <c r="BA112" i="7"/>
  <c r="BA110" i="7"/>
  <c r="BA108" i="7"/>
  <c r="BA106" i="7"/>
  <c r="BA104" i="7"/>
  <c r="BA102" i="7"/>
  <c r="BA100" i="7"/>
  <c r="BA98" i="7"/>
  <c r="BA96" i="7"/>
  <c r="BA94" i="7"/>
  <c r="BA92" i="7"/>
  <c r="BA90" i="7"/>
  <c r="BA88" i="7"/>
  <c r="BA87" i="7"/>
  <c r="BA86" i="7"/>
  <c r="BA84" i="7"/>
  <c r="BA82" i="7"/>
  <c r="BA80" i="7"/>
  <c r="BA109" i="7"/>
  <c r="BA101" i="7"/>
  <c r="BA93" i="7"/>
  <c r="BA111" i="7"/>
  <c r="BA113" i="7"/>
  <c r="BA105" i="7"/>
  <c r="BA107" i="7"/>
  <c r="BA103" i="7"/>
  <c r="BA99" i="7"/>
  <c r="BA78" i="7"/>
  <c r="BA76" i="7"/>
  <c r="BA74" i="7"/>
  <c r="BA72" i="7"/>
  <c r="BA85" i="7"/>
  <c r="BA79" i="7"/>
  <c r="BA91" i="7"/>
  <c r="BA83" i="7"/>
  <c r="BA71" i="7"/>
  <c r="BA69" i="7"/>
  <c r="BA67" i="7"/>
  <c r="BA65" i="7"/>
  <c r="BA63" i="7"/>
  <c r="BA61" i="7"/>
  <c r="BA73" i="7"/>
  <c r="BA89" i="7"/>
  <c r="BA97" i="7"/>
  <c r="BA75" i="7"/>
  <c r="BA77" i="7"/>
  <c r="BA66" i="7"/>
  <c r="BA60" i="7"/>
  <c r="BA58" i="7"/>
  <c r="BA56" i="7"/>
  <c r="BA81" i="7"/>
  <c r="BA95" i="7"/>
  <c r="BA70" i="7"/>
  <c r="BA64" i="7"/>
  <c r="BA55" i="7"/>
  <c r="BA62" i="7"/>
  <c r="BA68" i="7"/>
  <c r="BA59" i="7"/>
  <c r="BA57" i="7"/>
  <c r="BB5" i="7"/>
  <c r="AZ50" i="7" a="1"/>
  <c r="AZ50" i="7" s="1"/>
  <c r="AZ49" i="7" a="1"/>
  <c r="AZ49" i="7" s="1"/>
  <c r="AZ39" i="7" a="1"/>
  <c r="AZ39" i="7" s="1"/>
  <c r="AZ46" i="7" a="1"/>
  <c r="AZ46" i="7" s="1"/>
  <c r="AZ38" i="7" a="1"/>
  <c r="AZ38" i="7" s="1"/>
  <c r="AZ48" i="7" a="1"/>
  <c r="AZ48" i="7" s="1"/>
  <c r="AZ45" i="7" a="1"/>
  <c r="AZ45" i="7" s="1"/>
  <c r="AZ47" i="7" a="1"/>
  <c r="AZ47" i="7" s="1"/>
  <c r="AZ41" i="7" a="1"/>
  <c r="AZ41" i="7" s="1"/>
  <c r="AZ43" i="7" a="1"/>
  <c r="AZ43" i="7" s="1"/>
  <c r="AZ36" i="7" a="1"/>
  <c r="AZ36" i="7" s="1"/>
  <c r="AZ29" i="7" a="1"/>
  <c r="AZ29" i="7" s="1"/>
  <c r="AZ37" i="7" a="1"/>
  <c r="AZ37" i="7" s="1"/>
  <c r="AZ28" i="7" a="1"/>
  <c r="AZ28" i="7" s="1"/>
  <c r="AZ42" i="7" a="1"/>
  <c r="AZ42" i="7" s="1"/>
  <c r="AZ40" i="7" a="1"/>
  <c r="AZ40" i="7" s="1"/>
  <c r="AZ44" i="7" a="1"/>
  <c r="AZ44" i="7" s="1"/>
  <c r="AZ31" i="7" a="1"/>
  <c r="AZ31" i="7" s="1"/>
  <c r="AZ27" i="7" a="1"/>
  <c r="AZ27" i="7" s="1"/>
  <c r="AZ26" i="7" a="1"/>
  <c r="AZ26" i="7" s="1"/>
  <c r="AZ25" i="7" a="1"/>
  <c r="AZ25" i="7" s="1"/>
  <c r="AZ32" i="7" a="1"/>
  <c r="AZ32" i="7" s="1"/>
  <c r="AZ30" i="7" a="1"/>
  <c r="AZ30" i="7" s="1"/>
  <c r="AZ18" i="7" a="1"/>
  <c r="AZ18" i="7" s="1"/>
  <c r="AZ23" i="7" a="1"/>
  <c r="AZ23" i="7" s="1"/>
  <c r="AZ21" i="7" a="1"/>
  <c r="AZ21" i="7" s="1"/>
  <c r="AZ20" i="7" s="1"/>
  <c r="AZ22" i="7" a="1"/>
  <c r="AZ22" i="7" s="1"/>
  <c r="AZ13" i="7" a="1"/>
  <c r="AZ13" i="7" s="1"/>
  <c r="AZ24" i="7" a="1"/>
  <c r="AZ24" i="7" s="1"/>
  <c r="AZ9" i="7" a="1"/>
  <c r="AZ9" i="7" s="1"/>
  <c r="AZ17" i="7" a="1"/>
  <c r="AZ17" i="7" s="1"/>
  <c r="AZ7" i="7" a="1"/>
  <c r="AZ7" i="7" s="1"/>
  <c r="AZ51" i="7" s="1"/>
  <c r="AZ16" i="7" a="1"/>
  <c r="AZ16" i="7" s="1"/>
  <c r="AZ12" i="7" a="1"/>
  <c r="AZ12" i="7" s="1"/>
  <c r="AZ8" i="7" a="1"/>
  <c r="AZ8" i="7" s="1"/>
  <c r="AZ15" i="7" a="1"/>
  <c r="AZ15" i="7" s="1"/>
  <c r="AZ14" i="7" a="1"/>
  <c r="AZ14" i="7" s="1"/>
  <c r="AZ11" i="7" a="1"/>
  <c r="AZ11" i="7" s="1"/>
  <c r="O158" i="5"/>
  <c r="O138" i="5"/>
  <c r="O178" i="5"/>
  <c r="P179" i="5" s="1"/>
  <c r="P36" i="5"/>
  <c r="H189" i="5"/>
  <c r="H187" i="5"/>
  <c r="H188" i="5"/>
  <c r="T5" i="6"/>
  <c r="R4" i="7"/>
  <c r="R3" i="7" s="1"/>
  <c r="U4" i="6"/>
  <c r="Q162" i="5"/>
  <c r="Q142" i="5"/>
  <c r="R40" i="5"/>
  <c r="K24" i="5"/>
  <c r="K152" i="5"/>
  <c r="K132" i="5"/>
  <c r="K172" i="5"/>
  <c r="L30" i="5"/>
  <c r="U19" i="5"/>
  <c r="U21" i="5" s="1"/>
  <c r="U195" i="5"/>
  <c r="U196" i="5"/>
  <c r="T21" i="5"/>
  <c r="M135" i="5"/>
  <c r="M175" i="5"/>
  <c r="M155" i="5"/>
  <c r="N33" i="5"/>
  <c r="T75" i="5"/>
  <c r="K17" i="5"/>
  <c r="P159" i="5" l="1"/>
  <c r="P139" i="5"/>
  <c r="Q37" i="5"/>
  <c r="AZ19" i="7"/>
  <c r="AZ33" i="7" s="1"/>
  <c r="K209" i="5"/>
  <c r="K213" i="5" s="1"/>
  <c r="J46" i="5"/>
  <c r="K27" i="5"/>
  <c r="U103" i="5"/>
  <c r="U131" i="5"/>
  <c r="U136" i="5"/>
  <c r="I76" i="5"/>
  <c r="I57" i="5"/>
  <c r="K61" i="5"/>
  <c r="K77" i="5" s="1"/>
  <c r="AZ10" i="7"/>
  <c r="L20" i="5"/>
  <c r="L19" i="5"/>
  <c r="N176" i="5"/>
  <c r="N156" i="5"/>
  <c r="N136" i="5"/>
  <c r="O34" i="5"/>
  <c r="L173" i="5"/>
  <c r="L153" i="5"/>
  <c r="L133" i="5"/>
  <c r="M31" i="5"/>
  <c r="U5" i="6"/>
  <c r="V4" i="6"/>
  <c r="S4" i="7"/>
  <c r="S3" i="7" s="1"/>
  <c r="BB109" i="7"/>
  <c r="BB101" i="7"/>
  <c r="BB93" i="7"/>
  <c r="BB106" i="7"/>
  <c r="BB98" i="7"/>
  <c r="BB90" i="7"/>
  <c r="BB111" i="7"/>
  <c r="BB114" i="7"/>
  <c r="BB108" i="7"/>
  <c r="BB113" i="7"/>
  <c r="BB105" i="7"/>
  <c r="BB110" i="7"/>
  <c r="BB107" i="7"/>
  <c r="BB99" i="7"/>
  <c r="BB91" i="7"/>
  <c r="BB103" i="7"/>
  <c r="BB96" i="7"/>
  <c r="BB78" i="7"/>
  <c r="BB76" i="7"/>
  <c r="BB74" i="7"/>
  <c r="BB100" i="7"/>
  <c r="BB88" i="7"/>
  <c r="BB112" i="7"/>
  <c r="BB104" i="7"/>
  <c r="BB83" i="7"/>
  <c r="BB81" i="7"/>
  <c r="BB80" i="7"/>
  <c r="BB94" i="7"/>
  <c r="BB73" i="7"/>
  <c r="BB89" i="7"/>
  <c r="BB82" i="7"/>
  <c r="BB97" i="7"/>
  <c r="BB87" i="7"/>
  <c r="BB86" i="7"/>
  <c r="BB102" i="7"/>
  <c r="BB92" i="7"/>
  <c r="BB95" i="7"/>
  <c r="BB84" i="7"/>
  <c r="BB79" i="7"/>
  <c r="BB66" i="7"/>
  <c r="BB60" i="7"/>
  <c r="BB58" i="7"/>
  <c r="BB56" i="7"/>
  <c r="BB69" i="7"/>
  <c r="BB61" i="7"/>
  <c r="BB85" i="7"/>
  <c r="BB70" i="7"/>
  <c r="BB67" i="7"/>
  <c r="BB64" i="7"/>
  <c r="BB71" i="7"/>
  <c r="BB63" i="7"/>
  <c r="BB77" i="7"/>
  <c r="BB68" i="7"/>
  <c r="BB57" i="7"/>
  <c r="BB75" i="7"/>
  <c r="BB62" i="7"/>
  <c r="BB59" i="7"/>
  <c r="BB55" i="7"/>
  <c r="BB72" i="7"/>
  <c r="BB65" i="7"/>
  <c r="BC5" i="7"/>
  <c r="K151" i="5"/>
  <c r="K171" i="5"/>
  <c r="K131" i="5"/>
  <c r="L29" i="5"/>
  <c r="Q141" i="5"/>
  <c r="Q161" i="5"/>
  <c r="R39" i="5"/>
  <c r="U171" i="5"/>
  <c r="V180" i="5"/>
  <c r="V178" i="5"/>
  <c r="V176" i="5"/>
  <c r="V181" i="5"/>
  <c r="V175" i="5"/>
  <c r="V165" i="5"/>
  <c r="V173" i="5"/>
  <c r="V163" i="5"/>
  <c r="V179" i="5"/>
  <c r="V171" i="5"/>
  <c r="V161" i="5"/>
  <c r="V157" i="5"/>
  <c r="V155" i="5"/>
  <c r="V153" i="5"/>
  <c r="V151" i="5"/>
  <c r="V146" i="5"/>
  <c r="V183" i="5" s="1" a="1"/>
  <c r="V183" i="5" s="1"/>
  <c r="V144" i="5"/>
  <c r="V142" i="5"/>
  <c r="V170" i="5"/>
  <c r="V154" i="5"/>
  <c r="V143" i="5"/>
  <c r="V134" i="5"/>
  <c r="V106" i="5"/>
  <c r="V81" i="5"/>
  <c r="V177" i="5"/>
  <c r="V164" i="5"/>
  <c r="V141" i="5"/>
  <c r="V132" i="5"/>
  <c r="V104" i="5"/>
  <c r="V152" i="5"/>
  <c r="V139" i="5"/>
  <c r="V130" i="5"/>
  <c r="V197" i="5"/>
  <c r="W193" i="5" s="1"/>
  <c r="V166" i="5"/>
  <c r="V158" i="5"/>
  <c r="V136" i="5"/>
  <c r="V156" i="5"/>
  <c r="V138" i="5"/>
  <c r="V131" i="5"/>
  <c r="V79" i="5"/>
  <c r="V137" i="5"/>
  <c r="V105" i="5"/>
  <c r="V174" i="5"/>
  <c r="V172" i="5"/>
  <c r="V145" i="5"/>
  <c r="V140" i="5"/>
  <c r="V78" i="5"/>
  <c r="V29" i="5"/>
  <c r="V27" i="5"/>
  <c r="V135" i="5"/>
  <c r="V68" i="5" a="1"/>
  <c r="V68" i="5" s="1"/>
  <c r="V41" i="5"/>
  <c r="V39" i="5"/>
  <c r="V37" i="5"/>
  <c r="V35" i="5"/>
  <c r="V133" i="5"/>
  <c r="V82" i="5"/>
  <c r="V160" i="5"/>
  <c r="V159" i="5"/>
  <c r="V107" i="5"/>
  <c r="V100" i="5"/>
  <c r="V99" i="5" s="1"/>
  <c r="V66" i="5"/>
  <c r="V64" i="5" s="1"/>
  <c r="V33" i="5"/>
  <c r="V28" i="5"/>
  <c r="V30" i="5"/>
  <c r="V20" i="5"/>
  <c r="V21" i="5" s="1"/>
  <c r="V24" i="5"/>
  <c r="V40" i="5"/>
  <c r="V36" i="5"/>
  <c r="V16" i="5"/>
  <c r="V13" i="5"/>
  <c r="V202" i="5" s="1"/>
  <c r="V31" i="5"/>
  <c r="V11" i="5"/>
  <c r="V93" i="5"/>
  <c r="V150" i="5"/>
  <c r="V34" i="5"/>
  <c r="V162" i="5"/>
  <c r="V50" i="5"/>
  <c r="V59" i="5" s="1"/>
  <c r="V76" i="5" s="1"/>
  <c r="V45" i="5" a="1"/>
  <c r="V45" i="5" s="1"/>
  <c r="V38" i="5"/>
  <c r="V32" i="5"/>
  <c r="V14" i="5"/>
  <c r="V12" i="5"/>
  <c r="V17" i="5"/>
  <c r="W5" i="5"/>
  <c r="V6" i="5"/>
  <c r="V18" i="5" s="1"/>
  <c r="V62" i="5" s="1"/>
  <c r="V61" i="5" s="1"/>
  <c r="V77" i="5" s="1"/>
  <c r="U135" i="5"/>
  <c r="U156" i="5"/>
  <c r="K221" i="5"/>
  <c r="J223" i="5"/>
  <c r="V195" i="5"/>
  <c r="V196" i="5"/>
  <c r="U75" i="5"/>
  <c r="J47" i="5"/>
  <c r="J50" i="5"/>
  <c r="J59" i="5" s="1"/>
  <c r="V51" i="5"/>
  <c r="V58" i="5" s="1"/>
  <c r="T61" i="5"/>
  <c r="R143" i="5"/>
  <c r="R163" i="5"/>
  <c r="S41" i="5"/>
  <c r="BA50" i="7" a="1"/>
  <c r="BA50" i="7" s="1"/>
  <c r="BA49" i="7" a="1"/>
  <c r="BA49" i="7" s="1"/>
  <c r="BA48" i="7" a="1"/>
  <c r="BA48" i="7" s="1"/>
  <c r="BA45" i="7" a="1"/>
  <c r="BA45" i="7" s="1"/>
  <c r="BA37" i="7" a="1"/>
  <c r="BA37" i="7" s="1"/>
  <c r="BA44" i="7" a="1"/>
  <c r="BA44" i="7" s="1"/>
  <c r="BA47" i="7" a="1"/>
  <c r="BA47" i="7" s="1"/>
  <c r="BA39" i="7" a="1"/>
  <c r="BA39" i="7" s="1"/>
  <c r="BA42" i="7" a="1"/>
  <c r="BA42" i="7" s="1"/>
  <c r="BA28" i="7" a="1"/>
  <c r="BA28" i="7" s="1"/>
  <c r="BA41" i="7" a="1"/>
  <c r="BA41" i="7" s="1"/>
  <c r="BA40" i="7" a="1"/>
  <c r="BA40" i="7" s="1"/>
  <c r="BA46" i="7" a="1"/>
  <c r="BA46" i="7" s="1"/>
  <c r="BA43" i="7" a="1"/>
  <c r="BA43" i="7" s="1"/>
  <c r="BA36" i="7" a="1"/>
  <c r="BA36" i="7" s="1"/>
  <c r="BA30" i="7" a="1"/>
  <c r="BA30" i="7" s="1"/>
  <c r="BA31" i="7" a="1"/>
  <c r="BA31" i="7" s="1"/>
  <c r="BA38" i="7" a="1"/>
  <c r="BA38" i="7" s="1"/>
  <c r="BA32" i="7" a="1"/>
  <c r="BA32" i="7" s="1"/>
  <c r="BA25" i="7" a="1"/>
  <c r="BA25" i="7" s="1"/>
  <c r="BA29" i="7" a="1"/>
  <c r="BA29" i="7" s="1"/>
  <c r="BA27" i="7" a="1"/>
  <c r="BA27" i="7" s="1"/>
  <c r="BA26" i="7" a="1"/>
  <c r="BA26" i="7" s="1"/>
  <c r="BA23" i="7" a="1"/>
  <c r="BA23" i="7" s="1"/>
  <c r="BA21" i="7" a="1"/>
  <c r="BA21" i="7" s="1"/>
  <c r="BA20" i="7" s="1"/>
  <c r="BA17" i="7" a="1"/>
  <c r="BA17" i="7" s="1"/>
  <c r="BA9" i="7" a="1"/>
  <c r="BA9" i="7" s="1"/>
  <c r="BA13" i="7" a="1"/>
  <c r="BA13" i="7" s="1"/>
  <c r="BA12" i="7" a="1"/>
  <c r="BA12" i="7" s="1"/>
  <c r="BA8" i="7" a="1"/>
  <c r="BA8" i="7" s="1"/>
  <c r="BA15" i="7" a="1"/>
  <c r="BA15" i="7" s="1"/>
  <c r="BA11" i="7" a="1"/>
  <c r="BA11" i="7" s="1"/>
  <c r="BA22" i="7" a="1"/>
  <c r="BA22" i="7" s="1"/>
  <c r="BA18" i="7" a="1"/>
  <c r="BA18" i="7" s="1"/>
  <c r="BA24" i="7" a="1"/>
  <c r="BA24" i="7" s="1"/>
  <c r="BA16" i="7" a="1"/>
  <c r="BA16" i="7" s="1"/>
  <c r="BA14" i="7" a="1"/>
  <c r="BA14" i="7" s="1"/>
  <c r="BA7" i="7" a="1"/>
  <c r="BA7" i="7" s="1"/>
  <c r="BA51" i="7" s="1"/>
  <c r="K75" i="5"/>
  <c r="T4" i="7" l="1"/>
  <c r="T3" i="7" s="1"/>
  <c r="W4" i="6"/>
  <c r="V5" i="6"/>
  <c r="I55" i="5"/>
  <c r="I82" i="5"/>
  <c r="I74" i="5" s="1"/>
  <c r="I72" i="5" s="1"/>
  <c r="I71" i="5" s="1"/>
  <c r="I81" i="5"/>
  <c r="K222" i="5"/>
  <c r="K214" i="5"/>
  <c r="R142" i="5"/>
  <c r="R162" i="5"/>
  <c r="S40" i="5"/>
  <c r="W173" i="5"/>
  <c r="W163" i="5"/>
  <c r="W106" i="5"/>
  <c r="W104" i="5"/>
  <c r="W179" i="5"/>
  <c r="W176" i="5"/>
  <c r="W171" i="5"/>
  <c r="W161" i="5"/>
  <c r="W157" i="5"/>
  <c r="W166" i="5"/>
  <c r="W159" i="5"/>
  <c r="W177" i="5"/>
  <c r="W164" i="5"/>
  <c r="W146" i="5"/>
  <c r="W183" i="5" s="1" a="1"/>
  <c r="W183" i="5" s="1"/>
  <c r="W141" i="5"/>
  <c r="W132" i="5"/>
  <c r="W78" i="5"/>
  <c r="W181" i="5"/>
  <c r="W165" i="5"/>
  <c r="W152" i="5"/>
  <c r="W139" i="5"/>
  <c r="W130" i="5"/>
  <c r="W162" i="5"/>
  <c r="W155" i="5"/>
  <c r="W144" i="5"/>
  <c r="W137" i="5"/>
  <c r="W197" i="5"/>
  <c r="X193" i="5" s="1"/>
  <c r="W170" i="5"/>
  <c r="W154" i="5"/>
  <c r="W143" i="5"/>
  <c r="W134" i="5"/>
  <c r="W178" i="5"/>
  <c r="W158" i="5"/>
  <c r="W151" i="5"/>
  <c r="W105" i="5"/>
  <c r="W175" i="5"/>
  <c r="W174" i="5"/>
  <c r="W153" i="5"/>
  <c r="W140" i="5"/>
  <c r="W133" i="5"/>
  <c r="W180" i="5"/>
  <c r="W172" i="5"/>
  <c r="W136" i="5"/>
  <c r="W93" i="5"/>
  <c r="W68" i="5" a="1"/>
  <c r="W68" i="5" s="1"/>
  <c r="W29" i="5"/>
  <c r="W27" i="5"/>
  <c r="W45" i="5" s="1" a="1"/>
  <c r="W45" i="5" s="1"/>
  <c r="W135" i="5"/>
  <c r="W81" i="5"/>
  <c r="W41" i="5"/>
  <c r="W39" i="5"/>
  <c r="W37" i="5"/>
  <c r="W35" i="5"/>
  <c r="W33" i="5"/>
  <c r="W31" i="5"/>
  <c r="W79" i="5"/>
  <c r="W156" i="5"/>
  <c r="W138" i="5"/>
  <c r="W82" i="5"/>
  <c r="W145" i="5"/>
  <c r="W131" i="5"/>
  <c r="W30" i="5"/>
  <c r="W20" i="5"/>
  <c r="W40" i="5"/>
  <c r="W36" i="5"/>
  <c r="W16" i="5"/>
  <c r="W13" i="5"/>
  <c r="W202" i="5" s="1"/>
  <c r="W160" i="5"/>
  <c r="W142" i="5"/>
  <c r="W24" i="5"/>
  <c r="W11" i="5"/>
  <c r="X19" i="5" s="1"/>
  <c r="W150" i="5"/>
  <c r="W100" i="5"/>
  <c r="W99" i="5" s="1"/>
  <c r="W50" i="5"/>
  <c r="W59" i="5" s="1"/>
  <c r="W76" i="5" s="1"/>
  <c r="W38" i="5"/>
  <c r="W107" i="5"/>
  <c r="W66" i="5"/>
  <c r="W64" i="5" s="1"/>
  <c r="W32" i="5"/>
  <c r="W28" i="5"/>
  <c r="W34" i="5"/>
  <c r="W14" i="5"/>
  <c r="W17" i="5"/>
  <c r="X5" i="5"/>
  <c r="W12" i="5"/>
  <c r="W6" i="5"/>
  <c r="W18" i="5" s="1"/>
  <c r="BC106" i="7"/>
  <c r="BC98" i="7"/>
  <c r="BC90" i="7"/>
  <c r="BC111" i="7"/>
  <c r="BC103" i="7"/>
  <c r="BC95" i="7"/>
  <c r="BC114" i="7"/>
  <c r="BC108" i="7"/>
  <c r="BC113" i="7"/>
  <c r="BC110" i="7"/>
  <c r="BC107" i="7"/>
  <c r="BC112" i="7"/>
  <c r="BC104" i="7"/>
  <c r="BC96" i="7"/>
  <c r="BC87" i="7"/>
  <c r="BC86" i="7"/>
  <c r="BC84" i="7"/>
  <c r="BC100" i="7"/>
  <c r="BC99" i="7"/>
  <c r="BC88" i="7"/>
  <c r="BC97" i="7"/>
  <c r="BC94" i="7"/>
  <c r="BC82" i="7"/>
  <c r="BC109" i="7"/>
  <c r="BC105" i="7"/>
  <c r="BC101" i="7"/>
  <c r="BC102" i="7"/>
  <c r="BC89" i="7"/>
  <c r="BC80" i="7"/>
  <c r="BC77" i="7"/>
  <c r="BC93" i="7"/>
  <c r="BC92" i="7"/>
  <c r="BC85" i="7"/>
  <c r="BC72" i="7"/>
  <c r="BC71" i="7"/>
  <c r="BC69" i="7"/>
  <c r="BC67" i="7"/>
  <c r="BC65" i="7"/>
  <c r="BC73" i="7"/>
  <c r="BC61" i="7"/>
  <c r="BC91" i="7"/>
  <c r="BC75" i="7"/>
  <c r="BC78" i="7"/>
  <c r="BC81" i="7"/>
  <c r="BC83" i="7"/>
  <c r="BC63" i="7"/>
  <c r="BC68" i="7"/>
  <c r="BC66" i="7"/>
  <c r="BC57" i="7"/>
  <c r="BC74" i="7"/>
  <c r="BC70" i="7"/>
  <c r="BC79" i="7"/>
  <c r="BC60" i="7"/>
  <c r="BC55" i="7"/>
  <c r="BC76" i="7"/>
  <c r="BC64" i="7"/>
  <c r="BC56" i="7"/>
  <c r="BC62" i="7"/>
  <c r="BC59" i="7"/>
  <c r="BC58" i="7"/>
  <c r="BD5" i="7"/>
  <c r="M154" i="5"/>
  <c r="M134" i="5"/>
  <c r="M78" i="5"/>
  <c r="M174" i="5"/>
  <c r="N32" i="5"/>
  <c r="BA19" i="7"/>
  <c r="BA33" i="7" s="1"/>
  <c r="V75" i="5"/>
  <c r="V74" i="5" s="1"/>
  <c r="V72" i="5" s="1"/>
  <c r="V57" i="5"/>
  <c r="V55" i="5" s="1"/>
  <c r="V103" i="5"/>
  <c r="L21" i="5"/>
  <c r="T77" i="5"/>
  <c r="Q140" i="5"/>
  <c r="Q160" i="5"/>
  <c r="R38" i="5"/>
  <c r="V47" i="5"/>
  <c r="BA10" i="7"/>
  <c r="J76" i="5"/>
  <c r="J57" i="5"/>
  <c r="S144" i="5"/>
  <c r="S164" i="5"/>
  <c r="BB50" i="7" a="1"/>
  <c r="BB50" i="7" s="1"/>
  <c r="BB49" i="7" a="1"/>
  <c r="BB49" i="7" s="1"/>
  <c r="BB48" i="7" a="1"/>
  <c r="BB48" i="7" s="1"/>
  <c r="BB43" i="7" a="1"/>
  <c r="BB43" i="7" s="1"/>
  <c r="BB47" i="7" a="1"/>
  <c r="BB47" i="7" s="1"/>
  <c r="BB42" i="7" a="1"/>
  <c r="BB42" i="7" s="1"/>
  <c r="BB45" i="7" a="1"/>
  <c r="BB45" i="7" s="1"/>
  <c r="BB37" i="7" a="1"/>
  <c r="BB37" i="7" s="1"/>
  <c r="BB41" i="7" a="1"/>
  <c r="BB41" i="7" s="1"/>
  <c r="BB40" i="7" a="1"/>
  <c r="BB40" i="7" s="1"/>
  <c r="BB44" i="7" a="1"/>
  <c r="BB44" i="7" s="1"/>
  <c r="BB39" i="7" a="1"/>
  <c r="BB39" i="7" s="1"/>
  <c r="BB46" i="7" a="1"/>
  <c r="BB46" i="7" s="1"/>
  <c r="BB38" i="7" a="1"/>
  <c r="BB38" i="7" s="1"/>
  <c r="BB28" i="7" a="1"/>
  <c r="BB28" i="7" s="1"/>
  <c r="BB30" i="7" a="1"/>
  <c r="BB30" i="7" s="1"/>
  <c r="BB36" i="7" a="1"/>
  <c r="BB36" i="7" s="1"/>
  <c r="BB31" i="7" a="1"/>
  <c r="BB31" i="7" s="1"/>
  <c r="BB18" i="7" a="1"/>
  <c r="BB18" i="7" s="1"/>
  <c r="BB24" i="7" a="1"/>
  <c r="BB24" i="7" s="1"/>
  <c r="BB23" i="7" a="1"/>
  <c r="BB23" i="7" s="1"/>
  <c r="BB29" i="7" a="1"/>
  <c r="BB29" i="7" s="1"/>
  <c r="BB32" i="7" a="1"/>
  <c r="BB32" i="7" s="1"/>
  <c r="BB25" i="7" a="1"/>
  <c r="BB25" i="7" s="1"/>
  <c r="BB21" i="7" a="1"/>
  <c r="BB21" i="7" s="1"/>
  <c r="BB20" i="7" s="1"/>
  <c r="BB26" i="7" a="1"/>
  <c r="BB26" i="7" s="1"/>
  <c r="BB17" i="7" a="1"/>
  <c r="BB17" i="7" s="1"/>
  <c r="BB27" i="7" a="1"/>
  <c r="BB27" i="7" s="1"/>
  <c r="BB14" i="7" a="1"/>
  <c r="BB14" i="7" s="1"/>
  <c r="BB13" i="7" a="1"/>
  <c r="BB13" i="7" s="1"/>
  <c r="BB12" i="7" a="1"/>
  <c r="BB12" i="7" s="1"/>
  <c r="BB15" i="7" a="1"/>
  <c r="BB15" i="7" s="1"/>
  <c r="BB11" i="7" a="1"/>
  <c r="BB11" i="7" s="1"/>
  <c r="BB16" i="7" a="1"/>
  <c r="BB16" i="7" s="1"/>
  <c r="BB22" i="7" a="1"/>
  <c r="BB22" i="7" s="1"/>
  <c r="BB8" i="7" a="1"/>
  <c r="BB8" i="7" s="1"/>
  <c r="BB9" i="7" a="1"/>
  <c r="BB9" i="7" s="1"/>
  <c r="BB7" i="7" a="1"/>
  <c r="BB7" i="7" s="1"/>
  <c r="BB51" i="7" s="1"/>
  <c r="W19" i="5"/>
  <c r="W51" i="5"/>
  <c r="W58" i="5" s="1"/>
  <c r="V44" i="5"/>
  <c r="L172" i="5"/>
  <c r="L152" i="5"/>
  <c r="L132" i="5"/>
  <c r="M30" i="5"/>
  <c r="O177" i="5"/>
  <c r="O137" i="5"/>
  <c r="O79" i="5"/>
  <c r="O157" i="5"/>
  <c r="P35" i="5"/>
  <c r="W196" i="5"/>
  <c r="W195" i="5"/>
  <c r="K44" i="5"/>
  <c r="L51" i="5"/>
  <c r="L58" i="5" s="1"/>
  <c r="K170" i="5"/>
  <c r="K180" i="5" s="1"/>
  <c r="K181" i="5" s="1"/>
  <c r="K150" i="5"/>
  <c r="K165" i="5" s="1"/>
  <c r="K166" i="5" s="1"/>
  <c r="K45" i="5" a="1"/>
  <c r="K45" i="5" s="1"/>
  <c r="L66" i="5" s="1"/>
  <c r="L64" i="5" s="1"/>
  <c r="K130" i="5"/>
  <c r="K145" i="5" s="1"/>
  <c r="K146" i="5" s="1"/>
  <c r="K183" i="5" s="1" a="1"/>
  <c r="K183" i="5" s="1"/>
  <c r="L28" i="5"/>
  <c r="L18" i="5"/>
  <c r="L62" i="5" s="1"/>
  <c r="K46" i="5" l="1"/>
  <c r="L209" i="5" s="1"/>
  <c r="L213" i="5" s="1"/>
  <c r="L27" i="5"/>
  <c r="BD113" i="7"/>
  <c r="BD111" i="7"/>
  <c r="BD109" i="7"/>
  <c r="BD107" i="7"/>
  <c r="BD105" i="7"/>
  <c r="BD103" i="7"/>
  <c r="BD101" i="7"/>
  <c r="BD99" i="7"/>
  <c r="BD97" i="7"/>
  <c r="BD95" i="7"/>
  <c r="BD93" i="7"/>
  <c r="BD91" i="7"/>
  <c r="BD89" i="7"/>
  <c r="BD87" i="7"/>
  <c r="BD114" i="7"/>
  <c r="BD112" i="7"/>
  <c r="BD110" i="7"/>
  <c r="BD108" i="7"/>
  <c r="BD106" i="7"/>
  <c r="BD104" i="7"/>
  <c r="BD102" i="7"/>
  <c r="BD100" i="7"/>
  <c r="BD98" i="7"/>
  <c r="BD96" i="7"/>
  <c r="BD94" i="7"/>
  <c r="BD92" i="7"/>
  <c r="BD90" i="7"/>
  <c r="BD88" i="7"/>
  <c r="BD85" i="7"/>
  <c r="BD83" i="7"/>
  <c r="BD82" i="7"/>
  <c r="BD78" i="7"/>
  <c r="BD76" i="7"/>
  <c r="BD74" i="7"/>
  <c r="BD80" i="7"/>
  <c r="BD77" i="7"/>
  <c r="BD70" i="7"/>
  <c r="BD68" i="7"/>
  <c r="BD66" i="7"/>
  <c r="BD64" i="7"/>
  <c r="BD86" i="7"/>
  <c r="BD81" i="7"/>
  <c r="BD73" i="7"/>
  <c r="BD75" i="7"/>
  <c r="BD69" i="7"/>
  <c r="BD72" i="7"/>
  <c r="BD65" i="7"/>
  <c r="BD84" i="7"/>
  <c r="BD79" i="7"/>
  <c r="BD60" i="7"/>
  <c r="BD58" i="7"/>
  <c r="BD56" i="7"/>
  <c r="BD67" i="7"/>
  <c r="BD71" i="7"/>
  <c r="BD63" i="7"/>
  <c r="BD62" i="7"/>
  <c r="BD61" i="7"/>
  <c r="BD59" i="7"/>
  <c r="BD57" i="7"/>
  <c r="BD55" i="7"/>
  <c r="BE5" i="7"/>
  <c r="W103" i="5"/>
  <c r="L221" i="5"/>
  <c r="K223" i="5"/>
  <c r="M173" i="5"/>
  <c r="M133" i="5"/>
  <c r="M153" i="5"/>
  <c r="N31" i="5"/>
  <c r="BB33" i="7"/>
  <c r="BB10" i="7"/>
  <c r="J55" i="5"/>
  <c r="J81" i="5"/>
  <c r="J74" i="5" s="1"/>
  <c r="J72" i="5" s="1"/>
  <c r="J71" i="5" s="1"/>
  <c r="J82" i="5"/>
  <c r="X196" i="5"/>
  <c r="X195" i="5"/>
  <c r="I188" i="5"/>
  <c r="I189" i="5"/>
  <c r="I187" i="5"/>
  <c r="S143" i="5"/>
  <c r="S163" i="5"/>
  <c r="T41" i="5"/>
  <c r="L61" i="5"/>
  <c r="L77" i="5" s="1"/>
  <c r="L131" i="5"/>
  <c r="L171" i="5"/>
  <c r="L151" i="5"/>
  <c r="M29" i="5"/>
  <c r="X51" i="5"/>
  <c r="X58" i="5" s="1"/>
  <c r="W44" i="5"/>
  <c r="W209" i="5"/>
  <c r="W213" i="5" s="1"/>
  <c r="V46" i="5"/>
  <c r="BB19" i="7"/>
  <c r="L24" i="5"/>
  <c r="L17" i="5"/>
  <c r="W62" i="5"/>
  <c r="U4" i="7"/>
  <c r="U3" i="7" s="1"/>
  <c r="X4" i="6"/>
  <c r="W5" i="6"/>
  <c r="N135" i="5"/>
  <c r="N175" i="5"/>
  <c r="N155" i="5"/>
  <c r="O33" i="5"/>
  <c r="K47" i="5"/>
  <c r="K50" i="5"/>
  <c r="K59" i="5" s="1"/>
  <c r="P158" i="5"/>
  <c r="P138" i="5"/>
  <c r="P178" i="5"/>
  <c r="Q179" i="5" s="1"/>
  <c r="Q36" i="5"/>
  <c r="W75" i="5"/>
  <c r="W57" i="5"/>
  <c r="L75" i="5"/>
  <c r="W21" i="5"/>
  <c r="R141" i="5"/>
  <c r="R161" i="5"/>
  <c r="S39" i="5"/>
  <c r="BC47" i="7" a="1"/>
  <c r="BC47" i="7" s="1"/>
  <c r="BC50" i="7" a="1"/>
  <c r="BC50" i="7" s="1"/>
  <c r="BC49" i="7" a="1"/>
  <c r="BC49" i="7" s="1"/>
  <c r="BC42" i="7" a="1"/>
  <c r="BC42" i="7" s="1"/>
  <c r="BC41" i="7" a="1"/>
  <c r="BC41" i="7" s="1"/>
  <c r="BC46" i="7" a="1"/>
  <c r="BC46" i="7" s="1"/>
  <c r="BC44" i="7" a="1"/>
  <c r="BC44" i="7" s="1"/>
  <c r="BC32" i="7" a="1"/>
  <c r="BC32" i="7" s="1"/>
  <c r="BC27" i="7" a="1"/>
  <c r="BC27" i="7" s="1"/>
  <c r="BC40" i="7" a="1"/>
  <c r="BC40" i="7" s="1"/>
  <c r="BC31" i="7" a="1"/>
  <c r="BC31" i="7" s="1"/>
  <c r="BC48" i="7" a="1"/>
  <c r="BC48" i="7" s="1"/>
  <c r="BC45" i="7" a="1"/>
  <c r="BC45" i="7" s="1"/>
  <c r="BC39" i="7" a="1"/>
  <c r="BC39" i="7" s="1"/>
  <c r="BC43" i="7" a="1"/>
  <c r="BC43" i="7" s="1"/>
  <c r="BC29" i="7" a="1"/>
  <c r="BC29" i="7" s="1"/>
  <c r="BC26" i="7" a="1"/>
  <c r="BC26" i="7" s="1"/>
  <c r="BC36" i="7" a="1"/>
  <c r="BC36" i="7" s="1"/>
  <c r="BC38" i="7" a="1"/>
  <c r="BC38" i="7" s="1"/>
  <c r="BC37" i="7" a="1"/>
  <c r="BC37" i="7" s="1"/>
  <c r="BC30" i="7" a="1"/>
  <c r="BC30" i="7" s="1"/>
  <c r="BC28" i="7" a="1"/>
  <c r="BC28" i="7" s="1"/>
  <c r="BC24" i="7" a="1"/>
  <c r="BC24" i="7" s="1"/>
  <c r="BC23" i="7" a="1"/>
  <c r="BC23" i="7" s="1"/>
  <c r="BC17" i="7" a="1"/>
  <c r="BC17" i="7" s="1"/>
  <c r="BC25" i="7" a="1"/>
  <c r="BC25" i="7" s="1"/>
  <c r="BC16" i="7" a="1"/>
  <c r="BC16" i="7" s="1"/>
  <c r="BC22" i="7" a="1"/>
  <c r="BC22" i="7" s="1"/>
  <c r="BC21" i="7" a="1"/>
  <c r="BC21" i="7" s="1"/>
  <c r="BC20" i="7" s="1"/>
  <c r="BC15" i="7" a="1"/>
  <c r="BC15" i="7" s="1"/>
  <c r="BC18" i="7" a="1"/>
  <c r="BC18" i="7" s="1"/>
  <c r="BC11" i="7" a="1"/>
  <c r="BC11" i="7" s="1"/>
  <c r="BC13" i="7" a="1"/>
  <c r="BC13" i="7" s="1"/>
  <c r="BC12" i="7" a="1"/>
  <c r="BC12" i="7" s="1"/>
  <c r="BC14" i="7" a="1"/>
  <c r="BC14" i="7" s="1"/>
  <c r="BC9" i="7" a="1"/>
  <c r="BC9" i="7" s="1"/>
  <c r="BC7" i="7" a="1"/>
  <c r="BC7" i="7" s="1"/>
  <c r="BC8" i="7" a="1"/>
  <c r="BC8" i="7" s="1"/>
  <c r="X197" i="5"/>
  <c r="Y193" i="5" s="1"/>
  <c r="X179" i="5"/>
  <c r="X176" i="5"/>
  <c r="X171" i="5"/>
  <c r="X161" i="5"/>
  <c r="X157" i="5"/>
  <c r="X155" i="5"/>
  <c r="X153" i="5"/>
  <c r="X151" i="5"/>
  <c r="X146" i="5"/>
  <c r="X183" i="5" s="1" a="1"/>
  <c r="X183" i="5" s="1"/>
  <c r="X144" i="5"/>
  <c r="X142" i="5"/>
  <c r="X140" i="5"/>
  <c r="X138" i="5"/>
  <c r="X136" i="5"/>
  <c r="X134" i="5"/>
  <c r="X132" i="5"/>
  <c r="X130" i="5"/>
  <c r="X166" i="5"/>
  <c r="X159" i="5"/>
  <c r="X177" i="5"/>
  <c r="X164" i="5"/>
  <c r="X181" i="5"/>
  <c r="X165" i="5"/>
  <c r="X152" i="5"/>
  <c r="X139" i="5"/>
  <c r="X104" i="5"/>
  <c r="X162" i="5"/>
  <c r="X137" i="5"/>
  <c r="X175" i="5"/>
  <c r="X174" i="5"/>
  <c r="X163" i="5"/>
  <c r="X150" i="5"/>
  <c r="X135" i="5"/>
  <c r="X141" i="5"/>
  <c r="X106" i="5"/>
  <c r="X143" i="5"/>
  <c r="X133" i="5"/>
  <c r="X81" i="5"/>
  <c r="X180" i="5"/>
  <c r="X173" i="5"/>
  <c r="X172" i="5"/>
  <c r="X145" i="5"/>
  <c r="X170" i="5"/>
  <c r="X154" i="5"/>
  <c r="X178" i="5"/>
  <c r="X78" i="5"/>
  <c r="X41" i="5"/>
  <c r="X39" i="5"/>
  <c r="X37" i="5"/>
  <c r="X35" i="5"/>
  <c r="X33" i="5"/>
  <c r="X31" i="5"/>
  <c r="X79" i="5"/>
  <c r="X156" i="5"/>
  <c r="X82" i="5"/>
  <c r="X93" i="5"/>
  <c r="X158" i="5"/>
  <c r="X105" i="5"/>
  <c r="X40" i="5"/>
  <c r="X36" i="5"/>
  <c r="X16" i="5"/>
  <c r="X13" i="5"/>
  <c r="X202" i="5" s="1"/>
  <c r="X160" i="5"/>
  <c r="X24" i="5"/>
  <c r="X11" i="5"/>
  <c r="X34" i="5"/>
  <c r="X29" i="5"/>
  <c r="Y5" i="5"/>
  <c r="X100" i="5"/>
  <c r="X99" i="5" s="1"/>
  <c r="X50" i="5"/>
  <c r="X59" i="5" s="1"/>
  <c r="X76" i="5" s="1"/>
  <c r="X38" i="5"/>
  <c r="X107" i="5"/>
  <c r="X66" i="5"/>
  <c r="X64" i="5" s="1"/>
  <c r="X32" i="5"/>
  <c r="X131" i="5"/>
  <c r="X68" i="5" a="1"/>
  <c r="X68" i="5" s="1"/>
  <c r="X28" i="5"/>
  <c r="X30" i="5"/>
  <c r="X45" i="5" s="1" a="1"/>
  <c r="X45" i="5" s="1"/>
  <c r="X20" i="5"/>
  <c r="X21" i="5" s="1"/>
  <c r="X17" i="5"/>
  <c r="X27" i="5"/>
  <c r="X12" i="5"/>
  <c r="X14" i="5"/>
  <c r="X6" i="5"/>
  <c r="X18" i="5" s="1"/>
  <c r="V96" i="5"/>
  <c r="V95" i="5" s="1"/>
  <c r="V71" i="5" s="1"/>
  <c r="V189" i="5" l="1"/>
  <c r="V187" i="5"/>
  <c r="V188" i="5"/>
  <c r="X96" i="5"/>
  <c r="X95" i="5" s="1"/>
  <c r="X47" i="5"/>
  <c r="L222" i="5"/>
  <c r="L214" i="5"/>
  <c r="K76" i="5"/>
  <c r="K57" i="5"/>
  <c r="W222" i="5"/>
  <c r="W214" i="5"/>
  <c r="T164" i="5"/>
  <c r="T144" i="5"/>
  <c r="X44" i="5"/>
  <c r="Y51" i="5"/>
  <c r="Y58" i="5" s="1"/>
  <c r="Y19" i="5"/>
  <c r="W55" i="5"/>
  <c r="Y4" i="6"/>
  <c r="V4" i="7"/>
  <c r="V3" i="7" s="1"/>
  <c r="X5" i="6"/>
  <c r="W46" i="5"/>
  <c r="X209" i="5" s="1"/>
  <c r="X213" i="5" s="1"/>
  <c r="W96" i="5"/>
  <c r="W95" i="5" s="1"/>
  <c r="X103" i="5"/>
  <c r="X75" i="5"/>
  <c r="X57" i="5"/>
  <c r="J188" i="5"/>
  <c r="J189" i="5"/>
  <c r="J187" i="5"/>
  <c r="S162" i="5"/>
  <c r="S142" i="5"/>
  <c r="T40" i="5"/>
  <c r="O176" i="5"/>
  <c r="O156" i="5"/>
  <c r="O136" i="5"/>
  <c r="P34" i="5"/>
  <c r="W61" i="5"/>
  <c r="M172" i="5"/>
  <c r="M152" i="5"/>
  <c r="M132" i="5"/>
  <c r="N30" i="5"/>
  <c r="Y196" i="5"/>
  <c r="Y195" i="5"/>
  <c r="Q159" i="5"/>
  <c r="Q139" i="5"/>
  <c r="R37" i="5"/>
  <c r="M20" i="5"/>
  <c r="M19" i="5"/>
  <c r="BE113" i="7"/>
  <c r="BE111" i="7"/>
  <c r="BE109" i="7"/>
  <c r="BE107" i="7"/>
  <c r="BE105" i="7"/>
  <c r="BE103" i="7"/>
  <c r="BE101" i="7"/>
  <c r="BE99" i="7"/>
  <c r="BE97" i="7"/>
  <c r="BE95" i="7"/>
  <c r="BE93" i="7"/>
  <c r="BE91" i="7"/>
  <c r="BE89" i="7"/>
  <c r="BE85" i="7"/>
  <c r="BE83" i="7"/>
  <c r="BE81" i="7"/>
  <c r="BE79" i="7"/>
  <c r="BE114" i="7"/>
  <c r="BE108" i="7"/>
  <c r="BE100" i="7"/>
  <c r="BE92" i="7"/>
  <c r="BE110" i="7"/>
  <c r="BE112" i="7"/>
  <c r="BE94" i="7"/>
  <c r="BE77" i="7"/>
  <c r="BE75" i="7"/>
  <c r="BE73" i="7"/>
  <c r="BE104" i="7"/>
  <c r="BE102" i="7"/>
  <c r="BE106" i="7"/>
  <c r="BE88" i="7"/>
  <c r="BE82" i="7"/>
  <c r="BE70" i="7"/>
  <c r="BE68" i="7"/>
  <c r="BE66" i="7"/>
  <c r="BE64" i="7"/>
  <c r="BE62" i="7"/>
  <c r="BE87" i="7"/>
  <c r="BE86" i="7"/>
  <c r="BE74" i="7"/>
  <c r="BE98" i="7"/>
  <c r="BE96" i="7"/>
  <c r="BE84" i="7"/>
  <c r="BE76" i="7"/>
  <c r="BE72" i="7"/>
  <c r="BE65" i="7"/>
  <c r="BE78" i="7"/>
  <c r="BE71" i="7"/>
  <c r="BE59" i="7"/>
  <c r="BE57" i="7"/>
  <c r="BE55" i="7"/>
  <c r="BE90" i="7"/>
  <c r="BE80" i="7"/>
  <c r="BE61" i="7"/>
  <c r="BE67" i="7"/>
  <c r="BE69" i="7"/>
  <c r="BE63" i="7"/>
  <c r="BE60" i="7"/>
  <c r="BE58" i="7"/>
  <c r="BE56" i="7"/>
  <c r="BF5" i="7"/>
  <c r="M51" i="5"/>
  <c r="M58" i="5" s="1"/>
  <c r="L44" i="5"/>
  <c r="L170" i="5"/>
  <c r="L180" i="5" s="1"/>
  <c r="L181" i="5" s="1"/>
  <c r="L150" i="5"/>
  <c r="L165" i="5" s="1"/>
  <c r="L166" i="5" s="1"/>
  <c r="L130" i="5"/>
  <c r="L145" i="5" s="1"/>
  <c r="L146" i="5" s="1"/>
  <c r="L183" i="5" s="1" a="1"/>
  <c r="L183" i="5" s="1"/>
  <c r="L45" i="5" a="1"/>
  <c r="L45" i="5" s="1"/>
  <c r="M28" i="5"/>
  <c r="M18" i="5"/>
  <c r="M62" i="5" s="1"/>
  <c r="M66" i="5"/>
  <c r="M64" i="5" s="1"/>
  <c r="N78" i="5"/>
  <c r="N134" i="5"/>
  <c r="N154" i="5"/>
  <c r="N174" i="5"/>
  <c r="O32" i="5"/>
  <c r="BD50" i="7" a="1"/>
  <c r="BD50" i="7" s="1"/>
  <c r="BD40" i="7" a="1"/>
  <c r="BD40" i="7" s="1"/>
  <c r="BD39" i="7" a="1"/>
  <c r="BD39" i="7" s="1"/>
  <c r="BD46" i="7" a="1"/>
  <c r="BD46" i="7" s="1"/>
  <c r="BD49" i="7" a="1"/>
  <c r="BD49" i="7" s="1"/>
  <c r="BD48" i="7" a="1"/>
  <c r="BD48" i="7" s="1"/>
  <c r="BD42" i="7" a="1"/>
  <c r="BD42" i="7" s="1"/>
  <c r="BD45" i="7" a="1"/>
  <c r="BD45" i="7" s="1"/>
  <c r="BD30" i="7" a="1"/>
  <c r="BD30" i="7" s="1"/>
  <c r="BD36" i="7" a="1"/>
  <c r="BD36" i="7" s="1"/>
  <c r="BD29" i="7" a="1"/>
  <c r="BD29" i="7" s="1"/>
  <c r="BD44" i="7" a="1"/>
  <c r="BD44" i="7" s="1"/>
  <c r="BD47" i="7" a="1"/>
  <c r="BD47" i="7" s="1"/>
  <c r="BD43" i="7" a="1"/>
  <c r="BD43" i="7" s="1"/>
  <c r="BD32" i="7" a="1"/>
  <c r="BD32" i="7" s="1"/>
  <c r="BD28" i="7" a="1"/>
  <c r="BD28" i="7" s="1"/>
  <c r="BD24" i="7" a="1"/>
  <c r="BD24" i="7" s="1"/>
  <c r="BD41" i="7" a="1"/>
  <c r="BD41" i="7" s="1"/>
  <c r="BD38" i="7" a="1"/>
  <c r="BD38" i="7" s="1"/>
  <c r="BD37" i="7" a="1"/>
  <c r="BD37" i="7" s="1"/>
  <c r="BD26" i="7" a="1"/>
  <c r="BD26" i="7" s="1"/>
  <c r="BD23" i="7" a="1"/>
  <c r="BD23" i="7" s="1"/>
  <c r="BD31" i="7" a="1"/>
  <c r="BD31" i="7" s="1"/>
  <c r="BD16" i="7" a="1"/>
  <c r="BD16" i="7" s="1"/>
  <c r="BD25" i="7" a="1"/>
  <c r="BD25" i="7" s="1"/>
  <c r="BD22" i="7" a="1"/>
  <c r="BD22" i="7" s="1"/>
  <c r="BD27" i="7" a="1"/>
  <c r="BD27" i="7" s="1"/>
  <c r="BD21" i="7" a="1"/>
  <c r="BD21" i="7" s="1"/>
  <c r="BD20" i="7" s="1"/>
  <c r="BD19" i="7" s="1"/>
  <c r="BD18" i="7" a="1"/>
  <c r="BD18" i="7" s="1"/>
  <c r="BD14" i="7" a="1"/>
  <c r="BD14" i="7" s="1"/>
  <c r="BD17" i="7" a="1"/>
  <c r="BD17" i="7" s="1"/>
  <c r="BD15" i="7" a="1"/>
  <c r="BD15" i="7" s="1"/>
  <c r="BD9" i="7" a="1"/>
  <c r="BD9" i="7" s="1"/>
  <c r="BD7" i="7" a="1"/>
  <c r="BD7" i="7" s="1"/>
  <c r="BD11" i="7" a="1"/>
  <c r="BD11" i="7" s="1"/>
  <c r="BD12" i="7" a="1"/>
  <c r="BD12" i="7" s="1"/>
  <c r="BD13" i="7" a="1"/>
  <c r="BD13" i="7" s="1"/>
  <c r="BD8" i="7" a="1"/>
  <c r="BD8" i="7" s="1"/>
  <c r="X62" i="5"/>
  <c r="X61" i="5" s="1"/>
  <c r="X77" i="5" s="1"/>
  <c r="Y197" i="5"/>
  <c r="Z193" i="5" s="1"/>
  <c r="Y181" i="5"/>
  <c r="Y179" i="5"/>
  <c r="Y177" i="5"/>
  <c r="Y175" i="5"/>
  <c r="Y173" i="5"/>
  <c r="Y171" i="5"/>
  <c r="Y166" i="5"/>
  <c r="Y164" i="5"/>
  <c r="Y162" i="5"/>
  <c r="Y160" i="5"/>
  <c r="Y158" i="5"/>
  <c r="Y159" i="5"/>
  <c r="Y174" i="5"/>
  <c r="Y137" i="5"/>
  <c r="Y130" i="5"/>
  <c r="Y100" i="5"/>
  <c r="Y99" i="5" s="1"/>
  <c r="Y93" i="5"/>
  <c r="Y163" i="5"/>
  <c r="Y155" i="5"/>
  <c r="Y150" i="5"/>
  <c r="Y144" i="5"/>
  <c r="Y135" i="5"/>
  <c r="Y107" i="5"/>
  <c r="Y157" i="5"/>
  <c r="Y133" i="5"/>
  <c r="Y165" i="5"/>
  <c r="Y152" i="5"/>
  <c r="Y146" i="5"/>
  <c r="Y183" i="5" s="1" a="1"/>
  <c r="Y183" i="5" s="1"/>
  <c r="Y139" i="5"/>
  <c r="Y132" i="5"/>
  <c r="Y104" i="5"/>
  <c r="Y103" i="5" s="1"/>
  <c r="Y141" i="5"/>
  <c r="Y134" i="5"/>
  <c r="Y81" i="5"/>
  <c r="Y180" i="5"/>
  <c r="Y172" i="5"/>
  <c r="Y153" i="5"/>
  <c r="Y145" i="5"/>
  <c r="Y140" i="5"/>
  <c r="Y176" i="5"/>
  <c r="Y178" i="5"/>
  <c r="Y154" i="5"/>
  <c r="Y79" i="5"/>
  <c r="Y156" i="5"/>
  <c r="Y82" i="5"/>
  <c r="Y138" i="5"/>
  <c r="Y50" i="5"/>
  <c r="Y59" i="5" s="1"/>
  <c r="Y76" i="5" s="1"/>
  <c r="Y151" i="5"/>
  <c r="Y143" i="5"/>
  <c r="Y170" i="5"/>
  <c r="Y136" i="5"/>
  <c r="Y106" i="5"/>
  <c r="Y78" i="5"/>
  <c r="Y41" i="5"/>
  <c r="Y39" i="5"/>
  <c r="Y37" i="5"/>
  <c r="Y35" i="5"/>
  <c r="Y33" i="5"/>
  <c r="Y31" i="5"/>
  <c r="Y24" i="5"/>
  <c r="Y11" i="5"/>
  <c r="Z19" i="5" s="1"/>
  <c r="Y142" i="5"/>
  <c r="Y34" i="5"/>
  <c r="Y29" i="5"/>
  <c r="Y27" i="5"/>
  <c r="Y45" i="5" s="1" a="1"/>
  <c r="Y45" i="5" s="1"/>
  <c r="Y12" i="5"/>
  <c r="Y17" i="5"/>
  <c r="Z5" i="5"/>
  <c r="Y38" i="5"/>
  <c r="Y14" i="5"/>
  <c r="Y68" i="5" a="1"/>
  <c r="Y68" i="5" s="1"/>
  <c r="Y66" i="5"/>
  <c r="Y64" i="5" s="1"/>
  <c r="Y32" i="5"/>
  <c r="Y131" i="5"/>
  <c r="Y28" i="5"/>
  <c r="Y105" i="5"/>
  <c r="Y30" i="5"/>
  <c r="Y161" i="5"/>
  <c r="Y40" i="5"/>
  <c r="Y36" i="5"/>
  <c r="Y16" i="5"/>
  <c r="Y13" i="5"/>
  <c r="Y202" i="5" s="1"/>
  <c r="Y20" i="5"/>
  <c r="Y6" i="5"/>
  <c r="Y18" i="5" s="1"/>
  <c r="BC51" i="7"/>
  <c r="BC19" i="7"/>
  <c r="BC33" i="7"/>
  <c r="BC10" i="7"/>
  <c r="W47" i="5"/>
  <c r="X222" i="5" l="1"/>
  <c r="X214" i="5"/>
  <c r="M75" i="5"/>
  <c r="T163" i="5"/>
  <c r="T143" i="5"/>
  <c r="U41" i="5"/>
  <c r="Y62" i="5"/>
  <c r="Y61" i="5" s="1"/>
  <c r="Y77" i="5" s="1"/>
  <c r="Z197" i="5"/>
  <c r="AA193" i="5" s="1"/>
  <c r="Z181" i="5"/>
  <c r="Z179" i="5"/>
  <c r="Z177" i="5"/>
  <c r="Z166" i="5"/>
  <c r="Z174" i="5"/>
  <c r="Z164" i="5"/>
  <c r="Z180" i="5"/>
  <c r="Z172" i="5"/>
  <c r="Z162" i="5"/>
  <c r="Z156" i="5"/>
  <c r="Z154" i="5"/>
  <c r="Z152" i="5"/>
  <c r="Z150" i="5"/>
  <c r="Z145" i="5"/>
  <c r="Z143" i="5"/>
  <c r="Z163" i="5"/>
  <c r="Z155" i="5"/>
  <c r="Z144" i="5"/>
  <c r="Z135" i="5"/>
  <c r="Z107" i="5"/>
  <c r="Z82" i="5"/>
  <c r="Z175" i="5"/>
  <c r="Z157" i="5"/>
  <c r="Z133" i="5"/>
  <c r="Z105" i="5"/>
  <c r="Z161" i="5"/>
  <c r="Z160" i="5"/>
  <c r="Z153" i="5"/>
  <c r="Z142" i="5"/>
  <c r="Z140" i="5"/>
  <c r="Z131" i="5"/>
  <c r="Z137" i="5"/>
  <c r="Z130" i="5"/>
  <c r="Z100" i="5"/>
  <c r="Z99" i="5" s="1"/>
  <c r="Z104" i="5"/>
  <c r="Z173" i="5"/>
  <c r="Z78" i="5"/>
  <c r="Z176" i="5"/>
  <c r="Z170" i="5"/>
  <c r="Z136" i="5"/>
  <c r="Z93" i="5"/>
  <c r="Z165" i="5"/>
  <c r="Z146" i="5"/>
  <c r="Z183" i="5" s="1" a="1"/>
  <c r="Z183" i="5" s="1"/>
  <c r="Z139" i="5"/>
  <c r="Z132" i="5"/>
  <c r="Z178" i="5"/>
  <c r="Z81" i="5"/>
  <c r="Z138" i="5"/>
  <c r="Z50" i="5"/>
  <c r="Z59" i="5" s="1"/>
  <c r="Z76" i="5" s="1"/>
  <c r="Z30" i="5"/>
  <c r="Z28" i="5"/>
  <c r="Z151" i="5"/>
  <c r="Z68" i="5" a="1"/>
  <c r="Z68" i="5" s="1"/>
  <c r="Z40" i="5"/>
  <c r="Z38" i="5"/>
  <c r="Z36" i="5"/>
  <c r="Z141" i="5"/>
  <c r="Z171" i="5"/>
  <c r="Z134" i="5"/>
  <c r="Z79" i="5"/>
  <c r="Z34" i="5"/>
  <c r="Z29" i="5"/>
  <c r="Z17" i="5"/>
  <c r="AA5" i="5"/>
  <c r="Z106" i="5"/>
  <c r="Z45" i="5" a="1"/>
  <c r="Z45" i="5" s="1"/>
  <c r="Z41" i="5"/>
  <c r="Z37" i="5"/>
  <c r="Z31" i="5"/>
  <c r="Z27" i="5"/>
  <c r="Z14" i="5"/>
  <c r="Z12" i="5"/>
  <c r="Z32" i="5"/>
  <c r="Z66" i="5"/>
  <c r="Z64" i="5" s="1"/>
  <c r="Z159" i="5"/>
  <c r="Z158" i="5"/>
  <c r="Z39" i="5"/>
  <c r="Z35" i="5"/>
  <c r="Z33" i="5"/>
  <c r="Z24" i="5"/>
  <c r="Z11" i="5"/>
  <c r="AA19" i="5" s="1"/>
  <c r="Z16" i="5"/>
  <c r="Z13" i="5"/>
  <c r="Z202" i="5" s="1"/>
  <c r="Z20" i="5"/>
  <c r="Z21" i="5" s="1"/>
  <c r="Z6" i="5"/>
  <c r="Z18" i="5" s="1"/>
  <c r="P79" i="5"/>
  <c r="P177" i="5"/>
  <c r="P137" i="5"/>
  <c r="P157" i="5"/>
  <c r="Q35" i="5"/>
  <c r="Y75" i="5"/>
  <c r="Y74" i="5" s="1"/>
  <c r="Y72" i="5" s="1"/>
  <c r="Y57" i="5"/>
  <c r="Y55" i="5" s="1"/>
  <c r="X74" i="5"/>
  <c r="X72" i="5" s="1"/>
  <c r="X71" i="5" s="1"/>
  <c r="X46" i="5"/>
  <c r="Y209" i="5" s="1"/>
  <c r="Y213" i="5" s="1"/>
  <c r="N153" i="5"/>
  <c r="N133" i="5"/>
  <c r="N173" i="5"/>
  <c r="O31" i="5"/>
  <c r="L223" i="5"/>
  <c r="M221" i="5"/>
  <c r="Y44" i="5"/>
  <c r="Z51" i="5"/>
  <c r="Z58" i="5" s="1"/>
  <c r="L46" i="5"/>
  <c r="M209" i="5" s="1"/>
  <c r="M213" i="5" s="1"/>
  <c r="M21" i="5"/>
  <c r="X55" i="5"/>
  <c r="BD51" i="7"/>
  <c r="BD33" i="7"/>
  <c r="BD10" i="7"/>
  <c r="M61" i="5"/>
  <c r="M77" i="5" s="1"/>
  <c r="BF114" i="7"/>
  <c r="BF111" i="7"/>
  <c r="BF108" i="7"/>
  <c r="BF103" i="7"/>
  <c r="BF100" i="7"/>
  <c r="BF95" i="7"/>
  <c r="BF92" i="7"/>
  <c r="BF89" i="7"/>
  <c r="BF113" i="7"/>
  <c r="BF110" i="7"/>
  <c r="BF105" i="7"/>
  <c r="BF112" i="7"/>
  <c r="BF107" i="7"/>
  <c r="BF104" i="7"/>
  <c r="BF109" i="7"/>
  <c r="BF106" i="7"/>
  <c r="BF101" i="7"/>
  <c r="BF98" i="7"/>
  <c r="BF93" i="7"/>
  <c r="BF90" i="7"/>
  <c r="BF97" i="7"/>
  <c r="BF77" i="7"/>
  <c r="BF75" i="7"/>
  <c r="BF86" i="7"/>
  <c r="BF102" i="7"/>
  <c r="BF96" i="7"/>
  <c r="BF88" i="7"/>
  <c r="BF82" i="7"/>
  <c r="BF87" i="7"/>
  <c r="BF74" i="7"/>
  <c r="BF78" i="7"/>
  <c r="BF99" i="7"/>
  <c r="BF85" i="7"/>
  <c r="BF84" i="7"/>
  <c r="BF91" i="7"/>
  <c r="BF83" i="7"/>
  <c r="BF80" i="7"/>
  <c r="BF71" i="7"/>
  <c r="BF59" i="7"/>
  <c r="BF57" i="7"/>
  <c r="BF55" i="7"/>
  <c r="BF62" i="7"/>
  <c r="BF81" i="7"/>
  <c r="BF94" i="7"/>
  <c r="BF79" i="7"/>
  <c r="BF76" i="7"/>
  <c r="BF69" i="7"/>
  <c r="BF66" i="7"/>
  <c r="BF70" i="7"/>
  <c r="BF58" i="7"/>
  <c r="BF65" i="7"/>
  <c r="BF64" i="7"/>
  <c r="BF72" i="7"/>
  <c r="BF73" i="7"/>
  <c r="BF67" i="7"/>
  <c r="BF60" i="7"/>
  <c r="BF61" i="7"/>
  <c r="BF68" i="7"/>
  <c r="BF56" i="7"/>
  <c r="BF63" i="7"/>
  <c r="BG5" i="7"/>
  <c r="R140" i="5"/>
  <c r="R160" i="5"/>
  <c r="S38" i="5"/>
  <c r="W4" i="7"/>
  <c r="W3" i="7" s="1"/>
  <c r="Z4" i="6"/>
  <c r="Y5" i="6"/>
  <c r="W223" i="5"/>
  <c r="X221" i="5"/>
  <c r="Z196" i="5"/>
  <c r="Z195" i="5"/>
  <c r="O135" i="5"/>
  <c r="O155" i="5"/>
  <c r="O175" i="5"/>
  <c r="P33" i="5"/>
  <c r="M171" i="5"/>
  <c r="M151" i="5"/>
  <c r="M131" i="5"/>
  <c r="N29" i="5"/>
  <c r="W187" i="5"/>
  <c r="W189" i="5"/>
  <c r="K55" i="5"/>
  <c r="K82" i="5"/>
  <c r="K81" i="5"/>
  <c r="L47" i="5"/>
  <c r="L50" i="5"/>
  <c r="L59" i="5" s="1"/>
  <c r="BE46" i="7" a="1"/>
  <c r="BE46" i="7" s="1"/>
  <c r="BE38" i="7" a="1"/>
  <c r="BE38" i="7" s="1"/>
  <c r="BE45" i="7" a="1"/>
  <c r="BE45" i="7" s="1"/>
  <c r="BE37" i="7" a="1"/>
  <c r="BE37" i="7" s="1"/>
  <c r="BE49" i="7" a="1"/>
  <c r="BE49" i="7" s="1"/>
  <c r="BE48" i="7" a="1"/>
  <c r="BE48" i="7" s="1"/>
  <c r="BE47" i="7" a="1"/>
  <c r="BE47" i="7" s="1"/>
  <c r="BE50" i="7" a="1"/>
  <c r="BE50" i="7" s="1"/>
  <c r="BE40" i="7" a="1"/>
  <c r="BE40" i="7" s="1"/>
  <c r="BE44" i="7" a="1"/>
  <c r="BE44" i="7" s="1"/>
  <c r="BE29" i="7" a="1"/>
  <c r="BE29" i="7" s="1"/>
  <c r="BE39" i="7" a="1"/>
  <c r="BE39" i="7" s="1"/>
  <c r="BE28" i="7" a="1"/>
  <c r="BE28" i="7" s="1"/>
  <c r="BE43" i="7" a="1"/>
  <c r="BE43" i="7" s="1"/>
  <c r="BE42" i="7" a="1"/>
  <c r="BE42" i="7" s="1"/>
  <c r="BE41" i="7" a="1"/>
  <c r="BE41" i="7" s="1"/>
  <c r="BE31" i="7" a="1"/>
  <c r="BE31" i="7" s="1"/>
  <c r="BE32" i="7" a="1"/>
  <c r="BE32" i="7" s="1"/>
  <c r="BE30" i="7" a="1"/>
  <c r="BE30" i="7" s="1"/>
  <c r="BE27" i="7" a="1"/>
  <c r="BE27" i="7" s="1"/>
  <c r="BE25" i="7" a="1"/>
  <c r="BE25" i="7" s="1"/>
  <c r="BE24" i="7" a="1"/>
  <c r="BE24" i="7" s="1"/>
  <c r="BE36" i="7" a="1"/>
  <c r="BE36" i="7" s="1"/>
  <c r="BE15" i="7" a="1"/>
  <c r="BE15" i="7" s="1"/>
  <c r="BE22" i="7" a="1"/>
  <c r="BE22" i="7" s="1"/>
  <c r="BE18" i="7" a="1"/>
  <c r="BE18" i="7" s="1"/>
  <c r="BE26" i="7" a="1"/>
  <c r="BE26" i="7" s="1"/>
  <c r="BE23" i="7" a="1"/>
  <c r="BE23" i="7" s="1"/>
  <c r="BE14" i="7" a="1"/>
  <c r="BE14" i="7" s="1"/>
  <c r="BE16" i="7" a="1"/>
  <c r="BE16" i="7" s="1"/>
  <c r="BE9" i="7" a="1"/>
  <c r="BE9" i="7" s="1"/>
  <c r="BE12" i="7" a="1"/>
  <c r="BE12" i="7" s="1"/>
  <c r="BE8" i="7" a="1"/>
  <c r="BE8" i="7" s="1"/>
  <c r="BE17" i="7" a="1"/>
  <c r="BE17" i="7" s="1"/>
  <c r="BE21" i="7" a="1"/>
  <c r="BE21" i="7" s="1"/>
  <c r="BE20" i="7" s="1"/>
  <c r="BE7" i="7" a="1"/>
  <c r="BE7" i="7" s="1"/>
  <c r="BE11" i="7" a="1"/>
  <c r="BE11" i="7" s="1"/>
  <c r="BE13" i="7" a="1"/>
  <c r="BE13" i="7" s="1"/>
  <c r="W77" i="5"/>
  <c r="W74" i="5" s="1"/>
  <c r="W72" i="5" s="1"/>
  <c r="W71" i="5" s="1"/>
  <c r="W188" i="5" s="1"/>
  <c r="Y21" i="5"/>
  <c r="K74" i="5"/>
  <c r="K72" i="5" s="1"/>
  <c r="K71" i="5" s="1"/>
  <c r="Y222" i="5" l="1"/>
  <c r="Y214" i="5"/>
  <c r="M222" i="5"/>
  <c r="M214" i="5"/>
  <c r="Z57" i="5"/>
  <c r="Z75" i="5"/>
  <c r="P156" i="5"/>
  <c r="P176" i="5"/>
  <c r="P136" i="5"/>
  <c r="Q34" i="5"/>
  <c r="M24" i="5"/>
  <c r="M27" i="5" s="1"/>
  <c r="M17" i="5"/>
  <c r="O174" i="5"/>
  <c r="O78" i="5"/>
  <c r="O154" i="5"/>
  <c r="O134" i="5"/>
  <c r="P32" i="5"/>
  <c r="Z103" i="5"/>
  <c r="X4" i="7"/>
  <c r="X3" i="7" s="1"/>
  <c r="Z5" i="6"/>
  <c r="AA4" i="6"/>
  <c r="Q178" i="5"/>
  <c r="R179" i="5" s="1"/>
  <c r="Q158" i="5"/>
  <c r="Q138" i="5"/>
  <c r="R36" i="5"/>
  <c r="AA21" i="5"/>
  <c r="L76" i="5"/>
  <c r="L57" i="5"/>
  <c r="BF50" i="7" a="1"/>
  <c r="BF50" i="7" s="1"/>
  <c r="BF49" i="7" a="1"/>
  <c r="BF49" i="7" s="1"/>
  <c r="BF44" i="7" a="1"/>
  <c r="BF44" i="7" s="1"/>
  <c r="BF43" i="7" a="1"/>
  <c r="BF43" i="7" s="1"/>
  <c r="BF48" i="7" a="1"/>
  <c r="BF48" i="7" s="1"/>
  <c r="BF47" i="7" a="1"/>
  <c r="BF47" i="7" s="1"/>
  <c r="BF46" i="7" a="1"/>
  <c r="BF46" i="7" s="1"/>
  <c r="BF38" i="7" a="1"/>
  <c r="BF38" i="7" s="1"/>
  <c r="BF39" i="7" a="1"/>
  <c r="BF39" i="7" s="1"/>
  <c r="BF42" i="7" a="1"/>
  <c r="BF42" i="7" s="1"/>
  <c r="BF41" i="7" a="1"/>
  <c r="BF41" i="7" s="1"/>
  <c r="BF40" i="7" a="1"/>
  <c r="BF40" i="7" s="1"/>
  <c r="BF29" i="7" a="1"/>
  <c r="BF29" i="7" s="1"/>
  <c r="BF32" i="7" a="1"/>
  <c r="BF32" i="7" s="1"/>
  <c r="BF45" i="7" a="1"/>
  <c r="BF45" i="7" s="1"/>
  <c r="BF37" i="7" a="1"/>
  <c r="BF37" i="7" s="1"/>
  <c r="BF31" i="7" a="1"/>
  <c r="BF31" i="7" s="1"/>
  <c r="BF36" i="7" a="1"/>
  <c r="BF36" i="7" s="1"/>
  <c r="BF27" i="7" a="1"/>
  <c r="BF27" i="7" s="1"/>
  <c r="BF26" i="7" a="1"/>
  <c r="BF26" i="7" s="1"/>
  <c r="BF30" i="7" a="1"/>
  <c r="BF30" i="7" s="1"/>
  <c r="BF28" i="7" a="1"/>
  <c r="BF28" i="7" s="1"/>
  <c r="BF21" i="7" a="1"/>
  <c r="BF21" i="7" s="1"/>
  <c r="BF20" i="7" s="1"/>
  <c r="BF19" i="7" s="1"/>
  <c r="BF22" i="7" a="1"/>
  <c r="BF22" i="7" s="1"/>
  <c r="BF18" i="7" a="1"/>
  <c r="BF18" i="7" s="1"/>
  <c r="BF24" i="7" a="1"/>
  <c r="BF24" i="7" s="1"/>
  <c r="BF14" i="7" a="1"/>
  <c r="BF14" i="7" s="1"/>
  <c r="BF25" i="7" a="1"/>
  <c r="BF25" i="7" s="1"/>
  <c r="BF15" i="7" a="1"/>
  <c r="BF15" i="7" s="1"/>
  <c r="BF16" i="7" a="1"/>
  <c r="BF16" i="7" s="1"/>
  <c r="BF8" i="7" a="1"/>
  <c r="BF8" i="7" s="1"/>
  <c r="BF12" i="7" a="1"/>
  <c r="BF12" i="7" s="1"/>
  <c r="BF17" i="7" a="1"/>
  <c r="BF17" i="7" s="1"/>
  <c r="BF11" i="7" a="1"/>
  <c r="BF11" i="7" s="1"/>
  <c r="BF23" i="7" a="1"/>
  <c r="BF23" i="7" s="1"/>
  <c r="BF9" i="7" a="1"/>
  <c r="BF9" i="7" s="1"/>
  <c r="BF13" i="7" a="1"/>
  <c r="BF13" i="7" s="1"/>
  <c r="BF7" i="7" a="1"/>
  <c r="BF7" i="7" s="1"/>
  <c r="BF51" i="7" s="1"/>
  <c r="S161" i="5"/>
  <c r="S141" i="5"/>
  <c r="T39" i="5"/>
  <c r="AA174" i="5"/>
  <c r="AA164" i="5"/>
  <c r="AA107" i="5"/>
  <c r="AA105" i="5"/>
  <c r="AA180" i="5"/>
  <c r="AA177" i="5"/>
  <c r="AA172" i="5"/>
  <c r="AA162" i="5"/>
  <c r="AA197" i="5"/>
  <c r="AB193" i="5" s="1"/>
  <c r="AA170" i="5"/>
  <c r="AA160" i="5"/>
  <c r="AA179" i="5"/>
  <c r="AA175" i="5"/>
  <c r="AA157" i="5"/>
  <c r="AA150" i="5"/>
  <c r="AA133" i="5"/>
  <c r="AA79" i="5"/>
  <c r="AA161" i="5"/>
  <c r="AA153" i="5"/>
  <c r="AA142" i="5"/>
  <c r="AA140" i="5"/>
  <c r="AA131" i="5"/>
  <c r="AA178" i="5"/>
  <c r="AA173" i="5"/>
  <c r="AA156" i="5"/>
  <c r="AA145" i="5"/>
  <c r="AA138" i="5"/>
  <c r="AA181" i="5"/>
  <c r="AA163" i="5"/>
  <c r="AA155" i="5"/>
  <c r="AA144" i="5"/>
  <c r="AA135" i="5"/>
  <c r="AA152" i="5"/>
  <c r="AA137" i="5"/>
  <c r="AA130" i="5"/>
  <c r="AA78" i="5"/>
  <c r="AA176" i="5"/>
  <c r="AA136" i="5"/>
  <c r="AA93" i="5"/>
  <c r="AA171" i="5"/>
  <c r="AA154" i="5"/>
  <c r="AA82" i="5"/>
  <c r="AA166" i="5"/>
  <c r="AA100" i="5"/>
  <c r="AA99" i="5" s="1"/>
  <c r="AA146" i="5"/>
  <c r="AA183" i="5" s="1" a="1"/>
  <c r="AA183" i="5" s="1"/>
  <c r="AA132" i="5"/>
  <c r="AA68" i="5" a="1"/>
  <c r="AA68" i="5" s="1"/>
  <c r="AA50" i="5"/>
  <c r="AA59" i="5" s="1"/>
  <c r="AA76" i="5" s="1"/>
  <c r="AA30" i="5"/>
  <c r="AA28" i="5"/>
  <c r="AA151" i="5"/>
  <c r="AA40" i="5"/>
  <c r="AA38" i="5"/>
  <c r="AA36" i="5"/>
  <c r="AA34" i="5"/>
  <c r="AA32" i="5"/>
  <c r="AA24" i="5"/>
  <c r="AA143" i="5"/>
  <c r="AA141" i="5"/>
  <c r="AA66" i="5"/>
  <c r="AA64" i="5" s="1"/>
  <c r="AA165" i="5"/>
  <c r="AA139" i="5"/>
  <c r="AA104" i="5"/>
  <c r="AA103" i="5" s="1"/>
  <c r="AA81" i="5"/>
  <c r="AA17" i="5"/>
  <c r="AB5" i="5"/>
  <c r="AA106" i="5"/>
  <c r="AA41" i="5"/>
  <c r="AA37" i="5"/>
  <c r="AA31" i="5"/>
  <c r="AA27" i="5"/>
  <c r="AA14" i="5"/>
  <c r="AA12" i="5"/>
  <c r="AA159" i="5"/>
  <c r="AA134" i="5"/>
  <c r="AA158" i="5"/>
  <c r="AA39" i="5"/>
  <c r="AA35" i="5"/>
  <c r="AA33" i="5"/>
  <c r="AA29" i="5"/>
  <c r="AA16" i="5"/>
  <c r="AA20" i="5"/>
  <c r="AA13" i="5"/>
  <c r="AA202" i="5" s="1"/>
  <c r="AA11" i="5"/>
  <c r="AA6" i="5"/>
  <c r="AA18" i="5" s="1"/>
  <c r="AA62" i="5" s="1"/>
  <c r="AA61" i="5" s="1"/>
  <c r="AA77" i="5" s="1"/>
  <c r="AA196" i="5"/>
  <c r="AA195" i="5"/>
  <c r="Y46" i="5"/>
  <c r="Z209" i="5" s="1"/>
  <c r="Z213" i="5" s="1"/>
  <c r="Z44" i="5"/>
  <c r="AA51" i="5"/>
  <c r="AA58" i="5" s="1"/>
  <c r="X223" i="5"/>
  <c r="Y221" i="5"/>
  <c r="BE10" i="7"/>
  <c r="BG114" i="7"/>
  <c r="BG89" i="7"/>
  <c r="BG113" i="7"/>
  <c r="BG110" i="7"/>
  <c r="BG105" i="7"/>
  <c r="BG102" i="7"/>
  <c r="BG97" i="7"/>
  <c r="BG94" i="7"/>
  <c r="BG88" i="7"/>
  <c r="BG112" i="7"/>
  <c r="BG107" i="7"/>
  <c r="BG109" i="7"/>
  <c r="BG106" i="7"/>
  <c r="BG85" i="7"/>
  <c r="BG111" i="7"/>
  <c r="BG86" i="7"/>
  <c r="BG91" i="7"/>
  <c r="BG84" i="7"/>
  <c r="BG80" i="7"/>
  <c r="BG79" i="7"/>
  <c r="BG108" i="7"/>
  <c r="BG104" i="7"/>
  <c r="BG101" i="7"/>
  <c r="BG98" i="7"/>
  <c r="BG99" i="7"/>
  <c r="BG93" i="7"/>
  <c r="BG90" i="7"/>
  <c r="BG78" i="7"/>
  <c r="BG81" i="7"/>
  <c r="BG100" i="7"/>
  <c r="BG96" i="7"/>
  <c r="BG92" i="7"/>
  <c r="BG95" i="7"/>
  <c r="BG70" i="7"/>
  <c r="BG68" i="7"/>
  <c r="BG66" i="7"/>
  <c r="BG62" i="7"/>
  <c r="BG103" i="7"/>
  <c r="BG83" i="7"/>
  <c r="BG87" i="7"/>
  <c r="BG77" i="7"/>
  <c r="BG73" i="7"/>
  <c r="BG72" i="7"/>
  <c r="BG65" i="7"/>
  <c r="BG74" i="7"/>
  <c r="BG69" i="7"/>
  <c r="BG58" i="7"/>
  <c r="BG60" i="7"/>
  <c r="BG59" i="7"/>
  <c r="BG75" i="7"/>
  <c r="BG63" i="7"/>
  <c r="BG56" i="7"/>
  <c r="BG76" i="7"/>
  <c r="BG71" i="7"/>
  <c r="BG67" i="7"/>
  <c r="BG61" i="7"/>
  <c r="BG82" i="7"/>
  <c r="BG57" i="7"/>
  <c r="BG55" i="7"/>
  <c r="BG64" i="7"/>
  <c r="BH5" i="7"/>
  <c r="Z62" i="5"/>
  <c r="Y96" i="5"/>
  <c r="Y95" i="5" s="1"/>
  <c r="Y71" i="5" s="1"/>
  <c r="N132" i="5"/>
  <c r="N152" i="5"/>
  <c r="N172" i="5"/>
  <c r="O30" i="5"/>
  <c r="BE51" i="7"/>
  <c r="BE19" i="7"/>
  <c r="BE33" i="7" s="1"/>
  <c r="K187" i="5"/>
  <c r="K189" i="5"/>
  <c r="K188" i="5"/>
  <c r="X187" i="5"/>
  <c r="X188" i="5"/>
  <c r="X189" i="5"/>
  <c r="U144" i="5"/>
  <c r="U164" i="5"/>
  <c r="Y47" i="5"/>
  <c r="Z222" i="5" l="1"/>
  <c r="Z214" i="5"/>
  <c r="AA96" i="5"/>
  <c r="AA95" i="5" s="1"/>
  <c r="Y188" i="5"/>
  <c r="Y187" i="5"/>
  <c r="Y189" i="5"/>
  <c r="AB19" i="5"/>
  <c r="AA44" i="5"/>
  <c r="AB51" i="5"/>
  <c r="AB58" i="5" s="1"/>
  <c r="AB196" i="5"/>
  <c r="AB195" i="5"/>
  <c r="T142" i="5"/>
  <c r="T162" i="5"/>
  <c r="U40" i="5"/>
  <c r="L55" i="5"/>
  <c r="L81" i="5"/>
  <c r="L82" i="5"/>
  <c r="L74" i="5" s="1"/>
  <c r="L72" i="5" s="1"/>
  <c r="L71" i="5" s="1"/>
  <c r="Y4" i="7"/>
  <c r="Y3" i="7" s="1"/>
  <c r="AA5" i="6"/>
  <c r="AB4" i="6"/>
  <c r="N19" i="5"/>
  <c r="N20" i="5"/>
  <c r="Z61" i="5"/>
  <c r="Z55" i="5" s="1"/>
  <c r="O153" i="5"/>
  <c r="O133" i="5"/>
  <c r="O173" i="5"/>
  <c r="P31" i="5"/>
  <c r="BG50" i="7" a="1"/>
  <c r="BG50" i="7" s="1"/>
  <c r="BG48" i="7" a="1"/>
  <c r="BG48" i="7" s="1"/>
  <c r="BG47" i="7" a="1"/>
  <c r="BG47" i="7" s="1"/>
  <c r="BG43" i="7" a="1"/>
  <c r="BG43" i="7" s="1"/>
  <c r="BG49" i="7" a="1"/>
  <c r="BG49" i="7" s="1"/>
  <c r="BG42" i="7" a="1"/>
  <c r="BG42" i="7" s="1"/>
  <c r="BG45" i="7" a="1"/>
  <c r="BG45" i="7" s="1"/>
  <c r="BG37" i="7" a="1"/>
  <c r="BG37" i="7" s="1"/>
  <c r="BG27" i="7" a="1"/>
  <c r="BG27" i="7" s="1"/>
  <c r="BG38" i="7" a="1"/>
  <c r="BG38" i="7" s="1"/>
  <c r="BG32" i="7" a="1"/>
  <c r="BG32" i="7" s="1"/>
  <c r="BG46" i="7" a="1"/>
  <c r="BG46" i="7" s="1"/>
  <c r="BG41" i="7" a="1"/>
  <c r="BG41" i="7" s="1"/>
  <c r="BG40" i="7" a="1"/>
  <c r="BG40" i="7" s="1"/>
  <c r="BG31" i="7" a="1"/>
  <c r="BG31" i="7" s="1"/>
  <c r="BG44" i="7" a="1"/>
  <c r="BG44" i="7" s="1"/>
  <c r="BG36" i="7" a="1"/>
  <c r="BG36" i="7" s="1"/>
  <c r="BG39" i="7" a="1"/>
  <c r="BG39" i="7" s="1"/>
  <c r="BG28" i="7" a="1"/>
  <c r="BG28" i="7" s="1"/>
  <c r="BG30" i="7" a="1"/>
  <c r="BG30" i="7" s="1"/>
  <c r="BG26" i="7" a="1"/>
  <c r="BG26" i="7" s="1"/>
  <c r="BG29" i="7" a="1"/>
  <c r="BG29" i="7" s="1"/>
  <c r="BG25" i="7" a="1"/>
  <c r="BG25" i="7" s="1"/>
  <c r="BG24" i="7" a="1"/>
  <c r="BG24" i="7" s="1"/>
  <c r="BG17" i="7" a="1"/>
  <c r="BG17" i="7" s="1"/>
  <c r="BG23" i="7" a="1"/>
  <c r="BG23" i="7" s="1"/>
  <c r="BG22" i="7" a="1"/>
  <c r="BG22" i="7" s="1"/>
  <c r="BG18" i="7" a="1"/>
  <c r="BG18" i="7" s="1"/>
  <c r="BG11" i="7" a="1"/>
  <c r="BG11" i="7" s="1"/>
  <c r="BG13" i="7" a="1"/>
  <c r="BG13" i="7" s="1"/>
  <c r="BG21" i="7" a="1"/>
  <c r="BG21" i="7" s="1"/>
  <c r="BG20" i="7" s="1"/>
  <c r="BG16" i="7" a="1"/>
  <c r="BG16" i="7" s="1"/>
  <c r="BG14" i="7" a="1"/>
  <c r="BG14" i="7" s="1"/>
  <c r="BG12" i="7" a="1"/>
  <c r="BG12" i="7" s="1"/>
  <c r="BG15" i="7" a="1"/>
  <c r="BG15" i="7" s="1"/>
  <c r="BG8" i="7" a="1"/>
  <c r="BG8" i="7" s="1"/>
  <c r="BG9" i="7" a="1"/>
  <c r="BG9" i="7" s="1"/>
  <c r="BG7" i="7" a="1"/>
  <c r="BG7" i="7" s="1"/>
  <c r="BG51" i="7" s="1"/>
  <c r="Z46" i="5"/>
  <c r="Z96" i="5"/>
  <c r="Z95" i="5" s="1"/>
  <c r="Z47" i="5"/>
  <c r="AA209" i="5" s="1"/>
  <c r="AA213" i="5" s="1"/>
  <c r="N51" i="5"/>
  <c r="N58" i="5" s="1"/>
  <c r="M44" i="5"/>
  <c r="M150" i="5"/>
  <c r="M165" i="5" s="1"/>
  <c r="M166" i="5" s="1"/>
  <c r="M170" i="5"/>
  <c r="M180" i="5" s="1"/>
  <c r="M181" i="5" s="1"/>
  <c r="M45" i="5" a="1"/>
  <c r="M45" i="5" s="1"/>
  <c r="M130" i="5"/>
  <c r="M145" i="5" s="1"/>
  <c r="M146" i="5" s="1"/>
  <c r="M183" i="5" s="1" a="1"/>
  <c r="M183" i="5" s="1"/>
  <c r="N28" i="5"/>
  <c r="N18" i="5"/>
  <c r="N62" i="5" s="1"/>
  <c r="N66" i="5"/>
  <c r="N64" i="5" s="1"/>
  <c r="N221" i="5"/>
  <c r="M223" i="5"/>
  <c r="AB180" i="5"/>
  <c r="AB177" i="5"/>
  <c r="AB172" i="5"/>
  <c r="AB162" i="5"/>
  <c r="AB156" i="5"/>
  <c r="AB154" i="5"/>
  <c r="AB152" i="5"/>
  <c r="AB150" i="5"/>
  <c r="AB145" i="5"/>
  <c r="AB143" i="5"/>
  <c r="AB141" i="5"/>
  <c r="AB139" i="5"/>
  <c r="AB137" i="5"/>
  <c r="AB135" i="5"/>
  <c r="AB133" i="5"/>
  <c r="AB131" i="5"/>
  <c r="AB197" i="5"/>
  <c r="AC193" i="5" s="1"/>
  <c r="AB170" i="5"/>
  <c r="AB160" i="5"/>
  <c r="AB178" i="5"/>
  <c r="AB165" i="5"/>
  <c r="AB158" i="5"/>
  <c r="AB161" i="5"/>
  <c r="AB153" i="5"/>
  <c r="AB142" i="5"/>
  <c r="AB140" i="5"/>
  <c r="AB105" i="5"/>
  <c r="P54" i="3" s="1"/>
  <c r="AB174" i="5"/>
  <c r="AB173" i="5"/>
  <c r="AB138" i="5"/>
  <c r="AB176" i="5"/>
  <c r="AB159" i="5"/>
  <c r="AB151" i="5"/>
  <c r="AB136" i="5"/>
  <c r="AB181" i="5"/>
  <c r="AB179" i="5"/>
  <c r="AB175" i="5"/>
  <c r="AB164" i="5"/>
  <c r="AB157" i="5"/>
  <c r="AB107" i="5"/>
  <c r="P56" i="3" s="1"/>
  <c r="AB144" i="5"/>
  <c r="AB93" i="5"/>
  <c r="AB171" i="5"/>
  <c r="AB82" i="5"/>
  <c r="AB146" i="5"/>
  <c r="AB183" i="5" s="1" a="1"/>
  <c r="AB183" i="5" s="1"/>
  <c r="AB132" i="5"/>
  <c r="AB163" i="5"/>
  <c r="AB155" i="5"/>
  <c r="AB106" i="5"/>
  <c r="P55" i="3" s="1"/>
  <c r="AB40" i="5"/>
  <c r="AB38" i="5"/>
  <c r="AB36" i="5"/>
  <c r="AB34" i="5"/>
  <c r="AB32" i="5"/>
  <c r="AB24" i="5"/>
  <c r="AB20" i="5"/>
  <c r="AB66" i="5"/>
  <c r="AB64" i="5" s="1"/>
  <c r="P37" i="3" s="1"/>
  <c r="AB130" i="5"/>
  <c r="AB166" i="5"/>
  <c r="AB100" i="5"/>
  <c r="AB99" i="5" s="1"/>
  <c r="P51" i="3" s="1"/>
  <c r="AB50" i="5"/>
  <c r="AB59" i="5" s="1"/>
  <c r="AB76" i="5" s="1"/>
  <c r="AB30" i="5"/>
  <c r="AB41" i="5"/>
  <c r="AB37" i="5"/>
  <c r="AB31" i="5"/>
  <c r="AB27" i="5"/>
  <c r="AB14" i="5"/>
  <c r="AB12" i="5"/>
  <c r="AB104" i="5"/>
  <c r="AB79" i="5"/>
  <c r="AB68" i="5" a="1"/>
  <c r="AB68" i="5" s="1"/>
  <c r="AB134" i="5"/>
  <c r="AB81" i="5"/>
  <c r="AB39" i="5"/>
  <c r="AB35" i="5"/>
  <c r="AB28" i="5"/>
  <c r="AB33" i="5"/>
  <c r="AB78" i="5"/>
  <c r="AB29" i="5"/>
  <c r="AB17" i="5"/>
  <c r="AC5" i="5"/>
  <c r="AB11" i="5"/>
  <c r="AB13" i="5"/>
  <c r="AB202" i="5" s="1"/>
  <c r="AB16" i="5"/>
  <c r="AB6" i="5"/>
  <c r="AB18" i="5" s="1"/>
  <c r="AB62" i="5" s="1"/>
  <c r="AB61" i="5" s="1"/>
  <c r="AB77" i="5" s="1"/>
  <c r="BF33" i="7"/>
  <c r="BF10" i="7"/>
  <c r="R159" i="5"/>
  <c r="R139" i="5"/>
  <c r="S37" i="5"/>
  <c r="Q137" i="5"/>
  <c r="Q157" i="5"/>
  <c r="Q79" i="5"/>
  <c r="Q177" i="5"/>
  <c r="R35" i="5"/>
  <c r="BH114" i="7"/>
  <c r="BH112" i="7"/>
  <c r="BH110" i="7"/>
  <c r="BH108" i="7"/>
  <c r="BH106" i="7"/>
  <c r="BH104" i="7"/>
  <c r="BH102" i="7"/>
  <c r="BH100" i="7"/>
  <c r="BH98" i="7"/>
  <c r="BH96" i="7"/>
  <c r="BH94" i="7"/>
  <c r="BH92" i="7"/>
  <c r="BH90" i="7"/>
  <c r="BH88" i="7"/>
  <c r="BH113" i="7"/>
  <c r="BH111" i="7"/>
  <c r="BH109" i="7"/>
  <c r="BH107" i="7"/>
  <c r="BH105" i="7"/>
  <c r="BH103" i="7"/>
  <c r="BH101" i="7"/>
  <c r="BH99" i="7"/>
  <c r="BH97" i="7"/>
  <c r="BH95" i="7"/>
  <c r="BH93" i="7"/>
  <c r="BH91" i="7"/>
  <c r="BH89" i="7"/>
  <c r="BH87" i="7"/>
  <c r="BH86" i="7"/>
  <c r="BH84" i="7"/>
  <c r="BH82" i="7"/>
  <c r="BH80" i="7"/>
  <c r="BH79" i="7"/>
  <c r="BH81" i="7"/>
  <c r="BH77" i="7"/>
  <c r="BH75" i="7"/>
  <c r="BH72" i="7"/>
  <c r="BH71" i="7"/>
  <c r="BH69" i="7"/>
  <c r="BH67" i="7"/>
  <c r="BH65" i="7"/>
  <c r="BH83" i="7"/>
  <c r="BH74" i="7"/>
  <c r="BH78" i="7"/>
  <c r="BH68" i="7"/>
  <c r="BH63" i="7"/>
  <c r="BH85" i="7"/>
  <c r="BH59" i="7"/>
  <c r="BH57" i="7"/>
  <c r="BH55" i="7"/>
  <c r="BH60" i="7"/>
  <c r="BH62" i="7"/>
  <c r="BH76" i="7"/>
  <c r="BH61" i="7"/>
  <c r="BH73" i="7"/>
  <c r="BH66" i="7"/>
  <c r="BH70" i="7"/>
  <c r="BH58" i="7"/>
  <c r="BH56" i="7"/>
  <c r="BH64" i="7"/>
  <c r="BI5" i="7"/>
  <c r="AA75" i="5"/>
  <c r="AA74" i="5" s="1"/>
  <c r="AA72" i="5" s="1"/>
  <c r="AA71" i="5" s="1"/>
  <c r="AA57" i="5"/>
  <c r="AA55" i="5" s="1"/>
  <c r="AA45" i="5" a="1"/>
  <c r="AA45" i="5" s="1"/>
  <c r="AA47" i="5" s="1"/>
  <c r="P155" i="5"/>
  <c r="P135" i="5"/>
  <c r="P175" i="5"/>
  <c r="Q33" i="5"/>
  <c r="Z221" i="5"/>
  <c r="Y223" i="5"/>
  <c r="AA222" i="5" l="1"/>
  <c r="AA214" i="5"/>
  <c r="AB103" i="5"/>
  <c r="P53" i="3"/>
  <c r="Q176" i="5"/>
  <c r="Q156" i="5"/>
  <c r="Q136" i="5"/>
  <c r="R34" i="5"/>
  <c r="M47" i="5"/>
  <c r="M50" i="5"/>
  <c r="M59" i="5" s="1"/>
  <c r="BG19" i="7"/>
  <c r="U143" i="5"/>
  <c r="U163" i="5"/>
  <c r="AB21" i="5"/>
  <c r="Z4" i="7"/>
  <c r="Z3" i="7" s="1"/>
  <c r="AB5" i="6"/>
  <c r="AC4" i="6"/>
  <c r="R178" i="5"/>
  <c r="S179" i="5" s="1"/>
  <c r="R158" i="5"/>
  <c r="R138" i="5"/>
  <c r="S36" i="5"/>
  <c r="AC195" i="5"/>
  <c r="AC196" i="5"/>
  <c r="AA188" i="5"/>
  <c r="AA187" i="5"/>
  <c r="AA189" i="5"/>
  <c r="M46" i="5"/>
  <c r="N209" i="5" s="1"/>
  <c r="N213" i="5" s="1"/>
  <c r="P35" i="3"/>
  <c r="Z77" i="5"/>
  <c r="Z74" i="5" s="1"/>
  <c r="Z72" i="5" s="1"/>
  <c r="Z71" i="5" s="1"/>
  <c r="Z188" i="5" s="1"/>
  <c r="P34" i="3"/>
  <c r="P14" i="3" s="1"/>
  <c r="BI114" i="7"/>
  <c r="BI112" i="7"/>
  <c r="BI110" i="7"/>
  <c r="BI108" i="7"/>
  <c r="BI106" i="7"/>
  <c r="BI104" i="7"/>
  <c r="BI102" i="7"/>
  <c r="BI100" i="7"/>
  <c r="BI98" i="7"/>
  <c r="BI96" i="7"/>
  <c r="BI94" i="7"/>
  <c r="BI92" i="7"/>
  <c r="BI90" i="7"/>
  <c r="BI88" i="7"/>
  <c r="BI113" i="7"/>
  <c r="BI105" i="7"/>
  <c r="BI97" i="7"/>
  <c r="BI86" i="7"/>
  <c r="BI84" i="7"/>
  <c r="BI82" i="7"/>
  <c r="BI80" i="7"/>
  <c r="BI107" i="7"/>
  <c r="BI109" i="7"/>
  <c r="BI111" i="7"/>
  <c r="BI103" i="7"/>
  <c r="BI95" i="7"/>
  <c r="BI91" i="7"/>
  <c r="BI81" i="7"/>
  <c r="BI87" i="7"/>
  <c r="BI85" i="7"/>
  <c r="BI83" i="7"/>
  <c r="BI78" i="7"/>
  <c r="BI76" i="7"/>
  <c r="BI74" i="7"/>
  <c r="BI72" i="7"/>
  <c r="BI71" i="7"/>
  <c r="BI69" i="7"/>
  <c r="BI67" i="7"/>
  <c r="BI65" i="7"/>
  <c r="BI63" i="7"/>
  <c r="BI61" i="7"/>
  <c r="BI93" i="7"/>
  <c r="BI75" i="7"/>
  <c r="BI101" i="7"/>
  <c r="BI99" i="7"/>
  <c r="BI77" i="7"/>
  <c r="BI68" i="7"/>
  <c r="BI64" i="7"/>
  <c r="BI60" i="7"/>
  <c r="BI58" i="7"/>
  <c r="BI56" i="7"/>
  <c r="BI89" i="7"/>
  <c r="BI79" i="7"/>
  <c r="BI62" i="7"/>
  <c r="BI59" i="7"/>
  <c r="BI55" i="7"/>
  <c r="BI73" i="7"/>
  <c r="BI66" i="7"/>
  <c r="BI70" i="7"/>
  <c r="BI57" i="7"/>
  <c r="N61" i="5"/>
  <c r="N77" i="5" s="1"/>
  <c r="O35" i="3"/>
  <c r="BG33" i="7"/>
  <c r="BG10" i="7"/>
  <c r="S140" i="5"/>
  <c r="S160" i="5"/>
  <c r="T38" i="5"/>
  <c r="AC19" i="5"/>
  <c r="AC51" i="5"/>
  <c r="AC58" i="5" s="1"/>
  <c r="AB44" i="5"/>
  <c r="N171" i="5"/>
  <c r="N151" i="5"/>
  <c r="N131" i="5"/>
  <c r="O29" i="5"/>
  <c r="AB75" i="5"/>
  <c r="AB74" i="5" s="1"/>
  <c r="AB72" i="5" s="1"/>
  <c r="AB57" i="5"/>
  <c r="AB55" i="5" s="1"/>
  <c r="P32" i="3"/>
  <c r="N75" i="5"/>
  <c r="BH50" i="7" a="1"/>
  <c r="BH50" i="7" s="1"/>
  <c r="BH48" i="7" a="1"/>
  <c r="BH48" i="7" s="1"/>
  <c r="BH49" i="7" a="1"/>
  <c r="BH49" i="7" s="1"/>
  <c r="BH41" i="7" a="1"/>
  <c r="BH41" i="7" s="1"/>
  <c r="BH47" i="7" a="1"/>
  <c r="BH47" i="7" s="1"/>
  <c r="BH40" i="7" a="1"/>
  <c r="BH40" i="7" s="1"/>
  <c r="BH43" i="7" a="1"/>
  <c r="BH43" i="7" s="1"/>
  <c r="BH31" i="7" a="1"/>
  <c r="BH31" i="7" s="1"/>
  <c r="BH46" i="7" a="1"/>
  <c r="BH46" i="7" s="1"/>
  <c r="BH42" i="7" a="1"/>
  <c r="BH42" i="7" s="1"/>
  <c r="BH37" i="7" a="1"/>
  <c r="BH37" i="7" s="1"/>
  <c r="BH30" i="7" a="1"/>
  <c r="BH30" i="7" s="1"/>
  <c r="BH45" i="7" a="1"/>
  <c r="BH45" i="7" s="1"/>
  <c r="BH44" i="7" a="1"/>
  <c r="BH44" i="7" s="1"/>
  <c r="BH38" i="7" a="1"/>
  <c r="BH38" i="7" s="1"/>
  <c r="BH25" i="7" a="1"/>
  <c r="BH25" i="7" s="1"/>
  <c r="BH36" i="7" a="1"/>
  <c r="BH36" i="7" s="1"/>
  <c r="BH39" i="7" a="1"/>
  <c r="BH39" i="7" s="1"/>
  <c r="BH32" i="7" a="1"/>
  <c r="BH32" i="7" s="1"/>
  <c r="BH29" i="7" a="1"/>
  <c r="BH29" i="7" s="1"/>
  <c r="BH24" i="7" a="1"/>
  <c r="BH24" i="7" s="1"/>
  <c r="BH23" i="7" a="1"/>
  <c r="BH23" i="7" s="1"/>
  <c r="BH28" i="7" a="1"/>
  <c r="BH28" i="7" s="1"/>
  <c r="BH27" i="7" a="1"/>
  <c r="BH27" i="7" s="1"/>
  <c r="BH26" i="7" a="1"/>
  <c r="BH26" i="7" s="1"/>
  <c r="BH17" i="7" a="1"/>
  <c r="BH17" i="7" s="1"/>
  <c r="BH21" i="7" a="1"/>
  <c r="BH21" i="7" s="1"/>
  <c r="BH20" i="7" s="1"/>
  <c r="BH13" i="7" a="1"/>
  <c r="BH13" i="7" s="1"/>
  <c r="BH16" i="7" a="1"/>
  <c r="BH16" i="7" s="1"/>
  <c r="BH22" i="7" a="1"/>
  <c r="BH22" i="7" s="1"/>
  <c r="BH18" i="7" a="1"/>
  <c r="BH18" i="7" s="1"/>
  <c r="BH14" i="7" a="1"/>
  <c r="BH14" i="7" s="1"/>
  <c r="BH11" i="7" a="1"/>
  <c r="BH11" i="7" s="1"/>
  <c r="BH15" i="7" a="1"/>
  <c r="BH15" i="7" s="1"/>
  <c r="BH12" i="7" a="1"/>
  <c r="BH12" i="7" s="1"/>
  <c r="BH8" i="7" a="1"/>
  <c r="BH8" i="7" s="1"/>
  <c r="BH7" i="7" a="1"/>
  <c r="BH7" i="7" s="1"/>
  <c r="BH51" i="7" s="1"/>
  <c r="BH9" i="7" a="1"/>
  <c r="BH9" i="7" s="1"/>
  <c r="AC180" i="5"/>
  <c r="AC178" i="5"/>
  <c r="AC176" i="5"/>
  <c r="AC174" i="5"/>
  <c r="AC172" i="5"/>
  <c r="AC170" i="5"/>
  <c r="AC165" i="5"/>
  <c r="AC163" i="5"/>
  <c r="AC161" i="5"/>
  <c r="AC159" i="5"/>
  <c r="AC197" i="5"/>
  <c r="AD193" i="5" s="1"/>
  <c r="AC160" i="5"/>
  <c r="AC158" i="5"/>
  <c r="AC175" i="5"/>
  <c r="AC173" i="5"/>
  <c r="AC162" i="5"/>
  <c r="AC138" i="5"/>
  <c r="AC131" i="5"/>
  <c r="AC156" i="5"/>
  <c r="AC151" i="5"/>
  <c r="AC145" i="5"/>
  <c r="AC136" i="5"/>
  <c r="AC171" i="5"/>
  <c r="AC134" i="5"/>
  <c r="AC177" i="5"/>
  <c r="AC153" i="5"/>
  <c r="AC150" i="5"/>
  <c r="AC142" i="5"/>
  <c r="AC140" i="5"/>
  <c r="AC133" i="5"/>
  <c r="AC105" i="5"/>
  <c r="AC179" i="5"/>
  <c r="AC157" i="5"/>
  <c r="AC82" i="5"/>
  <c r="AC154" i="5"/>
  <c r="AC146" i="5"/>
  <c r="AC183" i="5" s="1" a="1"/>
  <c r="AC183" i="5" s="1"/>
  <c r="AC132" i="5"/>
  <c r="AC181" i="5"/>
  <c r="AC166" i="5"/>
  <c r="AC139" i="5"/>
  <c r="AC100" i="5"/>
  <c r="AC99" i="5" s="1"/>
  <c r="AC164" i="5"/>
  <c r="AC135" i="5"/>
  <c r="AC107" i="5"/>
  <c r="AC66" i="5"/>
  <c r="AC64" i="5" s="1"/>
  <c r="AC143" i="5"/>
  <c r="AC141" i="5"/>
  <c r="AC130" i="5"/>
  <c r="AC93" i="5"/>
  <c r="AC155" i="5"/>
  <c r="AC106" i="5"/>
  <c r="AC152" i="5"/>
  <c r="AC144" i="5"/>
  <c r="AC137" i="5"/>
  <c r="AC40" i="5"/>
  <c r="AC38" i="5"/>
  <c r="AC36" i="5"/>
  <c r="AC34" i="5"/>
  <c r="AC32" i="5"/>
  <c r="AC68" i="5" a="1"/>
  <c r="AC68" i="5" s="1"/>
  <c r="AC28" i="5"/>
  <c r="AC20" i="5"/>
  <c r="AC16" i="5"/>
  <c r="AC13" i="5"/>
  <c r="AC202" i="5" s="1"/>
  <c r="AC104" i="5"/>
  <c r="AC79" i="5"/>
  <c r="AC50" i="5"/>
  <c r="AC35" i="5"/>
  <c r="AC81" i="5"/>
  <c r="AC33" i="5"/>
  <c r="AC78" i="5"/>
  <c r="AC30" i="5"/>
  <c r="AC29" i="5"/>
  <c r="AC41" i="5"/>
  <c r="AC37" i="5"/>
  <c r="AC31" i="5"/>
  <c r="AC27" i="5"/>
  <c r="AC14" i="5"/>
  <c r="AC12" i="5"/>
  <c r="AC39" i="5"/>
  <c r="AC24" i="5"/>
  <c r="AC17" i="5"/>
  <c r="AD5" i="5"/>
  <c r="AC11" i="5"/>
  <c r="AC6" i="5"/>
  <c r="AC18" i="5" s="1"/>
  <c r="AC62" i="5" s="1"/>
  <c r="AB45" i="5" a="1"/>
  <c r="AB45" i="5" s="1"/>
  <c r="AB47" i="5" s="1"/>
  <c r="P174" i="5"/>
  <c r="P78" i="5"/>
  <c r="P154" i="5"/>
  <c r="P134" i="5"/>
  <c r="Q32" i="5"/>
  <c r="N21" i="5"/>
  <c r="L187" i="5"/>
  <c r="L188" i="5"/>
  <c r="L189" i="5"/>
  <c r="AB209" i="5"/>
  <c r="AB213" i="5" s="1"/>
  <c r="AA46" i="5"/>
  <c r="AA221" i="5"/>
  <c r="Z223" i="5"/>
  <c r="N222" i="5" l="1"/>
  <c r="N214" i="5"/>
  <c r="N24" i="5"/>
  <c r="N27" i="5" s="1"/>
  <c r="N17" i="5"/>
  <c r="AD51" i="5"/>
  <c r="AD58" i="5" s="1"/>
  <c r="AC44" i="5"/>
  <c r="AC45" i="5" a="1"/>
  <c r="AC45" i="5" s="1"/>
  <c r="AB222" i="5"/>
  <c r="AB214" i="5"/>
  <c r="AC103" i="5"/>
  <c r="AD195" i="5"/>
  <c r="AD196" i="5"/>
  <c r="BI50" i="7" a="1"/>
  <c r="BI50" i="7" s="1"/>
  <c r="BI48" i="7" a="1"/>
  <c r="BI48" i="7" s="1"/>
  <c r="BI39" i="7" a="1"/>
  <c r="BI39" i="7" s="1"/>
  <c r="BI46" i="7" a="1"/>
  <c r="BI46" i="7" s="1"/>
  <c r="BI38" i="7" a="1"/>
  <c r="BI38" i="7" s="1"/>
  <c r="BI45" i="7" a="1"/>
  <c r="BI45" i="7" s="1"/>
  <c r="BI49" i="7" a="1"/>
  <c r="BI49" i="7" s="1"/>
  <c r="BI41" i="7" a="1"/>
  <c r="BI41" i="7" s="1"/>
  <c r="BI42" i="7" a="1"/>
  <c r="BI42" i="7" s="1"/>
  <c r="BI36" i="7" a="1"/>
  <c r="BI36" i="7" s="1"/>
  <c r="BI30" i="7" a="1"/>
  <c r="BI30" i="7" s="1"/>
  <c r="BI29" i="7" a="1"/>
  <c r="BI29" i="7" s="1"/>
  <c r="BI47" i="7" a="1"/>
  <c r="BI47" i="7" s="1"/>
  <c r="BI40" i="7" a="1"/>
  <c r="BI40" i="7" s="1"/>
  <c r="BI44" i="7" a="1"/>
  <c r="BI44" i="7" s="1"/>
  <c r="BI43" i="7" a="1"/>
  <c r="BI43" i="7" s="1"/>
  <c r="BI32" i="7" a="1"/>
  <c r="BI32" i="7" s="1"/>
  <c r="BI37" i="7" a="1"/>
  <c r="BI37" i="7" s="1"/>
  <c r="BI26" i="7" a="1"/>
  <c r="BI26" i="7" s="1"/>
  <c r="BI25" i="7" a="1"/>
  <c r="BI25" i="7" s="1"/>
  <c r="BI31" i="7" a="1"/>
  <c r="BI31" i="7" s="1"/>
  <c r="BI23" i="7" a="1"/>
  <c r="BI23" i="7" s="1"/>
  <c r="BI24" i="7" a="1"/>
  <c r="BI24" i="7" s="1"/>
  <c r="BI28" i="7" a="1"/>
  <c r="BI28" i="7" s="1"/>
  <c r="BI27" i="7" a="1"/>
  <c r="BI27" i="7" s="1"/>
  <c r="BI16" i="7" a="1"/>
  <c r="BI16" i="7" s="1"/>
  <c r="BI15" i="7" a="1"/>
  <c r="BI15" i="7" s="1"/>
  <c r="BI21" i="7" a="1"/>
  <c r="BI21" i="7" s="1"/>
  <c r="BI20" i="7" s="1"/>
  <c r="BI13" i="7" a="1"/>
  <c r="BI13" i="7" s="1"/>
  <c r="BI22" i="7" a="1"/>
  <c r="BI22" i="7" s="1"/>
  <c r="BI17" i="7" a="1"/>
  <c r="BI17" i="7" s="1"/>
  <c r="BI9" i="7" a="1"/>
  <c r="BI9" i="7" s="1"/>
  <c r="BI18" i="7" a="1"/>
  <c r="BI18" i="7" s="1"/>
  <c r="BI12" i="7" a="1"/>
  <c r="BI12" i="7" s="1"/>
  <c r="BI8" i="7" a="1"/>
  <c r="BI8" i="7" s="1"/>
  <c r="BI7" i="7" a="1"/>
  <c r="BI7" i="7" s="1"/>
  <c r="BI51" i="7" s="1"/>
  <c r="BI14" i="7" a="1"/>
  <c r="BI14" i="7" s="1"/>
  <c r="BI11" i="7" a="1"/>
  <c r="BI11" i="7" s="1"/>
  <c r="P52" i="3"/>
  <c r="AC61" i="5"/>
  <c r="AC5" i="6"/>
  <c r="AD4" i="6"/>
  <c r="AA4" i="7"/>
  <c r="AA3" i="7" s="1"/>
  <c r="M76" i="5"/>
  <c r="M57" i="5"/>
  <c r="BH10" i="7"/>
  <c r="AB46" i="5"/>
  <c r="AC209" i="5" s="1"/>
  <c r="AC213" i="5" s="1"/>
  <c r="AB96" i="5"/>
  <c r="AB95" i="5" s="1"/>
  <c r="AB71" i="5" s="1"/>
  <c r="AC57" i="5"/>
  <c r="AC75" i="5"/>
  <c r="AB221" i="5"/>
  <c r="AA223" i="5"/>
  <c r="Q135" i="5"/>
  <c r="Q155" i="5"/>
  <c r="Q175" i="5"/>
  <c r="R33" i="5"/>
  <c r="AD19" i="5"/>
  <c r="AD21" i="5" s="1"/>
  <c r="AC21" i="5"/>
  <c r="R177" i="5"/>
  <c r="R157" i="5"/>
  <c r="R79" i="5"/>
  <c r="R137" i="5"/>
  <c r="S35" i="5"/>
  <c r="Z189" i="5"/>
  <c r="AD180" i="5"/>
  <c r="AD178" i="5"/>
  <c r="AD176" i="5"/>
  <c r="AD170" i="5"/>
  <c r="AD158" i="5"/>
  <c r="AD175" i="5"/>
  <c r="AD165" i="5"/>
  <c r="AD181" i="5"/>
  <c r="AD173" i="5"/>
  <c r="AD163" i="5"/>
  <c r="AD157" i="5"/>
  <c r="AD155" i="5"/>
  <c r="AD153" i="5"/>
  <c r="AD151" i="5"/>
  <c r="AD146" i="5"/>
  <c r="AD183" i="5" s="1" a="1"/>
  <c r="AD183" i="5" s="1"/>
  <c r="AD144" i="5"/>
  <c r="AD142" i="5"/>
  <c r="AD197" i="5"/>
  <c r="AE193" i="5" s="1"/>
  <c r="AD174" i="5"/>
  <c r="AD156" i="5"/>
  <c r="AD145" i="5"/>
  <c r="AD136" i="5"/>
  <c r="AD81" i="5"/>
  <c r="AD171" i="5"/>
  <c r="AD160" i="5"/>
  <c r="AD159" i="5"/>
  <c r="AD134" i="5"/>
  <c r="AD106" i="5"/>
  <c r="AD172" i="5"/>
  <c r="AD154" i="5"/>
  <c r="AD143" i="5"/>
  <c r="AD141" i="5"/>
  <c r="AD132" i="5"/>
  <c r="AD162" i="5"/>
  <c r="AD161" i="5"/>
  <c r="AD138" i="5"/>
  <c r="AD131" i="5"/>
  <c r="AD140" i="5"/>
  <c r="AD133" i="5"/>
  <c r="AD166" i="5"/>
  <c r="AD139" i="5"/>
  <c r="AD100" i="5"/>
  <c r="AD99" i="5" s="1"/>
  <c r="AD79" i="5"/>
  <c r="AD177" i="5"/>
  <c r="AD150" i="5"/>
  <c r="AD104" i="5"/>
  <c r="AD179" i="5"/>
  <c r="AD135" i="5"/>
  <c r="AD82" i="5"/>
  <c r="AD130" i="5"/>
  <c r="AD29" i="5"/>
  <c r="AD27" i="5"/>
  <c r="AD93" i="5"/>
  <c r="AD68" i="5" a="1"/>
  <c r="AD68" i="5" s="1"/>
  <c r="AD41" i="5"/>
  <c r="AD39" i="5"/>
  <c r="AD37" i="5"/>
  <c r="AD35" i="5"/>
  <c r="AD164" i="5"/>
  <c r="AD107" i="5"/>
  <c r="AD66" i="5"/>
  <c r="AD64" i="5" s="1"/>
  <c r="AD11" i="5"/>
  <c r="AD50" i="5"/>
  <c r="AD59" i="5" s="1"/>
  <c r="AD76" i="5" s="1"/>
  <c r="AD137" i="5"/>
  <c r="AD38" i="5"/>
  <c r="AD32" i="5"/>
  <c r="AD28" i="5"/>
  <c r="AD20" i="5"/>
  <c r="AD16" i="5"/>
  <c r="AD13" i="5"/>
  <c r="AD202" i="5" s="1"/>
  <c r="AD78" i="5"/>
  <c r="AD30" i="5"/>
  <c r="AD45" i="5" s="1" a="1"/>
  <c r="AD45" i="5" s="1"/>
  <c r="AD105" i="5"/>
  <c r="AD152" i="5"/>
  <c r="AD40" i="5"/>
  <c r="AD36" i="5"/>
  <c r="AD31" i="5"/>
  <c r="AD34" i="5"/>
  <c r="AD33" i="5"/>
  <c r="AD17" i="5"/>
  <c r="AE5" i="5"/>
  <c r="AD12" i="5"/>
  <c r="AD14" i="5"/>
  <c r="AD24" i="5"/>
  <c r="AD6" i="5"/>
  <c r="AD18" i="5" s="1"/>
  <c r="AD62" i="5" s="1"/>
  <c r="AD61" i="5" s="1"/>
  <c r="AD77" i="5" s="1"/>
  <c r="AC59" i="5"/>
  <c r="BH19" i="7"/>
  <c r="BH33" i="7" s="1"/>
  <c r="T141" i="5"/>
  <c r="T161" i="5"/>
  <c r="U39" i="5"/>
  <c r="S139" i="5"/>
  <c r="S159" i="5"/>
  <c r="T37" i="5"/>
  <c r="Z187" i="5"/>
  <c r="O152" i="5"/>
  <c r="O132" i="5"/>
  <c r="O172" i="5"/>
  <c r="P30" i="5"/>
  <c r="AC222" i="5" l="1"/>
  <c r="AC214" i="5"/>
  <c r="AB188" i="5"/>
  <c r="AB189" i="5"/>
  <c r="AB187" i="5"/>
  <c r="T160" i="5"/>
  <c r="T140" i="5"/>
  <c r="U38" i="5"/>
  <c r="BI33" i="7"/>
  <c r="BI10" i="7"/>
  <c r="P133" i="5"/>
  <c r="P153" i="5"/>
  <c r="P173" i="5"/>
  <c r="Q31" i="5"/>
  <c r="AC76" i="5"/>
  <c r="AE175" i="5"/>
  <c r="AE165" i="5"/>
  <c r="AE106" i="5"/>
  <c r="AE104" i="5"/>
  <c r="AE181" i="5"/>
  <c r="AE178" i="5"/>
  <c r="AE173" i="5"/>
  <c r="AE163" i="5"/>
  <c r="AE157" i="5"/>
  <c r="AE171" i="5"/>
  <c r="AE161" i="5"/>
  <c r="AE160" i="5"/>
  <c r="AE159" i="5"/>
  <c r="AE151" i="5"/>
  <c r="AE134" i="5"/>
  <c r="AE78" i="5"/>
  <c r="AE176" i="5"/>
  <c r="AE172" i="5"/>
  <c r="AE154" i="5"/>
  <c r="AE143" i="5"/>
  <c r="AE141" i="5"/>
  <c r="AE132" i="5"/>
  <c r="AE180" i="5"/>
  <c r="AE166" i="5"/>
  <c r="AE158" i="5"/>
  <c r="AE146" i="5"/>
  <c r="AE183" i="5" s="1" a="1"/>
  <c r="AE183" i="5" s="1"/>
  <c r="AE139" i="5"/>
  <c r="AE130" i="5"/>
  <c r="AE197" i="5"/>
  <c r="AF193" i="5" s="1"/>
  <c r="AE174" i="5"/>
  <c r="AE156" i="5"/>
  <c r="AE145" i="5"/>
  <c r="AE136" i="5"/>
  <c r="AE153" i="5"/>
  <c r="AE100" i="5"/>
  <c r="AE99" i="5" s="1"/>
  <c r="AE79" i="5"/>
  <c r="AE170" i="5"/>
  <c r="AE164" i="5"/>
  <c r="AE155" i="5"/>
  <c r="AE135" i="5"/>
  <c r="AE107" i="5"/>
  <c r="AE177" i="5"/>
  <c r="AE162" i="5"/>
  <c r="AE142" i="5"/>
  <c r="AE138" i="5"/>
  <c r="AE131" i="5"/>
  <c r="AE105" i="5"/>
  <c r="AE179" i="5"/>
  <c r="AE68" i="5" a="1"/>
  <c r="AE68" i="5" s="1"/>
  <c r="AE29" i="5"/>
  <c r="AE27" i="5"/>
  <c r="AE93" i="5"/>
  <c r="AE41" i="5"/>
  <c r="AE39" i="5"/>
  <c r="AE37" i="5"/>
  <c r="AE35" i="5"/>
  <c r="AE33" i="5"/>
  <c r="AE45" i="5" s="1" a="1"/>
  <c r="AE45" i="5" s="1"/>
  <c r="AE31" i="5"/>
  <c r="AE133" i="5"/>
  <c r="AE150" i="5"/>
  <c r="AE81" i="5"/>
  <c r="AE140" i="5"/>
  <c r="AE82" i="5"/>
  <c r="AE50" i="5"/>
  <c r="AE137" i="5"/>
  <c r="AE38" i="5"/>
  <c r="AE32" i="5"/>
  <c r="AE28" i="5"/>
  <c r="AE20" i="5"/>
  <c r="AE16" i="5"/>
  <c r="AE13" i="5"/>
  <c r="AE202" i="5" s="1"/>
  <c r="AE66" i="5"/>
  <c r="AE64" i="5" s="1"/>
  <c r="AE11" i="5"/>
  <c r="AF19" i="5" s="1"/>
  <c r="AE30" i="5"/>
  <c r="AE144" i="5"/>
  <c r="AE152" i="5"/>
  <c r="AE40" i="5"/>
  <c r="AE36" i="5"/>
  <c r="AE34" i="5"/>
  <c r="AF5" i="5"/>
  <c r="AE12" i="5"/>
  <c r="AE14" i="5"/>
  <c r="AE24" i="5"/>
  <c r="AE17" i="5"/>
  <c r="AE6" i="5"/>
  <c r="AE18" i="5" s="1"/>
  <c r="AE62" i="5" s="1"/>
  <c r="R136" i="5"/>
  <c r="R156" i="5"/>
  <c r="R176" i="5"/>
  <c r="S34" i="5"/>
  <c r="M55" i="5"/>
  <c r="M82" i="5"/>
  <c r="M81" i="5"/>
  <c r="AC47" i="5"/>
  <c r="AC46" i="5"/>
  <c r="AD209" i="5" s="1"/>
  <c r="AD213" i="5" s="1"/>
  <c r="AD57" i="5"/>
  <c r="AD55" i="5" s="1"/>
  <c r="AD75" i="5"/>
  <c r="AD74" i="5" s="1"/>
  <c r="AD72" i="5" s="1"/>
  <c r="O19" i="5"/>
  <c r="O20" i="5"/>
  <c r="AE196" i="5"/>
  <c r="AE195" i="5"/>
  <c r="M74" i="5"/>
  <c r="M72" i="5" s="1"/>
  <c r="M71" i="5" s="1"/>
  <c r="O51" i="5"/>
  <c r="O58" i="5" s="1"/>
  <c r="N44" i="5"/>
  <c r="N170" i="5"/>
  <c r="N180" i="5" s="1"/>
  <c r="N181" i="5" s="1"/>
  <c r="N130" i="5"/>
  <c r="N145" i="5" s="1"/>
  <c r="N146" i="5" s="1"/>
  <c r="N183" i="5" s="1" a="1"/>
  <c r="N183" i="5" s="1"/>
  <c r="N150" i="5"/>
  <c r="N165" i="5" s="1"/>
  <c r="N166" i="5" s="1"/>
  <c r="N45" i="5" a="1"/>
  <c r="N45" i="5" s="1"/>
  <c r="O28" i="5"/>
  <c r="O66" i="5"/>
  <c r="O64" i="5" s="1"/>
  <c r="AC55" i="5"/>
  <c r="P21" i="3"/>
  <c r="AD5" i="6"/>
  <c r="AE4" i="6"/>
  <c r="AB4" i="7"/>
  <c r="AB3" i="7" s="1"/>
  <c r="U162" i="5"/>
  <c r="U142" i="5"/>
  <c r="AD103" i="5"/>
  <c r="BI19" i="7"/>
  <c r="AC96" i="5"/>
  <c r="AE51" i="5"/>
  <c r="AE58" i="5" s="1"/>
  <c r="AD44" i="5"/>
  <c r="AE19" i="5"/>
  <c r="AE21" i="5" s="1"/>
  <c r="S178" i="5"/>
  <c r="T179" i="5" s="1"/>
  <c r="S158" i="5"/>
  <c r="S138" i="5"/>
  <c r="T36" i="5"/>
  <c r="AC77" i="5"/>
  <c r="AC74" i="5" s="1"/>
  <c r="AB223" i="5"/>
  <c r="AC221" i="5"/>
  <c r="N223" i="5"/>
  <c r="O221" i="5"/>
  <c r="AC72" i="5" l="1"/>
  <c r="AD222" i="5"/>
  <c r="AD214" i="5"/>
  <c r="O61" i="5"/>
  <c r="O37" i="3"/>
  <c r="AD46" i="5"/>
  <c r="AE209" i="5" s="1"/>
  <c r="AE213" i="5" s="1"/>
  <c r="AD96" i="5"/>
  <c r="AD95" i="5" s="1"/>
  <c r="AD71" i="5" s="1"/>
  <c r="O151" i="5"/>
  <c r="O165" i="5" s="1"/>
  <c r="O166" i="5" s="1"/>
  <c r="O171" i="5"/>
  <c r="O180" i="5" s="1"/>
  <c r="O181" i="5" s="1"/>
  <c r="O131" i="5"/>
  <c r="O145" i="5" s="1"/>
  <c r="O146" i="5" s="1"/>
  <c r="O183" i="5" s="1" a="1"/>
  <c r="O183" i="5" s="1"/>
  <c r="P51" i="5"/>
  <c r="P58" i="5" s="1"/>
  <c r="O44" i="5"/>
  <c r="O45" i="5" a="1"/>
  <c r="O45" i="5" s="1"/>
  <c r="O50" i="5" s="1"/>
  <c r="O59" i="5" s="1"/>
  <c r="P29" i="5"/>
  <c r="AE59" i="5"/>
  <c r="AE75" i="5"/>
  <c r="N47" i="5"/>
  <c r="N50" i="5"/>
  <c r="N59" i="5" s="1"/>
  <c r="U161" i="5"/>
  <c r="U141" i="5"/>
  <c r="T139" i="5"/>
  <c r="T159" i="5"/>
  <c r="U37" i="5"/>
  <c r="AE61" i="5"/>
  <c r="AC4" i="7"/>
  <c r="AC3" i="7" s="1"/>
  <c r="AF4" i="6"/>
  <c r="AE5" i="6"/>
  <c r="AC95" i="5"/>
  <c r="O21" i="5"/>
  <c r="Q174" i="5"/>
  <c r="Q134" i="5"/>
  <c r="Q154" i="5"/>
  <c r="Q78" i="5"/>
  <c r="R32" i="5"/>
  <c r="N46" i="5"/>
  <c r="O209" i="5" s="1"/>
  <c r="O213" i="5" s="1"/>
  <c r="AF51" i="5"/>
  <c r="AF58" i="5" s="1"/>
  <c r="AE44" i="5"/>
  <c r="AE103" i="5"/>
  <c r="AD221" i="5"/>
  <c r="AC223" i="5"/>
  <c r="AF197" i="5"/>
  <c r="AG193" i="5" s="1"/>
  <c r="AF181" i="5"/>
  <c r="AF178" i="5"/>
  <c r="AF173" i="5"/>
  <c r="AF163" i="5"/>
  <c r="AF157" i="5"/>
  <c r="AF155" i="5"/>
  <c r="AF153" i="5"/>
  <c r="AF151" i="5"/>
  <c r="AF146" i="5"/>
  <c r="AF183" i="5" s="1" a="1"/>
  <c r="AF183" i="5" s="1"/>
  <c r="AF144" i="5"/>
  <c r="AF142" i="5"/>
  <c r="AF140" i="5"/>
  <c r="AF138" i="5"/>
  <c r="AF136" i="5"/>
  <c r="AF134" i="5"/>
  <c r="AF132" i="5"/>
  <c r="AF130" i="5"/>
  <c r="AF171" i="5"/>
  <c r="AF161" i="5"/>
  <c r="AF179" i="5"/>
  <c r="AF176" i="5"/>
  <c r="AF166" i="5"/>
  <c r="AF159" i="5"/>
  <c r="AF172" i="5"/>
  <c r="AF154" i="5"/>
  <c r="AF143" i="5"/>
  <c r="AF141" i="5"/>
  <c r="AF106" i="5"/>
  <c r="AF180" i="5"/>
  <c r="AF158" i="5"/>
  <c r="AF139" i="5"/>
  <c r="AF104" i="5"/>
  <c r="AF170" i="5"/>
  <c r="AF152" i="5"/>
  <c r="AF137" i="5"/>
  <c r="AF160" i="5"/>
  <c r="AF175" i="5"/>
  <c r="AF174" i="5"/>
  <c r="AF145" i="5"/>
  <c r="AF164" i="5"/>
  <c r="AF135" i="5"/>
  <c r="AF107" i="5"/>
  <c r="AF177" i="5"/>
  <c r="AF165" i="5"/>
  <c r="AF150" i="5"/>
  <c r="AF156" i="5"/>
  <c r="AF93" i="5"/>
  <c r="AF41" i="5"/>
  <c r="AF39" i="5"/>
  <c r="AF37" i="5"/>
  <c r="AF35" i="5"/>
  <c r="AF33" i="5"/>
  <c r="AF31" i="5"/>
  <c r="AF133" i="5"/>
  <c r="AF100" i="5"/>
  <c r="AF99" i="5" s="1"/>
  <c r="AF81" i="5"/>
  <c r="AF162" i="5"/>
  <c r="AF131" i="5"/>
  <c r="AF105" i="5"/>
  <c r="AF79" i="5"/>
  <c r="AF38" i="5"/>
  <c r="AF32" i="5"/>
  <c r="AF28" i="5"/>
  <c r="AF20" i="5"/>
  <c r="AF21" i="5" s="1"/>
  <c r="AF16" i="5"/>
  <c r="AF13" i="5"/>
  <c r="AF202" i="5" s="1"/>
  <c r="AF66" i="5"/>
  <c r="AF64" i="5" s="1"/>
  <c r="AF11" i="5"/>
  <c r="AF17" i="5"/>
  <c r="AF82" i="5"/>
  <c r="AF30" i="5"/>
  <c r="AF24" i="5"/>
  <c r="AF78" i="5"/>
  <c r="AG5" i="5"/>
  <c r="AF40" i="5"/>
  <c r="AF36" i="5"/>
  <c r="AF29" i="5"/>
  <c r="AF34" i="5"/>
  <c r="AF68" i="5" a="1"/>
  <c r="AF68" i="5" s="1"/>
  <c r="AF27" i="5"/>
  <c r="AF50" i="5"/>
  <c r="AF59" i="5" s="1"/>
  <c r="AF76" i="5" s="1"/>
  <c r="AF12" i="5"/>
  <c r="AF14" i="5"/>
  <c r="AF6" i="5"/>
  <c r="AF18" i="5" s="1"/>
  <c r="AF62" i="5" s="1"/>
  <c r="M189" i="5"/>
  <c r="M187" i="5"/>
  <c r="M188" i="5"/>
  <c r="AF196" i="5"/>
  <c r="AF195" i="5"/>
  <c r="O75" i="5"/>
  <c r="S157" i="5"/>
  <c r="S137" i="5"/>
  <c r="S79" i="5"/>
  <c r="S177" i="5"/>
  <c r="T35" i="5"/>
  <c r="AD47" i="5"/>
  <c r="AD188" i="5" l="1"/>
  <c r="AD189" i="5"/>
  <c r="AD187" i="5"/>
  <c r="AE214" i="5"/>
  <c r="AE222" i="5"/>
  <c r="O214" i="5"/>
  <c r="O222" i="5"/>
  <c r="O76" i="5"/>
  <c r="O57" i="5"/>
  <c r="AF61" i="5"/>
  <c r="AF77" i="5" s="1"/>
  <c r="R135" i="5"/>
  <c r="R175" i="5"/>
  <c r="R155" i="5"/>
  <c r="S33" i="5"/>
  <c r="AE76" i="5"/>
  <c r="AD223" i="5"/>
  <c r="AE221" i="5"/>
  <c r="AG197" i="5"/>
  <c r="AH193" i="5" s="1"/>
  <c r="AG181" i="5"/>
  <c r="AG179" i="5"/>
  <c r="AG177" i="5"/>
  <c r="AG175" i="5"/>
  <c r="AG173" i="5"/>
  <c r="AG171" i="5"/>
  <c r="AG166" i="5"/>
  <c r="AG164" i="5"/>
  <c r="AG162" i="5"/>
  <c r="AG160" i="5"/>
  <c r="AG158" i="5"/>
  <c r="AG161" i="5"/>
  <c r="AG176" i="5"/>
  <c r="AG159" i="5"/>
  <c r="AG180" i="5"/>
  <c r="AG139" i="5"/>
  <c r="AG132" i="5"/>
  <c r="AG104" i="5"/>
  <c r="AG100" i="5"/>
  <c r="AG99" i="5" s="1"/>
  <c r="AG93" i="5"/>
  <c r="AG178" i="5"/>
  <c r="AG170" i="5"/>
  <c r="AG152" i="5"/>
  <c r="AG146" i="5"/>
  <c r="AG183" i="5" s="1" a="1"/>
  <c r="AG183" i="5" s="1"/>
  <c r="AG137" i="5"/>
  <c r="AG130" i="5"/>
  <c r="AG135" i="5"/>
  <c r="AG172" i="5"/>
  <c r="AG154" i="5"/>
  <c r="AG151" i="5"/>
  <c r="AG143" i="5"/>
  <c r="AG141" i="5"/>
  <c r="AG134" i="5"/>
  <c r="AG106" i="5"/>
  <c r="AG136" i="5"/>
  <c r="AG107" i="5"/>
  <c r="AG165" i="5"/>
  <c r="AG155" i="5"/>
  <c r="AG150" i="5"/>
  <c r="AG81" i="5"/>
  <c r="AG131" i="5"/>
  <c r="AG105" i="5"/>
  <c r="AG82" i="5"/>
  <c r="AG174" i="5"/>
  <c r="AG156" i="5"/>
  <c r="AG138" i="5"/>
  <c r="AG133" i="5"/>
  <c r="AG78" i="5"/>
  <c r="AG50" i="5"/>
  <c r="AG153" i="5"/>
  <c r="AG145" i="5"/>
  <c r="AG163" i="5"/>
  <c r="AG142" i="5"/>
  <c r="AG157" i="5"/>
  <c r="AG41" i="5"/>
  <c r="AG39" i="5"/>
  <c r="AG37" i="5"/>
  <c r="AG35" i="5"/>
  <c r="AG33" i="5"/>
  <c r="AG31" i="5"/>
  <c r="AG140" i="5"/>
  <c r="AG66" i="5"/>
  <c r="AG64" i="5" s="1"/>
  <c r="AG11" i="5"/>
  <c r="AH19" i="5" s="1"/>
  <c r="AG30" i="5"/>
  <c r="AG24" i="5"/>
  <c r="AG17" i="5"/>
  <c r="AH5" i="5"/>
  <c r="AG29" i="5"/>
  <c r="AG144" i="5"/>
  <c r="AG40" i="5"/>
  <c r="AG45" i="5" s="1" a="1"/>
  <c r="AG45" i="5" s="1"/>
  <c r="AG12" i="5"/>
  <c r="AG68" i="5" a="1"/>
  <c r="AG68" i="5" s="1"/>
  <c r="AG34" i="5"/>
  <c r="AG79" i="5"/>
  <c r="AG38" i="5"/>
  <c r="AG32" i="5"/>
  <c r="AG28" i="5"/>
  <c r="AG20" i="5"/>
  <c r="AG16" i="5"/>
  <c r="AG13" i="5"/>
  <c r="AG202" i="5" s="1"/>
  <c r="AG36" i="5"/>
  <c r="AG14" i="5"/>
  <c r="AG27" i="5"/>
  <c r="AG6" i="5"/>
  <c r="AG18" i="5" s="1"/>
  <c r="AG62" i="5" s="1"/>
  <c r="AG4" i="6"/>
  <c r="AD4" i="7"/>
  <c r="AD3" i="7" s="1"/>
  <c r="AF5" i="6"/>
  <c r="N76" i="5"/>
  <c r="N57" i="5"/>
  <c r="T138" i="5"/>
  <c r="T178" i="5"/>
  <c r="U179" i="5" s="1"/>
  <c r="T158" i="5"/>
  <c r="U36" i="5"/>
  <c r="AG51" i="5"/>
  <c r="AG58" i="5" s="1"/>
  <c r="AF44" i="5"/>
  <c r="AF75" i="5"/>
  <c r="AF57" i="5"/>
  <c r="O46" i="5"/>
  <c r="P209" i="5" s="1"/>
  <c r="P213" i="5" s="1"/>
  <c r="AC71" i="5"/>
  <c r="AG19" i="5"/>
  <c r="AG21" i="5" s="1"/>
  <c r="P132" i="5"/>
  <c r="P145" i="5" s="1"/>
  <c r="P146" i="5" s="1"/>
  <c r="P183" i="5" s="1" a="1"/>
  <c r="P183" i="5" s="1"/>
  <c r="O39" i="3" s="1"/>
  <c r="P172" i="5"/>
  <c r="P180" i="5" s="1"/>
  <c r="P181" i="5" s="1"/>
  <c r="P152" i="5"/>
  <c r="P165" i="5" s="1"/>
  <c r="P166" i="5" s="1"/>
  <c r="Q30" i="5"/>
  <c r="P44" i="5"/>
  <c r="P45" i="5" a="1"/>
  <c r="P45" i="5" s="1"/>
  <c r="AE77" i="5"/>
  <c r="AE74" i="5" s="1"/>
  <c r="P75" i="5"/>
  <c r="O32" i="3"/>
  <c r="O77" i="5"/>
  <c r="O34" i="3"/>
  <c r="AE46" i="5"/>
  <c r="AF209" i="5" s="1"/>
  <c r="AF213" i="5" s="1"/>
  <c r="AE96" i="5"/>
  <c r="AE95" i="5" s="1"/>
  <c r="O47" i="5"/>
  <c r="AF45" i="5" a="1"/>
  <c r="AF45" i="5" s="1"/>
  <c r="AF47" i="5" s="1"/>
  <c r="AF103" i="5"/>
  <c r="AG195" i="5"/>
  <c r="AG196" i="5"/>
  <c r="O24" i="5"/>
  <c r="O17" i="5"/>
  <c r="P19" i="5" s="1"/>
  <c r="P21" i="5" s="1"/>
  <c r="U160" i="5"/>
  <c r="U140" i="5"/>
  <c r="AE57" i="5"/>
  <c r="AE47" i="5"/>
  <c r="AE72" i="5" l="1"/>
  <c r="AE71" i="5" s="1"/>
  <c r="P214" i="5"/>
  <c r="P222" i="5"/>
  <c r="AF214" i="5"/>
  <c r="AF222" i="5"/>
  <c r="AF46" i="5"/>
  <c r="AG209" i="5" s="1"/>
  <c r="AG213" i="5" s="1"/>
  <c r="AF96" i="5"/>
  <c r="AG75" i="5"/>
  <c r="AG57" i="5"/>
  <c r="AG55" i="5" s="1"/>
  <c r="O16" i="3"/>
  <c r="AF74" i="5"/>
  <c r="AF72" i="5" s="1"/>
  <c r="AG103" i="5"/>
  <c r="O223" i="5"/>
  <c r="P221" i="5"/>
  <c r="Q173" i="5"/>
  <c r="Q180" i="5" s="1"/>
  <c r="Q181" i="5" s="1"/>
  <c r="Q153" i="5"/>
  <c r="Q165" i="5" s="1"/>
  <c r="Q166" i="5" s="1"/>
  <c r="Q133" i="5"/>
  <c r="Q145" i="5" s="1"/>
  <c r="Q146" i="5" s="1"/>
  <c r="Q183" i="5" s="1" a="1"/>
  <c r="Q183" i="5" s="1"/>
  <c r="Q44" i="5"/>
  <c r="Q45" i="5" a="1"/>
  <c r="Q45" i="5" s="1"/>
  <c r="Q50" i="5" s="1"/>
  <c r="R31" i="5"/>
  <c r="AG44" i="5"/>
  <c r="AH51" i="5"/>
  <c r="AH58" i="5" s="1"/>
  <c r="AH197" i="5"/>
  <c r="AI193" i="5" s="1"/>
  <c r="AH181" i="5"/>
  <c r="AH179" i="5"/>
  <c r="AH177" i="5"/>
  <c r="AH176" i="5"/>
  <c r="AH171" i="5"/>
  <c r="AH159" i="5"/>
  <c r="AH166" i="5"/>
  <c r="AH174" i="5"/>
  <c r="AH164" i="5"/>
  <c r="AH156" i="5"/>
  <c r="AH154" i="5"/>
  <c r="AH152" i="5"/>
  <c r="AH150" i="5"/>
  <c r="AH145" i="5"/>
  <c r="AH143" i="5"/>
  <c r="AH178" i="5"/>
  <c r="AH170" i="5"/>
  <c r="AH158" i="5"/>
  <c r="AH146" i="5"/>
  <c r="AH183" i="5" s="1" a="1"/>
  <c r="AH183" i="5" s="1"/>
  <c r="AH137" i="5"/>
  <c r="AH130" i="5"/>
  <c r="AH82" i="5"/>
  <c r="AH135" i="5"/>
  <c r="AH107" i="5"/>
  <c r="AH165" i="5"/>
  <c r="AH155" i="5"/>
  <c r="AH144" i="5"/>
  <c r="AH133" i="5"/>
  <c r="AH180" i="5"/>
  <c r="AH173" i="5"/>
  <c r="AH139" i="5"/>
  <c r="AH132" i="5"/>
  <c r="AH104" i="5"/>
  <c r="AH100" i="5"/>
  <c r="AH99" i="5" s="1"/>
  <c r="AH172" i="5"/>
  <c r="AH81" i="5"/>
  <c r="AH131" i="5"/>
  <c r="AH105" i="5"/>
  <c r="AH163" i="5"/>
  <c r="AH162" i="5"/>
  <c r="AH142" i="5"/>
  <c r="AH138" i="5"/>
  <c r="AH106" i="5"/>
  <c r="AH161" i="5"/>
  <c r="AH160" i="5"/>
  <c r="AH151" i="5"/>
  <c r="AH141" i="5"/>
  <c r="AH134" i="5"/>
  <c r="AH175" i="5"/>
  <c r="AH93" i="5"/>
  <c r="AH78" i="5"/>
  <c r="AH50" i="5"/>
  <c r="AH59" i="5" s="1"/>
  <c r="AH76" i="5" s="1"/>
  <c r="AH30" i="5"/>
  <c r="AH28" i="5"/>
  <c r="AH153" i="5"/>
  <c r="AH79" i="5"/>
  <c r="AH68" i="5" a="1"/>
  <c r="AH68" i="5" s="1"/>
  <c r="AH40" i="5"/>
  <c r="AH38" i="5"/>
  <c r="AH36" i="5"/>
  <c r="AH136" i="5"/>
  <c r="AH157" i="5"/>
  <c r="AH24" i="5"/>
  <c r="AH17" i="5"/>
  <c r="AI5" i="5"/>
  <c r="AH39" i="5"/>
  <c r="AH35" i="5"/>
  <c r="AH33" i="5"/>
  <c r="AH29" i="5"/>
  <c r="AH14" i="5"/>
  <c r="AH12" i="5"/>
  <c r="AH34" i="5"/>
  <c r="AH27" i="5"/>
  <c r="AH31" i="5"/>
  <c r="AH41" i="5"/>
  <c r="AH37" i="5"/>
  <c r="AH32" i="5"/>
  <c r="AH140" i="5"/>
  <c r="AH66" i="5"/>
  <c r="AH64" i="5" s="1"/>
  <c r="AH11" i="5"/>
  <c r="AH13" i="5"/>
  <c r="AH202" i="5" s="1"/>
  <c r="AH20" i="5"/>
  <c r="AH16" i="5"/>
  <c r="AH6" i="5"/>
  <c r="AH18" i="5" s="1"/>
  <c r="AH62" i="5" s="1"/>
  <c r="O55" i="5"/>
  <c r="O81" i="5"/>
  <c r="O74" i="5" s="1"/>
  <c r="O72" i="5" s="1"/>
  <c r="O71" i="5" s="1"/>
  <c r="O82" i="5"/>
  <c r="AC188" i="5"/>
  <c r="AC187" i="5"/>
  <c r="AC189" i="5"/>
  <c r="AE55" i="5"/>
  <c r="P47" i="5"/>
  <c r="Q209" i="5" s="1"/>
  <c r="Q213" i="5" s="1"/>
  <c r="U159" i="5"/>
  <c r="U139" i="5"/>
  <c r="P50" i="5"/>
  <c r="AH21" i="5"/>
  <c r="AH195" i="5"/>
  <c r="AH196" i="5"/>
  <c r="AE223" i="5"/>
  <c r="AF221" i="5"/>
  <c r="O14" i="3"/>
  <c r="AE4" i="7"/>
  <c r="AE3" i="7" s="1"/>
  <c r="AH4" i="6"/>
  <c r="AG5" i="6"/>
  <c r="P46" i="5"/>
  <c r="P96" i="5"/>
  <c r="AG61" i="5"/>
  <c r="AG77" i="5" s="1"/>
  <c r="AF55" i="5"/>
  <c r="N55" i="5"/>
  <c r="N82" i="5"/>
  <c r="N81" i="5"/>
  <c r="N74" i="5" s="1"/>
  <c r="N72" i="5" s="1"/>
  <c r="N71" i="5" s="1"/>
  <c r="AG59" i="5"/>
  <c r="S136" i="5"/>
  <c r="S176" i="5"/>
  <c r="S156" i="5"/>
  <c r="T34" i="5"/>
  <c r="AG214" i="5" l="1"/>
  <c r="AG222" i="5"/>
  <c r="Q59" i="5"/>
  <c r="Q214" i="5"/>
  <c r="Q222" i="5"/>
  <c r="AG76" i="5"/>
  <c r="AI195" i="5"/>
  <c r="AI196" i="5"/>
  <c r="AF223" i="5"/>
  <c r="AG221" i="5"/>
  <c r="AF4" i="7"/>
  <c r="AF3" i="7" s="1"/>
  <c r="AH5" i="6"/>
  <c r="AI4" i="6"/>
  <c r="AG46" i="5"/>
  <c r="AH209" i="5" s="1"/>
  <c r="AH213" i="5" s="1"/>
  <c r="P223" i="5"/>
  <c r="Q221" i="5"/>
  <c r="R134" i="5"/>
  <c r="R145" i="5" s="1"/>
  <c r="R146" i="5" s="1"/>
  <c r="R183" i="5" s="1" a="1"/>
  <c r="R183" i="5" s="1"/>
  <c r="R174" i="5"/>
  <c r="R180" i="5" s="1"/>
  <c r="R181" i="5" s="1"/>
  <c r="R154" i="5"/>
  <c r="R165" i="5" s="1"/>
  <c r="R166" i="5" s="1"/>
  <c r="R78" i="5"/>
  <c r="S32" i="5"/>
  <c r="S78" i="5"/>
  <c r="R45" i="5" a="1"/>
  <c r="R45" i="5" s="1"/>
  <c r="R50" i="5" s="1"/>
  <c r="R44" i="5"/>
  <c r="O188" i="5"/>
  <c r="O187" i="5"/>
  <c r="O189" i="5"/>
  <c r="AH61" i="5"/>
  <c r="T157" i="5"/>
  <c r="T177" i="5"/>
  <c r="T79" i="5"/>
  <c r="T137" i="5"/>
  <c r="U35" i="5"/>
  <c r="N189" i="5"/>
  <c r="N187" i="5"/>
  <c r="N188" i="5"/>
  <c r="AE189" i="5"/>
  <c r="AE188" i="5"/>
  <c r="AE187" i="5"/>
  <c r="AG74" i="5"/>
  <c r="P59" i="5"/>
  <c r="O29" i="3"/>
  <c r="O11" i="3" s="1"/>
  <c r="AH44" i="5"/>
  <c r="AH96" i="5" s="1"/>
  <c r="AI51" i="5"/>
  <c r="AI58" i="5" s="1"/>
  <c r="AH45" i="5" a="1"/>
  <c r="AH45" i="5" s="1"/>
  <c r="Q46" i="5"/>
  <c r="Q96" i="5"/>
  <c r="AF95" i="5"/>
  <c r="AF71" i="5" s="1"/>
  <c r="AH75" i="5"/>
  <c r="AH57" i="5"/>
  <c r="P95" i="5"/>
  <c r="O49" i="3"/>
  <c r="AI19" i="5"/>
  <c r="AI166" i="5"/>
  <c r="AI107" i="5"/>
  <c r="AI105" i="5"/>
  <c r="AI179" i="5"/>
  <c r="AI174" i="5"/>
  <c r="AI164" i="5"/>
  <c r="AI172" i="5"/>
  <c r="AI162" i="5"/>
  <c r="AI176" i="5"/>
  <c r="AI171" i="5"/>
  <c r="AI152" i="5"/>
  <c r="AI135" i="5"/>
  <c r="AI79" i="5"/>
  <c r="AI165" i="5"/>
  <c r="AI155" i="5"/>
  <c r="AI144" i="5"/>
  <c r="AI133" i="5"/>
  <c r="AI197" i="5"/>
  <c r="AJ193" i="5" s="1"/>
  <c r="AI150" i="5"/>
  <c r="AI140" i="5"/>
  <c r="AI131" i="5"/>
  <c r="AI181" i="5"/>
  <c r="AI180" i="5"/>
  <c r="AI178" i="5"/>
  <c r="AI170" i="5"/>
  <c r="AI159" i="5"/>
  <c r="AI158" i="5"/>
  <c r="AI146" i="5"/>
  <c r="AI183" i="5" s="1" a="1"/>
  <c r="AI183" i="5" s="1"/>
  <c r="AI137" i="5"/>
  <c r="AI130" i="5"/>
  <c r="AI173" i="5"/>
  <c r="AI154" i="5"/>
  <c r="AI139" i="5"/>
  <c r="AI132" i="5"/>
  <c r="AI177" i="5"/>
  <c r="AI163" i="5"/>
  <c r="AI142" i="5"/>
  <c r="AI138" i="5"/>
  <c r="AI106" i="5"/>
  <c r="AI78" i="5"/>
  <c r="AI156" i="5"/>
  <c r="AI93" i="5"/>
  <c r="AI143" i="5"/>
  <c r="AI175" i="5"/>
  <c r="AI151" i="5"/>
  <c r="AI141" i="5"/>
  <c r="AI68" i="5" a="1"/>
  <c r="AI68" i="5" s="1"/>
  <c r="AI50" i="5"/>
  <c r="AI59" i="5" s="1"/>
  <c r="AI76" i="5" s="1"/>
  <c r="AI30" i="5"/>
  <c r="AI28" i="5"/>
  <c r="AI153" i="5"/>
  <c r="AI40" i="5"/>
  <c r="AI45" i="5" s="1" a="1"/>
  <c r="AI45" i="5" s="1"/>
  <c r="AI38" i="5"/>
  <c r="AI36" i="5"/>
  <c r="AI34" i="5"/>
  <c r="AI32" i="5"/>
  <c r="AI24" i="5"/>
  <c r="AI145" i="5"/>
  <c r="AI136" i="5"/>
  <c r="AI100" i="5"/>
  <c r="AI99" i="5" s="1"/>
  <c r="AI81" i="5"/>
  <c r="AI66" i="5"/>
  <c r="AI64" i="5" s="1"/>
  <c r="AI161" i="5"/>
  <c r="AI160" i="5"/>
  <c r="AI134" i="5"/>
  <c r="AI104" i="5"/>
  <c r="AI17" i="5"/>
  <c r="AJ5" i="5"/>
  <c r="AI82" i="5"/>
  <c r="AI39" i="5"/>
  <c r="AI35" i="5"/>
  <c r="AI33" i="5"/>
  <c r="AI29" i="5"/>
  <c r="AI14" i="5"/>
  <c r="AI12" i="5"/>
  <c r="AI31" i="5"/>
  <c r="AI41" i="5"/>
  <c r="AI37" i="5"/>
  <c r="AI157" i="5"/>
  <c r="AI27" i="5"/>
  <c r="AI11" i="5"/>
  <c r="AI13" i="5"/>
  <c r="AI202" i="5" s="1"/>
  <c r="AI16" i="5"/>
  <c r="AI20" i="5"/>
  <c r="AI6" i="5"/>
  <c r="AI18" i="5" s="1"/>
  <c r="AG47" i="5"/>
  <c r="Q47" i="5"/>
  <c r="R209" i="5" s="1"/>
  <c r="R213" i="5" s="1"/>
  <c r="AH103" i="5"/>
  <c r="AG96" i="5"/>
  <c r="AG95" i="5" s="1"/>
  <c r="AF189" i="5" l="1"/>
  <c r="AF187" i="5"/>
  <c r="AF188" i="5"/>
  <c r="AI96" i="5"/>
  <c r="AI95" i="5" s="1"/>
  <c r="R59" i="5"/>
  <c r="AH95" i="5"/>
  <c r="AH222" i="5"/>
  <c r="AH214" i="5"/>
  <c r="R222" i="5"/>
  <c r="R214" i="5"/>
  <c r="AI47" i="5"/>
  <c r="AH55" i="5"/>
  <c r="AJ179" i="5"/>
  <c r="AJ174" i="5"/>
  <c r="AJ164" i="5"/>
  <c r="AJ156" i="5"/>
  <c r="AJ154" i="5"/>
  <c r="AJ152" i="5"/>
  <c r="AJ150" i="5"/>
  <c r="AJ145" i="5"/>
  <c r="AJ143" i="5"/>
  <c r="AJ141" i="5"/>
  <c r="AJ139" i="5"/>
  <c r="AJ137" i="5"/>
  <c r="AJ135" i="5"/>
  <c r="AJ133" i="5"/>
  <c r="AJ131" i="5"/>
  <c r="AJ172" i="5"/>
  <c r="AJ162" i="5"/>
  <c r="AJ180" i="5"/>
  <c r="AJ177" i="5"/>
  <c r="AJ170" i="5"/>
  <c r="AJ160" i="5"/>
  <c r="AJ165" i="5"/>
  <c r="AJ155" i="5"/>
  <c r="AJ144" i="5"/>
  <c r="AJ107" i="5"/>
  <c r="AJ197" i="5"/>
  <c r="AK193" i="5" s="1"/>
  <c r="AJ166" i="5"/>
  <c r="AJ140" i="5"/>
  <c r="AJ105" i="5"/>
  <c r="AJ163" i="5"/>
  <c r="AJ157" i="5"/>
  <c r="AJ153" i="5"/>
  <c r="AJ142" i="5"/>
  <c r="AJ138" i="5"/>
  <c r="AJ176" i="5"/>
  <c r="AJ171" i="5"/>
  <c r="AJ146" i="5"/>
  <c r="AJ183" i="5" s="1" a="1"/>
  <c r="AJ183" i="5" s="1"/>
  <c r="AJ106" i="5"/>
  <c r="AJ78" i="5"/>
  <c r="AJ181" i="5"/>
  <c r="AJ93" i="5"/>
  <c r="AJ161" i="5"/>
  <c r="AJ151" i="5"/>
  <c r="AJ134" i="5"/>
  <c r="AJ104" i="5"/>
  <c r="AJ103" i="5" s="1"/>
  <c r="AJ82" i="5"/>
  <c r="AJ178" i="5"/>
  <c r="AJ159" i="5"/>
  <c r="AJ158" i="5"/>
  <c r="AJ130" i="5"/>
  <c r="AJ175" i="5"/>
  <c r="AJ173" i="5"/>
  <c r="AJ40" i="5"/>
  <c r="AJ38" i="5"/>
  <c r="AJ36" i="5"/>
  <c r="AJ34" i="5"/>
  <c r="AJ32" i="5"/>
  <c r="AJ24" i="5"/>
  <c r="AJ20" i="5"/>
  <c r="AJ136" i="5"/>
  <c r="AJ100" i="5"/>
  <c r="AJ99" i="5" s="1"/>
  <c r="AJ81" i="5"/>
  <c r="AJ79" i="5"/>
  <c r="AJ66" i="5"/>
  <c r="AJ64" i="5" s="1"/>
  <c r="AJ132" i="5"/>
  <c r="AJ50" i="5"/>
  <c r="AJ30" i="5"/>
  <c r="AJ39" i="5"/>
  <c r="AJ35" i="5"/>
  <c r="AJ33" i="5"/>
  <c r="AJ29" i="5"/>
  <c r="AJ14" i="5"/>
  <c r="AJ12" i="5"/>
  <c r="AJ68" i="5" a="1"/>
  <c r="AJ68" i="5" s="1"/>
  <c r="AJ27" i="5"/>
  <c r="AJ41" i="5"/>
  <c r="AJ37" i="5"/>
  <c r="AJ28" i="5"/>
  <c r="AJ17" i="5"/>
  <c r="AK5" i="5"/>
  <c r="AJ31" i="5"/>
  <c r="AJ11" i="5"/>
  <c r="AK19" i="5" s="1"/>
  <c r="AJ13" i="5"/>
  <c r="AJ202" i="5" s="1"/>
  <c r="AJ16" i="5"/>
  <c r="AJ6" i="5"/>
  <c r="AJ18" i="5" s="1"/>
  <c r="AJ62" i="5" s="1"/>
  <c r="AJ61" i="5" s="1"/>
  <c r="AJ77" i="5" s="1"/>
  <c r="AH47" i="5"/>
  <c r="R221" i="5"/>
  <c r="Q223" i="5"/>
  <c r="AH74" i="5"/>
  <c r="AH72" i="5" s="1"/>
  <c r="AH71" i="5" s="1"/>
  <c r="AI209" i="5"/>
  <c r="AI213" i="5" s="1"/>
  <c r="AH46" i="5"/>
  <c r="R46" i="5"/>
  <c r="S209" i="5" s="1"/>
  <c r="S213" i="5" s="1"/>
  <c r="R96" i="5"/>
  <c r="R95" i="5" s="1"/>
  <c r="Q76" i="5"/>
  <c r="Q57" i="5"/>
  <c r="P76" i="5"/>
  <c r="O33" i="3"/>
  <c r="P57" i="5"/>
  <c r="R47" i="5"/>
  <c r="Q95" i="5"/>
  <c r="AG72" i="5"/>
  <c r="AG71" i="5" s="1"/>
  <c r="AH221" i="5"/>
  <c r="AG223" i="5"/>
  <c r="AI103" i="5"/>
  <c r="AI44" i="5"/>
  <c r="AJ51" i="5"/>
  <c r="AJ58" i="5" s="1"/>
  <c r="AJ196" i="5"/>
  <c r="AJ195" i="5"/>
  <c r="AH77" i="5"/>
  <c r="AI21" i="5"/>
  <c r="U178" i="5"/>
  <c r="U158" i="5"/>
  <c r="U138" i="5"/>
  <c r="S175" i="5"/>
  <c r="S180" i="5" s="1"/>
  <c r="S181" i="5" s="1"/>
  <c r="S135" i="5"/>
  <c r="S145" i="5" s="1"/>
  <c r="S146" i="5" s="1"/>
  <c r="S183" i="5" s="1" a="1"/>
  <c r="S183" i="5" s="1"/>
  <c r="S155" i="5"/>
  <c r="S165" i="5" s="1"/>
  <c r="S166" i="5" s="1"/>
  <c r="S45" i="5" a="1"/>
  <c r="S45" i="5" s="1"/>
  <c r="S44" i="5"/>
  <c r="T33" i="5"/>
  <c r="T78" i="5" s="1"/>
  <c r="AI75" i="5"/>
  <c r="AI57" i="5"/>
  <c r="AJ19" i="5"/>
  <c r="AI62" i="5"/>
  <c r="O48" i="3"/>
  <c r="AI5" i="6"/>
  <c r="AG4" i="7"/>
  <c r="AG3" i="7" s="1"/>
  <c r="AJ4" i="6"/>
  <c r="S214" i="5" l="1"/>
  <c r="S222" i="5"/>
  <c r="AH188" i="5"/>
  <c r="AH187" i="5"/>
  <c r="AH189" i="5"/>
  <c r="AJ59" i="5"/>
  <c r="S46" i="5"/>
  <c r="T209" i="5" s="1"/>
  <c r="T213" i="5" s="1"/>
  <c r="S96" i="5"/>
  <c r="AI61" i="5"/>
  <c r="S47" i="5"/>
  <c r="P55" i="5"/>
  <c r="P81" i="5"/>
  <c r="P82" i="5"/>
  <c r="O31" i="3"/>
  <c r="AJ21" i="5"/>
  <c r="AK51" i="5"/>
  <c r="AK58" i="5" s="1"/>
  <c r="AJ44" i="5"/>
  <c r="R76" i="5"/>
  <c r="R57" i="5"/>
  <c r="AI214" i="5"/>
  <c r="AI222" i="5"/>
  <c r="AJ5" i="6"/>
  <c r="AH4" i="7"/>
  <c r="AH3" i="7" s="1"/>
  <c r="AK4" i="6"/>
  <c r="AG188" i="5"/>
  <c r="AG187" i="5"/>
  <c r="AG189" i="5"/>
  <c r="Q55" i="5"/>
  <c r="Q82" i="5"/>
  <c r="Q81" i="5"/>
  <c r="AJ75" i="5"/>
  <c r="AJ57" i="5"/>
  <c r="AJ55" i="5" s="1"/>
  <c r="AK180" i="5"/>
  <c r="AK178" i="5"/>
  <c r="AK176" i="5"/>
  <c r="AK174" i="5"/>
  <c r="AK172" i="5"/>
  <c r="AK170" i="5"/>
  <c r="AK165" i="5"/>
  <c r="AK163" i="5"/>
  <c r="AK161" i="5"/>
  <c r="AK159" i="5"/>
  <c r="AK162" i="5"/>
  <c r="AK177" i="5"/>
  <c r="AK160" i="5"/>
  <c r="AK158" i="5"/>
  <c r="AK197" i="5"/>
  <c r="AL193" i="5" s="1"/>
  <c r="AK166" i="5"/>
  <c r="AK140" i="5"/>
  <c r="AK133" i="5"/>
  <c r="AK105" i="5"/>
  <c r="AK157" i="5"/>
  <c r="AK153" i="5"/>
  <c r="AK150" i="5"/>
  <c r="AK142" i="5"/>
  <c r="AK138" i="5"/>
  <c r="AK131" i="5"/>
  <c r="AK181" i="5"/>
  <c r="AK175" i="5"/>
  <c r="AK164" i="5"/>
  <c r="AK136" i="5"/>
  <c r="AK155" i="5"/>
  <c r="AK152" i="5"/>
  <c r="AK144" i="5"/>
  <c r="AK135" i="5"/>
  <c r="AK107" i="5"/>
  <c r="AK171" i="5"/>
  <c r="AK93" i="5"/>
  <c r="AK156" i="5"/>
  <c r="AK151" i="5"/>
  <c r="AK134" i="5"/>
  <c r="AK104" i="5"/>
  <c r="AK82" i="5"/>
  <c r="AK141" i="5"/>
  <c r="AK137" i="5"/>
  <c r="AK100" i="5"/>
  <c r="AK99" i="5" s="1"/>
  <c r="AK179" i="5"/>
  <c r="AK143" i="5"/>
  <c r="AK130" i="5"/>
  <c r="AK81" i="5"/>
  <c r="AK79" i="5"/>
  <c r="AK78" i="5"/>
  <c r="AK66" i="5"/>
  <c r="AK64" i="5" s="1"/>
  <c r="AK45" i="5" a="1"/>
  <c r="AK45" i="5" s="1"/>
  <c r="AK145" i="5"/>
  <c r="AK139" i="5"/>
  <c r="AK106" i="5"/>
  <c r="AK173" i="5"/>
  <c r="AK154" i="5"/>
  <c r="AK146" i="5"/>
  <c r="AK183" i="5" s="1" a="1"/>
  <c r="AK183" i="5" s="1"/>
  <c r="AK40" i="5"/>
  <c r="AK38" i="5"/>
  <c r="AK36" i="5"/>
  <c r="AK34" i="5"/>
  <c r="AK32" i="5"/>
  <c r="AK68" i="5" a="1"/>
  <c r="AK68" i="5" s="1"/>
  <c r="AK30" i="5"/>
  <c r="AK24" i="5"/>
  <c r="AK27" i="5"/>
  <c r="AK13" i="5"/>
  <c r="AK202" i="5" s="1"/>
  <c r="AK132" i="5"/>
  <c r="AK31" i="5"/>
  <c r="AK41" i="5"/>
  <c r="AK28" i="5"/>
  <c r="AK50" i="5"/>
  <c r="AK59" i="5" s="1"/>
  <c r="AK76" i="5" s="1"/>
  <c r="AK39" i="5"/>
  <c r="AK35" i="5"/>
  <c r="AK33" i="5"/>
  <c r="AK29" i="5"/>
  <c r="AK14" i="5"/>
  <c r="AK12" i="5"/>
  <c r="AK37" i="5"/>
  <c r="AK16" i="5"/>
  <c r="AL5" i="5"/>
  <c r="AK20" i="5"/>
  <c r="AK21" i="5" s="1"/>
  <c r="AK17" i="5"/>
  <c r="AK11" i="5"/>
  <c r="AK6" i="5"/>
  <c r="AK18" i="5" s="1"/>
  <c r="AK62" i="5" s="1"/>
  <c r="AK195" i="5"/>
  <c r="AK196" i="5"/>
  <c r="S221" i="5"/>
  <c r="R223" i="5"/>
  <c r="AJ209" i="5"/>
  <c r="AJ213" i="5" s="1"/>
  <c r="AI46" i="5"/>
  <c r="Q74" i="5"/>
  <c r="AJ45" i="5" a="1"/>
  <c r="AJ45" i="5" s="1"/>
  <c r="AJ47" i="5" s="1"/>
  <c r="P74" i="5"/>
  <c r="P72" i="5" s="1"/>
  <c r="P71" i="5" s="1"/>
  <c r="O20" i="3"/>
  <c r="T136" i="5"/>
  <c r="T145" i="5" s="1"/>
  <c r="T146" i="5" s="1"/>
  <c r="T183" i="5" s="1" a="1"/>
  <c r="T183" i="5" s="1"/>
  <c r="T176" i="5"/>
  <c r="T180" i="5" s="1"/>
  <c r="T181" i="5" s="1"/>
  <c r="T156" i="5"/>
  <c r="T165" i="5" s="1"/>
  <c r="T166" i="5" s="1"/>
  <c r="U34" i="5"/>
  <c r="T44" i="5"/>
  <c r="T45" i="5" a="1"/>
  <c r="T45" i="5" s="1"/>
  <c r="S50" i="5"/>
  <c r="AI221" i="5"/>
  <c r="AH223" i="5"/>
  <c r="T222" i="5" l="1"/>
  <c r="T214" i="5"/>
  <c r="S59" i="5"/>
  <c r="P29" i="3"/>
  <c r="P11" i="3" s="1"/>
  <c r="AL180" i="5"/>
  <c r="AL178" i="5"/>
  <c r="AL176" i="5"/>
  <c r="AL177" i="5"/>
  <c r="AL172" i="5"/>
  <c r="AL160" i="5"/>
  <c r="AL170" i="5"/>
  <c r="AL158" i="5"/>
  <c r="AL197" i="5"/>
  <c r="AM193" i="5" s="1"/>
  <c r="AL175" i="5"/>
  <c r="AL165" i="5"/>
  <c r="AL157" i="5"/>
  <c r="AL155" i="5"/>
  <c r="AL153" i="5"/>
  <c r="AL151" i="5"/>
  <c r="AL146" i="5"/>
  <c r="AL183" i="5" s="1" a="1"/>
  <c r="AL183" i="5" s="1"/>
  <c r="AL144" i="5"/>
  <c r="AL142" i="5"/>
  <c r="AL150" i="5"/>
  <c r="AL138" i="5"/>
  <c r="AL131" i="5"/>
  <c r="AL81" i="5"/>
  <c r="AL181" i="5"/>
  <c r="AL164" i="5"/>
  <c r="AL163" i="5"/>
  <c r="AL136" i="5"/>
  <c r="AL179" i="5"/>
  <c r="AL156" i="5"/>
  <c r="AL145" i="5"/>
  <c r="AL134" i="5"/>
  <c r="AL166" i="5"/>
  <c r="AL140" i="5"/>
  <c r="AL133" i="5"/>
  <c r="AL105" i="5"/>
  <c r="AL135" i="5"/>
  <c r="AL104" i="5"/>
  <c r="AL82" i="5"/>
  <c r="AL162" i="5"/>
  <c r="AL161" i="5"/>
  <c r="AL141" i="5"/>
  <c r="AL143" i="5"/>
  <c r="AL130" i="5"/>
  <c r="AL152" i="5"/>
  <c r="AL173" i="5"/>
  <c r="AL100" i="5"/>
  <c r="AL99" i="5" s="1"/>
  <c r="AL29" i="5"/>
  <c r="AL27" i="5"/>
  <c r="AL174" i="5"/>
  <c r="AL139" i="5"/>
  <c r="AL106" i="5"/>
  <c r="AL68" i="5" a="1"/>
  <c r="AL68" i="5" s="1"/>
  <c r="AL41" i="5"/>
  <c r="AL39" i="5"/>
  <c r="AL37" i="5"/>
  <c r="AL35" i="5"/>
  <c r="AL171" i="5"/>
  <c r="AL107" i="5"/>
  <c r="AL159" i="5"/>
  <c r="AL137" i="5"/>
  <c r="AL93" i="5"/>
  <c r="AL79" i="5"/>
  <c r="AL78" i="5"/>
  <c r="AL66" i="5"/>
  <c r="AL64" i="5" s="1"/>
  <c r="AL154" i="5"/>
  <c r="AL132" i="5"/>
  <c r="AL31" i="5"/>
  <c r="AL20" i="5"/>
  <c r="AL40" i="5"/>
  <c r="AL36" i="5"/>
  <c r="AL34" i="5"/>
  <c r="AL16" i="5"/>
  <c r="AL13" i="5"/>
  <c r="AL202" i="5" s="1"/>
  <c r="AL11" i="5"/>
  <c r="AM19" i="5" s="1"/>
  <c r="AL28" i="5"/>
  <c r="AL50" i="5"/>
  <c r="AL59" i="5" s="1"/>
  <c r="AL76" i="5" s="1"/>
  <c r="AL32" i="5"/>
  <c r="AL38" i="5"/>
  <c r="AL33" i="5"/>
  <c r="AL30" i="5"/>
  <c r="AL24" i="5"/>
  <c r="AL12" i="5"/>
  <c r="AL17" i="5"/>
  <c r="AL14" i="5"/>
  <c r="AM5" i="5"/>
  <c r="AL6" i="5"/>
  <c r="AL18" i="5" s="1"/>
  <c r="AL62" i="5" s="1"/>
  <c r="AL61" i="5" s="1"/>
  <c r="AL77" i="5" s="1"/>
  <c r="O13" i="3"/>
  <c r="O12" i="3" s="1"/>
  <c r="AL51" i="5"/>
  <c r="AL58" i="5" s="1"/>
  <c r="AK44" i="5"/>
  <c r="AK96" i="5" s="1"/>
  <c r="AK95" i="5" s="1"/>
  <c r="R55" i="5"/>
  <c r="R81" i="5"/>
  <c r="R74" i="5" s="1"/>
  <c r="R82" i="5"/>
  <c r="AK103" i="5"/>
  <c r="P188" i="5"/>
  <c r="P189" i="5"/>
  <c r="P187" i="5"/>
  <c r="O30" i="3"/>
  <c r="AK47" i="5"/>
  <c r="T47" i="5"/>
  <c r="U50" i="5"/>
  <c r="U59" i="5" s="1"/>
  <c r="U79" i="5"/>
  <c r="U137" i="5"/>
  <c r="U145" i="5" s="1"/>
  <c r="U146" i="5" s="1"/>
  <c r="U183" i="5" s="1" a="1"/>
  <c r="U183" i="5" s="1"/>
  <c r="P39" i="3" s="1"/>
  <c r="U157" i="5"/>
  <c r="U177" i="5"/>
  <c r="U44" i="5"/>
  <c r="AK61" i="5"/>
  <c r="AK77" i="5" s="1"/>
  <c r="AL195" i="5"/>
  <c r="AL196" i="5"/>
  <c r="AK209" i="5"/>
  <c r="AK213" i="5" s="1"/>
  <c r="AJ46" i="5"/>
  <c r="AJ96" i="5"/>
  <c r="AJ95" i="5" s="1"/>
  <c r="T50" i="5"/>
  <c r="T59" i="5" s="1"/>
  <c r="AJ76" i="5"/>
  <c r="AJ74" i="5" s="1"/>
  <c r="AJ72" i="5" s="1"/>
  <c r="AJ71" i="5" s="1"/>
  <c r="U78" i="5"/>
  <c r="Q72" i="5"/>
  <c r="Q71" i="5" s="1"/>
  <c r="Q187" i="5" s="1"/>
  <c r="AL19" i="5"/>
  <c r="AL21" i="5" s="1"/>
  <c r="AK5" i="6"/>
  <c r="AI4" i="7"/>
  <c r="AI3" i="7" s="1"/>
  <c r="AL4" i="6"/>
  <c r="AK57" i="5"/>
  <c r="AK75" i="5"/>
  <c r="T221" i="5"/>
  <c r="S223" i="5"/>
  <c r="AJ222" i="5"/>
  <c r="AJ214" i="5"/>
  <c r="AI77" i="5"/>
  <c r="AI74" i="5" s="1"/>
  <c r="AJ221" i="5"/>
  <c r="AI223" i="5"/>
  <c r="S95" i="5"/>
  <c r="U209" i="5"/>
  <c r="U213" i="5" s="1"/>
  <c r="T46" i="5"/>
  <c r="T96" i="5"/>
  <c r="T95" i="5" s="1"/>
  <c r="AI55" i="5"/>
  <c r="R72" i="5" l="1"/>
  <c r="R71" i="5" s="1"/>
  <c r="AJ188" i="5"/>
  <c r="AJ189" i="5"/>
  <c r="AJ187" i="5"/>
  <c r="Q188" i="5"/>
  <c r="U76" i="5"/>
  <c r="U57" i="5"/>
  <c r="AL57" i="5"/>
  <c r="AL55" i="5" s="1"/>
  <c r="AL75" i="5"/>
  <c r="AL74" i="5" s="1"/>
  <c r="AL72" i="5" s="1"/>
  <c r="AM196" i="5"/>
  <c r="AM195" i="5"/>
  <c r="S76" i="5"/>
  <c r="S57" i="5"/>
  <c r="P33" i="3"/>
  <c r="AK74" i="5"/>
  <c r="AK72" i="5" s="1"/>
  <c r="AK71" i="5" s="1"/>
  <c r="AM51" i="5"/>
  <c r="AM58" i="5" s="1"/>
  <c r="AL44" i="5"/>
  <c r="AK55" i="5"/>
  <c r="AM170" i="5"/>
  <c r="AM158" i="5"/>
  <c r="AM106" i="5"/>
  <c r="AM104" i="5"/>
  <c r="AM197" i="5"/>
  <c r="AN193" i="5" s="1"/>
  <c r="AM180" i="5"/>
  <c r="AM175" i="5"/>
  <c r="AM165" i="5"/>
  <c r="AM157" i="5"/>
  <c r="AM173" i="5"/>
  <c r="AM163" i="5"/>
  <c r="AM181" i="5"/>
  <c r="AM164" i="5"/>
  <c r="AM153" i="5"/>
  <c r="AM142" i="5"/>
  <c r="AM136" i="5"/>
  <c r="AM78" i="5"/>
  <c r="AM179" i="5"/>
  <c r="AM156" i="5"/>
  <c r="AM145" i="5"/>
  <c r="AM134" i="5"/>
  <c r="AM177" i="5"/>
  <c r="AM162" i="5"/>
  <c r="AM161" i="5"/>
  <c r="AM151" i="5"/>
  <c r="AM141" i="5"/>
  <c r="AM132" i="5"/>
  <c r="AM150" i="5"/>
  <c r="AM138" i="5"/>
  <c r="AM131" i="5"/>
  <c r="AM176" i="5"/>
  <c r="AM166" i="5"/>
  <c r="AM155" i="5"/>
  <c r="AM105" i="5"/>
  <c r="AM143" i="5"/>
  <c r="AM130" i="5"/>
  <c r="AM79" i="5"/>
  <c r="AM160" i="5"/>
  <c r="AM159" i="5"/>
  <c r="AM137" i="5"/>
  <c r="AM100" i="5"/>
  <c r="AM99" i="5" s="1"/>
  <c r="AM178" i="5"/>
  <c r="AM144" i="5"/>
  <c r="AM140" i="5"/>
  <c r="AM133" i="5"/>
  <c r="AM174" i="5"/>
  <c r="AM172" i="5"/>
  <c r="AM68" i="5" a="1"/>
  <c r="AM68" i="5" s="1"/>
  <c r="AM29" i="5"/>
  <c r="AM27" i="5"/>
  <c r="AM139" i="5"/>
  <c r="AM41" i="5"/>
  <c r="AM39" i="5"/>
  <c r="AM37" i="5"/>
  <c r="AM35" i="5"/>
  <c r="AM33" i="5"/>
  <c r="AM31" i="5"/>
  <c r="AM171" i="5"/>
  <c r="AM107" i="5"/>
  <c r="AM152" i="5"/>
  <c r="AM82" i="5"/>
  <c r="AM135" i="5"/>
  <c r="AM81" i="5"/>
  <c r="AM40" i="5"/>
  <c r="AM36" i="5"/>
  <c r="AM34" i="5"/>
  <c r="AM16" i="5"/>
  <c r="AM13" i="5"/>
  <c r="AM202" i="5" s="1"/>
  <c r="AM93" i="5"/>
  <c r="AM20" i="5"/>
  <c r="AM21" i="5" s="1"/>
  <c r="AM11" i="5"/>
  <c r="AN19" i="5" s="1"/>
  <c r="AM28" i="5"/>
  <c r="AM45" i="5" s="1" a="1"/>
  <c r="AM45" i="5" s="1"/>
  <c r="AM50" i="5"/>
  <c r="AM59" i="5" s="1"/>
  <c r="AM76" i="5" s="1"/>
  <c r="AM32" i="5"/>
  <c r="AM38" i="5"/>
  <c r="AM146" i="5"/>
  <c r="AM183" i="5" s="1" a="1"/>
  <c r="AM183" i="5" s="1"/>
  <c r="AM66" i="5"/>
  <c r="AM64" i="5" s="1"/>
  <c r="AM30" i="5"/>
  <c r="AM154" i="5"/>
  <c r="AM14" i="5"/>
  <c r="AM17" i="5"/>
  <c r="AN5" i="5"/>
  <c r="AM24" i="5"/>
  <c r="AM12" i="5"/>
  <c r="AM6" i="5"/>
  <c r="AM18" i="5" s="1"/>
  <c r="AM62" i="5" s="1"/>
  <c r="AM61" i="5" s="1"/>
  <c r="AM77" i="5" s="1"/>
  <c r="AL45" i="5" a="1"/>
  <c r="AL45" i="5" s="1"/>
  <c r="AL47" i="5" s="1"/>
  <c r="U222" i="5"/>
  <c r="U214" i="5"/>
  <c r="T76" i="5"/>
  <c r="T57" i="5"/>
  <c r="U46" i="5"/>
  <c r="V209" i="5" s="1"/>
  <c r="V213" i="5" s="1"/>
  <c r="U180" i="5"/>
  <c r="U165" i="5"/>
  <c r="U166" i="5" s="1"/>
  <c r="U96" i="5"/>
  <c r="U47" i="5"/>
  <c r="AI187" i="5"/>
  <c r="AI188" i="5"/>
  <c r="AJ4" i="7"/>
  <c r="AJ3" i="7" s="1"/>
  <c r="AL5" i="6"/>
  <c r="AM4" i="6"/>
  <c r="Q189" i="5"/>
  <c r="AK222" i="5"/>
  <c r="AK214" i="5"/>
  <c r="P16" i="3"/>
  <c r="R188" i="5"/>
  <c r="R189" i="5"/>
  <c r="R187" i="5"/>
  <c r="AJ223" i="5"/>
  <c r="AK221" i="5"/>
  <c r="AI72" i="5"/>
  <c r="AI71" i="5" s="1"/>
  <c r="AI189" i="5" s="1"/>
  <c r="AK46" i="5"/>
  <c r="AL209" i="5" s="1"/>
  <c r="AL213" i="5" s="1"/>
  <c r="AL103" i="5"/>
  <c r="T223" i="5"/>
  <c r="U221" i="5"/>
  <c r="V222" i="5" l="1"/>
  <c r="V214" i="5"/>
  <c r="AL222" i="5"/>
  <c r="AL214" i="5"/>
  <c r="AK4" i="7"/>
  <c r="AK3" i="7" s="1"/>
  <c r="AN4" i="6"/>
  <c r="AM5" i="6"/>
  <c r="U95" i="5"/>
  <c r="P49" i="3"/>
  <c r="U55" i="5"/>
  <c r="U81" i="5"/>
  <c r="U82" i="5"/>
  <c r="U74" i="5" s="1"/>
  <c r="U72" i="5" s="1"/>
  <c r="U71" i="5" s="1"/>
  <c r="U223" i="5"/>
  <c r="V221" i="5"/>
  <c r="S55" i="5"/>
  <c r="S81" i="5"/>
  <c r="S82" i="5"/>
  <c r="P31" i="3"/>
  <c r="S74" i="5"/>
  <c r="AK189" i="5"/>
  <c r="AK187" i="5"/>
  <c r="AK188" i="5"/>
  <c r="AL46" i="5"/>
  <c r="AM209" i="5" s="1"/>
  <c r="AM213" i="5" s="1"/>
  <c r="AL96" i="5"/>
  <c r="AL95" i="5" s="1"/>
  <c r="AL71" i="5" s="1"/>
  <c r="U181" i="5"/>
  <c r="U68" i="5" a="1"/>
  <c r="U68" i="5" s="1"/>
  <c r="P38" i="3" s="1"/>
  <c r="T55" i="5"/>
  <c r="T82" i="5"/>
  <c r="T74" i="5" s="1"/>
  <c r="T72" i="5" s="1"/>
  <c r="T71" i="5" s="1"/>
  <c r="T81" i="5"/>
  <c r="AN196" i="5"/>
  <c r="AN195" i="5"/>
  <c r="AM57" i="5"/>
  <c r="AM55" i="5" s="1"/>
  <c r="AM75" i="5"/>
  <c r="AM74" i="5" s="1"/>
  <c r="AN21" i="5"/>
  <c r="AK223" i="5"/>
  <c r="AL221" i="5"/>
  <c r="AN197" i="5"/>
  <c r="AO193" i="5" s="1"/>
  <c r="AN180" i="5"/>
  <c r="AN175" i="5"/>
  <c r="AN165" i="5"/>
  <c r="AN157" i="5"/>
  <c r="AN155" i="5"/>
  <c r="AN153" i="5"/>
  <c r="AN151" i="5"/>
  <c r="AN146" i="5"/>
  <c r="AN183" i="5" s="1" a="1"/>
  <c r="AN183" i="5" s="1"/>
  <c r="Q39" i="3" s="1"/>
  <c r="AN144" i="5"/>
  <c r="AN142" i="5"/>
  <c r="AN140" i="5"/>
  <c r="AN138" i="5"/>
  <c r="AN136" i="5"/>
  <c r="AN134" i="5"/>
  <c r="AN132" i="5"/>
  <c r="AN130" i="5"/>
  <c r="AN173" i="5"/>
  <c r="AN163" i="5"/>
  <c r="AN181" i="5"/>
  <c r="AN178" i="5"/>
  <c r="AN171" i="5"/>
  <c r="AN161" i="5"/>
  <c r="AN179" i="5"/>
  <c r="AN156" i="5"/>
  <c r="AN145" i="5"/>
  <c r="AN177" i="5"/>
  <c r="AN162" i="5"/>
  <c r="AN141" i="5"/>
  <c r="AN106" i="5"/>
  <c r="Q55" i="3" s="1"/>
  <c r="AN174" i="5"/>
  <c r="AN154" i="5"/>
  <c r="AN143" i="5"/>
  <c r="AN139" i="5"/>
  <c r="AN164" i="5"/>
  <c r="AN170" i="5"/>
  <c r="AN150" i="5"/>
  <c r="AN131" i="5"/>
  <c r="AN79" i="5"/>
  <c r="AN160" i="5"/>
  <c r="AN159" i="5"/>
  <c r="AN137" i="5"/>
  <c r="AN100" i="5"/>
  <c r="AN99" i="5" s="1"/>
  <c r="Q51" i="3" s="1"/>
  <c r="AN152" i="5"/>
  <c r="AN176" i="5"/>
  <c r="AN133" i="5"/>
  <c r="AN41" i="5"/>
  <c r="AN39" i="5"/>
  <c r="AN37" i="5"/>
  <c r="AN35" i="5"/>
  <c r="AN33" i="5"/>
  <c r="AN31" i="5"/>
  <c r="AN107" i="5"/>
  <c r="Q56" i="3" s="1"/>
  <c r="AN166" i="5"/>
  <c r="AN105" i="5"/>
  <c r="Q54" i="3" s="1"/>
  <c r="AN104" i="5"/>
  <c r="AN82" i="5"/>
  <c r="AN158" i="5"/>
  <c r="AN172" i="5"/>
  <c r="AN135" i="5"/>
  <c r="AN40" i="5"/>
  <c r="AN36" i="5"/>
  <c r="AN34" i="5"/>
  <c r="AN27" i="5"/>
  <c r="AN16" i="5"/>
  <c r="AN13" i="5"/>
  <c r="AN202" i="5" s="1"/>
  <c r="AO5" i="5"/>
  <c r="AN93" i="5"/>
  <c r="AN20" i="5"/>
  <c r="AN11" i="5"/>
  <c r="AN32" i="5"/>
  <c r="AN81" i="5"/>
  <c r="AN78" i="5"/>
  <c r="AN28" i="5"/>
  <c r="AN17" i="5"/>
  <c r="AN50" i="5"/>
  <c r="AN38" i="5"/>
  <c r="AN66" i="5"/>
  <c r="AN64" i="5" s="1"/>
  <c r="Q37" i="3" s="1"/>
  <c r="AN30" i="5"/>
  <c r="AN68" i="5" a="1"/>
  <c r="AN68" i="5" s="1"/>
  <c r="Q38" i="3" s="1"/>
  <c r="Q15" i="3" s="1"/>
  <c r="AN29" i="5"/>
  <c r="AN45" i="5" s="1" a="1"/>
  <c r="AN45" i="5" s="1"/>
  <c r="AN14" i="5"/>
  <c r="AN24" i="5"/>
  <c r="AN12" i="5"/>
  <c r="AN6" i="5"/>
  <c r="AN18" i="5" s="1"/>
  <c r="AN62" i="5" s="1"/>
  <c r="AM103" i="5"/>
  <c r="AN51" i="5"/>
  <c r="AN58" i="5" s="1"/>
  <c r="AM44" i="5"/>
  <c r="AL189" i="5" l="1"/>
  <c r="AL187" i="5"/>
  <c r="AL188" i="5"/>
  <c r="AM222" i="5"/>
  <c r="AM214" i="5"/>
  <c r="AN96" i="5"/>
  <c r="AN57" i="5"/>
  <c r="AN75" i="5"/>
  <c r="Q32" i="3"/>
  <c r="AM189" i="5"/>
  <c r="AN61" i="5"/>
  <c r="Q35" i="3"/>
  <c r="AN59" i="5"/>
  <c r="Q29" i="3"/>
  <c r="Q11" i="3" s="1"/>
  <c r="T189" i="5"/>
  <c r="T187" i="5"/>
  <c r="T188" i="5"/>
  <c r="AO4" i="6"/>
  <c r="AL4" i="7"/>
  <c r="AL3" i="7" s="1"/>
  <c r="AN5" i="6"/>
  <c r="AO197" i="5"/>
  <c r="AP193" i="5" s="1"/>
  <c r="AO181" i="5"/>
  <c r="AO179" i="5"/>
  <c r="AO177" i="5"/>
  <c r="AO175" i="5"/>
  <c r="AO173" i="5"/>
  <c r="AO171" i="5"/>
  <c r="AO166" i="5"/>
  <c r="AO164" i="5"/>
  <c r="AO162" i="5"/>
  <c r="AO160" i="5"/>
  <c r="AO158" i="5"/>
  <c r="AO163" i="5"/>
  <c r="AO178" i="5"/>
  <c r="AO161" i="5"/>
  <c r="AO159" i="5"/>
  <c r="AO157" i="5"/>
  <c r="AO141" i="5"/>
  <c r="AO134" i="5"/>
  <c r="AO106" i="5"/>
  <c r="AO100" i="5"/>
  <c r="AO99" i="5" s="1"/>
  <c r="AO93" i="5"/>
  <c r="AO174" i="5"/>
  <c r="AO154" i="5"/>
  <c r="AO151" i="5"/>
  <c r="AO143" i="5"/>
  <c r="AO139" i="5"/>
  <c r="AO132" i="5"/>
  <c r="AO104" i="5"/>
  <c r="AO137" i="5"/>
  <c r="AO130" i="5"/>
  <c r="AO165" i="5"/>
  <c r="AO156" i="5"/>
  <c r="AO153" i="5"/>
  <c r="AO145" i="5"/>
  <c r="AO142" i="5"/>
  <c r="AO136" i="5"/>
  <c r="AO180" i="5"/>
  <c r="AO138" i="5"/>
  <c r="AO152" i="5"/>
  <c r="AO133" i="5"/>
  <c r="AO107" i="5"/>
  <c r="AO172" i="5"/>
  <c r="AO105" i="5"/>
  <c r="AO82" i="5"/>
  <c r="AO50" i="5"/>
  <c r="AO170" i="5"/>
  <c r="AO155" i="5"/>
  <c r="AO150" i="5"/>
  <c r="AO131" i="5"/>
  <c r="AO144" i="5"/>
  <c r="AO140" i="5"/>
  <c r="AO41" i="5"/>
  <c r="AO39" i="5"/>
  <c r="AO37" i="5"/>
  <c r="AO35" i="5"/>
  <c r="AO33" i="5"/>
  <c r="AO31" i="5"/>
  <c r="AO20" i="5"/>
  <c r="AO11" i="5"/>
  <c r="AO81" i="5"/>
  <c r="AO78" i="5"/>
  <c r="AO28" i="5"/>
  <c r="AO14" i="5"/>
  <c r="AO32" i="5"/>
  <c r="AO17" i="5"/>
  <c r="AP5" i="5"/>
  <c r="AO12" i="5"/>
  <c r="AO68" i="5" a="1"/>
  <c r="AO68" i="5" s="1"/>
  <c r="AO66" i="5"/>
  <c r="AO64" i="5" s="1"/>
  <c r="AO30" i="5"/>
  <c r="AO146" i="5"/>
  <c r="AO183" i="5" s="1" a="1"/>
  <c r="AO183" i="5" s="1"/>
  <c r="AO29" i="5"/>
  <c r="AO176" i="5"/>
  <c r="AO79" i="5"/>
  <c r="AO135" i="5"/>
  <c r="AO40" i="5"/>
  <c r="AO36" i="5"/>
  <c r="AO34" i="5"/>
  <c r="AO27" i="5"/>
  <c r="AO16" i="5"/>
  <c r="AO13" i="5"/>
  <c r="AO202" i="5" s="1"/>
  <c r="AO38" i="5"/>
  <c r="AO45" i="5" s="1" a="1"/>
  <c r="AO45" i="5" s="1"/>
  <c r="AO24" i="5"/>
  <c r="AO6" i="5"/>
  <c r="AO18" i="5" s="1"/>
  <c r="P15" i="3"/>
  <c r="S72" i="5"/>
  <c r="S71" i="5" s="1"/>
  <c r="S189" i="5" s="1"/>
  <c r="P57" i="3" s="1"/>
  <c r="P43" i="3"/>
  <c r="P41" i="3" s="1"/>
  <c r="AN209" i="5"/>
  <c r="AN213" i="5" s="1"/>
  <c r="AM46" i="5"/>
  <c r="AM96" i="5"/>
  <c r="AM95" i="5" s="1"/>
  <c r="AM72" i="5"/>
  <c r="AM71" i="5" s="1"/>
  <c r="AM188" i="5" s="1"/>
  <c r="P13" i="3"/>
  <c r="P12" i="3" s="1"/>
  <c r="U189" i="5"/>
  <c r="U187" i="5"/>
  <c r="U188" i="5"/>
  <c r="AL223" i="5"/>
  <c r="AM221" i="5"/>
  <c r="AN44" i="5"/>
  <c r="AO51" i="5"/>
  <c r="AO58" i="5" s="1"/>
  <c r="AM47" i="5"/>
  <c r="AN103" i="5"/>
  <c r="Q53" i="3"/>
  <c r="Q16" i="3"/>
  <c r="AO196" i="5"/>
  <c r="AO195" i="5"/>
  <c r="P48" i="3"/>
  <c r="AO19" i="5"/>
  <c r="AO21" i="5" s="1"/>
  <c r="P30" i="3"/>
  <c r="V223" i="5"/>
  <c r="W221" i="5"/>
  <c r="Q52" i="3" l="1"/>
  <c r="P18" i="3"/>
  <c r="P17" i="3" s="1"/>
  <c r="P22" i="3" s="1"/>
  <c r="P23" i="3" s="1"/>
  <c r="P40" i="3"/>
  <c r="AO44" i="5"/>
  <c r="AO96" i="5" s="1"/>
  <c r="AP51" i="5"/>
  <c r="AP58" i="5" s="1"/>
  <c r="AO62" i="5"/>
  <c r="AP19" i="5"/>
  <c r="AO103" i="5"/>
  <c r="AM4" i="7"/>
  <c r="AM3" i="7" s="1"/>
  <c r="AP4" i="6"/>
  <c r="AO5" i="6"/>
  <c r="AN55" i="5"/>
  <c r="Q31" i="3"/>
  <c r="AN95" i="5"/>
  <c r="Q49" i="3"/>
  <c r="AM223" i="5"/>
  <c r="AN221" i="5"/>
  <c r="AP197" i="5"/>
  <c r="AQ193" i="5" s="1"/>
  <c r="AP181" i="5"/>
  <c r="AP179" i="5"/>
  <c r="AP177" i="5"/>
  <c r="AP175" i="5"/>
  <c r="AP178" i="5"/>
  <c r="AP173" i="5"/>
  <c r="AP161" i="5"/>
  <c r="AP171" i="5"/>
  <c r="AP159" i="5"/>
  <c r="AP176" i="5"/>
  <c r="AP166" i="5"/>
  <c r="AP156" i="5"/>
  <c r="AP154" i="5"/>
  <c r="AP152" i="5"/>
  <c r="AP150" i="5"/>
  <c r="AP145" i="5"/>
  <c r="AP143" i="5"/>
  <c r="AP174" i="5"/>
  <c r="AP163" i="5"/>
  <c r="AP162" i="5"/>
  <c r="AP151" i="5"/>
  <c r="AP139" i="5"/>
  <c r="AP132" i="5"/>
  <c r="AP104" i="5"/>
  <c r="AP82" i="5"/>
  <c r="AP137" i="5"/>
  <c r="AP130" i="5"/>
  <c r="AP172" i="5"/>
  <c r="AP160" i="5"/>
  <c r="AP146" i="5"/>
  <c r="AP183" i="5" s="1" a="1"/>
  <c r="AP183" i="5" s="1"/>
  <c r="AP135" i="5"/>
  <c r="AP180" i="5"/>
  <c r="AP157" i="5"/>
  <c r="AP141" i="5"/>
  <c r="AP134" i="5"/>
  <c r="AP106" i="5"/>
  <c r="AP100" i="5"/>
  <c r="AP99" i="5" s="1"/>
  <c r="AP165" i="5"/>
  <c r="AP164" i="5"/>
  <c r="AP142" i="5"/>
  <c r="AP133" i="5"/>
  <c r="AP81" i="5"/>
  <c r="AP158" i="5"/>
  <c r="AP144" i="5"/>
  <c r="AP140" i="5"/>
  <c r="AP153" i="5"/>
  <c r="AP136" i="5"/>
  <c r="AP93" i="5"/>
  <c r="AP107" i="5"/>
  <c r="AP105" i="5"/>
  <c r="AP50" i="5"/>
  <c r="AP59" i="5" s="1"/>
  <c r="AP76" i="5" s="1"/>
  <c r="AP30" i="5"/>
  <c r="AP45" i="5" s="1" a="1"/>
  <c r="AP45" i="5" s="1"/>
  <c r="AP28" i="5"/>
  <c r="AP170" i="5"/>
  <c r="AP155" i="5"/>
  <c r="AP131" i="5"/>
  <c r="AP68" i="5" a="1"/>
  <c r="AP68" i="5" s="1"/>
  <c r="AP40" i="5"/>
  <c r="AP38" i="5"/>
  <c r="AP36" i="5"/>
  <c r="AP138" i="5"/>
  <c r="AP78" i="5"/>
  <c r="AP31" i="5"/>
  <c r="AP32" i="5"/>
  <c r="AP17" i="5"/>
  <c r="AQ5" i="5"/>
  <c r="AP41" i="5"/>
  <c r="AP37" i="5"/>
  <c r="AP14" i="5"/>
  <c r="AP12" i="5"/>
  <c r="AP66" i="5"/>
  <c r="AP64" i="5" s="1"/>
  <c r="AP24" i="5"/>
  <c r="AP29" i="5"/>
  <c r="AP79" i="5"/>
  <c r="AP33" i="5"/>
  <c r="AP39" i="5"/>
  <c r="AP35" i="5"/>
  <c r="AP34" i="5"/>
  <c r="AP27" i="5"/>
  <c r="AP20" i="5"/>
  <c r="AP11" i="5"/>
  <c r="AQ19" i="5" s="1"/>
  <c r="AP13" i="5"/>
  <c r="AP202" i="5" s="1"/>
  <c r="AP16" i="5"/>
  <c r="AP6" i="5"/>
  <c r="AP18" i="5" s="1"/>
  <c r="AN77" i="5"/>
  <c r="Q34" i="3"/>
  <c r="AM187" i="5"/>
  <c r="S187" i="5"/>
  <c r="AN46" i="5"/>
  <c r="AO209" i="5" s="1"/>
  <c r="AO213" i="5" s="1"/>
  <c r="AP196" i="5"/>
  <c r="AP195" i="5"/>
  <c r="AO75" i="5"/>
  <c r="AO57" i="5"/>
  <c r="AO59" i="5"/>
  <c r="AN76" i="5"/>
  <c r="Q33" i="3"/>
  <c r="AN222" i="5"/>
  <c r="AN214" i="5"/>
  <c r="P20" i="3"/>
  <c r="S188" i="5"/>
  <c r="AN74" i="5"/>
  <c r="AN47" i="5"/>
  <c r="AO95" i="5" l="1"/>
  <c r="AO222" i="5"/>
  <c r="AO214" i="5"/>
  <c r="AP62" i="5"/>
  <c r="AP61" i="5" s="1"/>
  <c r="AP77" i="5" s="1"/>
  <c r="Q48" i="3"/>
  <c r="AN72" i="5"/>
  <c r="AN71" i="5" s="1"/>
  <c r="AN188" i="5" s="1"/>
  <c r="Q43" i="3"/>
  <c r="Q41" i="3" s="1"/>
  <c r="AN189" i="5"/>
  <c r="Q57" i="3" s="1"/>
  <c r="AN187" i="5"/>
  <c r="Q30" i="3"/>
  <c r="AP21" i="5"/>
  <c r="AN223" i="5"/>
  <c r="AO221" i="5"/>
  <c r="AO55" i="5"/>
  <c r="Q14" i="3"/>
  <c r="AP44" i="5"/>
  <c r="AQ51" i="5"/>
  <c r="AQ58" i="5" s="1"/>
  <c r="AO61" i="5"/>
  <c r="Q21" i="3"/>
  <c r="AQ197" i="5"/>
  <c r="AR193" i="5" s="1"/>
  <c r="AQ171" i="5"/>
  <c r="AQ159" i="5"/>
  <c r="AQ107" i="5"/>
  <c r="AQ105" i="5"/>
  <c r="AQ181" i="5"/>
  <c r="AQ176" i="5"/>
  <c r="AQ166" i="5"/>
  <c r="AQ174" i="5"/>
  <c r="AQ164" i="5"/>
  <c r="AQ177" i="5"/>
  <c r="AQ154" i="5"/>
  <c r="AQ143" i="5"/>
  <c r="AQ137" i="5"/>
  <c r="AQ130" i="5"/>
  <c r="AQ79" i="5"/>
  <c r="AQ175" i="5"/>
  <c r="AQ172" i="5"/>
  <c r="AQ161" i="5"/>
  <c r="AQ160" i="5"/>
  <c r="AQ146" i="5"/>
  <c r="AQ183" i="5" s="1" a="1"/>
  <c r="AQ183" i="5" s="1"/>
  <c r="AQ135" i="5"/>
  <c r="AQ173" i="5"/>
  <c r="AQ152" i="5"/>
  <c r="AQ133" i="5"/>
  <c r="AQ179" i="5"/>
  <c r="AQ163" i="5"/>
  <c r="AQ162" i="5"/>
  <c r="AQ151" i="5"/>
  <c r="AQ139" i="5"/>
  <c r="AQ132" i="5"/>
  <c r="AQ104" i="5"/>
  <c r="AQ156" i="5"/>
  <c r="AQ141" i="5"/>
  <c r="AQ134" i="5"/>
  <c r="AQ100" i="5"/>
  <c r="AQ99" i="5" s="1"/>
  <c r="AQ81" i="5"/>
  <c r="AQ158" i="5"/>
  <c r="AQ144" i="5"/>
  <c r="AQ140" i="5"/>
  <c r="AQ178" i="5"/>
  <c r="AQ157" i="5"/>
  <c r="AQ145" i="5"/>
  <c r="AQ82" i="5"/>
  <c r="AQ180" i="5"/>
  <c r="AQ153" i="5"/>
  <c r="AQ136" i="5"/>
  <c r="AQ68" i="5" a="1"/>
  <c r="AQ68" i="5" s="1"/>
  <c r="AQ50" i="5"/>
  <c r="AQ30" i="5"/>
  <c r="AQ28" i="5"/>
  <c r="AQ170" i="5"/>
  <c r="AQ155" i="5"/>
  <c r="AQ131" i="5"/>
  <c r="AQ106" i="5"/>
  <c r="AQ40" i="5"/>
  <c r="AQ38" i="5"/>
  <c r="AQ36" i="5"/>
  <c r="AQ34" i="5"/>
  <c r="AQ32" i="5"/>
  <c r="AQ45" i="5" s="1" a="1"/>
  <c r="AQ45" i="5" s="1"/>
  <c r="AQ24" i="5"/>
  <c r="AQ150" i="5"/>
  <c r="AQ66" i="5"/>
  <c r="AQ64" i="5" s="1"/>
  <c r="AQ165" i="5"/>
  <c r="AQ142" i="5"/>
  <c r="AQ93" i="5"/>
  <c r="AQ17" i="5"/>
  <c r="AR5" i="5"/>
  <c r="AQ41" i="5"/>
  <c r="AQ37" i="5"/>
  <c r="AQ14" i="5"/>
  <c r="AQ12" i="5"/>
  <c r="AQ33" i="5"/>
  <c r="AQ39" i="5"/>
  <c r="AQ35" i="5"/>
  <c r="AQ27" i="5"/>
  <c r="AQ138" i="5"/>
  <c r="AQ78" i="5"/>
  <c r="AQ31" i="5"/>
  <c r="AQ29" i="5"/>
  <c r="AQ11" i="5"/>
  <c r="AQ20" i="5"/>
  <c r="AQ21" i="5" s="1"/>
  <c r="AQ16" i="5"/>
  <c r="AQ13" i="5"/>
  <c r="AQ202" i="5" s="1"/>
  <c r="AQ6" i="5"/>
  <c r="AQ18" i="5" s="1"/>
  <c r="AQ62" i="5" s="1"/>
  <c r="AQ61" i="5" s="1"/>
  <c r="AQ77" i="5" s="1"/>
  <c r="Q13" i="3"/>
  <c r="Q12" i="3" s="1"/>
  <c r="AO76" i="5"/>
  <c r="AP103" i="5"/>
  <c r="AQ196" i="5"/>
  <c r="AQ195" i="5"/>
  <c r="AP75" i="5"/>
  <c r="AP74" i="5" s="1"/>
  <c r="AP72" i="5" s="1"/>
  <c r="AP57" i="5"/>
  <c r="AP55" i="5" s="1"/>
  <c r="AP5" i="6"/>
  <c r="AQ4" i="6"/>
  <c r="AN4" i="7"/>
  <c r="AN3" i="7" s="1"/>
  <c r="AO46" i="5"/>
  <c r="AP209" i="5" s="1"/>
  <c r="AP213" i="5" s="1"/>
  <c r="AO47" i="5"/>
  <c r="AP222" i="5" l="1"/>
  <c r="AP214" i="5"/>
  <c r="AQ103" i="5"/>
  <c r="AQ44" i="5"/>
  <c r="AR51" i="5"/>
  <c r="AR58" i="5" s="1"/>
  <c r="AR181" i="5"/>
  <c r="AR176" i="5"/>
  <c r="AR166" i="5"/>
  <c r="AR156" i="5"/>
  <c r="AR154" i="5"/>
  <c r="AR152" i="5"/>
  <c r="AR150" i="5"/>
  <c r="AR145" i="5"/>
  <c r="AR143" i="5"/>
  <c r="AR141" i="5"/>
  <c r="AR139" i="5"/>
  <c r="AR137" i="5"/>
  <c r="AR135" i="5"/>
  <c r="AR133" i="5"/>
  <c r="AR131" i="5"/>
  <c r="AR174" i="5"/>
  <c r="AR164" i="5"/>
  <c r="AR179" i="5"/>
  <c r="AR172" i="5"/>
  <c r="AR162" i="5"/>
  <c r="AR197" i="5"/>
  <c r="AS193" i="5" s="1"/>
  <c r="AR175" i="5"/>
  <c r="AR161" i="5"/>
  <c r="AR160" i="5"/>
  <c r="AR146" i="5"/>
  <c r="AR183" i="5" s="1" a="1"/>
  <c r="AR183" i="5" s="1"/>
  <c r="AR173" i="5"/>
  <c r="AR107" i="5"/>
  <c r="AR180" i="5"/>
  <c r="AR170" i="5"/>
  <c r="AR159" i="5"/>
  <c r="AR158" i="5"/>
  <c r="AR155" i="5"/>
  <c r="AR144" i="5"/>
  <c r="AR140" i="5"/>
  <c r="AR177" i="5"/>
  <c r="AR130" i="5"/>
  <c r="AR163" i="5"/>
  <c r="AR151" i="5"/>
  <c r="AR178" i="5"/>
  <c r="AR78" i="5"/>
  <c r="AR153" i="5"/>
  <c r="AR136" i="5"/>
  <c r="AR93" i="5"/>
  <c r="AR132" i="5"/>
  <c r="AR106" i="5"/>
  <c r="AR105" i="5"/>
  <c r="AR40" i="5"/>
  <c r="AR38" i="5"/>
  <c r="AR36" i="5"/>
  <c r="AR34" i="5"/>
  <c r="AR32" i="5"/>
  <c r="AR24" i="5"/>
  <c r="AR20" i="5"/>
  <c r="AR171" i="5"/>
  <c r="AR82" i="5"/>
  <c r="AR66" i="5"/>
  <c r="AR64" i="5" s="1"/>
  <c r="AR165" i="5"/>
  <c r="AR142" i="5"/>
  <c r="AR104" i="5"/>
  <c r="AR134" i="5"/>
  <c r="AR157" i="5"/>
  <c r="AR81" i="5"/>
  <c r="AR79" i="5"/>
  <c r="AR100" i="5"/>
  <c r="AR99" i="5" s="1"/>
  <c r="AR50" i="5"/>
  <c r="AR59" i="5" s="1"/>
  <c r="AR76" i="5" s="1"/>
  <c r="AR30" i="5"/>
  <c r="AR41" i="5"/>
  <c r="AR37" i="5"/>
  <c r="AR28" i="5"/>
  <c r="AR14" i="5"/>
  <c r="AR12" i="5"/>
  <c r="AR33" i="5"/>
  <c r="AR68" i="5" a="1"/>
  <c r="AR68" i="5" s="1"/>
  <c r="AR29" i="5"/>
  <c r="AR39" i="5"/>
  <c r="AR35" i="5"/>
  <c r="AR27" i="5"/>
  <c r="AR138" i="5"/>
  <c r="AR31" i="5"/>
  <c r="AR17" i="5"/>
  <c r="AS5" i="5"/>
  <c r="AR13" i="5"/>
  <c r="AR202" i="5" s="1"/>
  <c r="AR16" i="5"/>
  <c r="AR11" i="5"/>
  <c r="AR6" i="5"/>
  <c r="AR18" i="5" s="1"/>
  <c r="AP221" i="5"/>
  <c r="AO223" i="5"/>
  <c r="Q18" i="3"/>
  <c r="Q40" i="3"/>
  <c r="AR19" i="5"/>
  <c r="AR21" i="5" s="1"/>
  <c r="AO77" i="5"/>
  <c r="AO74" i="5" s="1"/>
  <c r="AQ5" i="6"/>
  <c r="AR4" i="6"/>
  <c r="AO4" i="7"/>
  <c r="AO3" i="7" s="1"/>
  <c r="AQ59" i="5"/>
  <c r="AQ75" i="5"/>
  <c r="AQ57" i="5"/>
  <c r="AQ55" i="5" s="1"/>
  <c r="AR196" i="5"/>
  <c r="AR195" i="5"/>
  <c r="AQ209" i="5"/>
  <c r="AQ213" i="5" s="1"/>
  <c r="AP46" i="5"/>
  <c r="AP96" i="5"/>
  <c r="Q20" i="3"/>
  <c r="AP47" i="5"/>
  <c r="AR103" i="5" l="1"/>
  <c r="AQ221" i="5"/>
  <c r="AP223" i="5"/>
  <c r="AS180" i="5"/>
  <c r="AS178" i="5"/>
  <c r="AS176" i="5"/>
  <c r="AS174" i="5"/>
  <c r="AS172" i="5"/>
  <c r="AS170" i="5"/>
  <c r="AS165" i="5"/>
  <c r="AS163" i="5"/>
  <c r="AS161" i="5"/>
  <c r="AS159" i="5"/>
  <c r="AS164" i="5"/>
  <c r="AS179" i="5"/>
  <c r="AS162" i="5"/>
  <c r="AS160" i="5"/>
  <c r="AS173" i="5"/>
  <c r="AS135" i="5"/>
  <c r="AS107" i="5"/>
  <c r="AS158" i="5"/>
  <c r="AS155" i="5"/>
  <c r="AS152" i="5"/>
  <c r="AS144" i="5"/>
  <c r="AS140" i="5"/>
  <c r="AS133" i="5"/>
  <c r="AS105" i="5"/>
  <c r="AS171" i="5"/>
  <c r="AS138" i="5"/>
  <c r="AS131" i="5"/>
  <c r="AS197" i="5"/>
  <c r="AT193" i="5" s="1"/>
  <c r="AS181" i="5"/>
  <c r="AS175" i="5"/>
  <c r="AS154" i="5"/>
  <c r="AS146" i="5"/>
  <c r="AS183" i="5" s="1" a="1"/>
  <c r="AS183" i="5" s="1"/>
  <c r="AS143" i="5"/>
  <c r="AS137" i="5"/>
  <c r="AS177" i="5"/>
  <c r="AS130" i="5"/>
  <c r="AS78" i="5"/>
  <c r="AS153" i="5"/>
  <c r="AS136" i="5"/>
  <c r="AS93" i="5"/>
  <c r="AS157" i="5"/>
  <c r="AS82" i="5"/>
  <c r="AS139" i="5"/>
  <c r="AS145" i="5"/>
  <c r="AS106" i="5"/>
  <c r="AS66" i="5"/>
  <c r="AS64" i="5" s="1"/>
  <c r="AS150" i="5"/>
  <c r="AS142" i="5"/>
  <c r="AS104" i="5"/>
  <c r="AS166" i="5"/>
  <c r="AS134" i="5"/>
  <c r="AS81" i="5"/>
  <c r="AS132" i="5"/>
  <c r="AS156" i="5"/>
  <c r="AS151" i="5"/>
  <c r="AS141" i="5"/>
  <c r="AS40" i="5"/>
  <c r="AS38" i="5"/>
  <c r="AS36" i="5"/>
  <c r="AS34" i="5"/>
  <c r="AS32" i="5"/>
  <c r="AS68" i="5" a="1"/>
  <c r="AS68" i="5" s="1"/>
  <c r="AS27" i="5"/>
  <c r="AS29" i="5"/>
  <c r="AS30" i="5"/>
  <c r="AS100" i="5"/>
  <c r="AS99" i="5" s="1"/>
  <c r="AS50" i="5"/>
  <c r="AS59" i="5" s="1"/>
  <c r="AS76" i="5" s="1"/>
  <c r="AS33" i="5"/>
  <c r="AS24" i="5"/>
  <c r="AS39" i="5"/>
  <c r="AS16" i="5"/>
  <c r="AS79" i="5"/>
  <c r="AS31" i="5"/>
  <c r="AS41" i="5"/>
  <c r="AS37" i="5"/>
  <c r="AS28" i="5"/>
  <c r="AS45" i="5" s="1" a="1"/>
  <c r="AS45" i="5" s="1"/>
  <c r="AS14" i="5"/>
  <c r="AS12" i="5"/>
  <c r="AS35" i="5"/>
  <c r="AS13" i="5"/>
  <c r="AS202" i="5" s="1"/>
  <c r="AS20" i="5"/>
  <c r="AS17" i="5"/>
  <c r="AT5" i="5"/>
  <c r="AS11" i="5"/>
  <c r="AS6" i="5"/>
  <c r="AS18" i="5" s="1"/>
  <c r="AS62" i="5" s="1"/>
  <c r="AS61" i="5" s="1"/>
  <c r="AS77" i="5" s="1"/>
  <c r="AP95" i="5"/>
  <c r="AP71" i="5" s="1"/>
  <c r="AR75" i="5"/>
  <c r="AR57" i="5"/>
  <c r="AQ76" i="5"/>
  <c r="AQ74" i="5" s="1"/>
  <c r="AR62" i="5"/>
  <c r="AS51" i="5"/>
  <c r="AS58" i="5" s="1"/>
  <c r="AR44" i="5"/>
  <c r="AQ46" i="5"/>
  <c r="AR209" i="5" s="1"/>
  <c r="AR213" i="5" s="1"/>
  <c r="AQ96" i="5"/>
  <c r="AQ95" i="5" s="1"/>
  <c r="AQ222" i="5"/>
  <c r="AQ214" i="5"/>
  <c r="AS19" i="5"/>
  <c r="AS21" i="5" s="1"/>
  <c r="Q17" i="3"/>
  <c r="Q22" i="3" s="1"/>
  <c r="Q23" i="3" s="1"/>
  <c r="AR5" i="6"/>
  <c r="AP4" i="7"/>
  <c r="AP3" i="7" s="1"/>
  <c r="AS4" i="6"/>
  <c r="AO72" i="5"/>
  <c r="AO71" i="5" s="1"/>
  <c r="AR45" i="5" a="1"/>
  <c r="AR45" i="5" s="1"/>
  <c r="AR47" i="5" s="1"/>
  <c r="AS195" i="5"/>
  <c r="AS196" i="5"/>
  <c r="AQ47" i="5"/>
  <c r="AR222" i="5" l="1"/>
  <c r="AR214" i="5"/>
  <c r="AQ72" i="5"/>
  <c r="AQ71" i="5" s="1"/>
  <c r="AR61" i="5"/>
  <c r="AP188" i="5"/>
  <c r="AP189" i="5"/>
  <c r="AP187" i="5"/>
  <c r="AT51" i="5"/>
  <c r="AT58" i="5" s="1"/>
  <c r="AS44" i="5"/>
  <c r="AT195" i="5"/>
  <c r="AT196" i="5"/>
  <c r="AT180" i="5"/>
  <c r="AT178" i="5"/>
  <c r="AT176" i="5"/>
  <c r="AT179" i="5"/>
  <c r="AT174" i="5"/>
  <c r="AT162" i="5"/>
  <c r="AT172" i="5"/>
  <c r="AT160" i="5"/>
  <c r="AT177" i="5"/>
  <c r="AT170" i="5"/>
  <c r="AT158" i="5"/>
  <c r="AT157" i="5"/>
  <c r="AT155" i="5"/>
  <c r="AT153" i="5"/>
  <c r="AT151" i="5"/>
  <c r="AT146" i="5"/>
  <c r="AT183" i="5" s="1" a="1"/>
  <c r="AT183" i="5" s="1"/>
  <c r="AT144" i="5"/>
  <c r="AT142" i="5"/>
  <c r="AT152" i="5"/>
  <c r="AT140" i="5"/>
  <c r="AT133" i="5"/>
  <c r="AT105" i="5"/>
  <c r="AT81" i="5"/>
  <c r="AT171" i="5"/>
  <c r="AT159" i="5"/>
  <c r="AT138" i="5"/>
  <c r="AT131" i="5"/>
  <c r="AT150" i="5"/>
  <c r="AT136" i="5"/>
  <c r="AT197" i="5"/>
  <c r="AU193" i="5" s="1"/>
  <c r="AT181" i="5"/>
  <c r="AT173" i="5"/>
  <c r="AT161" i="5"/>
  <c r="AT135" i="5"/>
  <c r="AT107" i="5"/>
  <c r="AT143" i="5"/>
  <c r="AT137" i="5"/>
  <c r="AT93" i="5"/>
  <c r="AT68" i="5" a="1"/>
  <c r="AT68" i="5" s="1"/>
  <c r="AT82" i="5"/>
  <c r="AT145" i="5"/>
  <c r="AT132" i="5"/>
  <c r="AT106" i="5"/>
  <c r="AT175" i="5"/>
  <c r="AT154" i="5"/>
  <c r="AT104" i="5"/>
  <c r="AT139" i="5"/>
  <c r="AT166" i="5"/>
  <c r="AT165" i="5"/>
  <c r="AT134" i="5"/>
  <c r="AT29" i="5"/>
  <c r="AT27" i="5"/>
  <c r="AT79" i="5"/>
  <c r="AT78" i="5"/>
  <c r="AT41" i="5"/>
  <c r="AT39" i="5"/>
  <c r="AT37" i="5"/>
  <c r="AT35" i="5"/>
  <c r="AT164" i="5"/>
  <c r="AT163" i="5"/>
  <c r="AT130" i="5"/>
  <c r="AT66" i="5"/>
  <c r="AT64" i="5" s="1"/>
  <c r="AT32" i="5"/>
  <c r="AT100" i="5"/>
  <c r="AT99" i="5" s="1"/>
  <c r="AT50" i="5"/>
  <c r="AT59" i="5" s="1"/>
  <c r="AT33" i="5"/>
  <c r="AT24" i="5"/>
  <c r="AT156" i="5"/>
  <c r="AT38" i="5"/>
  <c r="AT30" i="5"/>
  <c r="AT16" i="5"/>
  <c r="AT13" i="5"/>
  <c r="AT202" i="5" s="1"/>
  <c r="AT141" i="5"/>
  <c r="AT31" i="5"/>
  <c r="AT34" i="5"/>
  <c r="AT45" i="5" a="1"/>
  <c r="AT45" i="5" s="1"/>
  <c r="AT40" i="5"/>
  <c r="AT36" i="5"/>
  <c r="AT28" i="5"/>
  <c r="AT11" i="5"/>
  <c r="AT14" i="5"/>
  <c r="AT17" i="5"/>
  <c r="AU5" i="5"/>
  <c r="AT12" i="5"/>
  <c r="AT20" i="5"/>
  <c r="AT6" i="5"/>
  <c r="AT18" i="5" s="1"/>
  <c r="AO189" i="5"/>
  <c r="AO187" i="5"/>
  <c r="AO188" i="5"/>
  <c r="AR221" i="5"/>
  <c r="AQ223" i="5"/>
  <c r="AS209" i="5"/>
  <c r="AS213" i="5" s="1"/>
  <c r="AR46" i="5"/>
  <c r="AR96" i="5"/>
  <c r="AR95" i="5" s="1"/>
  <c r="AS103" i="5"/>
  <c r="AR55" i="5"/>
  <c r="AT19" i="5"/>
  <c r="AT21" i="5" s="1"/>
  <c r="AS5" i="6"/>
  <c r="AT4" i="6"/>
  <c r="AQ4" i="7"/>
  <c r="AQ3" i="7" s="1"/>
  <c r="AS75" i="5"/>
  <c r="AS74" i="5" s="1"/>
  <c r="AS72" i="5" s="1"/>
  <c r="AS57" i="5"/>
  <c r="AS55" i="5" s="1"/>
  <c r="AU172" i="5" l="1"/>
  <c r="AU160" i="5"/>
  <c r="AU106" i="5"/>
  <c r="AU104" i="5"/>
  <c r="AU177" i="5"/>
  <c r="AU170" i="5"/>
  <c r="AU158" i="5"/>
  <c r="AU157" i="5"/>
  <c r="AU165" i="5"/>
  <c r="AU171" i="5"/>
  <c r="AU159" i="5"/>
  <c r="AU155" i="5"/>
  <c r="AU144" i="5"/>
  <c r="AU138" i="5"/>
  <c r="AU131" i="5"/>
  <c r="AU78" i="5"/>
  <c r="AU180" i="5"/>
  <c r="AU150" i="5"/>
  <c r="AU136" i="5"/>
  <c r="AU178" i="5"/>
  <c r="AU166" i="5"/>
  <c r="AU153" i="5"/>
  <c r="AU142" i="5"/>
  <c r="AU134" i="5"/>
  <c r="AU197" i="5"/>
  <c r="AV193" i="5" s="1"/>
  <c r="AU174" i="5"/>
  <c r="AU152" i="5"/>
  <c r="AU140" i="5"/>
  <c r="AU133" i="5"/>
  <c r="AU105" i="5"/>
  <c r="AU181" i="5"/>
  <c r="AU162" i="5"/>
  <c r="AU161" i="5"/>
  <c r="AU82" i="5"/>
  <c r="AU145" i="5"/>
  <c r="AU132" i="5"/>
  <c r="AU139" i="5"/>
  <c r="AU107" i="5"/>
  <c r="AU175" i="5"/>
  <c r="AU179" i="5"/>
  <c r="AU173" i="5"/>
  <c r="AU146" i="5"/>
  <c r="AU183" i="5" s="1" a="1"/>
  <c r="AU183" i="5" s="1"/>
  <c r="AU135" i="5"/>
  <c r="AU100" i="5"/>
  <c r="AU99" i="5" s="1"/>
  <c r="AU176" i="5"/>
  <c r="AU29" i="5"/>
  <c r="AU45" i="5" s="1" a="1"/>
  <c r="AU45" i="5" s="1"/>
  <c r="AU27" i="5"/>
  <c r="AU79" i="5"/>
  <c r="AU68" i="5" a="1"/>
  <c r="AU68" i="5" s="1"/>
  <c r="AU41" i="5"/>
  <c r="AU39" i="5"/>
  <c r="AU37" i="5"/>
  <c r="AU35" i="5"/>
  <c r="AU33" i="5"/>
  <c r="AU31" i="5"/>
  <c r="AU164" i="5"/>
  <c r="AU163" i="5"/>
  <c r="AU81" i="5"/>
  <c r="AU137" i="5"/>
  <c r="AU93" i="5"/>
  <c r="AU154" i="5"/>
  <c r="AU143" i="5"/>
  <c r="AU151" i="5"/>
  <c r="AU130" i="5"/>
  <c r="AU50" i="5"/>
  <c r="AU59" i="5" s="1"/>
  <c r="AU76" i="5" s="1"/>
  <c r="AU24" i="5"/>
  <c r="AU156" i="5"/>
  <c r="AU38" i="5"/>
  <c r="AU30" i="5"/>
  <c r="AU16" i="5"/>
  <c r="AU13" i="5"/>
  <c r="AU202" i="5" s="1"/>
  <c r="AU66" i="5"/>
  <c r="AU64" i="5" s="1"/>
  <c r="AU11" i="5"/>
  <c r="AU20" i="5"/>
  <c r="AU141" i="5"/>
  <c r="AU34" i="5"/>
  <c r="AU40" i="5"/>
  <c r="AU36" i="5"/>
  <c r="AU28" i="5"/>
  <c r="AU32" i="5"/>
  <c r="AU17" i="5"/>
  <c r="AV5" i="5"/>
  <c r="AU12" i="5"/>
  <c r="AU14" i="5"/>
  <c r="AU6" i="5"/>
  <c r="AU18" i="5" s="1"/>
  <c r="AU62" i="5" s="1"/>
  <c r="AU61" i="5" s="1"/>
  <c r="AU77" i="5" s="1"/>
  <c r="AU51" i="5"/>
  <c r="AU58" i="5" s="1"/>
  <c r="AT44" i="5"/>
  <c r="AS46" i="5"/>
  <c r="AT209" i="5" s="1"/>
  <c r="AT213" i="5" s="1"/>
  <c r="AS96" i="5"/>
  <c r="AT57" i="5"/>
  <c r="AT75" i="5"/>
  <c r="AT76" i="5"/>
  <c r="AT103" i="5"/>
  <c r="AU196" i="5"/>
  <c r="AU195" i="5"/>
  <c r="AR77" i="5"/>
  <c r="AR74" i="5" s="1"/>
  <c r="AT47" i="5"/>
  <c r="AS222" i="5"/>
  <c r="AS214" i="5"/>
  <c r="AR4" i="7"/>
  <c r="AR3" i="7" s="1"/>
  <c r="AT5" i="6"/>
  <c r="AU4" i="6"/>
  <c r="AQ187" i="5"/>
  <c r="AQ189" i="5"/>
  <c r="AQ188" i="5"/>
  <c r="AU19" i="5"/>
  <c r="AU21" i="5" s="1"/>
  <c r="AR223" i="5"/>
  <c r="AS221" i="5"/>
  <c r="AT62" i="5"/>
  <c r="AS47" i="5"/>
  <c r="AT222" i="5" l="1"/>
  <c r="AT214" i="5"/>
  <c r="AU96" i="5"/>
  <c r="AU95" i="5" s="1"/>
  <c r="AT61" i="5"/>
  <c r="AT55" i="5"/>
  <c r="AT221" i="5"/>
  <c r="AS223" i="5"/>
  <c r="AS95" i="5"/>
  <c r="AS71" i="5" s="1"/>
  <c r="AV197" i="5"/>
  <c r="AW193" i="5" s="1"/>
  <c r="AV177" i="5"/>
  <c r="AV170" i="5"/>
  <c r="AV158" i="5"/>
  <c r="AV157" i="5"/>
  <c r="AV155" i="5"/>
  <c r="AV153" i="5"/>
  <c r="AV151" i="5"/>
  <c r="AV146" i="5"/>
  <c r="AV183" i="5" s="1" a="1"/>
  <c r="AV183" i="5" s="1"/>
  <c r="AV144" i="5"/>
  <c r="AV142" i="5"/>
  <c r="AV140" i="5"/>
  <c r="AV138" i="5"/>
  <c r="AV136" i="5"/>
  <c r="AV134" i="5"/>
  <c r="AV132" i="5"/>
  <c r="AV130" i="5"/>
  <c r="AV165" i="5"/>
  <c r="AV180" i="5"/>
  <c r="AV175" i="5"/>
  <c r="AV173" i="5"/>
  <c r="AV163" i="5"/>
  <c r="AV172" i="5"/>
  <c r="AV150" i="5"/>
  <c r="AV178" i="5"/>
  <c r="AV166" i="5"/>
  <c r="AV176" i="5"/>
  <c r="AV156" i="5"/>
  <c r="AV145" i="5"/>
  <c r="AV141" i="5"/>
  <c r="AV181" i="5"/>
  <c r="AV171" i="5"/>
  <c r="AV160" i="5"/>
  <c r="AV159" i="5"/>
  <c r="AV131" i="5"/>
  <c r="AV152" i="5"/>
  <c r="AV133" i="5"/>
  <c r="AV139" i="5"/>
  <c r="AV107" i="5"/>
  <c r="AV106" i="5"/>
  <c r="AV79" i="5"/>
  <c r="AV154" i="5"/>
  <c r="AV179" i="5"/>
  <c r="AV174" i="5"/>
  <c r="AV105" i="5"/>
  <c r="AV104" i="5"/>
  <c r="AV82" i="5"/>
  <c r="AV41" i="5"/>
  <c r="AV39" i="5"/>
  <c r="AV37" i="5"/>
  <c r="AV35" i="5"/>
  <c r="AV33" i="5"/>
  <c r="AV31" i="5"/>
  <c r="AV164" i="5"/>
  <c r="AV81" i="5"/>
  <c r="AV78" i="5"/>
  <c r="AV137" i="5"/>
  <c r="AV93" i="5"/>
  <c r="AV45" i="5" a="1"/>
  <c r="AV45" i="5" s="1"/>
  <c r="AV162" i="5"/>
  <c r="AV161" i="5"/>
  <c r="AV135" i="5"/>
  <c r="AV100" i="5"/>
  <c r="AV99" i="5" s="1"/>
  <c r="AV68" i="5" a="1"/>
  <c r="AV68" i="5" s="1"/>
  <c r="AV38" i="5"/>
  <c r="AV29" i="5"/>
  <c r="AV16" i="5"/>
  <c r="AV13" i="5"/>
  <c r="AV202" i="5" s="1"/>
  <c r="AV17" i="5"/>
  <c r="AV66" i="5"/>
  <c r="AV64" i="5" s="1"/>
  <c r="AV11" i="5"/>
  <c r="AW19" i="5" s="1"/>
  <c r="AV27" i="5"/>
  <c r="AV20" i="5"/>
  <c r="AV40" i="5"/>
  <c r="AV36" i="5"/>
  <c r="AV28" i="5"/>
  <c r="AV143" i="5"/>
  <c r="AV32" i="5"/>
  <c r="AV50" i="5"/>
  <c r="AV59" i="5" s="1"/>
  <c r="AV24" i="5"/>
  <c r="AV34" i="5"/>
  <c r="AW5" i="5"/>
  <c r="AV12" i="5"/>
  <c r="AV14" i="5"/>
  <c r="AV6" i="5"/>
  <c r="AV18" i="5" s="1"/>
  <c r="AS4" i="7"/>
  <c r="AS3" i="7" s="1"/>
  <c r="AV4" i="6"/>
  <c r="AU5" i="6"/>
  <c r="AU57" i="5"/>
  <c r="AU55" i="5" s="1"/>
  <c r="AU75" i="5"/>
  <c r="AU74" i="5" s="1"/>
  <c r="AU72" i="5" s="1"/>
  <c r="AU71" i="5" s="1"/>
  <c r="AV51" i="5"/>
  <c r="AV58" i="5" s="1"/>
  <c r="AU44" i="5"/>
  <c r="AU103" i="5"/>
  <c r="AV19" i="5"/>
  <c r="AR72" i="5"/>
  <c r="AR71" i="5" s="1"/>
  <c r="AT46" i="5"/>
  <c r="AU209" i="5" s="1"/>
  <c r="AU213" i="5" s="1"/>
  <c r="AT96" i="5"/>
  <c r="AT95" i="5" s="1"/>
  <c r="AV196" i="5"/>
  <c r="AV195" i="5"/>
  <c r="AU214" i="5" l="1"/>
  <c r="AU222" i="5"/>
  <c r="AV57" i="5"/>
  <c r="AV75" i="5"/>
  <c r="AT77" i="5"/>
  <c r="AT74" i="5" s="1"/>
  <c r="AU46" i="5"/>
  <c r="AV209" i="5" s="1"/>
  <c r="AV213" i="5" s="1"/>
  <c r="AW196" i="5"/>
  <c r="AW195" i="5"/>
  <c r="AV47" i="5"/>
  <c r="AW51" i="5"/>
  <c r="AW58" i="5" s="1"/>
  <c r="AV44" i="5"/>
  <c r="AT4" i="7"/>
  <c r="AT3" i="7" s="1"/>
  <c r="AW4" i="6"/>
  <c r="AV5" i="6"/>
  <c r="AV76" i="5"/>
  <c r="AU47" i="5"/>
  <c r="AW197" i="5"/>
  <c r="AX193" i="5" s="1"/>
  <c r="AW181" i="5"/>
  <c r="AW179" i="5"/>
  <c r="AW177" i="5"/>
  <c r="AW175" i="5"/>
  <c r="AW173" i="5"/>
  <c r="AW171" i="5"/>
  <c r="AW166" i="5"/>
  <c r="AW164" i="5"/>
  <c r="AW162" i="5"/>
  <c r="AW160" i="5"/>
  <c r="AW158" i="5"/>
  <c r="AW165" i="5"/>
  <c r="AW180" i="5"/>
  <c r="AW163" i="5"/>
  <c r="AW161" i="5"/>
  <c r="AW178" i="5"/>
  <c r="AW136" i="5"/>
  <c r="AW100" i="5"/>
  <c r="AW99" i="5" s="1"/>
  <c r="AW93" i="5"/>
  <c r="AW176" i="5"/>
  <c r="AW170" i="5"/>
  <c r="AW156" i="5"/>
  <c r="AW153" i="5"/>
  <c r="AW145" i="5"/>
  <c r="AW142" i="5"/>
  <c r="AW141" i="5"/>
  <c r="AW134" i="5"/>
  <c r="AW106" i="5"/>
  <c r="AW139" i="5"/>
  <c r="AW132" i="5"/>
  <c r="AW172" i="5"/>
  <c r="AW155" i="5"/>
  <c r="AW150" i="5"/>
  <c r="AW144" i="5"/>
  <c r="AW138" i="5"/>
  <c r="AW159" i="5"/>
  <c r="AW140" i="5"/>
  <c r="AW107" i="5"/>
  <c r="AW79" i="5"/>
  <c r="AW157" i="5"/>
  <c r="AW154" i="5"/>
  <c r="AW135" i="5"/>
  <c r="AW105" i="5"/>
  <c r="AW104" i="5"/>
  <c r="AW174" i="5"/>
  <c r="AW131" i="5"/>
  <c r="AW81" i="5"/>
  <c r="AW78" i="5"/>
  <c r="AW137" i="5"/>
  <c r="AW50" i="5"/>
  <c r="AW59" i="5" s="1"/>
  <c r="AW76" i="5" s="1"/>
  <c r="AW152" i="5"/>
  <c r="AW146" i="5"/>
  <c r="AW183" i="5" s="1" a="1"/>
  <c r="AW183" i="5" s="1"/>
  <c r="AW133" i="5"/>
  <c r="AW82" i="5"/>
  <c r="AW41" i="5"/>
  <c r="AW39" i="5"/>
  <c r="AW37" i="5"/>
  <c r="AW45" i="5" s="1" a="1"/>
  <c r="AW45" i="5" s="1"/>
  <c r="AW35" i="5"/>
  <c r="AW33" i="5"/>
  <c r="AW31" i="5"/>
  <c r="AW66" i="5"/>
  <c r="AW64" i="5" s="1"/>
  <c r="AW30" i="5"/>
  <c r="AW11" i="5"/>
  <c r="AX19" i="5" s="1"/>
  <c r="AW14" i="5"/>
  <c r="AW12" i="5"/>
  <c r="AW27" i="5"/>
  <c r="AW20" i="5"/>
  <c r="AW21" i="5" s="1"/>
  <c r="AW28" i="5"/>
  <c r="AW34" i="5"/>
  <c r="AW17" i="5"/>
  <c r="AX5" i="5"/>
  <c r="AW40" i="5"/>
  <c r="AW143" i="5"/>
  <c r="AW68" i="5" a="1"/>
  <c r="AW68" i="5" s="1"/>
  <c r="AW32" i="5"/>
  <c r="AW151" i="5"/>
  <c r="AW130" i="5"/>
  <c r="AW38" i="5"/>
  <c r="AW29" i="5"/>
  <c r="AW16" i="5"/>
  <c r="AW13" i="5"/>
  <c r="AW202" i="5" s="1"/>
  <c r="AW36" i="5"/>
  <c r="AW24" i="5"/>
  <c r="AW6" i="5"/>
  <c r="AW18" i="5" s="1"/>
  <c r="AV21" i="5"/>
  <c r="AS189" i="5"/>
  <c r="AS187" i="5"/>
  <c r="AS188" i="5"/>
  <c r="AU188" i="5"/>
  <c r="AU187" i="5"/>
  <c r="AU189" i="5"/>
  <c r="AR189" i="5"/>
  <c r="AR187" i="5"/>
  <c r="AR188" i="5"/>
  <c r="AV62" i="5"/>
  <c r="AV103" i="5"/>
  <c r="AT223" i="5"/>
  <c r="AU221" i="5"/>
  <c r="AV214" i="5" l="1"/>
  <c r="AV222" i="5"/>
  <c r="AX197" i="5"/>
  <c r="AY193" i="5" s="1"/>
  <c r="AX181" i="5"/>
  <c r="AX179" i="5"/>
  <c r="AX177" i="5"/>
  <c r="AX175" i="5"/>
  <c r="AX180" i="5"/>
  <c r="AX163" i="5"/>
  <c r="AX173" i="5"/>
  <c r="AX161" i="5"/>
  <c r="AX178" i="5"/>
  <c r="AX171" i="5"/>
  <c r="AX159" i="5"/>
  <c r="AX156" i="5"/>
  <c r="AX154" i="5"/>
  <c r="AX152" i="5"/>
  <c r="AX150" i="5"/>
  <c r="AX145" i="5"/>
  <c r="AX143" i="5"/>
  <c r="AX176" i="5"/>
  <c r="AX170" i="5"/>
  <c r="AX166" i="5"/>
  <c r="AX158" i="5"/>
  <c r="AX153" i="5"/>
  <c r="AX142" i="5"/>
  <c r="AX141" i="5"/>
  <c r="AX134" i="5"/>
  <c r="AX106" i="5"/>
  <c r="AX82" i="5"/>
  <c r="AX139" i="5"/>
  <c r="AX132" i="5"/>
  <c r="AX104" i="5"/>
  <c r="AX165" i="5"/>
  <c r="AX164" i="5"/>
  <c r="AX157" i="5"/>
  <c r="AX151" i="5"/>
  <c r="AX137" i="5"/>
  <c r="AX130" i="5"/>
  <c r="AX136" i="5"/>
  <c r="AX100" i="5"/>
  <c r="AX99" i="5" s="1"/>
  <c r="AX160" i="5"/>
  <c r="AX144" i="5"/>
  <c r="AX68" i="5" a="1"/>
  <c r="AX68" i="5" s="1"/>
  <c r="AX135" i="5"/>
  <c r="AX105" i="5"/>
  <c r="AX174" i="5"/>
  <c r="AX146" i="5"/>
  <c r="AX183" i="5" s="1" a="1"/>
  <c r="AX183" i="5" s="1"/>
  <c r="AX172" i="5"/>
  <c r="AX155" i="5"/>
  <c r="AX138" i="5"/>
  <c r="AX131" i="5"/>
  <c r="AX79" i="5"/>
  <c r="AX93" i="5"/>
  <c r="AX50" i="5"/>
  <c r="AX59" i="5" s="1"/>
  <c r="AX76" i="5" s="1"/>
  <c r="AX28" i="5"/>
  <c r="AX162" i="5"/>
  <c r="AX40" i="5"/>
  <c r="AX38" i="5"/>
  <c r="AX36" i="5"/>
  <c r="AX140" i="5"/>
  <c r="AX107" i="5"/>
  <c r="AX81" i="5"/>
  <c r="AX78" i="5"/>
  <c r="AX33" i="5"/>
  <c r="AX27" i="5"/>
  <c r="AX20" i="5"/>
  <c r="AX34" i="5"/>
  <c r="AX17" i="5"/>
  <c r="AY5" i="5"/>
  <c r="AX39" i="5"/>
  <c r="AX35" i="5"/>
  <c r="AX14" i="5"/>
  <c r="AX12" i="5"/>
  <c r="AX32" i="5"/>
  <c r="AX133" i="5"/>
  <c r="AX41" i="5"/>
  <c r="AX37" i="5"/>
  <c r="AX29" i="5"/>
  <c r="AX66" i="5"/>
  <c r="AX64" i="5" s="1"/>
  <c r="AX30" i="5"/>
  <c r="AX11" i="5"/>
  <c r="AX31" i="5"/>
  <c r="AX16" i="5"/>
  <c r="AX24" i="5"/>
  <c r="AX13" i="5"/>
  <c r="AX202" i="5" s="1"/>
  <c r="AX6" i="5"/>
  <c r="AX18" i="5" s="1"/>
  <c r="AW44" i="5"/>
  <c r="AX51" i="5"/>
  <c r="AX58" i="5" s="1"/>
  <c r="AT72" i="5"/>
  <c r="AT71" i="5" s="1"/>
  <c r="AV61" i="5"/>
  <c r="AW209" i="5"/>
  <c r="AW213" i="5" s="1"/>
  <c r="AV46" i="5"/>
  <c r="AV96" i="5"/>
  <c r="AV95" i="5" s="1"/>
  <c r="AU4" i="7"/>
  <c r="AU3" i="7" s="1"/>
  <c r="AX4" i="6"/>
  <c r="AW5" i="6"/>
  <c r="AX196" i="5"/>
  <c r="AX195" i="5"/>
  <c r="AW75" i="5"/>
  <c r="AW57" i="5"/>
  <c r="AU223" i="5"/>
  <c r="AV221" i="5"/>
  <c r="AX21" i="5"/>
  <c r="AV55" i="5"/>
  <c r="AW62" i="5"/>
  <c r="AW61" i="5" s="1"/>
  <c r="AW77" i="5" s="1"/>
  <c r="AW103" i="5"/>
  <c r="AV77" i="5" l="1"/>
  <c r="AV74" i="5" s="1"/>
  <c r="AY173" i="5"/>
  <c r="AY161" i="5"/>
  <c r="AY107" i="5"/>
  <c r="AY105" i="5"/>
  <c r="AY178" i="5"/>
  <c r="AY175" i="5"/>
  <c r="AY171" i="5"/>
  <c r="AY159" i="5"/>
  <c r="AY166" i="5"/>
  <c r="AY180" i="5"/>
  <c r="AY156" i="5"/>
  <c r="AY145" i="5"/>
  <c r="AY139" i="5"/>
  <c r="AY132" i="5"/>
  <c r="AY104" i="5"/>
  <c r="AY103" i="5" s="1"/>
  <c r="AY79" i="5"/>
  <c r="AY165" i="5"/>
  <c r="AY164" i="5"/>
  <c r="AY157" i="5"/>
  <c r="AY151" i="5"/>
  <c r="AY137" i="5"/>
  <c r="AY130" i="5"/>
  <c r="AY154" i="5"/>
  <c r="AY143" i="5"/>
  <c r="AY135" i="5"/>
  <c r="AY197" i="5"/>
  <c r="AZ193" i="5" s="1"/>
  <c r="AY176" i="5"/>
  <c r="AY170" i="5"/>
  <c r="AY158" i="5"/>
  <c r="AY153" i="5"/>
  <c r="AY142" i="5"/>
  <c r="AY141" i="5"/>
  <c r="AY134" i="5"/>
  <c r="AY106" i="5"/>
  <c r="AY136" i="5"/>
  <c r="AY174" i="5"/>
  <c r="AY146" i="5"/>
  <c r="AY183" i="5" s="1" a="1"/>
  <c r="AY183" i="5" s="1"/>
  <c r="AY81" i="5"/>
  <c r="AY179" i="5"/>
  <c r="AY131" i="5"/>
  <c r="AY100" i="5"/>
  <c r="AY99" i="5" s="1"/>
  <c r="AY172" i="5"/>
  <c r="AY150" i="5"/>
  <c r="AY93" i="5"/>
  <c r="AY181" i="5"/>
  <c r="AY177" i="5"/>
  <c r="AY155" i="5"/>
  <c r="AY50" i="5"/>
  <c r="AY59" i="5" s="1"/>
  <c r="AY76" i="5" s="1"/>
  <c r="AY28" i="5"/>
  <c r="AY163" i="5"/>
  <c r="AY162" i="5"/>
  <c r="AY40" i="5"/>
  <c r="AY38" i="5"/>
  <c r="AY36" i="5"/>
  <c r="AY34" i="5"/>
  <c r="AY32" i="5"/>
  <c r="AY30" i="5"/>
  <c r="AY24" i="5"/>
  <c r="AY152" i="5"/>
  <c r="AY140" i="5"/>
  <c r="AY68" i="5" a="1"/>
  <c r="AY68" i="5" s="1"/>
  <c r="AY66" i="5"/>
  <c r="AY64" i="5" s="1"/>
  <c r="AY160" i="5"/>
  <c r="AY144" i="5"/>
  <c r="AY138" i="5"/>
  <c r="AY82" i="5"/>
  <c r="AY17" i="5"/>
  <c r="AZ5" i="5"/>
  <c r="AY39" i="5"/>
  <c r="AY35" i="5"/>
  <c r="AY14" i="5"/>
  <c r="AY12" i="5"/>
  <c r="AY31" i="5"/>
  <c r="AY133" i="5"/>
  <c r="AY41" i="5"/>
  <c r="AY37" i="5"/>
  <c r="AY29" i="5"/>
  <c r="AY78" i="5"/>
  <c r="AY33" i="5"/>
  <c r="AY27" i="5"/>
  <c r="AY20" i="5"/>
  <c r="AY11" i="5"/>
  <c r="AY13" i="5"/>
  <c r="AY202" i="5" s="1"/>
  <c r="AY16" i="5"/>
  <c r="AY6" i="5"/>
  <c r="AY18" i="5" s="1"/>
  <c r="AV4" i="7"/>
  <c r="AV3" i="7" s="1"/>
  <c r="AX5" i="6"/>
  <c r="AY4" i="6"/>
  <c r="AY19" i="5"/>
  <c r="AY21" i="5" s="1"/>
  <c r="AY196" i="5"/>
  <c r="AY195" i="5"/>
  <c r="AX57" i="5"/>
  <c r="AX55" i="5" s="1"/>
  <c r="AX75" i="5"/>
  <c r="AX74" i="5" s="1"/>
  <c r="AX72" i="5" s="1"/>
  <c r="AX44" i="5"/>
  <c r="AY51" i="5"/>
  <c r="AY58" i="5" s="1"/>
  <c r="AW55" i="5"/>
  <c r="AW46" i="5"/>
  <c r="AX209" i="5" s="1"/>
  <c r="AX213" i="5" s="1"/>
  <c r="AW96" i="5"/>
  <c r="AW95" i="5" s="1"/>
  <c r="AW47" i="5"/>
  <c r="AW74" i="5"/>
  <c r="AW72" i="5" s="1"/>
  <c r="AW71" i="5" s="1"/>
  <c r="AW214" i="5"/>
  <c r="AW222" i="5"/>
  <c r="AX62" i="5"/>
  <c r="AX61" i="5" s="1"/>
  <c r="AX77" i="5" s="1"/>
  <c r="AX103" i="5"/>
  <c r="AV223" i="5"/>
  <c r="AW221" i="5"/>
  <c r="AT189" i="5"/>
  <c r="AT188" i="5"/>
  <c r="AT187" i="5"/>
  <c r="AX45" i="5" a="1"/>
  <c r="AX45" i="5" s="1"/>
  <c r="AX47" i="5" s="1"/>
  <c r="AX222" i="5" l="1"/>
  <c r="AX214" i="5"/>
  <c r="AY62" i="5"/>
  <c r="AY61" i="5" s="1"/>
  <c r="AV72" i="5"/>
  <c r="AV71" i="5" s="1"/>
  <c r="AW188" i="5"/>
  <c r="AW187" i="5"/>
  <c r="AW189" i="5"/>
  <c r="AY5" i="6"/>
  <c r="AW4" i="7"/>
  <c r="AW3" i="7" s="1"/>
  <c r="AZ4" i="6"/>
  <c r="AY44" i="5"/>
  <c r="AZ51" i="5"/>
  <c r="AZ58" i="5" s="1"/>
  <c r="AZ195" i="5"/>
  <c r="AZ196" i="5"/>
  <c r="AY75" i="5"/>
  <c r="AY57" i="5"/>
  <c r="AX46" i="5"/>
  <c r="AY209" i="5" s="1"/>
  <c r="AY213" i="5" s="1"/>
  <c r="AZ178" i="5"/>
  <c r="AZ175" i="5"/>
  <c r="AZ171" i="5"/>
  <c r="AZ159" i="5"/>
  <c r="AZ156" i="5"/>
  <c r="AZ154" i="5"/>
  <c r="AZ152" i="5"/>
  <c r="AZ150" i="5"/>
  <c r="AZ145" i="5"/>
  <c r="AZ143" i="5"/>
  <c r="AZ141" i="5"/>
  <c r="AZ139" i="5"/>
  <c r="AZ137" i="5"/>
  <c r="AZ135" i="5"/>
  <c r="AZ133" i="5"/>
  <c r="AZ131" i="5"/>
  <c r="AZ166" i="5"/>
  <c r="AZ197" i="5"/>
  <c r="BA193" i="5" s="1"/>
  <c r="AZ181" i="5"/>
  <c r="AZ176" i="5"/>
  <c r="AZ174" i="5"/>
  <c r="AZ164" i="5"/>
  <c r="AZ165" i="5"/>
  <c r="AZ157" i="5"/>
  <c r="AZ151" i="5"/>
  <c r="AZ130" i="5"/>
  <c r="AZ163" i="5"/>
  <c r="AZ162" i="5"/>
  <c r="AZ146" i="5"/>
  <c r="AZ183" i="5" s="1" a="1"/>
  <c r="AZ183" i="5" s="1"/>
  <c r="R39" i="3" s="1"/>
  <c r="AZ180" i="5"/>
  <c r="AZ132" i="5"/>
  <c r="AZ104" i="5"/>
  <c r="AZ158" i="5"/>
  <c r="AZ153" i="5"/>
  <c r="AZ106" i="5"/>
  <c r="R55" i="3" s="1"/>
  <c r="AZ105" i="5"/>
  <c r="R54" i="3" s="1"/>
  <c r="AZ81" i="5"/>
  <c r="AZ179" i="5"/>
  <c r="AZ100" i="5"/>
  <c r="AZ99" i="5" s="1"/>
  <c r="R51" i="3" s="1"/>
  <c r="AZ172" i="5"/>
  <c r="AZ155" i="5"/>
  <c r="AZ138" i="5"/>
  <c r="AZ173" i="5"/>
  <c r="AZ170" i="5"/>
  <c r="AZ142" i="5"/>
  <c r="AZ134" i="5"/>
  <c r="AZ82" i="5"/>
  <c r="AZ177" i="5"/>
  <c r="AZ93" i="5"/>
  <c r="AZ68" i="5" a="1"/>
  <c r="AZ68" i="5" s="1"/>
  <c r="R38" i="3" s="1"/>
  <c r="AZ40" i="5"/>
  <c r="AZ38" i="5"/>
  <c r="AZ36" i="5"/>
  <c r="AZ34" i="5"/>
  <c r="AZ32" i="5"/>
  <c r="AZ30" i="5"/>
  <c r="AZ24" i="5"/>
  <c r="AZ20" i="5"/>
  <c r="AZ140" i="5"/>
  <c r="AZ66" i="5"/>
  <c r="AZ64" i="5" s="1"/>
  <c r="R37" i="3" s="1"/>
  <c r="AZ161" i="5"/>
  <c r="AZ160" i="5"/>
  <c r="AZ144" i="5"/>
  <c r="AZ136" i="5"/>
  <c r="AZ79" i="5"/>
  <c r="AZ50" i="5"/>
  <c r="AZ39" i="5"/>
  <c r="AZ35" i="5"/>
  <c r="AZ14" i="5"/>
  <c r="AZ12" i="5"/>
  <c r="AZ31" i="5"/>
  <c r="AZ28" i="5"/>
  <c r="AZ107" i="5"/>
  <c r="R56" i="3" s="1"/>
  <c r="AZ41" i="5"/>
  <c r="AZ37" i="5"/>
  <c r="AZ29" i="5"/>
  <c r="AZ78" i="5"/>
  <c r="AZ33" i="5"/>
  <c r="AZ27" i="5"/>
  <c r="AZ17" i="5"/>
  <c r="BA5" i="5"/>
  <c r="AZ11" i="5"/>
  <c r="AZ13" i="5"/>
  <c r="AZ202" i="5" s="1"/>
  <c r="AZ16" i="5"/>
  <c r="AZ6" i="5"/>
  <c r="AZ18" i="5" s="1"/>
  <c r="AZ62" i="5" s="1"/>
  <c r="AX221" i="5"/>
  <c r="AW223" i="5"/>
  <c r="AZ19" i="5"/>
  <c r="AZ21" i="5" s="1"/>
  <c r="AY45" i="5" a="1"/>
  <c r="AY45" i="5" s="1"/>
  <c r="AX96" i="5"/>
  <c r="AX95" i="5" s="1"/>
  <c r="AX71" i="5" s="1"/>
  <c r="AX187" i="5" l="1"/>
  <c r="AX188" i="5"/>
  <c r="AX189" i="5"/>
  <c r="AY214" i="5"/>
  <c r="AY222" i="5"/>
  <c r="BA180" i="5"/>
  <c r="BA178" i="5"/>
  <c r="BA176" i="5"/>
  <c r="BA174" i="5"/>
  <c r="BA172" i="5"/>
  <c r="BA170" i="5"/>
  <c r="BA165" i="5"/>
  <c r="BA163" i="5"/>
  <c r="BA161" i="5"/>
  <c r="BA159" i="5"/>
  <c r="BA166" i="5"/>
  <c r="BA197" i="5"/>
  <c r="BB193" i="5" s="1"/>
  <c r="BA181" i="5"/>
  <c r="BA164" i="5"/>
  <c r="BA162" i="5"/>
  <c r="BA137" i="5"/>
  <c r="BA154" i="5"/>
  <c r="BA146" i="5"/>
  <c r="BA183" i="5" s="1" a="1"/>
  <c r="BA183" i="5" s="1"/>
  <c r="BA143" i="5"/>
  <c r="BA135" i="5"/>
  <c r="BA107" i="5"/>
  <c r="BA179" i="5"/>
  <c r="BA140" i="5"/>
  <c r="BA133" i="5"/>
  <c r="BA157" i="5"/>
  <c r="BA156" i="5"/>
  <c r="BA151" i="5"/>
  <c r="BA145" i="5"/>
  <c r="BA139" i="5"/>
  <c r="BA130" i="5"/>
  <c r="BA132" i="5"/>
  <c r="BA100" i="5"/>
  <c r="BA99" i="5" s="1"/>
  <c r="BA155" i="5"/>
  <c r="BA138" i="5"/>
  <c r="BA131" i="5"/>
  <c r="BA104" i="5"/>
  <c r="BA78" i="5"/>
  <c r="BA175" i="5"/>
  <c r="BA173" i="5"/>
  <c r="BA93" i="5"/>
  <c r="BA171" i="5"/>
  <c r="BA141" i="5"/>
  <c r="BA177" i="5"/>
  <c r="BA150" i="5"/>
  <c r="BA142" i="5"/>
  <c r="BA134" i="5"/>
  <c r="BA66" i="5"/>
  <c r="BA64" i="5" s="1"/>
  <c r="BA160" i="5"/>
  <c r="BA152" i="5"/>
  <c r="BA144" i="5"/>
  <c r="BA158" i="5"/>
  <c r="BA153" i="5"/>
  <c r="BA106" i="5"/>
  <c r="BA105" i="5"/>
  <c r="BA40" i="5"/>
  <c r="BA38" i="5"/>
  <c r="BA36" i="5"/>
  <c r="BA34" i="5"/>
  <c r="BA32" i="5"/>
  <c r="BA30" i="5"/>
  <c r="BA81" i="5"/>
  <c r="BA31" i="5"/>
  <c r="BA29" i="5"/>
  <c r="BA45" i="5" s="1" a="1"/>
  <c r="BA45" i="5" s="1"/>
  <c r="BA16" i="5"/>
  <c r="BA28" i="5"/>
  <c r="BA68" i="5" a="1"/>
  <c r="BA68" i="5" s="1"/>
  <c r="BA37" i="5"/>
  <c r="BA13" i="5"/>
  <c r="BA202" i="5" s="1"/>
  <c r="BA79" i="5"/>
  <c r="BA41" i="5"/>
  <c r="BA136" i="5"/>
  <c r="BA33" i="5"/>
  <c r="BA27" i="5"/>
  <c r="BA50" i="5"/>
  <c r="BA82" i="5"/>
  <c r="BA39" i="5"/>
  <c r="BA35" i="5"/>
  <c r="BA14" i="5"/>
  <c r="BA12" i="5"/>
  <c r="BA24" i="5"/>
  <c r="BA17" i="5"/>
  <c r="BB5" i="5"/>
  <c r="BA11" i="5"/>
  <c r="BA20" i="5"/>
  <c r="BA6" i="5"/>
  <c r="BA18" i="5" s="1"/>
  <c r="BA51" i="5"/>
  <c r="BA58" i="5" s="1"/>
  <c r="AZ44" i="5"/>
  <c r="AZ45" i="5" a="1"/>
  <c r="AZ45" i="5" s="1"/>
  <c r="AZ47" i="5" s="1"/>
  <c r="AZ61" i="5"/>
  <c r="AZ77" i="5" s="1"/>
  <c r="R35" i="3"/>
  <c r="AZ75" i="5"/>
  <c r="AZ57" i="5"/>
  <c r="R32" i="3"/>
  <c r="AZ209" i="5"/>
  <c r="AZ213" i="5" s="1"/>
  <c r="AY46" i="5"/>
  <c r="AV188" i="5"/>
  <c r="AV189" i="5"/>
  <c r="AV187" i="5"/>
  <c r="AZ5" i="6"/>
  <c r="AX4" i="7"/>
  <c r="AX3" i="7" s="1"/>
  <c r="BA4" i="6"/>
  <c r="AY77" i="5"/>
  <c r="AY74" i="5" s="1"/>
  <c r="AY72" i="5" s="1"/>
  <c r="AY71" i="5" s="1"/>
  <c r="R34" i="3"/>
  <c r="AY47" i="5"/>
  <c r="BA19" i="5"/>
  <c r="AZ59" i="5"/>
  <c r="R29" i="3"/>
  <c r="R11" i="3" s="1"/>
  <c r="AZ103" i="5"/>
  <c r="R53" i="3"/>
  <c r="R16" i="3"/>
  <c r="R15" i="3"/>
  <c r="AY55" i="5"/>
  <c r="AY221" i="5"/>
  <c r="AX223" i="5"/>
  <c r="BA195" i="5"/>
  <c r="BA196" i="5"/>
  <c r="AY96" i="5"/>
  <c r="AY95" i="5" s="1"/>
  <c r="BA75" i="5" l="1"/>
  <c r="R14" i="3"/>
  <c r="BA209" i="5"/>
  <c r="BA213" i="5" s="1"/>
  <c r="AZ46" i="5"/>
  <c r="AZ96" i="5"/>
  <c r="AZ221" i="5"/>
  <c r="AY223" i="5"/>
  <c r="AZ55" i="5"/>
  <c r="R31" i="3"/>
  <c r="AZ222" i="5"/>
  <c r="AZ214" i="5"/>
  <c r="AZ74" i="5"/>
  <c r="BB19" i="5"/>
  <c r="AY189" i="5"/>
  <c r="AY188" i="5"/>
  <c r="AY187" i="5"/>
  <c r="BB180" i="5"/>
  <c r="BB178" i="5"/>
  <c r="BB176" i="5"/>
  <c r="BB197" i="5"/>
  <c r="BC193" i="5" s="1"/>
  <c r="BB181" i="5"/>
  <c r="BB164" i="5"/>
  <c r="BB174" i="5"/>
  <c r="BB162" i="5"/>
  <c r="BB179" i="5"/>
  <c r="BB172" i="5"/>
  <c r="BB160" i="5"/>
  <c r="BB157" i="5"/>
  <c r="BB155" i="5"/>
  <c r="BB153" i="5"/>
  <c r="BB151" i="5"/>
  <c r="BB146" i="5"/>
  <c r="BB183" i="5" s="1" a="1"/>
  <c r="BB183" i="5" s="1"/>
  <c r="BB144" i="5"/>
  <c r="BB142" i="5"/>
  <c r="BB154" i="5"/>
  <c r="BB143" i="5"/>
  <c r="BB135" i="5"/>
  <c r="BB107" i="5"/>
  <c r="BB81" i="5"/>
  <c r="BB163" i="5"/>
  <c r="BB140" i="5"/>
  <c r="BB133" i="5"/>
  <c r="BB105" i="5"/>
  <c r="BB177" i="5"/>
  <c r="BB152" i="5"/>
  <c r="BB138" i="5"/>
  <c r="BB131" i="5"/>
  <c r="BB166" i="5"/>
  <c r="BB165" i="5"/>
  <c r="BB137" i="5"/>
  <c r="BB145" i="5"/>
  <c r="BB139" i="5"/>
  <c r="BB104" i="5"/>
  <c r="BB78" i="5"/>
  <c r="BB68" i="5" a="1"/>
  <c r="BB68" i="5" s="1"/>
  <c r="BB175" i="5"/>
  <c r="BB173" i="5"/>
  <c r="BB93" i="5"/>
  <c r="BB150" i="5"/>
  <c r="BB134" i="5"/>
  <c r="BB82" i="5"/>
  <c r="BB156" i="5"/>
  <c r="BB130" i="5"/>
  <c r="BB171" i="5"/>
  <c r="BB170" i="5"/>
  <c r="BB161" i="5"/>
  <c r="BB29" i="5"/>
  <c r="BB27" i="5"/>
  <c r="BB158" i="5"/>
  <c r="BB41" i="5"/>
  <c r="BB39" i="5"/>
  <c r="BB37" i="5"/>
  <c r="BB35" i="5"/>
  <c r="BB159" i="5"/>
  <c r="BB132" i="5"/>
  <c r="BB100" i="5"/>
  <c r="BB99" i="5" s="1"/>
  <c r="BB141" i="5"/>
  <c r="BB66" i="5"/>
  <c r="BB64" i="5" s="1"/>
  <c r="BB106" i="5"/>
  <c r="BB34" i="5"/>
  <c r="BB28" i="5"/>
  <c r="BB45" i="5" s="1" a="1"/>
  <c r="BB45" i="5" s="1"/>
  <c r="BB11" i="5"/>
  <c r="BC19" i="5" s="1"/>
  <c r="BB79" i="5"/>
  <c r="BB40" i="5"/>
  <c r="BB36" i="5"/>
  <c r="BB16" i="5"/>
  <c r="BB13" i="5"/>
  <c r="BB202" i="5" s="1"/>
  <c r="BB136" i="5"/>
  <c r="BB32" i="5"/>
  <c r="BB33" i="5"/>
  <c r="BB50" i="5"/>
  <c r="BB59" i="5" s="1"/>
  <c r="BB76" i="5" s="1"/>
  <c r="BB38" i="5"/>
  <c r="BB30" i="5"/>
  <c r="BB31" i="5"/>
  <c r="BB24" i="5"/>
  <c r="BB12" i="5"/>
  <c r="BB20" i="5"/>
  <c r="BB14" i="5"/>
  <c r="BC5" i="5"/>
  <c r="BB17" i="5"/>
  <c r="BB6" i="5"/>
  <c r="BB18" i="5" s="1"/>
  <c r="BA59" i="5"/>
  <c r="BA103" i="5"/>
  <c r="BB195" i="5"/>
  <c r="BB196" i="5"/>
  <c r="R52" i="3"/>
  <c r="BA5" i="6"/>
  <c r="BB4" i="6"/>
  <c r="AY4" i="7"/>
  <c r="AY3" i="7" s="1"/>
  <c r="BA62" i="5"/>
  <c r="AZ76" i="5"/>
  <c r="R33" i="3"/>
  <c r="BA21" i="5"/>
  <c r="BB51" i="5"/>
  <c r="BB58" i="5" s="1"/>
  <c r="BA44" i="5"/>
  <c r="BB96" i="5" l="1"/>
  <c r="BB95" i="5" s="1"/>
  <c r="BA61" i="5"/>
  <c r="BC174" i="5"/>
  <c r="BC162" i="5"/>
  <c r="BC106" i="5"/>
  <c r="BC104" i="5"/>
  <c r="BC179" i="5"/>
  <c r="BC176" i="5"/>
  <c r="BC172" i="5"/>
  <c r="BC160" i="5"/>
  <c r="BC157" i="5"/>
  <c r="BC170" i="5"/>
  <c r="BC158" i="5"/>
  <c r="BC197" i="5"/>
  <c r="BD193" i="5" s="1"/>
  <c r="BC164" i="5"/>
  <c r="BC163" i="5"/>
  <c r="BC146" i="5"/>
  <c r="BC183" i="5" s="1" a="1"/>
  <c r="BC183" i="5" s="1"/>
  <c r="BC140" i="5"/>
  <c r="BC133" i="5"/>
  <c r="BC105" i="5"/>
  <c r="BC78" i="5"/>
  <c r="BC177" i="5"/>
  <c r="BC152" i="5"/>
  <c r="BC138" i="5"/>
  <c r="BC131" i="5"/>
  <c r="BC181" i="5"/>
  <c r="BC175" i="5"/>
  <c r="BC173" i="5"/>
  <c r="BC161" i="5"/>
  <c r="BC155" i="5"/>
  <c r="BC144" i="5"/>
  <c r="BC136" i="5"/>
  <c r="BC180" i="5"/>
  <c r="BC178" i="5"/>
  <c r="BC154" i="5"/>
  <c r="BC143" i="5"/>
  <c r="BC135" i="5"/>
  <c r="BC107" i="5"/>
  <c r="BC93" i="5"/>
  <c r="BC150" i="5"/>
  <c r="BC134" i="5"/>
  <c r="BC82" i="5"/>
  <c r="BC171" i="5"/>
  <c r="BC142" i="5"/>
  <c r="BC141" i="5"/>
  <c r="BC166" i="5"/>
  <c r="BC165" i="5"/>
  <c r="BC151" i="5"/>
  <c r="BC137" i="5"/>
  <c r="BC29" i="5"/>
  <c r="BC27" i="5"/>
  <c r="BC41" i="5"/>
  <c r="BC39" i="5"/>
  <c r="BC37" i="5"/>
  <c r="BC35" i="5"/>
  <c r="BC33" i="5"/>
  <c r="BC31" i="5"/>
  <c r="BC159" i="5"/>
  <c r="BC132" i="5"/>
  <c r="BC100" i="5"/>
  <c r="BC99" i="5" s="1"/>
  <c r="BC156" i="5"/>
  <c r="BC130" i="5"/>
  <c r="BC79" i="5"/>
  <c r="BC145" i="5"/>
  <c r="BC139" i="5"/>
  <c r="BC40" i="5"/>
  <c r="BC36" i="5"/>
  <c r="BC16" i="5"/>
  <c r="BC13" i="5"/>
  <c r="BC202" i="5" s="1"/>
  <c r="BC153" i="5"/>
  <c r="BC32" i="5"/>
  <c r="BC24" i="5"/>
  <c r="BC11" i="5"/>
  <c r="BD19" i="5" s="1"/>
  <c r="BC50" i="5"/>
  <c r="BC59" i="5" s="1"/>
  <c r="BC76" i="5" s="1"/>
  <c r="BC38" i="5"/>
  <c r="BC30" i="5"/>
  <c r="BC66" i="5"/>
  <c r="BC64" i="5" s="1"/>
  <c r="BC81" i="5"/>
  <c r="BC68" i="5" a="1"/>
  <c r="BC68" i="5" s="1"/>
  <c r="BC34" i="5"/>
  <c r="BC28" i="5"/>
  <c r="BC45" i="5" s="1" a="1"/>
  <c r="BC45" i="5" s="1"/>
  <c r="BC12" i="5"/>
  <c r="BC17" i="5"/>
  <c r="BD5" i="5"/>
  <c r="BC20" i="5"/>
  <c r="BC14" i="5"/>
  <c r="BC6" i="5"/>
  <c r="BC18" i="5" s="1"/>
  <c r="BC51" i="5"/>
  <c r="BC58" i="5" s="1"/>
  <c r="BB44" i="5"/>
  <c r="BB103" i="5"/>
  <c r="AZ188" i="5"/>
  <c r="R30" i="3"/>
  <c r="BA222" i="5"/>
  <c r="BA214" i="5"/>
  <c r="BC21" i="5"/>
  <c r="BB21" i="5"/>
  <c r="BA46" i="5"/>
  <c r="BB209" i="5" s="1"/>
  <c r="BB213" i="5" s="1"/>
  <c r="BA96" i="5"/>
  <c r="BB75" i="5"/>
  <c r="BB74" i="5" s="1"/>
  <c r="BB72" i="5" s="1"/>
  <c r="BB71" i="5" s="1"/>
  <c r="BB57" i="5"/>
  <c r="BA76" i="5"/>
  <c r="BA57" i="5"/>
  <c r="AZ72" i="5"/>
  <c r="AZ71" i="5" s="1"/>
  <c r="AZ189" i="5" s="1"/>
  <c r="R57" i="3" s="1"/>
  <c r="R43" i="3"/>
  <c r="R41" i="3" s="1"/>
  <c r="R21" i="3"/>
  <c r="BB62" i="5"/>
  <c r="BB61" i="5" s="1"/>
  <c r="BB77" i="5" s="1"/>
  <c r="AZ223" i="5"/>
  <c r="BA221" i="5"/>
  <c r="AZ95" i="5"/>
  <c r="R49" i="3"/>
  <c r="BC196" i="5"/>
  <c r="BC195" i="5"/>
  <c r="AZ4" i="7"/>
  <c r="AZ3" i="7" s="1"/>
  <c r="BC4" i="6"/>
  <c r="BB5" i="6"/>
  <c r="R13" i="3"/>
  <c r="R12" i="3" s="1"/>
  <c r="BA47" i="5"/>
  <c r="BB222" i="5" l="1"/>
  <c r="BB214" i="5"/>
  <c r="BA4" i="7"/>
  <c r="BA3" i="7" s="1"/>
  <c r="BD4" i="6"/>
  <c r="BC5" i="6"/>
  <c r="BB46" i="5"/>
  <c r="BC209" i="5" s="1"/>
  <c r="BC213" i="5" s="1"/>
  <c r="BC75" i="5"/>
  <c r="BC57" i="5"/>
  <c r="BC55" i="5" s="1"/>
  <c r="BB55" i="5"/>
  <c r="BA223" i="5"/>
  <c r="BB221" i="5"/>
  <c r="BC62" i="5"/>
  <c r="BC61" i="5" s="1"/>
  <c r="BC77" i="5" s="1"/>
  <c r="BA77" i="5"/>
  <c r="BA74" i="5" s="1"/>
  <c r="BB47" i="5"/>
  <c r="BA95" i="5"/>
  <c r="R48" i="3"/>
  <c r="AZ187" i="5"/>
  <c r="BD197" i="5"/>
  <c r="BE193" i="5" s="1"/>
  <c r="BD179" i="5"/>
  <c r="BD176" i="5"/>
  <c r="BD172" i="5"/>
  <c r="BD160" i="5"/>
  <c r="BD157" i="5"/>
  <c r="BD155" i="5"/>
  <c r="BD153" i="5"/>
  <c r="BD151" i="5"/>
  <c r="BD146" i="5"/>
  <c r="BD183" i="5" s="1" a="1"/>
  <c r="BD183" i="5" s="1"/>
  <c r="BD144" i="5"/>
  <c r="BD142" i="5"/>
  <c r="BD140" i="5"/>
  <c r="BD138" i="5"/>
  <c r="BD136" i="5"/>
  <c r="BD134" i="5"/>
  <c r="BD132" i="5"/>
  <c r="BD130" i="5"/>
  <c r="BD170" i="5"/>
  <c r="BD158" i="5"/>
  <c r="BD177" i="5"/>
  <c r="BD165" i="5"/>
  <c r="BD152" i="5"/>
  <c r="BD131" i="5"/>
  <c r="BD181" i="5"/>
  <c r="BD175" i="5"/>
  <c r="BD173" i="5"/>
  <c r="BD162" i="5"/>
  <c r="BD161" i="5"/>
  <c r="BD174" i="5"/>
  <c r="BD150" i="5"/>
  <c r="BD164" i="5"/>
  <c r="BD163" i="5"/>
  <c r="BD133" i="5"/>
  <c r="BD105" i="5"/>
  <c r="BD178" i="5"/>
  <c r="BD154" i="5"/>
  <c r="BD135" i="5"/>
  <c r="BD82" i="5"/>
  <c r="BD171" i="5"/>
  <c r="BD141" i="5"/>
  <c r="BD156" i="5"/>
  <c r="BD143" i="5"/>
  <c r="BD180" i="5"/>
  <c r="BD166" i="5"/>
  <c r="BD137" i="5"/>
  <c r="BD41" i="5"/>
  <c r="BD39" i="5"/>
  <c r="BD37" i="5"/>
  <c r="BD35" i="5"/>
  <c r="BD33" i="5"/>
  <c r="BD31" i="5"/>
  <c r="BD159" i="5"/>
  <c r="BD100" i="5"/>
  <c r="BD99" i="5" s="1"/>
  <c r="BD68" i="5" a="1"/>
  <c r="BD68" i="5" s="1"/>
  <c r="BD81" i="5"/>
  <c r="BD104" i="5"/>
  <c r="BD93" i="5"/>
  <c r="BD145" i="5"/>
  <c r="BD40" i="5"/>
  <c r="BD36" i="5"/>
  <c r="BD16" i="5"/>
  <c r="BD13" i="5"/>
  <c r="BD202" i="5" s="1"/>
  <c r="BD79" i="5"/>
  <c r="BD32" i="5"/>
  <c r="BD24" i="5"/>
  <c r="BD11" i="5"/>
  <c r="BE5" i="5"/>
  <c r="BD139" i="5"/>
  <c r="BD29" i="5"/>
  <c r="BD45" i="5" s="1" a="1"/>
  <c r="BD45" i="5" s="1"/>
  <c r="BD107" i="5"/>
  <c r="BD50" i="5"/>
  <c r="BD59" i="5" s="1"/>
  <c r="BD76" i="5" s="1"/>
  <c r="BD78" i="5"/>
  <c r="BD38" i="5"/>
  <c r="BD30" i="5"/>
  <c r="BD27" i="5"/>
  <c r="BD66" i="5"/>
  <c r="BD64" i="5" s="1"/>
  <c r="BD34" i="5"/>
  <c r="BD28" i="5"/>
  <c r="BD106" i="5"/>
  <c r="BD20" i="5"/>
  <c r="BD21" i="5" s="1"/>
  <c r="BD17" i="5"/>
  <c r="BD12" i="5"/>
  <c r="BD14" i="5"/>
  <c r="BD6" i="5"/>
  <c r="BD18" i="5" s="1"/>
  <c r="BD62" i="5" s="1"/>
  <c r="BD61" i="5" s="1"/>
  <c r="BD77" i="5" s="1"/>
  <c r="BD196" i="5"/>
  <c r="BD195" i="5"/>
  <c r="BC103" i="5"/>
  <c r="BA55" i="5"/>
  <c r="R18" i="3"/>
  <c r="R40" i="3"/>
  <c r="BD51" i="5"/>
  <c r="BD58" i="5" s="1"/>
  <c r="BC44" i="5"/>
  <c r="BC47" i="5" s="1"/>
  <c r="BA72" i="5" l="1"/>
  <c r="BA71" i="5" s="1"/>
  <c r="BA187" i="5" s="1"/>
  <c r="BC222" i="5"/>
  <c r="BC214" i="5"/>
  <c r="BE195" i="5"/>
  <c r="BE196" i="5"/>
  <c r="BE4" i="6"/>
  <c r="BB4" i="7"/>
  <c r="BB3" i="7" s="1"/>
  <c r="BD5" i="6"/>
  <c r="BD44" i="5"/>
  <c r="BE51" i="5"/>
  <c r="BE58" i="5" s="1"/>
  <c r="BE197" i="5"/>
  <c r="BF193" i="5" s="1"/>
  <c r="BE181" i="5"/>
  <c r="BE179" i="5"/>
  <c r="BE177" i="5"/>
  <c r="BE175" i="5"/>
  <c r="BE173" i="5"/>
  <c r="BE171" i="5"/>
  <c r="BE166" i="5"/>
  <c r="BE164" i="5"/>
  <c r="BE162" i="5"/>
  <c r="BE160" i="5"/>
  <c r="BE158" i="5"/>
  <c r="BE170" i="5"/>
  <c r="BE165" i="5"/>
  <c r="BE163" i="5"/>
  <c r="BE161" i="5"/>
  <c r="BE138" i="5"/>
  <c r="BE100" i="5"/>
  <c r="BE99" i="5" s="1"/>
  <c r="BE93" i="5"/>
  <c r="BE174" i="5"/>
  <c r="BE155" i="5"/>
  <c r="BE150" i="5"/>
  <c r="BE144" i="5"/>
  <c r="BE136" i="5"/>
  <c r="BE159" i="5"/>
  <c r="BE141" i="5"/>
  <c r="BE134" i="5"/>
  <c r="BE180" i="5"/>
  <c r="BE152" i="5"/>
  <c r="BE146" i="5"/>
  <c r="BE183" i="5" s="1" a="1"/>
  <c r="BE183" i="5" s="1"/>
  <c r="BE140" i="5"/>
  <c r="BE131" i="5"/>
  <c r="BE157" i="5"/>
  <c r="BE172" i="5"/>
  <c r="BE156" i="5"/>
  <c r="BE142" i="5"/>
  <c r="BE79" i="5"/>
  <c r="BE137" i="5"/>
  <c r="BE130" i="5"/>
  <c r="BE176" i="5"/>
  <c r="BE133" i="5"/>
  <c r="BE107" i="5"/>
  <c r="BE106" i="5"/>
  <c r="BE178" i="5"/>
  <c r="BE132" i="5"/>
  <c r="BE50" i="5"/>
  <c r="BE59" i="5" s="1"/>
  <c r="BE76" i="5" s="1"/>
  <c r="BE154" i="5"/>
  <c r="BE135" i="5"/>
  <c r="BE81" i="5"/>
  <c r="BE151" i="5"/>
  <c r="BE143" i="5"/>
  <c r="BE82" i="5"/>
  <c r="BE68" i="5" a="1"/>
  <c r="BE68" i="5" s="1"/>
  <c r="BE41" i="5"/>
  <c r="BE39" i="5"/>
  <c r="BE37" i="5"/>
  <c r="BE35" i="5"/>
  <c r="BE33" i="5"/>
  <c r="BE31" i="5"/>
  <c r="BE104" i="5"/>
  <c r="BE32" i="5"/>
  <c r="BE24" i="5"/>
  <c r="BE11" i="5"/>
  <c r="BF19" i="5" s="1"/>
  <c r="BE30" i="5"/>
  <c r="BE153" i="5"/>
  <c r="BE139" i="5"/>
  <c r="BE29" i="5"/>
  <c r="BE20" i="5"/>
  <c r="BE17" i="5"/>
  <c r="BF5" i="5"/>
  <c r="BE38" i="5"/>
  <c r="BE27" i="5"/>
  <c r="BE14" i="5"/>
  <c r="BE78" i="5"/>
  <c r="BE105" i="5"/>
  <c r="BE66" i="5"/>
  <c r="BE64" i="5" s="1"/>
  <c r="BE34" i="5"/>
  <c r="BE28" i="5"/>
  <c r="BE145" i="5"/>
  <c r="BE40" i="5"/>
  <c r="BE36" i="5"/>
  <c r="BE16" i="5"/>
  <c r="BE13" i="5"/>
  <c r="BE202" i="5" s="1"/>
  <c r="BE12" i="5"/>
  <c r="BE6" i="5"/>
  <c r="BE18" i="5" s="1"/>
  <c r="BE62" i="5" s="1"/>
  <c r="BE61" i="5" s="1"/>
  <c r="BE77" i="5" s="1"/>
  <c r="R20" i="3"/>
  <c r="R17" i="3" s="1"/>
  <c r="R22" i="3" s="1"/>
  <c r="R23" i="3" s="1"/>
  <c r="BC74" i="5"/>
  <c r="BC72" i="5" s="1"/>
  <c r="BB223" i="5"/>
  <c r="BC221" i="5"/>
  <c r="BD75" i="5"/>
  <c r="BD74" i="5" s="1"/>
  <c r="BD72" i="5" s="1"/>
  <c r="BD57" i="5"/>
  <c r="BC46" i="5"/>
  <c r="BD209" i="5" s="1"/>
  <c r="BD213" i="5" s="1"/>
  <c r="BC96" i="5"/>
  <c r="BE19" i="5"/>
  <c r="BB189" i="5"/>
  <c r="BB187" i="5"/>
  <c r="BB188" i="5"/>
  <c r="BD103" i="5"/>
  <c r="BD222" i="5" l="1"/>
  <c r="BD214" i="5"/>
  <c r="BF197" i="5"/>
  <c r="BF181" i="5"/>
  <c r="BF179" i="5"/>
  <c r="BF177" i="5"/>
  <c r="BF175" i="5"/>
  <c r="BF165" i="5"/>
  <c r="BF158" i="5"/>
  <c r="BF163" i="5"/>
  <c r="BF180" i="5"/>
  <c r="BF173" i="5"/>
  <c r="BF161" i="5"/>
  <c r="BF156" i="5"/>
  <c r="BF154" i="5"/>
  <c r="BF152" i="5"/>
  <c r="BF150" i="5"/>
  <c r="BF145" i="5"/>
  <c r="BF143" i="5"/>
  <c r="BF174" i="5"/>
  <c r="BF162" i="5"/>
  <c r="BF155" i="5"/>
  <c r="BF144" i="5"/>
  <c r="BF136" i="5"/>
  <c r="BF82" i="5"/>
  <c r="BF159" i="5"/>
  <c r="BF141" i="5"/>
  <c r="BF134" i="5"/>
  <c r="BF106" i="5"/>
  <c r="BF172" i="5"/>
  <c r="BF171" i="5"/>
  <c r="BF160" i="5"/>
  <c r="BF153" i="5"/>
  <c r="BF142" i="5"/>
  <c r="BF139" i="5"/>
  <c r="BF132" i="5"/>
  <c r="BF138" i="5"/>
  <c r="BF100" i="5"/>
  <c r="BF99" i="5" s="1"/>
  <c r="S51" i="3" s="1"/>
  <c r="N51" i="3" s="1"/>
  <c r="BF146" i="5"/>
  <c r="BF183" i="5" s="1" a="1"/>
  <c r="BF183" i="5" s="1"/>
  <c r="BF131" i="5"/>
  <c r="BF79" i="5"/>
  <c r="BF68" i="5" a="1"/>
  <c r="BF68" i="5" s="1"/>
  <c r="S38" i="3" s="1"/>
  <c r="BF137" i="5"/>
  <c r="BF130" i="5"/>
  <c r="BF170" i="5"/>
  <c r="BF166" i="5"/>
  <c r="BF151" i="5"/>
  <c r="BF176" i="5"/>
  <c r="BF164" i="5"/>
  <c r="BF140" i="5"/>
  <c r="BF178" i="5"/>
  <c r="BF50" i="5"/>
  <c r="BF28" i="5"/>
  <c r="BF45" i="5" s="1" a="1"/>
  <c r="BF45" i="5" s="1"/>
  <c r="BF135" i="5"/>
  <c r="BF81" i="5"/>
  <c r="BF78" i="5"/>
  <c r="BF40" i="5"/>
  <c r="BF38" i="5"/>
  <c r="BF36" i="5"/>
  <c r="BF157" i="5"/>
  <c r="BF133" i="5"/>
  <c r="BF107" i="5"/>
  <c r="BF93" i="5"/>
  <c r="BF29" i="5"/>
  <c r="BF20" i="5"/>
  <c r="BF17" i="5"/>
  <c r="BG5" i="5"/>
  <c r="BF41" i="5"/>
  <c r="BF37" i="5"/>
  <c r="BF30" i="5"/>
  <c r="BF27" i="5"/>
  <c r="BF14" i="5"/>
  <c r="BF12" i="5"/>
  <c r="BF33" i="5"/>
  <c r="BF105" i="5"/>
  <c r="S54" i="3" s="1"/>
  <c r="N54" i="3" s="1"/>
  <c r="BF66" i="5"/>
  <c r="BF64" i="5" s="1"/>
  <c r="S37" i="3" s="1"/>
  <c r="N37" i="3" s="1"/>
  <c r="BF34" i="5"/>
  <c r="BF39" i="5"/>
  <c r="BF35" i="5"/>
  <c r="BF31" i="5"/>
  <c r="BF104" i="5"/>
  <c r="BF32" i="5"/>
  <c r="BF24" i="5"/>
  <c r="BF11" i="5"/>
  <c r="BG19" i="5" s="1"/>
  <c r="BF13" i="5"/>
  <c r="BF202" i="5" s="1"/>
  <c r="BF16" i="5"/>
  <c r="BF6" i="5"/>
  <c r="BF18" i="5" s="1"/>
  <c r="BE21" i="5"/>
  <c r="S56" i="3"/>
  <c r="N56" i="3" s="1"/>
  <c r="BA189" i="5"/>
  <c r="BF196" i="5"/>
  <c r="BF195" i="5"/>
  <c r="BE57" i="5"/>
  <c r="BE55" i="5" s="1"/>
  <c r="BE75" i="5"/>
  <c r="BE74" i="5" s="1"/>
  <c r="BE72" i="5" s="1"/>
  <c r="S32" i="3"/>
  <c r="N32" i="3" s="1"/>
  <c r="BC223" i="5"/>
  <c r="BD221" i="5"/>
  <c r="BD55" i="5"/>
  <c r="S39" i="3"/>
  <c r="BC95" i="5"/>
  <c r="BC71" i="5" s="1"/>
  <c r="BF21" i="5"/>
  <c r="BD46" i="5"/>
  <c r="BE209" i="5" s="1"/>
  <c r="BE213" i="5" s="1"/>
  <c r="BD96" i="5"/>
  <c r="BD95" i="5" s="1"/>
  <c r="BD71" i="5" s="1"/>
  <c r="BE103" i="5"/>
  <c r="BC4" i="7"/>
  <c r="BC3" i="7" s="1"/>
  <c r="BF4" i="6"/>
  <c r="BE5" i="6"/>
  <c r="BD47" i="5"/>
  <c r="BE44" i="5"/>
  <c r="BF51" i="5"/>
  <c r="BF58" i="5" s="1"/>
  <c r="BE45" i="5" a="1"/>
  <c r="BE45" i="5" s="1"/>
  <c r="BE47" i="5" s="1"/>
  <c r="BA188" i="5"/>
  <c r="S55" i="3"/>
  <c r="N55" i="3" s="1"/>
  <c r="BE222" i="5" l="1"/>
  <c r="BE214" i="5"/>
  <c r="BC187" i="5"/>
  <c r="BC189" i="5"/>
  <c r="BC188" i="5"/>
  <c r="BF47" i="5"/>
  <c r="U55" i="3"/>
  <c r="BD4" i="7"/>
  <c r="BD3" i="7" s="1"/>
  <c r="BF5" i="6"/>
  <c r="BG4" i="6"/>
  <c r="BE46" i="5"/>
  <c r="BF209" i="5" s="1"/>
  <c r="BF213" i="5" s="1"/>
  <c r="BE96" i="5"/>
  <c r="BD187" i="5"/>
  <c r="BD188" i="5"/>
  <c r="BD189" i="5"/>
  <c r="BG21" i="5"/>
  <c r="U37" i="3"/>
  <c r="T37" i="3"/>
  <c r="U51" i="3"/>
  <c r="U56" i="3"/>
  <c r="U54" i="3"/>
  <c r="BF59" i="5"/>
  <c r="N29" i="3"/>
  <c r="T56" i="3" s="1"/>
  <c r="S29" i="3"/>
  <c r="S11" i="3" s="1"/>
  <c r="BG163" i="5"/>
  <c r="BG107" i="5"/>
  <c r="BG105" i="5"/>
  <c r="BG180" i="5"/>
  <c r="BG177" i="5"/>
  <c r="BG173" i="5"/>
  <c r="BG161" i="5"/>
  <c r="BG171" i="5"/>
  <c r="BG159" i="5"/>
  <c r="BG181" i="5"/>
  <c r="BG175" i="5"/>
  <c r="BG150" i="5"/>
  <c r="BG141" i="5"/>
  <c r="BG134" i="5"/>
  <c r="BG106" i="5"/>
  <c r="BG79" i="5"/>
  <c r="BG179" i="5"/>
  <c r="BG172" i="5"/>
  <c r="BG160" i="5"/>
  <c r="BG153" i="5"/>
  <c r="BG142" i="5"/>
  <c r="BG139" i="5"/>
  <c r="BG132" i="5"/>
  <c r="BG104" i="5"/>
  <c r="BG103" i="5" s="1"/>
  <c r="BG156" i="5"/>
  <c r="BG145" i="5"/>
  <c r="BG137" i="5"/>
  <c r="BG130" i="5"/>
  <c r="BG174" i="5"/>
  <c r="BG162" i="5"/>
  <c r="BG155" i="5"/>
  <c r="BG144" i="5"/>
  <c r="BG136" i="5"/>
  <c r="BG138" i="5"/>
  <c r="BG170" i="5"/>
  <c r="BG166" i="5"/>
  <c r="BG151" i="5"/>
  <c r="BG176" i="5"/>
  <c r="BG143" i="5"/>
  <c r="BG133" i="5"/>
  <c r="BG152" i="5"/>
  <c r="BG100" i="5"/>
  <c r="BG99" i="5" s="1"/>
  <c r="BG178" i="5"/>
  <c r="BG165" i="5"/>
  <c r="BG164" i="5"/>
  <c r="BG140" i="5"/>
  <c r="BG50" i="5"/>
  <c r="BG59" i="5" s="1"/>
  <c r="BG76" i="5" s="1"/>
  <c r="BG28" i="5"/>
  <c r="BG158" i="5"/>
  <c r="BG135" i="5"/>
  <c r="BG81" i="5"/>
  <c r="BG78" i="5"/>
  <c r="BG40" i="5"/>
  <c r="BG38" i="5"/>
  <c r="BG36" i="5"/>
  <c r="BG34" i="5"/>
  <c r="BG32" i="5"/>
  <c r="BG30" i="5"/>
  <c r="BG24" i="5"/>
  <c r="BG157" i="5"/>
  <c r="BG154" i="5"/>
  <c r="BG66" i="5"/>
  <c r="BG64" i="5" s="1"/>
  <c r="BG146" i="5"/>
  <c r="BG183" i="5" s="1" a="1"/>
  <c r="BG183" i="5" s="1"/>
  <c r="BG82" i="5"/>
  <c r="BG131" i="5"/>
  <c r="BG20" i="5"/>
  <c r="BG17" i="5"/>
  <c r="BH5" i="5"/>
  <c r="BG41" i="5"/>
  <c r="BG37" i="5"/>
  <c r="BG27" i="5"/>
  <c r="BG14" i="5"/>
  <c r="BG12" i="5"/>
  <c r="BG33" i="5"/>
  <c r="BG68" i="5" a="1"/>
  <c r="BG68" i="5" s="1"/>
  <c r="BG39" i="5"/>
  <c r="BG35" i="5"/>
  <c r="BG31" i="5"/>
  <c r="BG93" i="5"/>
  <c r="BG29" i="5"/>
  <c r="BG11" i="5"/>
  <c r="BG13" i="5"/>
  <c r="BG16" i="5"/>
  <c r="BG6" i="5"/>
  <c r="BG18" i="5" s="1"/>
  <c r="BG62" i="5" s="1"/>
  <c r="BG61" i="5" s="1"/>
  <c r="BG77" i="5" s="1"/>
  <c r="S15" i="3"/>
  <c r="N38" i="3"/>
  <c r="U32" i="3"/>
  <c r="BF103" i="5"/>
  <c r="S53" i="3"/>
  <c r="BF62" i="5"/>
  <c r="BF44" i="5"/>
  <c r="BG51" i="5"/>
  <c r="BG58" i="5" s="1"/>
  <c r="BF75" i="5"/>
  <c r="S16" i="3"/>
  <c r="N39" i="3"/>
  <c r="BD223" i="5"/>
  <c r="BE221" i="5"/>
  <c r="BF222" i="5" l="1"/>
  <c r="BF223" i="5" s="1"/>
  <c r="BF214" i="5"/>
  <c r="U39" i="3"/>
  <c r="D107" i="3"/>
  <c r="T39" i="3"/>
  <c r="D108" i="3" s="1"/>
  <c r="N16" i="3"/>
  <c r="BF61" i="5"/>
  <c r="S35" i="3"/>
  <c r="N35" i="3" s="1"/>
  <c r="T51" i="3"/>
  <c r="T55" i="3"/>
  <c r="BH180" i="5"/>
  <c r="BH177" i="5"/>
  <c r="BH173" i="5"/>
  <c r="BH161" i="5"/>
  <c r="BH156" i="5"/>
  <c r="BH154" i="5"/>
  <c r="BH152" i="5"/>
  <c r="BH150" i="5"/>
  <c r="BH145" i="5"/>
  <c r="BH143" i="5"/>
  <c r="BH141" i="5"/>
  <c r="BH139" i="5"/>
  <c r="BH137" i="5"/>
  <c r="BH135" i="5"/>
  <c r="BH133" i="5"/>
  <c r="BH131" i="5"/>
  <c r="BH171" i="5"/>
  <c r="BH159" i="5"/>
  <c r="BH178" i="5"/>
  <c r="BH175" i="5"/>
  <c r="BH166" i="5"/>
  <c r="BH179" i="5"/>
  <c r="BH172" i="5"/>
  <c r="BH160" i="5"/>
  <c r="BH153" i="5"/>
  <c r="BH142" i="5"/>
  <c r="BH132" i="5"/>
  <c r="BH104" i="5"/>
  <c r="BH103" i="5" s="1"/>
  <c r="BH130" i="5"/>
  <c r="BH170" i="5"/>
  <c r="BH158" i="5"/>
  <c r="BH151" i="5"/>
  <c r="BH181" i="5"/>
  <c r="BH134" i="5"/>
  <c r="BH106" i="5"/>
  <c r="BH174" i="5"/>
  <c r="BH155" i="5"/>
  <c r="BH176" i="5"/>
  <c r="BH81" i="5"/>
  <c r="BH165" i="5"/>
  <c r="BH164" i="5"/>
  <c r="BH140" i="5"/>
  <c r="BH107" i="5"/>
  <c r="BH163" i="5"/>
  <c r="BH162" i="5"/>
  <c r="BH144" i="5"/>
  <c r="BH136" i="5"/>
  <c r="BH105" i="5"/>
  <c r="BH93" i="5"/>
  <c r="BH100" i="5"/>
  <c r="BH99" i="5" s="1"/>
  <c r="BH78" i="5"/>
  <c r="BH40" i="5"/>
  <c r="BH38" i="5"/>
  <c r="BH36" i="5"/>
  <c r="BH34" i="5"/>
  <c r="BH32" i="5"/>
  <c r="BH30" i="5"/>
  <c r="BH24" i="5"/>
  <c r="BH20" i="5"/>
  <c r="BH157" i="5"/>
  <c r="BH66" i="5"/>
  <c r="BH64" i="5" s="1"/>
  <c r="BH146" i="5"/>
  <c r="BH183" i="5" s="1" a="1"/>
  <c r="BH183" i="5" s="1"/>
  <c r="BH82" i="5"/>
  <c r="BH79" i="5"/>
  <c r="BH68" i="5" a="1"/>
  <c r="BH68" i="5" s="1"/>
  <c r="BH138" i="5"/>
  <c r="BH50" i="5"/>
  <c r="BH59" i="5" s="1"/>
  <c r="BH76" i="5" s="1"/>
  <c r="BH41" i="5"/>
  <c r="BH37" i="5"/>
  <c r="BH27" i="5"/>
  <c r="BH14" i="5"/>
  <c r="BH12" i="5"/>
  <c r="BH33" i="5"/>
  <c r="BH39" i="5"/>
  <c r="BH35" i="5"/>
  <c r="BH31" i="5"/>
  <c r="BH28" i="5"/>
  <c r="BH45" i="5" s="1" a="1"/>
  <c r="BH45" i="5" s="1"/>
  <c r="BH29" i="5"/>
  <c r="BH17" i="5"/>
  <c r="BI5" i="5"/>
  <c r="BH13" i="5"/>
  <c r="BH16" i="5"/>
  <c r="BH11" i="5"/>
  <c r="BI19" i="5" s="1"/>
  <c r="BH6" i="5"/>
  <c r="BH18" i="5" s="1"/>
  <c r="T54" i="3"/>
  <c r="BE4" i="7"/>
  <c r="BE3" i="7" s="1"/>
  <c r="BG5" i="6"/>
  <c r="BH4" i="6"/>
  <c r="BF76" i="5"/>
  <c r="S33" i="3"/>
  <c r="N33" i="3" s="1"/>
  <c r="S52" i="3"/>
  <c r="N53" i="3"/>
  <c r="BG75" i="5"/>
  <c r="BG74" i="5" s="1"/>
  <c r="BG72" i="5" s="1"/>
  <c r="BG57" i="5"/>
  <c r="BG55" i="5" s="1"/>
  <c r="BH19" i="5"/>
  <c r="U38" i="3"/>
  <c r="T38" i="3"/>
  <c r="N15" i="3"/>
  <c r="BG44" i="5"/>
  <c r="BH51" i="5"/>
  <c r="BH58" i="5" s="1"/>
  <c r="N11" i="3"/>
  <c r="U29" i="3"/>
  <c r="T36" i="3"/>
  <c r="T47" i="3"/>
  <c r="T50" i="3"/>
  <c r="T44" i="3"/>
  <c r="T46" i="3"/>
  <c r="T45" i="3"/>
  <c r="T42" i="3"/>
  <c r="BE95" i="5"/>
  <c r="BE71" i="5" s="1"/>
  <c r="BF57" i="5"/>
  <c r="BF46" i="5"/>
  <c r="BF96" i="5"/>
  <c r="BF95" i="5" s="1"/>
  <c r="T32" i="3"/>
  <c r="BG45" i="5" a="1"/>
  <c r="BG45" i="5" s="1"/>
  <c r="BF221" i="5"/>
  <c r="BE223" i="5"/>
  <c r="U35" i="3" l="1"/>
  <c r="T35" i="3"/>
  <c r="BG46" i="5"/>
  <c r="BG96" i="5"/>
  <c r="BG95" i="5" s="1"/>
  <c r="BG71" i="5" s="1"/>
  <c r="S21" i="3"/>
  <c r="N52" i="3"/>
  <c r="U33" i="3"/>
  <c r="T33" i="3"/>
  <c r="U16" i="3"/>
  <c r="T16" i="3"/>
  <c r="BF55" i="5"/>
  <c r="S31" i="3"/>
  <c r="BF4" i="7"/>
  <c r="BF3" i="7" s="1"/>
  <c r="BH5" i="6"/>
  <c r="BI4" i="6"/>
  <c r="BI180" i="5"/>
  <c r="BI178" i="5"/>
  <c r="BI176" i="5"/>
  <c r="BI174" i="5"/>
  <c r="BI172" i="5"/>
  <c r="BI170" i="5"/>
  <c r="BI165" i="5"/>
  <c r="BI163" i="5"/>
  <c r="BI161" i="5"/>
  <c r="BI159" i="5"/>
  <c r="BI171" i="5"/>
  <c r="BI175" i="5"/>
  <c r="BI166" i="5"/>
  <c r="BI164" i="5"/>
  <c r="BI177" i="5"/>
  <c r="BI173" i="5"/>
  <c r="BI139" i="5"/>
  <c r="BI130" i="5"/>
  <c r="BI158" i="5"/>
  <c r="BI156" i="5"/>
  <c r="BI151" i="5"/>
  <c r="BI145" i="5"/>
  <c r="BI137" i="5"/>
  <c r="BI157" i="5"/>
  <c r="BI135" i="5"/>
  <c r="BI181" i="5"/>
  <c r="BI179" i="5"/>
  <c r="BI160" i="5"/>
  <c r="BI153" i="5"/>
  <c r="BI150" i="5"/>
  <c r="BI142" i="5"/>
  <c r="BI141" i="5"/>
  <c r="BI132" i="5"/>
  <c r="BI104" i="5"/>
  <c r="BI134" i="5"/>
  <c r="BI81" i="5"/>
  <c r="BI143" i="5"/>
  <c r="BI140" i="5"/>
  <c r="BI133" i="5"/>
  <c r="BI107" i="5"/>
  <c r="BI100" i="5"/>
  <c r="BI99" i="5" s="1"/>
  <c r="BI82" i="5"/>
  <c r="BI162" i="5"/>
  <c r="BI152" i="5"/>
  <c r="BI144" i="5"/>
  <c r="BI68" i="5" a="1"/>
  <c r="BI68" i="5" s="1"/>
  <c r="BI66" i="5"/>
  <c r="BI64" i="5" s="1"/>
  <c r="BI154" i="5"/>
  <c r="BI146" i="5"/>
  <c r="BI183" i="5" s="1" a="1"/>
  <c r="BI183" i="5" s="1"/>
  <c r="BI79" i="5"/>
  <c r="BI138" i="5"/>
  <c r="BI136" i="5"/>
  <c r="BI106" i="5"/>
  <c r="BI105" i="5"/>
  <c r="BI93" i="5"/>
  <c r="BI155" i="5"/>
  <c r="BI78" i="5"/>
  <c r="BI40" i="5"/>
  <c r="BI38" i="5"/>
  <c r="BI36" i="5"/>
  <c r="BI34" i="5"/>
  <c r="BI32" i="5"/>
  <c r="BI30" i="5"/>
  <c r="BI33" i="5"/>
  <c r="BI13" i="5"/>
  <c r="BI50" i="5"/>
  <c r="BI59" i="5" s="1"/>
  <c r="BI76" i="5" s="1"/>
  <c r="BI39" i="5"/>
  <c r="BI131" i="5"/>
  <c r="BI29" i="5"/>
  <c r="BI41" i="5"/>
  <c r="BI37" i="5"/>
  <c r="BI27" i="5"/>
  <c r="BI20" i="5"/>
  <c r="BI14" i="5"/>
  <c r="BI12" i="5"/>
  <c r="BI35" i="5"/>
  <c r="BI31" i="5"/>
  <c r="BI28" i="5"/>
  <c r="BI45" i="5" s="1" a="1"/>
  <c r="BI45" i="5" s="1"/>
  <c r="BI16" i="5"/>
  <c r="BI17" i="5"/>
  <c r="BJ5" i="5"/>
  <c r="BI11" i="5"/>
  <c r="BJ19" i="5" s="1"/>
  <c r="BI24" i="5"/>
  <c r="BI6" i="5"/>
  <c r="BI18" i="5" s="1"/>
  <c r="BI21" i="5"/>
  <c r="S49" i="3"/>
  <c r="BH21" i="5"/>
  <c r="U15" i="3"/>
  <c r="T15" i="3"/>
  <c r="BF77" i="5"/>
  <c r="BF74" i="5" s="1"/>
  <c r="S34" i="3"/>
  <c r="BE187" i="5"/>
  <c r="BE188" i="5"/>
  <c r="BE189" i="5"/>
  <c r="U11" i="3"/>
  <c r="T19" i="3"/>
  <c r="BI51" i="5"/>
  <c r="BI58" i="5" s="1"/>
  <c r="BH44" i="5"/>
  <c r="BG47" i="5"/>
  <c r="BH75" i="5"/>
  <c r="BH57" i="5"/>
  <c r="BH55" i="5" s="1"/>
  <c r="U53" i="3"/>
  <c r="T53" i="3"/>
  <c r="BH62" i="5"/>
  <c r="BH61" i="5" s="1"/>
  <c r="BH77" i="5" s="1"/>
  <c r="BG187" i="5" l="1"/>
  <c r="BG188" i="5"/>
  <c r="BG189" i="5"/>
  <c r="BF72" i="5"/>
  <c r="BF71" i="5" s="1"/>
  <c r="BF187" i="5" s="1"/>
  <c r="S43" i="3"/>
  <c r="S41" i="3" s="1"/>
  <c r="U52" i="3"/>
  <c r="T52" i="3"/>
  <c r="N21" i="3"/>
  <c r="BI62" i="5"/>
  <c r="BI61" i="5" s="1"/>
  <c r="BI77" i="5" s="1"/>
  <c r="S13" i="3"/>
  <c r="N31" i="3"/>
  <c r="BH46" i="5"/>
  <c r="BH96" i="5"/>
  <c r="BH95" i="5" s="1"/>
  <c r="BI75" i="5"/>
  <c r="BI74" i="5" s="1"/>
  <c r="BI72" i="5" s="1"/>
  <c r="BI57" i="5"/>
  <c r="BI55" i="5" s="1"/>
  <c r="BJ180" i="5"/>
  <c r="BJ178" i="5"/>
  <c r="BJ176" i="5"/>
  <c r="BJ175" i="5"/>
  <c r="BJ166" i="5"/>
  <c r="BJ159" i="5"/>
  <c r="BJ164" i="5"/>
  <c r="BJ181" i="5"/>
  <c r="BJ174" i="5"/>
  <c r="BJ162" i="5"/>
  <c r="BJ157" i="5"/>
  <c r="BJ155" i="5"/>
  <c r="BJ153" i="5"/>
  <c r="BJ151" i="5"/>
  <c r="BJ146" i="5"/>
  <c r="BJ183" i="5" s="1" a="1"/>
  <c r="BJ183" i="5" s="1"/>
  <c r="BJ144" i="5"/>
  <c r="BJ142" i="5"/>
  <c r="BJ158" i="5"/>
  <c r="BJ156" i="5"/>
  <c r="BJ145" i="5"/>
  <c r="BJ137" i="5"/>
  <c r="BJ81" i="5"/>
  <c r="BJ171" i="5"/>
  <c r="BJ170" i="5"/>
  <c r="BJ135" i="5"/>
  <c r="BJ107" i="5"/>
  <c r="BJ154" i="5"/>
  <c r="BJ143" i="5"/>
  <c r="BJ140" i="5"/>
  <c r="BJ133" i="5"/>
  <c r="BJ177" i="5"/>
  <c r="BJ173" i="5"/>
  <c r="BJ172" i="5"/>
  <c r="BJ161" i="5"/>
  <c r="BJ139" i="5"/>
  <c r="BJ130" i="5"/>
  <c r="BJ179" i="5"/>
  <c r="BJ150" i="5"/>
  <c r="BJ141" i="5"/>
  <c r="BJ68" i="5" a="1"/>
  <c r="BJ68" i="5" s="1"/>
  <c r="BJ165" i="5"/>
  <c r="BJ100" i="5"/>
  <c r="BJ99" i="5" s="1"/>
  <c r="BJ78" i="5"/>
  <c r="BJ152" i="5"/>
  <c r="BJ136" i="5"/>
  <c r="BJ106" i="5"/>
  <c r="BJ105" i="5"/>
  <c r="BJ93" i="5"/>
  <c r="BJ160" i="5"/>
  <c r="BJ132" i="5"/>
  <c r="BJ104" i="5"/>
  <c r="BJ163" i="5"/>
  <c r="BJ79" i="5"/>
  <c r="BJ138" i="5"/>
  <c r="BJ82" i="5"/>
  <c r="BJ29" i="5"/>
  <c r="BJ27" i="5"/>
  <c r="BJ45" i="5" s="1" a="1"/>
  <c r="BJ45" i="5" s="1"/>
  <c r="BJ41" i="5"/>
  <c r="BJ39" i="5"/>
  <c r="BJ37" i="5"/>
  <c r="BJ35" i="5"/>
  <c r="BJ134" i="5"/>
  <c r="BJ66" i="5"/>
  <c r="BJ64" i="5" s="1"/>
  <c r="BJ50" i="5"/>
  <c r="BJ59" i="5" s="1"/>
  <c r="BJ76" i="5" s="1"/>
  <c r="BJ30" i="5"/>
  <c r="BJ38" i="5"/>
  <c r="BJ31" i="5"/>
  <c r="BJ28" i="5"/>
  <c r="BJ16" i="5"/>
  <c r="BJ13" i="5"/>
  <c r="BJ34" i="5"/>
  <c r="BJ11" i="5"/>
  <c r="BK19" i="5" s="1"/>
  <c r="BJ131" i="5"/>
  <c r="BJ40" i="5"/>
  <c r="BJ36" i="5"/>
  <c r="BJ32" i="5"/>
  <c r="BJ33" i="5"/>
  <c r="BJ14" i="5"/>
  <c r="BJ20" i="5"/>
  <c r="BJ21" i="5" s="1"/>
  <c r="BK5" i="5"/>
  <c r="BJ17" i="5"/>
  <c r="BJ24" i="5"/>
  <c r="BJ12" i="5"/>
  <c r="BJ6" i="5"/>
  <c r="BJ18" i="5" s="1"/>
  <c r="S48" i="3"/>
  <c r="N49" i="3"/>
  <c r="S14" i="3"/>
  <c r="N34" i="3"/>
  <c r="BF188" i="5"/>
  <c r="BF189" i="5"/>
  <c r="S57" i="3" s="1"/>
  <c r="S30" i="3"/>
  <c r="N30" i="3" s="1"/>
  <c r="BH74" i="5"/>
  <c r="BH72" i="5" s="1"/>
  <c r="BH71" i="5" s="1"/>
  <c r="BH188" i="5" s="1"/>
  <c r="BJ51" i="5"/>
  <c r="BJ58" i="5" s="1"/>
  <c r="BI44" i="5"/>
  <c r="BI46" i="5" s="1"/>
  <c r="BI103" i="5"/>
  <c r="BH47" i="5"/>
  <c r="BI5" i="6"/>
  <c r="BJ4" i="6"/>
  <c r="BG4" i="7"/>
  <c r="BG3" i="7" s="1"/>
  <c r="BJ103" i="5" l="1"/>
  <c r="S40" i="3"/>
  <c r="S18" i="3"/>
  <c r="BJ57" i="5"/>
  <c r="BJ75" i="5"/>
  <c r="U49" i="3"/>
  <c r="T49" i="3"/>
  <c r="BH187" i="5"/>
  <c r="N13" i="3"/>
  <c r="U31" i="3"/>
  <c r="T31" i="3"/>
  <c r="U34" i="3"/>
  <c r="T34" i="3"/>
  <c r="N14" i="3"/>
  <c r="BK164" i="5"/>
  <c r="BK106" i="5"/>
  <c r="BK104" i="5"/>
  <c r="BK181" i="5"/>
  <c r="BK178" i="5"/>
  <c r="BK174" i="5"/>
  <c r="BK162" i="5"/>
  <c r="BK157" i="5"/>
  <c r="BK172" i="5"/>
  <c r="BK160" i="5"/>
  <c r="BK171" i="5"/>
  <c r="BK170" i="5"/>
  <c r="BK159" i="5"/>
  <c r="BK151" i="5"/>
  <c r="BK135" i="5"/>
  <c r="BK107" i="5"/>
  <c r="BK78" i="5"/>
  <c r="BK154" i="5"/>
  <c r="BK143" i="5"/>
  <c r="BK140" i="5"/>
  <c r="BK133" i="5"/>
  <c r="BK105" i="5"/>
  <c r="BK176" i="5"/>
  <c r="BK166" i="5"/>
  <c r="BK165" i="5"/>
  <c r="BK146" i="5"/>
  <c r="BK183" i="5" s="1" a="1"/>
  <c r="BK183" i="5" s="1"/>
  <c r="BK138" i="5"/>
  <c r="BK131" i="5"/>
  <c r="BK175" i="5"/>
  <c r="BK158" i="5"/>
  <c r="BK156" i="5"/>
  <c r="BK145" i="5"/>
  <c r="BK137" i="5"/>
  <c r="BK173" i="5"/>
  <c r="BK142" i="5"/>
  <c r="BK130" i="5"/>
  <c r="BK100" i="5"/>
  <c r="BK99" i="5" s="1"/>
  <c r="BK152" i="5"/>
  <c r="BK136" i="5"/>
  <c r="BK93" i="5"/>
  <c r="BK163" i="5"/>
  <c r="BK144" i="5"/>
  <c r="BK82" i="5"/>
  <c r="BK177" i="5"/>
  <c r="BK161" i="5"/>
  <c r="BK153" i="5"/>
  <c r="BK139" i="5"/>
  <c r="BK180" i="5"/>
  <c r="BK179" i="5"/>
  <c r="BK132" i="5"/>
  <c r="BK81" i="5"/>
  <c r="BK29" i="5"/>
  <c r="BK45" i="5" s="1" a="1"/>
  <c r="BK45" i="5" s="1"/>
  <c r="BK27" i="5"/>
  <c r="BK41" i="5"/>
  <c r="BK39" i="5"/>
  <c r="BK37" i="5"/>
  <c r="BK35" i="5"/>
  <c r="BK33" i="5"/>
  <c r="BK31" i="5"/>
  <c r="BK141" i="5"/>
  <c r="BK150" i="5"/>
  <c r="BK79" i="5"/>
  <c r="BK50" i="5"/>
  <c r="BK59" i="5" s="1"/>
  <c r="BK76" i="5" s="1"/>
  <c r="BK30" i="5"/>
  <c r="BK68" i="5" a="1"/>
  <c r="BK68" i="5" s="1"/>
  <c r="BK38" i="5"/>
  <c r="BK28" i="5"/>
  <c r="BK16" i="5"/>
  <c r="BK13" i="5"/>
  <c r="BK134" i="5"/>
  <c r="BK66" i="5"/>
  <c r="BK64" i="5" s="1"/>
  <c r="BK34" i="5"/>
  <c r="BK11" i="5"/>
  <c r="BK155" i="5"/>
  <c r="BK40" i="5"/>
  <c r="BK36" i="5"/>
  <c r="BK32" i="5"/>
  <c r="BK14" i="5"/>
  <c r="BK20" i="5"/>
  <c r="BK24" i="5"/>
  <c r="BK17" i="5"/>
  <c r="BL5" i="5"/>
  <c r="BK12" i="5"/>
  <c r="BK6" i="5"/>
  <c r="BK18" i="5" s="1"/>
  <c r="BK62" i="5" s="1"/>
  <c r="BK61" i="5" s="1"/>
  <c r="BK77" i="5" s="1"/>
  <c r="BK21" i="5"/>
  <c r="U30" i="3"/>
  <c r="T30" i="3"/>
  <c r="S20" i="3"/>
  <c r="N48" i="3"/>
  <c r="BH189" i="5"/>
  <c r="S12" i="3"/>
  <c r="BK51" i="5"/>
  <c r="BK58" i="5" s="1"/>
  <c r="BJ44" i="5"/>
  <c r="BJ46" i="5" s="1"/>
  <c r="BJ5" i="6"/>
  <c r="BH4" i="7"/>
  <c r="BH3" i="7" s="1"/>
  <c r="BK4" i="6"/>
  <c r="BJ62" i="5"/>
  <c r="BJ61" i="5" s="1"/>
  <c r="BJ77" i="5" s="1"/>
  <c r="U21" i="3"/>
  <c r="T21" i="3"/>
  <c r="BI47" i="5"/>
  <c r="BI96" i="5"/>
  <c r="BI95" i="5" s="1"/>
  <c r="BI71" i="5" s="1"/>
  <c r="BI188" i="5" l="1"/>
  <c r="BI189" i="5"/>
  <c r="BI187" i="5"/>
  <c r="BK103" i="5"/>
  <c r="N12" i="3"/>
  <c r="U13" i="3"/>
  <c r="T13" i="3"/>
  <c r="BJ74" i="5"/>
  <c r="BJ72" i="5" s="1"/>
  <c r="BK57" i="5"/>
  <c r="BK55" i="5" s="1"/>
  <c r="BK75" i="5"/>
  <c r="BK74" i="5" s="1"/>
  <c r="BK72" i="5" s="1"/>
  <c r="BL51" i="5"/>
  <c r="BL58" i="5" s="1"/>
  <c r="BK44" i="5"/>
  <c r="BJ55" i="5"/>
  <c r="S17" i="3"/>
  <c r="S22" i="3" s="1"/>
  <c r="S23" i="3" s="1"/>
  <c r="BI4" i="7"/>
  <c r="BL4" i="6"/>
  <c r="BL5" i="6" s="1"/>
  <c r="BK5" i="6"/>
  <c r="BJ96" i="5"/>
  <c r="BJ95" i="5" s="1"/>
  <c r="BL181" i="5"/>
  <c r="BL178" i="5"/>
  <c r="BL174" i="5"/>
  <c r="BL162" i="5"/>
  <c r="BL157" i="5"/>
  <c r="BL155" i="5"/>
  <c r="BL153" i="5"/>
  <c r="BL151" i="5"/>
  <c r="BL146" i="5"/>
  <c r="BL183" i="5" s="1" a="1"/>
  <c r="BL183" i="5" s="1"/>
  <c r="BL144" i="5"/>
  <c r="BL142" i="5"/>
  <c r="BL140" i="5"/>
  <c r="BL138" i="5"/>
  <c r="BL136" i="5"/>
  <c r="BL134" i="5"/>
  <c r="BL132" i="5"/>
  <c r="BL130" i="5"/>
  <c r="BL172" i="5"/>
  <c r="BL160" i="5"/>
  <c r="BL179" i="5"/>
  <c r="BL176" i="5"/>
  <c r="BL170" i="5"/>
  <c r="BL158" i="5"/>
  <c r="BL154" i="5"/>
  <c r="BL143" i="5"/>
  <c r="BL133" i="5"/>
  <c r="BL105" i="5"/>
  <c r="BL166" i="5"/>
  <c r="BL165" i="5"/>
  <c r="BL131" i="5"/>
  <c r="BL180" i="5"/>
  <c r="BL152" i="5"/>
  <c r="BL171" i="5"/>
  <c r="BL159" i="5"/>
  <c r="BL135" i="5"/>
  <c r="BL107" i="5"/>
  <c r="BL175" i="5"/>
  <c r="BL156" i="5"/>
  <c r="BL137" i="5"/>
  <c r="BL93" i="5"/>
  <c r="BL78" i="5"/>
  <c r="BL164" i="5"/>
  <c r="BL163" i="5"/>
  <c r="BL106" i="5"/>
  <c r="BL82" i="5"/>
  <c r="BL177" i="5"/>
  <c r="BL145" i="5"/>
  <c r="BL173" i="5"/>
  <c r="BL161" i="5"/>
  <c r="BL41" i="5"/>
  <c r="BL39" i="5"/>
  <c r="BL37" i="5"/>
  <c r="BL35" i="5"/>
  <c r="BL33" i="5"/>
  <c r="BL31" i="5"/>
  <c r="BL141" i="5"/>
  <c r="BL139" i="5"/>
  <c r="BL104" i="5"/>
  <c r="BL100" i="5"/>
  <c r="BL99" i="5" s="1"/>
  <c r="BL81" i="5"/>
  <c r="BL29" i="5"/>
  <c r="BL79" i="5"/>
  <c r="BL38" i="5"/>
  <c r="BL28" i="5"/>
  <c r="BL16" i="5"/>
  <c r="BL13" i="5"/>
  <c r="BL24" i="5"/>
  <c r="BL66" i="5"/>
  <c r="BL64" i="5" s="1"/>
  <c r="BL34" i="5"/>
  <c r="BL11" i="5"/>
  <c r="BL17" i="5"/>
  <c r="BL150" i="5"/>
  <c r="BL40" i="5"/>
  <c r="BL36" i="5"/>
  <c r="BL32" i="5"/>
  <c r="BL27" i="5"/>
  <c r="BL68" i="5" a="1"/>
  <c r="BL68" i="5" s="1"/>
  <c r="BL50" i="5"/>
  <c r="BL30" i="5"/>
  <c r="BL14" i="5"/>
  <c r="BL20" i="5"/>
  <c r="BL12" i="5"/>
  <c r="BL6" i="5"/>
  <c r="BL18" i="5" s="1"/>
  <c r="U48" i="3"/>
  <c r="T48" i="3"/>
  <c r="N20" i="3"/>
  <c r="BL19" i="5"/>
  <c r="U14" i="3"/>
  <c r="T14" i="3"/>
  <c r="BJ47" i="5"/>
  <c r="D45" i="7" l="1" a="1"/>
  <c r="D45" i="7" s="1"/>
  <c r="E45" i="7" a="1"/>
  <c r="E45" i="7" s="1"/>
  <c r="B45" i="7" a="1"/>
  <c r="B45" i="7" s="1"/>
  <c r="G45" i="7" a="1"/>
  <c r="G45" i="7" s="1"/>
  <c r="F45" i="7" a="1"/>
  <c r="F45" i="7" s="1"/>
  <c r="C45" i="7" a="1"/>
  <c r="C45" i="7" s="1"/>
  <c r="BL103" i="5"/>
  <c r="G48" i="7" a="1"/>
  <c r="G48" i="7" s="1"/>
  <c r="F48" i="7" a="1"/>
  <c r="F48" i="7" s="1"/>
  <c r="E48" i="7" a="1"/>
  <c r="E48" i="7" s="1"/>
  <c r="B48" i="7" a="1"/>
  <c r="B48" i="7" s="1"/>
  <c r="C48" i="7" a="1"/>
  <c r="C48" i="7" s="1"/>
  <c r="D48" i="7" a="1"/>
  <c r="D48" i="7" s="1"/>
  <c r="G49" i="7" a="1"/>
  <c r="G49" i="7" s="1"/>
  <c r="C49" i="7" a="1"/>
  <c r="C49" i="7" s="1"/>
  <c r="D49" i="7" a="1"/>
  <c r="D49" i="7" s="1"/>
  <c r="F49" i="7" a="1"/>
  <c r="F49" i="7" s="1"/>
  <c r="E49" i="7" a="1"/>
  <c r="E49" i="7" s="1"/>
  <c r="B49" i="7" a="1"/>
  <c r="B49" i="7" s="1"/>
  <c r="E37" i="7" a="1"/>
  <c r="E37" i="7" s="1"/>
  <c r="C37" i="7" a="1"/>
  <c r="C37" i="7" s="1"/>
  <c r="D37" i="7" a="1"/>
  <c r="D37" i="7" s="1"/>
  <c r="F37" i="7" a="1"/>
  <c r="F37" i="7" s="1"/>
  <c r="G37" i="7" a="1"/>
  <c r="G37" i="7" s="1"/>
  <c r="B37" i="7" a="1"/>
  <c r="B37" i="7" s="1"/>
  <c r="BL21" i="5"/>
  <c r="C47" i="7" a="1"/>
  <c r="C47" i="7" s="1"/>
  <c r="F47" i="7" a="1"/>
  <c r="F47" i="7" s="1"/>
  <c r="G47" i="7" a="1"/>
  <c r="G47" i="7" s="1"/>
  <c r="D47" i="7" a="1"/>
  <c r="D47" i="7" s="1"/>
  <c r="E47" i="7" a="1"/>
  <c r="E47" i="7" s="1"/>
  <c r="B47" i="7" a="1"/>
  <c r="B47" i="7" s="1"/>
  <c r="E31" i="7" a="1"/>
  <c r="E31" i="7" s="1"/>
  <c r="D31" i="7" a="1"/>
  <c r="D31" i="7" s="1"/>
  <c r="G31" i="7" a="1"/>
  <c r="G31" i="7" s="1"/>
  <c r="B31" i="7" a="1"/>
  <c r="B31" i="7" s="1"/>
  <c r="F31" i="7" a="1"/>
  <c r="F31" i="7" s="1"/>
  <c r="C31" i="7" a="1"/>
  <c r="C31" i="7" s="1"/>
  <c r="BK46" i="5"/>
  <c r="BK96" i="5"/>
  <c r="BK95" i="5" s="1"/>
  <c r="T12" i="3"/>
  <c r="U12" i="3"/>
  <c r="U20" i="3"/>
  <c r="T20" i="3"/>
  <c r="BL59" i="5"/>
  <c r="G8" i="7" a="1"/>
  <c r="G8" i="7" s="1"/>
  <c r="D8" i="7" a="1"/>
  <c r="D8" i="7" s="1"/>
  <c r="C8" i="7" a="1"/>
  <c r="C8" i="7" s="1"/>
  <c r="B8" i="7" a="1"/>
  <c r="B8" i="7" s="1"/>
  <c r="E8" i="7" a="1"/>
  <c r="E8" i="7" s="1"/>
  <c r="F8" i="7" a="1"/>
  <c r="F8" i="7" s="1"/>
  <c r="G40" i="7" a="1"/>
  <c r="G40" i="7" s="1"/>
  <c r="D40" i="7" a="1"/>
  <c r="D40" i="7" s="1"/>
  <c r="E40" i="7" a="1"/>
  <c r="E40" i="7" s="1"/>
  <c r="F40" i="7" a="1"/>
  <c r="F40" i="7" s="1"/>
  <c r="B40" i="7" a="1"/>
  <c r="B40" i="7" s="1"/>
  <c r="C40" i="7" a="1"/>
  <c r="C40" i="7" s="1"/>
  <c r="BL75" i="5"/>
  <c r="BL57" i="5"/>
  <c r="G12" i="7" a="1"/>
  <c r="G12" i="7" s="1"/>
  <c r="F12" i="7" a="1"/>
  <c r="F12" i="7" s="1"/>
  <c r="D12" i="7" a="1"/>
  <c r="D12" i="7" s="1"/>
  <c r="B12" i="7" a="1"/>
  <c r="B12" i="7" s="1"/>
  <c r="C12" i="7" a="1"/>
  <c r="C12" i="7" s="1"/>
  <c r="E12" i="7" a="1"/>
  <c r="E12" i="7" s="1"/>
  <c r="BK47" i="5"/>
  <c r="G18" i="7" a="1"/>
  <c r="G18" i="7" s="1"/>
  <c r="E18" i="7" a="1"/>
  <c r="E18" i="7" s="1"/>
  <c r="D18" i="7" a="1"/>
  <c r="D18" i="7" s="1"/>
  <c r="C18" i="7" a="1"/>
  <c r="C18" i="7" s="1"/>
  <c r="F18" i="7" a="1"/>
  <c r="F18" i="7" s="1"/>
  <c r="B18" i="7" a="1"/>
  <c r="B18" i="7" s="1"/>
  <c r="D43" i="7" a="1"/>
  <c r="D43" i="7" s="1"/>
  <c r="F43" i="7" a="1"/>
  <c r="F43" i="7" s="1"/>
  <c r="E43" i="7" a="1"/>
  <c r="E43" i="7" s="1"/>
  <c r="G43" i="7" a="1"/>
  <c r="G43" i="7" s="1"/>
  <c r="C43" i="7" a="1"/>
  <c r="C43" i="7" s="1"/>
  <c r="B43" i="7" a="1"/>
  <c r="B43" i="7" s="1"/>
  <c r="D38" i="7" a="1"/>
  <c r="D38" i="7" s="1"/>
  <c r="B38" i="7" a="1"/>
  <c r="B38" i="7" s="1"/>
  <c r="G38" i="7" a="1"/>
  <c r="G38" i="7" s="1"/>
  <c r="E38" i="7" a="1"/>
  <c r="E38" i="7" s="1"/>
  <c r="F38" i="7" a="1"/>
  <c r="F38" i="7" s="1"/>
  <c r="C38" i="7" a="1"/>
  <c r="C38" i="7" s="1"/>
  <c r="D42" i="7" a="1"/>
  <c r="D42" i="7" s="1"/>
  <c r="C42" i="7" a="1"/>
  <c r="C42" i="7" s="1"/>
  <c r="B42" i="7" a="1"/>
  <c r="B42" i="7" s="1"/>
  <c r="F42" i="7" a="1"/>
  <c r="F42" i="7" s="1"/>
  <c r="E42" i="7" a="1"/>
  <c r="E42" i="7" s="1"/>
  <c r="G42" i="7" a="1"/>
  <c r="G42" i="7" s="1"/>
  <c r="BK71" i="5"/>
  <c r="BK189" i="5" s="1"/>
  <c r="B50" i="7" a="1"/>
  <c r="B50" i="7" s="1"/>
  <c r="G50" i="7" a="1"/>
  <c r="G50" i="7" s="1"/>
  <c r="E50" i="7" a="1"/>
  <c r="E50" i="7" s="1"/>
  <c r="F50" i="7" a="1"/>
  <c r="F50" i="7" s="1"/>
  <c r="D50" i="7" a="1"/>
  <c r="D50" i="7" s="1"/>
  <c r="C50" i="7" a="1"/>
  <c r="C50" i="7" s="1"/>
  <c r="G39" i="7" a="1"/>
  <c r="G39" i="7" s="1"/>
  <c r="B39" i="7" a="1"/>
  <c r="B39" i="7" s="1"/>
  <c r="D39" i="7" a="1"/>
  <c r="D39" i="7" s="1"/>
  <c r="F39" i="7" a="1"/>
  <c r="F39" i="7" s="1"/>
  <c r="E39" i="7" a="1"/>
  <c r="E39" i="7" s="1"/>
  <c r="C39" i="7" a="1"/>
  <c r="C39" i="7" s="1"/>
  <c r="BL44" i="5"/>
  <c r="D36" i="7" a="1"/>
  <c r="D36" i="7" s="1"/>
  <c r="G36" i="7" a="1"/>
  <c r="G36" i="7" s="1"/>
  <c r="C36" i="7" a="1"/>
  <c r="C36" i="7" s="1"/>
  <c r="B36" i="7" a="1"/>
  <c r="B36" i="7" s="1"/>
  <c r="E36" i="7" a="1"/>
  <c r="E36" i="7" s="1"/>
  <c r="F36" i="7" a="1"/>
  <c r="F36" i="7" s="1"/>
  <c r="B17" i="7" a="1"/>
  <c r="B17" i="7" s="1"/>
  <c r="C17" i="7" a="1"/>
  <c r="C17" i="7" s="1"/>
  <c r="G17" i="7" a="1"/>
  <c r="G17" i="7" s="1"/>
  <c r="D17" i="7" a="1"/>
  <c r="D17" i="7" s="1"/>
  <c r="F17" i="7" a="1"/>
  <c r="F17" i="7" s="1"/>
  <c r="E17" i="7" a="1"/>
  <c r="E17" i="7" s="1"/>
  <c r="E44" i="7" a="1"/>
  <c r="E44" i="7" s="1"/>
  <c r="B44" i="7" a="1"/>
  <c r="B44" i="7" s="1"/>
  <c r="D44" i="7" a="1"/>
  <c r="D44" i="7" s="1"/>
  <c r="G44" i="7" a="1"/>
  <c r="G44" i="7" s="1"/>
  <c r="C44" i="7" a="1"/>
  <c r="C44" i="7" s="1"/>
  <c r="F44" i="7" a="1"/>
  <c r="F44" i="7" s="1"/>
  <c r="F13" i="6"/>
  <c r="G13" i="6"/>
  <c r="G14" i="6" s="1"/>
  <c r="J13" i="6"/>
  <c r="J14" i="6" s="1"/>
  <c r="H13" i="6"/>
  <c r="H14" i="6" s="1"/>
  <c r="I13" i="6"/>
  <c r="I14" i="6" s="1"/>
  <c r="K13" i="6"/>
  <c r="K14" i="6" s="1"/>
  <c r="BK188" i="5"/>
  <c r="BL45" i="5" a="1"/>
  <c r="BL45" i="5" s="1"/>
  <c r="BL47" i="5" s="1"/>
  <c r="G80" i="5"/>
  <c r="G74" i="5" s="1"/>
  <c r="BL62" i="5"/>
  <c r="E41" i="7" a="1"/>
  <c r="E41" i="7" s="1"/>
  <c r="G41" i="7" a="1"/>
  <c r="G41" i="7" s="1"/>
  <c r="B41" i="7" a="1"/>
  <c r="B41" i="7" s="1"/>
  <c r="C41" i="7" a="1"/>
  <c r="C41" i="7" s="1"/>
  <c r="D41" i="7" a="1"/>
  <c r="D41" i="7" s="1"/>
  <c r="F41" i="7" a="1"/>
  <c r="F41" i="7" s="1"/>
  <c r="E29" i="7" a="1"/>
  <c r="E29" i="7" s="1"/>
  <c r="C29" i="7" a="1"/>
  <c r="C29" i="7" s="1"/>
  <c r="B29" i="7" a="1"/>
  <c r="B29" i="7" s="1"/>
  <c r="G29" i="7" a="1"/>
  <c r="G29" i="7" s="1"/>
  <c r="D29" i="7" a="1"/>
  <c r="D29" i="7" s="1"/>
  <c r="F29" i="7" a="1"/>
  <c r="F29" i="7" s="1"/>
  <c r="F46" i="7" a="1"/>
  <c r="F46" i="7" s="1"/>
  <c r="D46" i="7" a="1"/>
  <c r="D46" i="7" s="1"/>
  <c r="G46" i="7" a="1"/>
  <c r="G46" i="7" s="1"/>
  <c r="E46" i="7" a="1"/>
  <c r="E46" i="7" s="1"/>
  <c r="C46" i="7" a="1"/>
  <c r="C46" i="7" s="1"/>
  <c r="B46" i="7" a="1"/>
  <c r="B46" i="7" s="1"/>
  <c r="BI3" i="7"/>
  <c r="H16" i="6"/>
  <c r="G16" i="6"/>
  <c r="F16" i="6"/>
  <c r="I16" i="6"/>
  <c r="J16" i="6"/>
  <c r="K16" i="6"/>
  <c r="BJ71" i="5"/>
  <c r="BJ188" i="5" s="1"/>
  <c r="BJ187" i="5" l="1"/>
  <c r="B30" i="7" a="1"/>
  <c r="B30" i="7" s="1"/>
  <c r="F30" i="7" a="1"/>
  <c r="F30" i="7" s="1"/>
  <c r="D30" i="7" a="1"/>
  <c r="D30" i="7" s="1"/>
  <c r="E30" i="7" a="1"/>
  <c r="E30" i="7" s="1"/>
  <c r="C30" i="7" a="1"/>
  <c r="C30" i="7" s="1"/>
  <c r="G30" i="7" a="1"/>
  <c r="G30" i="7" s="1"/>
  <c r="BJ189" i="5"/>
  <c r="BL76" i="5"/>
  <c r="D13" i="7" a="1"/>
  <c r="D13" i="7" s="1"/>
  <c r="F13" i="7" a="1"/>
  <c r="F13" i="7" s="1"/>
  <c r="E13" i="7" a="1"/>
  <c r="E13" i="7" s="1"/>
  <c r="G13" i="7" a="1"/>
  <c r="G13" i="7" s="1"/>
  <c r="B13" i="7" a="1"/>
  <c r="B13" i="7" s="1"/>
  <c r="C13" i="7" a="1"/>
  <c r="C13" i="7" s="1"/>
  <c r="I27" i="6"/>
  <c r="H24" i="6"/>
  <c r="I22" i="6"/>
  <c r="G19" i="6"/>
  <c r="H29" i="6"/>
  <c r="I25" i="6"/>
  <c r="H19" i="6"/>
  <c r="H22" i="6"/>
  <c r="H27" i="6"/>
  <c r="I20" i="6"/>
  <c r="I30" i="6"/>
  <c r="G17" i="6"/>
  <c r="H25" i="6"/>
  <c r="I19" i="6"/>
  <c r="I32" i="6" s="1"/>
  <c r="H26" i="6"/>
  <c r="G29" i="6"/>
  <c r="G22" i="6"/>
  <c r="H28" i="6"/>
  <c r="H30" i="6"/>
  <c r="G20" i="6"/>
  <c r="I26" i="6"/>
  <c r="H23" i="6"/>
  <c r="I31" i="6"/>
  <c r="H17" i="6"/>
  <c r="G26" i="6"/>
  <c r="I17" i="6"/>
  <c r="J20" i="6"/>
  <c r="J31" i="6"/>
  <c r="H21" i="6"/>
  <c r="G23" i="6"/>
  <c r="G25" i="6"/>
  <c r="I21" i="6"/>
  <c r="G21" i="6"/>
  <c r="J19" i="6"/>
  <c r="J30" i="6"/>
  <c r="I23" i="6"/>
  <c r="I24" i="6"/>
  <c r="G24" i="6"/>
  <c r="H20" i="6"/>
  <c r="H31" i="6"/>
  <c r="G28" i="6"/>
  <c r="J24" i="6"/>
  <c r="G31" i="6"/>
  <c r="J22" i="6"/>
  <c r="K28" i="6"/>
  <c r="K25" i="6"/>
  <c r="I29" i="6"/>
  <c r="K22" i="6"/>
  <c r="J17" i="6"/>
  <c r="J25" i="6"/>
  <c r="K21" i="6"/>
  <c r="G27" i="6"/>
  <c r="J26" i="6"/>
  <c r="G30" i="6"/>
  <c r="K19" i="6"/>
  <c r="K26" i="6"/>
  <c r="J28" i="6"/>
  <c r="K20" i="6"/>
  <c r="K30" i="6"/>
  <c r="K24" i="6"/>
  <c r="K29" i="6"/>
  <c r="K27" i="6"/>
  <c r="J23" i="6"/>
  <c r="K31" i="6"/>
  <c r="K17" i="6"/>
  <c r="K23" i="6"/>
  <c r="J27" i="6"/>
  <c r="J21" i="6"/>
  <c r="I28" i="6"/>
  <c r="J29" i="6"/>
  <c r="F23" i="6"/>
  <c r="E23" i="6" s="1"/>
  <c r="F14" i="6"/>
  <c r="E13" i="6"/>
  <c r="D11" i="7" a="1"/>
  <c r="D11" i="7" s="1"/>
  <c r="G11" i="7" a="1"/>
  <c r="G11" i="7" s="1"/>
  <c r="F11" i="7" a="1"/>
  <c r="F11" i="7" s="1"/>
  <c r="C11" i="7" a="1"/>
  <c r="C11" i="7" s="1"/>
  <c r="E11" i="7" a="1"/>
  <c r="E11" i="7" s="1"/>
  <c r="B11" i="7" a="1"/>
  <c r="B11" i="7" s="1"/>
  <c r="F20" i="6" s="1"/>
  <c r="E20" i="6" s="1"/>
  <c r="F29" i="6"/>
  <c r="E29" i="6" s="1"/>
  <c r="BK187" i="5"/>
  <c r="BL61" i="5"/>
  <c r="E15" i="7" a="1"/>
  <c r="E15" i="7" s="1"/>
  <c r="D15" i="7" a="1"/>
  <c r="D15" i="7" s="1"/>
  <c r="G15" i="7" a="1"/>
  <c r="G15" i="7" s="1"/>
  <c r="C15" i="7" a="1"/>
  <c r="C15" i="7" s="1"/>
  <c r="F15" i="7" a="1"/>
  <c r="F15" i="7" s="1"/>
  <c r="B15" i="7" a="1"/>
  <c r="B15" i="7" s="1"/>
  <c r="E17" i="6"/>
  <c r="F17" i="6"/>
  <c r="G72" i="5"/>
  <c r="G71" i="5" s="1"/>
  <c r="O43" i="3"/>
  <c r="BL46" i="5"/>
  <c r="G7" i="7" a="1"/>
  <c r="G7" i="7" s="1"/>
  <c r="G51" i="7" s="1"/>
  <c r="D7" i="7" a="1"/>
  <c r="D7" i="7" s="1"/>
  <c r="D51" i="7" s="1"/>
  <c r="B7" i="7" a="1"/>
  <c r="B7" i="7" s="1"/>
  <c r="B51" i="7" s="1"/>
  <c r="E7" i="7" a="1"/>
  <c r="E7" i="7" s="1"/>
  <c r="E51" i="7" s="1"/>
  <c r="C7" i="7" a="1"/>
  <c r="C7" i="7" s="1"/>
  <c r="C51" i="7" s="1"/>
  <c r="F7" i="7" a="1"/>
  <c r="F7" i="7" s="1"/>
  <c r="F51" i="7" s="1"/>
  <c r="F22" i="6"/>
  <c r="E22" i="6" s="1"/>
  <c r="BL96" i="5"/>
  <c r="BL95" i="5" s="1"/>
  <c r="K32" i="6" l="1"/>
  <c r="H32" i="6"/>
  <c r="E28" i="7" a="1"/>
  <c r="E28" i="7" s="1"/>
  <c r="B28" i="7" a="1"/>
  <c r="B28" i="7" s="1"/>
  <c r="F28" i="6" s="1"/>
  <c r="E28" i="6" s="1"/>
  <c r="C28" i="7" a="1"/>
  <c r="C28" i="7" s="1"/>
  <c r="D28" i="7" a="1"/>
  <c r="D28" i="7" s="1"/>
  <c r="F28" i="7" a="1"/>
  <c r="F28" i="7" s="1"/>
  <c r="G28" i="7" a="1"/>
  <c r="G28" i="7" s="1"/>
  <c r="G188" i="5"/>
  <c r="G187" i="5"/>
  <c r="G189" i="5"/>
  <c r="G32" i="6"/>
  <c r="N43" i="3"/>
  <c r="O41" i="3"/>
  <c r="BL77" i="5"/>
  <c r="BL74" i="5" s="1"/>
  <c r="B14" i="7" a="1"/>
  <c r="B14" i="7" s="1"/>
  <c r="F21" i="6" s="1"/>
  <c r="E21" i="6" s="1"/>
  <c r="D14" i="7" a="1"/>
  <c r="D14" i="7" s="1"/>
  <c r="F14" i="7" a="1"/>
  <c r="F14" i="7" s="1"/>
  <c r="C14" i="7" a="1"/>
  <c r="C14" i="7" s="1"/>
  <c r="G14" i="7" a="1"/>
  <c r="G14" i="7" s="1"/>
  <c r="E14" i="7" a="1"/>
  <c r="E14" i="7" s="1"/>
  <c r="BL55" i="5"/>
  <c r="F30" i="6"/>
  <c r="E30" i="6" s="1"/>
  <c r="J32" i="6"/>
  <c r="BL188" i="5" l="1"/>
  <c r="B9" i="7" a="1"/>
  <c r="B9" i="7" s="1"/>
  <c r="G9" i="7" a="1"/>
  <c r="G9" i="7" s="1"/>
  <c r="E9" i="7" a="1"/>
  <c r="E9" i="7" s="1"/>
  <c r="C9" i="7" a="1"/>
  <c r="C9" i="7" s="1"/>
  <c r="F9" i="7" a="1"/>
  <c r="F9" i="7" s="1"/>
  <c r="D9" i="7" a="1"/>
  <c r="D9" i="7" s="1"/>
  <c r="O57" i="3"/>
  <c r="N57" i="3" s="1"/>
  <c r="BL72" i="5"/>
  <c r="BL71" i="5" s="1"/>
  <c r="BL189" i="5" s="1"/>
  <c r="G22" i="7" a="1"/>
  <c r="G22" i="7" s="1"/>
  <c r="G20" i="7" s="1"/>
  <c r="G19" i="7" s="1"/>
  <c r="E22" i="7" a="1"/>
  <c r="E22" i="7" s="1"/>
  <c r="E20" i="7" s="1"/>
  <c r="E19" i="7" s="1"/>
  <c r="F22" i="7" a="1"/>
  <c r="F22" i="7" s="1"/>
  <c r="F20" i="7" s="1"/>
  <c r="F19" i="7" s="1"/>
  <c r="D22" i="7" a="1"/>
  <c r="D22" i="7" s="1"/>
  <c r="D20" i="7" s="1"/>
  <c r="D19" i="7" s="1"/>
  <c r="C22" i="7" a="1"/>
  <c r="C22" i="7" s="1"/>
  <c r="C20" i="7" s="1"/>
  <c r="C19" i="7" s="1"/>
  <c r="B22" i="7" a="1"/>
  <c r="B22" i="7" s="1"/>
  <c r="N41" i="3"/>
  <c r="O40" i="3"/>
  <c r="N40" i="3" s="1"/>
  <c r="O18" i="3"/>
  <c r="O17" i="3" s="1"/>
  <c r="O22" i="3" s="1"/>
  <c r="O23" i="3" s="1"/>
  <c r="U43" i="3"/>
  <c r="T43" i="3"/>
  <c r="B32" i="7" l="1" a="1"/>
  <c r="B32" i="7" s="1"/>
  <c r="D32" i="7" a="1"/>
  <c r="D32" i="7" s="1"/>
  <c r="C32" i="7" a="1"/>
  <c r="C32" i="7" s="1"/>
  <c r="C33" i="7" s="1"/>
  <c r="E32" i="7" a="1"/>
  <c r="E32" i="7" s="1"/>
  <c r="E33" i="7" s="1"/>
  <c r="F32" i="7" a="1"/>
  <c r="F32" i="7" s="1"/>
  <c r="F33" i="7" s="1"/>
  <c r="G32" i="7" a="1"/>
  <c r="G32" i="7" s="1"/>
  <c r="G33" i="7" s="1"/>
  <c r="U40" i="3"/>
  <c r="T40" i="3"/>
  <c r="U41" i="3"/>
  <c r="T41" i="3"/>
  <c r="N18" i="3"/>
  <c r="F10" i="7"/>
  <c r="B20" i="7"/>
  <c r="B19" i="7" s="1"/>
  <c r="F24" i="6" s="1"/>
  <c r="E24" i="6" s="1"/>
  <c r="F25" i="6"/>
  <c r="E25" i="6" s="1"/>
  <c r="C10" i="7"/>
  <c r="U57" i="3"/>
  <c r="T57" i="3"/>
  <c r="E10" i="7"/>
  <c r="G10" i="7"/>
  <c r="B10" i="7"/>
  <c r="F19" i="6"/>
  <c r="BL187" i="5"/>
  <c r="D33" i="7"/>
  <c r="D10" i="7"/>
  <c r="E19" i="6" l="1"/>
  <c r="E32" i="6" s="1"/>
  <c r="F32" i="6"/>
  <c r="B33" i="7"/>
  <c r="N17" i="3"/>
  <c r="U18" i="3"/>
  <c r="T18" i="3"/>
  <c r="F31" i="6"/>
  <c r="E31" i="6" s="1"/>
  <c r="U17" i="3" l="1"/>
  <c r="T17" i="3"/>
  <c r="N22" i="3"/>
  <c r="U22" i="3" l="1"/>
  <c r="T22" i="3"/>
  <c r="N23" i="3"/>
  <c r="U23" i="3" l="1"/>
  <c r="T23"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<sst xmlns="http://schemas.openxmlformats.org/spreadsheetml/2006/main" count="786" uniqueCount="460">
  <si>
    <t>SAP MODEL - CASHLOAN</t>
  </si>
  <si>
    <t>OFFICIAL</t>
  </si>
  <si>
    <t>HKN</t>
  </si>
  <si>
    <t>v9</t>
  </si>
  <si>
    <t>1. Notes and disclaimer</t>
  </si>
  <si>
    <t>a. Giới thiệu về SAP</t>
  </si>
  <si>
    <r>
      <t xml:space="preserve">- </t>
    </r>
    <r>
      <rPr>
        <sz val="11"/>
        <color rgb="FFFF0000"/>
        <rFont val="Arial"/>
        <family val="2"/>
      </rPr>
      <t>SAP</t>
    </r>
    <r>
      <rPr>
        <sz val="11"/>
        <color theme="1"/>
        <rFont val="Arial"/>
        <family val="2"/>
      </rPr>
      <t xml:space="preserve">: </t>
    </r>
    <r>
      <rPr>
        <sz val="11"/>
        <color rgb="FFFF0000"/>
        <rFont val="Arial"/>
        <family val="2"/>
      </rPr>
      <t>Single Account Profitability</t>
    </r>
    <r>
      <rPr>
        <sz val="11"/>
        <color theme="1"/>
        <rFont val="Arial"/>
        <family val="2"/>
      </rPr>
      <t xml:space="preserve"> (Hiệu quả sản phẩm trên từng đơn vị sản phẩm)</t>
    </r>
  </si>
  <si>
    <t xml:space="preserve">- Model SAP được sử dụng như một (01) trong các mô hình dự đoán hiệu quả vòng đời của sản phẩm. </t>
  </si>
  <si>
    <t>- Do sự phức tạp của sản phẩm, các hệ thống vận hành (hệ thống hạch kế toán, hệ thống quản trị rủi ro, hệ thống quản trị…), hành vi người sử dụng hành vi người sử dụng, model chỉ có thể mô phỏng tương đối trung bình vòng đời của sản phẩm.</t>
  </si>
  <si>
    <t>- Do tính chất thời điểm, mô hình được xây dựng mô phỏng theo cách vận hành sản phẩm tại thời điểm phát hành. Trường hợp hệ thống thay đổi, sản phẩm thay đổi, mô hình sẽ không thể phản ánh đúng bản chất vận hành sản phẩm.</t>
  </si>
  <si>
    <t>- Mô hình được tính toán dựa vào các yếu tố đầu vào xác định tại một thời điểm xác định, do đó kết quả của mô hình có thể có sự khác biệt so với thực tế vận hành sản phẩm.</t>
  </si>
  <si>
    <t>- Mô hình SAP Cashloan tính hiệu quả của khoản vay giải ngân và thời hạn tối đa được áp dụng là  5 năm ( 60 tháng) kể từ ngày bắt đầu sản phẩm đối với sử dụng phương pháp dự phòng IFRS</t>
  </si>
  <si>
    <t>- Lưu ý rằng trường hợp áp dụng cho khoản vay 5 năm, thì các chi phí sẽ không được tính toán đầy đủ do chi phí COF cho thời gian từ lúc khoản vay kết thúc tới lúc được xóa trên sổ kế toán.</t>
  </si>
  <si>
    <t>- Chỉ nên sử dụng với khoản vay dưới 4 năm (48 tháng) để được tính toán đầy đủ chi phí</t>
  </si>
  <si>
    <t>- Đối với phương pháp tính rủi ro VAS, thời hạn khoản vay tối đa sử dụng là 4 năm (48 tháng)</t>
  </si>
  <si>
    <t>b. Giới thiệu về PnL</t>
  </si>
  <si>
    <t xml:space="preserve">- Trong file tính này, Profit &amp; Lost (PnL) được dự phóng từ trung bình cộng kết quả kinh doanh trên từng sản phẩm (SAP) với yếu tố "sale plan" (số giải ngân) qua từng tháng, do đó có thể khác biệt so với kết quả thực tế vận hành. </t>
  </si>
  <si>
    <t xml:space="preserve">- Dòng tiền thực tế qua từng tháng có thể khác biệt với mô hình tính toán do nhiều yếu tố tác động bên ngoài thay đổi, do đó, vui lòng chỉ sử dụng mô hình cho mục đích tham khảo. </t>
  </si>
  <si>
    <t xml:space="preserve">- Cho mục đích tính dự phòng dòng tiền ngắn và trung hạn, mô hình PnL được cutoff tại thời điểm 5 năm (60 tháng) kể từ ngày bắt đầu khởi chạy sản phẩm đầu tiên. </t>
  </si>
  <si>
    <t>2. Instruction</t>
  </si>
  <si>
    <t>- Dành cho người sử dụng</t>
  </si>
  <si>
    <t>- Chỉ chỉnh sửa vào các ô màu vàng</t>
  </si>
  <si>
    <t>- 2 sheets  "SAP_Leadsheet" và "Sale plan&amp;PnL" cung cấp yếu tố đầu vào và đầu ra để tính toán mô hình SAP cũng như PnL.</t>
  </si>
  <si>
    <t>- Sheet SAP_Leadsheet được cấu trúc 2 phần, bên trái là các yếu tố đầu vào (input) và bên phải là kết quả dự đoán (output). Đơn vị sử dụng tại bảng tính là triệu VND (mVND) và phần trăm (%)</t>
  </si>
  <si>
    <t>- Sheet "Sale plan &amp; PL" được cấu trúc 2 phần, bên trên là sale plan và bên dưới là kết quả PnL</t>
  </si>
  <si>
    <t xml:space="preserve">- 2 sheets "SAP_Spreadsheet" và "PL projection speadsheet" là các file tính toán cho 2 sheet "SAP_Leadsheet", "Sales plan &amp; PL" </t>
  </si>
  <si>
    <t>- 2 sheets được cấu trúc từ trên xuống dưới theo thứ tự tính toán mô phỏng để đưa ra kết quả kinh doanh cuối cùng</t>
  </si>
  <si>
    <t>- 2 sheets đã được tạm khóa. Trường hợp cần mở khóa, điều chỉnh các yếu tố, vui lòng liên hệ với nhóm vận hành để được hỗ trợ.</t>
  </si>
  <si>
    <t>- Dành riêng cho người vận hành, hiệu chỉnh</t>
  </si>
  <si>
    <t>- Cần cẩn trọng khi điều chỉnh ở các file "speadsheet"  vì 1 khi sai lệch rất khó tìm ra lỗi (VD: sửa nhầm ô, link nhầm vị trí,…)</t>
  </si>
  <si>
    <t>3. Legend</t>
  </si>
  <si>
    <t>GENERAL INPUT</t>
  </si>
  <si>
    <t>Diễn giải</t>
  </si>
  <si>
    <t>Chú thích</t>
  </si>
  <si>
    <t>Risk input</t>
  </si>
  <si>
    <t>Loại phương pháp tính rủi ro</t>
  </si>
  <si>
    <t>Lựa chon phương pháp tính rủi ro VAS và IFRS</t>
  </si>
  <si>
    <t>Write off</t>
  </si>
  <si>
    <t>Thời điểm WO</t>
  </si>
  <si>
    <t>Lựa chọn thời điểm ghi nhận WO là 360 hoặc 180</t>
  </si>
  <si>
    <t>REVENUE INPUT</t>
  </si>
  <si>
    <t>Amount &amp; Tenor</t>
  </si>
  <si>
    <t>Loan amount</t>
  </si>
  <si>
    <t>Số tiền vay giải ngân (có thể bao gồm bảo hiểm hoặc không)</t>
  </si>
  <si>
    <t>Trường hợp số tiền giải ngân &gt; giá trị hàng hóa, chỉ ghi = số thực tế giải ngân</t>
  </si>
  <si>
    <t>Payment Method</t>
  </si>
  <si>
    <t>Phương pháp tính lãi</t>
  </si>
  <si>
    <t>EMI (Equated monthly Installment)- số tiền thanh toán cố định hàng tháng</t>
  </si>
  <si>
    <t>Nominal Tenor</t>
  </si>
  <si>
    <t>Thời hạn vay</t>
  </si>
  <si>
    <t>Thời hạn ghi nhận trên khoản vay ( VD: 1 tháng, 3 tháng, 12 tháng,…)</t>
  </si>
  <si>
    <t>Maturity to Termination</t>
  </si>
  <si>
    <t>Thời hạn từ lúc đáo hạn tới lúc tới khi ra ngoại bảng</t>
  </si>
  <si>
    <t>Nên để 6 tháng để khớp với hệ thống kế toán, rủi ro đang ghi nhận WO180+</t>
  </si>
  <si>
    <t>Month on book</t>
  </si>
  <si>
    <t>Thời gian ghi nhận trên sổ sách</t>
  </si>
  <si>
    <t>= Nominal tenor + Maturity to termination</t>
  </si>
  <si>
    <t>Pricing</t>
  </si>
  <si>
    <t>From- To</t>
  </si>
  <si>
    <t>Từ tháng… tới tháng</t>
  </si>
  <si>
    <t>IR</t>
  </si>
  <si>
    <t>Interest rate- lãi suất khoản vay</t>
  </si>
  <si>
    <t>COF</t>
  </si>
  <si>
    <t>Cost of fund - Giá vốn</t>
  </si>
  <si>
    <t>Sử dụng matrix mua vốn của VPB</t>
  </si>
  <si>
    <t>NIM</t>
  </si>
  <si>
    <t>Net interest margin - Biên lãi ròng</t>
  </si>
  <si>
    <t>Early prepayment</t>
  </si>
  <si>
    <t>Penalty fee</t>
  </si>
  <si>
    <t>Phí phạt</t>
  </si>
  <si>
    <t>Penalty IR</t>
  </si>
  <si>
    <t>Lãi phạt</t>
  </si>
  <si>
    <t>%Attrition</t>
  </si>
  <si>
    <t>Tỉ lệ trả trước hạn</t>
  </si>
  <si>
    <t>Tỉ lệ trả trước tính theo cohort, thông thường quan sát trung bình 6 tháng</t>
  </si>
  <si>
    <t>Credit insurrance</t>
  </si>
  <si>
    <t>Banca Premium (excl. in loan)</t>
  </si>
  <si>
    <t>Tỉ lệ bảo hiểm khoản vay (dư nợ không bao gồm bảo hiểm khoản vay)</t>
  </si>
  <si>
    <t>VD: 7% khoản vay, 8% khoản vay</t>
  </si>
  <si>
    <t>Banca Premium (incl. in loan)</t>
  </si>
  <si>
    <t>Tỉ lệ bảo hiểm khoản vay (dư nợ có bao gồm bảo hiểm khoản vay)</t>
  </si>
  <si>
    <t>Penetration</t>
  </si>
  <si>
    <t>Tỉ lệ khoản vay có bảo hiểm/tổng khoản vay giải ngân</t>
  </si>
  <si>
    <t>Commission to CAKE</t>
  </si>
  <si>
    <t>Tỉ lệ nhận được từ số tiền bảo hiểm</t>
  </si>
  <si>
    <t>Hiện tai, số này là khoàng 85% tổng số tiền thu từ bảo hiểm</t>
  </si>
  <si>
    <t>Support fee</t>
  </si>
  <si>
    <t xml:space="preserve">Các khoản thu khác </t>
  </si>
  <si>
    <t>Hiện tại chưa có</t>
  </si>
  <si>
    <t>COST INPUT</t>
  </si>
  <si>
    <t>Inflation rate</t>
  </si>
  <si>
    <t>Tỉ lệ tăng giá chi phí qua các năm</t>
  </si>
  <si>
    <t>Acquisition cost</t>
  </si>
  <si>
    <t>Chi phí mở rộng khách hàng</t>
  </si>
  <si>
    <t>Sale incentive</t>
  </si>
  <si>
    <t>Chi phí sales, trả đối tác kinh doanh</t>
  </si>
  <si>
    <t>Sharing TOI and Risk DPD90+</t>
  </si>
  <si>
    <t>Chia sẻ doanh thu, rủi ro(DPD90+)</t>
  </si>
  <si>
    <t>xem giải thích DPD+ tại đây</t>
  </si>
  <si>
    <t>Sharing TOI and Risk DPD180+</t>
  </si>
  <si>
    <t>Chia sẻ doanh thu, rủi ro(DPD180+)</t>
  </si>
  <si>
    <t>Sharing CII (only)</t>
  </si>
  <si>
    <t>Chỉ chia sẻ doanh thu từ lãi</t>
  </si>
  <si>
    <t>Sharing COF (only)</t>
  </si>
  <si>
    <t>Chỉ chia sẻ chi phí vốn</t>
  </si>
  <si>
    <t>Sharing NFI (only)</t>
  </si>
  <si>
    <t>Chỉ chia sẻ doanh thu từ vốn</t>
  </si>
  <si>
    <t>Sharing Risk DPD90+ (Only)</t>
  </si>
  <si>
    <t>Chỉ chia sẻ rủi ro (DPD90+)</t>
  </si>
  <si>
    <t>Sharing Risk DPD180+ (only)</t>
  </si>
  <si>
    <t>Chỉ chia sẻ rủi ro (DPD180+)</t>
  </si>
  <si>
    <t>Partner Lead Acquistion</t>
  </si>
  <si>
    <t>Chi phí leadgen đối tác</t>
  </si>
  <si>
    <t>* Chú thích</t>
  </si>
  <si>
    <t>Chia sẻ rủi ro DPD90/ (DPD180+) là phương pháp tính rủi ro = 100% duy nhất 1 lần tại thời điểm dư nợ  DPD90 +(tức quá hạn &gt;90 ngày, chuyển nợ nhóm 3)/  DPD180+(tức qua hạn &gt;180 ngày, chuyển nợ nhóm 4) mà ko tính tại các bucket khác.</t>
  </si>
  <si>
    <t xml:space="preserve">Phương pháp này chỉ sử dụng đối với các đối tác chia sẻ doanh thu chi phí. </t>
  </si>
  <si>
    <t>Marketing cost</t>
  </si>
  <si>
    <t>Chi phí marketing để mở khoản vay</t>
  </si>
  <si>
    <t xml:space="preserve">UW &amp; Disbursal </t>
  </si>
  <si>
    <t>Underwriting cost &amp; Score</t>
  </si>
  <si>
    <t>Chi phí kiểm tra điều kiện mở khoản vay</t>
  </si>
  <si>
    <t>DOP cost</t>
  </si>
  <si>
    <t>Chi phí luồng DOP (nếu có) (SMS,…)</t>
  </si>
  <si>
    <t>Disbursement cost</t>
  </si>
  <si>
    <t>Chi phí mở khoản vay (chi phí esign, sms,…)</t>
  </si>
  <si>
    <t>Approval rate</t>
  </si>
  <si>
    <t>Tỉ lệ phê duyệt</t>
  </si>
  <si>
    <t>Tỉ lệ khách hàng được phê duyệt/khách hàng vào luồng LOS</t>
  </si>
  <si>
    <t>Disbursement rate</t>
  </si>
  <si>
    <t>Tỉ lệ giải ngân</t>
  </si>
  <si>
    <t>Tỉ lệ khách hàng giải ngân/khách hàng được phê duyệt</t>
  </si>
  <si>
    <t>Collection &amp; AMC</t>
  </si>
  <si>
    <t>Collections_all</t>
  </si>
  <si>
    <t>Đơn giá thu nợ tính trung bình cho các khoản vay</t>
  </si>
  <si>
    <t>Aftersale service</t>
  </si>
  <si>
    <t>Email &amp; SMS</t>
  </si>
  <si>
    <t>Chi phí Email, SMS hàng tháng</t>
  </si>
  <si>
    <t>Supporting units</t>
  </si>
  <si>
    <t>Chi phí phân bổ</t>
  </si>
  <si>
    <t>Direct HR</t>
  </si>
  <si>
    <t>Chi phí nhân sự trực tiếp</t>
  </si>
  <si>
    <t>Indirect HR</t>
  </si>
  <si>
    <t>Chi phí nhân sự hỗ trợ</t>
  </si>
  <si>
    <t>IT</t>
  </si>
  <si>
    <t>Chi phí IT</t>
  </si>
  <si>
    <t>Other supports</t>
  </si>
  <si>
    <t>Chi phí khác (Chi phí thuê VP, CS, khác…)</t>
  </si>
  <si>
    <t>RISK INPUT</t>
  </si>
  <si>
    <t>NF</t>
  </si>
  <si>
    <t>Netflow- Tỉ lệ chuyển nợ</t>
  </si>
  <si>
    <t>PD</t>
  </si>
  <si>
    <t>Percentage of debt (tỉ lệ vỡ nợ)</t>
  </si>
  <si>
    <t>Pro. Rate</t>
  </si>
  <si>
    <t>Tỉ lệ vỡ nợ đã điều chỉnh thu hồi nợ</t>
  </si>
  <si>
    <t>Recovery rate</t>
  </si>
  <si>
    <t>Tỉ lệ thu hồi nợ sau WO</t>
  </si>
  <si>
    <t>Collect after WO</t>
  </si>
  <si>
    <t>Fee and others</t>
  </si>
  <si>
    <t>Tỉ lệ thu được phí, phạt, khác</t>
  </si>
  <si>
    <t>Write-off mode</t>
  </si>
  <si>
    <t>Provision mode</t>
  </si>
  <si>
    <t>DPD360+</t>
  </si>
  <si>
    <t>IFRS</t>
  </si>
  <si>
    <t>DPD180+</t>
  </si>
  <si>
    <t>VAS</t>
  </si>
  <si>
    <t>SAP CASHLOAN MODEL</t>
  </si>
  <si>
    <t>NOTE</t>
  </si>
  <si>
    <t>Please read carefully about before using model</t>
  </si>
  <si>
    <t>Product</t>
  </si>
  <si>
    <t>Unsecured Cashloan</t>
  </si>
  <si>
    <t>UPL</t>
  </si>
  <si>
    <t>Disclaimer</t>
  </si>
  <si>
    <t>Sub-Product</t>
  </si>
  <si>
    <t>Cashloan</t>
  </si>
  <si>
    <t>ALL</t>
  </si>
  <si>
    <t>Instruction</t>
  </si>
  <si>
    <t>Sub-Segments</t>
  </si>
  <si>
    <t>ZALOPAY</t>
  </si>
  <si>
    <t>Quarter</t>
  </si>
  <si>
    <t>Legend</t>
  </si>
  <si>
    <t>Cur: mVND</t>
  </si>
  <si>
    <t>GENERAL OUTPUT</t>
  </si>
  <si>
    <t>Life time</t>
  </si>
  <si>
    <t>Year 1</t>
  </si>
  <si>
    <t>Year 2</t>
  </si>
  <si>
    <t>Year 3</t>
  </si>
  <si>
    <t>Year 4</t>
  </si>
  <si>
    <t>Year 5</t>
  </si>
  <si>
    <t>% ANR</t>
  </si>
  <si>
    <t>% Disbursement</t>
  </si>
  <si>
    <t>EMI</t>
  </si>
  <si>
    <t>ANR</t>
  </si>
  <si>
    <t>TOI</t>
  </si>
  <si>
    <t>Net interest income</t>
  </si>
  <si>
    <t>Net fee income</t>
  </si>
  <si>
    <t>Other income</t>
  </si>
  <si>
    <t>PROVISION</t>
  </si>
  <si>
    <t>From</t>
  </si>
  <si>
    <t>To</t>
  </si>
  <si>
    <t>OPEX</t>
  </si>
  <si>
    <t>UW &amp; Disbursal</t>
  </si>
  <si>
    <t>Collection &amp; aftersale service</t>
  </si>
  <si>
    <t>Support unit</t>
  </si>
  <si>
    <t>PBT</t>
  </si>
  <si>
    <r>
      <rPr>
        <i/>
        <sz val="8"/>
        <color theme="1" tint="0.14999847407452621"/>
        <rFont val="Arial"/>
        <family val="2"/>
      </rPr>
      <t>In which:</t>
    </r>
    <r>
      <rPr>
        <sz val="8"/>
        <color theme="1" tint="0.14999847407452621"/>
        <rFont val="Arial"/>
        <family val="2"/>
      </rPr>
      <t xml:space="preserve"> PROFIT BEFORE SU</t>
    </r>
  </si>
  <si>
    <t>per cohort</t>
  </si>
  <si>
    <t>PERFORMANCE OUTPUT</t>
  </si>
  <si>
    <t>Interest income</t>
  </si>
  <si>
    <t>per disbursement amount</t>
  </si>
  <si>
    <t>Cost of fund</t>
  </si>
  <si>
    <t>Early termination fee</t>
  </si>
  <si>
    <t>done</t>
  </si>
  <si>
    <t>Insurance commission</t>
  </si>
  <si>
    <t>One-time</t>
  </si>
  <si>
    <t>$ per account</t>
  </si>
  <si>
    <t>% per ticketsize</t>
  </si>
  <si>
    <t>Monthly fee</t>
  </si>
  <si>
    <t>%monthly per ticketsize</t>
  </si>
  <si>
    <t>Lead Acquisition</t>
  </si>
  <si>
    <t>% per year</t>
  </si>
  <si>
    <t>Sharing performance</t>
  </si>
  <si>
    <t>Marketing</t>
  </si>
  <si>
    <t>Auto MODE</t>
  </si>
  <si>
    <t>Underwriting</t>
  </si>
  <si>
    <t>% per month</t>
  </si>
  <si>
    <t>Disbursement</t>
  </si>
  <si>
    <t>Collection &amp; after sale service</t>
  </si>
  <si>
    <t>Adjust MODE</t>
  </si>
  <si>
    <t>Early collections</t>
  </si>
  <si>
    <t>AMC</t>
  </si>
  <si>
    <t>Supporting Units</t>
  </si>
  <si>
    <t>Indiect HR</t>
  </si>
  <si>
    <t>Risk share from</t>
  </si>
  <si>
    <t>disbursement</t>
  </si>
  <si>
    <t>per account</t>
  </si>
  <si>
    <t>Other support units</t>
  </si>
  <si>
    <t>per ticketsize</t>
  </si>
  <si>
    <t>of application</t>
  </si>
  <si>
    <t>Inflation</t>
  </si>
  <si>
    <t>of account</t>
  </si>
  <si>
    <t>Incentive</t>
  </si>
  <si>
    <t>of submitted application</t>
  </si>
  <si>
    <t>Sale team</t>
  </si>
  <si>
    <t>of aproved application</t>
  </si>
  <si>
    <t>Sale Mgt</t>
  </si>
  <si>
    <t>MA</t>
  </si>
  <si>
    <t>per account/month</t>
  </si>
  <si>
    <t>Collections_B1+</t>
  </si>
  <si>
    <t>AMC_principal collected</t>
  </si>
  <si>
    <t>per 1mVND collected amount</t>
  </si>
  <si>
    <t>AMC_interest collected</t>
  </si>
  <si>
    <t>AMC_penalty collected</t>
  </si>
  <si>
    <t>CPCUW</t>
  </si>
  <si>
    <t>CPCUW_SCORE</t>
  </si>
  <si>
    <t>CPCCA</t>
  </si>
  <si>
    <t>AMC_PR</t>
  </si>
  <si>
    <t>Net flow</t>
  </si>
  <si>
    <t>B0 - B1</t>
  </si>
  <si>
    <t>B1 - B2</t>
  </si>
  <si>
    <t>B2 - B3</t>
  </si>
  <si>
    <t>B3 - B4</t>
  </si>
  <si>
    <t>B4 - B5</t>
  </si>
  <si>
    <t>B5 - B6</t>
  </si>
  <si>
    <t>B6 - B7</t>
  </si>
  <si>
    <t>B7 - B8</t>
  </si>
  <si>
    <t>B8 - B9</t>
  </si>
  <si>
    <t>B9 - B10</t>
  </si>
  <si>
    <t>B10 - B11</t>
  </si>
  <si>
    <t>B11 - B12</t>
  </si>
  <si>
    <t>B12 - B13</t>
  </si>
  <si>
    <t>B13-B24</t>
  </si>
  <si>
    <t>B25-B36</t>
  </si>
  <si>
    <t>Recovery rate B13-B24</t>
  </si>
  <si>
    <t>B36+</t>
  </si>
  <si>
    <t>Recovery rate B24-B36</t>
  </si>
  <si>
    <t>Risk cost/ Disburse</t>
  </si>
  <si>
    <t>Recovery rate B36+</t>
  </si>
  <si>
    <t>Riskcost/ANR</t>
  </si>
  <si>
    <t>B8- B12</t>
  </si>
  <si>
    <t>B24-B36</t>
  </si>
  <si>
    <t>per principle collected</t>
  </si>
  <si>
    <t>%B1A/B1</t>
  </si>
  <si>
    <t>HKN-TTA</t>
  </si>
  <si>
    <t>Aproval rate, signed rate</t>
  </si>
  <si>
    <t>aprroval rate</t>
  </si>
  <si>
    <t>Signed rate</t>
  </si>
  <si>
    <t>Disburse, Tenor, Insurance, IR, COF</t>
  </si>
  <si>
    <t>Disburse date</t>
  </si>
  <si>
    <t># Disburse</t>
  </si>
  <si>
    <t>Disburse amount (VND)</t>
  </si>
  <si>
    <t>Current balance (VND)</t>
  </si>
  <si>
    <t>Ticket size (VND)</t>
  </si>
  <si>
    <t>Avg tenor (Month)</t>
  </si>
  <si>
    <t>Avg IR (%)</t>
  </si>
  <si>
    <t>Insurance fee (VND)</t>
  </si>
  <si>
    <t>% Insurance penetration by date</t>
  </si>
  <si>
    <t>AVG</t>
  </si>
  <si>
    <t>ENR</t>
  </si>
  <si>
    <t>Adjust</t>
  </si>
  <si>
    <t>Balance by day</t>
  </si>
  <si>
    <t>Thu lãi</t>
  </si>
  <si>
    <t>Years (BUSINESS_DATE)</t>
  </si>
  <si>
    <t>Months (BUSINESS_DATE)</t>
  </si>
  <si>
    <t>Sum of BALANCE</t>
  </si>
  <si>
    <t>Sum of Lai DCV</t>
  </si>
  <si>
    <t>2025</t>
  </si>
  <si>
    <t>Oct</t>
  </si>
  <si>
    <t>Nov</t>
  </si>
  <si>
    <t>Dec</t>
  </si>
  <si>
    <t>Grand Total</t>
  </si>
  <si>
    <t>UW, collection, MKT</t>
  </si>
  <si>
    <t>New ACC</t>
  </si>
  <si>
    <t>Active acc</t>
  </si>
  <si>
    <t>MKT acquisition</t>
  </si>
  <si>
    <t>UW</t>
  </si>
  <si>
    <t>Collection</t>
  </si>
  <si>
    <t>SMS</t>
  </si>
  <si>
    <t>Partner acquisition</t>
  </si>
  <si>
    <t>Econtract</t>
  </si>
  <si>
    <t>NFC</t>
  </si>
  <si>
    <t>Sử dụng mức tương đương Q2 do quý 3  thay đổi collection, chi phí ko đầy đủ</t>
  </si>
  <si>
    <t>Allocation</t>
  </si>
  <si>
    <t>System</t>
  </si>
  <si>
    <t>Other</t>
  </si>
  <si>
    <t>RR</t>
  </si>
  <si>
    <t>SUM</t>
  </si>
  <si>
    <t>B00</t>
  </si>
  <si>
    <t>B01</t>
  </si>
  <si>
    <t>B02</t>
  </si>
  <si>
    <t>B03</t>
  </si>
  <si>
    <t>B04</t>
  </si>
  <si>
    <t>B05</t>
  </si>
  <si>
    <t>B6</t>
  </si>
  <si>
    <t>B7</t>
  </si>
  <si>
    <t>B06</t>
  </si>
  <si>
    <t>B07</t>
  </si>
  <si>
    <t>Sum of principal_balance_at_report_month</t>
  </si>
  <si>
    <t>Column Labels</t>
  </si>
  <si>
    <t>Row Labels</t>
  </si>
  <si>
    <t>Attrition rate</t>
  </si>
  <si>
    <t>MOB13</t>
  </si>
  <si>
    <t>MOB4-0ther</t>
  </si>
  <si>
    <t>SAP Speadsheet</t>
  </si>
  <si>
    <t>Method</t>
  </si>
  <si>
    <t>Oustanding tenor</t>
  </si>
  <si>
    <t>Last month on book</t>
  </si>
  <si>
    <t>Balance</t>
  </si>
  <si>
    <t>Interest rate</t>
  </si>
  <si>
    <t>INR rate</t>
  </si>
  <si>
    <t>COF rate</t>
  </si>
  <si>
    <t>Prepayment Penalty</t>
  </si>
  <si>
    <t>Account accumulated</t>
  </si>
  <si>
    <t>Nominal ENR</t>
  </si>
  <si>
    <t>Fully Prepayment Amount</t>
  </si>
  <si>
    <t>EMI payment</t>
  </si>
  <si>
    <t>Nominal Interest</t>
  </si>
  <si>
    <t>Nominal Payment</t>
  </si>
  <si>
    <t>Schedule Payment</t>
  </si>
  <si>
    <t>SBV</t>
  </si>
  <si>
    <t>Overdue</t>
  </si>
  <si>
    <t>Balance by Bucket/Group</t>
  </si>
  <si>
    <t>G1</t>
  </si>
  <si>
    <t>B0</t>
  </si>
  <si>
    <t>G2</t>
  </si>
  <si>
    <t>B1</t>
  </si>
  <si>
    <t>B2</t>
  </si>
  <si>
    <t>B3</t>
  </si>
  <si>
    <t>G3</t>
  </si>
  <si>
    <t>B4</t>
  </si>
  <si>
    <t>B5</t>
  </si>
  <si>
    <t>G4</t>
  </si>
  <si>
    <t>B8</t>
  </si>
  <si>
    <t>B9</t>
  </si>
  <si>
    <t>B10</t>
  </si>
  <si>
    <t>B11</t>
  </si>
  <si>
    <t>B12</t>
  </si>
  <si>
    <t>G5</t>
  </si>
  <si>
    <t>B13</t>
  </si>
  <si>
    <t>420+</t>
  </si>
  <si>
    <t>B14+</t>
  </si>
  <si>
    <t>Total bank</t>
  </si>
  <si>
    <t>Outstanding balance</t>
  </si>
  <si>
    <t>Writeoff balance</t>
  </si>
  <si>
    <t>Outstanding Bal/TB</t>
  </si>
  <si>
    <t>ANR for CII (B0+B1A)</t>
  </si>
  <si>
    <t>Performance</t>
  </si>
  <si>
    <t>Insurrance fee</t>
  </si>
  <si>
    <t>Other Income</t>
  </si>
  <si>
    <t>VARIABLE EXPENSES</t>
  </si>
  <si>
    <t>Lead Acquistion</t>
  </si>
  <si>
    <t>Sharing Performance</t>
  </si>
  <si>
    <t>Risk cap to CAKE</t>
  </si>
  <si>
    <t>Sharing TOI+ Risk DPD90+</t>
  </si>
  <si>
    <t>Sharing TOI+ Risk DPD180+</t>
  </si>
  <si>
    <t>Marketing_acquisition</t>
  </si>
  <si>
    <t>Underwriting Cost</t>
  </si>
  <si>
    <t>Expense Increase</t>
  </si>
  <si>
    <t>After sale service</t>
  </si>
  <si>
    <t>SMS &amp; Email</t>
  </si>
  <si>
    <t>OVERHEAD EXPENSES</t>
  </si>
  <si>
    <t>Provision</t>
  </si>
  <si>
    <t>Provision Rate</t>
  </si>
  <si>
    <t>VAS360</t>
  </si>
  <si>
    <t>VAS180</t>
  </si>
  <si>
    <t>Provision cost</t>
  </si>
  <si>
    <t>Accum.Provision</t>
  </si>
  <si>
    <t>VAS360+</t>
  </si>
  <si>
    <t xml:space="preserve"> </t>
  </si>
  <si>
    <t>VAS180+</t>
  </si>
  <si>
    <t>B9+</t>
  </si>
  <si>
    <t>Profit</t>
  </si>
  <si>
    <t>Proft before Provision,Overhead and support unit</t>
  </si>
  <si>
    <t>Profit before Overhead and support unit</t>
  </si>
  <si>
    <t>Beginning balance at AMC</t>
  </si>
  <si>
    <t>Moved to AMC</t>
  </si>
  <si>
    <t>Paid off</t>
  </si>
  <si>
    <t>Moved back to GB</t>
  </si>
  <si>
    <t>Ending at AMC</t>
  </si>
  <si>
    <t>Goodbank B0</t>
  </si>
  <si>
    <t>Beginning balance</t>
  </si>
  <si>
    <t>Paid-off</t>
  </si>
  <si>
    <t>Move to badbank</t>
  </si>
  <si>
    <t>From badbank</t>
  </si>
  <si>
    <t>Ending balance</t>
  </si>
  <si>
    <t>Goodbank B1+</t>
  </si>
  <si>
    <t>Checking</t>
  </si>
  <si>
    <t>Beginning balance at goodbook</t>
  </si>
  <si>
    <t>Ending at goodbook</t>
  </si>
  <si>
    <t>PROFIT &amp; LOSS 60M</t>
  </si>
  <si>
    <t>I.</t>
  </si>
  <si>
    <t>SALES PLAN</t>
  </si>
  <si>
    <t>Business month</t>
  </si>
  <si>
    <t>Don't delete</t>
  </si>
  <si>
    <t>New disbursement (bVND)</t>
  </si>
  <si>
    <t>II.</t>
  </si>
  <si>
    <t>PROFIT &amp; LOSS</t>
  </si>
  <si>
    <t>FISCAL YEAR</t>
  </si>
  <si>
    <t>Total</t>
  </si>
  <si>
    <t>bVND</t>
  </si>
  <si>
    <t>NEW DISBURSAL</t>
  </si>
  <si>
    <t>Monthly disbursement</t>
  </si>
  <si>
    <t>EOP</t>
  </si>
  <si>
    <t>ADB</t>
  </si>
  <si>
    <t>NII</t>
  </si>
  <si>
    <t>NFI</t>
  </si>
  <si>
    <t>Other TOI</t>
  </si>
  <si>
    <t>Sales incentives</t>
  </si>
  <si>
    <t>After-sales services</t>
  </si>
  <si>
    <t>In which: PROFIT BEFORE SU</t>
  </si>
  <si>
    <t>PL PROJECTION</t>
  </si>
  <si>
    <t>60 months</t>
  </si>
  <si>
    <t>Month on board</t>
  </si>
  <si>
    <t>Unit: mVND</t>
  </si>
  <si>
    <t>Early termination income</t>
  </si>
  <si>
    <t>Insurance fee</t>
  </si>
  <si>
    <t>Sale incentive&amp;mkt</t>
  </si>
  <si>
    <t>DOP</t>
  </si>
  <si>
    <t>EOP BY BUCKET</t>
  </si>
  <si>
    <t>B13+</t>
  </si>
  <si>
    <t>No. of account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</si>
</sst>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3" formatCode="_(* #,##0.00_);_(* \(#,##0.00\);_(* &quot;-&quot;??_);_(@_)"/>
    <numFmt numFmtId="164" formatCode="_-* #,##0.00\ _₫_-;\-* #,##0.00\ _₫_-;_-* &quot;-&quot;??\ _₫_-;_-@_-"/>
    <numFmt numFmtId="165" formatCode="_-* #,##0\ _₫_-;\-* #,##0\ _₫_-;_-* &quot;-&quot;??\ _₫_-;_-@_-"/>
    <numFmt numFmtId="166" formatCode="_(* #,##0.0_);_(* \(#,##0.0\);_(* &quot;-&quot;??_);_(@_)"/>
    <numFmt numFmtId="167" formatCode="_(* #,##0_);_(* \(#,##0\);_(* &quot;-&quot;??_);_(@_)"/>
    <numFmt numFmtId="168" formatCode="_(* #,##0.000_);_(* \(#,##0.000\);_(* &quot;-&quot;??_);_(@_)"/>
    <numFmt numFmtId="169" formatCode="0.0%"/>
    <numFmt numFmtId="170" formatCode="0.000%"/>
    <numFmt numFmtId="171" formatCode="_(* #,##0.0000_);_(* \(#,##0.0000\);_(* &quot;-&quot;??_);_(@_)"/>
    <numFmt numFmtId="172" formatCode="_(* #,##0.0000_);_(* \(#,##0.0000\);_(* &quot;-&quot;????_);_(@_)"/>
    <numFmt numFmtId="173" formatCode="[$-409]mmm\-yy;@"/>
    <numFmt numFmtId="174" formatCode="#,##0.0"/>
    <numFmt numFmtId="175" formatCode="[$-409]dd\-mmm\-yy;@"/>
  </numFmts>
  <fonts count="84" x14ac:knownFonts="1">
    <font>
      <sz val="12"/>
      <color theme="1"/>
      <name val="Aptos Narrow"/>
      <family val="2"/>
      <scheme val="minor"/>
    </font>
    <font>
      <b/>
      <sz val="15"/>
      <color theme="3"/>
      <name val="Aptos Narrow"/>
      <family val="2"/>
      <scheme val="minor"/>
    </font>
    <font>
      <sz val="11"/>
      <color theme="1"/>
      <name val="Aptos Narrow"/>
      <family val="2"/>
      <charset val="163"/>
      <scheme val="minor"/>
    </font>
    <font>
      <b/>
      <sz val="20"/>
      <color theme="1"/>
      <name val="Arial"/>
      <family val="2"/>
    </font>
    <font>
      <sz val="11"/>
      <color theme="1"/>
      <name val="Arial"/>
      <family val="2"/>
    </font>
    <font>
      <b/>
      <i/>
      <sz val="11"/>
      <color theme="1"/>
      <name val="Arial"/>
      <family val="2"/>
    </font>
    <font>
      <i/>
      <sz val="9"/>
      <color theme="3"/>
      <name val="Arial"/>
      <family val="2"/>
    </font>
    <font>
      <b/>
      <sz val="20"/>
      <color rgb="FFFF0000"/>
      <name val="Arial"/>
      <family val="2"/>
    </font>
    <font>
      <sz val="12"/>
      <name val="Arial"/>
      <family val="2"/>
    </font>
    <font>
      <b/>
      <sz val="12"/>
      <name val="Arial"/>
      <family val="2"/>
    </font>
    <font>
      <sz val="11"/>
      <color theme="1"/>
      <name val="Aptos Narrow"/>
      <family val="2"/>
      <scheme val="minor"/>
    </font>
    <font>
      <sz val="11"/>
      <color rgb="FFFF0000"/>
      <name val="Arial"/>
      <family val="2"/>
    </font>
    <font>
      <b/>
      <sz val="11"/>
      <color theme="1"/>
      <name val="Arial"/>
      <family val="2"/>
    </font>
    <font>
      <b/>
      <sz val="11"/>
      <color theme="1" tint="0.14999847407452621"/>
      <name val="Arial"/>
      <family val="2"/>
    </font>
    <font>
      <b/>
      <sz val="14"/>
      <color theme="1" tint="0.14999847407452621"/>
      <name val="Arial"/>
      <family val="2"/>
    </font>
    <font>
      <sz val="11"/>
      <color theme="1" tint="0.14999847407452621"/>
      <name val="Arial"/>
      <family val="2"/>
    </font>
    <font>
      <sz val="11"/>
      <name val="Arial"/>
      <family val="2"/>
    </font>
    <font>
      <b/>
      <sz val="11"/>
      <color rgb="FFFF0000"/>
      <name val="Arial"/>
      <family val="2"/>
    </font>
    <font>
      <sz val="10"/>
      <color theme="1" tint="0.14999847407452621"/>
      <name val="Arial"/>
      <family val="2"/>
    </font>
    <font>
      <sz val="10"/>
      <color theme="1"/>
      <name val="Arial"/>
      <family val="2"/>
    </font>
    <font>
      <sz val="10"/>
      <color theme="4" tint="-0.249977111117893"/>
      <name val="Arial"/>
      <family val="2"/>
    </font>
    <font>
      <i/>
      <sz val="10"/>
      <color theme="1" tint="0.34998626667073579"/>
      <name val="Arial"/>
      <family val="2"/>
    </font>
    <font>
      <b/>
      <sz val="10"/>
      <name val="Arial"/>
      <family val="2"/>
    </font>
    <font>
      <sz val="10"/>
      <color rgb="FFFF0000"/>
      <name val="Arial"/>
      <family val="2"/>
    </font>
    <font>
      <b/>
      <sz val="10"/>
      <color rgb="FFFF0000"/>
      <name val="Arial"/>
      <family val="2"/>
    </font>
    <font>
      <b/>
      <sz val="10"/>
      <color theme="1" tint="0.14999847407452621"/>
      <name val="Arial"/>
      <family val="2"/>
    </font>
    <font>
      <i/>
      <sz val="10"/>
      <color theme="1" tint="0.14999847407452621"/>
      <name val="Arial"/>
      <family val="2"/>
    </font>
    <font>
      <b/>
      <sz val="10"/>
      <color theme="4" tint="-0.249977111117893"/>
      <name val="Arial"/>
      <family val="2"/>
    </font>
    <font>
      <b/>
      <i/>
      <sz val="10"/>
      <color theme="1" tint="0.14999847407452621"/>
      <name val="Arial"/>
      <family val="2"/>
    </font>
    <font>
      <u/>
      <sz val="11"/>
      <color theme="10"/>
      <name val="Aptos Narrow"/>
      <family val="2"/>
      <scheme val="minor"/>
    </font>
    <font>
      <i/>
      <sz val="8"/>
      <color theme="1" tint="0.34998626667073579"/>
      <name val="Arial"/>
      <family val="2"/>
    </font>
    <font>
      <sz val="9"/>
      <name val="Arial"/>
      <family val="2"/>
    </font>
    <font>
      <sz val="9"/>
      <color theme="1" tint="0.14999847407452621"/>
      <name val="Arial"/>
      <family val="2"/>
    </font>
    <font>
      <b/>
      <sz val="10"/>
      <color theme="1"/>
      <name val="Arial"/>
      <family val="2"/>
    </font>
    <font>
      <sz val="10"/>
      <color theme="0" tint="-0.249977111117893"/>
      <name val="Arial"/>
      <family val="2"/>
    </font>
    <font>
      <b/>
      <sz val="8"/>
      <color theme="1" tint="0.14999847407452621"/>
      <name val="Arial"/>
      <family val="2"/>
    </font>
    <font>
      <sz val="8"/>
      <color theme="1" tint="0.14999847407452621"/>
      <name val="Arial"/>
      <family val="2"/>
    </font>
    <font>
      <sz val="8"/>
      <color theme="0"/>
      <name val="Arial"/>
      <family val="2"/>
    </font>
    <font>
      <b/>
      <sz val="16"/>
      <color theme="1" tint="0.14999847407452621"/>
      <name val="Arial"/>
      <family val="2"/>
    </font>
    <font>
      <sz val="15"/>
      <name val="Arial"/>
      <family val="2"/>
    </font>
    <font>
      <sz val="15"/>
      <color theme="0"/>
      <name val="Arial"/>
      <family val="2"/>
    </font>
    <font>
      <sz val="15"/>
      <color theme="1" tint="0.14999847407452621"/>
      <name val="Arial"/>
      <family val="2"/>
    </font>
    <font>
      <b/>
      <i/>
      <sz val="9"/>
      <color theme="3" tint="0.249977111117893"/>
      <name val="Arial"/>
      <family val="2"/>
    </font>
    <font>
      <i/>
      <sz val="9"/>
      <color theme="3" tint="0.249977111117893"/>
      <name val="Arial"/>
      <family val="2"/>
    </font>
    <font>
      <b/>
      <sz val="8"/>
      <color theme="0"/>
      <name val="Arial"/>
      <family val="2"/>
    </font>
    <font>
      <sz val="8"/>
      <name val="Arial"/>
      <family val="2"/>
    </font>
    <font>
      <i/>
      <sz val="10"/>
      <color theme="1"/>
      <name val="Arial"/>
      <family val="2"/>
    </font>
    <font>
      <sz val="10"/>
      <color theme="0"/>
      <name val="Arial"/>
      <family val="2"/>
    </font>
    <font>
      <b/>
      <sz val="9"/>
      <color theme="1" tint="0.14999847407452621"/>
      <name val="Arial"/>
      <family val="2"/>
    </font>
    <font>
      <sz val="10"/>
      <name val="Arial"/>
      <family val="2"/>
    </font>
    <font>
      <b/>
      <sz val="8"/>
      <name val="Arial"/>
      <family val="2"/>
    </font>
    <font>
      <i/>
      <sz val="8"/>
      <color theme="3"/>
      <name val="Arial"/>
      <family val="2"/>
    </font>
    <font>
      <i/>
      <sz val="8"/>
      <color theme="1" tint="0.14999847407452621"/>
      <name val="Arial"/>
      <family val="2"/>
    </font>
    <font>
      <b/>
      <i/>
      <sz val="8"/>
      <color theme="1" tint="0.14999847407452621"/>
      <name val="Arial"/>
      <family val="2"/>
    </font>
    <font>
      <b/>
      <i/>
      <sz val="8"/>
      <color theme="3"/>
      <name val="Arial"/>
      <family val="2"/>
    </font>
    <font>
      <b/>
      <sz val="8"/>
      <color theme="0" tint="-0.34998626667073579"/>
      <name val="Arial"/>
      <family val="2"/>
    </font>
    <font>
      <i/>
      <sz val="8"/>
      <color theme="1" tint="0.499984740745262"/>
      <name val="Arial"/>
      <family val="2"/>
    </font>
    <font>
      <sz val="8"/>
      <color rgb="FFFF0000"/>
      <name val="Arial"/>
      <family val="2"/>
    </font>
    <font>
      <i/>
      <sz val="8"/>
      <name val="Arial"/>
      <family val="2"/>
    </font>
    <font>
      <sz val="8"/>
      <color theme="1"/>
      <name val="Arial"/>
      <family val="2"/>
    </font>
    <font>
      <i/>
      <sz val="8"/>
      <color rgb="FFFF0000"/>
      <name val="Arial"/>
      <family val="2"/>
    </font>
    <font>
      <sz val="8"/>
      <color theme="0" tint="-0.34998626667073579"/>
      <name val="Arial"/>
      <family val="2"/>
    </font>
    <font>
      <b/>
      <sz val="8"/>
      <color rgb="FFFF0000"/>
      <name val="Arial"/>
      <family val="2"/>
    </font>
    <font>
      <sz val="11"/>
      <color rgb="FF3F3F76"/>
      <name val="Aptos Narrow"/>
      <family val="2"/>
      <scheme val="minor"/>
    </font>
    <font>
      <sz val="9"/>
      <color theme="0"/>
      <name val="Arial"/>
      <family val="2"/>
    </font>
    <font>
      <b/>
      <sz val="11"/>
      <color theme="1"/>
      <name val="Aptos Narrow"/>
      <family val="2"/>
      <scheme val="minor"/>
    </font>
    <font>
      <sz val="11"/>
      <color rgb="FFFF0000"/>
      <name val="Aptos Narrow"/>
      <family val="2"/>
      <scheme val="minor"/>
    </font>
    <font>
      <b/>
      <sz val="16"/>
      <name val="Arial"/>
      <family val="2"/>
    </font>
    <font>
      <b/>
      <i/>
      <sz val="8"/>
      <name val="Arial"/>
      <family val="2"/>
    </font>
    <font>
      <b/>
      <i/>
      <sz val="9"/>
      <name val="Arial"/>
      <family val="2"/>
    </font>
    <font>
      <b/>
      <sz val="8"/>
      <color theme="4"/>
      <name val="Arial"/>
      <family val="2"/>
    </font>
    <font>
      <b/>
      <sz val="18"/>
      <color theme="0" tint="-0.499984740745262"/>
      <name val="Arial"/>
      <family val="2"/>
    </font>
    <font>
      <sz val="8"/>
      <color theme="0" tint="-0.499984740745262"/>
      <name val="Arial"/>
      <family val="2"/>
    </font>
    <font>
      <b/>
      <sz val="10"/>
      <color theme="1" tint="0.34998626667073579"/>
      <name val="Arial"/>
      <family val="2"/>
    </font>
    <font>
      <b/>
      <sz val="10"/>
      <color theme="0"/>
      <name val="Arial"/>
      <family val="2"/>
    </font>
    <font>
      <sz val="10"/>
      <color rgb="FF000000"/>
      <name val="Arial"/>
      <family val="2"/>
    </font>
    <font>
      <b/>
      <sz val="8"/>
      <color theme="1"/>
      <name val="Aptos Narrow"/>
      <family val="2"/>
      <scheme val="minor"/>
    </font>
    <font>
      <sz val="8"/>
      <color theme="1"/>
      <name val="Aptos Narrow"/>
      <family val="2"/>
      <scheme val="minor"/>
    </font>
    <font>
      <sz val="8"/>
      <color theme="0" tint="-0.249977111117893"/>
      <name val="Aptos Narrow"/>
      <family val="2"/>
      <scheme val="minor"/>
    </font>
    <font>
      <b/>
      <sz val="8"/>
      <color theme="0"/>
      <name val="Aptos Narrow"/>
      <family val="2"/>
      <scheme val="minor"/>
    </font>
    <font>
      <sz val="8"/>
      <color theme="0"/>
      <name val="Aptos Narrow"/>
      <family val="2"/>
      <scheme val="minor"/>
    </font>
    <font>
      <b/>
      <sz val="8"/>
      <color theme="0" tint="-0.249977111117893"/>
      <name val="Aptos Narrow"/>
      <family val="2"/>
      <scheme val="minor"/>
    </font>
    <font>
      <b/>
      <sz val="8"/>
      <color rgb="FFFF0000"/>
      <name val="Aptos Narrow"/>
      <family val="2"/>
      <scheme val="minor"/>
    </font>
    <font>
      <sz val="8"/>
      <color rgb="FFFF0000"/>
      <name val="Aptos Narrow"/>
      <family val="2"/>
      <scheme val="minor"/>
    </font>
  </fonts>
  <fills count="13">
    <fill>
      <patternFill patternType="none"/>
    </fill>
    <fill>
      <patternFill patternType="gray125"/>
    </fill>
    <fill>
      <patternFill patternType="solid">
        <fgColor rgb="FFFFCC99"/>
      </patternFill>
    </fill>
    <fill>
      <patternFill patternType="solid">
        <fgColor rgb="FFFFFF00"/>
        <bgColor indexed="64"/>
      </patternFill>
    </fill>
    <fill>
      <patternFill patternType="solid">
        <fgColor theme="9" tint="0.79998168889431442"/>
        <bgColor indexed="64"/>
      </patternFill>
    </fill>
    <fill>
      <patternFill patternType="solid">
        <fgColor theme="4" tint="0.79998168889431442"/>
        <bgColor theme="4" tint="0.79998168889431442"/>
      </patternFill>
    </fill>
    <fill>
      <patternFill patternType="solid">
        <fgColor theme="0" tint="-0.249977111117893"/>
        <bgColor indexed="64"/>
      </patternFill>
    </fill>
    <fill>
      <patternFill patternType="solid">
        <fgColor theme="9" tint="0.59999389629810485"/>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0" tint="-0.14999847407452621"/>
        <bgColor indexed="64"/>
      </patternFill>
    </fill>
    <fill>
      <patternFill patternType="solid">
        <fgColor rgb="FFFFFF00"/>
        <bgColor rgb="FF000000"/>
      </patternFill>
    </fill>
    <fill>
      <patternFill patternType="solid">
        <fgColor theme="1" tint="0.34998626667073579"/>
        <bgColor indexed="64"/>
      </patternFill>
    </fill>
  </fills>
  <borders count="17">
    <border>
      <left/>
      <right/>
      <top/>
      <bottom/>
      <diagonal/>
    </border>
    <border>
      <left/>
      <right/>
      <top/>
      <bottom style="thick">
        <color theme="4"/>
      </bottom>
      <diagonal/>
    </border>
    <border>
      <left style="thin">
        <color rgb="FF7F7F7F"/>
      </left>
      <right style="thin">
        <color rgb="FF7F7F7F"/>
      </right>
      <top style="thin">
        <color rgb="FF7F7F7F"/>
      </top>
      <bottom style="thin">
        <color rgb="FF7F7F7F"/>
      </bottom>
      <diagonal/>
    </border>
    <border>
      <left/>
      <right/>
      <top/>
      <bottom style="thick">
        <color rgb="FF00B050"/>
      </bottom>
      <diagonal/>
    </border>
    <border>
      <left/>
      <right/>
      <top/>
      <bottom style="medium">
        <color theme="0" tint="-0.24994659260841701"/>
      </bottom>
      <diagonal/>
    </border>
    <border>
      <left/>
      <right/>
      <top style="medium">
        <color theme="0" tint="-0.24994659260841701"/>
      </top>
      <bottom style="medium">
        <color theme="0" tint="-0.24994659260841701"/>
      </bottom>
      <diagonal/>
    </border>
    <border>
      <left/>
      <right/>
      <top/>
      <bottom style="medium">
        <color rgb="FF00B050"/>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top/>
      <bottom style="thin">
        <color theme="0" tint="-0.499984740745262"/>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indexed="64"/>
      </left>
      <right style="thin">
        <color indexed="64"/>
      </right>
      <top style="thin">
        <color indexed="64"/>
      </top>
      <bottom style="thin">
        <color indexed="64"/>
      </bottom>
      <diagonal/>
    </border>
    <border>
      <left/>
      <right/>
      <top/>
      <bottom style="thin">
        <color theme="4" tint="0.39997558519241921"/>
      </bottom>
      <diagonal/>
    </border>
    <border>
      <left/>
      <right/>
      <top style="thin">
        <color theme="4" tint="0.39997558519241921"/>
      </top>
      <bottom/>
      <diagonal/>
    </border>
    <border>
      <left/>
      <right/>
      <top/>
      <bottom style="thick">
        <color theme="5" tint="-0.24994659260841701"/>
      </bottom>
      <diagonal/>
    </border>
    <border>
      <left style="thin">
        <color rgb="FF808080"/>
      </left>
      <right style="thin">
        <color rgb="FF808080"/>
      </right>
      <top/>
      <bottom/>
      <diagonal/>
    </border>
    <border>
      <left/>
      <right/>
      <top/>
      <bottom style="thin">
        <color indexed="64"/>
      </bottom>
      <diagonal/>
    </border>
  </borders>
  <cellStyleXfs count="10">
    <xf numFmtId="0" fontId="0" fillId="0" borderId="0"/>
    <xf numFmtId="0" fontId="2" fillId="0" borderId="0"/>
    <xf numFmtId="0" fontId="10" fillId="0" borderId="0"/>
    <xf numFmtId="0" fontId="10" fillId="0" borderId="0"/>
    <xf numFmtId="0" fontId="29" fillId="0" borderId="0" applyNumberFormat="0" applyFill="0" applyBorder="0" applyAlignment="0" applyProtection="0"/>
    <xf numFmtId="43" fontId="10" fillId="0" borderId="0" applyFont="0" applyFill="0" applyBorder="0" applyAlignment="0" applyProtection="0"/>
    <xf numFmtId="9" fontId="10" fillId="0" borderId="0" applyFont="0" applyFill="0" applyBorder="0" applyAlignment="0" applyProtection="0"/>
    <xf numFmtId="164" fontId="2" fillId="0" borderId="0" applyFont="0" applyFill="0" applyBorder="0" applyAlignment="0" applyProtection="0"/>
    <xf numFmtId="0" fontId="63" fillId="2" borderId="2" applyNumberFormat="0" applyAlignment="0" applyProtection="0"/>
    <xf numFmtId="0" fontId="1" fillId="0" borderId="1" applyNumberFormat="0" applyFill="0" applyAlignment="0" applyProtection="0"/>
  </cellStyleXfs>
  <cellXfs count="378">
    <xf numFmtId="0" fontId="0" fillId="0" borderId="0" xfId="0"/>
    <xf numFmtId="0" fontId="3" fillId="0" borderId="0" xfId="1" applyFont="1"/>
    <xf numFmtId="0" fontId="4" fillId="0" borderId="0" xfId="1" applyFont="1"/>
    <xf numFmtId="0" fontId="5" fillId="0" borderId="0" xfId="1" applyFont="1"/>
    <xf numFmtId="0" fontId="6" fillId="0" borderId="0" xfId="1" applyFont="1"/>
    <xf numFmtId="0" fontId="7" fillId="0" borderId="0" xfId="1" applyFont="1" applyAlignment="1">
      <alignment vertical="center"/>
    </xf>
    <xf numFmtId="0" fontId="8" fillId="0" borderId="0" xfId="1" applyFont="1"/>
    <xf numFmtId="0" fontId="9" fillId="0" borderId="0" xfId="1" applyFont="1" applyAlignment="1">
      <alignment vertical="center"/>
    </xf>
    <xf numFmtId="0" fontId="4" fillId="0" borderId="0" xfId="2" quotePrefix="1" applyFont="1" applyAlignment="1">
      <alignment vertical="center"/>
    </xf>
    <xf numFmtId="0" fontId="4" fillId="0" borderId="0" xfId="2" applyFont="1"/>
    <xf numFmtId="0" fontId="12" fillId="0" borderId="0" xfId="1" applyFont="1"/>
    <xf numFmtId="0" fontId="12" fillId="0" borderId="0" xfId="2" quotePrefix="1" applyFont="1" applyAlignment="1">
      <alignment vertical="center"/>
    </xf>
    <xf numFmtId="0" fontId="4" fillId="3" borderId="0" xfId="2" quotePrefix="1" applyFont="1" applyFill="1" applyAlignment="1">
      <alignment vertical="center"/>
    </xf>
    <xf numFmtId="0" fontId="4" fillId="3" borderId="0" xfId="1" applyFont="1" applyFill="1"/>
    <xf numFmtId="0" fontId="4" fillId="0" borderId="0" xfId="2" quotePrefix="1" applyFont="1"/>
    <xf numFmtId="0" fontId="4" fillId="0" borderId="0" xfId="1" quotePrefix="1" applyFont="1"/>
    <xf numFmtId="0" fontId="13" fillId="0" borderId="3" xfId="3" applyFont="1" applyBorder="1"/>
    <xf numFmtId="0" fontId="14" fillId="0" borderId="3" xfId="3" applyFont="1" applyBorder="1"/>
    <xf numFmtId="0" fontId="15" fillId="0" borderId="3" xfId="3" applyFont="1" applyBorder="1"/>
    <xf numFmtId="0" fontId="16" fillId="0" borderId="3" xfId="3" applyFont="1" applyBorder="1"/>
    <xf numFmtId="0" fontId="17" fillId="0" borderId="0" xfId="1" applyFont="1" applyAlignment="1">
      <alignment vertical="center"/>
    </xf>
    <xf numFmtId="0" fontId="11" fillId="0" borderId="0" xfId="1" applyFont="1"/>
    <xf numFmtId="0" fontId="11" fillId="0" borderId="0" xfId="2" applyFont="1"/>
    <xf numFmtId="0" fontId="17" fillId="0" borderId="0" xfId="1" applyFont="1"/>
    <xf numFmtId="0" fontId="18" fillId="0" borderId="0" xfId="3" applyFont="1"/>
    <xf numFmtId="0" fontId="19" fillId="0" borderId="0" xfId="2" applyFont="1"/>
    <xf numFmtId="0" fontId="20" fillId="0" borderId="0" xfId="1" applyFont="1"/>
    <xf numFmtId="0" fontId="19" fillId="0" borderId="0" xfId="1" applyFont="1"/>
    <xf numFmtId="0" fontId="21" fillId="0" borderId="0" xfId="1" applyFont="1"/>
    <xf numFmtId="0" fontId="13" fillId="0" borderId="0" xfId="3" applyFont="1"/>
    <xf numFmtId="0" fontId="22" fillId="0" borderId="0" xfId="3" applyFont="1"/>
    <xf numFmtId="0" fontId="23" fillId="0" borderId="0" xfId="1" applyFont="1"/>
    <xf numFmtId="0" fontId="23" fillId="0" borderId="0" xfId="2" applyFont="1"/>
    <xf numFmtId="0" fontId="24" fillId="0" borderId="0" xfId="1" applyFont="1"/>
    <xf numFmtId="0" fontId="21" fillId="0" borderId="0" xfId="1" quotePrefix="1" applyFont="1"/>
    <xf numFmtId="0" fontId="19" fillId="0" borderId="0" xfId="2" quotePrefix="1" applyFont="1" applyAlignment="1">
      <alignment vertical="center"/>
    </xf>
    <xf numFmtId="0" fontId="25" fillId="0" borderId="0" xfId="3" applyFont="1"/>
    <xf numFmtId="0" fontId="26" fillId="0" borderId="0" xfId="3" applyFont="1"/>
    <xf numFmtId="0" fontId="27" fillId="0" borderId="0" xfId="1" applyFont="1"/>
    <xf numFmtId="0" fontId="28" fillId="0" borderId="0" xfId="3" applyFont="1"/>
    <xf numFmtId="0" fontId="29" fillId="0" borderId="0" xfId="4" quotePrefix="1"/>
    <xf numFmtId="0" fontId="29" fillId="0" borderId="0" xfId="4" applyAlignment="1">
      <alignment vertical="center"/>
    </xf>
    <xf numFmtId="0" fontId="30" fillId="0" borderId="0" xfId="1" quotePrefix="1" applyFont="1"/>
    <xf numFmtId="0" fontId="4" fillId="0" borderId="0" xfId="2" applyFont="1" applyAlignment="1">
      <alignment vertical="center"/>
    </xf>
    <xf numFmtId="0" fontId="31" fillId="0" borderId="3" xfId="3" applyFont="1" applyBorder="1"/>
    <xf numFmtId="0" fontId="25" fillId="0" borderId="3" xfId="3" applyFont="1" applyBorder="1"/>
    <xf numFmtId="0" fontId="32" fillId="0" borderId="3" xfId="3" applyFont="1" applyBorder="1"/>
    <xf numFmtId="0" fontId="25" fillId="0" borderId="0" xfId="3" applyFont="1" applyAlignment="1">
      <alignment horizontal="left" vertical="center"/>
    </xf>
    <xf numFmtId="0" fontId="33" fillId="0" borderId="0" xfId="3" applyFont="1"/>
    <xf numFmtId="0" fontId="34" fillId="0" borderId="0" xfId="3" applyFont="1"/>
    <xf numFmtId="0" fontId="35" fillId="0" borderId="0" xfId="3" applyFont="1"/>
    <xf numFmtId="0" fontId="36" fillId="0" borderId="0" xfId="3" applyFont="1"/>
    <xf numFmtId="0" fontId="37" fillId="0" borderId="0" xfId="3" applyFont="1"/>
    <xf numFmtId="0" fontId="38" fillId="0" borderId="0" xfId="3" applyFont="1"/>
    <xf numFmtId="0" fontId="39" fillId="0" borderId="0" xfId="3" applyFont="1"/>
    <xf numFmtId="0" fontId="40" fillId="0" borderId="0" xfId="3" applyFont="1"/>
    <xf numFmtId="0" fontId="41" fillId="0" borderId="0" xfId="3" applyFont="1"/>
    <xf numFmtId="43" fontId="39" fillId="0" borderId="0" xfId="5" applyFont="1" applyFill="1" applyBorder="1"/>
    <xf numFmtId="0" fontId="42" fillId="0" borderId="0" xfId="3" applyFont="1"/>
    <xf numFmtId="0" fontId="43" fillId="0" borderId="0" xfId="3" applyFont="1"/>
    <xf numFmtId="10" fontId="43" fillId="0" borderId="0" xfId="6" applyNumberFormat="1" applyFont="1" applyFill="1" applyBorder="1"/>
    <xf numFmtId="0" fontId="24" fillId="0" borderId="0" xfId="3" applyFont="1"/>
    <xf numFmtId="43" fontId="43" fillId="0" borderId="0" xfId="5" applyFont="1" applyFill="1" applyBorder="1"/>
    <xf numFmtId="0" fontId="44" fillId="0" borderId="0" xfId="3" applyFont="1"/>
    <xf numFmtId="0" fontId="23" fillId="0" borderId="0" xfId="3" applyFont="1"/>
    <xf numFmtId="10" fontId="45" fillId="0" borderId="0" xfId="6" applyNumberFormat="1" applyFont="1" applyFill="1" applyBorder="1"/>
    <xf numFmtId="0" fontId="46" fillId="0" borderId="0" xfId="3" applyFont="1"/>
    <xf numFmtId="0" fontId="19" fillId="0" borderId="0" xfId="3" applyFont="1"/>
    <xf numFmtId="0" fontId="32" fillId="0" borderId="0" xfId="3" applyFont="1"/>
    <xf numFmtId="0" fontId="25" fillId="0" borderId="4" xfId="3" applyFont="1" applyBorder="1"/>
    <xf numFmtId="0" fontId="47" fillId="0" borderId="0" xfId="3" applyFont="1"/>
    <xf numFmtId="0" fontId="25" fillId="0" borderId="4" xfId="3" applyFont="1" applyBorder="1" applyAlignment="1">
      <alignment horizontal="right"/>
    </xf>
    <xf numFmtId="1" fontId="47" fillId="0" borderId="0" xfId="3" applyNumberFormat="1" applyFont="1"/>
    <xf numFmtId="0" fontId="29" fillId="0" borderId="0" xfId="4" applyAlignment="1" applyProtection="1"/>
    <xf numFmtId="0" fontId="25" fillId="0" borderId="5" xfId="3" applyFont="1" applyBorder="1"/>
    <xf numFmtId="0" fontId="31" fillId="0" borderId="0" xfId="3" applyFont="1"/>
    <xf numFmtId="0" fontId="25" fillId="0" borderId="5" xfId="3" applyFont="1" applyBorder="1" applyAlignment="1">
      <alignment horizontal="right"/>
    </xf>
    <xf numFmtId="0" fontId="48" fillId="0" borderId="0" xfId="3" applyFont="1" applyAlignment="1">
      <alignment horizontal="left"/>
    </xf>
    <xf numFmtId="164" fontId="22" fillId="0" borderId="0" xfId="7" applyFont="1" applyFill="1" applyBorder="1" applyAlignment="1">
      <alignment horizontal="left"/>
    </xf>
    <xf numFmtId="43" fontId="22" fillId="0" borderId="0" xfId="7" applyNumberFormat="1" applyFont="1" applyBorder="1" applyAlignment="1">
      <alignment horizontal="right"/>
    </xf>
    <xf numFmtId="43" fontId="31" fillId="0" borderId="0" xfId="5" applyFont="1" applyFill="1" applyBorder="1"/>
    <xf numFmtId="165" fontId="49" fillId="0" borderId="0" xfId="7" applyNumberFormat="1" applyFont="1" applyBorder="1" applyAlignment="1">
      <alignment horizontal="right"/>
    </xf>
    <xf numFmtId="0" fontId="36" fillId="0" borderId="3" xfId="3" applyFont="1" applyBorder="1"/>
    <xf numFmtId="0" fontId="45" fillId="0" borderId="3" xfId="3" applyFont="1" applyBorder="1"/>
    <xf numFmtId="0" fontId="45" fillId="0" borderId="0" xfId="3" applyFont="1"/>
    <xf numFmtId="0" fontId="25" fillId="0" borderId="6" xfId="3" applyFont="1" applyBorder="1"/>
    <xf numFmtId="0" fontId="36" fillId="0" borderId="6" xfId="3" applyFont="1" applyBorder="1"/>
    <xf numFmtId="43" fontId="36" fillId="0" borderId="0" xfId="3" applyNumberFormat="1" applyFont="1"/>
    <xf numFmtId="43" fontId="45" fillId="0" borderId="0" xfId="5" applyFont="1" applyFill="1" applyBorder="1"/>
    <xf numFmtId="166" fontId="36" fillId="3" borderId="7" xfId="5" applyNumberFormat="1" applyFont="1" applyFill="1" applyBorder="1" applyAlignment="1">
      <alignment horizontal="right" wrapText="1"/>
    </xf>
    <xf numFmtId="167" fontId="36" fillId="0" borderId="0" xfId="5" applyNumberFormat="1" applyFont="1" applyFill="1"/>
    <xf numFmtId="0" fontId="48" fillId="0" borderId="0" xfId="3" applyFont="1"/>
    <xf numFmtId="0" fontId="35" fillId="0" borderId="0" xfId="3" applyFont="1" applyAlignment="1">
      <alignment horizontal="center" vertical="center"/>
    </xf>
    <xf numFmtId="0" fontId="35" fillId="0" borderId="0" xfId="3" applyFont="1" applyAlignment="1">
      <alignment horizontal="right"/>
    </xf>
    <xf numFmtId="43" fontId="50" fillId="0" borderId="0" xfId="5" applyFont="1" applyFill="1" applyBorder="1"/>
    <xf numFmtId="167" fontId="35" fillId="3" borderId="7" xfId="5" applyNumberFormat="1" applyFont="1" applyFill="1" applyBorder="1" applyAlignment="1">
      <alignment horizontal="right"/>
    </xf>
    <xf numFmtId="168" fontId="35" fillId="0" borderId="8" xfId="5" applyNumberFormat="1" applyFont="1" applyFill="1" applyBorder="1"/>
    <xf numFmtId="43" fontId="35" fillId="0" borderId="8" xfId="5" applyFont="1" applyFill="1" applyBorder="1"/>
    <xf numFmtId="10" fontId="35" fillId="0" borderId="8" xfId="3" applyNumberFormat="1" applyFont="1" applyBorder="1"/>
    <xf numFmtId="169" fontId="35" fillId="0" borderId="8" xfId="6" applyNumberFormat="1" applyFont="1" applyFill="1" applyBorder="1"/>
    <xf numFmtId="2" fontId="36" fillId="3" borderId="7" xfId="3" applyNumberFormat="1" applyFont="1" applyFill="1" applyBorder="1" applyAlignment="1">
      <alignment horizontal="right"/>
    </xf>
    <xf numFmtId="43" fontId="36" fillId="0" borderId="0" xfId="5" applyFont="1" applyFill="1"/>
    <xf numFmtId="43" fontId="45" fillId="0" borderId="0" xfId="6" applyNumberFormat="1" applyFont="1" applyFill="1"/>
    <xf numFmtId="0" fontId="36" fillId="0" borderId="0" xfId="3" applyFont="1" applyAlignment="1">
      <alignment wrapText="1"/>
    </xf>
    <xf numFmtId="10" fontId="35" fillId="0" borderId="8" xfId="6" applyNumberFormat="1" applyFont="1" applyFill="1" applyBorder="1"/>
    <xf numFmtId="167" fontId="36" fillId="3" borderId="7" xfId="5" applyNumberFormat="1" applyFont="1" applyFill="1" applyBorder="1" applyAlignment="1">
      <alignment horizontal="right"/>
    </xf>
    <xf numFmtId="10" fontId="45" fillId="0" borderId="0" xfId="3" applyNumberFormat="1" applyFont="1"/>
    <xf numFmtId="0" fontId="36" fillId="0" borderId="0" xfId="3" applyFont="1" applyAlignment="1">
      <alignment horizontal="left" indent="1"/>
    </xf>
    <xf numFmtId="168" fontId="36" fillId="0" borderId="8" xfId="5" applyNumberFormat="1" applyFont="1" applyFill="1" applyBorder="1"/>
    <xf numFmtId="43" fontId="36" fillId="0" borderId="8" xfId="5" applyFont="1" applyFill="1" applyBorder="1"/>
    <xf numFmtId="10" fontId="36" fillId="0" borderId="8" xfId="6" applyNumberFormat="1" applyFont="1" applyFill="1" applyBorder="1"/>
    <xf numFmtId="169" fontId="36" fillId="0" borderId="8" xfId="6" applyNumberFormat="1" applyFont="1" applyFill="1" applyBorder="1"/>
    <xf numFmtId="167" fontId="36" fillId="0" borderId="7" xfId="5" applyNumberFormat="1" applyFont="1" applyFill="1" applyBorder="1" applyAlignment="1">
      <alignment horizontal="right"/>
    </xf>
    <xf numFmtId="1" fontId="36" fillId="0" borderId="0" xfId="3" applyNumberFormat="1" applyFont="1"/>
    <xf numFmtId="0" fontId="51" fillId="0" borderId="9" xfId="3" applyFont="1" applyBorder="1"/>
    <xf numFmtId="0" fontId="51" fillId="0" borderId="0" xfId="3" applyFont="1"/>
    <xf numFmtId="9" fontId="36" fillId="0" borderId="0" xfId="6" applyFont="1"/>
    <xf numFmtId="169" fontId="36" fillId="0" borderId="0" xfId="6" applyNumberFormat="1" applyFont="1"/>
    <xf numFmtId="170" fontId="36" fillId="0" borderId="0" xfId="3" applyNumberFormat="1" applyFont="1"/>
    <xf numFmtId="0" fontId="35" fillId="0" borderId="10" xfId="3" applyFont="1" applyBorder="1" applyAlignment="1">
      <alignment horizontal="right"/>
    </xf>
    <xf numFmtId="0" fontId="50" fillId="0" borderId="10" xfId="3" applyFont="1" applyBorder="1" applyAlignment="1">
      <alignment horizontal="right"/>
    </xf>
    <xf numFmtId="0" fontId="36" fillId="3" borderId="10" xfId="3" applyFont="1" applyFill="1" applyBorder="1" applyAlignment="1">
      <alignment horizontal="right"/>
    </xf>
    <xf numFmtId="1" fontId="45" fillId="3" borderId="10" xfId="3" applyNumberFormat="1" applyFont="1" applyFill="1" applyBorder="1" applyAlignment="1">
      <alignment horizontal="right"/>
    </xf>
    <xf numFmtId="10" fontId="36" fillId="3" borderId="10" xfId="6" applyNumberFormat="1" applyFont="1" applyFill="1" applyBorder="1" applyAlignment="1">
      <alignment horizontal="right"/>
    </xf>
    <xf numFmtId="10" fontId="36" fillId="0" borderId="10" xfId="6" applyNumberFormat="1" applyFont="1" applyFill="1" applyBorder="1" applyAlignment="1">
      <alignment horizontal="right"/>
    </xf>
    <xf numFmtId="167" fontId="45" fillId="3" borderId="10" xfId="3" applyNumberFormat="1" applyFont="1" applyFill="1" applyBorder="1" applyAlignment="1">
      <alignment horizontal="right"/>
    </xf>
    <xf numFmtId="168" fontId="36" fillId="0" borderId="8" xfId="3" applyNumberFormat="1" applyFont="1" applyBorder="1"/>
    <xf numFmtId="43" fontId="36" fillId="0" borderId="8" xfId="3" applyNumberFormat="1" applyFont="1" applyBorder="1"/>
    <xf numFmtId="0" fontId="36" fillId="0" borderId="10" xfId="3" applyFont="1" applyBorder="1" applyAlignment="1">
      <alignment horizontal="right"/>
    </xf>
    <xf numFmtId="0" fontId="45" fillId="0" borderId="10" xfId="3" applyFont="1" applyBorder="1" applyAlignment="1">
      <alignment horizontal="right"/>
    </xf>
    <xf numFmtId="9" fontId="36" fillId="0" borderId="10" xfId="6" applyFont="1" applyFill="1" applyBorder="1" applyAlignment="1">
      <alignment horizontal="right"/>
    </xf>
    <xf numFmtId="10" fontId="36" fillId="0" borderId="0" xfId="6" applyNumberFormat="1" applyFont="1"/>
    <xf numFmtId="10" fontId="36" fillId="0" borderId="0" xfId="3" applyNumberFormat="1" applyFont="1"/>
    <xf numFmtId="0" fontId="53" fillId="0" borderId="0" xfId="3" applyFont="1"/>
    <xf numFmtId="0" fontId="54" fillId="0" borderId="0" xfId="3" applyFont="1"/>
    <xf numFmtId="0" fontId="37" fillId="0" borderId="0" xfId="3" applyFont="1" applyAlignment="1">
      <alignment wrapText="1"/>
    </xf>
    <xf numFmtId="0" fontId="35" fillId="0" borderId="10" xfId="3" applyFont="1" applyBorder="1" applyAlignment="1">
      <alignment horizontal="center" vertical="center" wrapText="1"/>
    </xf>
    <xf numFmtId="0" fontId="50" fillId="0" borderId="10" xfId="3" applyFont="1" applyBorder="1" applyAlignment="1">
      <alignment horizontal="center" vertical="center" wrapText="1"/>
    </xf>
    <xf numFmtId="0" fontId="55" fillId="0" borderId="10" xfId="3" applyFont="1" applyBorder="1" applyAlignment="1">
      <alignment horizontal="center" vertical="center" wrapText="1"/>
    </xf>
    <xf numFmtId="0" fontId="52" fillId="0" borderId="0" xfId="3" applyFont="1"/>
    <xf numFmtId="43" fontId="45" fillId="0" borderId="0" xfId="5" applyFont="1" applyFill="1"/>
    <xf numFmtId="10" fontId="50" fillId="0" borderId="0" xfId="6" applyNumberFormat="1" applyFont="1" applyFill="1" applyBorder="1"/>
    <xf numFmtId="167" fontId="37" fillId="0" borderId="0" xfId="5" applyNumberFormat="1" applyFont="1" applyFill="1"/>
    <xf numFmtId="167" fontId="36" fillId="3" borderId="10" xfId="5" applyNumberFormat="1" applyFont="1" applyFill="1" applyBorder="1" applyAlignment="1">
      <alignment horizontal="right"/>
    </xf>
    <xf numFmtId="167" fontId="45" fillId="3" borderId="10" xfId="5" applyNumberFormat="1" applyFont="1" applyFill="1" applyBorder="1" applyAlignment="1">
      <alignment horizontal="right"/>
    </xf>
    <xf numFmtId="10" fontId="45" fillId="3" borderId="10" xfId="6" applyNumberFormat="1" applyFont="1" applyFill="1" applyBorder="1" applyAlignment="1">
      <alignment horizontal="right"/>
    </xf>
    <xf numFmtId="10" fontId="56" fillId="0" borderId="0" xfId="6" applyNumberFormat="1" applyFont="1" applyFill="1"/>
    <xf numFmtId="43" fontId="45" fillId="0" borderId="0" xfId="3" applyNumberFormat="1" applyFont="1"/>
    <xf numFmtId="0" fontId="35" fillId="0" borderId="0" xfId="3" applyFont="1" applyAlignment="1">
      <alignment horizontal="center" wrapText="1"/>
    </xf>
    <xf numFmtId="167" fontId="36" fillId="0" borderId="0" xfId="3" applyNumberFormat="1" applyFont="1"/>
    <xf numFmtId="43" fontId="57" fillId="0" borderId="0" xfId="3" applyNumberFormat="1" applyFont="1"/>
    <xf numFmtId="43" fontId="50" fillId="0" borderId="0" xfId="5" applyFont="1" applyFill="1" applyBorder="1" applyAlignment="1">
      <alignment horizontal="center" vertical="center"/>
    </xf>
    <xf numFmtId="167" fontId="36" fillId="0" borderId="10" xfId="5" applyNumberFormat="1" applyFont="1" applyFill="1" applyBorder="1" applyAlignment="1">
      <alignment horizontal="right"/>
    </xf>
    <xf numFmtId="167" fontId="45" fillId="0" borderId="10" xfId="5" applyNumberFormat="1" applyFont="1" applyFill="1" applyBorder="1" applyAlignment="1">
      <alignment horizontal="right"/>
    </xf>
    <xf numFmtId="10" fontId="45" fillId="0" borderId="10" xfId="6" applyNumberFormat="1" applyFont="1" applyFill="1" applyBorder="1" applyAlignment="1">
      <alignment horizontal="right"/>
    </xf>
    <xf numFmtId="0" fontId="50" fillId="0" borderId="0" xfId="3" applyFont="1"/>
    <xf numFmtId="0" fontId="35" fillId="0" borderId="8" xfId="3" applyFont="1" applyBorder="1"/>
    <xf numFmtId="10" fontId="35" fillId="0" borderId="8" xfId="6" applyNumberFormat="1" applyFont="1" applyBorder="1"/>
    <xf numFmtId="43" fontId="50" fillId="0" borderId="8" xfId="5" applyFont="1" applyFill="1" applyBorder="1"/>
    <xf numFmtId="167" fontId="37" fillId="0" borderId="0" xfId="5" applyNumberFormat="1" applyFont="1" applyFill="1" applyAlignment="1">
      <alignment wrapText="1"/>
    </xf>
    <xf numFmtId="0" fontId="45" fillId="0" borderId="0" xfId="3" applyFont="1" applyAlignment="1">
      <alignment wrapText="1"/>
    </xf>
    <xf numFmtId="0" fontId="36" fillId="0" borderId="0" xfId="3" applyFont="1" applyAlignment="1">
      <alignment horizontal="left" indent="2"/>
    </xf>
    <xf numFmtId="43" fontId="45" fillId="0" borderId="8" xfId="5" applyFont="1" applyFill="1" applyBorder="1"/>
    <xf numFmtId="0" fontId="58" fillId="0" borderId="0" xfId="3" applyFont="1"/>
    <xf numFmtId="10" fontId="36" fillId="3" borderId="7" xfId="6" applyNumberFormat="1" applyFont="1" applyFill="1" applyBorder="1"/>
    <xf numFmtId="10" fontId="36" fillId="0" borderId="0" xfId="6" applyNumberFormat="1" applyFont="1" applyFill="1"/>
    <xf numFmtId="10" fontId="56" fillId="0" borderId="0" xfId="6" applyNumberFormat="1" applyFont="1" applyFill="1" applyBorder="1"/>
    <xf numFmtId="43" fontId="36" fillId="3" borderId="7" xfId="5" applyFont="1" applyFill="1" applyBorder="1"/>
    <xf numFmtId="0" fontId="57" fillId="0" borderId="0" xfId="3" applyFont="1"/>
    <xf numFmtId="169" fontId="36" fillId="3" borderId="7" xfId="5" applyNumberFormat="1" applyFont="1" applyFill="1" applyBorder="1"/>
    <xf numFmtId="0" fontId="35" fillId="0" borderId="0" xfId="3" applyFont="1" applyAlignment="1">
      <alignment horizontal="left"/>
    </xf>
    <xf numFmtId="43" fontId="50" fillId="0" borderId="8" xfId="5" applyFont="1" applyFill="1" applyBorder="1" applyAlignment="1">
      <alignment horizontal="right"/>
    </xf>
    <xf numFmtId="169" fontId="36" fillId="3" borderId="7" xfId="6" applyNumberFormat="1" applyFont="1" applyFill="1" applyBorder="1"/>
    <xf numFmtId="0" fontId="59" fillId="0" borderId="0" xfId="3" applyFont="1"/>
    <xf numFmtId="164" fontId="36" fillId="0" borderId="0" xfId="3" applyNumberFormat="1" applyFont="1"/>
    <xf numFmtId="0" fontId="60" fillId="0" borderId="0" xfId="3" applyFont="1"/>
    <xf numFmtId="43" fontId="60" fillId="0" borderId="0" xfId="5" applyFont="1" applyFill="1" applyBorder="1"/>
    <xf numFmtId="9" fontId="36" fillId="3" borderId="7" xfId="6" applyFont="1" applyFill="1" applyBorder="1"/>
    <xf numFmtId="168" fontId="36" fillId="0" borderId="0" xfId="5" applyNumberFormat="1" applyFont="1" applyFill="1" applyBorder="1"/>
    <xf numFmtId="43" fontId="36" fillId="0" borderId="0" xfId="5" applyFont="1" applyFill="1" applyBorder="1"/>
    <xf numFmtId="0" fontId="45" fillId="0" borderId="0" xfId="3" applyFont="1" applyAlignment="1">
      <alignment horizontal="left" indent="1"/>
    </xf>
    <xf numFmtId="0" fontId="61" fillId="0" borderId="0" xfId="3" applyFont="1"/>
    <xf numFmtId="9" fontId="36" fillId="0" borderId="7" xfId="6" applyFont="1" applyFill="1" applyBorder="1"/>
    <xf numFmtId="0" fontId="45" fillId="0" borderId="0" xfId="3" applyFont="1" applyAlignment="1">
      <alignment horizontal="left"/>
    </xf>
    <xf numFmtId="0" fontId="36" fillId="0" borderId="0" xfId="3" applyFont="1" applyProtection="1">
      <protection locked="0"/>
    </xf>
    <xf numFmtId="168" fontId="45" fillId="3" borderId="7" xfId="5" applyNumberFormat="1" applyFont="1" applyFill="1" applyBorder="1"/>
    <xf numFmtId="171" fontId="36" fillId="0" borderId="0" xfId="5" applyNumberFormat="1" applyFont="1" applyFill="1" applyBorder="1"/>
    <xf numFmtId="169" fontId="45" fillId="3" borderId="7" xfId="5" applyNumberFormat="1" applyFont="1" applyFill="1" applyBorder="1"/>
    <xf numFmtId="169" fontId="36" fillId="0" borderId="0" xfId="6" applyNumberFormat="1" applyFont="1" applyFill="1" applyBorder="1"/>
    <xf numFmtId="9" fontId="36" fillId="0" borderId="0" xfId="6" applyFont="1" applyFill="1" applyBorder="1"/>
    <xf numFmtId="10" fontId="36" fillId="0" borderId="0" xfId="3" applyNumberFormat="1" applyFont="1" applyAlignment="1">
      <alignment wrapText="1"/>
    </xf>
    <xf numFmtId="169" fontId="36" fillId="0" borderId="0" xfId="3" applyNumberFormat="1" applyFont="1"/>
    <xf numFmtId="43" fontId="36" fillId="0" borderId="0" xfId="5" applyFont="1"/>
    <xf numFmtId="43" fontId="35" fillId="0" borderId="0" xfId="3" applyNumberFormat="1" applyFont="1"/>
    <xf numFmtId="10" fontId="35" fillId="0" borderId="0" xfId="6" applyNumberFormat="1" applyFont="1" applyFill="1" applyBorder="1"/>
    <xf numFmtId="9" fontId="35" fillId="0" borderId="0" xfId="6" applyFont="1" applyFill="1" applyBorder="1"/>
    <xf numFmtId="168" fontId="36" fillId="3" borderId="7" xfId="5" applyNumberFormat="1" applyFont="1" applyFill="1" applyBorder="1"/>
    <xf numFmtId="168" fontId="36" fillId="0" borderId="7" xfId="5" applyNumberFormat="1" applyFont="1" applyFill="1" applyBorder="1"/>
    <xf numFmtId="43" fontId="45" fillId="0" borderId="7" xfId="5" applyFont="1" applyFill="1" applyBorder="1"/>
    <xf numFmtId="43" fontId="62" fillId="0" borderId="0" xfId="3" applyNumberFormat="1" applyFont="1"/>
    <xf numFmtId="171" fontId="36" fillId="3" borderId="7" xfId="5" applyNumberFormat="1" applyFont="1" applyFill="1" applyBorder="1"/>
    <xf numFmtId="169" fontId="35" fillId="0" borderId="0" xfId="3" applyNumberFormat="1" applyFont="1"/>
    <xf numFmtId="0" fontId="35" fillId="0" borderId="0" xfId="3" applyFont="1" applyAlignment="1">
      <alignment horizontal="left" vertical="top"/>
    </xf>
    <xf numFmtId="0" fontId="35" fillId="0" borderId="0" xfId="3" applyFont="1" applyAlignment="1">
      <alignment horizontal="center"/>
    </xf>
    <xf numFmtId="0" fontId="45" fillId="0" borderId="0" xfId="3" applyFont="1" applyAlignment="1">
      <alignment horizontal="right"/>
    </xf>
    <xf numFmtId="169" fontId="36" fillId="0" borderId="0" xfId="8" applyNumberFormat="1" applyFont="1" applyFill="1" applyBorder="1"/>
    <xf numFmtId="10" fontId="36" fillId="3" borderId="2" xfId="8" applyNumberFormat="1" applyFont="1" applyFill="1"/>
    <xf numFmtId="10" fontId="36" fillId="0" borderId="2" xfId="8" applyNumberFormat="1" applyFont="1" applyFill="1"/>
    <xf numFmtId="10" fontId="57" fillId="0" borderId="2" xfId="8" applyNumberFormat="1" applyFont="1" applyFill="1"/>
    <xf numFmtId="10" fontId="36" fillId="0" borderId="0" xfId="8" applyNumberFormat="1" applyFont="1" applyFill="1" applyBorder="1"/>
    <xf numFmtId="169" fontId="35" fillId="0" borderId="0" xfId="8" applyNumberFormat="1" applyFont="1" applyFill="1" applyBorder="1"/>
    <xf numFmtId="10" fontId="62" fillId="0" borderId="0" xfId="6" applyNumberFormat="1" applyFont="1"/>
    <xf numFmtId="10" fontId="62" fillId="0" borderId="0" xfId="3" applyNumberFormat="1" applyFont="1"/>
    <xf numFmtId="10" fontId="36" fillId="3" borderId="8" xfId="6" applyNumberFormat="1" applyFont="1" applyFill="1" applyBorder="1"/>
    <xf numFmtId="170" fontId="36" fillId="0" borderId="0" xfId="6" applyNumberFormat="1" applyFont="1"/>
    <xf numFmtId="0" fontId="44" fillId="0" borderId="0" xfId="9" applyFont="1" applyFill="1" applyBorder="1"/>
    <xf numFmtId="43" fontId="31" fillId="0" borderId="0" xfId="5" applyFont="1" applyFill="1"/>
    <xf numFmtId="0" fontId="64" fillId="0" borderId="0" xfId="3" applyFont="1"/>
    <xf numFmtId="0" fontId="10" fillId="0" borderId="0" xfId="3"/>
    <xf numFmtId="0" fontId="65" fillId="0" borderId="0" xfId="3" applyFont="1"/>
    <xf numFmtId="0" fontId="10" fillId="3" borderId="0" xfId="3" applyFill="1"/>
    <xf numFmtId="10" fontId="66" fillId="3" borderId="0" xfId="3" applyNumberFormat="1" applyFont="1" applyFill="1"/>
    <xf numFmtId="0" fontId="10" fillId="0" borderId="11" xfId="3" applyBorder="1"/>
    <xf numFmtId="0" fontId="10" fillId="3" borderId="11" xfId="3" applyFill="1" applyBorder="1"/>
    <xf numFmtId="17" fontId="66" fillId="4" borderId="11" xfId="3" applyNumberFormat="1" applyFont="1" applyFill="1" applyBorder="1"/>
    <xf numFmtId="167" fontId="66" fillId="4" borderId="11" xfId="5" applyNumberFormat="1" applyFont="1" applyFill="1" applyBorder="1"/>
    <xf numFmtId="167" fontId="66" fillId="0" borderId="11" xfId="5" applyNumberFormat="1" applyFont="1" applyBorder="1"/>
    <xf numFmtId="10" fontId="66" fillId="4" borderId="11" xfId="6" applyNumberFormat="1" applyFont="1" applyFill="1" applyBorder="1"/>
    <xf numFmtId="9" fontId="66" fillId="4" borderId="11" xfId="6" applyFont="1" applyFill="1" applyBorder="1"/>
    <xf numFmtId="167" fontId="66" fillId="0" borderId="0" xfId="5" applyNumberFormat="1" applyFont="1"/>
    <xf numFmtId="167" fontId="0" fillId="0" borderId="11" xfId="5" applyNumberFormat="1" applyFont="1" applyBorder="1"/>
    <xf numFmtId="169" fontId="66" fillId="4" borderId="11" xfId="6" applyNumberFormat="1" applyFont="1" applyFill="1" applyBorder="1"/>
    <xf numFmtId="167" fontId="0" fillId="0" borderId="0" xfId="5" applyNumberFormat="1" applyFont="1"/>
    <xf numFmtId="17" fontId="10" fillId="0" borderId="11" xfId="3" applyNumberFormat="1" applyBorder="1"/>
    <xf numFmtId="169" fontId="0" fillId="0" borderId="11" xfId="6" applyNumberFormat="1" applyFont="1" applyBorder="1"/>
    <xf numFmtId="17" fontId="10" fillId="0" borderId="0" xfId="3" applyNumberFormat="1"/>
    <xf numFmtId="167" fontId="0" fillId="0" borderId="0" xfId="5" applyNumberFormat="1" applyFont="1" applyBorder="1"/>
    <xf numFmtId="10" fontId="0" fillId="0" borderId="0" xfId="6" applyNumberFormat="1" applyFont="1" applyBorder="1"/>
    <xf numFmtId="9" fontId="0" fillId="0" borderId="0" xfId="6" applyFont="1" applyBorder="1"/>
    <xf numFmtId="167" fontId="10" fillId="0" borderId="0" xfId="3" applyNumberFormat="1"/>
    <xf numFmtId="43" fontId="0" fillId="3" borderId="0" xfId="5" applyFont="1" applyFill="1"/>
    <xf numFmtId="10" fontId="0" fillId="3" borderId="0" xfId="6" applyNumberFormat="1" applyFont="1" applyFill="1"/>
    <xf numFmtId="167" fontId="66" fillId="4" borderId="0" xfId="3" applyNumberFormat="1" applyFont="1" applyFill="1"/>
    <xf numFmtId="10" fontId="10" fillId="3" borderId="0" xfId="3" applyNumberFormat="1" applyFill="1"/>
    <xf numFmtId="10" fontId="0" fillId="0" borderId="0" xfId="6" applyNumberFormat="1" applyFont="1"/>
    <xf numFmtId="43" fontId="0" fillId="0" borderId="0" xfId="5" applyFont="1"/>
    <xf numFmtId="167" fontId="66" fillId="4" borderId="0" xfId="5" applyNumberFormat="1" applyFont="1" applyFill="1"/>
    <xf numFmtId="0" fontId="65" fillId="5" borderId="12" xfId="3" applyFont="1" applyFill="1" applyBorder="1"/>
    <xf numFmtId="0" fontId="66" fillId="4" borderId="0" xfId="3" applyFont="1" applyFill="1"/>
    <xf numFmtId="0" fontId="65" fillId="5" borderId="13" xfId="3" applyFont="1" applyFill="1" applyBorder="1"/>
    <xf numFmtId="167" fontId="65" fillId="5" borderId="13" xfId="3" applyNumberFormat="1" applyFont="1" applyFill="1" applyBorder="1"/>
    <xf numFmtId="167" fontId="0" fillId="0" borderId="13" xfId="5" applyNumberFormat="1" applyFont="1" applyFill="1" applyBorder="1"/>
    <xf numFmtId="0" fontId="66" fillId="0" borderId="0" xfId="3" applyFont="1"/>
    <xf numFmtId="167" fontId="0" fillId="0" borderId="13" xfId="5" applyNumberFormat="1" applyFont="1" applyBorder="1"/>
    <xf numFmtId="171" fontId="0" fillId="3" borderId="0" xfId="5" applyNumberFormat="1" applyFont="1" applyFill="1"/>
    <xf numFmtId="171" fontId="0" fillId="3" borderId="0" xfId="5" applyNumberFormat="1" applyFont="1" applyFill="1" applyBorder="1"/>
    <xf numFmtId="168" fontId="0" fillId="3" borderId="0" xfId="5" applyNumberFormat="1" applyFont="1" applyFill="1"/>
    <xf numFmtId="169" fontId="0" fillId="3" borderId="0" xfId="6" applyNumberFormat="1" applyFont="1" applyFill="1"/>
    <xf numFmtId="0" fontId="65" fillId="5" borderId="0" xfId="3" applyFont="1" applyFill="1"/>
    <xf numFmtId="0" fontId="10" fillId="0" borderId="0" xfId="3" applyAlignment="1">
      <alignment horizontal="left"/>
    </xf>
    <xf numFmtId="10" fontId="0" fillId="0" borderId="0" xfId="5" applyNumberFormat="1" applyFont="1"/>
    <xf numFmtId="10" fontId="66" fillId="4" borderId="0" xfId="6" applyNumberFormat="1" applyFont="1" applyFill="1"/>
    <xf numFmtId="43" fontId="10" fillId="0" borderId="0" xfId="3" applyNumberFormat="1"/>
    <xf numFmtId="9" fontId="10" fillId="0" borderId="0" xfId="3" applyNumberFormat="1"/>
    <xf numFmtId="0" fontId="67" fillId="0" borderId="0" xfId="3" applyFont="1"/>
    <xf numFmtId="167" fontId="45" fillId="0" borderId="0" xfId="5" applyNumberFormat="1" applyFont="1" applyFill="1"/>
    <xf numFmtId="2" fontId="45" fillId="0" borderId="0" xfId="5" applyNumberFormat="1" applyFont="1" applyFill="1" applyAlignment="1">
      <alignment horizontal="right"/>
    </xf>
    <xf numFmtId="0" fontId="68" fillId="0" borderId="0" xfId="3" applyFont="1"/>
    <xf numFmtId="9" fontId="45" fillId="0" borderId="0" xfId="6" applyFont="1" applyFill="1"/>
    <xf numFmtId="9" fontId="45" fillId="0" borderId="0" xfId="3" applyNumberFormat="1" applyFont="1"/>
    <xf numFmtId="167" fontId="50" fillId="6" borderId="0" xfId="5" applyNumberFormat="1" applyFont="1" applyFill="1"/>
    <xf numFmtId="167" fontId="50" fillId="0" borderId="0" xfId="5" applyNumberFormat="1" applyFont="1" applyFill="1"/>
    <xf numFmtId="0" fontId="69" fillId="0" borderId="14" xfId="3" applyFont="1" applyBorder="1"/>
    <xf numFmtId="0" fontId="50" fillId="0" borderId="14" xfId="3" applyFont="1" applyBorder="1"/>
    <xf numFmtId="0" fontId="45" fillId="0" borderId="14" xfId="3" applyFont="1" applyBorder="1"/>
    <xf numFmtId="167" fontId="45" fillId="0" borderId="14" xfId="5" applyNumberFormat="1" applyFont="1" applyFill="1" applyBorder="1"/>
    <xf numFmtId="10" fontId="45" fillId="0" borderId="0" xfId="6" applyNumberFormat="1" applyFont="1" applyFill="1"/>
    <xf numFmtId="9" fontId="45" fillId="3" borderId="0" xfId="3" applyNumberFormat="1" applyFont="1" applyFill="1"/>
    <xf numFmtId="10" fontId="45" fillId="3" borderId="0" xfId="6" applyNumberFormat="1" applyFont="1" applyFill="1"/>
    <xf numFmtId="43" fontId="50" fillId="0" borderId="0" xfId="5" applyFont="1" applyFill="1"/>
    <xf numFmtId="0" fontId="59" fillId="0" borderId="0" xfId="3" applyFont="1" applyAlignment="1">
      <alignment horizontal="left"/>
    </xf>
    <xf numFmtId="171" fontId="50" fillId="7" borderId="0" xfId="5" applyNumberFormat="1" applyFont="1" applyFill="1"/>
    <xf numFmtId="43" fontId="70" fillId="0" borderId="0" xfId="5" applyFont="1" applyFill="1"/>
    <xf numFmtId="43" fontId="45" fillId="0" borderId="0" xfId="5" applyFont="1" applyFill="1" applyAlignment="1">
      <alignment horizontal="center" vertical="center"/>
    </xf>
    <xf numFmtId="167" fontId="45" fillId="0" borderId="0" xfId="5" applyNumberFormat="1" applyFont="1" applyFill="1" applyAlignment="1">
      <alignment horizontal="right"/>
    </xf>
    <xf numFmtId="43" fontId="45" fillId="8" borderId="0" xfId="5" applyFont="1" applyFill="1"/>
    <xf numFmtId="168" fontId="45" fillId="8" borderId="0" xfId="5" applyNumberFormat="1" applyFont="1" applyFill="1"/>
    <xf numFmtId="0" fontId="45" fillId="0" borderId="0" xfId="3" applyFont="1" applyAlignment="1">
      <alignment horizontal="center" vertical="center"/>
    </xf>
    <xf numFmtId="167" fontId="45" fillId="0" borderId="0" xfId="5" applyNumberFormat="1" applyFont="1" applyAlignment="1">
      <alignment horizontal="right"/>
    </xf>
    <xf numFmtId="0" fontId="45" fillId="8" borderId="0" xfId="3" applyFont="1" applyFill="1"/>
    <xf numFmtId="0" fontId="50" fillId="8" borderId="0" xfId="3" applyFont="1" applyFill="1"/>
    <xf numFmtId="167" fontId="45" fillId="0" borderId="0" xfId="3" applyNumberFormat="1" applyFont="1"/>
    <xf numFmtId="169" fontId="45" fillId="0" borderId="0" xfId="6" applyNumberFormat="1" applyFont="1" applyFill="1"/>
    <xf numFmtId="171" fontId="50" fillId="0" borderId="0" xfId="5" applyNumberFormat="1" applyFont="1" applyFill="1"/>
    <xf numFmtId="10" fontId="50" fillId="0" borderId="0" xfId="6" applyNumberFormat="1" applyFont="1" applyFill="1"/>
    <xf numFmtId="0" fontId="69" fillId="0" borderId="0" xfId="3" applyFont="1"/>
    <xf numFmtId="167" fontId="45" fillId="0" borderId="0" xfId="5" applyNumberFormat="1" applyFont="1" applyFill="1" applyBorder="1"/>
    <xf numFmtId="43" fontId="50" fillId="0" borderId="0" xfId="3" applyNumberFormat="1" applyFont="1"/>
    <xf numFmtId="43" fontId="45" fillId="0" borderId="0" xfId="5" quotePrefix="1" applyFont="1" applyFill="1"/>
    <xf numFmtId="0" fontId="50" fillId="3" borderId="0" xfId="3" applyFont="1" applyFill="1"/>
    <xf numFmtId="0" fontId="45" fillId="3" borderId="0" xfId="3" applyFont="1" applyFill="1"/>
    <xf numFmtId="43" fontId="45" fillId="3" borderId="0" xfId="5" applyFont="1" applyFill="1"/>
    <xf numFmtId="0" fontId="45" fillId="0" borderId="0" xfId="3" applyFont="1" applyAlignment="1">
      <alignment horizontal="left" indent="2"/>
    </xf>
    <xf numFmtId="172" fontId="45" fillId="0" borderId="0" xfId="3" applyNumberFormat="1" applyFont="1"/>
    <xf numFmtId="0" fontId="45" fillId="9" borderId="0" xfId="3" applyFont="1" applyFill="1"/>
    <xf numFmtId="43" fontId="45" fillId="9" borderId="0" xfId="5" applyFont="1" applyFill="1"/>
    <xf numFmtId="168" fontId="45" fillId="0" borderId="0" xfId="5" applyNumberFormat="1" applyFont="1" applyFill="1"/>
    <xf numFmtId="168" fontId="45" fillId="0" borderId="0" xfId="3" applyNumberFormat="1" applyFont="1"/>
    <xf numFmtId="43" fontId="58" fillId="0" borderId="0" xfId="3" applyNumberFormat="1" applyFont="1"/>
    <xf numFmtId="10" fontId="45" fillId="0" borderId="0" xfId="6" applyNumberFormat="1" applyFont="1"/>
    <xf numFmtId="164" fontId="45" fillId="0" borderId="0" xfId="3" applyNumberFormat="1" applyFont="1"/>
    <xf numFmtId="0" fontId="45" fillId="10" borderId="0" xfId="3" applyFont="1" applyFill="1"/>
    <xf numFmtId="0" fontId="71" fillId="0" borderId="0" xfId="3" applyFont="1"/>
    <xf numFmtId="0" fontId="72" fillId="0" borderId="0" xfId="3" applyFont="1"/>
    <xf numFmtId="0" fontId="19" fillId="0" borderId="0" xfId="3" applyFont="1" applyAlignment="1">
      <alignment horizontal="left"/>
    </xf>
    <xf numFmtId="0" fontId="33" fillId="0" borderId="6" xfId="3" applyFont="1" applyBorder="1" applyAlignment="1">
      <alignment horizontal="left"/>
    </xf>
    <xf numFmtId="0" fontId="33" fillId="0" borderId="6" xfId="3" applyFont="1" applyBorder="1"/>
    <xf numFmtId="0" fontId="33" fillId="0" borderId="0" xfId="3" applyFont="1" applyAlignment="1">
      <alignment horizontal="left"/>
    </xf>
    <xf numFmtId="0" fontId="19" fillId="0" borderId="0" xfId="3" applyFont="1" applyAlignment="1">
      <alignment horizontal="right"/>
    </xf>
    <xf numFmtId="1" fontId="19" fillId="0" borderId="0" xfId="3" applyNumberFormat="1" applyFont="1"/>
    <xf numFmtId="0" fontId="73" fillId="0" borderId="9" xfId="3" applyFont="1" applyBorder="1"/>
    <xf numFmtId="173" fontId="24" fillId="3" borderId="9" xfId="3" applyNumberFormat="1" applyFont="1" applyFill="1" applyBorder="1" applyAlignment="1">
      <alignment horizontal="right"/>
    </xf>
    <xf numFmtId="173" fontId="73" fillId="0" borderId="9" xfId="3" applyNumberFormat="1" applyFont="1" applyBorder="1" applyAlignment="1">
      <alignment horizontal="right"/>
    </xf>
    <xf numFmtId="0" fontId="47" fillId="0" borderId="0" xfId="3" applyFont="1" applyAlignment="1">
      <alignment horizontal="left"/>
    </xf>
    <xf numFmtId="0" fontId="74" fillId="0" borderId="0" xfId="3" applyFont="1"/>
    <xf numFmtId="167" fontId="34" fillId="0" borderId="0" xfId="5" applyNumberFormat="1" applyFont="1" applyFill="1" applyBorder="1" applyAlignment="1">
      <alignment horizontal="right"/>
    </xf>
    <xf numFmtId="0" fontId="47" fillId="0" borderId="0" xfId="3" applyFont="1" applyAlignment="1">
      <alignment horizontal="right"/>
    </xf>
    <xf numFmtId="174" fontId="75" fillId="11" borderId="15" xfId="3" applyNumberFormat="1" applyFont="1" applyFill="1" applyBorder="1"/>
    <xf numFmtId="3" fontId="75" fillId="11" borderId="15" xfId="3" applyNumberFormat="1" applyFont="1" applyFill="1" applyBorder="1"/>
    <xf numFmtId="167" fontId="33" fillId="0" borderId="6" xfId="5" applyNumberFormat="1" applyFont="1" applyFill="1" applyBorder="1"/>
    <xf numFmtId="167" fontId="19" fillId="0" borderId="6" xfId="5" applyNumberFormat="1" applyFont="1" applyFill="1" applyBorder="1"/>
    <xf numFmtId="0" fontId="73" fillId="10" borderId="0" xfId="3" applyFont="1" applyFill="1" applyAlignment="1">
      <alignment horizontal="right"/>
    </xf>
    <xf numFmtId="0" fontId="19" fillId="0" borderId="9" xfId="3" applyFont="1" applyBorder="1" applyAlignment="1">
      <alignment horizontal="right"/>
    </xf>
    <xf numFmtId="167" fontId="33" fillId="0" borderId="0" xfId="3" applyNumberFormat="1" applyFont="1"/>
    <xf numFmtId="167" fontId="33" fillId="0" borderId="0" xfId="5" applyNumberFormat="1" applyFont="1" applyFill="1"/>
    <xf numFmtId="167" fontId="33" fillId="0" borderId="0" xfId="5" applyNumberFormat="1" applyFont="1" applyFill="1" applyBorder="1"/>
    <xf numFmtId="167" fontId="19" fillId="0" borderId="0" xfId="5" applyNumberFormat="1" applyFont="1" applyFill="1"/>
    <xf numFmtId="167" fontId="19" fillId="0" borderId="9" xfId="3" applyNumberFormat="1" applyFont="1" applyBorder="1"/>
    <xf numFmtId="167" fontId="19" fillId="0" borderId="9" xfId="5" applyNumberFormat="1" applyFont="1" applyFill="1" applyBorder="1"/>
    <xf numFmtId="167" fontId="19" fillId="0" borderId="0" xfId="5" applyNumberFormat="1" applyFont="1" applyFill="1" applyBorder="1"/>
    <xf numFmtId="167" fontId="19" fillId="0" borderId="0" xfId="3" applyNumberFormat="1" applyFont="1"/>
    <xf numFmtId="166" fontId="33" fillId="0" borderId="0" xfId="5" applyNumberFormat="1" applyFont="1" applyFill="1"/>
    <xf numFmtId="166" fontId="33" fillId="0" borderId="9" xfId="5" applyNumberFormat="1" applyFont="1" applyFill="1" applyBorder="1"/>
    <xf numFmtId="43" fontId="19" fillId="0" borderId="0" xfId="3" applyNumberFormat="1" applyFont="1"/>
    <xf numFmtId="166" fontId="19" fillId="0" borderId="0" xfId="3" applyNumberFormat="1" applyFont="1"/>
    <xf numFmtId="166" fontId="33" fillId="0" borderId="0" xfId="3" applyNumberFormat="1" applyFont="1"/>
    <xf numFmtId="43" fontId="33" fillId="0" borderId="0" xfId="3" applyNumberFormat="1" applyFont="1"/>
    <xf numFmtId="0" fontId="19" fillId="0" borderId="0" xfId="3" applyFont="1" applyAlignment="1">
      <alignment horizontal="left" indent="1"/>
    </xf>
    <xf numFmtId="166" fontId="19" fillId="0" borderId="0" xfId="5" applyNumberFormat="1" applyFont="1" applyFill="1"/>
    <xf numFmtId="166" fontId="19" fillId="0" borderId="0" xfId="5" applyNumberFormat="1" applyFont="1" applyFill="1" applyBorder="1"/>
    <xf numFmtId="0" fontId="59" fillId="0" borderId="0" xfId="3" applyFont="1" applyAlignment="1">
      <alignment horizontal="left" indent="4"/>
    </xf>
    <xf numFmtId="167" fontId="59" fillId="0" borderId="0" xfId="3" applyNumberFormat="1" applyFont="1"/>
    <xf numFmtId="167" fontId="59" fillId="0" borderId="0" xfId="5" applyNumberFormat="1" applyFont="1" applyFill="1"/>
    <xf numFmtId="0" fontId="76" fillId="0" borderId="0" xfId="3" applyFont="1"/>
    <xf numFmtId="0" fontId="77" fillId="0" borderId="0" xfId="3" applyFont="1"/>
    <xf numFmtId="43" fontId="77" fillId="0" borderId="0" xfId="3" applyNumberFormat="1" applyFont="1"/>
    <xf numFmtId="0" fontId="78" fillId="0" borderId="0" xfId="3" applyFont="1"/>
    <xf numFmtId="0" fontId="79" fillId="12" borderId="16" xfId="3" applyFont="1" applyFill="1" applyBorder="1"/>
    <xf numFmtId="175" fontId="80" fillId="12" borderId="16" xfId="3" applyNumberFormat="1" applyFont="1" applyFill="1" applyBorder="1" applyAlignment="1">
      <alignment horizontal="right"/>
    </xf>
    <xf numFmtId="0" fontId="79" fillId="12" borderId="0" xfId="3" applyFont="1" applyFill="1"/>
    <xf numFmtId="167" fontId="76" fillId="0" borderId="0" xfId="5" applyNumberFormat="1" applyFont="1"/>
    <xf numFmtId="167" fontId="81" fillId="0" borderId="0" xfId="3" applyNumberFormat="1" applyFont="1"/>
    <xf numFmtId="167" fontId="78" fillId="0" borderId="0" xfId="5" applyNumberFormat="1" applyFont="1"/>
    <xf numFmtId="167" fontId="78" fillId="0" borderId="0" xfId="3" applyNumberFormat="1" applyFont="1"/>
    <xf numFmtId="0" fontId="77" fillId="0" borderId="0" xfId="3" applyFont="1" applyAlignment="1">
      <alignment horizontal="left" indent="1"/>
    </xf>
    <xf numFmtId="167" fontId="77" fillId="0" borderId="0" xfId="5" applyNumberFormat="1" applyFont="1"/>
    <xf numFmtId="0" fontId="76" fillId="8" borderId="0" xfId="3" applyFont="1" applyFill="1"/>
    <xf numFmtId="0" fontId="82" fillId="0" borderId="0" xfId="3" applyFont="1"/>
    <xf numFmtId="167" fontId="82" fillId="0" borderId="0" xfId="5" applyNumberFormat="1" applyFont="1"/>
    <xf numFmtId="10" fontId="77" fillId="0" borderId="0" xfId="6" applyNumberFormat="1" applyFont="1"/>
    <xf numFmtId="167" fontId="77" fillId="0" borderId="0" xfId="3" applyNumberFormat="1" applyFont="1"/>
    <xf numFmtId="167" fontId="82" fillId="0" borderId="0" xfId="3" applyNumberFormat="1" applyFont="1"/>
    <xf numFmtId="0" fontId="83" fillId="0" borderId="0" xfId="3" applyFont="1"/>
    <xf numFmtId="0" fontId="76" fillId="10" borderId="16" xfId="3" applyFont="1" applyFill="1" applyBorder="1"/>
    <xf numFmtId="167" fontId="76" fillId="10" borderId="16" xfId="5" applyNumberFormat="1" applyFont="1" applyFill="1" applyBorder="1"/>
    <xf numFmtId="0" fontId="76" fillId="0" borderId="0" xfId="3" applyFont="1" applyAlignment="1">
      <alignment horizontal="left"/>
    </xf>
    <xf numFmtId="167" fontId="76" fillId="0" borderId="0" xfId="3" applyNumberFormat="1" applyFont="1"/>
    <xf numFmtId="43" fontId="77" fillId="0" borderId="0" xfId="5" applyFont="1"/>
  </cellXfs>
  <cellStyles count="10">
    <cellStyle name="Comma 19" xfId="5" xr:uid="{42A6A1E7-6558-D74A-A68A-E5754D0A0B5B}"/>
    <cellStyle name="Comma 2 14 3" xfId="7" xr:uid="{2647C774-7006-5C42-8C67-ED5C1599E7F2}"/>
    <cellStyle name="Heading 1 3" xfId="9" xr:uid="{CE3DA4D3-8FBE-FB45-9D98-075E13360AE8}"/>
    <cellStyle name="Hyperlink 2" xfId="4" xr:uid="{FE9DF182-97DF-3E41-BBA2-22A7EEE8CF19}"/>
    <cellStyle name="Input 3" xfId="8" xr:uid="{C6DB7071-3D40-6941-B252-98037FE787F3}"/>
    <cellStyle name="Normal" xfId="0" builtinId="0"/>
    <cellStyle name="Normal 2" xfId="1" xr:uid="{80A8971F-A334-E34A-8462-48AF3F53D844}"/>
    <cellStyle name="Normal 22" xfId="3" xr:uid="{5B36790D-DA26-5A43-94C8-2381DBA178E1}"/>
    <cellStyle name="Normal 25" xfId="2" xr:uid="{52C123D1-C7C8-F040-908D-A7C8709BBD0D}"/>
    <cellStyle name="Percent 15" xfId="6" xr:uid="{2917B12A-44DA-454C-B3A7-280236F369E1}"/>
  </cellStyles>
  <dxfs count="3">
    <dxf>
      <numFmt numFmtId="35" formatCode="_(* #,##0.00_);_(* \(#,##0.00\);_(* &quot;-&quot;??_);_(@_)"/>
    </dxf>
    <dxf>
      <font>
        <color theme="0"/>
      </font>
    </dxf>
    <dxf>
      <font>
        <color theme="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1208164</xdr:colOff>
      <xdr:row>0</xdr:row>
      <xdr:rowOff>80286</xdr:rowOff>
    </xdr:from>
    <xdr:to>
      <xdr:col>9</xdr:col>
      <xdr:colOff>978151</xdr:colOff>
      <xdr:row>16</xdr:row>
      <xdr:rowOff>38959</xdr:rowOff>
    </xdr:to>
    <xdr:pic>
      <xdr:nvPicPr>
        <xdr:cNvPr id="2" name="Picture 1">
          <a:extLst>
            <a:ext uri="{FF2B5EF4-FFF2-40B4-BE49-F238E27FC236}">
              <a16:creationId xmlns:a16="http://schemas.microsoft.com/office/drawing/2014/main" id="{38241BEE-7F7B-3F4B-BDBD-F2A0B745E807}"/>
            </a:ext>
          </a:extLst>
        </xdr:cNvPr>
        <xdr:cNvPicPr>
          <a:picLocks noChangeAspect="1"/>
        </xdr:cNvPicPr>
      </xdr:nvPicPr>
      <xdr:blipFill>
        <a:blip xmlns:r="http://schemas.openxmlformats.org/officeDocument/2006/relationships" r:embed="rId1"/>
        <a:stretch>
          <a:fillRect/>
        </a:stretch>
      </xdr:blipFill>
      <xdr:spPr>
        <a:xfrm>
          <a:off x="10441064" y="80286"/>
          <a:ext cx="5611987" cy="300667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Downloads/SAP%20Q4.2025_update%202/1.5.%20ZALOPAY_CashLoan_Model_SAP&amp;PnL_v9_2025%20Q4.xlsb" TargetMode="External"/><Relationship Id="rId2" Type="http://schemas.openxmlformats.org/officeDocument/2006/relationships/externalLinkPath" Target="/Users/dam.ho/Downloads/SAP%20Q4.2025_update%202/1.5.%20ZALOPAY_CashLoan_Model_SAP&amp;PnL_v9_2025%20Q4.xlsb" TargetMode="External"/><Relationship Id="rId1" Type="http://schemas.openxmlformats.org/officeDocument/2006/relationships/externalLinkPath" Target="/Users/dam.ho/Downloads/SAP%20Q4.2025_update%202/1.5.%20ZALOPAY_CashLoan_Model_SAP&amp;PnL_v9_2025%20Q4.xlsb"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NOTE"/>
      <sheetName val="Leadsheet"/>
      <sheetName val="DATA"/>
      <sheetName val="SAP_Speadsheet"/>
      <sheetName val="Saleplan&amp;PnL"/>
      <sheetName val="PnL_Speadsheet"/>
    </sheetNames>
    <sheetDataSet>
      <sheetData sheetId="0"/>
      <sheetData sheetId="1"/>
      <sheetData sheetId="2"/>
      <sheetData sheetId="3"/>
      <sheetData sheetId="4"/>
      <sheetData sheetId="5"/>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externalLinkPath" Target="https://cakedigital-my.sharepoint.com/Users/H&#224;Ng&#244;(Busine_hl1a98r/Downloads/Lending%20Risk%20Performance%20Overview%20v2_Cashloan%20vintage_Pivot%20table%20(17).csv" TargetMode="Externa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refreshedBy="Hà Ngô (Business Finance Analyst)" refreshedDate="45991.423221296296" createdVersion="8" refreshedVersion="8" minRefreshableVersion="3" recordCount="30" xr:uid="{35D19758-CAA0-7E48-AB38-DF77ADB19DF3}">
  <cacheSource type="worksheet">
    <worksheetSource ref="A1:C31" sheet="Lending Risk Performance Overvi" r:id="rId1"/>
  </cacheSource>
  <cacheFields count="3">
    <cacheField name="EOM Bucket" numFmtId="0">
      <sharedItems count="7">
        <s v="B00"/>
        <s v="B01"/>
        <s v="B02"/>
        <s v="B03"/>
        <s v="B04"/>
        <s v="B05"/>
        <s v="B06"/>
      </sharedItems>
    </cacheField>
    <cacheField name="report_month" numFmtId="0">
      <sharedItems containsSemiMixedTypes="0" containsString="0" containsNumber="1" containsInteger="1" minValue="202503" maxValue="202511" count="9">
        <n v="202505"/>
        <n v="202507"/>
        <n v="202509"/>
        <n v="202503"/>
        <n v="202508"/>
        <n v="202504"/>
        <n v="202511"/>
        <n v="202506"/>
        <n v="202510"/>
      </sharedItems>
    </cacheField>
    <cacheField name="principal_balance_at_report_month" numFmtId="0">
      <sharedItems containsSemiMixedTypes="0" containsString="0" containsNumber="1" containsInteger="1" minValue="8294394" maxValue="372826249392"/>
    </cacheField>
  </cacheFields>
  <extLst>
    <ext xmlns:x14="http://schemas.microsoft.com/office/spreadsheetml/2009/9/main" uri="{725AE2AE-9491-48be-B2B4-4EB974FC3084}">
      <x14:pivotCacheDefinition/>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E4599E5-5AAA-904F-AE76-C57A3DA7923E}" name="PivotTable2"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99:L107" firstHeaderRow="1" firstDataRow="2" firstDataCol="1"/>
  <pivotFields count="3">
    <pivotField axis="axisRow" showAll="0">
      <items count="8">
        <item x="0"/>
        <item x="1"/>
        <item x="2"/>
        <item x="3"/>
        <item x="4"/>
        <item x="5"/>
        <item x="6"/>
        <item t="default"/>
      </items>
    </pivotField>
    <pivotField axis="axisCol" showAll="0">
      <items count="10">
        <item x="3"/>
        <item x="5"/>
        <item x="0"/>
        <item x="7"/>
        <item x="1"/>
        <item x="4"/>
        <item x="2"/>
        <item x="8"/>
        <item h="1" x="6"/>
        <item t="default"/>
      </items>
    </pivotField>
    <pivotField dataField="1" showAll="0"/>
  </pivotFields>
  <rowFields count="1">
    <field x="0"/>
  </rowFields>
  <rowItems count="7">
    <i>
      <x/>
    </i>
    <i>
      <x v="1"/>
    </i>
    <i>
      <x v="2"/>
    </i>
    <i>
      <x v="3"/>
    </i>
    <i>
      <x v="4"/>
    </i>
    <i>
      <x v="5"/>
    </i>
    <i t="grand">
      <x/>
    </i>
  </rowItems>
  <colFields count="1">
    <field x="1"/>
  </colFields>
  <colItems count="9">
    <i>
      <x/>
    </i>
    <i>
      <x v="1"/>
    </i>
    <i>
      <x v="2"/>
    </i>
    <i>
      <x v="3"/>
    </i>
    <i>
      <x v="4"/>
    </i>
    <i>
      <x v="5"/>
    </i>
    <i>
      <x v="6"/>
    </i>
    <i>
      <x v="7"/>
    </i>
    <i t="grand">
      <x/>
    </i>
  </colItems>
  <dataFields count="1">
    <dataField name="Sum of principal_balance_at_report_month" fld="2" baseField="0" baseItem="0"/>
  </dataFields>
  <formats count="1">
    <format dxfId="0">
      <pivotArea collapsedLevelsAreSubtotals="1" fieldPosition="0">
        <references count="2">
          <reference field="0" count="6">
            <x v="0"/>
            <x v="1"/>
            <x v="2"/>
            <x v="3"/>
            <x v="4"/>
            <x v="5"/>
          </reference>
          <reference field="1" count="0" selected="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BBBE48-11E2-F744-94D6-A1C756E3A1D8}">
  <sheetPr>
    <tabColor rgb="FFFF0000"/>
  </sheetPr>
  <dimension ref="A1:T130"/>
  <sheetViews>
    <sheetView showGridLines="0" tabSelected="1" zoomScale="90" workbookViewId="0">
      <pane xSplit="1" ySplit="2" topLeftCell="B114" activePane="bottomRight" state="frozen"/>
      <selection activeCell="G124" sqref="G124"/>
      <selection pane="topRight" activeCell="G124" sqref="G124"/>
      <selection pane="bottomLeft" activeCell="G124" sqref="G124"/>
      <selection pane="bottomRight" activeCell="G124" sqref="G124"/>
    </sheetView>
  </sheetViews>
  <sheetFormatPr baseColWidth="10" defaultColWidth="8.83203125" defaultRowHeight="14" x14ac:dyDescent="0.15"/>
  <cols>
    <col min="1" max="1" width="8.83203125" style="2"/>
    <col min="2" max="2" width="5.5" style="2" customWidth="1"/>
    <col min="3" max="3" width="5" style="2" customWidth="1"/>
    <col min="4" max="5" width="8.83203125" style="2"/>
    <col min="6" max="6" width="14.5" style="2" customWidth="1"/>
    <col min="7" max="16384" width="8.83203125" style="2"/>
  </cols>
  <sheetData>
    <row r="1" spans="1:20" ht="25" x14ac:dyDescent="0.25">
      <c r="A1" s="1" t="s">
        <v>0</v>
      </c>
    </row>
    <row r="2" spans="1:20" ht="25" x14ac:dyDescent="0.25">
      <c r="A2" s="1"/>
      <c r="B2" s="3" t="s">
        <v>1</v>
      </c>
      <c r="N2" s="4" t="s">
        <v>2</v>
      </c>
      <c r="O2" s="4" t="s">
        <v>3</v>
      </c>
      <c r="P2" s="4">
        <v>20251001</v>
      </c>
    </row>
    <row r="3" spans="1:20" ht="25" x14ac:dyDescent="0.15">
      <c r="B3" s="5" t="s">
        <v>4</v>
      </c>
    </row>
    <row r="4" spans="1:20" s="6" customFormat="1" ht="16" x14ac:dyDescent="0.2">
      <c r="B4" s="7"/>
      <c r="C4" s="7" t="s">
        <v>5</v>
      </c>
    </row>
    <row r="5" spans="1:20" x14ac:dyDescent="0.15">
      <c r="D5" s="8" t="s">
        <v>6</v>
      </c>
      <c r="E5" s="9"/>
      <c r="Q5" s="9"/>
      <c r="R5" s="9"/>
      <c r="S5" s="9"/>
      <c r="T5" s="9"/>
    </row>
    <row r="6" spans="1:20" x14ac:dyDescent="0.15">
      <c r="D6" s="8" t="s">
        <v>7</v>
      </c>
      <c r="E6" s="9"/>
      <c r="Q6" s="9"/>
      <c r="R6" s="9"/>
      <c r="S6" s="9"/>
      <c r="T6" s="9"/>
    </row>
    <row r="7" spans="1:20" x14ac:dyDescent="0.15">
      <c r="D7" s="8" t="s">
        <v>8</v>
      </c>
      <c r="E7" s="9"/>
      <c r="Q7" s="9"/>
      <c r="R7" s="9"/>
      <c r="S7" s="9"/>
      <c r="T7" s="9"/>
    </row>
    <row r="8" spans="1:20" x14ac:dyDescent="0.15">
      <c r="D8" s="8" t="s">
        <v>9</v>
      </c>
      <c r="E8" s="9"/>
      <c r="Q8" s="9"/>
      <c r="R8" s="9"/>
      <c r="S8" s="9"/>
      <c r="T8" s="9"/>
    </row>
    <row r="9" spans="1:20" x14ac:dyDescent="0.15">
      <c r="D9" s="8" t="s">
        <v>10</v>
      </c>
      <c r="E9" s="9"/>
      <c r="Q9" s="9"/>
      <c r="R9" s="9"/>
      <c r="S9" s="9"/>
      <c r="T9" s="9"/>
    </row>
    <row r="10" spans="1:20" x14ac:dyDescent="0.15">
      <c r="D10" s="8" t="s">
        <v>11</v>
      </c>
      <c r="E10" s="9"/>
      <c r="Q10" s="9"/>
      <c r="R10" s="9"/>
      <c r="S10" s="9"/>
      <c r="T10" s="9"/>
    </row>
    <row r="11" spans="1:20" x14ac:dyDescent="0.15">
      <c r="E11" s="8" t="s">
        <v>12</v>
      </c>
      <c r="Q11" s="9"/>
      <c r="R11" s="9"/>
      <c r="S11" s="9"/>
      <c r="T11" s="9"/>
    </row>
    <row r="12" spans="1:20" x14ac:dyDescent="0.15">
      <c r="E12" s="8" t="s">
        <v>13</v>
      </c>
      <c r="Q12" s="9"/>
      <c r="R12" s="9"/>
      <c r="S12" s="9"/>
      <c r="T12" s="9"/>
    </row>
    <row r="13" spans="1:20" x14ac:dyDescent="0.15">
      <c r="E13" s="8" t="s">
        <v>14</v>
      </c>
      <c r="Q13" s="9"/>
      <c r="R13" s="9"/>
      <c r="S13" s="9"/>
      <c r="T13" s="9"/>
    </row>
    <row r="14" spans="1:20" x14ac:dyDescent="0.15">
      <c r="E14" s="9"/>
      <c r="Q14" s="9"/>
      <c r="R14" s="9"/>
      <c r="S14" s="9"/>
      <c r="T14" s="9"/>
    </row>
    <row r="15" spans="1:20" x14ac:dyDescent="0.15">
      <c r="C15" s="10" t="s">
        <v>15</v>
      </c>
      <c r="D15" s="9"/>
      <c r="E15" s="9"/>
      <c r="Q15" s="9"/>
      <c r="R15" s="9"/>
      <c r="S15" s="9"/>
      <c r="T15" s="9"/>
    </row>
    <row r="16" spans="1:20" x14ac:dyDescent="0.15">
      <c r="D16" s="8" t="s">
        <v>16</v>
      </c>
      <c r="E16" s="9"/>
      <c r="Q16" s="9"/>
      <c r="R16" s="9"/>
      <c r="S16" s="9"/>
      <c r="T16" s="9"/>
    </row>
    <row r="17" spans="2:20" x14ac:dyDescent="0.15">
      <c r="D17" s="8" t="s">
        <v>17</v>
      </c>
      <c r="E17" s="9"/>
      <c r="Q17" s="9"/>
      <c r="R17" s="9"/>
      <c r="S17" s="9"/>
      <c r="T17" s="9"/>
    </row>
    <row r="18" spans="2:20" x14ac:dyDescent="0.15">
      <c r="D18" s="8" t="s">
        <v>18</v>
      </c>
      <c r="E18" s="9"/>
      <c r="Q18" s="9"/>
      <c r="R18" s="9"/>
      <c r="S18" s="9"/>
      <c r="T18" s="9"/>
    </row>
    <row r="19" spans="2:20" ht="12" customHeight="1" x14ac:dyDescent="0.15">
      <c r="B19" s="5"/>
      <c r="C19" s="10"/>
      <c r="D19" s="8"/>
      <c r="E19" s="9"/>
      <c r="Q19" s="9"/>
      <c r="R19" s="9"/>
      <c r="S19" s="9"/>
      <c r="T19" s="9"/>
    </row>
    <row r="20" spans="2:20" ht="25" x14ac:dyDescent="0.15">
      <c r="B20" s="5" t="s">
        <v>19</v>
      </c>
      <c r="D20" s="8"/>
      <c r="E20" s="9"/>
      <c r="Q20" s="9"/>
      <c r="R20" s="9"/>
      <c r="S20" s="9"/>
      <c r="T20" s="9"/>
    </row>
    <row r="21" spans="2:20" x14ac:dyDescent="0.15">
      <c r="D21" s="11" t="s">
        <v>20</v>
      </c>
      <c r="E21" s="9"/>
      <c r="Q21" s="9"/>
      <c r="R21" s="9"/>
      <c r="S21" s="9"/>
      <c r="T21" s="9"/>
    </row>
    <row r="22" spans="2:20" x14ac:dyDescent="0.15">
      <c r="D22" s="8"/>
      <c r="E22" s="12" t="s">
        <v>21</v>
      </c>
      <c r="F22" s="13"/>
      <c r="G22" s="13"/>
      <c r="H22" s="13"/>
      <c r="Q22" s="9"/>
      <c r="R22" s="9"/>
      <c r="S22" s="9"/>
      <c r="T22" s="9"/>
    </row>
    <row r="23" spans="2:20" x14ac:dyDescent="0.15">
      <c r="D23" s="8"/>
      <c r="E23" s="14" t="s">
        <v>22</v>
      </c>
      <c r="Q23" s="9"/>
      <c r="R23" s="9"/>
      <c r="S23" s="9"/>
      <c r="T23" s="9"/>
    </row>
    <row r="24" spans="2:20" x14ac:dyDescent="0.15">
      <c r="D24" s="8"/>
      <c r="E24" s="14"/>
      <c r="F24" s="8" t="s">
        <v>23</v>
      </c>
      <c r="Q24" s="9"/>
      <c r="R24" s="9"/>
      <c r="S24" s="9"/>
      <c r="T24" s="9"/>
    </row>
    <row r="25" spans="2:20" x14ac:dyDescent="0.15">
      <c r="D25" s="8"/>
      <c r="F25" s="15" t="s">
        <v>24</v>
      </c>
      <c r="Q25" s="9"/>
      <c r="R25" s="9"/>
      <c r="S25" s="9"/>
      <c r="T25" s="9"/>
    </row>
    <row r="26" spans="2:20" x14ac:dyDescent="0.15">
      <c r="D26" s="8"/>
      <c r="E26" s="14" t="s">
        <v>25</v>
      </c>
      <c r="Q26" s="9"/>
      <c r="R26" s="9"/>
      <c r="S26" s="9"/>
      <c r="T26" s="9"/>
    </row>
    <row r="27" spans="2:20" x14ac:dyDescent="0.15">
      <c r="D27" s="8"/>
      <c r="E27" s="14"/>
      <c r="F27" s="15" t="s">
        <v>26</v>
      </c>
      <c r="Q27" s="9"/>
      <c r="R27" s="9"/>
      <c r="S27" s="9"/>
      <c r="T27" s="9"/>
    </row>
    <row r="28" spans="2:20" x14ac:dyDescent="0.15">
      <c r="D28" s="8"/>
      <c r="E28" s="14"/>
      <c r="F28" s="15" t="s">
        <v>27</v>
      </c>
      <c r="Q28" s="9"/>
      <c r="R28" s="9"/>
      <c r="S28" s="9"/>
      <c r="T28" s="9"/>
    </row>
    <row r="29" spans="2:20" x14ac:dyDescent="0.15">
      <c r="D29" s="8"/>
      <c r="E29" s="9"/>
      <c r="Q29" s="9"/>
      <c r="R29" s="9"/>
      <c r="S29" s="9"/>
      <c r="T29" s="9"/>
    </row>
    <row r="30" spans="2:20" x14ac:dyDescent="0.15">
      <c r="D30" s="11" t="s">
        <v>28</v>
      </c>
      <c r="E30" s="9"/>
      <c r="Q30" s="9"/>
      <c r="R30" s="9"/>
      <c r="S30" s="9"/>
      <c r="T30" s="9"/>
    </row>
    <row r="31" spans="2:20" x14ac:dyDescent="0.15">
      <c r="D31" s="8"/>
      <c r="E31" s="14" t="s">
        <v>29</v>
      </c>
      <c r="Q31" s="9"/>
      <c r="R31" s="9"/>
      <c r="S31" s="9"/>
      <c r="T31" s="9"/>
    </row>
    <row r="32" spans="2:20" x14ac:dyDescent="0.15">
      <c r="D32" s="8"/>
      <c r="E32" s="14"/>
      <c r="Q32" s="9"/>
      <c r="R32" s="9"/>
      <c r="S32" s="9"/>
      <c r="T32" s="9"/>
    </row>
    <row r="33" spans="2:20" x14ac:dyDescent="0.15">
      <c r="D33" s="8"/>
      <c r="E33" s="9"/>
      <c r="Q33" s="9"/>
      <c r="R33" s="9"/>
      <c r="S33" s="9"/>
      <c r="T33" s="9"/>
    </row>
    <row r="34" spans="2:20" ht="25" x14ac:dyDescent="0.15">
      <c r="B34" s="5" t="s">
        <v>30</v>
      </c>
      <c r="D34" s="8"/>
      <c r="E34" s="9"/>
      <c r="Q34" s="9"/>
      <c r="R34" s="9"/>
      <c r="S34" s="9"/>
      <c r="T34" s="9"/>
    </row>
    <row r="35" spans="2:20" ht="19" thickBot="1" x14ac:dyDescent="0.25">
      <c r="B35" s="16"/>
      <c r="C35" s="17" t="s">
        <v>31</v>
      </c>
      <c r="D35" s="18"/>
      <c r="E35" s="19"/>
      <c r="F35" s="18"/>
      <c r="G35" s="18"/>
      <c r="H35" s="18"/>
      <c r="I35" s="16"/>
      <c r="J35" s="18"/>
      <c r="K35" s="18"/>
      <c r="L35" s="18"/>
      <c r="M35" s="16"/>
      <c r="N35" s="18"/>
      <c r="O35" s="18"/>
      <c r="P35" s="18"/>
      <c r="Q35" s="9"/>
      <c r="R35" s="9"/>
      <c r="S35" s="9"/>
      <c r="T35" s="9"/>
    </row>
    <row r="36" spans="2:20" ht="12" customHeight="1" thickTop="1" x14ac:dyDescent="0.15">
      <c r="B36" s="5"/>
      <c r="D36" s="8"/>
      <c r="E36" s="9"/>
      <c r="Q36" s="9"/>
      <c r="R36" s="9"/>
      <c r="S36" s="9"/>
      <c r="T36" s="9"/>
    </row>
    <row r="37" spans="2:20" s="21" customFormat="1" ht="15" customHeight="1" x14ac:dyDescent="0.15">
      <c r="B37" s="20"/>
      <c r="E37" s="22"/>
      <c r="G37" s="23" t="s">
        <v>32</v>
      </c>
      <c r="L37" s="23" t="s">
        <v>33</v>
      </c>
      <c r="Q37" s="22"/>
      <c r="R37" s="22"/>
      <c r="S37" s="22"/>
      <c r="T37" s="22"/>
    </row>
    <row r="38" spans="2:20" ht="12" customHeight="1" x14ac:dyDescent="0.15">
      <c r="B38" s="5"/>
      <c r="D38" s="24" t="s">
        <v>34</v>
      </c>
      <c r="E38" s="25"/>
      <c r="F38" s="21"/>
      <c r="G38" s="26" t="s">
        <v>35</v>
      </c>
      <c r="H38" s="27"/>
      <c r="I38" s="27"/>
      <c r="J38" s="27"/>
      <c r="K38" s="27"/>
      <c r="L38" s="28" t="s">
        <v>36</v>
      </c>
      <c r="Q38" s="9"/>
      <c r="R38" s="9"/>
      <c r="S38" s="9"/>
      <c r="T38" s="9"/>
    </row>
    <row r="39" spans="2:20" ht="12" customHeight="1" x14ac:dyDescent="0.15">
      <c r="B39" s="5"/>
      <c r="D39" s="24" t="s">
        <v>37</v>
      </c>
      <c r="E39" s="25"/>
      <c r="F39" s="21"/>
      <c r="G39" s="26" t="s">
        <v>38</v>
      </c>
      <c r="H39" s="27"/>
      <c r="I39" s="27"/>
      <c r="J39" s="27"/>
      <c r="K39" s="27"/>
      <c r="L39" s="28" t="s">
        <v>39</v>
      </c>
      <c r="Q39" s="9"/>
      <c r="R39" s="9"/>
      <c r="S39" s="9"/>
      <c r="T39" s="9"/>
    </row>
    <row r="40" spans="2:20" ht="20.25" customHeight="1" thickBot="1" x14ac:dyDescent="0.25">
      <c r="B40" s="16"/>
      <c r="C40" s="17" t="s">
        <v>40</v>
      </c>
      <c r="D40" s="18"/>
      <c r="E40" s="19"/>
      <c r="F40" s="18"/>
      <c r="G40" s="18"/>
      <c r="H40" s="18"/>
      <c r="I40" s="16"/>
      <c r="J40" s="18"/>
      <c r="K40" s="18"/>
      <c r="L40" s="18"/>
      <c r="M40" s="16"/>
      <c r="N40" s="18"/>
      <c r="O40" s="18"/>
      <c r="P40" s="18"/>
      <c r="Q40" s="29"/>
      <c r="R40" s="9"/>
      <c r="S40" s="9"/>
      <c r="T40" s="9"/>
    </row>
    <row r="41" spans="2:20" ht="12" customHeight="1" thickTop="1" x14ac:dyDescent="0.15">
      <c r="B41" s="20"/>
      <c r="D41" s="8"/>
      <c r="E41" s="9"/>
      <c r="Q41" s="9"/>
      <c r="R41" s="9"/>
      <c r="S41" s="9"/>
      <c r="T41" s="9"/>
    </row>
    <row r="42" spans="2:20" s="21" customFormat="1" ht="15" customHeight="1" x14ac:dyDescent="0.15">
      <c r="B42" s="20"/>
      <c r="E42" s="22"/>
      <c r="G42" s="23" t="s">
        <v>32</v>
      </c>
      <c r="L42" s="23" t="s">
        <v>33</v>
      </c>
      <c r="Q42" s="22"/>
      <c r="R42" s="22"/>
      <c r="S42" s="22"/>
      <c r="T42" s="22"/>
    </row>
    <row r="43" spans="2:20" s="21" customFormat="1" ht="15" customHeight="1" x14ac:dyDescent="0.15">
      <c r="B43" s="20"/>
      <c r="C43" s="30" t="s">
        <v>41</v>
      </c>
      <c r="D43" s="31"/>
      <c r="E43" s="32"/>
      <c r="F43" s="31"/>
      <c r="G43" s="33"/>
      <c r="H43" s="31"/>
      <c r="I43" s="31"/>
      <c r="J43" s="31"/>
      <c r="K43" s="31"/>
      <c r="L43" s="33"/>
      <c r="Q43" s="22"/>
      <c r="R43" s="22"/>
      <c r="S43" s="22"/>
      <c r="T43" s="22"/>
    </row>
    <row r="44" spans="2:20" ht="12" customHeight="1" x14ac:dyDescent="0.15">
      <c r="B44" s="20"/>
      <c r="C44" s="24"/>
      <c r="D44" s="24" t="s">
        <v>42</v>
      </c>
      <c r="E44" s="25"/>
      <c r="F44" s="27"/>
      <c r="G44" s="26" t="s">
        <v>43</v>
      </c>
      <c r="H44" s="27"/>
      <c r="I44" s="27"/>
      <c r="J44" s="27"/>
      <c r="K44" s="27"/>
      <c r="L44" s="28" t="s">
        <v>44</v>
      </c>
      <c r="Q44" s="9"/>
      <c r="R44" s="9"/>
      <c r="S44" s="9"/>
      <c r="T44" s="9"/>
    </row>
    <row r="45" spans="2:20" ht="12" customHeight="1" x14ac:dyDescent="0.15">
      <c r="B45" s="20"/>
      <c r="C45" s="24"/>
      <c r="D45" s="24" t="s">
        <v>45</v>
      </c>
      <c r="E45" s="25"/>
      <c r="F45" s="27"/>
      <c r="G45" s="26" t="s">
        <v>46</v>
      </c>
      <c r="H45" s="27"/>
      <c r="I45" s="27"/>
      <c r="J45" s="27"/>
      <c r="K45" s="27"/>
      <c r="L45" s="28" t="s">
        <v>47</v>
      </c>
      <c r="Q45" s="9"/>
      <c r="R45" s="9"/>
      <c r="S45" s="9"/>
      <c r="T45" s="9"/>
    </row>
    <row r="46" spans="2:20" ht="12" customHeight="1" x14ac:dyDescent="0.15">
      <c r="B46" s="20"/>
      <c r="C46" s="24"/>
      <c r="D46" s="24" t="s">
        <v>48</v>
      </c>
      <c r="E46" s="25"/>
      <c r="F46" s="27"/>
      <c r="G46" s="26" t="s">
        <v>49</v>
      </c>
      <c r="H46" s="27"/>
      <c r="I46" s="27"/>
      <c r="J46" s="27"/>
      <c r="K46" s="27"/>
      <c r="L46" s="28" t="s">
        <v>50</v>
      </c>
      <c r="Q46" s="9"/>
      <c r="R46" s="9"/>
      <c r="S46" s="9"/>
      <c r="T46" s="9"/>
    </row>
    <row r="47" spans="2:20" ht="12" customHeight="1" x14ac:dyDescent="0.15">
      <c r="B47" s="20"/>
      <c r="C47" s="24"/>
      <c r="D47" s="24" t="s">
        <v>51</v>
      </c>
      <c r="E47" s="25"/>
      <c r="F47" s="27"/>
      <c r="G47" s="26" t="s">
        <v>52</v>
      </c>
      <c r="H47" s="27"/>
      <c r="I47" s="27"/>
      <c r="J47" s="27"/>
      <c r="K47" s="27"/>
      <c r="L47" s="28" t="s">
        <v>53</v>
      </c>
      <c r="Q47" s="9"/>
      <c r="R47" s="9"/>
      <c r="S47" s="9"/>
      <c r="T47" s="9"/>
    </row>
    <row r="48" spans="2:20" ht="12" customHeight="1" x14ac:dyDescent="0.15">
      <c r="B48" s="20"/>
      <c r="C48" s="27"/>
      <c r="D48" s="24" t="s">
        <v>54</v>
      </c>
      <c r="E48" s="25"/>
      <c r="F48" s="27"/>
      <c r="G48" s="26" t="s">
        <v>55</v>
      </c>
      <c r="H48" s="27"/>
      <c r="I48" s="27"/>
      <c r="J48" s="27"/>
      <c r="K48" s="27"/>
      <c r="L48" s="34" t="s">
        <v>56</v>
      </c>
      <c r="Q48" s="9"/>
      <c r="R48" s="9"/>
      <c r="S48" s="9"/>
      <c r="T48" s="9"/>
    </row>
    <row r="49" spans="2:20" ht="12" customHeight="1" x14ac:dyDescent="0.15">
      <c r="B49" s="5"/>
      <c r="C49" s="27"/>
      <c r="D49" s="35"/>
      <c r="E49" s="25"/>
      <c r="F49" s="27"/>
      <c r="G49" s="27"/>
      <c r="H49" s="27"/>
      <c r="I49" s="27"/>
      <c r="J49" s="27"/>
      <c r="K49" s="27"/>
      <c r="L49" s="27"/>
      <c r="Q49" s="9"/>
      <c r="R49" s="9"/>
      <c r="S49" s="9"/>
      <c r="T49" s="9"/>
    </row>
    <row r="50" spans="2:20" ht="12" customHeight="1" x14ac:dyDescent="0.15">
      <c r="B50" s="5"/>
      <c r="C50" s="36" t="s">
        <v>57</v>
      </c>
      <c r="D50" s="8"/>
      <c r="E50" s="9"/>
      <c r="Q50" s="9"/>
      <c r="R50" s="9"/>
      <c r="S50" s="9"/>
      <c r="T50" s="9"/>
    </row>
    <row r="51" spans="2:20" ht="12" customHeight="1" x14ac:dyDescent="0.15">
      <c r="B51" s="5"/>
      <c r="C51" s="27"/>
      <c r="D51" s="24" t="s">
        <v>58</v>
      </c>
      <c r="E51" s="9"/>
      <c r="G51" s="26" t="s">
        <v>59</v>
      </c>
      <c r="L51" s="34"/>
      <c r="Q51" s="9"/>
      <c r="R51" s="9"/>
      <c r="S51" s="9"/>
      <c r="T51" s="9"/>
    </row>
    <row r="52" spans="2:20" ht="12" customHeight="1" x14ac:dyDescent="0.15">
      <c r="B52" s="5"/>
      <c r="C52" s="27"/>
      <c r="D52" s="24" t="s">
        <v>60</v>
      </c>
      <c r="E52" s="9"/>
      <c r="G52" s="26" t="s">
        <v>61</v>
      </c>
      <c r="L52" s="34"/>
      <c r="Q52" s="9"/>
      <c r="R52" s="9"/>
      <c r="S52" s="9"/>
      <c r="T52" s="9"/>
    </row>
    <row r="53" spans="2:20" ht="12" customHeight="1" x14ac:dyDescent="0.15">
      <c r="B53" s="5"/>
      <c r="C53" s="27"/>
      <c r="D53" s="24" t="s">
        <v>62</v>
      </c>
      <c r="E53" s="9"/>
      <c r="G53" s="26" t="s">
        <v>63</v>
      </c>
      <c r="L53" s="34" t="s">
        <v>64</v>
      </c>
      <c r="Q53" s="9"/>
      <c r="R53" s="9"/>
      <c r="S53" s="9"/>
      <c r="T53" s="9"/>
    </row>
    <row r="54" spans="2:20" ht="12" customHeight="1" x14ac:dyDescent="0.15">
      <c r="B54" s="5"/>
      <c r="C54" s="27"/>
      <c r="D54" s="24" t="s">
        <v>65</v>
      </c>
      <c r="E54" s="9"/>
      <c r="G54" s="26" t="s">
        <v>66</v>
      </c>
      <c r="L54" s="34"/>
      <c r="Q54" s="9"/>
      <c r="R54" s="9"/>
      <c r="S54" s="9"/>
      <c r="T54" s="9"/>
    </row>
    <row r="55" spans="2:20" ht="12" customHeight="1" x14ac:dyDescent="0.15">
      <c r="B55" s="5"/>
      <c r="D55" s="8"/>
      <c r="E55" s="9"/>
      <c r="G55" s="26"/>
      <c r="L55" s="34"/>
      <c r="Q55" s="9"/>
      <c r="R55" s="9"/>
      <c r="S55" s="9"/>
      <c r="T55" s="9"/>
    </row>
    <row r="56" spans="2:20" ht="12" customHeight="1" x14ac:dyDescent="0.15">
      <c r="B56" s="5"/>
      <c r="C56" s="36" t="s">
        <v>67</v>
      </c>
      <c r="D56" s="8"/>
      <c r="E56" s="9"/>
      <c r="G56" s="26"/>
      <c r="L56" s="34"/>
      <c r="Q56" s="9"/>
      <c r="R56" s="9"/>
      <c r="S56" s="9"/>
      <c r="T56" s="9"/>
    </row>
    <row r="57" spans="2:20" ht="12" customHeight="1" x14ac:dyDescent="0.15">
      <c r="B57" s="5"/>
      <c r="D57" s="24" t="s">
        <v>58</v>
      </c>
      <c r="E57" s="9"/>
      <c r="G57" s="26" t="s">
        <v>59</v>
      </c>
      <c r="L57" s="34"/>
      <c r="Q57" s="9"/>
      <c r="R57" s="9"/>
      <c r="S57" s="9"/>
      <c r="T57" s="9"/>
    </row>
    <row r="58" spans="2:20" ht="12" customHeight="1" x14ac:dyDescent="0.15">
      <c r="B58" s="5"/>
      <c r="D58" s="24" t="s">
        <v>68</v>
      </c>
      <c r="E58" s="9"/>
      <c r="G58" s="26" t="s">
        <v>69</v>
      </c>
      <c r="L58" s="34"/>
      <c r="Q58" s="9"/>
      <c r="R58" s="9"/>
      <c r="S58" s="9"/>
      <c r="T58" s="9"/>
    </row>
    <row r="59" spans="2:20" ht="12" customHeight="1" x14ac:dyDescent="0.15">
      <c r="B59" s="5"/>
      <c r="D59" s="24" t="s">
        <v>70</v>
      </c>
      <c r="E59" s="9"/>
      <c r="G59" s="26" t="s">
        <v>71</v>
      </c>
      <c r="L59" s="34"/>
      <c r="Q59" s="9"/>
      <c r="R59" s="9"/>
      <c r="S59" s="9"/>
      <c r="T59" s="9"/>
    </row>
    <row r="60" spans="2:20" ht="12" customHeight="1" x14ac:dyDescent="0.15">
      <c r="B60" s="5"/>
      <c r="D60" s="24" t="s">
        <v>72</v>
      </c>
      <c r="E60" s="9"/>
      <c r="G60" s="26" t="s">
        <v>73</v>
      </c>
      <c r="L60" s="34" t="s">
        <v>74</v>
      </c>
      <c r="Q60" s="9"/>
      <c r="R60" s="9"/>
      <c r="S60" s="9"/>
      <c r="T60" s="9"/>
    </row>
    <row r="61" spans="2:20" ht="12" customHeight="1" x14ac:dyDescent="0.15">
      <c r="B61" s="5"/>
      <c r="C61" s="36" t="s">
        <v>75</v>
      </c>
      <c r="D61" s="27"/>
      <c r="E61" s="25"/>
      <c r="G61" s="26"/>
      <c r="L61" s="34"/>
      <c r="Q61" s="9"/>
      <c r="R61" s="9"/>
      <c r="S61" s="9"/>
      <c r="T61" s="9"/>
    </row>
    <row r="62" spans="2:20" ht="12" customHeight="1" x14ac:dyDescent="0.15">
      <c r="B62" s="5"/>
      <c r="C62" s="37"/>
      <c r="D62" s="24" t="s">
        <v>76</v>
      </c>
      <c r="E62" s="24"/>
      <c r="G62" s="26" t="s">
        <v>77</v>
      </c>
      <c r="L62" s="34" t="s">
        <v>78</v>
      </c>
      <c r="Q62" s="9"/>
      <c r="R62" s="9"/>
      <c r="S62" s="9"/>
      <c r="T62" s="9"/>
    </row>
    <row r="63" spans="2:20" x14ac:dyDescent="0.15">
      <c r="D63" s="24" t="s">
        <v>79</v>
      </c>
      <c r="E63" s="24"/>
      <c r="G63" s="26" t="s">
        <v>80</v>
      </c>
    </row>
    <row r="64" spans="2:20" ht="12" customHeight="1" x14ac:dyDescent="0.15">
      <c r="B64" s="5"/>
      <c r="C64" s="24"/>
      <c r="D64" s="24" t="s">
        <v>81</v>
      </c>
      <c r="E64" s="25"/>
      <c r="G64" s="26" t="s">
        <v>82</v>
      </c>
      <c r="L64" s="34"/>
      <c r="Q64" s="9"/>
      <c r="R64" s="9"/>
      <c r="S64" s="9"/>
      <c r="T64" s="9"/>
    </row>
    <row r="65" spans="2:20" ht="12" customHeight="1" x14ac:dyDescent="0.15">
      <c r="B65" s="5"/>
      <c r="C65" s="24"/>
      <c r="D65" s="24" t="s">
        <v>83</v>
      </c>
      <c r="E65" s="25"/>
      <c r="G65" s="26" t="s">
        <v>84</v>
      </c>
      <c r="L65" s="34" t="s">
        <v>85</v>
      </c>
      <c r="Q65" s="9"/>
      <c r="R65" s="9"/>
      <c r="S65" s="9"/>
      <c r="T65" s="9"/>
    </row>
    <row r="66" spans="2:20" ht="12" customHeight="1" x14ac:dyDescent="0.15">
      <c r="B66" s="5"/>
      <c r="C66" s="36" t="s">
        <v>86</v>
      </c>
      <c r="D66" s="24"/>
      <c r="E66" s="25"/>
      <c r="G66" s="26"/>
      <c r="L66" s="34"/>
      <c r="Q66" s="9"/>
      <c r="R66" s="9"/>
      <c r="S66" s="9"/>
      <c r="T66" s="9"/>
    </row>
    <row r="67" spans="2:20" ht="12" customHeight="1" x14ac:dyDescent="0.15">
      <c r="B67" s="5"/>
      <c r="C67" s="27"/>
      <c r="D67" s="35" t="s">
        <v>87</v>
      </c>
      <c r="E67" s="25"/>
      <c r="G67" s="26"/>
      <c r="L67" s="34" t="s">
        <v>88</v>
      </c>
      <c r="Q67" s="9"/>
      <c r="R67" s="9"/>
      <c r="S67" s="9"/>
      <c r="T67" s="9"/>
    </row>
    <row r="68" spans="2:20" ht="12" customHeight="1" x14ac:dyDescent="0.15">
      <c r="B68" s="5"/>
      <c r="C68" s="27"/>
      <c r="D68" s="35"/>
      <c r="E68" s="25"/>
      <c r="G68" s="26"/>
      <c r="L68" s="34"/>
      <c r="Q68" s="9"/>
      <c r="R68" s="9"/>
      <c r="S68" s="9"/>
      <c r="T68" s="9"/>
    </row>
    <row r="69" spans="2:20" ht="12" customHeight="1" x14ac:dyDescent="0.15">
      <c r="B69" s="5"/>
      <c r="C69" s="27"/>
      <c r="D69" s="35"/>
      <c r="E69" s="25"/>
      <c r="G69" s="26"/>
      <c r="L69" s="34"/>
      <c r="Q69" s="9"/>
      <c r="R69" s="9"/>
      <c r="S69" s="9"/>
      <c r="T69" s="9"/>
    </row>
    <row r="70" spans="2:20" ht="12" customHeight="1" x14ac:dyDescent="0.15">
      <c r="B70" s="5"/>
      <c r="C70" s="27"/>
      <c r="D70" s="35"/>
      <c r="E70" s="25"/>
      <c r="G70" s="26"/>
      <c r="L70" s="34"/>
      <c r="Q70" s="9"/>
      <c r="R70" s="9"/>
      <c r="S70" s="9"/>
      <c r="T70" s="9"/>
    </row>
    <row r="71" spans="2:20" ht="12" customHeight="1" x14ac:dyDescent="0.15">
      <c r="B71" s="5"/>
      <c r="D71" s="8"/>
      <c r="E71" s="9"/>
      <c r="G71" s="26"/>
      <c r="L71" s="34"/>
      <c r="Q71" s="9"/>
      <c r="R71" s="9"/>
      <c r="S71" s="9"/>
      <c r="T71" s="9"/>
    </row>
    <row r="72" spans="2:20" ht="20.25" customHeight="1" thickBot="1" x14ac:dyDescent="0.25">
      <c r="B72" s="16"/>
      <c r="C72" s="17" t="s">
        <v>89</v>
      </c>
      <c r="D72" s="18"/>
      <c r="E72" s="19"/>
      <c r="F72" s="18"/>
      <c r="G72" s="18"/>
      <c r="H72" s="18"/>
      <c r="I72" s="16"/>
      <c r="J72" s="18"/>
      <c r="K72" s="18"/>
      <c r="L72" s="18"/>
      <c r="M72" s="16"/>
      <c r="N72" s="18"/>
      <c r="O72" s="18"/>
      <c r="P72" s="18"/>
      <c r="Q72" s="29"/>
      <c r="R72" s="9"/>
      <c r="S72" s="9"/>
      <c r="T72" s="9"/>
    </row>
    <row r="73" spans="2:20" ht="12" customHeight="1" thickTop="1" x14ac:dyDescent="0.15">
      <c r="B73" s="5"/>
      <c r="D73" s="8"/>
      <c r="E73" s="9"/>
      <c r="G73" s="26"/>
      <c r="L73" s="34"/>
      <c r="Q73" s="9"/>
      <c r="R73" s="9"/>
      <c r="S73" s="9"/>
      <c r="T73" s="9"/>
    </row>
    <row r="74" spans="2:20" ht="20.25" customHeight="1" x14ac:dyDescent="0.15">
      <c r="B74" s="5"/>
      <c r="D74" s="8"/>
      <c r="E74" s="9"/>
      <c r="G74" s="23" t="s">
        <v>32</v>
      </c>
      <c r="H74" s="21"/>
      <c r="I74" s="21"/>
      <c r="J74" s="21"/>
      <c r="K74" s="21"/>
      <c r="L74" s="23" t="s">
        <v>33</v>
      </c>
      <c r="Q74" s="9"/>
      <c r="R74" s="9"/>
      <c r="S74" s="9"/>
      <c r="T74" s="9"/>
    </row>
    <row r="75" spans="2:20" ht="12" customHeight="1" x14ac:dyDescent="0.15">
      <c r="B75" s="5"/>
      <c r="C75" s="36" t="s">
        <v>90</v>
      </c>
      <c r="D75" s="24"/>
      <c r="E75" s="9"/>
      <c r="G75" s="26" t="s">
        <v>91</v>
      </c>
      <c r="L75" s="34"/>
      <c r="Q75" s="9"/>
      <c r="R75" s="9"/>
      <c r="S75" s="9"/>
      <c r="T75" s="9"/>
    </row>
    <row r="76" spans="2:20" ht="12" customHeight="1" x14ac:dyDescent="0.15">
      <c r="B76" s="5"/>
      <c r="C76" s="24"/>
      <c r="D76" s="24"/>
      <c r="E76" s="9"/>
      <c r="G76" s="26"/>
      <c r="L76" s="34"/>
      <c r="Q76" s="9"/>
      <c r="R76" s="9"/>
      <c r="S76" s="9"/>
      <c r="T76" s="9"/>
    </row>
    <row r="77" spans="2:20" ht="12" customHeight="1" x14ac:dyDescent="0.15">
      <c r="B77" s="5"/>
      <c r="C77" s="36" t="s">
        <v>92</v>
      </c>
      <c r="D77" s="37"/>
      <c r="E77" s="9"/>
      <c r="G77" s="38" t="s">
        <v>93</v>
      </c>
      <c r="L77" s="34"/>
      <c r="Q77" s="9"/>
      <c r="R77" s="9"/>
      <c r="S77" s="9"/>
      <c r="T77" s="9"/>
    </row>
    <row r="78" spans="2:20" ht="12" customHeight="1" x14ac:dyDescent="0.15">
      <c r="B78" s="5"/>
      <c r="C78" s="37"/>
      <c r="D78" s="39" t="s">
        <v>94</v>
      </c>
      <c r="E78" s="9"/>
      <c r="G78" s="38" t="s">
        <v>95</v>
      </c>
      <c r="L78" s="34"/>
      <c r="Q78" s="9"/>
      <c r="R78" s="9"/>
      <c r="S78" s="9"/>
      <c r="T78" s="9"/>
    </row>
    <row r="79" spans="2:20" ht="12" customHeight="1" x14ac:dyDescent="0.2">
      <c r="B79" s="5"/>
      <c r="C79" s="24"/>
      <c r="D79" s="24" t="s">
        <v>96</v>
      </c>
      <c r="E79" s="9"/>
      <c r="G79" s="26" t="s">
        <v>97</v>
      </c>
      <c r="L79" s="40" t="s">
        <v>98</v>
      </c>
      <c r="Q79" s="9"/>
      <c r="R79" s="9"/>
      <c r="S79" s="9"/>
      <c r="T79" s="9"/>
    </row>
    <row r="80" spans="2:20" ht="12" customHeight="1" x14ac:dyDescent="0.2">
      <c r="B80" s="5"/>
      <c r="C80" s="24"/>
      <c r="D80" s="24" t="s">
        <v>99</v>
      </c>
      <c r="E80" s="9"/>
      <c r="G80" s="26" t="s">
        <v>100</v>
      </c>
      <c r="L80" s="40" t="s">
        <v>98</v>
      </c>
      <c r="Q80" s="9"/>
      <c r="R80" s="9"/>
      <c r="S80" s="9"/>
      <c r="T80" s="9"/>
    </row>
    <row r="81" spans="2:20" ht="12" customHeight="1" x14ac:dyDescent="0.15">
      <c r="B81" s="5"/>
      <c r="C81" s="24"/>
      <c r="D81" s="24"/>
      <c r="E81" s="9"/>
      <c r="G81" s="26"/>
      <c r="L81" s="34"/>
      <c r="Q81" s="9"/>
      <c r="R81" s="9"/>
      <c r="S81" s="9"/>
      <c r="T81" s="9"/>
    </row>
    <row r="82" spans="2:20" ht="12" customHeight="1" x14ac:dyDescent="0.15">
      <c r="B82" s="5"/>
      <c r="C82" s="24"/>
      <c r="D82" s="24" t="s">
        <v>101</v>
      </c>
      <c r="E82" s="9"/>
      <c r="G82" s="26" t="s">
        <v>102</v>
      </c>
      <c r="L82" s="34"/>
      <c r="Q82" s="9"/>
      <c r="R82" s="9"/>
      <c r="S82" s="9"/>
      <c r="T82" s="9"/>
    </row>
    <row r="83" spans="2:20" ht="12" customHeight="1" x14ac:dyDescent="0.15">
      <c r="B83" s="5"/>
      <c r="C83" s="24"/>
      <c r="D83" s="24" t="s">
        <v>103</v>
      </c>
      <c r="E83" s="9"/>
      <c r="G83" s="26" t="s">
        <v>104</v>
      </c>
      <c r="L83" s="34"/>
      <c r="Q83" s="9"/>
      <c r="R83" s="9"/>
      <c r="S83" s="9"/>
      <c r="T83" s="9"/>
    </row>
    <row r="84" spans="2:20" ht="12" customHeight="1" x14ac:dyDescent="0.15">
      <c r="B84" s="5"/>
      <c r="C84" s="24"/>
      <c r="D84" s="24" t="s">
        <v>105</v>
      </c>
      <c r="E84" s="9"/>
      <c r="G84" s="26" t="s">
        <v>106</v>
      </c>
      <c r="L84" s="34"/>
      <c r="Q84" s="9"/>
      <c r="R84" s="9"/>
      <c r="S84" s="9"/>
      <c r="T84" s="9"/>
    </row>
    <row r="85" spans="2:20" ht="12" customHeight="1" x14ac:dyDescent="0.2">
      <c r="B85" s="5"/>
      <c r="C85" s="24"/>
      <c r="D85" s="24" t="s">
        <v>107</v>
      </c>
      <c r="E85" s="9"/>
      <c r="G85" s="26" t="s">
        <v>108</v>
      </c>
      <c r="L85" s="40" t="s">
        <v>98</v>
      </c>
      <c r="Q85" s="9"/>
      <c r="R85" s="9"/>
      <c r="S85" s="9"/>
      <c r="T85" s="9"/>
    </row>
    <row r="86" spans="2:20" ht="12" customHeight="1" x14ac:dyDescent="0.2">
      <c r="B86" s="41"/>
      <c r="C86" s="24"/>
      <c r="D86" s="24" t="s">
        <v>109</v>
      </c>
      <c r="E86" s="9"/>
      <c r="G86" s="26" t="s">
        <v>110</v>
      </c>
      <c r="L86" s="40" t="s">
        <v>98</v>
      </c>
      <c r="Q86" s="9"/>
      <c r="R86" s="9"/>
      <c r="S86" s="9"/>
      <c r="T86" s="9"/>
    </row>
    <row r="87" spans="2:20" ht="12" customHeight="1" x14ac:dyDescent="0.15">
      <c r="B87" s="5"/>
      <c r="C87" s="24"/>
      <c r="D87" s="24"/>
      <c r="E87" s="9"/>
      <c r="G87" s="26"/>
      <c r="L87" s="34"/>
      <c r="Q87" s="9"/>
      <c r="R87" s="9"/>
      <c r="S87" s="9"/>
      <c r="T87" s="9"/>
    </row>
    <row r="88" spans="2:20" ht="12" customHeight="1" x14ac:dyDescent="0.15">
      <c r="B88" s="5"/>
      <c r="C88" s="24"/>
      <c r="D88" s="24" t="s">
        <v>111</v>
      </c>
      <c r="E88" s="9"/>
      <c r="G88" s="26" t="s">
        <v>112</v>
      </c>
      <c r="L88" s="34"/>
      <c r="Q88" s="9"/>
      <c r="R88" s="9"/>
      <c r="S88" s="9"/>
      <c r="T88" s="9"/>
    </row>
    <row r="89" spans="2:20" ht="12" customHeight="1" x14ac:dyDescent="0.15">
      <c r="B89" s="5"/>
      <c r="C89" s="24"/>
      <c r="D89" s="24"/>
      <c r="E89" s="9"/>
      <c r="G89" s="26"/>
      <c r="L89" s="34"/>
      <c r="Q89" s="9"/>
      <c r="R89" s="9"/>
      <c r="S89" s="9"/>
      <c r="T89" s="9"/>
    </row>
    <row r="90" spans="2:20" ht="12" customHeight="1" x14ac:dyDescent="0.15">
      <c r="B90" s="5"/>
      <c r="C90" s="39" t="s">
        <v>113</v>
      </c>
      <c r="D90" s="24"/>
      <c r="E90" s="9"/>
      <c r="G90" s="26"/>
      <c r="L90" s="34"/>
      <c r="Q90" s="9"/>
      <c r="R90" s="9"/>
      <c r="S90" s="9"/>
      <c r="T90" s="9"/>
    </row>
    <row r="91" spans="2:20" ht="12" customHeight="1" x14ac:dyDescent="0.15">
      <c r="B91" s="5"/>
      <c r="C91" s="42" t="s">
        <v>114</v>
      </c>
      <c r="D91" s="24"/>
      <c r="E91" s="9"/>
      <c r="G91" s="26"/>
      <c r="L91" s="34"/>
      <c r="Q91" s="9"/>
      <c r="R91" s="9"/>
      <c r="S91" s="9"/>
      <c r="T91" s="9"/>
    </row>
    <row r="92" spans="2:20" ht="12" customHeight="1" x14ac:dyDescent="0.15">
      <c r="B92" s="5"/>
      <c r="C92" s="42" t="s">
        <v>115</v>
      </c>
      <c r="D92" s="24"/>
      <c r="E92" s="9"/>
      <c r="G92" s="26"/>
      <c r="L92" s="34"/>
      <c r="Q92" s="9"/>
      <c r="R92" s="9"/>
      <c r="S92" s="9"/>
      <c r="T92" s="9"/>
    </row>
    <row r="93" spans="2:20" ht="12" customHeight="1" x14ac:dyDescent="0.15">
      <c r="B93" s="5"/>
      <c r="C93" s="42"/>
      <c r="D93" s="24"/>
      <c r="E93" s="9"/>
      <c r="G93" s="26"/>
      <c r="L93" s="34"/>
      <c r="Q93" s="9"/>
      <c r="R93" s="9"/>
      <c r="S93" s="9"/>
      <c r="T93" s="9"/>
    </row>
    <row r="94" spans="2:20" ht="12" customHeight="1" x14ac:dyDescent="0.15">
      <c r="B94" s="5"/>
      <c r="C94" s="24"/>
      <c r="D94" s="36" t="s">
        <v>116</v>
      </c>
      <c r="E94" s="9"/>
      <c r="G94" s="26" t="s">
        <v>117</v>
      </c>
      <c r="L94" s="34"/>
      <c r="Q94" s="9"/>
      <c r="R94" s="9"/>
      <c r="S94" s="9"/>
      <c r="T94" s="9"/>
    </row>
    <row r="95" spans="2:20" ht="12" customHeight="1" x14ac:dyDescent="0.15">
      <c r="B95" s="5"/>
      <c r="C95" s="24"/>
      <c r="D95" s="39"/>
      <c r="E95" s="9"/>
      <c r="G95" s="26"/>
      <c r="L95" s="34"/>
      <c r="Q95" s="9"/>
      <c r="R95" s="9"/>
      <c r="S95" s="9"/>
      <c r="T95" s="9"/>
    </row>
    <row r="96" spans="2:20" ht="12" customHeight="1" x14ac:dyDescent="0.15">
      <c r="B96" s="5"/>
      <c r="C96" s="24"/>
      <c r="D96" s="36" t="s">
        <v>118</v>
      </c>
      <c r="E96" s="27"/>
      <c r="G96" s="26"/>
      <c r="L96" s="34"/>
      <c r="Q96" s="9"/>
      <c r="R96" s="9"/>
      <c r="S96" s="9"/>
      <c r="T96" s="9"/>
    </row>
    <row r="97" spans="2:20" ht="12" customHeight="1" x14ac:dyDescent="0.15">
      <c r="B97" s="5"/>
      <c r="C97" s="24"/>
      <c r="D97" s="36"/>
      <c r="E97" s="24" t="s">
        <v>119</v>
      </c>
      <c r="G97" s="26" t="s">
        <v>120</v>
      </c>
      <c r="L97" s="34"/>
      <c r="Q97" s="9"/>
      <c r="R97" s="9"/>
      <c r="S97" s="9"/>
      <c r="T97" s="9"/>
    </row>
    <row r="98" spans="2:20" ht="12" customHeight="1" x14ac:dyDescent="0.15">
      <c r="B98" s="5"/>
      <c r="C98" s="27"/>
      <c r="D98" s="24"/>
      <c r="E98" s="24" t="s">
        <v>121</v>
      </c>
      <c r="G98" s="26" t="s">
        <v>122</v>
      </c>
      <c r="L98" s="34"/>
      <c r="Q98" s="9"/>
      <c r="R98" s="9"/>
      <c r="S98" s="9"/>
      <c r="T98" s="9"/>
    </row>
    <row r="99" spans="2:20" ht="12" customHeight="1" x14ac:dyDescent="0.15">
      <c r="B99" s="5"/>
      <c r="C99" s="27"/>
      <c r="D99" s="24"/>
      <c r="E99" s="24" t="s">
        <v>123</v>
      </c>
      <c r="G99" s="26" t="s">
        <v>124</v>
      </c>
      <c r="L99" s="34"/>
      <c r="Q99" s="9"/>
      <c r="R99" s="9"/>
      <c r="S99" s="9"/>
      <c r="T99" s="9"/>
    </row>
    <row r="100" spans="2:20" ht="12" customHeight="1" x14ac:dyDescent="0.15">
      <c r="B100" s="5"/>
      <c r="C100" s="27"/>
      <c r="D100" s="24"/>
      <c r="E100" s="24" t="s">
        <v>125</v>
      </c>
      <c r="G100" s="26" t="s">
        <v>126</v>
      </c>
      <c r="L100" s="34" t="s">
        <v>127</v>
      </c>
      <c r="Q100" s="9"/>
      <c r="R100" s="9"/>
      <c r="S100" s="9"/>
      <c r="T100" s="9"/>
    </row>
    <row r="101" spans="2:20" ht="12" customHeight="1" x14ac:dyDescent="0.15">
      <c r="B101" s="5"/>
      <c r="C101" s="27"/>
      <c r="D101" s="35"/>
      <c r="E101" s="24" t="s">
        <v>128</v>
      </c>
      <c r="G101" s="26" t="s">
        <v>129</v>
      </c>
      <c r="L101" s="34" t="s">
        <v>130</v>
      </c>
      <c r="Q101" s="9"/>
      <c r="R101" s="9"/>
      <c r="S101" s="9"/>
      <c r="T101" s="9"/>
    </row>
    <row r="102" spans="2:20" ht="12" customHeight="1" x14ac:dyDescent="0.15">
      <c r="B102" s="5"/>
      <c r="C102" s="27"/>
      <c r="D102" s="35"/>
      <c r="E102" s="9"/>
      <c r="G102" s="26"/>
      <c r="L102" s="34"/>
      <c r="Q102" s="9"/>
      <c r="R102" s="9"/>
      <c r="S102" s="9"/>
      <c r="T102" s="9"/>
    </row>
    <row r="103" spans="2:20" ht="12" customHeight="1" x14ac:dyDescent="0.15">
      <c r="C103" s="27"/>
      <c r="D103" s="36" t="s">
        <v>131</v>
      </c>
      <c r="E103" s="27"/>
      <c r="G103" s="26"/>
      <c r="L103" s="34"/>
      <c r="Q103" s="43"/>
      <c r="R103" s="43"/>
      <c r="S103" s="43"/>
      <c r="T103" s="43"/>
    </row>
    <row r="104" spans="2:20" ht="12" customHeight="1" x14ac:dyDescent="0.15">
      <c r="C104" s="27"/>
      <c r="D104" s="27"/>
      <c r="E104" s="24" t="s">
        <v>132</v>
      </c>
      <c r="G104" s="26" t="s">
        <v>133</v>
      </c>
      <c r="L104" s="34"/>
      <c r="Q104" s="9"/>
      <c r="R104" s="9"/>
      <c r="S104" s="9"/>
      <c r="T104" s="9"/>
    </row>
    <row r="105" spans="2:20" ht="12" customHeight="1" x14ac:dyDescent="0.15">
      <c r="C105" s="27"/>
      <c r="D105" s="35"/>
      <c r="E105" s="25"/>
      <c r="G105" s="26"/>
      <c r="L105" s="34"/>
      <c r="Q105" s="9"/>
      <c r="R105" s="9"/>
      <c r="S105" s="9"/>
      <c r="T105" s="9"/>
    </row>
    <row r="106" spans="2:20" ht="12" customHeight="1" x14ac:dyDescent="0.15">
      <c r="C106" s="27"/>
      <c r="D106" s="36" t="s">
        <v>134</v>
      </c>
      <c r="E106" s="36"/>
      <c r="F106" s="36"/>
      <c r="G106" s="26"/>
      <c r="L106" s="34"/>
      <c r="Q106" s="9"/>
      <c r="R106" s="9"/>
      <c r="S106" s="9"/>
      <c r="T106" s="9"/>
    </row>
    <row r="107" spans="2:20" ht="12" customHeight="1" x14ac:dyDescent="0.15">
      <c r="C107" s="27"/>
      <c r="D107" s="36"/>
      <c r="E107" s="24" t="s">
        <v>135</v>
      </c>
      <c r="F107" s="36"/>
      <c r="G107" s="26" t="s">
        <v>136</v>
      </c>
      <c r="H107" s="10"/>
      <c r="L107" s="34"/>
      <c r="Q107" s="9"/>
      <c r="R107" s="9"/>
      <c r="S107" s="9"/>
      <c r="T107" s="9"/>
    </row>
    <row r="108" spans="2:20" ht="12" customHeight="1" x14ac:dyDescent="0.15">
      <c r="C108" s="27"/>
      <c r="D108" s="35"/>
      <c r="E108" s="9"/>
      <c r="G108" s="26"/>
      <c r="L108" s="34"/>
      <c r="Q108" s="9"/>
      <c r="R108" s="9"/>
      <c r="S108" s="9"/>
      <c r="T108" s="9"/>
    </row>
    <row r="109" spans="2:20" ht="12" customHeight="1" x14ac:dyDescent="0.15">
      <c r="C109" s="27"/>
      <c r="D109" s="36" t="s">
        <v>137</v>
      </c>
      <c r="E109" s="27"/>
      <c r="G109" s="38" t="s">
        <v>138</v>
      </c>
      <c r="L109" s="34"/>
      <c r="Q109" s="9"/>
      <c r="R109" s="9"/>
      <c r="S109" s="9"/>
      <c r="T109" s="9"/>
    </row>
    <row r="110" spans="2:20" x14ac:dyDescent="0.15">
      <c r="C110" s="27"/>
      <c r="D110" s="36"/>
      <c r="E110" s="24" t="s">
        <v>139</v>
      </c>
      <c r="G110" s="26" t="s">
        <v>140</v>
      </c>
      <c r="L110" s="34"/>
      <c r="Q110" s="9"/>
      <c r="R110" s="9"/>
      <c r="S110" s="9"/>
      <c r="T110" s="9"/>
    </row>
    <row r="111" spans="2:20" x14ac:dyDescent="0.15">
      <c r="D111" s="36"/>
      <c r="E111" s="24" t="s">
        <v>141</v>
      </c>
      <c r="G111" s="26" t="s">
        <v>142</v>
      </c>
      <c r="L111" s="34"/>
    </row>
    <row r="112" spans="2:20" x14ac:dyDescent="0.15">
      <c r="D112" s="36"/>
      <c r="E112" s="24" t="s">
        <v>143</v>
      </c>
      <c r="G112" s="26" t="s">
        <v>144</v>
      </c>
      <c r="L112" s="34"/>
    </row>
    <row r="113" spans="2:17" x14ac:dyDescent="0.15">
      <c r="D113" s="27"/>
      <c r="E113" s="24" t="s">
        <v>145</v>
      </c>
      <c r="G113" s="26" t="s">
        <v>146</v>
      </c>
      <c r="L113" s="34"/>
    </row>
    <row r="114" spans="2:17" x14ac:dyDescent="0.15">
      <c r="G114" s="26"/>
      <c r="L114" s="34"/>
    </row>
    <row r="115" spans="2:17" ht="15" thickBot="1" x14ac:dyDescent="0.2">
      <c r="B115" s="44"/>
      <c r="C115" s="45" t="s">
        <v>147</v>
      </c>
      <c r="D115" s="46"/>
      <c r="E115" s="44"/>
      <c r="F115" s="44"/>
      <c r="G115" s="44"/>
      <c r="H115" s="46"/>
      <c r="I115" s="46"/>
      <c r="J115" s="46"/>
      <c r="K115" s="46"/>
      <c r="L115" s="46"/>
      <c r="M115" s="46"/>
      <c r="N115" s="46"/>
      <c r="O115" s="46"/>
      <c r="P115" s="46"/>
      <c r="Q115" s="46"/>
    </row>
    <row r="116" spans="2:17" ht="15" thickTop="1" x14ac:dyDescent="0.15">
      <c r="G116" s="26"/>
      <c r="L116" s="34"/>
    </row>
    <row r="117" spans="2:17" x14ac:dyDescent="0.15">
      <c r="D117" s="47" t="s">
        <v>148</v>
      </c>
      <c r="G117" s="26" t="s">
        <v>149</v>
      </c>
      <c r="L117" s="34"/>
    </row>
    <row r="118" spans="2:17" x14ac:dyDescent="0.15">
      <c r="D118" s="47" t="s">
        <v>150</v>
      </c>
      <c r="G118" s="26" t="s">
        <v>151</v>
      </c>
    </row>
    <row r="119" spans="2:17" x14ac:dyDescent="0.15">
      <c r="D119" s="47" t="s">
        <v>152</v>
      </c>
      <c r="G119" s="26" t="s">
        <v>153</v>
      </c>
    </row>
    <row r="120" spans="2:17" x14ac:dyDescent="0.15">
      <c r="G120" s="26"/>
    </row>
    <row r="121" spans="2:17" x14ac:dyDescent="0.15">
      <c r="D121" s="48" t="s">
        <v>154</v>
      </c>
      <c r="E121" s="49"/>
      <c r="G121" s="26" t="s">
        <v>155</v>
      </c>
      <c r="L121" s="34"/>
    </row>
    <row r="122" spans="2:17" x14ac:dyDescent="0.15">
      <c r="D122" s="50" t="s">
        <v>156</v>
      </c>
      <c r="G122" s="26"/>
    </row>
    <row r="123" spans="2:17" x14ac:dyDescent="0.15">
      <c r="D123" s="51" t="s">
        <v>157</v>
      </c>
      <c r="G123" s="26" t="s">
        <v>158</v>
      </c>
    </row>
    <row r="124" spans="2:17" x14ac:dyDescent="0.15">
      <c r="G124" s="26"/>
    </row>
    <row r="125" spans="2:17" x14ac:dyDescent="0.15">
      <c r="G125" s="26"/>
    </row>
    <row r="126" spans="2:17" x14ac:dyDescent="0.15">
      <c r="G126" s="26"/>
    </row>
    <row r="128" spans="2:17" x14ac:dyDescent="0.15">
      <c r="B128" s="10" t="s">
        <v>159</v>
      </c>
      <c r="E128" s="10" t="s">
        <v>160</v>
      </c>
    </row>
    <row r="129" spans="2:5" x14ac:dyDescent="0.15">
      <c r="B129" s="2" t="s">
        <v>161</v>
      </c>
      <c r="E129" s="2" t="s">
        <v>162</v>
      </c>
    </row>
    <row r="130" spans="2:5" x14ac:dyDescent="0.15">
      <c r="B130" s="2" t="s">
        <v>163</v>
      </c>
      <c r="E130" s="2" t="s">
        <v>164</v>
      </c>
    </row>
  </sheetData>
  <sheetProtection insertRows="0" insertHyperlinks="0"/>
  <hyperlinks>
    <hyperlink ref="L79" location="NOTE!B90" display="xem giải thích DPD+ tại đây" xr:uid="{0C90E4F0-8A1E-8F4D-A93C-2D8D8B84054B}"/>
    <hyperlink ref="L80" location="NOTE!B90" display="xem giải thích DPD+ tại đây" xr:uid="{4688DD62-2BE9-2E44-9367-91A2F486BA37}"/>
    <hyperlink ref="L85" location="NOTE!B90" display="xem giải thích DPD+ tại đây" xr:uid="{972686BC-13F9-8E41-8AFF-756A02A56A02}"/>
    <hyperlink ref="L86" location="NOTE!B90" display="xem giải thích DPD+ tại đây" xr:uid="{4FF07228-6736-EA48-919B-4F7B5800E42F}"/>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0EE30A-450B-7144-9BE0-1383946A76D1}">
  <sheetPr>
    <tabColor rgb="FFFFFF00"/>
    <pageSetUpPr fitToPage="1"/>
  </sheetPr>
  <dimension ref="A1:AG118"/>
  <sheetViews>
    <sheetView showGridLines="0" topLeftCell="A16" zoomScale="95" zoomScaleNormal="140" zoomScaleSheetLayoutView="70" workbookViewId="0">
      <selection activeCell="G124" sqref="G124"/>
    </sheetView>
  </sheetViews>
  <sheetFormatPr baseColWidth="10" defaultColWidth="9.1640625" defaultRowHeight="12" x14ac:dyDescent="0.15"/>
  <cols>
    <col min="1" max="1" width="4" style="52" customWidth="1"/>
    <col min="2" max="2" width="19.1640625" style="68" customWidth="1"/>
    <col min="3" max="3" width="18.33203125" style="68" bestFit="1" customWidth="1"/>
    <col min="4" max="4" width="7.33203125" style="75" customWidth="1"/>
    <col min="5" max="6" width="9" style="68" customWidth="1"/>
    <col min="7" max="7" width="11.5" style="68" customWidth="1"/>
    <col min="8" max="8" width="7.1640625" style="68" customWidth="1"/>
    <col min="9" max="9" width="15.5" style="75" customWidth="1"/>
    <col min="10" max="10" width="16.6640625" style="75" customWidth="1"/>
    <col min="11" max="11" width="11.5" style="68" customWidth="1"/>
    <col min="12" max="13" width="9" style="68" customWidth="1"/>
    <col min="14" max="16" width="8.5" style="68" customWidth="1"/>
    <col min="17" max="19" width="8.5" style="68" hidden="1" customWidth="1"/>
    <col min="20" max="20" width="8.5" style="68" customWidth="1"/>
    <col min="21" max="21" width="8.5" style="80" customWidth="1"/>
    <col min="22" max="22" width="9.1640625" style="75" customWidth="1"/>
    <col min="23" max="23" width="9.1640625" style="68"/>
    <col min="24" max="24" width="10.5" style="68" bestFit="1" customWidth="1"/>
    <col min="25" max="25" width="10.83203125" style="68" customWidth="1"/>
    <col min="26" max="38" width="9.1640625" style="68"/>
    <col min="39" max="39" width="9.1640625" style="68" customWidth="1"/>
    <col min="40" max="16384" width="9.1640625" style="68"/>
  </cols>
  <sheetData>
    <row r="1" spans="1:25" s="56" customFormat="1" ht="18" customHeight="1" x14ac:dyDescent="0.2">
      <c r="A1" s="52"/>
      <c r="B1" s="53" t="s">
        <v>165</v>
      </c>
      <c r="C1" s="54"/>
      <c r="D1" s="55">
        <v>1</v>
      </c>
      <c r="E1" s="55"/>
      <c r="F1" s="55"/>
      <c r="G1" s="55"/>
      <c r="H1" s="55"/>
      <c r="I1" s="54"/>
      <c r="J1" s="54"/>
      <c r="U1" s="57"/>
      <c r="V1" s="54"/>
    </row>
    <row r="2" spans="1:25" s="59" customFormat="1" ht="13" customHeight="1" x14ac:dyDescent="0.15">
      <c r="A2" s="58"/>
      <c r="B2" s="59" t="str">
        <f>NOTE!N2</f>
        <v>HKN</v>
      </c>
      <c r="C2" s="59">
        <f>NOTE!P2</f>
        <v>20251001</v>
      </c>
      <c r="D2" s="59" t="str">
        <f>NOTE!O2</f>
        <v>v9</v>
      </c>
      <c r="I2" s="60"/>
      <c r="K2" s="61" t="s">
        <v>166</v>
      </c>
      <c r="U2" s="62"/>
    </row>
    <row r="3" spans="1:25" s="56" customFormat="1" ht="12" customHeight="1" x14ac:dyDescent="0.2">
      <c r="A3" s="63"/>
      <c r="B3" s="24"/>
      <c r="C3" s="24"/>
      <c r="D3" s="64"/>
      <c r="E3" s="24"/>
      <c r="F3" s="24"/>
      <c r="G3" s="24"/>
      <c r="H3" s="55"/>
      <c r="I3" s="65"/>
      <c r="J3" s="54"/>
      <c r="K3" s="66" t="s">
        <v>167</v>
      </c>
      <c r="L3" s="67"/>
      <c r="M3" s="67"/>
      <c r="N3" s="68"/>
      <c r="O3" s="68"/>
      <c r="P3" s="68"/>
      <c r="U3" s="57"/>
      <c r="V3" s="54"/>
    </row>
    <row r="4" spans="1:25" s="24" customFormat="1" ht="16" thickBot="1" x14ac:dyDescent="0.25">
      <c r="A4" s="52"/>
      <c r="B4" s="69" t="s">
        <v>168</v>
      </c>
      <c r="C4" s="69" t="s">
        <v>169</v>
      </c>
      <c r="D4" s="70" t="s">
        <v>170</v>
      </c>
      <c r="E4" s="69" t="s">
        <v>34</v>
      </c>
      <c r="F4" s="69"/>
      <c r="G4" s="71" t="s">
        <v>162</v>
      </c>
      <c r="H4" s="72" t="str">
        <f>G4</f>
        <v>IFRS</v>
      </c>
      <c r="K4" s="67"/>
      <c r="L4" s="73" t="s">
        <v>171</v>
      </c>
      <c r="M4" s="67"/>
      <c r="N4" s="68"/>
      <c r="O4" s="68"/>
      <c r="P4" s="68"/>
    </row>
    <row r="5" spans="1:25" ht="16" thickBot="1" x14ac:dyDescent="0.25">
      <c r="B5" s="69" t="s">
        <v>172</v>
      </c>
      <c r="C5" s="74" t="s">
        <v>173</v>
      </c>
      <c r="D5" s="70" t="s">
        <v>174</v>
      </c>
      <c r="E5" s="69" t="s">
        <v>37</v>
      </c>
      <c r="F5" s="69"/>
      <c r="G5" s="71" t="s">
        <v>163</v>
      </c>
      <c r="H5" s="72" t="str">
        <f>G5</f>
        <v>DPD180+</v>
      </c>
      <c r="K5" s="67"/>
      <c r="L5" s="73" t="s">
        <v>175</v>
      </c>
      <c r="M5" s="67"/>
      <c r="T5" s="75"/>
      <c r="U5" s="75"/>
      <c r="V5" s="68"/>
    </row>
    <row r="6" spans="1:25" ht="16" thickBot="1" x14ac:dyDescent="0.25">
      <c r="B6" s="74" t="s">
        <v>176</v>
      </c>
      <c r="C6" s="74" t="s">
        <v>177</v>
      </c>
      <c r="D6" s="70" t="s">
        <v>174</v>
      </c>
      <c r="E6" s="74" t="s">
        <v>178</v>
      </c>
      <c r="F6" s="74"/>
      <c r="G6" s="76">
        <v>2025</v>
      </c>
      <c r="H6" s="72">
        <f>G6</f>
        <v>2025</v>
      </c>
      <c r="K6" s="67"/>
      <c r="L6" s="73" t="s">
        <v>179</v>
      </c>
      <c r="M6" s="67"/>
      <c r="T6" s="75"/>
      <c r="U6" s="75"/>
      <c r="V6" s="68"/>
    </row>
    <row r="7" spans="1:25" ht="13" x14ac:dyDescent="0.15">
      <c r="A7" s="63"/>
      <c r="B7" s="36"/>
      <c r="C7" s="77"/>
      <c r="D7" s="30"/>
      <c r="I7" s="78"/>
      <c r="J7" s="79"/>
      <c r="V7" s="81"/>
    </row>
    <row r="8" spans="1:25" s="51" customFormat="1" ht="14.25" customHeight="1" thickBot="1" x14ac:dyDescent="0.2">
      <c r="A8" s="63"/>
      <c r="B8" s="45" t="s">
        <v>40</v>
      </c>
      <c r="C8" s="82"/>
      <c r="D8" s="83"/>
      <c r="E8" s="82"/>
      <c r="F8" s="82"/>
      <c r="G8" s="82"/>
      <c r="H8" s="46" t="s">
        <v>180</v>
      </c>
      <c r="I8" s="84"/>
      <c r="J8" s="84"/>
      <c r="K8" s="85" t="s">
        <v>181</v>
      </c>
      <c r="L8" s="86"/>
      <c r="M8" s="86"/>
      <c r="N8" s="86"/>
      <c r="O8" s="86"/>
      <c r="P8" s="86"/>
      <c r="Q8" s="86"/>
      <c r="R8" s="86"/>
      <c r="S8" s="86"/>
      <c r="T8" s="86"/>
      <c r="U8" s="86" t="s">
        <v>180</v>
      </c>
    </row>
    <row r="9" spans="1:25" s="51" customFormat="1" ht="13.5" customHeight="1" thickTop="1" x14ac:dyDescent="0.15">
      <c r="A9" s="63"/>
      <c r="D9" s="84"/>
      <c r="I9" s="84"/>
      <c r="J9" s="84"/>
      <c r="N9" s="87"/>
      <c r="O9" s="87"/>
      <c r="P9" s="87"/>
      <c r="Q9" s="87"/>
      <c r="R9" s="87"/>
      <c r="U9" s="88"/>
    </row>
    <row r="10" spans="1:25" s="51" customFormat="1" x14ac:dyDescent="0.15">
      <c r="A10" s="52"/>
      <c r="B10" s="50" t="s">
        <v>41</v>
      </c>
      <c r="C10" s="51" t="s">
        <v>42</v>
      </c>
      <c r="D10" s="84"/>
      <c r="E10" s="89">
        <f>DATA!G24</f>
        <v>13.084424538752435</v>
      </c>
      <c r="F10" s="87"/>
      <c r="G10" s="90"/>
      <c r="H10" s="87"/>
      <c r="I10" s="84"/>
      <c r="J10" s="84"/>
      <c r="K10" s="91"/>
      <c r="N10" s="92" t="s">
        <v>182</v>
      </c>
      <c r="O10" s="92" t="s">
        <v>183</v>
      </c>
      <c r="P10" s="92" t="s">
        <v>184</v>
      </c>
      <c r="Q10" s="92" t="s">
        <v>185</v>
      </c>
      <c r="R10" s="92" t="s">
        <v>186</v>
      </c>
      <c r="S10" s="92" t="s">
        <v>187</v>
      </c>
      <c r="T10" s="93" t="s">
        <v>188</v>
      </c>
      <c r="U10" s="94" t="s">
        <v>189</v>
      </c>
    </row>
    <row r="11" spans="1:25" s="51" customFormat="1" ht="11.25" customHeight="1" x14ac:dyDescent="0.15">
      <c r="A11" s="52"/>
      <c r="C11" s="51" t="s">
        <v>45</v>
      </c>
      <c r="D11" s="84"/>
      <c r="E11" s="95" t="s">
        <v>190</v>
      </c>
      <c r="G11" s="90"/>
      <c r="I11" s="84"/>
      <c r="J11" s="84"/>
      <c r="K11" s="50" t="s">
        <v>191</v>
      </c>
      <c r="N11" s="96">
        <f t="shared" ref="N11:S11" si="0">N29</f>
        <v>3.9514537469858841</v>
      </c>
      <c r="O11" s="96">
        <f t="shared" si="0"/>
        <v>5.5317682457830406</v>
      </c>
      <c r="P11" s="96">
        <f t="shared" si="0"/>
        <v>0.15869894987271063</v>
      </c>
      <c r="Q11" s="96">
        <f t="shared" si="0"/>
        <v>0</v>
      </c>
      <c r="R11" s="97">
        <f t="shared" si="0"/>
        <v>0</v>
      </c>
      <c r="S11" s="97">
        <f t="shared" si="0"/>
        <v>0</v>
      </c>
      <c r="T11" s="98"/>
      <c r="U11" s="99">
        <f t="shared" ref="U11:U23" si="1">N11/$E$10</f>
        <v>0.30199675463622988</v>
      </c>
    </row>
    <row r="12" spans="1:25" s="51" customFormat="1" ht="11" x14ac:dyDescent="0.15">
      <c r="A12" s="52"/>
      <c r="C12" s="51" t="s">
        <v>48</v>
      </c>
      <c r="D12" s="84"/>
      <c r="E12" s="100">
        <f>DATA!H24</f>
        <v>11</v>
      </c>
      <c r="F12" s="101"/>
      <c r="G12" s="90"/>
      <c r="I12" s="84"/>
      <c r="J12" s="102"/>
      <c r="K12" s="50" t="s">
        <v>192</v>
      </c>
      <c r="L12" s="103"/>
      <c r="N12" s="96">
        <f t="shared" ref="N12:S12" si="2">SUM(N13:N15)</f>
        <v>2.7879213195317223</v>
      </c>
      <c r="O12" s="96">
        <f t="shared" si="2"/>
        <v>2.7927484125903508</v>
      </c>
      <c r="P12" s="96">
        <f>SUM(P13:P15)</f>
        <v>-4.8270930586282812E-3</v>
      </c>
      <c r="Q12" s="96">
        <f t="shared" si="2"/>
        <v>0</v>
      </c>
      <c r="R12" s="97">
        <f t="shared" si="2"/>
        <v>0</v>
      </c>
      <c r="S12" s="97">
        <f t="shared" si="2"/>
        <v>0</v>
      </c>
      <c r="T12" s="104">
        <f t="shared" ref="T12:T23" si="3">N12/$E$14*12/$N$11</f>
        <v>0.4980304938016909</v>
      </c>
      <c r="U12" s="99">
        <f t="shared" si="1"/>
        <v>0.21307175652048532</v>
      </c>
    </row>
    <row r="13" spans="1:25" s="51" customFormat="1" ht="11" x14ac:dyDescent="0.15">
      <c r="A13" s="52"/>
      <c r="C13" s="51" t="s">
        <v>51</v>
      </c>
      <c r="D13" s="84"/>
      <c r="E13" s="105">
        <v>6</v>
      </c>
      <c r="G13" s="90"/>
      <c r="I13" s="106"/>
      <c r="J13" s="102"/>
      <c r="K13" s="107" t="s">
        <v>193</v>
      </c>
      <c r="N13" s="108">
        <f t="shared" ref="N13:S13" si="4">N31</f>
        <v>2.2036063282040401</v>
      </c>
      <c r="O13" s="108">
        <f>O31</f>
        <v>2.2084334212626686</v>
      </c>
      <c r="P13" s="108">
        <f t="shared" si="4"/>
        <v>-4.8270930586282812E-3</v>
      </c>
      <c r="Q13" s="108">
        <f t="shared" si="4"/>
        <v>0</v>
      </c>
      <c r="R13" s="109">
        <f t="shared" si="4"/>
        <v>0</v>
      </c>
      <c r="S13" s="109">
        <f t="shared" si="4"/>
        <v>0</v>
      </c>
      <c r="T13" s="110">
        <f t="shared" si="3"/>
        <v>0.39364925404864948</v>
      </c>
      <c r="U13" s="111">
        <f t="shared" si="1"/>
        <v>0.1684144626825253</v>
      </c>
    </row>
    <row r="14" spans="1:25" s="51" customFormat="1" ht="11" x14ac:dyDescent="0.15">
      <c r="A14" s="52"/>
      <c r="C14" s="51" t="s">
        <v>54</v>
      </c>
      <c r="D14" s="84"/>
      <c r="E14" s="112">
        <f>E12+E13</f>
        <v>17</v>
      </c>
      <c r="F14" s="113"/>
      <c r="G14" s="90"/>
      <c r="I14" s="106"/>
      <c r="J14" s="102"/>
      <c r="K14" s="107" t="s">
        <v>194</v>
      </c>
      <c r="N14" s="108">
        <f t="shared" ref="N14:S14" si="5">N34</f>
        <v>0.58431499132768228</v>
      </c>
      <c r="O14" s="108">
        <f>O34</f>
        <v>0.58431499132768228</v>
      </c>
      <c r="P14" s="108">
        <f t="shared" si="5"/>
        <v>0</v>
      </c>
      <c r="Q14" s="108">
        <f t="shared" si="5"/>
        <v>0</v>
      </c>
      <c r="R14" s="109">
        <f t="shared" si="5"/>
        <v>0</v>
      </c>
      <c r="S14" s="109">
        <f t="shared" si="5"/>
        <v>0</v>
      </c>
      <c r="T14" s="110">
        <f t="shared" si="3"/>
        <v>0.10438123975304144</v>
      </c>
      <c r="U14" s="111">
        <f t="shared" si="1"/>
        <v>4.4657293837960042E-2</v>
      </c>
    </row>
    <row r="15" spans="1:25" s="51" customFormat="1" ht="11" x14ac:dyDescent="0.15">
      <c r="A15" s="52"/>
      <c r="I15" s="106"/>
      <c r="J15" s="102"/>
      <c r="K15" s="107" t="s">
        <v>195</v>
      </c>
      <c r="N15" s="108">
        <f t="shared" ref="N15:S16" si="6">N38</f>
        <v>0</v>
      </c>
      <c r="O15" s="108">
        <f>O38</f>
        <v>0</v>
      </c>
      <c r="P15" s="108">
        <f t="shared" si="6"/>
        <v>0</v>
      </c>
      <c r="Q15" s="108">
        <f t="shared" si="6"/>
        <v>0</v>
      </c>
      <c r="R15" s="109">
        <f t="shared" si="6"/>
        <v>0</v>
      </c>
      <c r="S15" s="109">
        <f t="shared" si="6"/>
        <v>0</v>
      </c>
      <c r="T15" s="110">
        <f t="shared" si="3"/>
        <v>0</v>
      </c>
      <c r="U15" s="111">
        <f t="shared" si="1"/>
        <v>0</v>
      </c>
    </row>
    <row r="16" spans="1:25" s="51" customFormat="1" ht="11" x14ac:dyDescent="0.15">
      <c r="A16" s="52"/>
      <c r="D16" s="84"/>
      <c r="E16" s="84"/>
      <c r="F16" s="84"/>
      <c r="G16" s="114"/>
      <c r="H16" s="115"/>
      <c r="I16" s="106"/>
      <c r="J16" s="102"/>
      <c r="K16" s="50" t="s">
        <v>196</v>
      </c>
      <c r="N16" s="96">
        <f t="shared" si="6"/>
        <v>-1.4180368117930009</v>
      </c>
      <c r="O16" s="96">
        <f>O39</f>
        <v>-1.3927173250480895</v>
      </c>
      <c r="P16" s="96">
        <f t="shared" si="6"/>
        <v>-2.5319486744911357E-2</v>
      </c>
      <c r="Q16" s="96">
        <f t="shared" si="6"/>
        <v>0</v>
      </c>
      <c r="R16" s="97">
        <f t="shared" si="6"/>
        <v>0</v>
      </c>
      <c r="S16" s="97">
        <f t="shared" si="6"/>
        <v>0</v>
      </c>
      <c r="T16" s="104">
        <f>N16/$E$14*12/$N$11</f>
        <v>-0.25331617813549556</v>
      </c>
      <c r="U16" s="99">
        <f t="shared" si="1"/>
        <v>-0.10837594023284473</v>
      </c>
      <c r="V16" s="87"/>
      <c r="W16" s="116"/>
      <c r="X16" s="117"/>
      <c r="Y16" s="118"/>
    </row>
    <row r="17" spans="1:25" s="51" customFormat="1" ht="11" x14ac:dyDescent="0.15">
      <c r="A17" s="52"/>
      <c r="B17" s="50" t="s">
        <v>57</v>
      </c>
      <c r="C17" s="119" t="s">
        <v>197</v>
      </c>
      <c r="D17" s="120" t="s">
        <v>198</v>
      </c>
      <c r="E17" s="119" t="s">
        <v>60</v>
      </c>
      <c r="F17" s="119" t="s">
        <v>62</v>
      </c>
      <c r="G17" s="119" t="s">
        <v>65</v>
      </c>
      <c r="I17" s="106"/>
      <c r="J17" s="102"/>
      <c r="K17" s="50" t="s">
        <v>199</v>
      </c>
      <c r="N17" s="96">
        <f t="shared" ref="N17:S17" si="7">SUM(N18:N21)</f>
        <v>-0.92602024950302264</v>
      </c>
      <c r="O17" s="96">
        <f>SUM(O18:O21)</f>
        <v>-0.92136085585930827</v>
      </c>
      <c r="P17" s="96">
        <f t="shared" si="7"/>
        <v>-4.6593936437143921E-3</v>
      </c>
      <c r="Q17" s="96">
        <f t="shared" si="7"/>
        <v>0</v>
      </c>
      <c r="R17" s="97">
        <f>SUM(R18:R21)</f>
        <v>0</v>
      </c>
      <c r="S17" s="97">
        <f t="shared" si="7"/>
        <v>0</v>
      </c>
      <c r="T17" s="104">
        <f t="shared" si="3"/>
        <v>-0.16542300491027462</v>
      </c>
      <c r="U17" s="99">
        <f t="shared" si="1"/>
        <v>-7.0772715052191071E-2</v>
      </c>
    </row>
    <row r="18" spans="1:25" s="51" customFormat="1" ht="11" x14ac:dyDescent="0.15">
      <c r="A18" s="52">
        <v>1</v>
      </c>
      <c r="B18" s="52">
        <v>1</v>
      </c>
      <c r="C18" s="121">
        <v>1</v>
      </c>
      <c r="D18" s="122">
        <f>E12</f>
        <v>11</v>
      </c>
      <c r="E18" s="123">
        <f>DATA!D31</f>
        <v>0.51333593972805536</v>
      </c>
      <c r="F18" s="123">
        <v>7.2999999999999995E-2</v>
      </c>
      <c r="G18" s="124">
        <f>E18-F18</f>
        <v>0.44033593972805535</v>
      </c>
      <c r="I18" s="106"/>
      <c r="J18" s="102"/>
      <c r="K18" s="107" t="s">
        <v>92</v>
      </c>
      <c r="N18" s="108">
        <f t="shared" ref="N18:S18" si="8">SUM(N41)</f>
        <v>-0.32711061346881087</v>
      </c>
      <c r="O18" s="108">
        <f>SUM(O41)</f>
        <v>-0.32711061346881087</v>
      </c>
      <c r="P18" s="108">
        <f t="shared" si="8"/>
        <v>0</v>
      </c>
      <c r="Q18" s="108">
        <f t="shared" si="8"/>
        <v>0</v>
      </c>
      <c r="R18" s="109">
        <f>SUM(R41)</f>
        <v>0</v>
      </c>
      <c r="S18" s="109">
        <f t="shared" si="8"/>
        <v>0</v>
      </c>
      <c r="T18" s="110">
        <f t="shared" si="3"/>
        <v>-5.8434597566408203E-2</v>
      </c>
      <c r="U18" s="111">
        <f t="shared" si="1"/>
        <v>-2.5000000000000001E-2</v>
      </c>
    </row>
    <row r="19" spans="1:25" s="51" customFormat="1" ht="11" x14ac:dyDescent="0.15">
      <c r="A19" s="52">
        <v>2</v>
      </c>
      <c r="B19" s="52">
        <v>2</v>
      </c>
      <c r="C19" s="121">
        <f>IF(D18="","",IF(D18&gt;$E$12,"",D18+1))</f>
        <v>12</v>
      </c>
      <c r="D19" s="125">
        <f>E14</f>
        <v>17</v>
      </c>
      <c r="E19" s="123">
        <f>E18</f>
        <v>0.51333593972805536</v>
      </c>
      <c r="F19" s="123">
        <f>F18</f>
        <v>7.2999999999999995E-2</v>
      </c>
      <c r="G19" s="124">
        <f>E19-F19</f>
        <v>0.44033593972805535</v>
      </c>
      <c r="I19" s="106"/>
      <c r="J19" s="102"/>
      <c r="K19" s="107" t="s">
        <v>200</v>
      </c>
      <c r="N19" s="126">
        <f t="shared" ref="N19:S19" si="9">N45</f>
        <v>-4.0623996207276983E-2</v>
      </c>
      <c r="O19" s="108">
        <f>O45</f>
        <v>-4.0623996207276983E-2</v>
      </c>
      <c r="P19" s="126">
        <f t="shared" si="9"/>
        <v>0</v>
      </c>
      <c r="Q19" s="126">
        <f t="shared" si="9"/>
        <v>0</v>
      </c>
      <c r="R19" s="127">
        <f>R45</f>
        <v>0</v>
      </c>
      <c r="S19" s="127">
        <f t="shared" si="9"/>
        <v>0</v>
      </c>
      <c r="T19" s="110">
        <f t="shared" si="3"/>
        <v>-7.2570157376989648E-3</v>
      </c>
      <c r="U19" s="111">
        <f t="shared" si="1"/>
        <v>-3.1047598682662717E-3</v>
      </c>
    </row>
    <row r="20" spans="1:25" s="51" customFormat="1" ht="11" x14ac:dyDescent="0.15">
      <c r="A20" s="52">
        <v>3</v>
      </c>
      <c r="B20" s="52">
        <v>3</v>
      </c>
      <c r="C20" s="128"/>
      <c r="D20" s="129"/>
      <c r="E20" s="124"/>
      <c r="F20" s="124"/>
      <c r="G20" s="124"/>
      <c r="I20" s="106"/>
      <c r="J20" s="102"/>
      <c r="K20" s="107" t="s">
        <v>201</v>
      </c>
      <c r="N20" s="126">
        <f t="shared" ref="N20:S20" si="10">N48</f>
        <v>-7.669174911282664E-2</v>
      </c>
      <c r="O20" s="126">
        <f>O48</f>
        <v>-7.2032355469112255E-2</v>
      </c>
      <c r="P20" s="126">
        <f t="shared" si="10"/>
        <v>-4.6593936437143921E-3</v>
      </c>
      <c r="Q20" s="126">
        <f t="shared" si="10"/>
        <v>0</v>
      </c>
      <c r="R20" s="127">
        <f>R48</f>
        <v>0</v>
      </c>
      <c r="S20" s="127">
        <f t="shared" si="10"/>
        <v>0</v>
      </c>
      <c r="T20" s="110">
        <f t="shared" si="3"/>
        <v>-1.3700110334387734E-2</v>
      </c>
      <c r="U20" s="111">
        <f t="shared" si="1"/>
        <v>-5.8613008837864406E-3</v>
      </c>
    </row>
    <row r="21" spans="1:25" s="51" customFormat="1" ht="11" x14ac:dyDescent="0.15">
      <c r="A21" s="52">
        <v>4</v>
      </c>
      <c r="B21" s="52">
        <v>4</v>
      </c>
      <c r="C21" s="128"/>
      <c r="D21" s="129"/>
      <c r="E21" s="130"/>
      <c r="F21" s="130"/>
      <c r="G21" s="130"/>
      <c r="I21" s="84"/>
      <c r="J21" s="84"/>
      <c r="K21" s="107" t="s">
        <v>202</v>
      </c>
      <c r="N21" s="108">
        <f t="shared" ref="N21:S21" si="11">N52</f>
        <v>-0.48159389071410819</v>
      </c>
      <c r="O21" s="108">
        <f>O52</f>
        <v>-0.48159389071410819</v>
      </c>
      <c r="P21" s="108">
        <f t="shared" si="11"/>
        <v>0</v>
      </c>
      <c r="Q21" s="108">
        <f t="shared" si="11"/>
        <v>0</v>
      </c>
      <c r="R21" s="109">
        <f>R52</f>
        <v>0</v>
      </c>
      <c r="S21" s="109">
        <f t="shared" si="11"/>
        <v>0</v>
      </c>
      <c r="T21" s="110">
        <f t="shared" si="3"/>
        <v>-8.6031281271779711E-2</v>
      </c>
      <c r="U21" s="111">
        <f t="shared" si="1"/>
        <v>-3.680665430013836E-2</v>
      </c>
    </row>
    <row r="22" spans="1:25" s="51" customFormat="1" ht="11" x14ac:dyDescent="0.15">
      <c r="A22" s="52">
        <v>5</v>
      </c>
      <c r="B22" s="52">
        <v>5</v>
      </c>
      <c r="C22" s="128"/>
      <c r="D22" s="129"/>
      <c r="E22" s="130"/>
      <c r="F22" s="130"/>
      <c r="G22" s="130"/>
      <c r="I22" s="84"/>
      <c r="J22" s="84"/>
      <c r="K22" s="50" t="s">
        <v>203</v>
      </c>
      <c r="N22" s="96">
        <f t="shared" ref="N22:S22" si="12">N12+N16+N17</f>
        <v>0.44386425823569875</v>
      </c>
      <c r="O22" s="96">
        <f t="shared" si="12"/>
        <v>0.47867023168295297</v>
      </c>
      <c r="P22" s="96">
        <f t="shared" si="12"/>
        <v>-3.4805973447254029E-2</v>
      </c>
      <c r="Q22" s="96">
        <f t="shared" si="12"/>
        <v>0</v>
      </c>
      <c r="R22" s="97">
        <f t="shared" si="12"/>
        <v>0</v>
      </c>
      <c r="S22" s="97">
        <f t="shared" si="12"/>
        <v>0</v>
      </c>
      <c r="T22" s="104">
        <f t="shared" si="3"/>
        <v>7.9291310755920705E-2</v>
      </c>
      <c r="U22" s="99">
        <f t="shared" si="1"/>
        <v>3.3923101235449518E-2</v>
      </c>
      <c r="W22" s="87"/>
      <c r="X22" s="131"/>
      <c r="Y22" s="132"/>
    </row>
    <row r="23" spans="1:25" s="51" customFormat="1" ht="11" x14ac:dyDescent="0.15">
      <c r="A23" s="52"/>
      <c r="B23" s="52">
        <v>6</v>
      </c>
      <c r="C23" s="128"/>
      <c r="D23" s="129"/>
      <c r="E23" s="130"/>
      <c r="F23" s="130"/>
      <c r="G23" s="130"/>
      <c r="I23" s="84"/>
      <c r="J23" s="84"/>
      <c r="K23" s="51" t="s">
        <v>204</v>
      </c>
      <c r="N23" s="96">
        <f t="shared" ref="N23:S23" si="13">N22-N21</f>
        <v>0.92545814894980694</v>
      </c>
      <c r="O23" s="108">
        <f t="shared" si="13"/>
        <v>0.96026412239706116</v>
      </c>
      <c r="P23" s="108">
        <f t="shared" si="13"/>
        <v>-3.4805973447254029E-2</v>
      </c>
      <c r="Q23" s="108">
        <f t="shared" si="13"/>
        <v>0</v>
      </c>
      <c r="R23" s="109">
        <f t="shared" si="13"/>
        <v>0</v>
      </c>
      <c r="S23" s="109">
        <f t="shared" si="13"/>
        <v>0</v>
      </c>
      <c r="T23" s="110">
        <f t="shared" si="3"/>
        <v>0.16532259202770042</v>
      </c>
      <c r="U23" s="111">
        <f t="shared" si="1"/>
        <v>7.0729755535587885E-2</v>
      </c>
      <c r="V23" s="84"/>
    </row>
    <row r="24" spans="1:25" s="51" customFormat="1" ht="15.75" customHeight="1" x14ac:dyDescent="0.15">
      <c r="A24" s="52"/>
      <c r="B24" s="133"/>
      <c r="C24" s="134"/>
      <c r="D24" s="115"/>
      <c r="E24" s="115"/>
      <c r="F24" s="115"/>
      <c r="G24" s="115"/>
      <c r="H24" s="115"/>
      <c r="I24" s="84"/>
      <c r="J24" s="84"/>
      <c r="V24" s="88"/>
    </row>
    <row r="25" spans="1:25" s="51" customFormat="1" x14ac:dyDescent="0.15">
      <c r="A25" s="135"/>
      <c r="B25" s="50" t="s">
        <v>67</v>
      </c>
      <c r="C25" s="136" t="s">
        <v>197</v>
      </c>
      <c r="D25" s="137" t="s">
        <v>198</v>
      </c>
      <c r="E25" s="136" t="s">
        <v>68</v>
      </c>
      <c r="F25" s="138" t="s">
        <v>70</v>
      </c>
      <c r="G25" s="136" t="s">
        <v>72</v>
      </c>
      <c r="H25" s="139"/>
      <c r="I25" s="84"/>
      <c r="J25" s="106"/>
      <c r="N25" s="87"/>
      <c r="U25" s="140"/>
      <c r="V25" s="141"/>
    </row>
    <row r="26" spans="1:25" s="51" customFormat="1" ht="12" customHeight="1" thickBot="1" x14ac:dyDescent="0.2">
      <c r="A26" s="52"/>
      <c r="B26" s="142">
        <v>1</v>
      </c>
      <c r="C26" s="143">
        <v>1</v>
      </c>
      <c r="D26" s="144">
        <v>1</v>
      </c>
      <c r="E26" s="145">
        <v>0.03</v>
      </c>
      <c r="F26" s="123"/>
      <c r="G26" s="145">
        <v>0.08</v>
      </c>
      <c r="H26" s="146" t="s">
        <v>205</v>
      </c>
      <c r="I26" s="84"/>
      <c r="J26" s="84"/>
      <c r="K26" s="85" t="s">
        <v>206</v>
      </c>
      <c r="L26" s="86"/>
      <c r="M26" s="86"/>
      <c r="N26" s="86"/>
      <c r="O26" s="86"/>
      <c r="P26" s="86"/>
      <c r="Q26" s="86"/>
      <c r="R26" s="86"/>
      <c r="S26" s="86"/>
      <c r="T26" s="86"/>
      <c r="U26" s="86" t="s">
        <v>180</v>
      </c>
      <c r="V26" s="84"/>
    </row>
    <row r="27" spans="1:25" s="51" customFormat="1" ht="12" customHeight="1" x14ac:dyDescent="0.15">
      <c r="A27" s="52"/>
      <c r="B27" s="142">
        <v>2</v>
      </c>
      <c r="C27" s="143">
        <f>D26+1</f>
        <v>2</v>
      </c>
      <c r="D27" s="144">
        <v>3</v>
      </c>
      <c r="E27" s="145">
        <v>0.03</v>
      </c>
      <c r="F27" s="123"/>
      <c r="G27" s="145">
        <v>0.06</v>
      </c>
      <c r="H27" s="146" t="s">
        <v>205</v>
      </c>
      <c r="I27" s="84"/>
      <c r="J27" s="147"/>
      <c r="L27" s="148"/>
      <c r="M27" s="148"/>
      <c r="O27" s="148"/>
      <c r="P27" s="148"/>
      <c r="Q27" s="148"/>
      <c r="R27" s="148"/>
      <c r="U27" s="140"/>
      <c r="V27" s="147"/>
      <c r="W27" s="87"/>
      <c r="X27" s="149"/>
    </row>
    <row r="28" spans="1:25" s="51" customFormat="1" ht="11" x14ac:dyDescent="0.15">
      <c r="A28" s="52"/>
      <c r="B28" s="142">
        <v>3</v>
      </c>
      <c r="C28" s="143">
        <f>D27+1</f>
        <v>4</v>
      </c>
      <c r="D28" s="144">
        <v>14</v>
      </c>
      <c r="E28" s="145">
        <v>0.03</v>
      </c>
      <c r="F28" s="123"/>
      <c r="G28" s="145">
        <v>2.5000000000000001E-2</v>
      </c>
      <c r="H28" s="146" t="s">
        <v>205</v>
      </c>
      <c r="I28" s="84"/>
      <c r="J28" s="150"/>
      <c r="N28" s="92" t="s">
        <v>182</v>
      </c>
      <c r="O28" s="92" t="s">
        <v>183</v>
      </c>
      <c r="P28" s="92" t="s">
        <v>184</v>
      </c>
      <c r="Q28" s="92" t="s">
        <v>185</v>
      </c>
      <c r="R28" s="92" t="s">
        <v>186</v>
      </c>
      <c r="S28" s="92" t="s">
        <v>187</v>
      </c>
      <c r="T28" s="92" t="s">
        <v>188</v>
      </c>
      <c r="U28" s="151" t="s">
        <v>189</v>
      </c>
      <c r="V28" s="147"/>
      <c r="W28" s="87"/>
      <c r="X28" s="149"/>
    </row>
    <row r="29" spans="1:25" s="51" customFormat="1" ht="11" x14ac:dyDescent="0.15">
      <c r="A29" s="52"/>
      <c r="B29" s="142">
        <v>4</v>
      </c>
      <c r="C29" s="152" t="str">
        <f>IF(D28="","",IF(D28&gt;$E$12,"",D28+1))</f>
        <v/>
      </c>
      <c r="D29" s="153"/>
      <c r="E29" s="154"/>
      <c r="F29" s="124"/>
      <c r="G29" s="154"/>
      <c r="I29" s="84"/>
      <c r="K29" s="155" t="s">
        <v>191</v>
      </c>
      <c r="N29" s="97">
        <f>SUM(SAP_Speadsheet!$D$50:$BF$50)/COUNTIF(SAP_Speadsheet!$D$50:$BF$50,"&gt;0")</f>
        <v>3.9514537469858841</v>
      </c>
      <c r="O29" s="97">
        <f>IFERROR(SUM(SAP_Speadsheet!$D$50:$P$50)/COUNTIF(SAP_Speadsheet!$D$50:$P$50,"&gt;0"),0)</f>
        <v>5.5317682457830406</v>
      </c>
      <c r="P29" s="97">
        <f>IFERROR(SUM(SAP_Speadsheet!$Q$50:$AB$50)/COUNTIF(SAP_Speadsheet!$Q$50:$AB$50,"&gt;0"),0)</f>
        <v>0.15869894987271063</v>
      </c>
      <c r="Q29" s="97">
        <f>IFERROR(SUM(SAP_Speadsheet!$AC$50:$AN$50)/COUNTIF(SAP_Speadsheet!$AC$50:$AN$50,"&gt;0"),0)</f>
        <v>0</v>
      </c>
      <c r="R29" s="97">
        <f>IFERROR(SUM(SAP_Speadsheet!$AO$50:$AZ$50)/COUNTIF(SAP_Speadsheet!$AO$50:$AZ$50,"&gt;0"),0)</f>
        <v>0</v>
      </c>
      <c r="S29" s="97">
        <f>IFERROR(SUM(SAP_Speadsheet!$BA$50:$BF$50)/COUNTIF(SAP_Speadsheet!$BA$50:$BF$50,"&gt;0"),0)</f>
        <v>0</v>
      </c>
      <c r="T29" s="156"/>
      <c r="U29" s="157">
        <f t="shared" ref="U29:U52" si="14">N29/$E$10</f>
        <v>0.30199675463622988</v>
      </c>
      <c r="V29" s="147"/>
      <c r="W29" s="87"/>
      <c r="X29" s="149"/>
    </row>
    <row r="30" spans="1:25" s="51" customFormat="1" ht="11" x14ac:dyDescent="0.15">
      <c r="A30" s="52"/>
      <c r="B30" s="142">
        <v>5</v>
      </c>
      <c r="C30" s="152" t="str">
        <f>IF(D29="","",IF(D29&gt;$E$12,"",D29+1))</f>
        <v/>
      </c>
      <c r="D30" s="153"/>
      <c r="E30" s="154">
        <f>IF(D30="",0,SUMIFS(#REF!,#REF!,Leadsheet!G$24,#REF!,Leadsheet!$A30,#REF!,Leadsheet!$C$4,#REF!,Leadsheet!$G$5,#REF!,Leadsheet!$D$5,#REF!,Leadsheet!G4))</f>
        <v>0</v>
      </c>
      <c r="F30" s="124">
        <v>0</v>
      </c>
      <c r="G30" s="154"/>
      <c r="I30" s="84"/>
      <c r="J30" s="147"/>
      <c r="K30" s="50" t="s">
        <v>192</v>
      </c>
      <c r="N30" s="158">
        <f t="shared" ref="N30:N51" si="15">SUM(O30:S30)</f>
        <v>2.7879213195317227</v>
      </c>
      <c r="O30" s="158">
        <f>SUM(SAP_Speadsheet!$E$55:$P$55)</f>
        <v>2.7927484125903512</v>
      </c>
      <c r="P30" s="158">
        <f>SUM(SAP_Speadsheet!$Q$55:$AB$55)</f>
        <v>-4.8270930586282812E-3</v>
      </c>
      <c r="Q30" s="158">
        <f>SUM(SAP_Speadsheet!$AC$55:$AN$55)</f>
        <v>0</v>
      </c>
      <c r="R30" s="158">
        <f>SUM(SAP_Speadsheet!$AO$55:$AZ$55)</f>
        <v>0</v>
      </c>
      <c r="S30" s="158">
        <f>SUM(SAP_Speadsheet!$BA$55:$BF$55)</f>
        <v>0</v>
      </c>
      <c r="T30" s="104">
        <f t="shared" ref="T30:T57" si="16">N30/$E$14*12/$N$29</f>
        <v>0.49803049380169101</v>
      </c>
      <c r="U30" s="104">
        <f t="shared" si="14"/>
        <v>0.21307175652048535</v>
      </c>
      <c r="V30" s="150"/>
      <c r="W30" s="87"/>
      <c r="X30" s="149"/>
    </row>
    <row r="31" spans="1:25" s="51" customFormat="1" ht="11" x14ac:dyDescent="0.15">
      <c r="A31" s="52"/>
      <c r="B31" s="159">
        <v>6</v>
      </c>
      <c r="C31" s="152" t="str">
        <f>IF(D30="","",IF(D30&gt;$E$12,"",D30+1))</f>
        <v/>
      </c>
      <c r="D31" s="153"/>
      <c r="E31" s="124">
        <f>IF(D31="",0,SUMIFS(#REF!,#REF!,Leadsheet!G$24,#REF!,Leadsheet!$A31,#REF!,Leadsheet!$C$4,#REF!,Leadsheet!$G$5,#REF!,Leadsheet!$D$5,#REF!,Leadsheet!G4))</f>
        <v>0</v>
      </c>
      <c r="F31" s="124">
        <v>0</v>
      </c>
      <c r="G31" s="124"/>
      <c r="I31" s="160"/>
      <c r="J31" s="147"/>
      <c r="K31" s="50" t="s">
        <v>193</v>
      </c>
      <c r="N31" s="158">
        <f>SUM(O31:S31)</f>
        <v>2.2036063282040401</v>
      </c>
      <c r="O31" s="158">
        <f>SUM(SAP_Speadsheet!$E$57:$P$57)</f>
        <v>2.2084334212626686</v>
      </c>
      <c r="P31" s="158">
        <f>SUM(SAP_Speadsheet!$Q$57:$AB$57)</f>
        <v>-4.8270930586282812E-3</v>
      </c>
      <c r="Q31" s="158">
        <f>SUM(SAP_Speadsheet!$AC$57:$AN$57)</f>
        <v>0</v>
      </c>
      <c r="R31" s="158">
        <f>SUM(SAP_Speadsheet!$AO$57:$AZ$57)</f>
        <v>0</v>
      </c>
      <c r="S31" s="158">
        <f>SUM(SAP_Speadsheet!$BA$57:$BF$57)</f>
        <v>0</v>
      </c>
      <c r="T31" s="104">
        <f t="shared" si="16"/>
        <v>0.39364925404864948</v>
      </c>
      <c r="U31" s="104">
        <f t="shared" si="14"/>
        <v>0.1684144626825253</v>
      </c>
      <c r="V31" s="147"/>
      <c r="W31" s="87"/>
      <c r="X31" s="149"/>
    </row>
    <row r="32" spans="1:25" s="51" customFormat="1" ht="11" x14ac:dyDescent="0.15">
      <c r="A32" s="52"/>
      <c r="D32" s="84"/>
      <c r="I32" s="84"/>
      <c r="J32" s="147"/>
      <c r="K32" s="161" t="s">
        <v>207</v>
      </c>
      <c r="N32" s="162">
        <f t="shared" si="15"/>
        <v>2.6122525032048305</v>
      </c>
      <c r="O32" s="162">
        <f>SUM(SAP_Speadsheet!$E$58:$P$58)</f>
        <v>2.6122525032048305</v>
      </c>
      <c r="P32" s="162">
        <f>SUM(SAP_Speadsheet!$Q$58:$AB$58)</f>
        <v>0</v>
      </c>
      <c r="Q32" s="162">
        <f>SUM(SAP_Speadsheet!$AC$58:$AN$58)</f>
        <v>0</v>
      </c>
      <c r="R32" s="162">
        <f>SUM(SAP_Speadsheet!$AO$58:$AZ$58)</f>
        <v>0</v>
      </c>
      <c r="S32" s="162">
        <f>SUM(SAP_Speadsheet!$BA$58:$BF$58)</f>
        <v>0</v>
      </c>
      <c r="T32" s="110">
        <f t="shared" si="16"/>
        <v>0.46664925404864949</v>
      </c>
      <c r="U32" s="110">
        <f t="shared" si="14"/>
        <v>0.1996459603911554</v>
      </c>
      <c r="V32" s="147"/>
      <c r="W32" s="87"/>
      <c r="X32" s="149"/>
    </row>
    <row r="33" spans="1:24" s="103" customFormat="1" ht="11.25" customHeight="1" x14ac:dyDescent="0.15">
      <c r="A33" s="135"/>
      <c r="B33" s="50" t="s">
        <v>75</v>
      </c>
      <c r="C33" s="51" t="s">
        <v>76</v>
      </c>
      <c r="D33" s="163"/>
      <c r="E33" s="164"/>
      <c r="F33" s="146" t="s">
        <v>208</v>
      </c>
      <c r="G33" s="36"/>
      <c r="I33" s="160"/>
      <c r="J33" s="147"/>
      <c r="K33" s="161" t="s">
        <v>209</v>
      </c>
      <c r="L33" s="51"/>
      <c r="M33" s="51"/>
      <c r="N33" s="162">
        <f t="shared" si="15"/>
        <v>-0.40864617500079015</v>
      </c>
      <c r="O33" s="162">
        <f>SUM(SAP_Speadsheet!$E$59:$P$59)</f>
        <v>-0.40381908194216187</v>
      </c>
      <c r="P33" s="162">
        <f>SUM(SAP_Speadsheet!$Q$59:$AB$59)</f>
        <v>-4.8270930586282812E-3</v>
      </c>
      <c r="Q33" s="162">
        <f>SUM(SAP_Speadsheet!$AC$59:$AN$59)</f>
        <v>0</v>
      </c>
      <c r="R33" s="162">
        <f>SUM(SAP_Speadsheet!$AO$59:$AZ$59)</f>
        <v>0</v>
      </c>
      <c r="S33" s="162">
        <f>SUM(SAP_Speadsheet!$BA$59:$BF$59)</f>
        <v>0</v>
      </c>
      <c r="T33" s="110">
        <f t="shared" si="16"/>
        <v>-7.2999999999999995E-2</v>
      </c>
      <c r="U33" s="110">
        <f t="shared" si="14"/>
        <v>-3.1231497708630103E-2</v>
      </c>
      <c r="V33" s="147"/>
      <c r="W33" s="87"/>
      <c r="X33" s="149"/>
    </row>
    <row r="34" spans="1:24" s="51" customFormat="1" ht="11" x14ac:dyDescent="0.15">
      <c r="C34" s="51" t="s">
        <v>79</v>
      </c>
      <c r="E34" s="164">
        <f>DATA!J24</f>
        <v>6.8766022570765542E-2</v>
      </c>
      <c r="F34" s="146" t="s">
        <v>208</v>
      </c>
      <c r="I34" s="65"/>
      <c r="J34" s="147"/>
      <c r="K34" s="50" t="s">
        <v>194</v>
      </c>
      <c r="N34" s="158">
        <f t="shared" si="15"/>
        <v>0.58431499132768228</v>
      </c>
      <c r="O34" s="158">
        <f>SUM(SAP_Speadsheet!$E$61:$P$61)</f>
        <v>0.58431499132768228</v>
      </c>
      <c r="P34" s="158">
        <f>SUM(SAP_Speadsheet!$Q$61:$AB$61)</f>
        <v>0</v>
      </c>
      <c r="Q34" s="158">
        <f>SUM(SAP_Speadsheet!$AC$61:$AN$61)</f>
        <v>0</v>
      </c>
      <c r="R34" s="158">
        <f>SUM(SAP_Speadsheet!$AO$61:$AZ$61)</f>
        <v>0</v>
      </c>
      <c r="S34" s="158">
        <f>SUM(SAP_Speadsheet!$BA$61:$BF$61)</f>
        <v>0</v>
      </c>
      <c r="T34" s="104">
        <f t="shared" si="16"/>
        <v>0.10438123975304144</v>
      </c>
      <c r="U34" s="104">
        <f t="shared" si="14"/>
        <v>4.4657293837960042E-2</v>
      </c>
      <c r="V34" s="147"/>
      <c r="W34" s="87"/>
      <c r="X34" s="149"/>
    </row>
    <row r="35" spans="1:24" s="51" customFormat="1" ht="11" x14ac:dyDescent="0.15">
      <c r="A35" s="52"/>
      <c r="B35" s="139"/>
      <c r="C35" s="51" t="s">
        <v>81</v>
      </c>
      <c r="D35" s="84"/>
      <c r="E35" s="164">
        <f>DATA!K24</f>
        <v>0.65675763679656218</v>
      </c>
      <c r="F35" s="146" t="s">
        <v>208</v>
      </c>
      <c r="I35" s="84"/>
      <c r="J35" s="147"/>
      <c r="K35" s="161" t="s">
        <v>210</v>
      </c>
      <c r="M35" s="165"/>
      <c r="N35" s="162">
        <f t="shared" si="15"/>
        <v>0.10033928365208163</v>
      </c>
      <c r="O35" s="162">
        <f>SUM(SAP_Speadsheet!$E$62:$P$62)</f>
        <v>0.10033928365208163</v>
      </c>
      <c r="P35" s="162">
        <f>SUM(SAP_Speadsheet!$Q$62:$AB$62)</f>
        <v>0</v>
      </c>
      <c r="Q35" s="162">
        <f>SUM(SAP_Speadsheet!$AC$62:$AN$62)</f>
        <v>0</v>
      </c>
      <c r="R35" s="162">
        <f>SUM(SAP_Speadsheet!$AO$62:$AZ$62)</f>
        <v>0</v>
      </c>
      <c r="S35" s="162">
        <f>SUM(SAP_Speadsheet!$BA$62:$BF$62)</f>
        <v>0</v>
      </c>
      <c r="T35" s="110">
        <f t="shared" si="16"/>
        <v>1.7924473920715875E-2</v>
      </c>
      <c r="U35" s="110">
        <f t="shared" si="14"/>
        <v>7.6686050162087377E-3</v>
      </c>
      <c r="V35" s="147"/>
      <c r="W35" s="87"/>
      <c r="X35" s="149"/>
    </row>
    <row r="36" spans="1:24" s="51" customFormat="1" ht="11" x14ac:dyDescent="0.15">
      <c r="A36" s="52"/>
      <c r="C36" s="51" t="s">
        <v>83</v>
      </c>
      <c r="D36" s="163"/>
      <c r="E36" s="164">
        <v>0.85599999999999998</v>
      </c>
      <c r="F36" s="146" t="s">
        <v>208</v>
      </c>
      <c r="H36" s="52" t="s">
        <v>211</v>
      </c>
      <c r="I36" s="65"/>
      <c r="J36" s="147"/>
      <c r="K36" s="161" t="s">
        <v>212</v>
      </c>
      <c r="N36" s="162">
        <f t="shared" si="15"/>
        <v>0.48397570767560077</v>
      </c>
      <c r="O36" s="162">
        <f>SUM(SAP_Speadsheet!$E$63:$P$63)</f>
        <v>0.48397570767560077</v>
      </c>
      <c r="P36" s="162">
        <f>SUM(SAP_Speadsheet!$Q$63:$AB$63)</f>
        <v>0</v>
      </c>
      <c r="Q36" s="162">
        <f>SUM(SAP_Speadsheet!$AC$63:$AN$63)</f>
        <v>0</v>
      </c>
      <c r="R36" s="162">
        <f>SUM(SAP_Speadsheet!$AO$63:$AZ$63)</f>
        <v>0</v>
      </c>
      <c r="S36" s="162">
        <f>SUM(SAP_Speadsheet!$BA$63:$BF$63)</f>
        <v>0</v>
      </c>
      <c r="T36" s="110">
        <f t="shared" si="16"/>
        <v>8.6456765832325588E-2</v>
      </c>
      <c r="U36" s="110">
        <f t="shared" si="14"/>
        <v>3.6988688821751312E-2</v>
      </c>
      <c r="V36" s="147"/>
      <c r="W36" s="87"/>
      <c r="X36" s="149"/>
    </row>
    <row r="37" spans="1:24" s="51" customFormat="1" ht="11" x14ac:dyDescent="0.15">
      <c r="A37" s="52"/>
      <c r="D37" s="163"/>
      <c r="E37" s="65"/>
      <c r="F37" s="166"/>
      <c r="H37" s="52" t="s">
        <v>211</v>
      </c>
      <c r="I37" s="65"/>
      <c r="J37" s="147"/>
      <c r="K37" s="161" t="s">
        <v>86</v>
      </c>
      <c r="N37" s="162">
        <f t="shared" si="15"/>
        <v>0</v>
      </c>
      <c r="O37" s="162">
        <f>SUM(SAP_Speadsheet!$E$64:$P$64)</f>
        <v>0</v>
      </c>
      <c r="P37" s="162">
        <f>SUM(SAP_Speadsheet!$Q$64:$AB$64)</f>
        <v>0</v>
      </c>
      <c r="Q37" s="162">
        <f>SUM(SAP_Speadsheet!$AC$64:$AN$64)</f>
        <v>0</v>
      </c>
      <c r="R37" s="162">
        <f>SUM(SAP_Speadsheet!$AO$64:$AZ$64)</f>
        <v>0</v>
      </c>
      <c r="S37" s="162">
        <f>SUM(SAP_Speadsheet!$BA$64:$BF$64)</f>
        <v>0</v>
      </c>
      <c r="T37" s="110">
        <f t="shared" si="16"/>
        <v>0</v>
      </c>
      <c r="U37" s="110">
        <f t="shared" si="14"/>
        <v>0</v>
      </c>
      <c r="V37" s="147"/>
      <c r="W37" s="87"/>
      <c r="X37" s="149"/>
    </row>
    <row r="38" spans="1:24" s="51" customFormat="1" ht="11" x14ac:dyDescent="0.15">
      <c r="A38" s="52"/>
      <c r="B38" s="50" t="s">
        <v>86</v>
      </c>
      <c r="C38" s="51" t="s">
        <v>213</v>
      </c>
      <c r="E38" s="167"/>
      <c r="F38" s="146" t="s">
        <v>214</v>
      </c>
      <c r="H38" s="168"/>
      <c r="I38" s="147"/>
      <c r="J38" s="147"/>
      <c r="K38" s="50" t="s">
        <v>195</v>
      </c>
      <c r="L38" s="139"/>
      <c r="M38" s="117"/>
      <c r="N38" s="109">
        <f t="shared" si="15"/>
        <v>0</v>
      </c>
      <c r="O38" s="109">
        <f>SUM(SAP_Speadsheet!$E$68:$P$68)</f>
        <v>0</v>
      </c>
      <c r="P38" s="109">
        <f>SUM(SAP_Speadsheet!$Q$68:$AB$68)</f>
        <v>0</v>
      </c>
      <c r="Q38" s="109">
        <f>SUM(SAP_Speadsheet!$AC$68:$AN$68)</f>
        <v>0</v>
      </c>
      <c r="R38" s="109">
        <f>SUM(SAP_Speadsheet!$AO$68:$AZ$68)</f>
        <v>0</v>
      </c>
      <c r="S38" s="109">
        <f>SUM(SAP_Speadsheet!$BA$68:$BF$68)</f>
        <v>0</v>
      </c>
      <c r="T38" s="110">
        <f t="shared" si="16"/>
        <v>0</v>
      </c>
      <c r="U38" s="110">
        <f t="shared" si="14"/>
        <v>0</v>
      </c>
      <c r="V38" s="147"/>
      <c r="W38" s="87"/>
      <c r="X38" s="149"/>
    </row>
    <row r="39" spans="1:24" s="51" customFormat="1" ht="11" x14ac:dyDescent="0.15">
      <c r="A39" s="52"/>
      <c r="C39" s="51" t="s">
        <v>213</v>
      </c>
      <c r="E39" s="169"/>
      <c r="F39" s="146" t="s">
        <v>215</v>
      </c>
      <c r="I39" s="147"/>
      <c r="J39" s="147"/>
      <c r="K39" s="170" t="s">
        <v>196</v>
      </c>
      <c r="L39" s="50"/>
      <c r="M39" s="50"/>
      <c r="N39" s="158">
        <f t="shared" si="15"/>
        <v>-1.4180368117930009</v>
      </c>
      <c r="O39" s="158">
        <f>SUM(SAP_Speadsheet!$E$183:$P$183)</f>
        <v>-1.3927173250480895</v>
      </c>
      <c r="P39" s="158">
        <f>SUM(SAP_Speadsheet!$Q$183:$AB$183)</f>
        <v>-2.5319486744911357E-2</v>
      </c>
      <c r="Q39" s="158">
        <f>SUM(SAP_Speadsheet!$AC$183:$AN$183)</f>
        <v>0</v>
      </c>
      <c r="R39" s="158">
        <f>SUM(SAP_Speadsheet!$AO$183:$AZ$183)</f>
        <v>0</v>
      </c>
      <c r="S39" s="158">
        <f>SUM(SAP_Speadsheet!$BA$183:$BF$183)</f>
        <v>0</v>
      </c>
      <c r="T39" s="104">
        <f t="shared" si="16"/>
        <v>-0.25331617813549556</v>
      </c>
      <c r="U39" s="104">
        <f t="shared" si="14"/>
        <v>-0.10837594023284473</v>
      </c>
      <c r="V39" s="147"/>
      <c r="W39" s="87"/>
      <c r="X39" s="149"/>
    </row>
    <row r="40" spans="1:24" s="51" customFormat="1" ht="11" x14ac:dyDescent="0.15">
      <c r="A40" s="52"/>
      <c r="C40" s="51" t="s">
        <v>216</v>
      </c>
      <c r="D40" s="163"/>
      <c r="E40" s="169"/>
      <c r="F40" s="146" t="s">
        <v>217</v>
      </c>
      <c r="I40" s="147"/>
      <c r="J40" s="147"/>
      <c r="K40" s="50" t="s">
        <v>199</v>
      </c>
      <c r="N40" s="158">
        <f t="shared" si="15"/>
        <v>-0.92602024950302264</v>
      </c>
      <c r="O40" s="158">
        <f>+SUM(O41,O45,O48,O52)</f>
        <v>-0.92136085585930827</v>
      </c>
      <c r="P40" s="171">
        <f>+SUM(P41,P45,P48,P52)</f>
        <v>-4.6593936437143921E-3</v>
      </c>
      <c r="Q40" s="171">
        <f>+SUM(Q41,Q45,Q48,Q52)</f>
        <v>0</v>
      </c>
      <c r="R40" s="171">
        <f>+SUM(R41,R45,R48,R52)</f>
        <v>0</v>
      </c>
      <c r="S40" s="158">
        <f>+SUM(S41,S45,S48,S52)</f>
        <v>0</v>
      </c>
      <c r="T40" s="104">
        <f t="shared" si="16"/>
        <v>-0.16542300491027462</v>
      </c>
      <c r="U40" s="104">
        <f t="shared" si="14"/>
        <v>-7.0772715052191071E-2</v>
      </c>
      <c r="V40" s="147"/>
      <c r="W40" s="87"/>
      <c r="X40" s="149"/>
    </row>
    <row r="41" spans="1:24" s="51" customFormat="1" ht="14" thickBot="1" x14ac:dyDescent="0.2">
      <c r="A41" s="52"/>
      <c r="B41" s="45" t="s">
        <v>89</v>
      </c>
      <c r="C41" s="82"/>
      <c r="D41" s="83"/>
      <c r="E41" s="82"/>
      <c r="F41" s="82"/>
      <c r="G41" s="82"/>
      <c r="H41" s="82" t="s">
        <v>180</v>
      </c>
      <c r="I41" s="147"/>
      <c r="J41" s="147"/>
      <c r="K41" s="170" t="s">
        <v>92</v>
      </c>
      <c r="N41" s="158">
        <f t="shared" si="15"/>
        <v>-0.32711061346881087</v>
      </c>
      <c r="O41" s="158">
        <f>SUM(O42:O44)</f>
        <v>-0.32711061346881087</v>
      </c>
      <c r="P41" s="158">
        <f>SUM(P42:P44)</f>
        <v>0</v>
      </c>
      <c r="Q41" s="158">
        <f>SUM(Q42:Q44)</f>
        <v>0</v>
      </c>
      <c r="R41" s="158">
        <f>SUM(R42:R44)</f>
        <v>0</v>
      </c>
      <c r="S41" s="158">
        <f>SUM(S42:S44)</f>
        <v>0</v>
      </c>
      <c r="T41" s="104">
        <f t="shared" si="16"/>
        <v>-5.8434597566408203E-2</v>
      </c>
      <c r="U41" s="104">
        <f t="shared" si="14"/>
        <v>-2.5000000000000001E-2</v>
      </c>
      <c r="V41" s="147"/>
      <c r="W41" s="87"/>
      <c r="X41" s="149"/>
    </row>
    <row r="42" spans="1:24" s="51" customFormat="1" thickTop="1" x14ac:dyDescent="0.15">
      <c r="A42" s="52"/>
      <c r="D42" s="84"/>
      <c r="I42" s="147"/>
      <c r="J42" s="147"/>
      <c r="K42" s="107" t="s">
        <v>218</v>
      </c>
      <c r="L42" s="139"/>
      <c r="N42" s="109">
        <f t="shared" si="15"/>
        <v>-0.32711061346881087</v>
      </c>
      <c r="O42" s="109">
        <f>SUM(SAP_Speadsheet!$E$73:$P$73)</f>
        <v>-0.32711061346881087</v>
      </c>
      <c r="P42" s="109">
        <f>SUM(SAP_Speadsheet!$Q$73:$AB$73)</f>
        <v>0</v>
      </c>
      <c r="Q42" s="109">
        <f>SUM(SAP_Speadsheet!$AC$73:$AN$73)</f>
        <v>0</v>
      </c>
      <c r="R42" s="109">
        <f>SUM(SAP_Speadsheet!$AO$73:$AZ$73)</f>
        <v>0</v>
      </c>
      <c r="S42" s="109">
        <f>SUM(SAP_Speadsheet!$BA$73:$BF$73)</f>
        <v>0</v>
      </c>
      <c r="T42" s="110">
        <f t="shared" si="16"/>
        <v>-5.8434597566408203E-2</v>
      </c>
      <c r="U42" s="110">
        <f t="shared" si="14"/>
        <v>-2.5000000000000001E-2</v>
      </c>
      <c r="V42" s="147"/>
      <c r="W42" s="87"/>
      <c r="X42" s="149"/>
    </row>
    <row r="43" spans="1:24" s="51" customFormat="1" ht="11" x14ac:dyDescent="0.15">
      <c r="A43" s="52"/>
      <c r="B43" s="50" t="s">
        <v>90</v>
      </c>
      <c r="D43" s="84"/>
      <c r="E43" s="172">
        <v>3.5000000000000003E-2</v>
      </c>
      <c r="F43" s="146" t="s">
        <v>219</v>
      </c>
      <c r="I43" s="147"/>
      <c r="J43" s="147"/>
      <c r="K43" s="107" t="s">
        <v>220</v>
      </c>
      <c r="N43" s="162">
        <f t="shared" si="15"/>
        <v>0</v>
      </c>
      <c r="O43" s="162">
        <f>SUM(SAP_Speadsheet!$E$74:$P$74)</f>
        <v>0</v>
      </c>
      <c r="P43" s="162">
        <f>SUM(SAP_Speadsheet!$Q$74:$AB$74)</f>
        <v>0</v>
      </c>
      <c r="Q43" s="162">
        <f>SUM(SAP_Speadsheet!$AC$74:$AN$74)</f>
        <v>0</v>
      </c>
      <c r="R43" s="162">
        <f>SUM(SAP_Speadsheet!$AO$74:$AZ$74)</f>
        <v>0</v>
      </c>
      <c r="S43" s="162">
        <f>SUM(SAP_Speadsheet!$BA$74:$BF$74)</f>
        <v>0</v>
      </c>
      <c r="T43" s="110">
        <f t="shared" si="16"/>
        <v>0</v>
      </c>
      <c r="U43" s="110">
        <f t="shared" si="14"/>
        <v>0</v>
      </c>
      <c r="V43" s="147"/>
      <c r="W43" s="87"/>
      <c r="X43" s="149"/>
    </row>
    <row r="44" spans="1:24" s="139" customFormat="1" ht="11" x14ac:dyDescent="0.15">
      <c r="A44" s="52"/>
      <c r="B44" s="51"/>
      <c r="C44" s="51"/>
      <c r="D44" s="84"/>
      <c r="E44" s="173"/>
      <c r="F44" s="146"/>
      <c r="G44" s="174"/>
      <c r="H44" s="87"/>
      <c r="I44" s="147"/>
      <c r="J44" s="147"/>
      <c r="K44" s="107" t="s">
        <v>221</v>
      </c>
      <c r="M44" s="51"/>
      <c r="N44" s="109">
        <f t="shared" si="15"/>
        <v>0</v>
      </c>
      <c r="O44" s="109">
        <f>SUM(SAP_Speadsheet!$E$86:$P$86)</f>
        <v>0</v>
      </c>
      <c r="P44" s="109">
        <f>SUM(SAP_Speadsheet!$Q$86:$AB$86)</f>
        <v>0</v>
      </c>
      <c r="Q44" s="109">
        <f>SUM(SAP_Speadsheet!$AC$86:$AN$86)</f>
        <v>0</v>
      </c>
      <c r="R44" s="109">
        <f>SUM(SAP_Speadsheet!$AO$86:$AZ$86)</f>
        <v>0</v>
      </c>
      <c r="S44" s="109">
        <f>SUM(SAP_Speadsheet!$BA$86:$BF$86)</f>
        <v>0</v>
      </c>
      <c r="T44" s="110">
        <f t="shared" si="16"/>
        <v>0</v>
      </c>
      <c r="U44" s="110">
        <f t="shared" si="14"/>
        <v>0</v>
      </c>
      <c r="V44" s="147"/>
      <c r="W44" s="87"/>
      <c r="X44" s="149"/>
    </row>
    <row r="45" spans="1:24" s="139" customFormat="1" ht="11" x14ac:dyDescent="0.15">
      <c r="A45" s="52"/>
      <c r="B45" s="50" t="s">
        <v>92</v>
      </c>
      <c r="F45" s="146"/>
      <c r="I45" s="147"/>
      <c r="J45" s="147"/>
      <c r="K45" s="170" t="s">
        <v>200</v>
      </c>
      <c r="M45" s="51"/>
      <c r="N45" s="97">
        <f t="shared" si="15"/>
        <v>-4.0623996207276983E-2</v>
      </c>
      <c r="O45" s="97">
        <f>SUM(O46:O47)</f>
        <v>-4.0623996207276983E-2</v>
      </c>
      <c r="P45" s="97">
        <f>SUM(P46:P47)</f>
        <v>0</v>
      </c>
      <c r="Q45" s="97">
        <f>SUM(Q46:Q47)</f>
        <v>0</v>
      </c>
      <c r="R45" s="97">
        <f>SUM(R46:R47)</f>
        <v>0</v>
      </c>
      <c r="S45" s="97">
        <f>SUM(S46:S47)</f>
        <v>0</v>
      </c>
      <c r="T45" s="104">
        <f t="shared" si="16"/>
        <v>-7.2570157376989648E-3</v>
      </c>
      <c r="U45" s="104">
        <f t="shared" si="14"/>
        <v>-3.1047598682662717E-3</v>
      </c>
      <c r="V45" s="147"/>
      <c r="W45" s="87"/>
      <c r="X45" s="149"/>
    </row>
    <row r="46" spans="1:24" s="139" customFormat="1" ht="11" x14ac:dyDescent="0.15">
      <c r="A46" s="52"/>
      <c r="C46" s="133" t="s">
        <v>94</v>
      </c>
      <c r="E46" s="175" t="s">
        <v>222</v>
      </c>
      <c r="F46" s="146"/>
      <c r="H46" s="176"/>
      <c r="K46" s="107" t="s">
        <v>223</v>
      </c>
      <c r="L46" s="51"/>
      <c r="M46" s="51"/>
      <c r="N46" s="109">
        <f t="shared" si="15"/>
        <v>-3.8216710390312325E-2</v>
      </c>
      <c r="O46" s="109">
        <f>SUM(SAP_Speadsheet!$E$89:$P$89)</f>
        <v>-3.8216710390312325E-2</v>
      </c>
      <c r="P46" s="109">
        <f>SUM(SAP_Speadsheet!$Q$89:$AB$89)</f>
        <v>0</v>
      </c>
      <c r="Q46" s="109">
        <f>SUM(SAP_Speadsheet!$AC$89:$AN$89)</f>
        <v>0</v>
      </c>
      <c r="R46" s="109">
        <f>SUM(SAP_Speadsheet!$AO$89:$AZ$89)</f>
        <v>0</v>
      </c>
      <c r="S46" s="109">
        <f>SUM(SAP_Speadsheet!$BA$89:$BF$89)</f>
        <v>0</v>
      </c>
      <c r="T46" s="110">
        <f t="shared" si="16"/>
        <v>-6.8269814552587094E-3</v>
      </c>
      <c r="U46" s="110">
        <f t="shared" si="14"/>
        <v>-2.9207788448872957E-3</v>
      </c>
      <c r="V46" s="147"/>
      <c r="W46" s="87"/>
      <c r="X46" s="149"/>
    </row>
    <row r="47" spans="1:24" s="51" customFormat="1" ht="11" x14ac:dyDescent="0.15">
      <c r="A47" s="52"/>
      <c r="C47" s="51" t="s">
        <v>96</v>
      </c>
      <c r="D47" s="84"/>
      <c r="E47" s="177"/>
      <c r="F47" s="146" t="s">
        <v>224</v>
      </c>
      <c r="G47" s="178"/>
      <c r="H47" s="139"/>
      <c r="K47" s="107" t="s">
        <v>225</v>
      </c>
      <c r="N47" s="109">
        <f t="shared" si="15"/>
        <v>-2.4072858169646612E-3</v>
      </c>
      <c r="O47" s="109">
        <f>SUM(SAP_Speadsheet!$E$90:$P$90)</f>
        <v>-2.4072858169646612E-3</v>
      </c>
      <c r="P47" s="109">
        <f>SUM(SAP_Speadsheet!$Q$90:$AB$90)</f>
        <v>0</v>
      </c>
      <c r="Q47" s="109">
        <f>SUM(SAP_Speadsheet!$AC$90:$AN$90)</f>
        <v>0</v>
      </c>
      <c r="R47" s="109">
        <f>SUM(SAP_Speadsheet!$AO$90:$AZ$90)</f>
        <v>0</v>
      </c>
      <c r="S47" s="109">
        <f>SUM(SAP_Speadsheet!$BA$90:$BF$90)</f>
        <v>0</v>
      </c>
      <c r="T47" s="110">
        <f t="shared" si="16"/>
        <v>-4.3003428244025644E-4</v>
      </c>
      <c r="U47" s="110">
        <f t="shared" si="14"/>
        <v>-1.8398102337897616E-4</v>
      </c>
      <c r="V47" s="147"/>
      <c r="W47" s="87"/>
      <c r="X47" s="149"/>
    </row>
    <row r="48" spans="1:24" s="51" customFormat="1" ht="11" x14ac:dyDescent="0.15">
      <c r="A48" s="52"/>
      <c r="C48" s="51" t="s">
        <v>99</v>
      </c>
      <c r="D48" s="84"/>
      <c r="E48" s="177"/>
      <c r="F48" s="146" t="s">
        <v>224</v>
      </c>
      <c r="G48" s="179"/>
      <c r="K48" s="170" t="s">
        <v>226</v>
      </c>
      <c r="N48" s="97">
        <f t="shared" si="15"/>
        <v>-7.669174911282664E-2</v>
      </c>
      <c r="O48" s="97">
        <f>SUM(O49:O51)</f>
        <v>-7.2032355469112255E-2</v>
      </c>
      <c r="P48" s="97">
        <f>SUM(P49:P51)</f>
        <v>-4.6593936437143921E-3</v>
      </c>
      <c r="Q48" s="97">
        <f>SUM(Q49:Q51)</f>
        <v>0</v>
      </c>
      <c r="R48" s="97">
        <f>SUM(R49:R51)</f>
        <v>0</v>
      </c>
      <c r="S48" s="97">
        <f>SUM(S49:S51)</f>
        <v>0</v>
      </c>
      <c r="T48" s="104">
        <f t="shared" si="16"/>
        <v>-1.3700110334387734E-2</v>
      </c>
      <c r="U48" s="104">
        <f t="shared" si="14"/>
        <v>-5.8613008837864406E-3</v>
      </c>
      <c r="V48" s="147"/>
      <c r="W48" s="87"/>
      <c r="X48" s="149"/>
    </row>
    <row r="49" spans="1:24" s="51" customFormat="1" ht="11" x14ac:dyDescent="0.15">
      <c r="A49" s="52"/>
      <c r="E49" s="176" t="s">
        <v>227</v>
      </c>
      <c r="F49" s="146"/>
      <c r="G49" s="179"/>
      <c r="K49" s="107" t="s">
        <v>228</v>
      </c>
      <c r="N49" s="109">
        <f t="shared" si="15"/>
        <v>-7.3431848384878429E-2</v>
      </c>
      <c r="O49" s="109">
        <f>SUM(SAP_Speadsheet!$E$96:$P$96)</f>
        <v>-6.8772454741164044E-2</v>
      </c>
      <c r="P49" s="109">
        <f>SUM(SAP_Speadsheet!$Q$96:$AB$96)</f>
        <v>-4.6593936437143921E-3</v>
      </c>
      <c r="Q49" s="109">
        <f>SUM(SAP_Speadsheet!$AC$96:$AN$96)</f>
        <v>0</v>
      </c>
      <c r="R49" s="109">
        <f>SUM(SAP_Speadsheet!$AO$96:$AZ$96)</f>
        <v>0</v>
      </c>
      <c r="S49" s="109">
        <f>SUM(SAP_Speadsheet!$BA$96:$BF$96)</f>
        <v>0</v>
      </c>
      <c r="T49" s="110">
        <f t="shared" si="16"/>
        <v>-1.3117766077428131E-2</v>
      </c>
      <c r="U49" s="110">
        <f t="shared" si="14"/>
        <v>-5.6121572765690745E-3</v>
      </c>
      <c r="V49" s="147"/>
      <c r="W49" s="87"/>
      <c r="X49" s="149"/>
    </row>
    <row r="50" spans="1:24" s="51" customFormat="1" ht="11" x14ac:dyDescent="0.15">
      <c r="A50" s="52"/>
      <c r="C50" s="51" t="s">
        <v>101</v>
      </c>
      <c r="D50" s="163"/>
      <c r="E50" s="177"/>
      <c r="F50" s="146" t="s">
        <v>224</v>
      </c>
      <c r="G50" s="179"/>
      <c r="K50" s="107" t="s">
        <v>229</v>
      </c>
      <c r="N50" s="109">
        <f t="shared" si="15"/>
        <v>0</v>
      </c>
      <c r="O50" s="109">
        <f>SUM(SAP_Speadsheet!$E$97:$P$97)</f>
        <v>0</v>
      </c>
      <c r="P50" s="109">
        <f>SUM(SAP_Speadsheet!$Q$97:$AB$97)</f>
        <v>0</v>
      </c>
      <c r="Q50" s="109">
        <f>SUM(SAP_Speadsheet!$AC$97:$AN$97)</f>
        <v>0</v>
      </c>
      <c r="R50" s="109">
        <f>SUM(SAP_Speadsheet!$AO$97:$AZ$97)</f>
        <v>0</v>
      </c>
      <c r="S50" s="109">
        <f>SUM(SAP_Speadsheet!$BA$97:$BF$97)</f>
        <v>0</v>
      </c>
      <c r="T50" s="110">
        <f t="shared" si="16"/>
        <v>0</v>
      </c>
      <c r="U50" s="110">
        <f t="shared" si="14"/>
        <v>0</v>
      </c>
      <c r="V50" s="147"/>
      <c r="W50" s="87"/>
      <c r="X50" s="149"/>
    </row>
    <row r="51" spans="1:24" s="51" customFormat="1" ht="11" x14ac:dyDescent="0.15">
      <c r="A51" s="52"/>
      <c r="C51" s="51" t="s">
        <v>103</v>
      </c>
      <c r="E51" s="177"/>
      <c r="F51" s="146" t="s">
        <v>224</v>
      </c>
      <c r="G51" s="179"/>
      <c r="I51" s="180"/>
      <c r="J51" s="147"/>
      <c r="K51" s="107" t="s">
        <v>134</v>
      </c>
      <c r="L51" s="139"/>
      <c r="N51" s="109">
        <f t="shared" si="15"/>
        <v>-3.2599007279482126E-3</v>
      </c>
      <c r="O51" s="109">
        <f>SUM(SAP_Speadsheet!$E$99:$P$99)</f>
        <v>-3.2599007279482126E-3</v>
      </c>
      <c r="P51" s="109">
        <f>SUM(SAP_Speadsheet!$Q$99:$AB$99)</f>
        <v>0</v>
      </c>
      <c r="Q51" s="109">
        <f>SUM(SAP_Speadsheet!$AC$99:$AN$99)</f>
        <v>0</v>
      </c>
      <c r="R51" s="109">
        <f>SUM(SAP_Speadsheet!$AO$99:$AZ$99)</f>
        <v>0</v>
      </c>
      <c r="S51" s="109">
        <f>SUM(SAP_Speadsheet!$BA$99:$BF$99)</f>
        <v>0</v>
      </c>
      <c r="T51" s="110">
        <f t="shared" si="16"/>
        <v>-5.8234425695960425E-4</v>
      </c>
      <c r="U51" s="110">
        <f t="shared" si="14"/>
        <v>-2.4914360721736684E-4</v>
      </c>
      <c r="V51" s="147"/>
      <c r="W51" s="87"/>
      <c r="X51" s="149"/>
    </row>
    <row r="52" spans="1:24" s="51" customFormat="1" ht="11" x14ac:dyDescent="0.15">
      <c r="A52" s="52"/>
      <c r="C52" s="51" t="s">
        <v>105</v>
      </c>
      <c r="E52" s="177"/>
      <c r="F52" s="146" t="s">
        <v>224</v>
      </c>
      <c r="G52" s="178"/>
      <c r="H52" s="176"/>
      <c r="I52" s="180"/>
      <c r="J52" s="147"/>
      <c r="K52" s="170" t="s">
        <v>230</v>
      </c>
      <c r="N52" s="97">
        <f t="shared" ref="N52:N57" si="17">SUM(O52:S52)</f>
        <v>-0.48159389071410819</v>
      </c>
      <c r="O52" s="97">
        <f>SUM(O53:O56)</f>
        <v>-0.48159389071410819</v>
      </c>
      <c r="P52" s="97">
        <f>SUM(P53:P56)</f>
        <v>0</v>
      </c>
      <c r="Q52" s="97">
        <f>SUM(Q53:Q56)</f>
        <v>0</v>
      </c>
      <c r="R52" s="97">
        <f>SUM(R53:R56)</f>
        <v>0</v>
      </c>
      <c r="S52" s="97">
        <f>SUM(S53:S56)</f>
        <v>0</v>
      </c>
      <c r="T52" s="104">
        <f t="shared" si="16"/>
        <v>-8.6031281271779711E-2</v>
      </c>
      <c r="U52" s="104">
        <f t="shared" si="14"/>
        <v>-3.680665430013836E-2</v>
      </c>
      <c r="V52" s="147"/>
      <c r="W52" s="87"/>
      <c r="X52" s="149"/>
    </row>
    <row r="53" spans="1:24" s="51" customFormat="1" ht="11" x14ac:dyDescent="0.15">
      <c r="A53" s="52"/>
      <c r="C53" s="51" t="s">
        <v>107</v>
      </c>
      <c r="E53" s="177"/>
      <c r="F53" s="146" t="s">
        <v>224</v>
      </c>
      <c r="G53" s="178"/>
      <c r="H53" s="176"/>
      <c r="I53" s="180"/>
      <c r="J53" s="147"/>
      <c r="K53" s="107" t="s">
        <v>139</v>
      </c>
      <c r="N53" s="109">
        <f t="shared" si="17"/>
        <v>-7.6975356811002704E-2</v>
      </c>
      <c r="O53" s="109">
        <f>SUM(SAP_Speadsheet!$E$104:$P$104)</f>
        <v>-7.6975356811002704E-2</v>
      </c>
      <c r="P53" s="109">
        <f>SUM(SAP_Speadsheet!$Q$104:$AB$104)</f>
        <v>0</v>
      </c>
      <c r="Q53" s="109">
        <f>SUM(SAP_Speadsheet!$AC$104:$AN$104)</f>
        <v>0</v>
      </c>
      <c r="R53" s="109">
        <f>SUM(SAP_Speadsheet!$AO$104:$AZ$104)</f>
        <v>0</v>
      </c>
      <c r="S53" s="109">
        <f>SUM(SAP_Speadsheet!$BA$104:$BF$104)</f>
        <v>0</v>
      </c>
      <c r="T53" s="110">
        <f t="shared" si="16"/>
        <v>-1.3750773630004813E-2</v>
      </c>
      <c r="U53" s="110">
        <f>N53/$E$10</f>
        <v>-5.8829760974984458E-3</v>
      </c>
      <c r="V53" s="147"/>
      <c r="W53" s="87"/>
      <c r="X53" s="149"/>
    </row>
    <row r="54" spans="1:24" s="51" customFormat="1" ht="11" x14ac:dyDescent="0.15">
      <c r="A54" s="52"/>
      <c r="C54" s="51" t="s">
        <v>109</v>
      </c>
      <c r="E54" s="177"/>
      <c r="F54" s="146" t="s">
        <v>224</v>
      </c>
      <c r="I54" s="180"/>
      <c r="J54" s="147"/>
      <c r="K54" s="107" t="s">
        <v>231</v>
      </c>
      <c r="N54" s="109">
        <f t="shared" si="17"/>
        <v>-0.2062222388003164</v>
      </c>
      <c r="O54" s="109">
        <f>SUM(SAP_Speadsheet!$E$105:$P$105)</f>
        <v>-0.2062222388003164</v>
      </c>
      <c r="P54" s="109">
        <f>SUM(SAP_Speadsheet!$Q$105:$AB$105)</f>
        <v>0</v>
      </c>
      <c r="Q54" s="109">
        <f>SUM(SAP_Speadsheet!$AC$105:$AN$105)</f>
        <v>0</v>
      </c>
      <c r="R54" s="109">
        <f>SUM(SAP_Speadsheet!$AO$105:$AZ$105)</f>
        <v>0</v>
      </c>
      <c r="S54" s="109">
        <f>SUM(SAP_Speadsheet!$BA$105:$BF$105)</f>
        <v>0</v>
      </c>
      <c r="T54" s="110">
        <f t="shared" si="16"/>
        <v>-3.6839261819577744E-2</v>
      </c>
      <c r="U54" s="110">
        <f>N54/$E$10</f>
        <v>-1.5760894809668042E-2</v>
      </c>
      <c r="V54" s="147"/>
      <c r="W54" s="87"/>
      <c r="X54" s="149"/>
    </row>
    <row r="55" spans="1:24" s="51" customFormat="1" ht="11" x14ac:dyDescent="0.15">
      <c r="A55" s="52"/>
      <c r="C55" s="51" t="s">
        <v>232</v>
      </c>
      <c r="E55" s="177"/>
      <c r="F55" s="146" t="s">
        <v>233</v>
      </c>
      <c r="J55" s="147"/>
      <c r="K55" s="107" t="s">
        <v>143</v>
      </c>
      <c r="N55" s="109">
        <f t="shared" si="17"/>
        <v>-9.8931421149484958E-2</v>
      </c>
      <c r="O55" s="109">
        <f>SUM(SAP_Speadsheet!$E$106:$P$106)</f>
        <v>-9.8931421149484958E-2</v>
      </c>
      <c r="P55" s="109">
        <f>SUM(SAP_Speadsheet!$Q$106:$AB$106)</f>
        <v>0</v>
      </c>
      <c r="Q55" s="109">
        <f>SUM(SAP_Speadsheet!$AC$106:$AN$106)</f>
        <v>0</v>
      </c>
      <c r="R55" s="109">
        <f>SUM(SAP_Speadsheet!$AO$106:$AZ$106)</f>
        <v>0</v>
      </c>
      <c r="S55" s="109">
        <f>SUM(SAP_Speadsheet!$BA$106:$BF$106)</f>
        <v>0</v>
      </c>
      <c r="T55" s="110">
        <f t="shared" si="16"/>
        <v>-1.7672975267414254E-2</v>
      </c>
      <c r="U55" s="110">
        <f>N55/$E$10</f>
        <v>-7.5610066653277368E-3</v>
      </c>
      <c r="V55" s="147"/>
      <c r="W55" s="87"/>
      <c r="X55" s="149"/>
    </row>
    <row r="56" spans="1:24" s="51" customFormat="1" ht="11" x14ac:dyDescent="0.15">
      <c r="A56" s="52"/>
      <c r="C56" s="51" t="s">
        <v>111</v>
      </c>
      <c r="D56" s="84"/>
      <c r="E56" s="167"/>
      <c r="F56" s="146" t="s">
        <v>234</v>
      </c>
      <c r="J56" s="147"/>
      <c r="K56" s="107" t="s">
        <v>235</v>
      </c>
      <c r="N56" s="109">
        <f t="shared" si="17"/>
        <v>-9.9464873953304167E-2</v>
      </c>
      <c r="O56" s="109">
        <f>SUM(SAP_Speadsheet!$E$107:$P$107)</f>
        <v>-9.9464873953304167E-2</v>
      </c>
      <c r="P56" s="109">
        <f>SUM(SAP_Speadsheet!$Q$107:$AB$107)</f>
        <v>0</v>
      </c>
      <c r="Q56" s="109">
        <f>SUM(SAP_Speadsheet!$AC$107:$AN$107)</f>
        <v>0</v>
      </c>
      <c r="R56" s="109">
        <f>SUM(SAP_Speadsheet!$AO$107:$AZ$107)</f>
        <v>0</v>
      </c>
      <c r="S56" s="109">
        <f>SUM(SAP_Speadsheet!$BA$107:$BF$107)</f>
        <v>0</v>
      </c>
      <c r="T56" s="110">
        <f t="shared" si="16"/>
        <v>-1.776827055478291E-2</v>
      </c>
      <c r="U56" s="110">
        <f>N56/$E$10</f>
        <v>-7.6017767276441396E-3</v>
      </c>
      <c r="V56" s="147"/>
      <c r="W56" s="87"/>
      <c r="X56" s="149"/>
    </row>
    <row r="57" spans="1:24" s="51" customFormat="1" ht="11" x14ac:dyDescent="0.15">
      <c r="A57" s="52"/>
      <c r="E57" s="169">
        <v>2.5000000000000001E-2</v>
      </c>
      <c r="F57" s="146" t="s">
        <v>236</v>
      </c>
      <c r="J57" s="147"/>
      <c r="K57" s="50" t="s">
        <v>203</v>
      </c>
      <c r="L57" s="139"/>
      <c r="N57" s="97">
        <f t="shared" si="17"/>
        <v>0.4438642582356993</v>
      </c>
      <c r="O57" s="97">
        <f>SUM(SAP_Speadsheet!$E$189:$P$189)</f>
        <v>0.47867023168295336</v>
      </c>
      <c r="P57" s="97">
        <f>SUM(SAP_Speadsheet!$Q$189:$AB$189)</f>
        <v>-3.4805973447254029E-2</v>
      </c>
      <c r="Q57" s="97">
        <f>SUM(SAP_Speadsheet!$AC$189:$AN$189)</f>
        <v>0</v>
      </c>
      <c r="R57" s="97">
        <f>SUM(SAP_Speadsheet!$AO$189:$AZ$189)</f>
        <v>0</v>
      </c>
      <c r="S57" s="97">
        <f>SUM(SAP_Speadsheet!$BA$189:$BF$189)</f>
        <v>0</v>
      </c>
      <c r="T57" s="104">
        <f t="shared" si="16"/>
        <v>7.9291310755920802E-2</v>
      </c>
      <c r="U57" s="104">
        <f>N57/$E$10</f>
        <v>3.392310123544956E-2</v>
      </c>
      <c r="V57" s="147"/>
      <c r="W57" s="87"/>
      <c r="X57" s="149"/>
    </row>
    <row r="58" spans="1:24" s="51" customFormat="1" ht="11" x14ac:dyDescent="0.15">
      <c r="A58" s="52"/>
      <c r="F58" s="146"/>
      <c r="J58" s="147"/>
      <c r="V58" s="147"/>
      <c r="W58" s="87"/>
      <c r="X58" s="149"/>
    </row>
    <row r="59" spans="1:24" s="51" customFormat="1" ht="11" x14ac:dyDescent="0.15">
      <c r="A59" s="52"/>
      <c r="C59" s="133" t="s">
        <v>116</v>
      </c>
      <c r="F59" s="146"/>
      <c r="J59" s="147"/>
      <c r="N59" s="87"/>
      <c r="V59" s="147"/>
      <c r="W59" s="87"/>
      <c r="X59" s="149"/>
    </row>
    <row r="60" spans="1:24" s="51" customFormat="1" ht="11" x14ac:dyDescent="0.15">
      <c r="A60" s="52"/>
      <c r="C60" s="181"/>
      <c r="D60" s="84"/>
      <c r="E60" s="182"/>
      <c r="F60" s="146"/>
      <c r="G60" s="178"/>
      <c r="H60" s="176"/>
      <c r="I60" s="183"/>
      <c r="J60" s="84"/>
      <c r="V60" s="84"/>
    </row>
    <row r="61" spans="1:24" s="51" customFormat="1" ht="11.25" customHeight="1" x14ac:dyDescent="0.15">
      <c r="A61" s="52"/>
      <c r="C61" s="51" t="s">
        <v>116</v>
      </c>
      <c r="D61" s="84"/>
      <c r="E61" s="167">
        <f>DATA!D58</f>
        <v>0</v>
      </c>
      <c r="F61" s="146" t="s">
        <v>234</v>
      </c>
      <c r="G61" s="178"/>
      <c r="H61" s="179"/>
      <c r="I61" s="183"/>
      <c r="J61" s="84"/>
      <c r="V61" s="84"/>
    </row>
    <row r="62" spans="1:24" s="51" customFormat="1" ht="11.25" customHeight="1" x14ac:dyDescent="0.15">
      <c r="A62" s="52"/>
      <c r="C62" s="184"/>
      <c r="F62" s="146"/>
      <c r="I62" s="155"/>
      <c r="J62" s="84"/>
      <c r="V62" s="84"/>
    </row>
    <row r="63" spans="1:24" s="139" customFormat="1" ht="11.25" customHeight="1" x14ac:dyDescent="0.15">
      <c r="A63" s="52"/>
      <c r="B63" s="50" t="s">
        <v>118</v>
      </c>
      <c r="C63" s="51" t="s">
        <v>119</v>
      </c>
      <c r="D63" s="84"/>
      <c r="E63" s="185">
        <f>DATA!D59*Leadsheet!E66*Leadsheet!E67</f>
        <v>1.5308238380785065E-2</v>
      </c>
      <c r="F63" s="146" t="s">
        <v>237</v>
      </c>
      <c r="G63" s="186"/>
      <c r="H63" s="179"/>
      <c r="I63" s="183"/>
      <c r="J63" s="163"/>
      <c r="V63" s="163"/>
    </row>
    <row r="64" spans="1:24" s="51" customFormat="1" ht="11.25" customHeight="1" x14ac:dyDescent="0.15">
      <c r="A64" s="52" t="s">
        <v>238</v>
      </c>
      <c r="B64" s="50"/>
      <c r="C64" s="51" t="s">
        <v>121</v>
      </c>
      <c r="D64" s="84"/>
      <c r="E64" s="185"/>
      <c r="F64" s="146" t="s">
        <v>239</v>
      </c>
      <c r="G64" s="186"/>
      <c r="I64" s="183"/>
      <c r="J64" s="84"/>
      <c r="V64" s="84"/>
    </row>
    <row r="65" spans="1:33" s="51" customFormat="1" ht="11.25" customHeight="1" x14ac:dyDescent="0.15">
      <c r="A65" s="52"/>
      <c r="C65" s="51" t="s">
        <v>123</v>
      </c>
      <c r="D65" s="84"/>
      <c r="E65" s="185">
        <f>DATA!D63</f>
        <v>2.4072858169646612E-3</v>
      </c>
      <c r="F65" s="146" t="s">
        <v>239</v>
      </c>
      <c r="G65" s="179"/>
      <c r="H65" s="179"/>
      <c r="I65" s="155"/>
      <c r="V65" s="84"/>
    </row>
    <row r="66" spans="1:33" s="51" customFormat="1" ht="11.25" customHeight="1" x14ac:dyDescent="0.15">
      <c r="A66" s="52" t="s">
        <v>240</v>
      </c>
      <c r="C66" s="51" t="s">
        <v>125</v>
      </c>
      <c r="D66" s="84"/>
      <c r="E66" s="187">
        <f>DATA!E6</f>
        <v>0.41899999999999998</v>
      </c>
      <c r="F66" s="146" t="s">
        <v>241</v>
      </c>
      <c r="G66" s="188"/>
      <c r="H66" s="179"/>
      <c r="I66" s="183"/>
      <c r="J66" s="84"/>
      <c r="V66" s="84"/>
    </row>
    <row r="67" spans="1:33" s="51" customFormat="1" ht="11.25" customHeight="1" x14ac:dyDescent="0.15">
      <c r="A67" s="52" t="s">
        <v>242</v>
      </c>
      <c r="C67" s="51" t="s">
        <v>128</v>
      </c>
      <c r="D67" s="84"/>
      <c r="E67" s="187">
        <f>DATA!E7</f>
        <v>0.95599999999999996</v>
      </c>
      <c r="F67" s="146" t="s">
        <v>243</v>
      </c>
      <c r="G67" s="189"/>
      <c r="H67" s="179"/>
      <c r="I67" s="155"/>
      <c r="J67" s="84"/>
      <c r="V67" s="84"/>
    </row>
    <row r="68" spans="1:33" s="51" customFormat="1" ht="11.25" customHeight="1" x14ac:dyDescent="0.15">
      <c r="A68" s="52" t="s">
        <v>244</v>
      </c>
      <c r="F68" s="146"/>
      <c r="H68" s="188"/>
      <c r="I68" s="84"/>
      <c r="J68" s="84"/>
      <c r="V68" s="84"/>
      <c r="W68" s="190"/>
      <c r="X68" s="191"/>
      <c r="Y68" s="191"/>
      <c r="Z68" s="191"/>
      <c r="AA68" s="191"/>
      <c r="AB68" s="191"/>
      <c r="AC68" s="191"/>
      <c r="AD68" s="191"/>
      <c r="AE68" s="191"/>
      <c r="AF68" s="191"/>
      <c r="AG68" s="191"/>
    </row>
    <row r="69" spans="1:33" s="51" customFormat="1" ht="11" x14ac:dyDescent="0.15">
      <c r="A69" s="52" t="s">
        <v>245</v>
      </c>
      <c r="F69" s="146"/>
      <c r="H69" s="188"/>
      <c r="I69" s="84"/>
      <c r="V69" s="84"/>
      <c r="W69" s="191"/>
      <c r="X69" s="117"/>
      <c r="Y69" s="117"/>
      <c r="Z69" s="117"/>
      <c r="AA69" s="117"/>
      <c r="AB69" s="117"/>
      <c r="AC69" s="117"/>
      <c r="AD69" s="117"/>
      <c r="AE69" s="117"/>
      <c r="AF69" s="117"/>
      <c r="AG69" s="116"/>
    </row>
    <row r="70" spans="1:33" s="51" customFormat="1" ht="11" x14ac:dyDescent="0.15">
      <c r="A70" s="52"/>
      <c r="D70" s="84"/>
      <c r="E70" s="192"/>
      <c r="F70" s="146"/>
      <c r="H70" s="179"/>
      <c r="J70" s="84"/>
      <c r="K70" s="50"/>
      <c r="L70" s="50"/>
      <c r="M70" s="50"/>
      <c r="N70" s="193"/>
      <c r="O70" s="193"/>
      <c r="P70" s="193"/>
      <c r="Q70" s="193"/>
      <c r="R70" s="193"/>
      <c r="S70" s="193"/>
      <c r="T70" s="194"/>
      <c r="U70" s="195"/>
      <c r="V70" s="84"/>
      <c r="W70" s="191"/>
      <c r="X70" s="117"/>
      <c r="Y70" s="117"/>
      <c r="Z70" s="117"/>
      <c r="AA70" s="117"/>
      <c r="AB70" s="117"/>
      <c r="AC70" s="117"/>
      <c r="AD70" s="117"/>
      <c r="AE70" s="117"/>
      <c r="AF70" s="117"/>
      <c r="AG70" s="116"/>
    </row>
    <row r="71" spans="1:33" s="51" customFormat="1" ht="11" x14ac:dyDescent="0.15">
      <c r="A71" s="84"/>
      <c r="B71" s="50" t="s">
        <v>131</v>
      </c>
      <c r="C71" s="51" t="s">
        <v>132</v>
      </c>
      <c r="D71" s="84"/>
      <c r="E71" s="196">
        <f>DATA!D60</f>
        <v>8.0000000000000002E-3</v>
      </c>
      <c r="F71" s="146" t="s">
        <v>246</v>
      </c>
      <c r="G71" s="186"/>
      <c r="H71" s="179"/>
      <c r="I71" s="84"/>
      <c r="J71" s="84"/>
      <c r="K71" s="50"/>
      <c r="L71" s="50"/>
      <c r="M71" s="50"/>
      <c r="N71" s="193"/>
      <c r="O71" s="193"/>
      <c r="P71" s="193"/>
      <c r="Q71" s="193"/>
      <c r="R71" s="193"/>
      <c r="S71" s="193"/>
      <c r="T71" s="194"/>
      <c r="U71" s="195"/>
      <c r="V71" s="84"/>
      <c r="W71" s="191"/>
      <c r="X71" s="117"/>
      <c r="Y71" s="117"/>
      <c r="Z71" s="117"/>
      <c r="AA71" s="117"/>
      <c r="AB71" s="117"/>
      <c r="AC71" s="117"/>
      <c r="AD71" s="117"/>
      <c r="AE71" s="117"/>
      <c r="AF71" s="117"/>
      <c r="AG71" s="116"/>
    </row>
    <row r="72" spans="1:33" s="51" customFormat="1" ht="11" x14ac:dyDescent="0.15">
      <c r="A72" s="84"/>
      <c r="C72" s="181" t="s">
        <v>247</v>
      </c>
      <c r="D72" s="84"/>
      <c r="E72" s="197"/>
      <c r="F72" s="146" t="s">
        <v>246</v>
      </c>
      <c r="G72" s="186"/>
      <c r="H72" s="179"/>
      <c r="I72" s="84"/>
      <c r="J72" s="84"/>
      <c r="K72" s="50"/>
      <c r="L72" s="50"/>
      <c r="M72" s="50"/>
      <c r="N72" s="193"/>
      <c r="O72" s="193"/>
      <c r="P72" s="193"/>
      <c r="Q72" s="193"/>
      <c r="R72" s="193"/>
      <c r="S72" s="193"/>
      <c r="T72" s="194"/>
      <c r="U72" s="195"/>
      <c r="V72" s="84"/>
      <c r="W72" s="191"/>
      <c r="X72" s="117"/>
      <c r="Y72" s="117"/>
      <c r="Z72" s="117"/>
      <c r="AA72" s="117"/>
      <c r="AB72" s="117"/>
      <c r="AC72" s="117"/>
      <c r="AD72" s="117"/>
      <c r="AE72" s="117"/>
      <c r="AF72" s="117"/>
      <c r="AG72" s="116"/>
    </row>
    <row r="73" spans="1:33" s="51" customFormat="1" ht="11" x14ac:dyDescent="0.15">
      <c r="A73" s="84"/>
      <c r="C73" s="181" t="s">
        <v>248</v>
      </c>
      <c r="D73" s="84"/>
      <c r="E73" s="198"/>
      <c r="F73" s="146" t="s">
        <v>249</v>
      </c>
      <c r="G73" s="186"/>
      <c r="H73" s="179"/>
      <c r="I73" s="84"/>
      <c r="J73" s="84"/>
      <c r="K73" s="50"/>
      <c r="L73" s="50"/>
      <c r="M73" s="50"/>
      <c r="N73" s="193"/>
      <c r="O73" s="193"/>
      <c r="P73" s="193"/>
      <c r="Q73" s="193"/>
      <c r="R73" s="193"/>
      <c r="S73" s="193"/>
      <c r="T73" s="194"/>
      <c r="U73" s="195"/>
      <c r="V73" s="84"/>
      <c r="W73" s="191"/>
      <c r="X73" s="117"/>
      <c r="Y73" s="117"/>
      <c r="Z73" s="117"/>
      <c r="AA73" s="117"/>
      <c r="AB73" s="117"/>
      <c r="AC73" s="117"/>
      <c r="AD73" s="117"/>
      <c r="AE73" s="117"/>
      <c r="AF73" s="117"/>
      <c r="AG73" s="116"/>
    </row>
    <row r="74" spans="1:33" s="51" customFormat="1" ht="11" x14ac:dyDescent="0.15">
      <c r="A74" s="84"/>
      <c r="C74" s="181" t="s">
        <v>250</v>
      </c>
      <c r="D74" s="84"/>
      <c r="E74" s="198"/>
      <c r="F74" s="146" t="s">
        <v>249</v>
      </c>
      <c r="G74" s="186"/>
      <c r="H74" s="179"/>
      <c r="I74" s="84"/>
      <c r="J74" s="84"/>
      <c r="K74" s="50"/>
      <c r="L74" s="50"/>
      <c r="M74" s="50"/>
      <c r="N74" s="193"/>
      <c r="O74" s="193"/>
      <c r="P74" s="193"/>
      <c r="Q74" s="193"/>
      <c r="R74" s="199"/>
      <c r="S74" s="193"/>
      <c r="T74" s="194"/>
      <c r="U74" s="140"/>
      <c r="V74" s="84"/>
      <c r="W74" s="191"/>
      <c r="X74" s="117"/>
      <c r="Y74" s="117"/>
      <c r="Z74" s="117"/>
      <c r="AA74" s="117"/>
      <c r="AB74" s="117"/>
      <c r="AC74" s="117"/>
      <c r="AD74" s="117"/>
      <c r="AE74" s="117"/>
      <c r="AF74" s="117"/>
      <c r="AG74" s="116"/>
    </row>
    <row r="75" spans="1:33" s="51" customFormat="1" ht="11" x14ac:dyDescent="0.15">
      <c r="A75" s="52"/>
      <c r="C75" s="181" t="s">
        <v>251</v>
      </c>
      <c r="D75" s="84"/>
      <c r="E75" s="198"/>
      <c r="F75" s="146" t="s">
        <v>249</v>
      </c>
      <c r="G75" s="186"/>
      <c r="H75" s="179"/>
      <c r="I75" s="84"/>
      <c r="J75" s="84"/>
      <c r="K75" s="50"/>
      <c r="L75" s="50"/>
      <c r="M75" s="50"/>
      <c r="N75" s="193"/>
      <c r="O75" s="193"/>
      <c r="P75" s="193"/>
      <c r="Q75" s="193"/>
      <c r="R75" s="199"/>
      <c r="S75" s="193"/>
      <c r="T75" s="194"/>
      <c r="U75" s="140"/>
      <c r="V75" s="84"/>
      <c r="W75" s="191"/>
      <c r="X75" s="117"/>
      <c r="Y75" s="117"/>
      <c r="Z75" s="117"/>
      <c r="AA75" s="117"/>
      <c r="AB75" s="117"/>
      <c r="AC75" s="117"/>
      <c r="AD75" s="117"/>
      <c r="AE75" s="117"/>
      <c r="AF75" s="117"/>
      <c r="AG75" s="116"/>
    </row>
    <row r="76" spans="1:33" s="51" customFormat="1" ht="11" x14ac:dyDescent="0.15">
      <c r="A76" s="52"/>
      <c r="F76" s="146"/>
      <c r="I76" s="84"/>
      <c r="J76" s="84"/>
      <c r="K76" s="50"/>
      <c r="L76" s="50"/>
      <c r="M76" s="50"/>
      <c r="N76" s="193"/>
      <c r="O76" s="193"/>
      <c r="P76" s="193"/>
      <c r="Q76" s="193"/>
      <c r="R76" s="199"/>
      <c r="S76" s="193"/>
      <c r="T76" s="194"/>
      <c r="U76" s="140"/>
      <c r="V76" s="84"/>
    </row>
    <row r="77" spans="1:33" s="51" customFormat="1" ht="11" x14ac:dyDescent="0.15">
      <c r="A77" s="52"/>
      <c r="B77" s="50" t="s">
        <v>134</v>
      </c>
      <c r="F77" s="146"/>
      <c r="I77" s="84"/>
      <c r="J77" s="84"/>
      <c r="K77" s="50"/>
      <c r="L77" s="50"/>
      <c r="M77" s="50"/>
      <c r="N77" s="193"/>
      <c r="O77" s="193"/>
      <c r="P77" s="193"/>
      <c r="Q77" s="193"/>
      <c r="R77" s="199"/>
      <c r="S77" s="193"/>
      <c r="T77" s="194"/>
      <c r="U77" s="140"/>
      <c r="V77" s="84"/>
    </row>
    <row r="78" spans="1:33" s="51" customFormat="1" ht="11" x14ac:dyDescent="0.15">
      <c r="A78" s="52"/>
      <c r="C78" s="51" t="s">
        <v>135</v>
      </c>
      <c r="E78" s="200">
        <f>DATA!D61</f>
        <v>4.0220860307812621E-4</v>
      </c>
      <c r="F78" s="146" t="s">
        <v>246</v>
      </c>
      <c r="I78" s="84"/>
      <c r="J78" s="84"/>
      <c r="U78" s="140"/>
      <c r="V78" s="84"/>
      <c r="W78" s="190"/>
      <c r="X78" s="201"/>
      <c r="Y78" s="201"/>
      <c r="Z78" s="201"/>
      <c r="AA78" s="201"/>
      <c r="AB78" s="201"/>
      <c r="AC78" s="201"/>
      <c r="AD78" s="201"/>
      <c r="AE78" s="201"/>
      <c r="AF78" s="201"/>
    </row>
    <row r="79" spans="1:33" s="51" customFormat="1" ht="11" x14ac:dyDescent="0.15">
      <c r="A79" s="52" t="s">
        <v>252</v>
      </c>
      <c r="F79" s="146"/>
      <c r="I79" s="84"/>
      <c r="J79" s="84"/>
      <c r="U79" s="140"/>
      <c r="V79" s="84"/>
      <c r="W79" s="201"/>
      <c r="X79" s="117"/>
      <c r="Y79" s="117"/>
      <c r="Z79" s="117"/>
      <c r="AA79" s="117"/>
      <c r="AB79" s="117"/>
      <c r="AC79" s="117"/>
      <c r="AD79" s="117"/>
      <c r="AE79" s="117"/>
      <c r="AF79" s="117"/>
    </row>
    <row r="80" spans="1:33" s="51" customFormat="1" ht="11" x14ac:dyDescent="0.15">
      <c r="A80" s="52" t="s">
        <v>253</v>
      </c>
      <c r="F80" s="146"/>
      <c r="L80" s="186"/>
      <c r="U80" s="140"/>
      <c r="V80" s="84"/>
      <c r="W80" s="201"/>
      <c r="X80" s="117"/>
      <c r="Y80" s="117"/>
      <c r="Z80" s="117"/>
      <c r="AA80" s="117"/>
      <c r="AB80" s="117"/>
      <c r="AC80" s="117"/>
      <c r="AD80" s="117"/>
      <c r="AE80" s="117"/>
      <c r="AF80" s="117"/>
    </row>
    <row r="81" spans="1:32" s="51" customFormat="1" ht="11" x14ac:dyDescent="0.15">
      <c r="A81" s="52" t="s">
        <v>254</v>
      </c>
      <c r="B81" s="50" t="s">
        <v>137</v>
      </c>
      <c r="C81" s="51" t="s">
        <v>139</v>
      </c>
      <c r="D81" s="84"/>
      <c r="E81" s="200">
        <v>9.077282642806923E-3</v>
      </c>
      <c r="F81" s="146" t="s">
        <v>246</v>
      </c>
      <c r="L81" s="186"/>
      <c r="U81" s="140"/>
      <c r="V81" s="84"/>
      <c r="W81" s="201"/>
      <c r="X81" s="117"/>
      <c r="Y81" s="117"/>
      <c r="Z81" s="117"/>
      <c r="AA81" s="117"/>
      <c r="AB81" s="117"/>
      <c r="AC81" s="117"/>
      <c r="AD81" s="117"/>
      <c r="AE81" s="117"/>
      <c r="AF81" s="117"/>
    </row>
    <row r="82" spans="1:32" s="51" customFormat="1" ht="11" x14ac:dyDescent="0.15">
      <c r="A82" s="52" t="s">
        <v>125</v>
      </c>
      <c r="B82" s="50"/>
      <c r="C82" s="51" t="s">
        <v>141</v>
      </c>
      <c r="E82" s="200">
        <v>2.4318660235886368E-2</v>
      </c>
      <c r="F82" s="146" t="s">
        <v>246</v>
      </c>
      <c r="G82" s="186"/>
      <c r="I82" s="84"/>
      <c r="J82" s="84"/>
      <c r="U82" s="140"/>
      <c r="V82" s="84"/>
      <c r="W82" s="201"/>
      <c r="X82" s="117"/>
      <c r="Y82" s="117"/>
      <c r="Z82" s="117"/>
      <c r="AA82" s="117"/>
      <c r="AB82" s="117"/>
      <c r="AC82" s="117"/>
      <c r="AD82" s="117"/>
      <c r="AE82" s="117"/>
      <c r="AF82" s="117"/>
    </row>
    <row r="83" spans="1:32" s="51" customFormat="1" ht="11" x14ac:dyDescent="0.15">
      <c r="A83" s="52"/>
      <c r="B83" s="50"/>
      <c r="C83" s="51" t="s">
        <v>143</v>
      </c>
      <c r="D83" s="84"/>
      <c r="E83" s="200">
        <v>1.1666441173288321E-2</v>
      </c>
      <c r="F83" s="146" t="s">
        <v>246</v>
      </c>
      <c r="G83" s="186"/>
      <c r="I83" s="84"/>
      <c r="J83" s="84"/>
      <c r="U83" s="88"/>
      <c r="V83" s="84"/>
      <c r="W83" s="201"/>
      <c r="X83" s="117"/>
      <c r="Y83" s="117"/>
      <c r="Z83" s="117"/>
      <c r="AA83" s="117"/>
      <c r="AB83" s="117"/>
      <c r="AC83" s="117"/>
      <c r="AD83" s="117"/>
      <c r="AE83" s="117"/>
      <c r="AF83" s="117"/>
    </row>
    <row r="84" spans="1:32" s="51" customFormat="1" ht="11" x14ac:dyDescent="0.15">
      <c r="A84" s="52"/>
      <c r="B84" s="50"/>
      <c r="C84" s="51" t="s">
        <v>145</v>
      </c>
      <c r="D84" s="84"/>
      <c r="E84" s="200">
        <v>1.1729348343550017E-2</v>
      </c>
      <c r="F84" s="146" t="s">
        <v>246</v>
      </c>
      <c r="G84" s="186"/>
      <c r="I84" s="84"/>
      <c r="J84" s="84"/>
      <c r="U84" s="88"/>
      <c r="V84" s="84"/>
      <c r="W84" s="201"/>
      <c r="X84" s="117"/>
      <c r="Y84" s="117"/>
      <c r="Z84" s="117"/>
      <c r="AA84" s="117"/>
      <c r="AB84" s="117"/>
      <c r="AC84" s="117"/>
      <c r="AD84" s="117"/>
      <c r="AE84" s="117"/>
      <c r="AF84" s="117"/>
    </row>
    <row r="85" spans="1:32" s="51" customFormat="1" ht="11" x14ac:dyDescent="0.15">
      <c r="A85" s="52"/>
      <c r="B85" s="50"/>
      <c r="I85" s="84"/>
      <c r="J85" s="84"/>
      <c r="U85" s="88"/>
      <c r="V85" s="84"/>
      <c r="W85" s="201"/>
      <c r="X85" s="117"/>
      <c r="Y85" s="117"/>
      <c r="Z85" s="117"/>
      <c r="AA85" s="117"/>
      <c r="AB85" s="117"/>
      <c r="AC85" s="117"/>
      <c r="AD85" s="117"/>
      <c r="AE85" s="117"/>
      <c r="AF85" s="117"/>
    </row>
    <row r="86" spans="1:32" s="51" customFormat="1" ht="11" x14ac:dyDescent="0.15">
      <c r="A86" s="52" t="s">
        <v>255</v>
      </c>
      <c r="I86" s="84"/>
      <c r="J86" s="84"/>
      <c r="U86" s="88"/>
      <c r="V86" s="84"/>
    </row>
    <row r="87" spans="1:32" s="51" customFormat="1" x14ac:dyDescent="0.15">
      <c r="A87" s="52"/>
      <c r="D87" s="84"/>
      <c r="J87" s="75"/>
      <c r="K87" s="68"/>
      <c r="L87" s="68"/>
      <c r="M87" s="68"/>
      <c r="N87" s="68"/>
      <c r="O87" s="68"/>
      <c r="P87" s="68"/>
      <c r="Q87" s="68"/>
      <c r="R87" s="68"/>
      <c r="S87" s="68"/>
      <c r="T87" s="91"/>
      <c r="U87" s="88"/>
      <c r="V87" s="84"/>
    </row>
    <row r="88" spans="1:32" s="51" customFormat="1" ht="14" thickBot="1" x14ac:dyDescent="0.2">
      <c r="A88" s="52"/>
      <c r="B88" s="45" t="s">
        <v>147</v>
      </c>
      <c r="C88" s="46"/>
      <c r="D88" s="44"/>
      <c r="E88" s="46"/>
      <c r="F88" s="46"/>
      <c r="G88" s="46"/>
      <c r="H88" s="46"/>
      <c r="I88" s="75"/>
      <c r="J88" s="155"/>
      <c r="L88" s="50"/>
      <c r="N88" s="50"/>
      <c r="P88" s="50"/>
      <c r="Q88" s="50"/>
      <c r="R88" s="50"/>
      <c r="S88" s="50"/>
      <c r="U88" s="88"/>
      <c r="V88" s="84"/>
    </row>
    <row r="89" spans="1:32" s="51" customFormat="1" ht="13" thickTop="1" x14ac:dyDescent="0.15">
      <c r="A89" s="52"/>
      <c r="B89" s="91"/>
      <c r="C89" s="91"/>
      <c r="D89" s="75"/>
      <c r="E89" s="91"/>
      <c r="F89" s="68"/>
      <c r="G89" s="91"/>
      <c r="H89" s="68"/>
    </row>
    <row r="90" spans="1:32" s="51" customFormat="1" ht="11" x14ac:dyDescent="0.15">
      <c r="A90" s="63"/>
      <c r="B90" s="202" t="s">
        <v>256</v>
      </c>
      <c r="C90" s="50"/>
      <c r="D90" s="203" t="s">
        <v>148</v>
      </c>
      <c r="E90" s="203" t="s">
        <v>150</v>
      </c>
      <c r="F90" s="203" t="s">
        <v>152</v>
      </c>
      <c r="G90" s="88"/>
      <c r="H90" s="204"/>
    </row>
    <row r="91" spans="1:32" s="51" customFormat="1" ht="11" x14ac:dyDescent="0.15">
      <c r="A91" s="52"/>
      <c r="B91" s="205"/>
      <c r="C91" s="50" t="s">
        <v>257</v>
      </c>
      <c r="D91" s="206">
        <f>DATA!D76</f>
        <v>3.5000000000000003E-2</v>
      </c>
      <c r="E91" s="207">
        <f>PRODUCT(D91:$D$104)</f>
        <v>2.3515808038387116E-2</v>
      </c>
      <c r="F91" s="208">
        <f>E91*(1-$E$110)*(1-$E$111)*(1-$E$112)*(1-$E$113)</f>
        <v>2.1911561495272989E-2</v>
      </c>
      <c r="G91" s="65"/>
      <c r="H91" s="209"/>
    </row>
    <row r="92" spans="1:32" s="51" customFormat="1" ht="11" x14ac:dyDescent="0.15">
      <c r="A92" s="52"/>
      <c r="B92" s="205"/>
      <c r="C92" s="50" t="s">
        <v>258</v>
      </c>
      <c r="D92" s="206">
        <f>DATA!D77</f>
        <v>0.71</v>
      </c>
      <c r="E92" s="207">
        <f>PRODUCT(D92:$D$104)</f>
        <v>0.67188022966820315</v>
      </c>
      <c r="F92" s="208">
        <f t="shared" ref="F92:F98" si="18">E92*(1-$E$110)*(1-$E$111)*(1-$E$112)*(1-$E$113)</f>
        <v>0.62604461415065671</v>
      </c>
      <c r="G92" s="65"/>
      <c r="H92" s="209"/>
    </row>
    <row r="93" spans="1:32" s="51" customFormat="1" ht="11" x14ac:dyDescent="0.15">
      <c r="A93" s="52"/>
      <c r="B93" s="205"/>
      <c r="C93" s="50" t="s">
        <v>259</v>
      </c>
      <c r="D93" s="206">
        <f>DATA!D78</f>
        <v>0.94649947306088966</v>
      </c>
      <c r="E93" s="207">
        <f>PRODUCT(D93:$D$104)</f>
        <v>0.9463101826312722</v>
      </c>
      <c r="F93" s="208">
        <f t="shared" si="18"/>
        <v>0.88175297767698146</v>
      </c>
      <c r="G93" s="65"/>
      <c r="H93" s="209"/>
    </row>
    <row r="94" spans="1:32" s="51" customFormat="1" ht="11" x14ac:dyDescent="0.15">
      <c r="A94" s="52"/>
      <c r="B94" s="205"/>
      <c r="C94" s="50" t="s">
        <v>260</v>
      </c>
      <c r="D94" s="206">
        <f>DATA!D79</f>
        <v>0.99990000000000001</v>
      </c>
      <c r="E94" s="207">
        <f>PRODUCT(D94:$D$104)</f>
        <v>0.99980001000000007</v>
      </c>
      <c r="F94" s="208">
        <f t="shared" si="18"/>
        <v>0.93159373330180084</v>
      </c>
      <c r="G94" s="65"/>
      <c r="H94" s="209"/>
    </row>
    <row r="95" spans="1:32" s="51" customFormat="1" ht="11" x14ac:dyDescent="0.15">
      <c r="A95" s="52"/>
      <c r="B95" s="205"/>
      <c r="C95" s="50" t="s">
        <v>261</v>
      </c>
      <c r="D95" s="206">
        <f>DATA!D80</f>
        <v>0.99990000000000001</v>
      </c>
      <c r="E95" s="207">
        <f>PRODUCT(D95:$D$104)</f>
        <v>0.99990000000000001</v>
      </c>
      <c r="F95" s="208">
        <f t="shared" si="18"/>
        <v>0.93168690199199988</v>
      </c>
      <c r="G95" s="65"/>
      <c r="H95" s="209"/>
    </row>
    <row r="96" spans="1:32" s="51" customFormat="1" ht="11" x14ac:dyDescent="0.15">
      <c r="A96" s="52"/>
      <c r="B96" s="205"/>
      <c r="C96" s="50" t="s">
        <v>262</v>
      </c>
      <c r="D96" s="206">
        <f>DATA!D81</f>
        <v>1</v>
      </c>
      <c r="E96" s="207">
        <f>PRODUCT(D96:$D$104)</f>
        <v>1</v>
      </c>
      <c r="F96" s="208">
        <f t="shared" si="18"/>
        <v>0.9317800799999999</v>
      </c>
      <c r="G96" s="65"/>
      <c r="H96" s="209"/>
    </row>
    <row r="97" spans="1:22" s="51" customFormat="1" ht="11" x14ac:dyDescent="0.15">
      <c r="A97" s="52"/>
      <c r="B97" s="205"/>
      <c r="C97" s="50" t="s">
        <v>263</v>
      </c>
      <c r="D97" s="206">
        <f>DATA!D82</f>
        <v>1</v>
      </c>
      <c r="E97" s="207">
        <f>PRODUCT(D97:$D$104)</f>
        <v>1</v>
      </c>
      <c r="F97" s="208">
        <f t="shared" si="18"/>
        <v>0.9317800799999999</v>
      </c>
      <c r="G97" s="65"/>
      <c r="H97" s="209"/>
    </row>
    <row r="98" spans="1:22" s="51" customFormat="1" ht="11" x14ac:dyDescent="0.15">
      <c r="A98" s="52"/>
      <c r="B98" s="205"/>
      <c r="C98" s="50" t="s">
        <v>264</v>
      </c>
      <c r="D98" s="206">
        <f>DATA!D83</f>
        <v>1</v>
      </c>
      <c r="E98" s="207">
        <f>PRODUCT(D98:$D$104)</f>
        <v>1</v>
      </c>
      <c r="F98" s="208">
        <f t="shared" si="18"/>
        <v>0.9317800799999999</v>
      </c>
      <c r="G98" s="65"/>
      <c r="H98" s="209"/>
    </row>
    <row r="99" spans="1:22" s="51" customFormat="1" ht="11" x14ac:dyDescent="0.15">
      <c r="A99" s="52"/>
      <c r="B99" s="205"/>
      <c r="C99" s="50" t="s">
        <v>265</v>
      </c>
      <c r="D99" s="206">
        <v>1</v>
      </c>
      <c r="E99" s="207">
        <f>PRODUCT(D99:$D$104)</f>
        <v>1</v>
      </c>
      <c r="F99" s="208">
        <f>E99*(1-$E$111)*(1-$E$112)*(1-$E$113)</f>
        <v>0.95079599999999986</v>
      </c>
      <c r="G99" s="65"/>
      <c r="H99" s="209"/>
    </row>
    <row r="100" spans="1:22" s="51" customFormat="1" ht="11" x14ac:dyDescent="0.15">
      <c r="A100" s="52"/>
      <c r="B100" s="205"/>
      <c r="C100" s="50" t="s">
        <v>266</v>
      </c>
      <c r="D100" s="206">
        <v>1</v>
      </c>
      <c r="E100" s="207">
        <f>PRODUCT(D100:$D$104)</f>
        <v>1</v>
      </c>
      <c r="F100" s="208">
        <f>E100*(1-$E$111)*(1-$E$112)*(1-$E$113)</f>
        <v>0.95079599999999986</v>
      </c>
      <c r="G100" s="65"/>
      <c r="H100" s="209"/>
    </row>
    <row r="101" spans="1:22" s="51" customFormat="1" ht="11" x14ac:dyDescent="0.15">
      <c r="A101" s="52"/>
      <c r="B101" s="205"/>
      <c r="C101" s="50" t="s">
        <v>267</v>
      </c>
      <c r="D101" s="206">
        <v>1</v>
      </c>
      <c r="E101" s="207">
        <f>PRODUCT(D101:$D$104)</f>
        <v>1</v>
      </c>
      <c r="F101" s="208">
        <f>E101*(1-$E$111)*(1-$E$112)*(1-$E$113)</f>
        <v>0.95079599999999986</v>
      </c>
      <c r="G101" s="65"/>
      <c r="H101" s="209"/>
    </row>
    <row r="102" spans="1:22" s="51" customFormat="1" ht="11" x14ac:dyDescent="0.15">
      <c r="A102" s="52"/>
      <c r="B102" s="205"/>
      <c r="C102" s="50" t="s">
        <v>268</v>
      </c>
      <c r="D102" s="206">
        <v>1</v>
      </c>
      <c r="E102" s="207">
        <f>PRODUCT(D102:$D$104)</f>
        <v>1</v>
      </c>
      <c r="F102" s="208">
        <f>E102*(1-$E$111)*(1-$E$112)*(1-$E$113)</f>
        <v>0.95079599999999986</v>
      </c>
      <c r="G102" s="65"/>
      <c r="H102" s="209"/>
    </row>
    <row r="103" spans="1:22" s="51" customFormat="1" ht="11" x14ac:dyDescent="0.15">
      <c r="A103" s="52"/>
      <c r="B103" s="205"/>
      <c r="C103" s="50" t="s">
        <v>269</v>
      </c>
      <c r="D103" s="206">
        <v>1</v>
      </c>
      <c r="E103" s="207">
        <f>PRODUCT(D103:$D$104)</f>
        <v>1</v>
      </c>
      <c r="F103" s="208">
        <f>E103*(1-$E$111)*(1-$E$112)*(1-$E$113)</f>
        <v>0.95079599999999986</v>
      </c>
      <c r="G103" s="65"/>
      <c r="H103" s="209"/>
    </row>
    <row r="104" spans="1:22" s="51" customFormat="1" ht="11" x14ac:dyDescent="0.15">
      <c r="A104" s="52"/>
      <c r="B104" s="205"/>
      <c r="C104" s="210" t="s">
        <v>270</v>
      </c>
      <c r="D104" s="207"/>
      <c r="E104" s="207"/>
      <c r="F104" s="208">
        <f>(1-$E$111)*(1-$E$112)*(1-$E$113)</f>
        <v>0.95079599999999986</v>
      </c>
      <c r="G104" s="65"/>
      <c r="H104" s="84"/>
      <c r="I104" s="84"/>
      <c r="J104" s="84"/>
      <c r="U104" s="65"/>
      <c r="V104" s="84"/>
    </row>
    <row r="105" spans="1:22" s="51" customFormat="1" ht="11" x14ac:dyDescent="0.15">
      <c r="A105" s="52"/>
      <c r="C105" s="210" t="s">
        <v>271</v>
      </c>
      <c r="D105" s="207"/>
      <c r="E105" s="207"/>
      <c r="F105" s="208">
        <f>(1-$E$112)*(1-$E$113)</f>
        <v>0.97019999999999995</v>
      </c>
      <c r="I105" s="84"/>
      <c r="J105" s="84"/>
      <c r="U105" s="65"/>
      <c r="V105" s="84"/>
    </row>
    <row r="106" spans="1:22" s="51" customFormat="1" ht="11" x14ac:dyDescent="0.15">
      <c r="A106" s="52" t="s">
        <v>272</v>
      </c>
      <c r="C106" s="210" t="s">
        <v>273</v>
      </c>
      <c r="D106" s="207"/>
      <c r="E106" s="207"/>
      <c r="F106" s="208">
        <f>(1-$E$113)</f>
        <v>0.99</v>
      </c>
      <c r="I106" s="84"/>
      <c r="J106" s="84"/>
      <c r="U106" s="88"/>
      <c r="V106" s="84"/>
    </row>
    <row r="107" spans="1:22" s="51" customFormat="1" ht="11" x14ac:dyDescent="0.15">
      <c r="A107" s="52" t="s">
        <v>274</v>
      </c>
      <c r="C107" s="51" t="s">
        <v>275</v>
      </c>
      <c r="D107" s="211">
        <f>N39/E10</f>
        <v>-0.10837594023284473</v>
      </c>
      <c r="I107" s="84"/>
      <c r="J107" s="84"/>
      <c r="U107" s="88"/>
      <c r="V107" s="84"/>
    </row>
    <row r="108" spans="1:22" s="51" customFormat="1" ht="11" x14ac:dyDescent="0.15">
      <c r="A108" s="52" t="s">
        <v>276</v>
      </c>
      <c r="C108" s="51" t="s">
        <v>277</v>
      </c>
      <c r="D108" s="212">
        <f>T39</f>
        <v>-0.25331617813549556</v>
      </c>
      <c r="I108" s="84"/>
      <c r="J108" s="84"/>
      <c r="U108" s="88"/>
      <c r="V108" s="84"/>
    </row>
    <row r="109" spans="1:22" s="51" customFormat="1" x14ac:dyDescent="0.15">
      <c r="A109" s="52"/>
      <c r="H109" s="68"/>
      <c r="I109" s="84"/>
      <c r="J109" s="84"/>
      <c r="U109" s="140"/>
      <c r="V109" s="84"/>
    </row>
    <row r="110" spans="1:22" s="51" customFormat="1" ht="11" x14ac:dyDescent="0.15">
      <c r="A110" s="52"/>
      <c r="B110" s="50" t="s">
        <v>154</v>
      </c>
      <c r="C110" s="51" t="s">
        <v>278</v>
      </c>
      <c r="E110" s="213">
        <v>0.02</v>
      </c>
      <c r="I110" s="84"/>
      <c r="J110" s="84"/>
      <c r="U110" s="88"/>
      <c r="V110" s="84"/>
    </row>
    <row r="111" spans="1:22" s="51" customFormat="1" x14ac:dyDescent="0.15">
      <c r="A111" s="52"/>
      <c r="B111" s="50"/>
      <c r="C111" s="51" t="s">
        <v>270</v>
      </c>
      <c r="D111" s="52" t="s">
        <v>272</v>
      </c>
      <c r="E111" s="213">
        <v>0.02</v>
      </c>
      <c r="G111" s="214"/>
      <c r="H111" s="68"/>
      <c r="I111" s="84"/>
      <c r="J111" s="84"/>
      <c r="U111" s="140"/>
      <c r="V111" s="84"/>
    </row>
    <row r="112" spans="1:22" s="51" customFormat="1" ht="11" x14ac:dyDescent="0.15">
      <c r="A112" s="215"/>
      <c r="C112" s="51" t="s">
        <v>279</v>
      </c>
      <c r="D112" s="52" t="s">
        <v>274</v>
      </c>
      <c r="E112" s="213">
        <v>0.02</v>
      </c>
      <c r="G112" s="214"/>
      <c r="I112" s="84"/>
      <c r="J112" s="84"/>
      <c r="U112" s="140"/>
      <c r="V112" s="84"/>
    </row>
    <row r="113" spans="2:21" x14ac:dyDescent="0.15">
      <c r="B113" s="51"/>
      <c r="C113" s="51" t="s">
        <v>273</v>
      </c>
      <c r="D113" s="52" t="s">
        <v>276</v>
      </c>
      <c r="E113" s="213">
        <v>0.01</v>
      </c>
      <c r="F113" s="51"/>
      <c r="G113" s="214"/>
      <c r="H113" s="51"/>
      <c r="U113" s="216"/>
    </row>
    <row r="114" spans="2:21" x14ac:dyDescent="0.15">
      <c r="D114" s="217"/>
      <c r="G114" s="51"/>
      <c r="U114" s="216"/>
    </row>
    <row r="115" spans="2:21" x14ac:dyDescent="0.15">
      <c r="B115" s="50" t="s">
        <v>156</v>
      </c>
      <c r="C115" s="51" t="s">
        <v>157</v>
      </c>
      <c r="E115" s="200">
        <v>0</v>
      </c>
      <c r="F115" s="146" t="s">
        <v>280</v>
      </c>
      <c r="U115" s="216"/>
    </row>
    <row r="116" spans="2:21" x14ac:dyDescent="0.15">
      <c r="U116" s="216"/>
    </row>
    <row r="117" spans="2:21" x14ac:dyDescent="0.15">
      <c r="B117" s="50" t="s">
        <v>281</v>
      </c>
      <c r="C117" s="51"/>
      <c r="D117" s="84"/>
      <c r="E117" s="110">
        <f>1-D92</f>
        <v>0.29000000000000004</v>
      </c>
      <c r="U117" s="216"/>
    </row>
    <row r="118" spans="2:21" collapsed="1" x14ac:dyDescent="0.15"/>
  </sheetData>
  <dataConsolidate/>
  <conditionalFormatting sqref="E26:F31">
    <cfRule type="cellIs" dxfId="2" priority="2" operator="equal">
      <formula>0</formula>
    </cfRule>
  </conditionalFormatting>
  <conditionalFormatting sqref="G26:G29">
    <cfRule type="cellIs" dxfId="1" priority="1" operator="equal">
      <formula>0</formula>
    </cfRule>
  </conditionalFormatting>
  <hyperlinks>
    <hyperlink ref="L4" location="NOTE!B3" display="Disclaimer" xr:uid="{0195DF17-947D-6842-9C6A-FCDB67A970B1}"/>
    <hyperlink ref="L5" location="NOTE!B19" display="Instruction" xr:uid="{2F20E459-92D0-DB46-B65E-F05FB2112800}"/>
    <hyperlink ref="L6" location="NOTE!B33" display="Legend" xr:uid="{E3FA9731-EE6A-3F48-8D0A-96712BA0E985}"/>
  </hyperlinks>
  <pageMargins left="0.7" right="0.7" top="0.75" bottom="0.75" header="0.3" footer="0.3"/>
  <pageSetup scale="50" fitToHeight="0" orientation="landscape" r:id="rId1"/>
  <extLst>
    <ext xmlns:x14="http://schemas.microsoft.com/office/spreadsheetml/2009/9/main" uri="{CCE6A557-97BC-4b89-ADB6-D9C93CAAB3DF}">
      <x14:dataValidations xmlns:xm="http://schemas.microsoft.com/office/excel/2006/main" count="2">
        <x14:dataValidation type="list" allowBlank="1" showInputMessage="1" showErrorMessage="1" xr:uid="{4E9895E8-B6F5-CD49-9098-E1BBBB94188B}">
          <x14:formula1>
            <xm:f>NOTE!$B$129:$B$130</xm:f>
          </x14:formula1>
          <xm:sqref>G5</xm:sqref>
        </x14:dataValidation>
        <x14:dataValidation type="list" allowBlank="1" showInputMessage="1" showErrorMessage="1" xr:uid="{CCD157CC-9156-F043-A1F7-5B51EBD43A1C}">
          <x14:formula1>
            <xm:f>NOTE!$E$129:$E$130</xm:f>
          </x14:formula1>
          <xm:sqref>G4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739406-A130-9548-8384-76FA1C4F2FE7}">
  <dimension ref="B1:O116"/>
  <sheetViews>
    <sheetView topLeftCell="A19" zoomScale="87" workbookViewId="0">
      <selection activeCell="G124" sqref="G124"/>
    </sheetView>
  </sheetViews>
  <sheetFormatPr baseColWidth="10" defaultColWidth="8.83203125" defaultRowHeight="15" x14ac:dyDescent="0.2"/>
  <cols>
    <col min="1" max="1" width="8.83203125" style="218"/>
    <col min="2" max="3" width="37.5" style="218" bestFit="1" customWidth="1"/>
    <col min="4" max="4" width="18.1640625" style="218" bestFit="1" customWidth="1"/>
    <col min="5" max="6" width="19.1640625" style="218" bestFit="1" customWidth="1"/>
    <col min="7" max="7" width="18.1640625" style="218" bestFit="1" customWidth="1"/>
    <col min="8" max="8" width="19.1640625" style="218" bestFit="1" customWidth="1"/>
    <col min="9" max="11" width="20.1640625" style="218" bestFit="1" customWidth="1"/>
    <col min="12" max="13" width="20" style="218" bestFit="1" customWidth="1"/>
    <col min="14" max="15" width="21.6640625" style="218" bestFit="1" customWidth="1"/>
    <col min="16" max="31" width="12.33203125" style="218" bestFit="1" customWidth="1"/>
    <col min="32" max="32" width="10.5" style="218" bestFit="1" customWidth="1"/>
    <col min="33" max="16384" width="8.83203125" style="218"/>
  </cols>
  <sheetData>
    <row r="1" spans="2:5" x14ac:dyDescent="0.2">
      <c r="B1" s="218" t="s">
        <v>282</v>
      </c>
    </row>
    <row r="2" spans="2:5" x14ac:dyDescent="0.2">
      <c r="B2" s="218">
        <v>20260119</v>
      </c>
    </row>
    <row r="4" spans="2:5" x14ac:dyDescent="0.2">
      <c r="B4" s="219">
        <v>1</v>
      </c>
      <c r="C4" s="219" t="s">
        <v>283</v>
      </c>
    </row>
    <row r="6" spans="2:5" x14ac:dyDescent="0.2">
      <c r="C6" s="220" t="s">
        <v>284</v>
      </c>
      <c r="E6" s="221">
        <v>0.41899999999999998</v>
      </c>
    </row>
    <row r="7" spans="2:5" x14ac:dyDescent="0.2">
      <c r="C7" s="220" t="s">
        <v>285</v>
      </c>
      <c r="E7" s="221">
        <v>0.95599999999999996</v>
      </c>
    </row>
    <row r="16" spans="2:5" x14ac:dyDescent="0.2">
      <c r="B16" s="219">
        <v>2</v>
      </c>
      <c r="C16" s="219" t="s">
        <v>286</v>
      </c>
    </row>
    <row r="18" spans="3:13" x14ac:dyDescent="0.2">
      <c r="C18" s="222" t="s">
        <v>287</v>
      </c>
      <c r="D18" s="222" t="s">
        <v>288</v>
      </c>
      <c r="E18" s="222" t="s">
        <v>289</v>
      </c>
      <c r="F18" s="222" t="s">
        <v>290</v>
      </c>
      <c r="G18" s="223" t="s">
        <v>291</v>
      </c>
      <c r="H18" s="223" t="s">
        <v>292</v>
      </c>
      <c r="I18" s="223" t="s">
        <v>293</v>
      </c>
      <c r="J18" s="223" t="s">
        <v>294</v>
      </c>
      <c r="K18" s="222" t="s">
        <v>295</v>
      </c>
    </row>
    <row r="19" spans="3:13" x14ac:dyDescent="0.2">
      <c r="C19" s="224">
        <v>45992</v>
      </c>
      <c r="D19" s="225">
        <v>8703</v>
      </c>
      <c r="E19" s="225">
        <v>117580890000</v>
      </c>
      <c r="F19" s="226"/>
      <c r="G19" s="225">
        <v>13510386.073767601</v>
      </c>
      <c r="H19" s="225">
        <v>12.3133402275077</v>
      </c>
      <c r="I19" s="227">
        <v>0.51713202344018705</v>
      </c>
      <c r="J19" s="225">
        <v>5006890000</v>
      </c>
      <c r="K19" s="228">
        <v>0.65735953119613899</v>
      </c>
      <c r="L19" s="229">
        <f>E19-J19</f>
        <v>112574000000</v>
      </c>
    </row>
    <row r="20" spans="3:13" ht="16" x14ac:dyDescent="0.2">
      <c r="C20" s="224">
        <v>45962</v>
      </c>
      <c r="D20" s="225">
        <v>7904</v>
      </c>
      <c r="E20" s="225">
        <v>98531400000</v>
      </c>
      <c r="F20" s="230"/>
      <c r="G20" s="225">
        <v>12466017.2064777</v>
      </c>
      <c r="H20" s="225">
        <v>10.6352479757085</v>
      </c>
      <c r="I20" s="231">
        <v>0.516276568825906</v>
      </c>
      <c r="J20" s="225">
        <v>4411400000</v>
      </c>
      <c r="K20" s="231">
        <v>0.67446862348178105</v>
      </c>
      <c r="L20" s="232">
        <f>E20-J20</f>
        <v>94120000000</v>
      </c>
    </row>
    <row r="21" spans="3:13" ht="16" x14ac:dyDescent="0.2">
      <c r="C21" s="233">
        <v>45931</v>
      </c>
      <c r="D21" s="230">
        <v>9572</v>
      </c>
      <c r="E21" s="230">
        <v>126424860000</v>
      </c>
      <c r="F21" s="230"/>
      <c r="G21" s="230">
        <v>13207778.938570799</v>
      </c>
      <c r="H21" s="230">
        <v>10.9367948182198</v>
      </c>
      <c r="I21" s="234">
        <v>0.51788027580445195</v>
      </c>
      <c r="J21" s="230">
        <v>5382860000</v>
      </c>
      <c r="K21" s="234">
        <v>0.64239448391140797</v>
      </c>
      <c r="L21" s="232">
        <f>E21-J21</f>
        <v>121042000000</v>
      </c>
    </row>
    <row r="22" spans="3:13" ht="16" x14ac:dyDescent="0.2">
      <c r="C22" s="235"/>
      <c r="D22" s="236"/>
      <c r="E22" s="236"/>
      <c r="F22" s="236"/>
      <c r="G22" s="236"/>
      <c r="H22" s="236"/>
      <c r="I22" s="237"/>
      <c r="J22" s="236"/>
      <c r="K22" s="238"/>
      <c r="L22" s="239"/>
    </row>
    <row r="23" spans="3:13" ht="16" x14ac:dyDescent="0.2">
      <c r="C23" s="235"/>
      <c r="D23" s="236"/>
      <c r="E23" s="236"/>
      <c r="F23" s="236"/>
      <c r="G23" s="236"/>
      <c r="H23" s="236"/>
      <c r="I23" s="237"/>
      <c r="J23" s="236"/>
      <c r="K23" s="238"/>
      <c r="L23" s="239"/>
    </row>
    <row r="24" spans="3:13" ht="16" x14ac:dyDescent="0.2">
      <c r="C24" s="220" t="s">
        <v>296</v>
      </c>
      <c r="G24" s="240">
        <f>SUM(E19:E21)/SUM(D19:D21)/10^6</f>
        <v>13.084424538752435</v>
      </c>
      <c r="H24" s="220">
        <f>ROUND(SUMPRODUCT(H19:H21,$E$19:$E$21)/SUM($E$19:$E$21),0)</f>
        <v>11</v>
      </c>
      <c r="I24" s="241">
        <f>SUMPRODUCT(I19:I21,E19:E21)/SUM(E19:E21)</f>
        <v>0.51716211816017665</v>
      </c>
      <c r="J24" s="241">
        <f>SUM(J19:J21)/SUMPRODUCT(K19:K21,L19:L21)</f>
        <v>6.8766022570765542E-2</v>
      </c>
      <c r="K24" s="241">
        <f>SUMPRODUCT(K19:K21,E19:E21)/SUM(E19:E21)</f>
        <v>0.65675763679656218</v>
      </c>
    </row>
    <row r="27" spans="3:13" x14ac:dyDescent="0.2">
      <c r="D27" s="218">
        <v>10</v>
      </c>
      <c r="E27" s="218">
        <f>D27+1</f>
        <v>11</v>
      </c>
      <c r="F27" s="218">
        <f>E27+1</f>
        <v>12</v>
      </c>
    </row>
    <row r="28" spans="3:13" ht="16" x14ac:dyDescent="0.2">
      <c r="C28" s="218" t="s">
        <v>297</v>
      </c>
      <c r="D28" s="232">
        <v>354053782593</v>
      </c>
      <c r="E28" s="242">
        <v>405762171754</v>
      </c>
      <c r="F28" s="242">
        <v>466276829515</v>
      </c>
    </row>
    <row r="29" spans="3:13" ht="16" x14ac:dyDescent="0.2">
      <c r="D29" s="232"/>
      <c r="E29" s="239"/>
      <c r="F29" s="239"/>
    </row>
    <row r="30" spans="3:13" ht="16" x14ac:dyDescent="0.2">
      <c r="D30" s="218" t="s">
        <v>298</v>
      </c>
      <c r="F30" s="232"/>
      <c r="G30" s="232"/>
      <c r="H30" s="232"/>
      <c r="I30" s="232"/>
      <c r="J30" s="232"/>
      <c r="K30" s="232"/>
      <c r="L30" s="232"/>
      <c r="M30" s="232"/>
    </row>
    <row r="31" spans="3:13" ht="16" x14ac:dyDescent="0.2">
      <c r="C31" s="218" t="s">
        <v>60</v>
      </c>
      <c r="D31" s="243">
        <f>SUM(D34:F34)/SUM(D33:F33)*365</f>
        <v>0.51333593972805536</v>
      </c>
      <c r="E31" s="244">
        <f>SUM(D34:F34)/SUM(D33:F33)*365</f>
        <v>0.51333593972805536</v>
      </c>
      <c r="F31" s="232"/>
      <c r="G31" s="232"/>
      <c r="H31" s="232"/>
      <c r="I31" s="232"/>
      <c r="J31" s="232"/>
      <c r="K31" s="232"/>
      <c r="L31" s="232"/>
      <c r="M31" s="245"/>
    </row>
    <row r="32" spans="3:13" x14ac:dyDescent="0.2">
      <c r="D32" s="218">
        <v>10</v>
      </c>
      <c r="E32" s="218">
        <f>D32+1</f>
        <v>11</v>
      </c>
      <c r="F32" s="218">
        <f>E32+1</f>
        <v>12</v>
      </c>
    </row>
    <row r="33" spans="2:13" ht="16" x14ac:dyDescent="0.2">
      <c r="C33" s="218" t="s">
        <v>299</v>
      </c>
      <c r="D33" s="232">
        <v>9367002833462</v>
      </c>
      <c r="E33" s="246">
        <v>10887564809460</v>
      </c>
      <c r="F33" s="246">
        <v>12708495299445</v>
      </c>
    </row>
    <row r="34" spans="2:13" ht="16" x14ac:dyDescent="0.2">
      <c r="C34" s="218" t="s">
        <v>300</v>
      </c>
      <c r="D34" s="232">
        <v>13208499796</v>
      </c>
      <c r="E34" s="246">
        <v>15354281497</v>
      </c>
      <c r="F34" s="246">
        <v>17796464986</v>
      </c>
    </row>
    <row r="36" spans="2:13" ht="16" x14ac:dyDescent="0.2">
      <c r="C36" s="218" t="s">
        <v>62</v>
      </c>
      <c r="D36" s="244">
        <v>7.0999999999999994E-2</v>
      </c>
    </row>
    <row r="37" spans="2:13" x14ac:dyDescent="0.2">
      <c r="C37" s="247" t="s">
        <v>301</v>
      </c>
      <c r="D37" s="247" t="s">
        <v>302</v>
      </c>
      <c r="E37" s="247" t="s">
        <v>303</v>
      </c>
      <c r="F37" s="247" t="s">
        <v>304</v>
      </c>
    </row>
    <row r="38" spans="2:13" x14ac:dyDescent="0.2">
      <c r="C38" s="219" t="s">
        <v>305</v>
      </c>
      <c r="D38" s="248" t="s">
        <v>306</v>
      </c>
      <c r="E38" s="242">
        <v>9763076225416</v>
      </c>
      <c r="F38" s="242">
        <v>1974237869.0630043</v>
      </c>
    </row>
    <row r="39" spans="2:13" x14ac:dyDescent="0.2">
      <c r="C39" s="219"/>
      <c r="D39" s="248" t="s">
        <v>307</v>
      </c>
      <c r="E39" s="242">
        <v>11472669980254</v>
      </c>
      <c r="F39" s="242">
        <v>2349447809.5908995</v>
      </c>
    </row>
    <row r="40" spans="2:13" x14ac:dyDescent="0.2">
      <c r="C40" s="219"/>
      <c r="D40" s="248" t="s">
        <v>308</v>
      </c>
      <c r="E40" s="242">
        <v>12211136278388</v>
      </c>
      <c r="F40" s="242">
        <v>2539643629.2888923</v>
      </c>
    </row>
    <row r="41" spans="2:13" x14ac:dyDescent="0.2">
      <c r="C41" s="249" t="s">
        <v>309</v>
      </c>
      <c r="D41" s="249"/>
      <c r="E41" s="250"/>
      <c r="F41" s="250"/>
    </row>
    <row r="44" spans="2:13" x14ac:dyDescent="0.2">
      <c r="M44" s="239"/>
    </row>
    <row r="45" spans="2:13" x14ac:dyDescent="0.2">
      <c r="B45" s="219">
        <v>3</v>
      </c>
      <c r="C45" s="219" t="s">
        <v>310</v>
      </c>
    </row>
    <row r="46" spans="2:13" x14ac:dyDescent="0.2">
      <c r="D46" s="218">
        <v>10</v>
      </c>
      <c r="E46" s="218">
        <f>D46+1</f>
        <v>11</v>
      </c>
      <c r="F46" s="218">
        <f>E46+1</f>
        <v>12</v>
      </c>
    </row>
    <row r="47" spans="2:13" ht="16" x14ac:dyDescent="0.2">
      <c r="C47" s="218" t="s">
        <v>311</v>
      </c>
      <c r="D47" s="251">
        <v>9572</v>
      </c>
      <c r="E47" s="246">
        <v>7904</v>
      </c>
      <c r="F47" s="246">
        <v>8703</v>
      </c>
    </row>
    <row r="48" spans="2:13" ht="16" x14ac:dyDescent="0.2">
      <c r="C48" s="218" t="s">
        <v>312</v>
      </c>
      <c r="D48" s="232">
        <v>29191</v>
      </c>
      <c r="E48" s="246">
        <v>33995</v>
      </c>
      <c r="F48" s="246">
        <v>37606</v>
      </c>
    </row>
    <row r="49" spans="3:6" x14ac:dyDescent="0.2">
      <c r="E49" s="252"/>
      <c r="F49" s="252"/>
    </row>
    <row r="50" spans="3:6" x14ac:dyDescent="0.2">
      <c r="C50" s="218" t="s">
        <v>313</v>
      </c>
      <c r="E50" s="252"/>
      <c r="F50" s="252"/>
    </row>
    <row r="51" spans="3:6" ht="16" x14ac:dyDescent="0.2">
      <c r="C51" s="218" t="s">
        <v>314</v>
      </c>
      <c r="D51" s="232">
        <v>379469736.20583493</v>
      </c>
      <c r="E51" s="246">
        <v>288242224.32741982</v>
      </c>
      <c r="F51" s="246">
        <v>332763300.77473176</v>
      </c>
    </row>
    <row r="52" spans="3:6" ht="16" x14ac:dyDescent="0.2">
      <c r="C52" s="218" t="s">
        <v>315</v>
      </c>
      <c r="D52" s="232">
        <v>64966260.277753942</v>
      </c>
      <c r="E52" s="246">
        <v>124235679.10524158</v>
      </c>
      <c r="F52" s="246">
        <v>122997819.47882952</v>
      </c>
    </row>
    <row r="53" spans="3:6" ht="16" x14ac:dyDescent="0.2">
      <c r="C53" s="218" t="s">
        <v>316</v>
      </c>
      <c r="D53" s="232">
        <v>12058035.853897331</v>
      </c>
      <c r="E53" s="246">
        <v>14315384.399635356</v>
      </c>
      <c r="F53" s="246">
        <v>14165989.267917812</v>
      </c>
    </row>
    <row r="54" spans="3:6" x14ac:dyDescent="0.2">
      <c r="C54" s="218" t="s">
        <v>317</v>
      </c>
      <c r="D54" s="229">
        <v>3272810000</v>
      </c>
      <c r="E54" s="246">
        <v>2692980000</v>
      </c>
      <c r="F54" s="246">
        <v>3053200000</v>
      </c>
    </row>
    <row r="55" spans="3:6" ht="16" x14ac:dyDescent="0.2">
      <c r="C55" s="218" t="s">
        <v>318</v>
      </c>
      <c r="D55" s="253">
        <v>8000595</v>
      </c>
      <c r="E55" s="246">
        <v>6650414</v>
      </c>
      <c r="F55" s="246">
        <v>7705665</v>
      </c>
    </row>
    <row r="56" spans="3:6" ht="16" x14ac:dyDescent="0.2">
      <c r="C56" s="218" t="s">
        <v>319</v>
      </c>
      <c r="D56" s="253">
        <v>14772643.695297124</v>
      </c>
      <c r="E56" s="246">
        <v>11025972.169167804</v>
      </c>
      <c r="F56" s="246">
        <v>14865045.537852945</v>
      </c>
    </row>
    <row r="58" spans="3:6" ht="16" x14ac:dyDescent="0.2">
      <c r="C58" s="218" t="s">
        <v>313</v>
      </c>
      <c r="D58" s="254"/>
    </row>
    <row r="59" spans="3:6" ht="16" x14ac:dyDescent="0.2">
      <c r="C59" s="218" t="s">
        <v>314</v>
      </c>
      <c r="D59" s="254">
        <f>SUM(D51:F51)/SUM(D47:F47)/10^6</f>
        <v>3.8216710390312325E-2</v>
      </c>
    </row>
    <row r="60" spans="3:6" ht="16" x14ac:dyDescent="0.2">
      <c r="C60" s="218" t="s">
        <v>315</v>
      </c>
      <c r="D60" s="255">
        <f>8000/10^6</f>
        <v>8.0000000000000002E-3</v>
      </c>
      <c r="E60" s="218" t="s">
        <v>320</v>
      </c>
    </row>
    <row r="61" spans="3:6" x14ac:dyDescent="0.2">
      <c r="C61" s="218" t="s">
        <v>316</v>
      </c>
      <c r="D61" s="220">
        <f>SUM(D53:F53)/SUM(D48:F48)/10^6</f>
        <v>4.0220860307812621E-4</v>
      </c>
    </row>
    <row r="62" spans="3:6" x14ac:dyDescent="0.2">
      <c r="C62" s="218" t="s">
        <v>317</v>
      </c>
      <c r="D62" s="220">
        <f>SUM(D54:F54)/SUM(E19:E21)</f>
        <v>2.6329961582269253E-2</v>
      </c>
    </row>
    <row r="63" spans="3:6" x14ac:dyDescent="0.2">
      <c r="C63" s="218" t="s">
        <v>123</v>
      </c>
      <c r="D63" s="220">
        <f>SUM(D55:F56)/SUM(D47:F47)/10^6</f>
        <v>2.4072858169646612E-3</v>
      </c>
    </row>
    <row r="65" spans="2:8" x14ac:dyDescent="0.2">
      <c r="B65" s="219">
        <v>4</v>
      </c>
      <c r="C65" s="219" t="s">
        <v>321</v>
      </c>
    </row>
    <row r="67" spans="2:8" ht="16" x14ac:dyDescent="0.2">
      <c r="C67" s="218" t="s">
        <v>139</v>
      </c>
      <c r="D67" s="256">
        <v>8.0701705594107605E-3</v>
      </c>
    </row>
    <row r="68" spans="2:8" ht="16" x14ac:dyDescent="0.2">
      <c r="C68" s="218" t="s">
        <v>141</v>
      </c>
      <c r="D68" s="256">
        <v>1.6933316056155723E-2</v>
      </c>
    </row>
    <row r="69" spans="2:8" ht="16" x14ac:dyDescent="0.2">
      <c r="C69" s="218" t="s">
        <v>322</v>
      </c>
      <c r="D69" s="256">
        <v>6.1217502216659933E-3</v>
      </c>
    </row>
    <row r="70" spans="2:8" ht="16" x14ac:dyDescent="0.2">
      <c r="C70" s="218" t="s">
        <v>323</v>
      </c>
      <c r="D70" s="256">
        <v>8.9101168816839802E-3</v>
      </c>
    </row>
    <row r="74" spans="2:8" x14ac:dyDescent="0.2">
      <c r="B74" s="219">
        <v>5</v>
      </c>
      <c r="C74" s="219" t="s">
        <v>324</v>
      </c>
    </row>
    <row r="75" spans="2:8" ht="16" x14ac:dyDescent="0.2">
      <c r="B75" s="219"/>
      <c r="C75" s="219"/>
      <c r="D75" s="257" t="s">
        <v>298</v>
      </c>
      <c r="E75" s="218" t="s">
        <v>325</v>
      </c>
      <c r="F75" s="247">
        <v>202510</v>
      </c>
      <c r="G75" s="258">
        <v>11</v>
      </c>
      <c r="H75" s="258">
        <v>12</v>
      </c>
    </row>
    <row r="76" spans="2:8" ht="16" x14ac:dyDescent="0.2">
      <c r="C76" s="259" t="s">
        <v>326</v>
      </c>
      <c r="D76" s="257">
        <v>3.5000000000000003E-2</v>
      </c>
      <c r="E76" s="260">
        <f>AVERAGE(F76:H76)</f>
        <v>3.5981625067844851E-2</v>
      </c>
      <c r="F76" s="244">
        <f t="shared" ref="F76:H80" si="0">L88/K87</f>
        <v>3.2796839552560408E-2</v>
      </c>
      <c r="G76" s="261">
        <f t="shared" si="0"/>
        <v>3.8034077053016049E-2</v>
      </c>
      <c r="H76" s="261">
        <f t="shared" si="0"/>
        <v>3.7113958597958095E-2</v>
      </c>
    </row>
    <row r="77" spans="2:8" ht="16" x14ac:dyDescent="0.2">
      <c r="C77" s="259" t="s">
        <v>327</v>
      </c>
      <c r="D77" s="257">
        <v>0.71</v>
      </c>
      <c r="E77" s="260">
        <f t="shared" ref="E77:E82" si="1">AVERAGE(F77:H77)</f>
        <v>0.71583295177205242</v>
      </c>
      <c r="F77" s="244">
        <f t="shared" si="0"/>
        <v>0.72260177127119041</v>
      </c>
      <c r="G77" s="261">
        <f t="shared" si="0"/>
        <v>0.70003702885001162</v>
      </c>
      <c r="H77" s="261">
        <f t="shared" si="0"/>
        <v>0.72486005519495511</v>
      </c>
    </row>
    <row r="78" spans="2:8" ht="16" x14ac:dyDescent="0.2">
      <c r="C78" s="259" t="s">
        <v>328</v>
      </c>
      <c r="D78" s="257">
        <f>E78</f>
        <v>0.94649947306088966</v>
      </c>
      <c r="E78" s="260">
        <f t="shared" si="1"/>
        <v>0.94649947306088966</v>
      </c>
      <c r="F78" s="244">
        <f t="shared" si="0"/>
        <v>0.90818745251233879</v>
      </c>
      <c r="G78" s="261">
        <f t="shared" si="0"/>
        <v>0.95266952508890423</v>
      </c>
      <c r="H78" s="261">
        <f t="shared" si="0"/>
        <v>0.97864144158142574</v>
      </c>
    </row>
    <row r="79" spans="2:8" ht="16" x14ac:dyDescent="0.2">
      <c r="C79" s="259" t="s">
        <v>329</v>
      </c>
      <c r="D79" s="257">
        <v>0.99990000000000001</v>
      </c>
      <c r="E79" s="260">
        <f t="shared" si="1"/>
        <v>1.0116604649842766</v>
      </c>
      <c r="F79" s="244">
        <f t="shared" si="0"/>
        <v>1.0682244604174362</v>
      </c>
      <c r="G79" s="261">
        <f t="shared" si="0"/>
        <v>0.96675693453539335</v>
      </c>
      <c r="H79" s="261">
        <v>1</v>
      </c>
    </row>
    <row r="80" spans="2:8" ht="16" x14ac:dyDescent="0.2">
      <c r="C80" s="259" t="s">
        <v>330</v>
      </c>
      <c r="D80" s="257">
        <f>D79</f>
        <v>0.99990000000000001</v>
      </c>
      <c r="E80" s="260">
        <f t="shared" si="1"/>
        <v>1.022801772257895</v>
      </c>
      <c r="F80" s="244">
        <f t="shared" si="0"/>
        <v>1.0741620790654072</v>
      </c>
      <c r="G80" s="261">
        <f t="shared" si="0"/>
        <v>0.9956834482953778</v>
      </c>
      <c r="H80" s="261">
        <f t="shared" si="0"/>
        <v>0.9985597894128998</v>
      </c>
    </row>
    <row r="81" spans="3:14" ht="16" x14ac:dyDescent="0.2">
      <c r="C81" s="259" t="s">
        <v>331</v>
      </c>
      <c r="D81" s="257">
        <f>1</f>
        <v>1</v>
      </c>
      <c r="E81" s="260">
        <f t="shared" si="1"/>
        <v>0.98827360115544638</v>
      </c>
      <c r="G81" s="261">
        <f>M93/L92</f>
        <v>0.99805857867314285</v>
      </c>
      <c r="H81" s="261">
        <f>N93/M92</f>
        <v>0.97848862363774991</v>
      </c>
    </row>
    <row r="82" spans="3:14" ht="16" x14ac:dyDescent="0.2">
      <c r="C82" s="259" t="s">
        <v>332</v>
      </c>
      <c r="D82" s="257">
        <v>1</v>
      </c>
      <c r="E82" s="260">
        <f t="shared" si="1"/>
        <v>1</v>
      </c>
      <c r="G82" s="248"/>
      <c r="H82" s="261">
        <v>1</v>
      </c>
    </row>
    <row r="83" spans="3:14" ht="16" x14ac:dyDescent="0.2">
      <c r="C83" s="259" t="s">
        <v>333</v>
      </c>
      <c r="D83" s="257">
        <v>1</v>
      </c>
    </row>
    <row r="87" spans="3:14" ht="16" x14ac:dyDescent="0.2">
      <c r="C87" s="259" t="s">
        <v>326</v>
      </c>
      <c r="D87" s="232"/>
      <c r="E87" s="232">
        <v>9630000</v>
      </c>
      <c r="F87" s="232">
        <v>8294394</v>
      </c>
      <c r="G87" s="232">
        <v>28358115388</v>
      </c>
      <c r="H87" s="232">
        <v>69480875106</v>
      </c>
      <c r="I87" s="232">
        <v>144317132226</v>
      </c>
      <c r="J87" s="232">
        <v>203122629388</v>
      </c>
      <c r="K87" s="232">
        <v>252065074464</v>
      </c>
      <c r="L87" s="232">
        <v>334833537179</v>
      </c>
      <c r="M87" s="242">
        <v>376679628612</v>
      </c>
      <c r="N87" s="242">
        <v>428398475082</v>
      </c>
    </row>
    <row r="88" spans="3:14" ht="16" x14ac:dyDescent="0.2">
      <c r="C88" s="259" t="s">
        <v>327</v>
      </c>
      <c r="D88" s="232"/>
      <c r="E88" s="232"/>
      <c r="F88" s="232"/>
      <c r="G88" s="232"/>
      <c r="H88" s="232">
        <v>1249099314</v>
      </c>
      <c r="I88" s="232">
        <v>2262297913</v>
      </c>
      <c r="J88" s="232">
        <v>4759822395</v>
      </c>
      <c r="K88" s="232">
        <v>7295815497</v>
      </c>
      <c r="L88" s="232">
        <v>8266937804</v>
      </c>
      <c r="M88" s="242">
        <v>12735084553</v>
      </c>
      <c r="N88" s="242">
        <v>13980072141</v>
      </c>
    </row>
    <row r="89" spans="3:14" ht="16" x14ac:dyDescent="0.2">
      <c r="C89" s="259" t="s">
        <v>328</v>
      </c>
      <c r="D89" s="232"/>
      <c r="E89" s="232"/>
      <c r="F89" s="232"/>
      <c r="G89" s="232"/>
      <c r="H89" s="232"/>
      <c r="I89" s="232">
        <v>753631097</v>
      </c>
      <c r="J89" s="232">
        <v>1728253388</v>
      </c>
      <c r="K89" s="232">
        <v>3422841764</v>
      </c>
      <c r="L89" s="232">
        <v>5271969201</v>
      </c>
      <c r="M89" s="242">
        <v>5787162578</v>
      </c>
      <c r="N89" s="242">
        <v>9231154092</v>
      </c>
    </row>
    <row r="90" spans="3:14" ht="16" x14ac:dyDescent="0.2">
      <c r="C90" s="259" t="s">
        <v>329</v>
      </c>
      <c r="D90" s="232"/>
      <c r="E90" s="232"/>
      <c r="F90" s="232"/>
      <c r="G90" s="232"/>
      <c r="H90" s="232"/>
      <c r="I90" s="232"/>
      <c r="J90" s="232">
        <v>778788469</v>
      </c>
      <c r="K90" s="232">
        <v>1636938736</v>
      </c>
      <c r="L90" s="232">
        <v>3108581942</v>
      </c>
      <c r="M90" s="242">
        <v>5022444395</v>
      </c>
      <c r="N90" s="242">
        <v>5663557128</v>
      </c>
    </row>
    <row r="91" spans="3:14" ht="16" x14ac:dyDescent="0.2">
      <c r="C91" s="259" t="s">
        <v>330</v>
      </c>
      <c r="D91" s="232"/>
      <c r="E91" s="232"/>
      <c r="F91" s="232"/>
      <c r="G91" s="232"/>
      <c r="H91" s="232"/>
      <c r="I91" s="232"/>
      <c r="J91" s="232"/>
      <c r="K91" s="232">
        <v>767238469</v>
      </c>
      <c r="L91" s="232">
        <v>1748617998</v>
      </c>
      <c r="M91" s="242">
        <v>3005243149</v>
      </c>
      <c r="N91" s="242">
        <v>5146640453</v>
      </c>
    </row>
    <row r="92" spans="3:14" ht="16" x14ac:dyDescent="0.2">
      <c r="C92" s="259" t="s">
        <v>331</v>
      </c>
      <c r="D92" s="232"/>
      <c r="E92" s="232"/>
      <c r="F92" s="232"/>
      <c r="G92" s="232"/>
      <c r="H92" s="232"/>
      <c r="I92" s="232"/>
      <c r="J92" s="232"/>
      <c r="K92" s="232"/>
      <c r="L92" s="232">
        <v>824138469</v>
      </c>
      <c r="M92" s="242">
        <v>1741069998</v>
      </c>
      <c r="N92" s="242">
        <v>3000914966</v>
      </c>
    </row>
    <row r="93" spans="3:14" ht="16" x14ac:dyDescent="0.2">
      <c r="C93" s="259" t="s">
        <v>334</v>
      </c>
      <c r="D93" s="232"/>
      <c r="E93" s="232"/>
      <c r="F93" s="232"/>
      <c r="G93" s="232"/>
      <c r="H93" s="232"/>
      <c r="I93" s="232"/>
      <c r="J93" s="232"/>
      <c r="K93" s="232"/>
      <c r="L93" s="232"/>
      <c r="M93" s="242">
        <v>822538469</v>
      </c>
      <c r="N93" s="242">
        <v>1703617186</v>
      </c>
    </row>
    <row r="94" spans="3:14" ht="16" x14ac:dyDescent="0.2">
      <c r="C94" s="259" t="s">
        <v>335</v>
      </c>
      <c r="D94" s="232"/>
      <c r="E94" s="232"/>
      <c r="F94" s="232"/>
      <c r="G94" s="232"/>
      <c r="H94" s="232"/>
      <c r="I94" s="232"/>
      <c r="J94" s="232"/>
      <c r="K94" s="232"/>
      <c r="L94" s="232"/>
      <c r="M94" s="242"/>
      <c r="N94" s="242">
        <v>853726469</v>
      </c>
    </row>
    <row r="95" spans="3:14" ht="16" x14ac:dyDescent="0.2">
      <c r="D95" s="232"/>
      <c r="E95" s="232"/>
      <c r="F95" s="232"/>
      <c r="G95" s="232"/>
      <c r="H95" s="232"/>
      <c r="I95" s="232"/>
      <c r="J95" s="232"/>
      <c r="K95" s="232"/>
      <c r="L95" s="232"/>
    </row>
    <row r="96" spans="3:14" ht="16" x14ac:dyDescent="0.2">
      <c r="D96" s="232"/>
      <c r="E96" s="232"/>
      <c r="F96" s="232"/>
      <c r="G96" s="232"/>
      <c r="H96" s="232"/>
      <c r="I96" s="232"/>
      <c r="J96" s="232"/>
      <c r="K96" s="232"/>
      <c r="L96" s="232"/>
    </row>
    <row r="99" spans="2:12" x14ac:dyDescent="0.2">
      <c r="C99" s="218" t="s">
        <v>336</v>
      </c>
      <c r="D99" s="218" t="s">
        <v>337</v>
      </c>
    </row>
    <row r="100" spans="2:12" x14ac:dyDescent="0.2">
      <c r="C100" s="218" t="s">
        <v>338</v>
      </c>
      <c r="D100" s="218">
        <v>202503</v>
      </c>
      <c r="E100" s="218">
        <v>202504</v>
      </c>
      <c r="F100" s="218">
        <v>202505</v>
      </c>
      <c r="G100" s="218">
        <v>202506</v>
      </c>
      <c r="H100" s="218">
        <v>202507</v>
      </c>
      <c r="I100" s="218">
        <v>202508</v>
      </c>
      <c r="J100" s="218">
        <v>202509</v>
      </c>
      <c r="K100" s="218">
        <v>202510</v>
      </c>
      <c r="L100" s="218" t="s">
        <v>309</v>
      </c>
    </row>
    <row r="101" spans="2:12" x14ac:dyDescent="0.2">
      <c r="C101" s="259" t="s">
        <v>326</v>
      </c>
      <c r="D101" s="262">
        <v>9630000</v>
      </c>
      <c r="E101" s="262">
        <v>8294394</v>
      </c>
      <c r="F101" s="262">
        <v>28358115388</v>
      </c>
      <c r="G101" s="262">
        <v>69480875106</v>
      </c>
      <c r="H101" s="262">
        <v>144317132226</v>
      </c>
      <c r="I101" s="262">
        <v>203122629388</v>
      </c>
      <c r="J101" s="262">
        <v>252065074464</v>
      </c>
      <c r="K101" s="262">
        <v>334833537179</v>
      </c>
      <c r="L101" s="218">
        <v>1032195288145</v>
      </c>
    </row>
    <row r="102" spans="2:12" x14ac:dyDescent="0.2">
      <c r="C102" s="259" t="s">
        <v>327</v>
      </c>
      <c r="D102" s="262"/>
      <c r="E102" s="262"/>
      <c r="F102" s="262"/>
      <c r="G102" s="262">
        <v>1249099314</v>
      </c>
      <c r="H102" s="262">
        <v>2262297913</v>
      </c>
      <c r="I102" s="262">
        <v>4759822395</v>
      </c>
      <c r="J102" s="262">
        <v>7295815497</v>
      </c>
      <c r="K102" s="262">
        <v>8266937804</v>
      </c>
      <c r="L102" s="218">
        <v>23833972923</v>
      </c>
    </row>
    <row r="103" spans="2:12" x14ac:dyDescent="0.2">
      <c r="C103" s="259" t="s">
        <v>328</v>
      </c>
      <c r="D103" s="262"/>
      <c r="E103" s="262"/>
      <c r="F103" s="262"/>
      <c r="G103" s="262"/>
      <c r="H103" s="262">
        <v>753631097</v>
      </c>
      <c r="I103" s="262">
        <v>1728253388</v>
      </c>
      <c r="J103" s="262">
        <v>3422841764</v>
      </c>
      <c r="K103" s="262">
        <v>5271969201</v>
      </c>
      <c r="L103" s="218">
        <v>11176695450</v>
      </c>
    </row>
    <row r="104" spans="2:12" x14ac:dyDescent="0.2">
      <c r="C104" s="259" t="s">
        <v>329</v>
      </c>
      <c r="D104" s="262"/>
      <c r="E104" s="262"/>
      <c r="F104" s="262"/>
      <c r="G104" s="262"/>
      <c r="H104" s="262"/>
      <c r="I104" s="262">
        <v>778788469</v>
      </c>
      <c r="J104" s="262">
        <v>1636938736</v>
      </c>
      <c r="K104" s="262">
        <v>3108581942</v>
      </c>
      <c r="L104" s="218">
        <v>5524309147</v>
      </c>
    </row>
    <row r="105" spans="2:12" x14ac:dyDescent="0.2">
      <c r="C105" s="259" t="s">
        <v>330</v>
      </c>
      <c r="D105" s="262"/>
      <c r="E105" s="262"/>
      <c r="F105" s="262"/>
      <c r="G105" s="262"/>
      <c r="H105" s="262"/>
      <c r="I105" s="262"/>
      <c r="J105" s="262">
        <v>767238469</v>
      </c>
      <c r="K105" s="262">
        <v>1748617998</v>
      </c>
      <c r="L105" s="218">
        <v>2515856467</v>
      </c>
    </row>
    <row r="106" spans="2:12" x14ac:dyDescent="0.2">
      <c r="C106" s="259" t="s">
        <v>331</v>
      </c>
      <c r="D106" s="262"/>
      <c r="E106" s="262"/>
      <c r="F106" s="262"/>
      <c r="G106" s="262"/>
      <c r="H106" s="262"/>
      <c r="I106" s="262"/>
      <c r="J106" s="262"/>
      <c r="K106" s="262">
        <v>824138469</v>
      </c>
      <c r="L106" s="218">
        <v>824138469</v>
      </c>
    </row>
    <row r="107" spans="2:12" x14ac:dyDescent="0.2">
      <c r="C107" s="259" t="s">
        <v>309</v>
      </c>
      <c r="D107" s="218">
        <v>9630000</v>
      </c>
      <c r="E107" s="218">
        <v>8294394</v>
      </c>
      <c r="F107" s="218">
        <v>28358115388</v>
      </c>
      <c r="G107" s="218">
        <v>70729974420</v>
      </c>
      <c r="H107" s="218">
        <v>147333061236</v>
      </c>
      <c r="I107" s="218">
        <v>210389493640</v>
      </c>
      <c r="J107" s="218">
        <v>265187908930</v>
      </c>
      <c r="K107" s="218">
        <v>354053782593</v>
      </c>
      <c r="L107" s="218">
        <v>1076070260601</v>
      </c>
    </row>
    <row r="111" spans="2:12" x14ac:dyDescent="0.2">
      <c r="B111" s="219">
        <v>6</v>
      </c>
      <c r="C111" s="219" t="s">
        <v>339</v>
      </c>
    </row>
    <row r="114" spans="3:15" x14ac:dyDescent="0.2">
      <c r="D114" s="218">
        <v>1</v>
      </c>
      <c r="E114" s="218">
        <v>2</v>
      </c>
      <c r="F114" s="218">
        <f>E114+1</f>
        <v>3</v>
      </c>
      <c r="G114" s="218">
        <f t="shared" ref="G114:O114" si="2">F114+1</f>
        <v>4</v>
      </c>
      <c r="H114" s="218">
        <f t="shared" si="2"/>
        <v>5</v>
      </c>
      <c r="I114" s="218">
        <f t="shared" si="2"/>
        <v>6</v>
      </c>
      <c r="J114" s="218">
        <f t="shared" si="2"/>
        <v>7</v>
      </c>
      <c r="K114" s="218">
        <f t="shared" si="2"/>
        <v>8</v>
      </c>
      <c r="L114" s="218">
        <f t="shared" si="2"/>
        <v>9</v>
      </c>
      <c r="M114" s="218">
        <f t="shared" si="2"/>
        <v>10</v>
      </c>
      <c r="N114" s="218">
        <f t="shared" si="2"/>
        <v>11</v>
      </c>
      <c r="O114" s="218">
        <f t="shared" si="2"/>
        <v>12</v>
      </c>
    </row>
    <row r="115" spans="3:15" x14ac:dyDescent="0.2">
      <c r="C115" s="218" t="s">
        <v>340</v>
      </c>
      <c r="D115" s="263">
        <v>0.03</v>
      </c>
      <c r="E115" s="263">
        <v>0.03</v>
      </c>
      <c r="F115" s="263">
        <v>0.03</v>
      </c>
      <c r="G115" s="263">
        <v>0.03</v>
      </c>
      <c r="H115" s="263">
        <v>0.03</v>
      </c>
      <c r="I115" s="263">
        <v>0.03</v>
      </c>
      <c r="J115" s="263">
        <v>0.03</v>
      </c>
      <c r="K115" s="263">
        <v>0.03</v>
      </c>
      <c r="L115" s="263">
        <v>0.03</v>
      </c>
      <c r="M115" s="263">
        <v>0.03</v>
      </c>
      <c r="N115" s="263">
        <v>0.03</v>
      </c>
      <c r="O115" s="263">
        <v>0.03</v>
      </c>
    </row>
    <row r="116" spans="3:15" x14ac:dyDescent="0.2">
      <c r="C116" s="218" t="s">
        <v>341</v>
      </c>
      <c r="D116" s="263">
        <v>0.03</v>
      </c>
      <c r="E116" s="263">
        <v>0.03</v>
      </c>
      <c r="F116" s="263">
        <v>0.03</v>
      </c>
      <c r="G116" s="263">
        <v>0.03</v>
      </c>
      <c r="H116" s="263">
        <v>0.03</v>
      </c>
      <c r="I116" s="263">
        <v>0.03</v>
      </c>
      <c r="J116" s="263">
        <v>0.03</v>
      </c>
      <c r="K116" s="263">
        <v>0.03</v>
      </c>
      <c r="L116" s="263">
        <v>0.03</v>
      </c>
      <c r="M116" s="263">
        <v>0.03</v>
      </c>
      <c r="N116" s="263">
        <v>0.03</v>
      </c>
      <c r="O116" s="263">
        <v>0.03</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4B1E54-12C8-DB47-8D53-96452BF3830B}">
  <sheetPr>
    <tabColor theme="4" tint="0.59999389629810485"/>
  </sheetPr>
  <dimension ref="A1:BL223"/>
  <sheetViews>
    <sheetView showGridLines="0" zoomScaleNormal="100" zoomScaleSheetLayoutView="55" workbookViewId="0">
      <pane xSplit="3" ySplit="6" topLeftCell="V7" activePane="bottomRight" state="frozen"/>
      <selection activeCell="G124" sqref="G124"/>
      <selection pane="topRight" activeCell="G124" sqref="G124"/>
      <selection pane="bottomLeft" activeCell="G124" sqref="G124"/>
      <selection pane="bottomRight" activeCell="G124" sqref="G124"/>
    </sheetView>
  </sheetViews>
  <sheetFormatPr baseColWidth="10" defaultColWidth="9.1640625" defaultRowHeight="11" outlineLevelCol="1" x14ac:dyDescent="0.15"/>
  <cols>
    <col min="1" max="1" width="5.5" style="84" hidden="1" customWidth="1" outlineLevel="1"/>
    <col min="2" max="2" width="6.6640625" style="84" customWidth="1" collapsed="1"/>
    <col min="3" max="3" width="29.83203125" style="84" customWidth="1"/>
    <col min="4" max="4" width="8.5" style="84" customWidth="1"/>
    <col min="5" max="5" width="9" style="84" bestFit="1" customWidth="1"/>
    <col min="6" max="6" width="8.6640625" style="84" bestFit="1" customWidth="1"/>
    <col min="7" max="12" width="9" style="84" bestFit="1" customWidth="1"/>
    <col min="13" max="13" width="8.6640625" style="84" bestFit="1" customWidth="1"/>
    <col min="14" max="15" width="9" style="84" bestFit="1" customWidth="1"/>
    <col min="16" max="16" width="8.6640625" style="84" bestFit="1" customWidth="1"/>
    <col min="17" max="64" width="8.5" style="84" customWidth="1"/>
    <col min="65" max="16384" width="9.1640625" style="84"/>
  </cols>
  <sheetData>
    <row r="1" spans="2:64" ht="20" x14ac:dyDescent="0.2">
      <c r="B1" s="264" t="s">
        <v>342</v>
      </c>
      <c r="C1" s="204"/>
      <c r="E1" s="265"/>
      <c r="F1" s="265"/>
      <c r="G1" s="265"/>
      <c r="H1" s="265"/>
      <c r="I1" s="265"/>
      <c r="J1" s="265"/>
      <c r="K1" s="265"/>
      <c r="L1" s="265"/>
      <c r="AX1" s="147"/>
    </row>
    <row r="2" spans="2:64" ht="20" x14ac:dyDescent="0.2">
      <c r="B2" s="264"/>
      <c r="C2" s="204"/>
      <c r="E2" s="265"/>
      <c r="F2" s="265"/>
      <c r="G2" s="265"/>
      <c r="H2" s="265"/>
      <c r="I2" s="265"/>
      <c r="J2" s="265"/>
      <c r="K2" s="265"/>
      <c r="L2" s="265"/>
      <c r="AX2" s="147"/>
    </row>
    <row r="3" spans="2:64" x14ac:dyDescent="0.15">
      <c r="C3" s="266"/>
      <c r="E3" s="265"/>
      <c r="F3" s="265"/>
      <c r="G3" s="265"/>
      <c r="H3" s="265"/>
      <c r="I3" s="265"/>
      <c r="J3" s="265"/>
      <c r="K3" s="265"/>
      <c r="L3" s="265"/>
      <c r="AV3" s="147"/>
    </row>
    <row r="4" spans="2:64" x14ac:dyDescent="0.15">
      <c r="C4" s="267" t="s">
        <v>343</v>
      </c>
      <c r="D4" s="155"/>
      <c r="F4" s="268"/>
      <c r="G4" s="269"/>
      <c r="H4" s="269"/>
      <c r="I4" s="269"/>
      <c r="J4" s="269"/>
      <c r="K4" s="269"/>
      <c r="L4" s="269"/>
      <c r="M4" s="269"/>
      <c r="N4" s="269"/>
      <c r="O4" s="269"/>
      <c r="P4" s="269"/>
      <c r="Q4" s="269"/>
      <c r="R4" s="269"/>
      <c r="S4" s="269"/>
      <c r="T4" s="269"/>
      <c r="U4" s="269"/>
      <c r="V4" s="269"/>
      <c r="W4" s="269"/>
      <c r="X4" s="269"/>
      <c r="Y4" s="269"/>
      <c r="Z4" s="269"/>
      <c r="AA4" s="269"/>
      <c r="AB4" s="269"/>
    </row>
    <row r="5" spans="2:64" x14ac:dyDescent="0.15">
      <c r="C5" s="155" t="s">
        <v>54</v>
      </c>
      <c r="D5" s="270">
        <v>0</v>
      </c>
      <c r="E5" s="271">
        <f t="shared" ref="E5:BL5" si="0">D5+1</f>
        <v>1</v>
      </c>
      <c r="F5" s="271">
        <f t="shared" si="0"/>
        <v>2</v>
      </c>
      <c r="G5" s="271">
        <f t="shared" si="0"/>
        <v>3</v>
      </c>
      <c r="H5" s="271">
        <f t="shared" si="0"/>
        <v>4</v>
      </c>
      <c r="I5" s="271">
        <f t="shared" si="0"/>
        <v>5</v>
      </c>
      <c r="J5" s="271">
        <f t="shared" si="0"/>
        <v>6</v>
      </c>
      <c r="K5" s="271">
        <f t="shared" si="0"/>
        <v>7</v>
      </c>
      <c r="L5" s="271">
        <f t="shared" si="0"/>
        <v>8</v>
      </c>
      <c r="M5" s="271">
        <f t="shared" si="0"/>
        <v>9</v>
      </c>
      <c r="N5" s="271">
        <f t="shared" si="0"/>
        <v>10</v>
      </c>
      <c r="O5" s="271">
        <f t="shared" si="0"/>
        <v>11</v>
      </c>
      <c r="P5" s="271">
        <f t="shared" si="0"/>
        <v>12</v>
      </c>
      <c r="Q5" s="271">
        <f t="shared" si="0"/>
        <v>13</v>
      </c>
      <c r="R5" s="271">
        <f t="shared" si="0"/>
        <v>14</v>
      </c>
      <c r="S5" s="271">
        <f t="shared" si="0"/>
        <v>15</v>
      </c>
      <c r="T5" s="271">
        <f t="shared" si="0"/>
        <v>16</v>
      </c>
      <c r="U5" s="271">
        <f t="shared" si="0"/>
        <v>17</v>
      </c>
      <c r="V5" s="271">
        <f t="shared" si="0"/>
        <v>18</v>
      </c>
      <c r="W5" s="271">
        <f t="shared" si="0"/>
        <v>19</v>
      </c>
      <c r="X5" s="271">
        <f t="shared" si="0"/>
        <v>20</v>
      </c>
      <c r="Y5" s="271">
        <f t="shared" si="0"/>
        <v>21</v>
      </c>
      <c r="Z5" s="271">
        <f t="shared" si="0"/>
        <v>22</v>
      </c>
      <c r="AA5" s="271">
        <f t="shared" si="0"/>
        <v>23</v>
      </c>
      <c r="AB5" s="271">
        <f t="shared" si="0"/>
        <v>24</v>
      </c>
      <c r="AC5" s="271">
        <f t="shared" si="0"/>
        <v>25</v>
      </c>
      <c r="AD5" s="271">
        <f t="shared" si="0"/>
        <v>26</v>
      </c>
      <c r="AE5" s="271">
        <f t="shared" si="0"/>
        <v>27</v>
      </c>
      <c r="AF5" s="271">
        <f t="shared" si="0"/>
        <v>28</v>
      </c>
      <c r="AG5" s="271">
        <f t="shared" si="0"/>
        <v>29</v>
      </c>
      <c r="AH5" s="271">
        <f t="shared" si="0"/>
        <v>30</v>
      </c>
      <c r="AI5" s="271">
        <f t="shared" si="0"/>
        <v>31</v>
      </c>
      <c r="AJ5" s="271">
        <f t="shared" si="0"/>
        <v>32</v>
      </c>
      <c r="AK5" s="271">
        <f t="shared" si="0"/>
        <v>33</v>
      </c>
      <c r="AL5" s="271">
        <f t="shared" si="0"/>
        <v>34</v>
      </c>
      <c r="AM5" s="271">
        <f t="shared" si="0"/>
        <v>35</v>
      </c>
      <c r="AN5" s="271">
        <f t="shared" si="0"/>
        <v>36</v>
      </c>
      <c r="AO5" s="271">
        <f t="shared" si="0"/>
        <v>37</v>
      </c>
      <c r="AP5" s="271">
        <f t="shared" si="0"/>
        <v>38</v>
      </c>
      <c r="AQ5" s="271">
        <f t="shared" si="0"/>
        <v>39</v>
      </c>
      <c r="AR5" s="271">
        <f t="shared" si="0"/>
        <v>40</v>
      </c>
      <c r="AS5" s="271">
        <f t="shared" si="0"/>
        <v>41</v>
      </c>
      <c r="AT5" s="271">
        <f t="shared" si="0"/>
        <v>42</v>
      </c>
      <c r="AU5" s="271">
        <f t="shared" si="0"/>
        <v>43</v>
      </c>
      <c r="AV5" s="271">
        <f t="shared" si="0"/>
        <v>44</v>
      </c>
      <c r="AW5" s="271">
        <f t="shared" si="0"/>
        <v>45</v>
      </c>
      <c r="AX5" s="271">
        <f t="shared" si="0"/>
        <v>46</v>
      </c>
      <c r="AY5" s="271">
        <f t="shared" si="0"/>
        <v>47</v>
      </c>
      <c r="AZ5" s="271">
        <f t="shared" si="0"/>
        <v>48</v>
      </c>
      <c r="BA5" s="271">
        <f t="shared" si="0"/>
        <v>49</v>
      </c>
      <c r="BB5" s="271">
        <f t="shared" si="0"/>
        <v>50</v>
      </c>
      <c r="BC5" s="271">
        <f t="shared" si="0"/>
        <v>51</v>
      </c>
      <c r="BD5" s="271">
        <f t="shared" si="0"/>
        <v>52</v>
      </c>
      <c r="BE5" s="271">
        <f t="shared" si="0"/>
        <v>53</v>
      </c>
      <c r="BF5" s="271">
        <f t="shared" si="0"/>
        <v>54</v>
      </c>
      <c r="BG5" s="271">
        <f t="shared" si="0"/>
        <v>55</v>
      </c>
      <c r="BH5" s="271">
        <f t="shared" si="0"/>
        <v>56</v>
      </c>
      <c r="BI5" s="271">
        <f t="shared" si="0"/>
        <v>57</v>
      </c>
      <c r="BJ5" s="271">
        <f t="shared" si="0"/>
        <v>58</v>
      </c>
      <c r="BK5" s="271">
        <f t="shared" si="0"/>
        <v>59</v>
      </c>
      <c r="BL5" s="271">
        <f t="shared" si="0"/>
        <v>60</v>
      </c>
    </row>
    <row r="6" spans="2:64" x14ac:dyDescent="0.15">
      <c r="C6" s="155" t="s">
        <v>344</v>
      </c>
      <c r="D6" s="271">
        <f>IF(Leadsheet!$E$12-SAP_Speadsheet!D5&lt;0,0,Leadsheet!$E$12-SAP_Speadsheet!D5)</f>
        <v>11</v>
      </c>
      <c r="E6" s="271">
        <f>IF(Leadsheet!$E$12-SAP_Speadsheet!E5&lt;0,0,Leadsheet!$E$12-SAP_Speadsheet!E5)</f>
        <v>10</v>
      </c>
      <c r="F6" s="271">
        <f>IF(Leadsheet!$E$12-SAP_Speadsheet!F5&lt;0,0,Leadsheet!$E$12-SAP_Speadsheet!F5)</f>
        <v>9</v>
      </c>
      <c r="G6" s="271">
        <f>IF(Leadsheet!$E$12-SAP_Speadsheet!G5&lt;0,0,Leadsheet!$E$12-SAP_Speadsheet!G5)</f>
        <v>8</v>
      </c>
      <c r="H6" s="271">
        <f>IF(Leadsheet!$E$12-SAP_Speadsheet!H5&lt;0,0,Leadsheet!$E$12-SAP_Speadsheet!H5)</f>
        <v>7</v>
      </c>
      <c r="I6" s="271">
        <f>IF(Leadsheet!$E$12-SAP_Speadsheet!I5&lt;0,0,Leadsheet!$E$12-SAP_Speadsheet!I5)</f>
        <v>6</v>
      </c>
      <c r="J6" s="271">
        <f>IF(Leadsheet!$E$12-SAP_Speadsheet!J5&lt;0,0,Leadsheet!$E$12-SAP_Speadsheet!J5)</f>
        <v>5</v>
      </c>
      <c r="K6" s="271">
        <f>IF(Leadsheet!$E$12-SAP_Speadsheet!K5&lt;0,0,Leadsheet!$E$12-SAP_Speadsheet!K5)</f>
        <v>4</v>
      </c>
      <c r="L6" s="271">
        <f>IF(Leadsheet!$E$12-SAP_Speadsheet!L5&lt;0,0,Leadsheet!$E$12-SAP_Speadsheet!L5)</f>
        <v>3</v>
      </c>
      <c r="M6" s="271">
        <f>IF(Leadsheet!$E$12-SAP_Speadsheet!M5&lt;0,0,Leadsheet!$E$12-SAP_Speadsheet!M5)</f>
        <v>2</v>
      </c>
      <c r="N6" s="271">
        <f>IF(Leadsheet!$E$12-SAP_Speadsheet!N5&lt;0,0,Leadsheet!$E$12-SAP_Speadsheet!N5)</f>
        <v>1</v>
      </c>
      <c r="O6" s="271">
        <f>IF(Leadsheet!$E$12-SAP_Speadsheet!O5&lt;0,0,Leadsheet!$E$12-SAP_Speadsheet!O5)</f>
        <v>0</v>
      </c>
      <c r="P6" s="271">
        <f>IF(Leadsheet!$E$12-SAP_Speadsheet!P5&lt;0,0,Leadsheet!$E$12-SAP_Speadsheet!P5)</f>
        <v>0</v>
      </c>
      <c r="Q6" s="271">
        <f>IF(Leadsheet!$E$12-SAP_Speadsheet!Q5&lt;0,0,Leadsheet!$E$12-SAP_Speadsheet!Q5)</f>
        <v>0</v>
      </c>
      <c r="R6" s="271">
        <f>IF(Leadsheet!$E$12-SAP_Speadsheet!R5&lt;0,0,Leadsheet!$E$12-SAP_Speadsheet!R5)</f>
        <v>0</v>
      </c>
      <c r="S6" s="271">
        <f>IF(Leadsheet!$E$12-SAP_Speadsheet!S5&lt;0,0,Leadsheet!$E$12-SAP_Speadsheet!S5)</f>
        <v>0</v>
      </c>
      <c r="T6" s="271">
        <f>IF(Leadsheet!$E$12-SAP_Speadsheet!T5&lt;0,0,Leadsheet!$E$12-SAP_Speadsheet!T5)</f>
        <v>0</v>
      </c>
      <c r="U6" s="271">
        <f>IF(Leadsheet!$E$12-SAP_Speadsheet!U5&lt;0,0,Leadsheet!$E$12-SAP_Speadsheet!U5)</f>
        <v>0</v>
      </c>
      <c r="V6" s="271">
        <f>IF(Leadsheet!$E$12-SAP_Speadsheet!V5&lt;0,0,Leadsheet!$E$12-SAP_Speadsheet!V5)</f>
        <v>0</v>
      </c>
      <c r="W6" s="271">
        <f>IF(Leadsheet!$E$12-SAP_Speadsheet!W5&lt;0,0,Leadsheet!$E$12-SAP_Speadsheet!W5)</f>
        <v>0</v>
      </c>
      <c r="X6" s="271">
        <f>IF(Leadsheet!$E$12-SAP_Speadsheet!X5&lt;0,0,Leadsheet!$E$12-SAP_Speadsheet!X5)</f>
        <v>0</v>
      </c>
      <c r="Y6" s="271">
        <f>IF(Leadsheet!$E$12-SAP_Speadsheet!Y5&lt;0,0,Leadsheet!$E$12-SAP_Speadsheet!Y5)</f>
        <v>0</v>
      </c>
      <c r="Z6" s="271">
        <f>IF(Leadsheet!$E$12-SAP_Speadsheet!Z5&lt;0,0,Leadsheet!$E$12-SAP_Speadsheet!Z5)</f>
        <v>0</v>
      </c>
      <c r="AA6" s="271">
        <f>IF(Leadsheet!$E$12-SAP_Speadsheet!AA5&lt;0,0,Leadsheet!$E$12-SAP_Speadsheet!AA5)</f>
        <v>0</v>
      </c>
      <c r="AB6" s="271">
        <f>IF(Leadsheet!$E$12-SAP_Speadsheet!AB5&lt;0,0,Leadsheet!$E$12-SAP_Speadsheet!AB5)</f>
        <v>0</v>
      </c>
      <c r="AC6" s="271">
        <f>IF(Leadsheet!$E$12-SAP_Speadsheet!AC5&lt;0,0,Leadsheet!$E$12-SAP_Speadsheet!AC5)</f>
        <v>0</v>
      </c>
      <c r="AD6" s="271">
        <f>IF(Leadsheet!$E$12-SAP_Speadsheet!AD5&lt;0,0,Leadsheet!$E$12-SAP_Speadsheet!AD5)</f>
        <v>0</v>
      </c>
      <c r="AE6" s="271">
        <f>IF(Leadsheet!$E$12-SAP_Speadsheet!AE5&lt;0,0,Leadsheet!$E$12-SAP_Speadsheet!AE5)</f>
        <v>0</v>
      </c>
      <c r="AF6" s="271">
        <f>IF(Leadsheet!$E$12-SAP_Speadsheet!AF5&lt;0,0,Leadsheet!$E$12-SAP_Speadsheet!AF5)</f>
        <v>0</v>
      </c>
      <c r="AG6" s="271">
        <f>IF(Leadsheet!$E$12-SAP_Speadsheet!AG5&lt;0,0,Leadsheet!$E$12-SAP_Speadsheet!AG5)</f>
        <v>0</v>
      </c>
      <c r="AH6" s="271">
        <f>IF(Leadsheet!$E$12-SAP_Speadsheet!AH5&lt;0,0,Leadsheet!$E$12-SAP_Speadsheet!AH5)</f>
        <v>0</v>
      </c>
      <c r="AI6" s="271">
        <f>IF(Leadsheet!$E$12-SAP_Speadsheet!AI5&lt;0,0,Leadsheet!$E$12-SAP_Speadsheet!AI5)</f>
        <v>0</v>
      </c>
      <c r="AJ6" s="271">
        <f>IF(Leadsheet!$E$12-SAP_Speadsheet!AJ5&lt;0,0,Leadsheet!$E$12-SAP_Speadsheet!AJ5)</f>
        <v>0</v>
      </c>
      <c r="AK6" s="271">
        <f>IF(Leadsheet!$E$12-SAP_Speadsheet!AK5&lt;0,0,Leadsheet!$E$12-SAP_Speadsheet!AK5)</f>
        <v>0</v>
      </c>
      <c r="AL6" s="271">
        <f>IF(Leadsheet!$E$12-SAP_Speadsheet!AL5&lt;0,0,Leadsheet!$E$12-SAP_Speadsheet!AL5)</f>
        <v>0</v>
      </c>
      <c r="AM6" s="271">
        <f>IF(Leadsheet!$E$12-SAP_Speadsheet!AM5&lt;0,0,Leadsheet!$E$12-SAP_Speadsheet!AM5)</f>
        <v>0</v>
      </c>
      <c r="AN6" s="271">
        <f>IF(Leadsheet!$E$12-SAP_Speadsheet!AN5&lt;0,0,Leadsheet!$E$12-SAP_Speadsheet!AN5)</f>
        <v>0</v>
      </c>
      <c r="AO6" s="271">
        <f>IF(Leadsheet!$E$12-SAP_Speadsheet!AO5&lt;0,0,Leadsheet!$E$12-SAP_Speadsheet!AO5)</f>
        <v>0</v>
      </c>
      <c r="AP6" s="271">
        <f>IF(Leadsheet!$E$12-SAP_Speadsheet!AP5&lt;0,0,Leadsheet!$E$12-SAP_Speadsheet!AP5)</f>
        <v>0</v>
      </c>
      <c r="AQ6" s="271">
        <f>IF(Leadsheet!$E$12-SAP_Speadsheet!AQ5&lt;0,0,Leadsheet!$E$12-SAP_Speadsheet!AQ5)</f>
        <v>0</v>
      </c>
      <c r="AR6" s="271">
        <f>IF(Leadsheet!$E$12-SAP_Speadsheet!AR5&lt;0,0,Leadsheet!$E$12-SAP_Speadsheet!AR5)</f>
        <v>0</v>
      </c>
      <c r="AS6" s="271">
        <f>IF(Leadsheet!$E$12-SAP_Speadsheet!AS5&lt;0,0,Leadsheet!$E$12-SAP_Speadsheet!AS5)</f>
        <v>0</v>
      </c>
      <c r="AT6" s="271">
        <f>IF(Leadsheet!$E$12-SAP_Speadsheet!AT5&lt;0,0,Leadsheet!$E$12-SAP_Speadsheet!AT5)</f>
        <v>0</v>
      </c>
      <c r="AU6" s="271">
        <f>IF(Leadsheet!$E$12-SAP_Speadsheet!AU5&lt;0,0,Leadsheet!$E$12-SAP_Speadsheet!AU5)</f>
        <v>0</v>
      </c>
      <c r="AV6" s="271">
        <f>IF(Leadsheet!$E$12-SAP_Speadsheet!AV5&lt;0,0,Leadsheet!$E$12-SAP_Speadsheet!AV5)</f>
        <v>0</v>
      </c>
      <c r="AW6" s="271">
        <f>IF(Leadsheet!$E$12-SAP_Speadsheet!AW5&lt;0,0,Leadsheet!$E$12-SAP_Speadsheet!AW5)</f>
        <v>0</v>
      </c>
      <c r="AX6" s="271">
        <f>IF(Leadsheet!$E$12-SAP_Speadsheet!AX5&lt;0,0,Leadsheet!$E$12-SAP_Speadsheet!AX5)</f>
        <v>0</v>
      </c>
      <c r="AY6" s="271">
        <f>IF(Leadsheet!$E$12-SAP_Speadsheet!AY5&lt;0,0,Leadsheet!$E$12-SAP_Speadsheet!AY5)</f>
        <v>0</v>
      </c>
      <c r="AZ6" s="271">
        <f>IF(Leadsheet!$E$12-SAP_Speadsheet!AZ5&lt;0,0,Leadsheet!$E$12-SAP_Speadsheet!AZ5)</f>
        <v>0</v>
      </c>
      <c r="BA6" s="271">
        <f>IF(Leadsheet!$E$12-SAP_Speadsheet!BA5&lt;0,0,Leadsheet!$E$12-SAP_Speadsheet!BA5)</f>
        <v>0</v>
      </c>
      <c r="BB6" s="271">
        <f>IF(Leadsheet!$E$12-SAP_Speadsheet!BB5&lt;0,0,Leadsheet!$E$12-SAP_Speadsheet!BB5)</f>
        <v>0</v>
      </c>
      <c r="BC6" s="271">
        <f>IF(Leadsheet!$E$12-SAP_Speadsheet!BC5&lt;0,0,Leadsheet!$E$12-SAP_Speadsheet!BC5)</f>
        <v>0</v>
      </c>
      <c r="BD6" s="265">
        <f>IF(Leadsheet!$E$12-SAP_Speadsheet!BD5&lt;0,0,Leadsheet!$E$12-SAP_Speadsheet!BD5)</f>
        <v>0</v>
      </c>
      <c r="BE6" s="265">
        <f>IF(Leadsheet!$E$12-SAP_Speadsheet!BE5&lt;0,0,Leadsheet!$E$12-SAP_Speadsheet!BE5)</f>
        <v>0</v>
      </c>
      <c r="BF6" s="265">
        <f>IF(Leadsheet!$E$12-SAP_Speadsheet!BF5&lt;0,0,Leadsheet!$E$12-SAP_Speadsheet!BF5)</f>
        <v>0</v>
      </c>
      <c r="BG6" s="265">
        <f>IF(Leadsheet!$E$12-SAP_Speadsheet!BG5&lt;0,0,Leadsheet!$E$12-SAP_Speadsheet!BG5)</f>
        <v>0</v>
      </c>
      <c r="BH6" s="265">
        <f>IF(Leadsheet!$E$12-SAP_Speadsheet!BH5&lt;0,0,Leadsheet!$E$12-SAP_Speadsheet!BH5)</f>
        <v>0</v>
      </c>
      <c r="BI6" s="265">
        <f>IF(Leadsheet!$E$12-SAP_Speadsheet!BI5&lt;0,0,Leadsheet!$E$12-SAP_Speadsheet!BI5)</f>
        <v>0</v>
      </c>
      <c r="BJ6" s="265">
        <f>IF(Leadsheet!$E$12-SAP_Speadsheet!BJ5&lt;0,0,Leadsheet!$E$12-SAP_Speadsheet!BJ5)</f>
        <v>0</v>
      </c>
      <c r="BK6" s="265">
        <f>IF(Leadsheet!$E$12-SAP_Speadsheet!BK5&lt;0,0,Leadsheet!$E$12-SAP_Speadsheet!BK5)</f>
        <v>0</v>
      </c>
      <c r="BL6" s="265">
        <f>IF(Leadsheet!$E$12-SAP_Speadsheet!BL5&lt;0,0,Leadsheet!$E$12-SAP_Speadsheet!BL5)</f>
        <v>0</v>
      </c>
    </row>
    <row r="7" spans="2:64" x14ac:dyDescent="0.15">
      <c r="C7" s="155" t="s">
        <v>345</v>
      </c>
      <c r="D7" s="265">
        <f>Leadsheet!E13+Leadsheet!E12</f>
        <v>17</v>
      </c>
    </row>
    <row r="8" spans="2:64" x14ac:dyDescent="0.15">
      <c r="C8" s="155"/>
      <c r="E8" s="265"/>
    </row>
    <row r="9" spans="2:64" ht="13" thickBot="1" x14ac:dyDescent="0.2">
      <c r="B9" s="272" t="s">
        <v>346</v>
      </c>
      <c r="C9" s="273"/>
      <c r="D9" s="274"/>
      <c r="E9" s="275"/>
      <c r="F9" s="274"/>
      <c r="G9" s="274"/>
      <c r="H9" s="274"/>
      <c r="I9" s="274"/>
      <c r="J9" s="274"/>
      <c r="K9" s="274"/>
      <c r="L9" s="274"/>
      <c r="M9" s="274"/>
      <c r="N9" s="274"/>
      <c r="O9" s="274"/>
      <c r="P9" s="274"/>
      <c r="Q9" s="274"/>
      <c r="R9" s="274"/>
      <c r="S9" s="274"/>
      <c r="T9" s="274"/>
      <c r="U9" s="274"/>
      <c r="V9" s="274"/>
      <c r="W9" s="274"/>
      <c r="X9" s="274"/>
      <c r="Y9" s="274"/>
      <c r="Z9" s="274"/>
      <c r="AA9" s="274"/>
      <c r="AB9" s="274"/>
      <c r="AC9" s="274"/>
      <c r="AD9" s="274"/>
      <c r="AE9" s="274"/>
      <c r="AF9" s="274"/>
      <c r="AG9" s="274"/>
      <c r="AH9" s="274"/>
      <c r="AI9" s="274"/>
      <c r="AJ9" s="274"/>
      <c r="AK9" s="274"/>
      <c r="AL9" s="274"/>
      <c r="AM9" s="274"/>
      <c r="AN9" s="274"/>
      <c r="AO9" s="274"/>
      <c r="AP9" s="274"/>
      <c r="AQ9" s="274"/>
      <c r="AR9" s="274"/>
      <c r="AS9" s="274"/>
      <c r="AT9" s="274"/>
      <c r="AU9" s="274"/>
      <c r="AV9" s="274"/>
      <c r="AW9" s="274"/>
      <c r="AX9" s="274"/>
      <c r="AY9" s="274"/>
      <c r="AZ9" s="274"/>
      <c r="BA9" s="274"/>
      <c r="BB9" s="274"/>
      <c r="BC9" s="274"/>
      <c r="BD9" s="274"/>
      <c r="BE9" s="274"/>
      <c r="BF9" s="274"/>
      <c r="BG9" s="274"/>
      <c r="BH9" s="274"/>
      <c r="BI9" s="274"/>
      <c r="BJ9" s="274"/>
      <c r="BK9" s="274"/>
      <c r="BL9" s="274"/>
    </row>
    <row r="10" spans="2:64" ht="12" thickTop="1" x14ac:dyDescent="0.15">
      <c r="B10" s="155" t="s">
        <v>347</v>
      </c>
      <c r="C10" s="155"/>
      <c r="E10" s="265"/>
    </row>
    <row r="11" spans="2:64" x14ac:dyDescent="0.15">
      <c r="C11" s="84" t="s">
        <v>348</v>
      </c>
      <c r="D11" s="276">
        <f>Leadsheet!E18</f>
        <v>0.51333593972805536</v>
      </c>
      <c r="E11" s="276">
        <f>IF(E$5&gt;$D$7,0,VLOOKUP(SAP_Speadsheet!E$5,Leadsheet!$C$18:$F$23,3,1))</f>
        <v>0.51333593972805536</v>
      </c>
      <c r="F11" s="276">
        <f>IF(F$5&gt;$D$7,0,VLOOKUP(SAP_Speadsheet!F$5,Leadsheet!$C$18:$F$23,3,1))</f>
        <v>0.51333593972805536</v>
      </c>
      <c r="G11" s="276">
        <f>IF(G$5&gt;$D$7,0,VLOOKUP(SAP_Speadsheet!G$5,Leadsheet!$C$18:$F$23,3,1))</f>
        <v>0.51333593972805536</v>
      </c>
      <c r="H11" s="276">
        <f>IF(H$5&gt;$D$7,0,VLOOKUP(SAP_Speadsheet!H$5,Leadsheet!$C$18:$F$23,3,1))</f>
        <v>0.51333593972805536</v>
      </c>
      <c r="I11" s="276">
        <f>IF(I$5&gt;$D$7,0,VLOOKUP(SAP_Speadsheet!I$5,Leadsheet!$C$18:$F$23,3,1))</f>
        <v>0.51333593972805536</v>
      </c>
      <c r="J11" s="276">
        <f>IF(J$5&gt;$D$7,0,VLOOKUP(SAP_Speadsheet!J$5,Leadsheet!$C$18:$F$23,3,1))</f>
        <v>0.51333593972805536</v>
      </c>
      <c r="K11" s="276">
        <f>IF(K$5&gt;$D$7,0,VLOOKUP(SAP_Speadsheet!K$5,Leadsheet!$C$18:$F$23,3,1))</f>
        <v>0.51333593972805536</v>
      </c>
      <c r="L11" s="276">
        <f>IF(L$5&gt;$D$7,0,VLOOKUP(SAP_Speadsheet!L$5,Leadsheet!$C$18:$F$23,3,1))</f>
        <v>0.51333593972805536</v>
      </c>
      <c r="M11" s="276">
        <f>IF(M$5&gt;$D$7,0,VLOOKUP(SAP_Speadsheet!M$5,Leadsheet!$C$18:$F$23,3,1))</f>
        <v>0.51333593972805536</v>
      </c>
      <c r="N11" s="276">
        <f>IF(N$5&gt;$D$7,0,VLOOKUP(SAP_Speadsheet!N$5,Leadsheet!$C$18:$F$23,3,1))</f>
        <v>0.51333593972805536</v>
      </c>
      <c r="O11" s="276">
        <f>IF(O$5&gt;$D$7,0,VLOOKUP(SAP_Speadsheet!O$5,Leadsheet!$C$18:$F$23,3,1))</f>
        <v>0.51333593972805536</v>
      </c>
      <c r="P11" s="276">
        <f>IF(P$5&gt;$D$7,0,VLOOKUP(SAP_Speadsheet!P$5,Leadsheet!$C$18:$F$23,3,1))</f>
        <v>0.51333593972805536</v>
      </c>
      <c r="Q11" s="276">
        <f>IF(Q$5&gt;$D$7,0,VLOOKUP(SAP_Speadsheet!Q$5,Leadsheet!$C$18:$F$23,3,1))</f>
        <v>0.51333593972805536</v>
      </c>
      <c r="R11" s="276">
        <f>IF(R$5&gt;$D$7,0,VLOOKUP(SAP_Speadsheet!R$5,Leadsheet!$C$18:$F$23,3,1))</f>
        <v>0.51333593972805536</v>
      </c>
      <c r="S11" s="276">
        <f>IF(S$5&gt;$D$7,0,VLOOKUP(SAP_Speadsheet!S$5,Leadsheet!$C$18:$F$23,3,1))</f>
        <v>0.51333593972805536</v>
      </c>
      <c r="T11" s="276">
        <f>IF(T$5&gt;$D$7,0,VLOOKUP(SAP_Speadsheet!T$5,Leadsheet!$C$18:$F$23,3,1))</f>
        <v>0.51333593972805536</v>
      </c>
      <c r="U11" s="276">
        <f>IF(U$5&gt;$D$7,0,VLOOKUP(SAP_Speadsheet!U$5,Leadsheet!$C$18:$F$23,3,1))</f>
        <v>0.51333593972805536</v>
      </c>
      <c r="V11" s="276">
        <f>IF(V$5&gt;$D$7,0,VLOOKUP(SAP_Speadsheet!V$5,Leadsheet!$C$18:$F$23,3,1))</f>
        <v>0</v>
      </c>
      <c r="W11" s="276">
        <f>IF(W$5&gt;$D$7,0,VLOOKUP(SAP_Speadsheet!W$5,Leadsheet!$C$18:$F$23,3,1))</f>
        <v>0</v>
      </c>
      <c r="X11" s="276">
        <f>IF(X$5&gt;$D$7,0,VLOOKUP(SAP_Speadsheet!X$5,Leadsheet!$C$18:$F$23,3,1))</f>
        <v>0</v>
      </c>
      <c r="Y11" s="276">
        <f>IF(Y$5&gt;$D$7,0,VLOOKUP(SAP_Speadsheet!Y$5,Leadsheet!$C$18:$F$23,3,1))</f>
        <v>0</v>
      </c>
      <c r="Z11" s="276">
        <f>IF(Z$5&gt;$D$7,0,VLOOKUP(SAP_Speadsheet!Z$5,Leadsheet!$C$18:$F$23,3,1))</f>
        <v>0</v>
      </c>
      <c r="AA11" s="276">
        <f>IF(AA$5&gt;$D$7,0,VLOOKUP(SAP_Speadsheet!AA$5,Leadsheet!$C$18:$F$23,3,1))</f>
        <v>0</v>
      </c>
      <c r="AB11" s="276">
        <f>IF(AB$5&gt;$D$7,0,VLOOKUP(SAP_Speadsheet!AB$5,Leadsheet!$C$18:$F$23,3,1))</f>
        <v>0</v>
      </c>
      <c r="AC11" s="276">
        <f>IF(AC$5&gt;$D$7,0,VLOOKUP(SAP_Speadsheet!AC$5,Leadsheet!$C$18:$F$23,3,1))</f>
        <v>0</v>
      </c>
      <c r="AD11" s="276">
        <f>IF(AD$5&gt;$D$7,0,VLOOKUP(SAP_Speadsheet!AD$5,Leadsheet!$C$18:$F$23,3,1))</f>
        <v>0</v>
      </c>
      <c r="AE11" s="276">
        <f>IF(AE$5&gt;$D$7,0,VLOOKUP(SAP_Speadsheet!AE$5,Leadsheet!$C$18:$F$23,3,1))</f>
        <v>0</v>
      </c>
      <c r="AF11" s="276">
        <f>IF(AF$5&gt;$D$7,0,VLOOKUP(SAP_Speadsheet!AF$5,Leadsheet!$C$18:$F$23,3,1))</f>
        <v>0</v>
      </c>
      <c r="AG11" s="276">
        <f>IF(AG$5&gt;$D$7,0,VLOOKUP(SAP_Speadsheet!AG$5,Leadsheet!$C$18:$F$23,3,1))</f>
        <v>0</v>
      </c>
      <c r="AH11" s="276">
        <f>IF(AH$5&gt;$D$7,0,VLOOKUP(SAP_Speadsheet!AH$5,Leadsheet!$C$18:$F$23,3,1))</f>
        <v>0</v>
      </c>
      <c r="AI11" s="276">
        <f>IF(AI$5&gt;$D$7,0,VLOOKUP(SAP_Speadsheet!AI$5,Leadsheet!$C$18:$F$23,3,1))</f>
        <v>0</v>
      </c>
      <c r="AJ11" s="276">
        <f>IF(AJ$5&gt;$D$7,0,VLOOKUP(SAP_Speadsheet!AJ$5,Leadsheet!$C$18:$F$23,3,1))</f>
        <v>0</v>
      </c>
      <c r="AK11" s="276">
        <f>IF(AK$5&gt;$D$7,0,VLOOKUP(SAP_Speadsheet!AK$5,Leadsheet!$C$18:$F$23,3,1))</f>
        <v>0</v>
      </c>
      <c r="AL11" s="276">
        <f>IF(AL$5&gt;$D$7,0,VLOOKUP(SAP_Speadsheet!AL$5,Leadsheet!$C$18:$F$23,3,1))</f>
        <v>0</v>
      </c>
      <c r="AM11" s="276">
        <f>IF(AM$5&gt;$D$7,0,VLOOKUP(SAP_Speadsheet!AM$5,Leadsheet!$C$18:$F$23,3,1))</f>
        <v>0</v>
      </c>
      <c r="AN11" s="276">
        <f>IF(AN$5&gt;$D$7,0,VLOOKUP(SAP_Speadsheet!AN$5,Leadsheet!$C$18:$F$23,3,1))</f>
        <v>0</v>
      </c>
      <c r="AO11" s="276">
        <f>IF(AO$5&gt;$D$7,0,VLOOKUP(SAP_Speadsheet!AO$5,Leadsheet!$C$18:$F$23,3,1))</f>
        <v>0</v>
      </c>
      <c r="AP11" s="276">
        <f>IF(AP$5&gt;$D$7,0,VLOOKUP(SAP_Speadsheet!AP$5,Leadsheet!$C$18:$F$23,3,1))</f>
        <v>0</v>
      </c>
      <c r="AQ11" s="276">
        <f>IF(AQ$5&gt;$D$7,0,VLOOKUP(SAP_Speadsheet!AQ$5,Leadsheet!$C$18:$F$23,3,1))</f>
        <v>0</v>
      </c>
      <c r="AR11" s="276">
        <f>IF(AR$5&gt;$D$7,0,VLOOKUP(SAP_Speadsheet!AR$5,Leadsheet!$C$18:$F$23,3,1))</f>
        <v>0</v>
      </c>
      <c r="AS11" s="276">
        <f>IF(AS$5&gt;$D$7,0,VLOOKUP(SAP_Speadsheet!AS$5,Leadsheet!$C$18:$F$23,3,1))</f>
        <v>0</v>
      </c>
      <c r="AT11" s="276">
        <f>IF(AT$5&gt;$D$7,0,VLOOKUP(SAP_Speadsheet!AT$5,Leadsheet!$C$18:$F$23,3,1))</f>
        <v>0</v>
      </c>
      <c r="AU11" s="276">
        <f>IF(AU$5&gt;$D$7,0,VLOOKUP(SAP_Speadsheet!AU$5,Leadsheet!$C$18:$F$23,3,1))</f>
        <v>0</v>
      </c>
      <c r="AV11" s="276">
        <f>IF(AV$5&gt;$D$7,0,VLOOKUP(SAP_Speadsheet!AV$5,Leadsheet!$C$18:$F$23,3,1))</f>
        <v>0</v>
      </c>
      <c r="AW11" s="276">
        <f>IF(AW$5&gt;$D$7,0,VLOOKUP(SAP_Speadsheet!AW$5,Leadsheet!$C$18:$F$23,3,1))</f>
        <v>0</v>
      </c>
      <c r="AX11" s="276">
        <f>IF(AX$5&gt;$D$7,0,VLOOKUP(SAP_Speadsheet!AX$5,Leadsheet!$C$18:$F$23,3,1))</f>
        <v>0</v>
      </c>
      <c r="AY11" s="276">
        <f>IF(AY$5&gt;$D$7,0,VLOOKUP(SAP_Speadsheet!AY$5,Leadsheet!$C$18:$F$23,3,1))</f>
        <v>0</v>
      </c>
      <c r="AZ11" s="276">
        <f>IF(AZ$5&gt;$D$7,0,VLOOKUP(SAP_Speadsheet!AZ$5,Leadsheet!$C$18:$F$23,3,1))</f>
        <v>0</v>
      </c>
      <c r="BA11" s="276">
        <f>IF(BA$5&gt;$D$7,0,VLOOKUP(SAP_Speadsheet!BA$5,Leadsheet!$C$18:$F$23,3,1))</f>
        <v>0</v>
      </c>
      <c r="BB11" s="276">
        <f>IF(BB$5&gt;$D$7,0,VLOOKUP(SAP_Speadsheet!BB$5,Leadsheet!$C$18:$F$23,3,1))</f>
        <v>0</v>
      </c>
      <c r="BC11" s="276">
        <f>IF(BC$5&gt;$D$7,0,VLOOKUP(SAP_Speadsheet!BC$5,Leadsheet!$C$18:$F$23,3,1))</f>
        <v>0</v>
      </c>
      <c r="BD11" s="276">
        <f>IF(BD$5&gt;$D$7,0,VLOOKUP(SAP_Speadsheet!BD$5,Leadsheet!$C$18:$F$23,3,1))</f>
        <v>0</v>
      </c>
      <c r="BE11" s="276">
        <f>IF(BE$5&gt;$D$7,0,VLOOKUP(SAP_Speadsheet!BE$5,Leadsheet!$C$18:$F$23,3,1))</f>
        <v>0</v>
      </c>
      <c r="BF11" s="276">
        <f>IF(BF$5&gt;$D$7,0,VLOOKUP(SAP_Speadsheet!BF$5,Leadsheet!$C$18:$F$23,3,1))</f>
        <v>0</v>
      </c>
      <c r="BG11" s="276">
        <f>IF(BG$5&gt;$D$7,0,VLOOKUP(SAP_Speadsheet!BG$5,Leadsheet!$C$18:$F$23,3,1))</f>
        <v>0</v>
      </c>
      <c r="BH11" s="276">
        <f>IF(BH$5&gt;$D$7,0,VLOOKUP(SAP_Speadsheet!BH$5,Leadsheet!$C$18:$F$23,3,1))</f>
        <v>0</v>
      </c>
      <c r="BI11" s="276">
        <f>IF(BI$5&gt;$D$7,0,VLOOKUP(SAP_Speadsheet!BI$5,Leadsheet!$C$18:$F$23,3,1))</f>
        <v>0</v>
      </c>
      <c r="BJ11" s="276">
        <f>IF(BJ$5&gt;$D$7,0,VLOOKUP(SAP_Speadsheet!BJ$5,Leadsheet!$C$18:$F$23,3,1))</f>
        <v>0</v>
      </c>
      <c r="BK11" s="276">
        <f>IF(BK$5&gt;$D$7,0,VLOOKUP(SAP_Speadsheet!BK$5,Leadsheet!$C$18:$F$23,3,1))</f>
        <v>0</v>
      </c>
      <c r="BL11" s="276">
        <f>IF(BL$5&gt;$D$7,0,VLOOKUP(SAP_Speadsheet!BL$5,Leadsheet!$C$18:$F$23,3,1))</f>
        <v>0</v>
      </c>
    </row>
    <row r="12" spans="2:64" x14ac:dyDescent="0.15">
      <c r="C12" s="84" t="s">
        <v>349</v>
      </c>
      <c r="D12" s="276">
        <f>Leadsheet!F18</f>
        <v>7.2999999999999995E-2</v>
      </c>
      <c r="E12" s="276">
        <f>IF(E$5&gt;$D$7,0,VLOOKUP(SAP_Speadsheet!E$5,Leadsheet!$C$18:$F$23,4,1))</f>
        <v>7.2999999999999995E-2</v>
      </c>
      <c r="F12" s="276">
        <f>IF(F$5&gt;$D$7,0,VLOOKUP(SAP_Speadsheet!F$5,Leadsheet!$C$18:$F$23,4,1))</f>
        <v>7.2999999999999995E-2</v>
      </c>
      <c r="G12" s="276">
        <f>IF(G$5&gt;$D$7,0,VLOOKUP(SAP_Speadsheet!G$5,Leadsheet!$C$18:$F$23,4,1))</f>
        <v>7.2999999999999995E-2</v>
      </c>
      <c r="H12" s="276">
        <f>IF(H$5&gt;$D$7,0,VLOOKUP(SAP_Speadsheet!H$5,Leadsheet!$C$18:$F$23,4,1))</f>
        <v>7.2999999999999995E-2</v>
      </c>
      <c r="I12" s="276">
        <f>IF(I$5&gt;$D$7,0,VLOOKUP(SAP_Speadsheet!I$5,Leadsheet!$C$18:$F$23,4,1))</f>
        <v>7.2999999999999995E-2</v>
      </c>
      <c r="J12" s="276">
        <f>IF(J$5&gt;$D$7,0,VLOOKUP(SAP_Speadsheet!J$5,Leadsheet!$C$18:$F$23,4,1))</f>
        <v>7.2999999999999995E-2</v>
      </c>
      <c r="K12" s="276">
        <f>IF(K$5&gt;$D$7,0,VLOOKUP(SAP_Speadsheet!K$5,Leadsheet!$C$18:$F$23,4,1))</f>
        <v>7.2999999999999995E-2</v>
      </c>
      <c r="L12" s="276">
        <f>IF(L$5&gt;$D$7,0,VLOOKUP(SAP_Speadsheet!L$5,Leadsheet!$C$18:$F$23,4,1))</f>
        <v>7.2999999999999995E-2</v>
      </c>
      <c r="M12" s="276">
        <f>IF(M$5&gt;$D$7,0,VLOOKUP(SAP_Speadsheet!M$5,Leadsheet!$C$18:$F$23,4,1))</f>
        <v>7.2999999999999995E-2</v>
      </c>
      <c r="N12" s="276">
        <f>IF(N$5&gt;$D$7,0,VLOOKUP(SAP_Speadsheet!N$5,Leadsheet!$C$18:$F$23,4,1))</f>
        <v>7.2999999999999995E-2</v>
      </c>
      <c r="O12" s="276">
        <f>IF(O$5&gt;$D$7,0,VLOOKUP(SAP_Speadsheet!O$5,Leadsheet!$C$18:$F$23,4,1))</f>
        <v>7.2999999999999995E-2</v>
      </c>
      <c r="P12" s="276">
        <f>IF(P$5&gt;$D$7,0,VLOOKUP(SAP_Speadsheet!P$5,Leadsheet!$C$18:$F$23,4,1))</f>
        <v>7.2999999999999995E-2</v>
      </c>
      <c r="Q12" s="276">
        <f>IF(Q$5&gt;$D$7,0,VLOOKUP(SAP_Speadsheet!Q$5,Leadsheet!$C$18:$F$23,4,1))</f>
        <v>7.2999999999999995E-2</v>
      </c>
      <c r="R12" s="276">
        <f>IF(R$5&gt;$D$7,0,VLOOKUP(SAP_Speadsheet!R$5,Leadsheet!$C$18:$F$23,4,1))</f>
        <v>7.2999999999999995E-2</v>
      </c>
      <c r="S12" s="276">
        <f>IF(S$5&gt;$D$7,0,VLOOKUP(SAP_Speadsheet!S$5,Leadsheet!$C$18:$F$23,4,1))</f>
        <v>7.2999999999999995E-2</v>
      </c>
      <c r="T12" s="276">
        <f>IF(T$5&gt;$D$7,0,VLOOKUP(SAP_Speadsheet!T$5,Leadsheet!$C$18:$F$23,4,1))</f>
        <v>7.2999999999999995E-2</v>
      </c>
      <c r="U12" s="276">
        <f>IF(U$5&gt;$D$7,0,VLOOKUP(SAP_Speadsheet!U$5,Leadsheet!$C$18:$F$23,4,1))</f>
        <v>7.2999999999999995E-2</v>
      </c>
      <c r="V12" s="276">
        <f>IF(V$5&gt;$D$7,0,VLOOKUP(SAP_Speadsheet!V$5,Leadsheet!$C$18:$F$23,4,1))</f>
        <v>0</v>
      </c>
      <c r="W12" s="276">
        <f>IF(W$5&gt;$D$7,0,VLOOKUP(SAP_Speadsheet!W$5,Leadsheet!$C$18:$F$23,4,1))</f>
        <v>0</v>
      </c>
      <c r="X12" s="276">
        <f>IF(X$5&gt;$D$7,0,VLOOKUP(SAP_Speadsheet!X$5,Leadsheet!$C$18:$F$23,4,1))</f>
        <v>0</v>
      </c>
      <c r="Y12" s="276">
        <f>IF(Y$5&gt;$D$7,0,VLOOKUP(SAP_Speadsheet!Y$5,Leadsheet!$C$18:$F$23,4,1))</f>
        <v>0</v>
      </c>
      <c r="Z12" s="276">
        <f>IF(Z$5&gt;$D$7,0,VLOOKUP(SAP_Speadsheet!Z$5,Leadsheet!$C$18:$F$23,4,1))</f>
        <v>0</v>
      </c>
      <c r="AA12" s="276">
        <f>IF(AA$5&gt;$D$7,0,VLOOKUP(SAP_Speadsheet!AA$5,Leadsheet!$C$18:$F$23,4,1))</f>
        <v>0</v>
      </c>
      <c r="AB12" s="276">
        <f>IF(AB$5&gt;$D$7,0,VLOOKUP(SAP_Speadsheet!AB$5,Leadsheet!$C$18:$F$23,4,1))</f>
        <v>0</v>
      </c>
      <c r="AC12" s="276">
        <f>IF(AC$5&gt;$D$7,0,VLOOKUP(SAP_Speadsheet!AC$5,Leadsheet!$C$18:$F$23,4,1))</f>
        <v>0</v>
      </c>
      <c r="AD12" s="276">
        <f>IF(AD$5&gt;$D$7,0,VLOOKUP(SAP_Speadsheet!AD$5,Leadsheet!$C$18:$F$23,4,1))</f>
        <v>0</v>
      </c>
      <c r="AE12" s="276">
        <f>IF(AE$5&gt;$D$7,0,VLOOKUP(SAP_Speadsheet!AE$5,Leadsheet!$C$18:$F$23,4,1))</f>
        <v>0</v>
      </c>
      <c r="AF12" s="276">
        <f>IF(AF$5&gt;$D$7,0,VLOOKUP(SAP_Speadsheet!AF$5,Leadsheet!$C$18:$F$23,4,1))</f>
        <v>0</v>
      </c>
      <c r="AG12" s="276">
        <f>IF(AG$5&gt;$D$7,0,VLOOKUP(SAP_Speadsheet!AG$5,Leadsheet!$C$18:$F$23,4,1))</f>
        <v>0</v>
      </c>
      <c r="AH12" s="276">
        <f>IF(AH$5&gt;$D$7,0,VLOOKUP(SAP_Speadsheet!AH$5,Leadsheet!$C$18:$F$23,4,1))</f>
        <v>0</v>
      </c>
      <c r="AI12" s="276">
        <f>IF(AI$5&gt;$D$7,0,VLOOKUP(SAP_Speadsheet!AI$5,Leadsheet!$C$18:$F$23,4,1))</f>
        <v>0</v>
      </c>
      <c r="AJ12" s="276">
        <f>IF(AJ$5&gt;$D$7,0,VLOOKUP(SAP_Speadsheet!AJ$5,Leadsheet!$C$18:$F$23,4,1))</f>
        <v>0</v>
      </c>
      <c r="AK12" s="276">
        <f>IF(AK$5&gt;$D$7,0,VLOOKUP(SAP_Speadsheet!AK$5,Leadsheet!$C$18:$F$23,4,1))</f>
        <v>0</v>
      </c>
      <c r="AL12" s="276">
        <f>IF(AL$5&gt;$D$7,0,VLOOKUP(SAP_Speadsheet!AL$5,Leadsheet!$C$18:$F$23,4,1))</f>
        <v>0</v>
      </c>
      <c r="AM12" s="276">
        <f>IF(AM$5&gt;$D$7,0,VLOOKUP(SAP_Speadsheet!AM$5,Leadsheet!$C$18:$F$23,4,1))</f>
        <v>0</v>
      </c>
      <c r="AN12" s="276">
        <f>IF(AN$5&gt;$D$7,0,VLOOKUP(SAP_Speadsheet!AN$5,Leadsheet!$C$18:$F$23,4,1))</f>
        <v>0</v>
      </c>
      <c r="AO12" s="276">
        <f>IF(AO$5&gt;$D$7,0,VLOOKUP(SAP_Speadsheet!AO$5,Leadsheet!$C$18:$F$23,4,1))</f>
        <v>0</v>
      </c>
      <c r="AP12" s="276">
        <f>IF(AP$5&gt;$D$7,0,VLOOKUP(SAP_Speadsheet!AP$5,Leadsheet!$C$18:$F$23,4,1))</f>
        <v>0</v>
      </c>
      <c r="AQ12" s="276">
        <f>IF(AQ$5&gt;$D$7,0,VLOOKUP(SAP_Speadsheet!AQ$5,Leadsheet!$C$18:$F$23,4,1))</f>
        <v>0</v>
      </c>
      <c r="AR12" s="276">
        <f>IF(AR$5&gt;$D$7,0,VLOOKUP(SAP_Speadsheet!AR$5,Leadsheet!$C$18:$F$23,4,1))</f>
        <v>0</v>
      </c>
      <c r="AS12" s="276">
        <f>IF(AS$5&gt;$D$7,0,VLOOKUP(SAP_Speadsheet!AS$5,Leadsheet!$C$18:$F$23,4,1))</f>
        <v>0</v>
      </c>
      <c r="AT12" s="276">
        <f>IF(AT$5&gt;$D$7,0,VLOOKUP(SAP_Speadsheet!AT$5,Leadsheet!$C$18:$F$23,4,1))</f>
        <v>0</v>
      </c>
      <c r="AU12" s="276">
        <f>IF(AU$5&gt;$D$7,0,VLOOKUP(SAP_Speadsheet!AU$5,Leadsheet!$C$18:$F$23,4,1))</f>
        <v>0</v>
      </c>
      <c r="AV12" s="276">
        <f>IF(AV$5&gt;$D$7,0,VLOOKUP(SAP_Speadsheet!AV$5,Leadsheet!$C$18:$F$23,4,1))</f>
        <v>0</v>
      </c>
      <c r="AW12" s="276">
        <f>IF(AW$5&gt;$D$7,0,VLOOKUP(SAP_Speadsheet!AW$5,Leadsheet!$C$18:$F$23,4,1))</f>
        <v>0</v>
      </c>
      <c r="AX12" s="276">
        <f>IF(AX$5&gt;$D$7,0,VLOOKUP(SAP_Speadsheet!AX$5,Leadsheet!$C$18:$F$23,4,1))</f>
        <v>0</v>
      </c>
      <c r="AY12" s="276">
        <f>IF(AY$5&gt;$D$7,0,VLOOKUP(SAP_Speadsheet!AY$5,Leadsheet!$C$18:$F$23,4,1))</f>
        <v>0</v>
      </c>
      <c r="AZ12" s="276">
        <f>IF(AZ$5&gt;$D$7,0,VLOOKUP(SAP_Speadsheet!AZ$5,Leadsheet!$C$18:$F$23,4,1))</f>
        <v>0</v>
      </c>
      <c r="BA12" s="276">
        <f>IF(BA$5&gt;$D$7,0,VLOOKUP(SAP_Speadsheet!BA$5,Leadsheet!$C$18:$F$23,4,1))</f>
        <v>0</v>
      </c>
      <c r="BB12" s="276">
        <f>IF(BB$5&gt;$D$7,0,VLOOKUP(SAP_Speadsheet!BB$5,Leadsheet!$C$18:$F$23,4,1))</f>
        <v>0</v>
      </c>
      <c r="BC12" s="276">
        <f>IF(BC$5&gt;$D$7,0,VLOOKUP(SAP_Speadsheet!BC$5,Leadsheet!$C$18:$F$23,4,1))</f>
        <v>0</v>
      </c>
      <c r="BD12" s="276">
        <f>IF(BD$5&gt;$D$7,0,VLOOKUP(SAP_Speadsheet!BD$5,Leadsheet!$C$18:$F$23,4,1))</f>
        <v>0</v>
      </c>
      <c r="BE12" s="276">
        <f>IF(BE$5&gt;$D$7,0,VLOOKUP(SAP_Speadsheet!BE$5,Leadsheet!$C$18:$F$23,4,1))</f>
        <v>0</v>
      </c>
      <c r="BF12" s="276">
        <f>IF(BF$5&gt;$D$7,0,VLOOKUP(SAP_Speadsheet!BF$5,Leadsheet!$C$18:$F$23,4,1))</f>
        <v>0</v>
      </c>
      <c r="BG12" s="276">
        <f>IF(BG$5&gt;$D$7,0,VLOOKUP(SAP_Speadsheet!BG$5,Leadsheet!$C$18:$F$23,4,1))</f>
        <v>0</v>
      </c>
      <c r="BH12" s="276">
        <f>IF(BH$5&gt;$D$7,0,VLOOKUP(SAP_Speadsheet!BH$5,Leadsheet!$C$18:$F$23,4,1))</f>
        <v>0</v>
      </c>
      <c r="BI12" s="276">
        <f>IF(BI$5&gt;$D$7,0,VLOOKUP(SAP_Speadsheet!BI$5,Leadsheet!$C$18:$F$23,4,1))</f>
        <v>0</v>
      </c>
      <c r="BJ12" s="276">
        <f>IF(BJ$5&gt;$D$7,0,VLOOKUP(SAP_Speadsheet!BJ$5,Leadsheet!$C$18:$F$23,4,1))</f>
        <v>0</v>
      </c>
      <c r="BK12" s="276">
        <f>IF(BK$5&gt;$D$7,0,VLOOKUP(SAP_Speadsheet!BK$5,Leadsheet!$C$18:$F$23,4,1))</f>
        <v>0</v>
      </c>
      <c r="BL12" s="276">
        <f>IF(BL$5&gt;$D$7,0,VLOOKUP(SAP_Speadsheet!BL$5,Leadsheet!$C$18:$F$23,4,1))</f>
        <v>0</v>
      </c>
    </row>
    <row r="13" spans="2:64" x14ac:dyDescent="0.15">
      <c r="C13" s="84" t="s">
        <v>339</v>
      </c>
      <c r="E13" s="276">
        <f>IF(E$5&lt;Leadsheet!$E$12,VLOOKUP(SAP_Speadsheet!E$5,Leadsheet!$C$26:$G$30,5,1),0)</f>
        <v>0.08</v>
      </c>
      <c r="F13" s="276">
        <f>IF(F$5&lt;Leadsheet!$E$12,VLOOKUP(SAP_Speadsheet!F$5,Leadsheet!$C$26:$G$30,5,1),0)</f>
        <v>0.06</v>
      </c>
      <c r="G13" s="276">
        <f>IF(G$5&lt;Leadsheet!$E$12,VLOOKUP(SAP_Speadsheet!G$5,Leadsheet!$C$26:$G$30,5,1),0)</f>
        <v>0.06</v>
      </c>
      <c r="H13" s="276">
        <f>IF(H$5&lt;Leadsheet!$E$12,VLOOKUP(SAP_Speadsheet!H$5,Leadsheet!$C$26:$G$30,5,1),0)</f>
        <v>2.5000000000000001E-2</v>
      </c>
      <c r="I13" s="276">
        <f>IF(I$5&lt;Leadsheet!$E$12,VLOOKUP(SAP_Speadsheet!I$5,Leadsheet!$C$26:$G$30,5,1),0)</f>
        <v>2.5000000000000001E-2</v>
      </c>
      <c r="J13" s="276">
        <f>IF(J$5&lt;Leadsheet!$E$12,VLOOKUP(SAP_Speadsheet!J$5,Leadsheet!$C$26:$G$30,5,1),0)</f>
        <v>2.5000000000000001E-2</v>
      </c>
      <c r="K13" s="276">
        <f>IF(K$5&lt;Leadsheet!$E$12,VLOOKUP(SAP_Speadsheet!K$5,Leadsheet!$C$26:$G$30,5,1),0)</f>
        <v>2.5000000000000001E-2</v>
      </c>
      <c r="L13" s="276">
        <f>IF(L$5&lt;Leadsheet!$E$12,VLOOKUP(SAP_Speadsheet!L$5,Leadsheet!$C$26:$G$30,5,1),0)</f>
        <v>2.5000000000000001E-2</v>
      </c>
      <c r="M13" s="276">
        <f>IF(M$5&lt;Leadsheet!$E$12,VLOOKUP(SAP_Speadsheet!M$5,Leadsheet!$C$26:$G$30,5,1),0)</f>
        <v>2.5000000000000001E-2</v>
      </c>
      <c r="N13" s="276">
        <f>IF(N$5&lt;Leadsheet!$E$12,VLOOKUP(SAP_Speadsheet!N$5,Leadsheet!$C$26:$G$30,5,1),0)</f>
        <v>2.5000000000000001E-2</v>
      </c>
      <c r="O13" s="276">
        <f>IF(O$5&lt;Leadsheet!$E$12,VLOOKUP(SAP_Speadsheet!O$5,Leadsheet!$C$26:$G$30,5,1),0)</f>
        <v>0</v>
      </c>
      <c r="P13" s="276">
        <f>IF(P$5&lt;Leadsheet!$E$12,VLOOKUP(SAP_Speadsheet!P$5,Leadsheet!$C$26:$G$30,5,1),0)</f>
        <v>0</v>
      </c>
      <c r="Q13" s="276">
        <f>IF(Q$5&lt;Leadsheet!$E$12,VLOOKUP(SAP_Speadsheet!Q$5,Leadsheet!$C$26:$G$30,5,1),0)</f>
        <v>0</v>
      </c>
      <c r="R13" s="276">
        <f>IF(R$5&lt;Leadsheet!$E$12,VLOOKUP(SAP_Speadsheet!R$5,Leadsheet!$C$26:$G$30,5,1),0)</f>
        <v>0</v>
      </c>
      <c r="S13" s="276">
        <f>IF(S$5&lt;Leadsheet!$E$12,VLOOKUP(SAP_Speadsheet!S$5,Leadsheet!$C$26:$G$30,5,1),0)</f>
        <v>0</v>
      </c>
      <c r="T13" s="276">
        <f>IF(T$5&lt;Leadsheet!$E$12,VLOOKUP(SAP_Speadsheet!T$5,Leadsheet!$C$26:$G$30,5,1),0)</f>
        <v>0</v>
      </c>
      <c r="U13" s="276">
        <f>IF(U$5&lt;Leadsheet!$E$12,VLOOKUP(SAP_Speadsheet!U$5,Leadsheet!$C$26:$G$30,5,1),0)</f>
        <v>0</v>
      </c>
      <c r="V13" s="276">
        <f>IF(V$5&lt;Leadsheet!$E$12,VLOOKUP(SAP_Speadsheet!V$5,Leadsheet!$C$26:$G$30,5,1),0)</f>
        <v>0</v>
      </c>
      <c r="W13" s="276">
        <f>IF(W$5&lt;Leadsheet!$E$12,VLOOKUP(SAP_Speadsheet!W$5,Leadsheet!$C$26:$G$30,5,1),0)</f>
        <v>0</v>
      </c>
      <c r="X13" s="276">
        <f>IF(X$5&lt;Leadsheet!$E$12,VLOOKUP(SAP_Speadsheet!X$5,Leadsheet!$C$26:$G$30,5,1),0)</f>
        <v>0</v>
      </c>
      <c r="Y13" s="276">
        <f>IF(Y$5&lt;Leadsheet!$E$12,VLOOKUP(SAP_Speadsheet!Y$5,Leadsheet!$C$26:$G$30,5,1),0)</f>
        <v>0</v>
      </c>
      <c r="Z13" s="276">
        <f>IF(Z$5&lt;Leadsheet!$E$12,VLOOKUP(SAP_Speadsheet!Z$5,Leadsheet!$C$26:$G$30,5,1),0)</f>
        <v>0</v>
      </c>
      <c r="AA13" s="276">
        <f>IF(AA$5&lt;Leadsheet!$E$12,VLOOKUP(SAP_Speadsheet!AA$5,Leadsheet!$C$26:$G$30,5,1),0)</f>
        <v>0</v>
      </c>
      <c r="AB13" s="276">
        <f>IF(AB$5&lt;Leadsheet!$E$12,VLOOKUP(SAP_Speadsheet!AB$5,Leadsheet!$C$26:$G$30,5,1),0)</f>
        <v>0</v>
      </c>
      <c r="AC13" s="276">
        <f>IF(AC$5&lt;Leadsheet!$E$12,VLOOKUP(SAP_Speadsheet!AC$5,Leadsheet!$C$26:$G$30,5,1),0)</f>
        <v>0</v>
      </c>
      <c r="AD13" s="276">
        <f>IF(AD$5&lt;Leadsheet!$E$12,VLOOKUP(SAP_Speadsheet!AD$5,Leadsheet!$C$26:$G$30,5,1),0)</f>
        <v>0</v>
      </c>
      <c r="AE13" s="276">
        <f>IF(AE$5&lt;Leadsheet!$E$12,VLOOKUP(SAP_Speadsheet!AE$5,Leadsheet!$C$26:$G$30,5,1),0)</f>
        <v>0</v>
      </c>
      <c r="AF13" s="276">
        <f>IF(AF$5&lt;Leadsheet!$E$12,VLOOKUP(SAP_Speadsheet!AF$5,Leadsheet!$C$26:$G$30,5,1),0)</f>
        <v>0</v>
      </c>
      <c r="AG13" s="276">
        <f>IF(AG$5&lt;Leadsheet!$E$12,VLOOKUP(SAP_Speadsheet!AG$5,Leadsheet!$C$26:$G$30,5,1),0)</f>
        <v>0</v>
      </c>
      <c r="AH13" s="276">
        <f>IF(AH$5&lt;Leadsheet!$E$12,VLOOKUP(SAP_Speadsheet!AH$5,Leadsheet!$C$26:$G$30,5,1),0)</f>
        <v>0</v>
      </c>
      <c r="AI13" s="276">
        <f>IF(AI$5&lt;Leadsheet!$E$12,VLOOKUP(SAP_Speadsheet!AI$5,Leadsheet!$C$26:$G$30,5,1),0)</f>
        <v>0</v>
      </c>
      <c r="AJ13" s="276">
        <f>IF(AJ$5&lt;Leadsheet!$E$12,VLOOKUP(SAP_Speadsheet!AJ$5,Leadsheet!$C$26:$G$30,5,1),0)</f>
        <v>0</v>
      </c>
      <c r="AK13" s="276">
        <f>IF(AK$5&lt;Leadsheet!$E$12,VLOOKUP(SAP_Speadsheet!AK$5,Leadsheet!$C$26:$G$30,5,1),0)</f>
        <v>0</v>
      </c>
      <c r="AL13" s="276">
        <f>IF(AL$5&lt;Leadsheet!$E$12,VLOOKUP(SAP_Speadsheet!AL$5,Leadsheet!$C$26:$G$30,5,1),0)</f>
        <v>0</v>
      </c>
      <c r="AM13" s="276">
        <f>IF(AM$5&lt;Leadsheet!$E$12,VLOOKUP(SAP_Speadsheet!AM$5,Leadsheet!$C$26:$G$30,5,1),0)</f>
        <v>0</v>
      </c>
      <c r="AN13" s="276">
        <f>IF(AN$5&lt;Leadsheet!$E$12,VLOOKUP(SAP_Speadsheet!AN$5,Leadsheet!$C$26:$G$30,5,1),0)</f>
        <v>0</v>
      </c>
      <c r="AO13" s="276">
        <f>IF(AO$5&lt;Leadsheet!$E$12,VLOOKUP(SAP_Speadsheet!AO$5,Leadsheet!$C$26:$G$30,5,1),0)</f>
        <v>0</v>
      </c>
      <c r="AP13" s="276">
        <f>IF(AP$5&lt;Leadsheet!$E$12,VLOOKUP(SAP_Speadsheet!AP$5,Leadsheet!$C$26:$G$30,5,1),0)</f>
        <v>0</v>
      </c>
      <c r="AQ13" s="276">
        <f>IF(AQ$5&lt;Leadsheet!$E$12,VLOOKUP(SAP_Speadsheet!AQ$5,Leadsheet!$C$26:$G$30,5,1),0)</f>
        <v>0</v>
      </c>
      <c r="AR13" s="276">
        <f>IF(AR$5&lt;Leadsheet!$E$12,VLOOKUP(SAP_Speadsheet!AR$5,Leadsheet!$C$26:$G$30,5,1),0)</f>
        <v>0</v>
      </c>
      <c r="AS13" s="276">
        <f>IF(AS$5&lt;Leadsheet!$E$12,VLOOKUP(SAP_Speadsheet!AS$5,Leadsheet!$C$26:$G$30,5,1),0)</f>
        <v>0</v>
      </c>
      <c r="AT13" s="276">
        <f>IF(AT$5&lt;Leadsheet!$E$12,VLOOKUP(SAP_Speadsheet!AT$5,Leadsheet!$C$26:$G$30,5,1),0)</f>
        <v>0</v>
      </c>
      <c r="AU13" s="276">
        <f>IF(AU$5&lt;Leadsheet!$E$12,VLOOKUP(SAP_Speadsheet!AU$5,Leadsheet!$C$26:$G$30,5,1),0)</f>
        <v>0</v>
      </c>
      <c r="AV13" s="276">
        <f>IF(AV$5&lt;Leadsheet!$E$12,VLOOKUP(SAP_Speadsheet!AV$5,Leadsheet!$C$26:$G$30,5,1),0)</f>
        <v>0</v>
      </c>
      <c r="AW13" s="276">
        <f>IF(AW$5&lt;Leadsheet!$E$12,VLOOKUP(SAP_Speadsheet!AW$5,Leadsheet!$C$26:$G$30,5,1),0)</f>
        <v>0</v>
      </c>
      <c r="AX13" s="276">
        <f>IF(AX$5&lt;Leadsheet!$E$12,VLOOKUP(SAP_Speadsheet!AX$5,Leadsheet!$C$26:$G$30,5,1),0)</f>
        <v>0</v>
      </c>
      <c r="AY13" s="276">
        <f>IF(AY$5&lt;Leadsheet!$E$12,VLOOKUP(SAP_Speadsheet!AY$5,Leadsheet!$C$26:$G$30,5,1),0)</f>
        <v>0</v>
      </c>
      <c r="AZ13" s="276">
        <f>IF(AZ$5&lt;Leadsheet!$E$12,VLOOKUP(SAP_Speadsheet!AZ$5,Leadsheet!$C$26:$G$30,5,1),0)</f>
        <v>0</v>
      </c>
      <c r="BA13" s="276">
        <f>IF(BA$5&lt;Leadsheet!$E$12,VLOOKUP(SAP_Speadsheet!BA$5,Leadsheet!$C$26:$G$30,5,1),0)</f>
        <v>0</v>
      </c>
      <c r="BB13" s="276">
        <f>IF(BB$5&lt;Leadsheet!$E$12,VLOOKUP(SAP_Speadsheet!BB$5,Leadsheet!$C$26:$G$30,5,1),0)</f>
        <v>0</v>
      </c>
      <c r="BC13" s="276">
        <f>IF(BC$5&lt;Leadsheet!$E$12,VLOOKUP(SAP_Speadsheet!BC$5,Leadsheet!$C$26:$G$30,5,1),0)</f>
        <v>0</v>
      </c>
      <c r="BD13" s="276">
        <f>IF(BD$5&lt;Leadsheet!$E$12,VLOOKUP(SAP_Speadsheet!BD$5,Leadsheet!$C$26:$G$30,5,1),0)</f>
        <v>0</v>
      </c>
      <c r="BE13" s="276">
        <f>IF(BE$5&lt;Leadsheet!$E$12,VLOOKUP(SAP_Speadsheet!BE$5,Leadsheet!$C$26:$G$30,5,1),0)</f>
        <v>0</v>
      </c>
      <c r="BF13" s="276">
        <f>IF(BF$5&lt;Leadsheet!$E$12,VLOOKUP(SAP_Speadsheet!BF$5,Leadsheet!$C$26:$G$30,5,1),0)</f>
        <v>0</v>
      </c>
      <c r="BG13" s="276">
        <f>IF(BG$5&lt;Leadsheet!$E$12,VLOOKUP(SAP_Speadsheet!BG$5,Leadsheet!$C$26:$G$30,5,1),0)</f>
        <v>0</v>
      </c>
      <c r="BH13" s="276">
        <f>IF(BH$5&lt;Leadsheet!$E$12,VLOOKUP(SAP_Speadsheet!BH$5,Leadsheet!$C$26:$G$30,5,1),0)</f>
        <v>0</v>
      </c>
      <c r="BI13" s="276">
        <f>IF(BI$5&lt;Leadsheet!$E$12,VLOOKUP(SAP_Speadsheet!BI$5,Leadsheet!$C$26:$G$30,5,1),0)</f>
        <v>0</v>
      </c>
      <c r="BJ13" s="276">
        <f>IF(BJ$5&lt;Leadsheet!$E$12,VLOOKUP(SAP_Speadsheet!BJ$5,Leadsheet!$C$26:$G$30,5,1),0)</f>
        <v>0</v>
      </c>
      <c r="BK13" s="276">
        <f>IF(BK$5&lt;Leadsheet!$E$12,VLOOKUP(SAP_Speadsheet!BK$5,Leadsheet!$C$26:$G$30,5,1),0)</f>
        <v>0</v>
      </c>
      <c r="BL13" s="276">
        <f>IF(BL$5&lt;Leadsheet!$E$12,VLOOKUP(SAP_Speadsheet!BL$5,Leadsheet!$C$26:$G$30,5,1),0)</f>
        <v>0</v>
      </c>
    </row>
    <row r="14" spans="2:64" x14ac:dyDescent="0.15">
      <c r="C14" s="84" t="s">
        <v>350</v>
      </c>
      <c r="E14" s="276">
        <f>IF(E$5&lt;Leadsheet!$E$12,VLOOKUP(SAP_Speadsheet!E$5,Leadsheet!$C$26:$F$30,3,1),0)</f>
        <v>0.03</v>
      </c>
      <c r="F14" s="276">
        <f>IF(F$5&lt;Leadsheet!$E$12,VLOOKUP(SAP_Speadsheet!F$5,Leadsheet!$C$26:$F$30,3,1),0)</f>
        <v>0.03</v>
      </c>
      <c r="G14" s="276">
        <f>IF(G$5&lt;Leadsheet!$E$12,VLOOKUP(SAP_Speadsheet!G$5,Leadsheet!$C$26:$F$30,3,1),0)</f>
        <v>0.03</v>
      </c>
      <c r="H14" s="276">
        <f>IF(H$5&lt;Leadsheet!$E$12,VLOOKUP(SAP_Speadsheet!H$5,Leadsheet!$C$26:$F$30,3,1),0)</f>
        <v>0.03</v>
      </c>
      <c r="I14" s="276">
        <f>IF(I$5&lt;Leadsheet!$E$12,VLOOKUP(SAP_Speadsheet!I$5,Leadsheet!$C$26:$F$30,3,1),0)</f>
        <v>0.03</v>
      </c>
      <c r="J14" s="276">
        <f>IF(J$5&lt;Leadsheet!$E$12,VLOOKUP(SAP_Speadsheet!J$5,Leadsheet!$C$26:$F$30,3,1),0)</f>
        <v>0.03</v>
      </c>
      <c r="K14" s="276">
        <f>IF(K$5&lt;Leadsheet!$E$12,VLOOKUP(SAP_Speadsheet!K$5,Leadsheet!$C$26:$F$30,3,1),0)</f>
        <v>0.03</v>
      </c>
      <c r="L14" s="276">
        <f>IF(L$5&lt;Leadsheet!$E$12,VLOOKUP(SAP_Speadsheet!L$5,Leadsheet!$C$26:$F$30,3,1),0)</f>
        <v>0.03</v>
      </c>
      <c r="M14" s="276">
        <f>IF(M$5&lt;Leadsheet!$E$12,VLOOKUP(SAP_Speadsheet!M$5,Leadsheet!$C$26:$F$30,3,1),0)</f>
        <v>0.03</v>
      </c>
      <c r="N14" s="276">
        <f>IF(N$5&lt;Leadsheet!$E$12,VLOOKUP(SAP_Speadsheet!N$5,Leadsheet!$C$26:$F$30,3,1),0)</f>
        <v>0.03</v>
      </c>
      <c r="O14" s="276">
        <f>IF(O$5&lt;Leadsheet!$E$12,VLOOKUP(SAP_Speadsheet!O$5,Leadsheet!$C$26:$F$30,3,1),0)</f>
        <v>0</v>
      </c>
      <c r="P14" s="276">
        <f>IF(P$5&lt;Leadsheet!$E$12,VLOOKUP(SAP_Speadsheet!P$5,Leadsheet!$C$26:$F$30,3,1),0)</f>
        <v>0</v>
      </c>
      <c r="Q14" s="276">
        <f>IF(Q$5&lt;Leadsheet!$E$12,VLOOKUP(SAP_Speadsheet!Q$5,Leadsheet!$C$26:$F$30,3,1),0)</f>
        <v>0</v>
      </c>
      <c r="R14" s="276">
        <f>IF(R$5&lt;Leadsheet!$E$12,VLOOKUP(SAP_Speadsheet!R$5,Leadsheet!$C$26:$F$30,3,1),0)</f>
        <v>0</v>
      </c>
      <c r="S14" s="276">
        <f>IF(S$5&lt;Leadsheet!$E$12,VLOOKUP(SAP_Speadsheet!S$5,Leadsheet!$C$26:$F$30,3,1),0)</f>
        <v>0</v>
      </c>
      <c r="T14" s="276">
        <f>IF(T$5&lt;Leadsheet!$E$12,VLOOKUP(SAP_Speadsheet!T$5,Leadsheet!$C$26:$F$30,3,1),0)</f>
        <v>0</v>
      </c>
      <c r="U14" s="276">
        <f>IF(U$5&lt;Leadsheet!$E$12,VLOOKUP(SAP_Speadsheet!U$5,Leadsheet!$C$26:$F$30,3,1),0)</f>
        <v>0</v>
      </c>
      <c r="V14" s="276">
        <f>IF(V$5&lt;Leadsheet!$E$12,VLOOKUP(SAP_Speadsheet!V$5,Leadsheet!$C$26:$F$30,3,1),0)</f>
        <v>0</v>
      </c>
      <c r="W14" s="276">
        <f>IF(W$5&lt;Leadsheet!$E$12,VLOOKUP(SAP_Speadsheet!W$5,Leadsheet!$C$26:$F$30,3,1),0)</f>
        <v>0</v>
      </c>
      <c r="X14" s="276">
        <f>IF(X$5&lt;Leadsheet!$E$12,VLOOKUP(SAP_Speadsheet!X$5,Leadsheet!$C$26:$F$30,3,1),0)</f>
        <v>0</v>
      </c>
      <c r="Y14" s="276">
        <f>IF(Y$5&lt;Leadsheet!$E$12,VLOOKUP(SAP_Speadsheet!Y$5,Leadsheet!$C$26:$F$30,3,1),0)</f>
        <v>0</v>
      </c>
      <c r="Z14" s="276">
        <f>IF(Z$5&lt;Leadsheet!$E$12,VLOOKUP(SAP_Speadsheet!Z$5,Leadsheet!$C$26:$F$30,3,1),0)</f>
        <v>0</v>
      </c>
      <c r="AA14" s="276">
        <f>IF(AA$5&lt;Leadsheet!$E$12,VLOOKUP(SAP_Speadsheet!AA$5,Leadsheet!$C$26:$F$30,3,1),0)</f>
        <v>0</v>
      </c>
      <c r="AB14" s="276">
        <f>IF(AB$5&lt;Leadsheet!$E$12,VLOOKUP(SAP_Speadsheet!AB$5,Leadsheet!$C$26:$F$30,3,1),0)</f>
        <v>0</v>
      </c>
      <c r="AC14" s="276">
        <f>IF(AC$5&lt;Leadsheet!$E$12,VLOOKUP(SAP_Speadsheet!AC$5,Leadsheet!$C$26:$F$30,3,1),0)</f>
        <v>0</v>
      </c>
      <c r="AD14" s="276">
        <f>IF(AD$5&lt;Leadsheet!$E$12,VLOOKUP(SAP_Speadsheet!AD$5,Leadsheet!$C$26:$F$30,3,1),0)</f>
        <v>0</v>
      </c>
      <c r="AE14" s="276">
        <f>IF(AE$5&lt;Leadsheet!$E$12,VLOOKUP(SAP_Speadsheet!AE$5,Leadsheet!$C$26:$F$30,3,1),0)</f>
        <v>0</v>
      </c>
      <c r="AF14" s="276">
        <f>IF(AF$5&lt;Leadsheet!$E$12,VLOOKUP(SAP_Speadsheet!AF$5,Leadsheet!$C$26:$F$30,3,1),0)</f>
        <v>0</v>
      </c>
      <c r="AG14" s="276">
        <f>IF(AG$5&lt;Leadsheet!$E$12,VLOOKUP(SAP_Speadsheet!AG$5,Leadsheet!$C$26:$F$30,3,1),0)</f>
        <v>0</v>
      </c>
      <c r="AH14" s="276">
        <f>IF(AH$5&lt;Leadsheet!$E$12,VLOOKUP(SAP_Speadsheet!AH$5,Leadsheet!$C$26:$F$30,3,1),0)</f>
        <v>0</v>
      </c>
      <c r="AI14" s="276">
        <f>IF(AI$5&lt;Leadsheet!$E$12,VLOOKUP(SAP_Speadsheet!AI$5,Leadsheet!$C$26:$F$30,3,1),0)</f>
        <v>0</v>
      </c>
      <c r="AJ14" s="276">
        <f>IF(AJ$5&lt;Leadsheet!$E$12,VLOOKUP(SAP_Speadsheet!AJ$5,Leadsheet!$C$26:$F$30,3,1),0)</f>
        <v>0</v>
      </c>
      <c r="AK14" s="276">
        <f>IF(AK$5&lt;Leadsheet!$E$12,VLOOKUP(SAP_Speadsheet!AK$5,Leadsheet!$C$26:$F$30,3,1),0)</f>
        <v>0</v>
      </c>
      <c r="AL14" s="276">
        <f>IF(AL$5&lt;Leadsheet!$E$12,VLOOKUP(SAP_Speadsheet!AL$5,Leadsheet!$C$26:$F$30,3,1),0)</f>
        <v>0</v>
      </c>
      <c r="AM14" s="276">
        <f>IF(AM$5&lt;Leadsheet!$E$12,VLOOKUP(SAP_Speadsheet!AM$5,Leadsheet!$C$26:$F$30,3,1),0)</f>
        <v>0</v>
      </c>
      <c r="AN14" s="276">
        <f>IF(AN$5&lt;Leadsheet!$E$12,VLOOKUP(SAP_Speadsheet!AN$5,Leadsheet!$C$26:$F$30,3,1),0)</f>
        <v>0</v>
      </c>
      <c r="AO14" s="276">
        <f>IF(AO$5&lt;Leadsheet!$E$12,VLOOKUP(SAP_Speadsheet!AO$5,Leadsheet!$C$26:$F$30,3,1),0)</f>
        <v>0</v>
      </c>
      <c r="AP14" s="276">
        <f>IF(AP$5&lt;Leadsheet!$E$12,VLOOKUP(SAP_Speadsheet!AP$5,Leadsheet!$C$26:$F$30,3,1),0)</f>
        <v>0</v>
      </c>
      <c r="AQ14" s="276">
        <f>IF(AQ$5&lt;Leadsheet!$E$12,VLOOKUP(SAP_Speadsheet!AQ$5,Leadsheet!$C$26:$F$30,3,1),0)</f>
        <v>0</v>
      </c>
      <c r="AR14" s="276">
        <f>IF(AR$5&lt;Leadsheet!$E$12,VLOOKUP(SAP_Speadsheet!AR$5,Leadsheet!$C$26:$F$30,3,1),0)</f>
        <v>0</v>
      </c>
      <c r="AS14" s="276">
        <f>IF(AS$5&lt;Leadsheet!$E$12,VLOOKUP(SAP_Speadsheet!AS$5,Leadsheet!$C$26:$F$30,3,1),0)</f>
        <v>0</v>
      </c>
      <c r="AT14" s="276">
        <f>IF(AT$5&lt;Leadsheet!$E$12,VLOOKUP(SAP_Speadsheet!AT$5,Leadsheet!$C$26:$F$30,3,1),0)</f>
        <v>0</v>
      </c>
      <c r="AU14" s="276">
        <f>IF(AU$5&lt;Leadsheet!$E$12,VLOOKUP(SAP_Speadsheet!AU$5,Leadsheet!$C$26:$F$30,3,1),0)</f>
        <v>0</v>
      </c>
      <c r="AV14" s="276">
        <f>IF(AV$5&lt;Leadsheet!$E$12,VLOOKUP(SAP_Speadsheet!AV$5,Leadsheet!$C$26:$F$30,3,1),0)</f>
        <v>0</v>
      </c>
      <c r="AW14" s="276">
        <f>IF(AW$5&lt;Leadsheet!$E$12,VLOOKUP(SAP_Speadsheet!AW$5,Leadsheet!$C$26:$F$30,3,1),0)</f>
        <v>0</v>
      </c>
      <c r="AX14" s="276">
        <f>IF(AX$5&lt;Leadsheet!$E$12,VLOOKUP(SAP_Speadsheet!AX$5,Leadsheet!$C$26:$F$30,3,1),0)</f>
        <v>0</v>
      </c>
      <c r="AY14" s="276">
        <f>IF(AY$5&lt;Leadsheet!$E$12,VLOOKUP(SAP_Speadsheet!AY$5,Leadsheet!$C$26:$F$30,3,1),0)</f>
        <v>0</v>
      </c>
      <c r="AZ14" s="276">
        <f>IF(AZ$5&lt;Leadsheet!$E$12,VLOOKUP(SAP_Speadsheet!AZ$5,Leadsheet!$C$26:$F$30,3,1),0)</f>
        <v>0</v>
      </c>
      <c r="BA14" s="276">
        <f>IF(BA$5&lt;Leadsheet!$E$12,VLOOKUP(SAP_Speadsheet!BA$5,Leadsheet!$C$26:$F$30,3,1),0)</f>
        <v>0</v>
      </c>
      <c r="BB14" s="276">
        <f>IF(BB$5&lt;Leadsheet!$E$12,VLOOKUP(SAP_Speadsheet!BB$5,Leadsheet!$C$26:$F$30,3,1),0)</f>
        <v>0</v>
      </c>
      <c r="BC14" s="276">
        <f>IF(BC$5&lt;Leadsheet!$E$12,VLOOKUP(SAP_Speadsheet!BC$5,Leadsheet!$C$26:$F$30,3,1),0)</f>
        <v>0</v>
      </c>
      <c r="BD14" s="276">
        <f>IF(BD$5&lt;Leadsheet!$E$12,VLOOKUP(SAP_Speadsheet!BD$5,Leadsheet!$C$26:$F$30,3,1),0)</f>
        <v>0</v>
      </c>
      <c r="BE14" s="276">
        <f>IF(BE$5&lt;Leadsheet!$E$12,VLOOKUP(SAP_Speadsheet!BE$5,Leadsheet!$C$26:$F$30,3,1),0)</f>
        <v>0</v>
      </c>
      <c r="BF14" s="276">
        <f>IF(BF$5&lt;Leadsheet!$E$12,VLOOKUP(SAP_Speadsheet!BF$5,Leadsheet!$C$26:$F$30,3,1),0)</f>
        <v>0</v>
      </c>
      <c r="BG14" s="276">
        <f>IF(BG$5&lt;Leadsheet!$E$12,VLOOKUP(SAP_Speadsheet!BG$5,Leadsheet!$C$26:$F$30,3,1),0)</f>
        <v>0</v>
      </c>
      <c r="BH14" s="276">
        <f>IF(BH$5&lt;Leadsheet!$E$12,VLOOKUP(SAP_Speadsheet!BH$5,Leadsheet!$C$26:$F$30,3,1),0)</f>
        <v>0</v>
      </c>
      <c r="BI14" s="276">
        <f>IF(BI$5&lt;Leadsheet!$E$12,VLOOKUP(SAP_Speadsheet!BI$5,Leadsheet!$C$26:$F$30,3,1),0)</f>
        <v>0</v>
      </c>
      <c r="BJ14" s="276">
        <f>IF(BJ$5&lt;Leadsheet!$E$12,VLOOKUP(SAP_Speadsheet!BJ$5,Leadsheet!$C$26:$F$30,3,1),0)</f>
        <v>0</v>
      </c>
      <c r="BK14" s="276">
        <f>IF(BK$5&lt;Leadsheet!$E$12,VLOOKUP(SAP_Speadsheet!BK$5,Leadsheet!$C$26:$F$30,3,1),0)</f>
        <v>0</v>
      </c>
      <c r="BL14" s="276">
        <f>IF(BL$5&lt;Leadsheet!$E$12,VLOOKUP(SAP_Speadsheet!BL$5,Leadsheet!$C$26:$F$30,3,1),0)</f>
        <v>0</v>
      </c>
    </row>
    <row r="15" spans="2:64" x14ac:dyDescent="0.15">
      <c r="E15" s="276"/>
      <c r="F15" s="276"/>
      <c r="G15" s="276"/>
      <c r="H15" s="276"/>
      <c r="I15" s="276"/>
      <c r="J15" s="276"/>
      <c r="K15" s="276"/>
      <c r="L15" s="276"/>
      <c r="M15" s="276"/>
      <c r="N15" s="276"/>
      <c r="O15" s="276"/>
      <c r="P15" s="276"/>
      <c r="Q15" s="276"/>
      <c r="R15" s="276"/>
      <c r="S15" s="276"/>
      <c r="T15" s="276"/>
      <c r="U15" s="276"/>
      <c r="V15" s="276"/>
      <c r="W15" s="276"/>
      <c r="X15" s="276"/>
      <c r="Y15" s="276"/>
      <c r="Z15" s="276"/>
      <c r="AA15" s="276"/>
      <c r="AB15" s="276"/>
      <c r="AC15" s="276"/>
      <c r="AD15" s="276"/>
      <c r="AE15" s="276"/>
      <c r="AF15" s="276"/>
      <c r="AG15" s="276"/>
      <c r="AH15" s="276"/>
      <c r="AI15" s="276"/>
      <c r="AJ15" s="276"/>
      <c r="AK15" s="276"/>
      <c r="AL15" s="276"/>
      <c r="AM15" s="276"/>
      <c r="AN15" s="276"/>
      <c r="AO15" s="276"/>
      <c r="AP15" s="276"/>
      <c r="AQ15" s="276"/>
      <c r="AR15" s="276"/>
      <c r="AS15" s="276"/>
      <c r="AT15" s="276"/>
      <c r="AU15" s="276"/>
      <c r="AV15" s="276"/>
      <c r="AW15" s="276"/>
      <c r="AX15" s="276"/>
      <c r="AY15" s="276"/>
      <c r="AZ15" s="268"/>
      <c r="BA15" s="268"/>
      <c r="BB15" s="268"/>
      <c r="BC15" s="268"/>
      <c r="BD15" s="268"/>
      <c r="BE15" s="268"/>
      <c r="BF15" s="268"/>
      <c r="BG15" s="268"/>
      <c r="BH15" s="268"/>
      <c r="BI15" s="268"/>
      <c r="BJ15" s="268"/>
      <c r="BK15" s="268"/>
      <c r="BL15" s="268"/>
    </row>
    <row r="16" spans="2:64" x14ac:dyDescent="0.15">
      <c r="B16" s="155" t="s">
        <v>190</v>
      </c>
      <c r="C16" s="84" t="s">
        <v>351</v>
      </c>
      <c r="D16" s="277">
        <v>1</v>
      </c>
      <c r="E16" s="278">
        <f t="shared" ref="E16:BL16" si="1">IF(E5&gt;$D$7,0,D16-E13)</f>
        <v>0.92</v>
      </c>
      <c r="F16" s="278">
        <f t="shared" si="1"/>
        <v>0.8600000000000001</v>
      </c>
      <c r="G16" s="278">
        <f t="shared" si="1"/>
        <v>0.8</v>
      </c>
      <c r="H16" s="278">
        <f t="shared" si="1"/>
        <v>0.77500000000000002</v>
      </c>
      <c r="I16" s="278">
        <f t="shared" si="1"/>
        <v>0.75</v>
      </c>
      <c r="J16" s="278">
        <f t="shared" si="1"/>
        <v>0.72499999999999998</v>
      </c>
      <c r="K16" s="278">
        <f t="shared" si="1"/>
        <v>0.7</v>
      </c>
      <c r="L16" s="278">
        <f t="shared" si="1"/>
        <v>0.67499999999999993</v>
      </c>
      <c r="M16" s="278">
        <f t="shared" si="1"/>
        <v>0.64999999999999991</v>
      </c>
      <c r="N16" s="278">
        <f t="shared" si="1"/>
        <v>0.62499999999999989</v>
      </c>
      <c r="O16" s="278">
        <f t="shared" si="1"/>
        <v>0.62499999999999989</v>
      </c>
      <c r="P16" s="278">
        <f t="shared" si="1"/>
        <v>0.62499999999999989</v>
      </c>
      <c r="Q16" s="278">
        <f t="shared" si="1"/>
        <v>0.62499999999999989</v>
      </c>
      <c r="R16" s="278">
        <f t="shared" si="1"/>
        <v>0.62499999999999989</v>
      </c>
      <c r="S16" s="278">
        <f t="shared" si="1"/>
        <v>0.62499999999999989</v>
      </c>
      <c r="T16" s="278">
        <f t="shared" si="1"/>
        <v>0.62499999999999989</v>
      </c>
      <c r="U16" s="278">
        <f t="shared" si="1"/>
        <v>0.62499999999999989</v>
      </c>
      <c r="V16" s="278">
        <f t="shared" si="1"/>
        <v>0</v>
      </c>
      <c r="W16" s="278">
        <f t="shared" si="1"/>
        <v>0</v>
      </c>
      <c r="X16" s="278">
        <f t="shared" si="1"/>
        <v>0</v>
      </c>
      <c r="Y16" s="278">
        <f t="shared" si="1"/>
        <v>0</v>
      </c>
      <c r="Z16" s="278">
        <f t="shared" si="1"/>
        <v>0</v>
      </c>
      <c r="AA16" s="278">
        <f t="shared" si="1"/>
        <v>0</v>
      </c>
      <c r="AB16" s="278">
        <f t="shared" si="1"/>
        <v>0</v>
      </c>
      <c r="AC16" s="278">
        <f t="shared" si="1"/>
        <v>0</v>
      </c>
      <c r="AD16" s="278">
        <f t="shared" si="1"/>
        <v>0</v>
      </c>
      <c r="AE16" s="278">
        <f t="shared" si="1"/>
        <v>0</v>
      </c>
      <c r="AF16" s="278">
        <f t="shared" si="1"/>
        <v>0</v>
      </c>
      <c r="AG16" s="278">
        <f t="shared" si="1"/>
        <v>0</v>
      </c>
      <c r="AH16" s="278">
        <f t="shared" si="1"/>
        <v>0</v>
      </c>
      <c r="AI16" s="278">
        <f t="shared" si="1"/>
        <v>0</v>
      </c>
      <c r="AJ16" s="278">
        <f t="shared" si="1"/>
        <v>0</v>
      </c>
      <c r="AK16" s="278">
        <f t="shared" si="1"/>
        <v>0</v>
      </c>
      <c r="AL16" s="278">
        <f t="shared" si="1"/>
        <v>0</v>
      </c>
      <c r="AM16" s="278">
        <f t="shared" si="1"/>
        <v>0</v>
      </c>
      <c r="AN16" s="278">
        <f t="shared" si="1"/>
        <v>0</v>
      </c>
      <c r="AO16" s="278">
        <f t="shared" si="1"/>
        <v>0</v>
      </c>
      <c r="AP16" s="278">
        <f t="shared" si="1"/>
        <v>0</v>
      </c>
      <c r="AQ16" s="278">
        <f t="shared" si="1"/>
        <v>0</v>
      </c>
      <c r="AR16" s="278">
        <f t="shared" si="1"/>
        <v>0</v>
      </c>
      <c r="AS16" s="278">
        <f t="shared" si="1"/>
        <v>0</v>
      </c>
      <c r="AT16" s="278">
        <f t="shared" si="1"/>
        <v>0</v>
      </c>
      <c r="AU16" s="278">
        <f t="shared" si="1"/>
        <v>0</v>
      </c>
      <c r="AV16" s="278">
        <f t="shared" si="1"/>
        <v>0</v>
      </c>
      <c r="AW16" s="278">
        <f t="shared" si="1"/>
        <v>0</v>
      </c>
      <c r="AX16" s="278">
        <f t="shared" si="1"/>
        <v>0</v>
      </c>
      <c r="AY16" s="278">
        <f t="shared" si="1"/>
        <v>0</v>
      </c>
      <c r="AZ16" s="278">
        <f t="shared" si="1"/>
        <v>0</v>
      </c>
      <c r="BA16" s="278">
        <f t="shared" si="1"/>
        <v>0</v>
      </c>
      <c r="BB16" s="278">
        <f t="shared" si="1"/>
        <v>0</v>
      </c>
      <c r="BC16" s="278">
        <f t="shared" si="1"/>
        <v>0</v>
      </c>
      <c r="BD16" s="278">
        <f t="shared" si="1"/>
        <v>0</v>
      </c>
      <c r="BE16" s="278">
        <f t="shared" si="1"/>
        <v>0</v>
      </c>
      <c r="BF16" s="278">
        <f t="shared" si="1"/>
        <v>0</v>
      </c>
      <c r="BG16" s="278">
        <f t="shared" si="1"/>
        <v>0</v>
      </c>
      <c r="BH16" s="278">
        <f t="shared" si="1"/>
        <v>0</v>
      </c>
      <c r="BI16" s="278">
        <f t="shared" si="1"/>
        <v>0</v>
      </c>
      <c r="BJ16" s="278">
        <f t="shared" si="1"/>
        <v>0</v>
      </c>
      <c r="BK16" s="278">
        <f t="shared" si="1"/>
        <v>0</v>
      </c>
      <c r="BL16" s="278">
        <f t="shared" si="1"/>
        <v>0</v>
      </c>
    </row>
    <row r="17" spans="1:64" s="140" customFormat="1" x14ac:dyDescent="0.15">
      <c r="B17" s="155"/>
      <c r="C17" s="183" t="s">
        <v>352</v>
      </c>
      <c r="D17" s="279">
        <f>Leadsheet!E10</f>
        <v>13.084424538752435</v>
      </c>
      <c r="E17" s="279">
        <f>IF(E$5&gt;Leadsheet!$E$12,0,D17+E21+E18)</f>
        <v>11.081359257735322</v>
      </c>
      <c r="F17" s="279">
        <f>IF(F$5&gt;Leadsheet!$E$12,0,SAP_Speadsheet!E17+SAP_Speadsheet!F21+F18)</f>
        <v>9.4751934141214154</v>
      </c>
      <c r="G17" s="279">
        <f>IF(G$5&gt;Leadsheet!$E$12,0,SAP_Speadsheet!F17+SAP_Speadsheet!G21+G18)</f>
        <v>7.9707314541745333</v>
      </c>
      <c r="H17" s="279">
        <f>IF(H$5&gt;Leadsheet!$E$12,0,SAP_Speadsheet!G17+SAP_Speadsheet!H21+H18)</f>
        <v>6.8869747393294682</v>
      </c>
      <c r="I17" s="279">
        <f>IF(I$5&gt;Leadsheet!$E$12,0,SAP_Speadsheet!H17+SAP_Speadsheet!I21+I18)</f>
        <v>5.8242756084105185</v>
      </c>
      <c r="J17" s="279">
        <f>IF(J$5&gt;Leadsheet!$E$12,0,SAP_Speadsheet!I17+SAP_Speadsheet!J21+J18)</f>
        <v>4.7833460827759726</v>
      </c>
      <c r="K17" s="279">
        <f>IF(K$5&gt;Leadsheet!$E$12,0,SAP_Speadsheet!J17+SAP_Speadsheet!K21+K18)</f>
        <v>3.7650235480767562</v>
      </c>
      <c r="L17" s="279">
        <f>IF(L$5&gt;Leadsheet!$E$12,0,SAP_Speadsheet!K17+SAP_Speadsheet!L21+L18)</f>
        <v>2.7706340971369734</v>
      </c>
      <c r="M17" s="279">
        <f>IF(M$5&gt;Leadsheet!$E$12,0,SAP_Speadsheet!L17+SAP_Speadsheet!M21+M18)</f>
        <v>1.8024866465331897</v>
      </c>
      <c r="N17" s="279">
        <f>IF(N$5&gt;Leadsheet!$E$12,0,SAP_Speadsheet!M17+SAP_Speadsheet!N21+N18)</f>
        <v>0.86527403198056418</v>
      </c>
      <c r="O17" s="279">
        <f>IF(O$5&gt;Leadsheet!$E$12,0,SAP_Speadsheet!N17+SAP_Speadsheet!O21+O18)</f>
        <v>0</v>
      </c>
      <c r="P17" s="279">
        <f>IF(P$5&gt;Leadsheet!$E$12,0,SAP_Speadsheet!O17+SAP_Speadsheet!P21+P18)</f>
        <v>0</v>
      </c>
      <c r="Q17" s="279">
        <f>IF(Q$5&gt;Leadsheet!$E$12,0,SAP_Speadsheet!P17+SAP_Speadsheet!Q21+Q18)</f>
        <v>0</v>
      </c>
      <c r="R17" s="279">
        <f>IF(R$5&gt;Leadsheet!$E$12,0,SAP_Speadsheet!Q17+SAP_Speadsheet!R21+R18)</f>
        <v>0</v>
      </c>
      <c r="S17" s="279">
        <f>IF(S$5&gt;Leadsheet!$E$12,0,SAP_Speadsheet!R17+SAP_Speadsheet!S21+S18)</f>
        <v>0</v>
      </c>
      <c r="T17" s="279">
        <f>IF(T$5&gt;Leadsheet!$E$12,0,SAP_Speadsheet!S17+SAP_Speadsheet!T21+T18)</f>
        <v>0</v>
      </c>
      <c r="U17" s="279">
        <f>IF(U$5&gt;Leadsheet!$E$12,0,SAP_Speadsheet!T17+SAP_Speadsheet!U21+U18)</f>
        <v>0</v>
      </c>
      <c r="V17" s="279">
        <f>IF(V$5&gt;Leadsheet!$E$12,0,SAP_Speadsheet!U17+SAP_Speadsheet!V21+V18)</f>
        <v>0</v>
      </c>
      <c r="W17" s="279">
        <f>IF(W$5&gt;Leadsheet!$E$12,0,SAP_Speadsheet!V17+SAP_Speadsheet!W21+W18)</f>
        <v>0</v>
      </c>
      <c r="X17" s="279">
        <f>IF(X$5&gt;Leadsheet!$E$12,0,SAP_Speadsheet!W17+SAP_Speadsheet!X21+X18)</f>
        <v>0</v>
      </c>
      <c r="Y17" s="279">
        <f>IF(Y$5&gt;Leadsheet!$E$12,0,SAP_Speadsheet!X17+SAP_Speadsheet!Y21+Y18)</f>
        <v>0</v>
      </c>
      <c r="Z17" s="279">
        <f>IF(Z$5&gt;Leadsheet!$E$12,0,SAP_Speadsheet!Y17+SAP_Speadsheet!Z21+Z18)</f>
        <v>0</v>
      </c>
      <c r="AA17" s="279">
        <f>IF(AA$5&gt;Leadsheet!$E$12,0,SAP_Speadsheet!Z17+SAP_Speadsheet!AA21+AA18)</f>
        <v>0</v>
      </c>
      <c r="AB17" s="279">
        <f>IF(AB$5&gt;Leadsheet!$E$12,0,SAP_Speadsheet!AA17+SAP_Speadsheet!AB21+AB18)</f>
        <v>0</v>
      </c>
      <c r="AC17" s="279">
        <f>IF(AC$5&gt;Leadsheet!$E$12,0,SAP_Speadsheet!AB17+SAP_Speadsheet!AC21+AC18)</f>
        <v>0</v>
      </c>
      <c r="AD17" s="279">
        <f>IF(AD$5&gt;Leadsheet!$E$12,0,SAP_Speadsheet!AC17+SAP_Speadsheet!AD21+AD18)</f>
        <v>0</v>
      </c>
      <c r="AE17" s="279">
        <f>IF(AE$5&gt;Leadsheet!$E$12,0,SAP_Speadsheet!AD17+SAP_Speadsheet!AE21+AE18)</f>
        <v>0</v>
      </c>
      <c r="AF17" s="279">
        <f>IF(AF$5&gt;Leadsheet!$E$12,0,SAP_Speadsheet!AE17+SAP_Speadsheet!AF21+AF18)</f>
        <v>0</v>
      </c>
      <c r="AG17" s="279">
        <f>IF(AG$5&gt;Leadsheet!$E$12,0,SAP_Speadsheet!AF17+SAP_Speadsheet!AG21+AG18)</f>
        <v>0</v>
      </c>
      <c r="AH17" s="279">
        <f>IF(AH$5&gt;Leadsheet!$E$12,0,SAP_Speadsheet!AG17+SAP_Speadsheet!AH21+AH18)</f>
        <v>0</v>
      </c>
      <c r="AI17" s="279">
        <f>IF(AI$5&gt;Leadsheet!$E$12,0,SAP_Speadsheet!AH17+SAP_Speadsheet!AI21+AI18)</f>
        <v>0</v>
      </c>
      <c r="AJ17" s="279">
        <f>IF(AJ$5&gt;Leadsheet!$E$12,0,SAP_Speadsheet!AI17+SAP_Speadsheet!AJ21+AJ18)</f>
        <v>0</v>
      </c>
      <c r="AK17" s="279">
        <f>IF(AK$5&gt;Leadsheet!$E$12,0,SAP_Speadsheet!AJ17+SAP_Speadsheet!AK21+AK18)</f>
        <v>0</v>
      </c>
      <c r="AL17" s="279">
        <f>IF(AL$5&gt;Leadsheet!$E$12,0,SAP_Speadsheet!AK17+SAP_Speadsheet!AL21+AL18)</f>
        <v>0</v>
      </c>
      <c r="AM17" s="279">
        <f>IF(AM$5&gt;Leadsheet!$E$12,0,SAP_Speadsheet!AL17+SAP_Speadsheet!AM21+AM18)</f>
        <v>0</v>
      </c>
      <c r="AN17" s="279">
        <f>IF(AN$5&gt;Leadsheet!$E$12,0,SAP_Speadsheet!AM17+SAP_Speadsheet!AN21+AN18)</f>
        <v>0</v>
      </c>
      <c r="AO17" s="279">
        <f>IF(AO$5&gt;Leadsheet!$E$12,0,SAP_Speadsheet!AN17+SAP_Speadsheet!AO21+AO18)</f>
        <v>0</v>
      </c>
      <c r="AP17" s="279">
        <f>IF(AP$5&gt;Leadsheet!$E$12,0,SAP_Speadsheet!AO17+SAP_Speadsheet!AP21+AP18)</f>
        <v>0</v>
      </c>
      <c r="AQ17" s="279">
        <f>IF(AQ$5&gt;Leadsheet!$E$12,0,SAP_Speadsheet!AP17+SAP_Speadsheet!AQ21+AQ18)</f>
        <v>0</v>
      </c>
      <c r="AR17" s="279">
        <f>IF(AR$5&gt;Leadsheet!$E$12,0,SAP_Speadsheet!AQ17+SAP_Speadsheet!AR21+AR18)</f>
        <v>0</v>
      </c>
      <c r="AS17" s="279">
        <f>IF(AS$5&gt;Leadsheet!$E$12,0,SAP_Speadsheet!AR17+SAP_Speadsheet!AS21+AS18)</f>
        <v>0</v>
      </c>
      <c r="AT17" s="279">
        <f>IF(AT$5&gt;Leadsheet!$E$12,0,SAP_Speadsheet!AS17+SAP_Speadsheet!AT21+AT18)</f>
        <v>0</v>
      </c>
      <c r="AU17" s="279">
        <f>IF(AU$5&gt;Leadsheet!$E$12,0,SAP_Speadsheet!AT17+SAP_Speadsheet!AU21+AU18)</f>
        <v>0</v>
      </c>
      <c r="AV17" s="279">
        <f>IF(AV$5&gt;Leadsheet!$E$12,0,SAP_Speadsheet!AU17+SAP_Speadsheet!AV21+AV18)</f>
        <v>0</v>
      </c>
      <c r="AW17" s="279">
        <f>IF(AW$5&gt;Leadsheet!$E$12,0,SAP_Speadsheet!AV17+SAP_Speadsheet!AW21+AW18)</f>
        <v>0</v>
      </c>
      <c r="AX17" s="279">
        <f>IF(AX$5&gt;Leadsheet!$E$12,0,SAP_Speadsheet!AW17+SAP_Speadsheet!AX21+AX18)</f>
        <v>0</v>
      </c>
      <c r="AY17" s="279">
        <f>IF(AY$5&gt;Leadsheet!$E$12,0,SAP_Speadsheet!AX17+SAP_Speadsheet!AY21+AY18)</f>
        <v>0</v>
      </c>
      <c r="AZ17" s="279">
        <f>IF(AZ$5&gt;Leadsheet!$E$12,0,SAP_Speadsheet!AY17+SAP_Speadsheet!AZ21+AZ18)</f>
        <v>0</v>
      </c>
      <c r="BA17" s="279">
        <f>IF(BA$5&gt;Leadsheet!$E$12,0,SAP_Speadsheet!AZ17+SAP_Speadsheet!BA21+BA18)</f>
        <v>0</v>
      </c>
      <c r="BB17" s="279">
        <f>IF(BB$5&gt;Leadsheet!$E$12,0,SAP_Speadsheet!BA17+SAP_Speadsheet!BB21+BB18)</f>
        <v>0</v>
      </c>
      <c r="BC17" s="279">
        <f>IF(BC$5&gt;Leadsheet!$E$12,0,SAP_Speadsheet!BB17+SAP_Speadsheet!BC21+BC18)</f>
        <v>0</v>
      </c>
      <c r="BD17" s="279">
        <f>IF(BD$5&gt;Leadsheet!$E$12,0,SAP_Speadsheet!BC17+SAP_Speadsheet!BD21+BD18)</f>
        <v>0</v>
      </c>
      <c r="BE17" s="279">
        <f>IF(BE$5&gt;Leadsheet!$E$12,0,SAP_Speadsheet!BD17+SAP_Speadsheet!BE21+BE18)</f>
        <v>0</v>
      </c>
      <c r="BF17" s="279">
        <f>IF(BF$5&gt;Leadsheet!$E$12,0,SAP_Speadsheet!BE17+SAP_Speadsheet!BF21+BF18)</f>
        <v>0</v>
      </c>
      <c r="BG17" s="279">
        <f>IF(BG$5&gt;Leadsheet!$E$12,0,SAP_Speadsheet!BF17+SAP_Speadsheet!BG21+BG18)</f>
        <v>0</v>
      </c>
      <c r="BH17" s="279">
        <f>IF(BH$5&gt;Leadsheet!$E$12,0,SAP_Speadsheet!BG17+SAP_Speadsheet!BH21+BH18)</f>
        <v>0</v>
      </c>
      <c r="BI17" s="279">
        <f>IF(BI$5&gt;Leadsheet!$E$12,0,SAP_Speadsheet!BH17+SAP_Speadsheet!BI21+BI18)</f>
        <v>0</v>
      </c>
      <c r="BJ17" s="279">
        <f>IF(BJ$5&gt;Leadsheet!$E$12,0,SAP_Speadsheet!BI17+SAP_Speadsheet!BJ21+BJ18)</f>
        <v>0</v>
      </c>
      <c r="BK17" s="279">
        <f>IF(BK$5&gt;Leadsheet!$E$12,0,SAP_Speadsheet!BJ17+SAP_Speadsheet!BK21+BK18)</f>
        <v>0</v>
      </c>
      <c r="BL17" s="279">
        <f>IF(BL$5&gt;Leadsheet!$E$12,0,SAP_Speadsheet!BK17+SAP_Speadsheet!BL21+BL18)</f>
        <v>0</v>
      </c>
    </row>
    <row r="18" spans="1:64" x14ac:dyDescent="0.15">
      <c r="C18" s="84" t="s">
        <v>353</v>
      </c>
      <c r="E18" s="140">
        <f>-IF(E6&gt;0,IFERROR(D27*(D16-E16)/D16,0),0)</f>
        <v>-1.0467539631001943</v>
      </c>
      <c r="F18" s="140">
        <f>-IF(F6&gt;0,IFERROR(E27*(E16-F16)/E16,0),0)</f>
        <v>-0.69501360619604791</v>
      </c>
      <c r="G18" s="140">
        <f>-IF(G6&gt;0,IFERROR(F27*(F16-G16)/F16,0),0)</f>
        <v>-0.61926259342395762</v>
      </c>
      <c r="H18" s="140">
        <f t="shared" ref="H18:BL18" si="2">-IF(H6&gt;0,IFERROR(G27*(G16-H16)/G16,0),0)</f>
        <v>-0.22723521878533526</v>
      </c>
      <c r="I18" s="140">
        <f t="shared" si="2"/>
        <v>-0.19806587258899735</v>
      </c>
      <c r="J18" s="140">
        <f t="shared" si="2"/>
        <v>-0.1689619512961337</v>
      </c>
      <c r="K18" s="140">
        <f t="shared" si="2"/>
        <v>-0.14007619771954555</v>
      </c>
      <c r="L18" s="140">
        <f t="shared" si="2"/>
        <v>-0.11142387813306197</v>
      </c>
      <c r="M18" s="140">
        <f t="shared" si="2"/>
        <v>-8.3007199593208347E-2</v>
      </c>
      <c r="N18" s="140">
        <f t="shared" si="2"/>
        <v>-5.484230756623866E-2</v>
      </c>
      <c r="O18" s="140">
        <f t="shared" si="2"/>
        <v>0</v>
      </c>
      <c r="P18" s="140">
        <f t="shared" si="2"/>
        <v>0</v>
      </c>
      <c r="Q18" s="140">
        <f t="shared" si="2"/>
        <v>0</v>
      </c>
      <c r="R18" s="140">
        <f t="shared" si="2"/>
        <v>0</v>
      </c>
      <c r="S18" s="140">
        <f t="shared" si="2"/>
        <v>0</v>
      </c>
      <c r="T18" s="140">
        <f t="shared" si="2"/>
        <v>0</v>
      </c>
      <c r="U18" s="140">
        <f t="shared" si="2"/>
        <v>0</v>
      </c>
      <c r="V18" s="140">
        <f t="shared" si="2"/>
        <v>0</v>
      </c>
      <c r="W18" s="140">
        <f t="shared" si="2"/>
        <v>0</v>
      </c>
      <c r="X18" s="140">
        <f t="shared" si="2"/>
        <v>0</v>
      </c>
      <c r="Y18" s="140">
        <f t="shared" si="2"/>
        <v>0</v>
      </c>
      <c r="Z18" s="140">
        <f t="shared" si="2"/>
        <v>0</v>
      </c>
      <c r="AA18" s="140">
        <f t="shared" si="2"/>
        <v>0</v>
      </c>
      <c r="AB18" s="140">
        <f t="shared" si="2"/>
        <v>0</v>
      </c>
      <c r="AC18" s="140">
        <f t="shared" si="2"/>
        <v>0</v>
      </c>
      <c r="AD18" s="140">
        <f t="shared" si="2"/>
        <v>0</v>
      </c>
      <c r="AE18" s="140">
        <f t="shared" si="2"/>
        <v>0</v>
      </c>
      <c r="AF18" s="140">
        <f t="shared" si="2"/>
        <v>0</v>
      </c>
      <c r="AG18" s="140">
        <f t="shared" si="2"/>
        <v>0</v>
      </c>
      <c r="AH18" s="140">
        <f t="shared" si="2"/>
        <v>0</v>
      </c>
      <c r="AI18" s="140">
        <f t="shared" si="2"/>
        <v>0</v>
      </c>
      <c r="AJ18" s="140">
        <f t="shared" si="2"/>
        <v>0</v>
      </c>
      <c r="AK18" s="140">
        <f t="shared" si="2"/>
        <v>0</v>
      </c>
      <c r="AL18" s="140">
        <f t="shared" si="2"/>
        <v>0</v>
      </c>
      <c r="AM18" s="140">
        <f t="shared" si="2"/>
        <v>0</v>
      </c>
      <c r="AN18" s="140">
        <f t="shared" si="2"/>
        <v>0</v>
      </c>
      <c r="AO18" s="140">
        <f t="shared" si="2"/>
        <v>0</v>
      </c>
      <c r="AP18" s="140">
        <f t="shared" si="2"/>
        <v>0</v>
      </c>
      <c r="AQ18" s="140">
        <f t="shared" si="2"/>
        <v>0</v>
      </c>
      <c r="AR18" s="140">
        <f t="shared" si="2"/>
        <v>0</v>
      </c>
      <c r="AS18" s="140">
        <f t="shared" si="2"/>
        <v>0</v>
      </c>
      <c r="AT18" s="140">
        <f t="shared" si="2"/>
        <v>0</v>
      </c>
      <c r="AU18" s="140">
        <f t="shared" si="2"/>
        <v>0</v>
      </c>
      <c r="AV18" s="140">
        <f t="shared" si="2"/>
        <v>0</v>
      </c>
      <c r="AW18" s="140">
        <f t="shared" si="2"/>
        <v>0</v>
      </c>
      <c r="AX18" s="140">
        <f t="shared" si="2"/>
        <v>0</v>
      </c>
      <c r="AY18" s="140">
        <f t="shared" si="2"/>
        <v>0</v>
      </c>
      <c r="AZ18" s="140">
        <f t="shared" si="2"/>
        <v>0</v>
      </c>
      <c r="BA18" s="140">
        <f t="shared" si="2"/>
        <v>0</v>
      </c>
      <c r="BB18" s="140">
        <f t="shared" si="2"/>
        <v>0</v>
      </c>
      <c r="BC18" s="140">
        <f t="shared" si="2"/>
        <v>0</v>
      </c>
      <c r="BD18" s="140">
        <f t="shared" si="2"/>
        <v>0</v>
      </c>
      <c r="BE18" s="140">
        <f t="shared" si="2"/>
        <v>0</v>
      </c>
      <c r="BF18" s="140">
        <f t="shared" si="2"/>
        <v>0</v>
      </c>
      <c r="BG18" s="140">
        <f t="shared" si="2"/>
        <v>0</v>
      </c>
      <c r="BH18" s="140">
        <f t="shared" si="2"/>
        <v>0</v>
      </c>
      <c r="BI18" s="140">
        <f t="shared" si="2"/>
        <v>0</v>
      </c>
      <c r="BJ18" s="140">
        <f t="shared" si="2"/>
        <v>0</v>
      </c>
      <c r="BK18" s="140">
        <f t="shared" si="2"/>
        <v>0</v>
      </c>
      <c r="BL18" s="140">
        <f t="shared" si="2"/>
        <v>0</v>
      </c>
    </row>
    <row r="19" spans="1:64" x14ac:dyDescent="0.15">
      <c r="C19" s="84" t="s">
        <v>354</v>
      </c>
      <c r="E19" s="279">
        <f>-IFERROR(PMT(D11/12,D6,-D17),0)</f>
        <v>-1.5160367651170288</v>
      </c>
      <c r="F19" s="279">
        <f>-IFERROR(PMT(E11/12,E6,-E17),0)</f>
        <v>-1.3851905680873378</v>
      </c>
      <c r="G19" s="279">
        <f>-IFERROR(PMT(F11/12,F6,-F17),0)</f>
        <v>-1.2905291428015149</v>
      </c>
      <c r="H19" s="279">
        <f t="shared" ref="H19:BL19" si="3">-IFERROR(PMT(G11/12,G6,-G17),0)</f>
        <v>-1.1974934061721176</v>
      </c>
      <c r="I19" s="279">
        <f t="shared" si="3"/>
        <v>-1.1592442291380418</v>
      </c>
      <c r="J19" s="279">
        <f t="shared" si="3"/>
        <v>-1.1211184070616294</v>
      </c>
      <c r="K19" s="279">
        <f t="shared" si="3"/>
        <v>-1.0828682916835302</v>
      </c>
      <c r="L19" s="279">
        <f t="shared" si="3"/>
        <v>-1.0440257312359074</v>
      </c>
      <c r="M19" s="279">
        <f t="shared" si="3"/>
        <v>-1.0036624225019422</v>
      </c>
      <c r="N19" s="279">
        <f t="shared" si="3"/>
        <v>-0.95947707169850238</v>
      </c>
      <c r="O19" s="279">
        <f t="shared" si="3"/>
        <v>-0.90228872017464967</v>
      </c>
      <c r="P19" s="279">
        <f t="shared" si="3"/>
        <v>0</v>
      </c>
      <c r="Q19" s="279">
        <f t="shared" si="3"/>
        <v>0</v>
      </c>
      <c r="R19" s="279">
        <f t="shared" si="3"/>
        <v>0</v>
      </c>
      <c r="S19" s="279">
        <f t="shared" si="3"/>
        <v>0</v>
      </c>
      <c r="T19" s="279">
        <f t="shared" si="3"/>
        <v>0</v>
      </c>
      <c r="U19" s="279">
        <f t="shared" si="3"/>
        <v>0</v>
      </c>
      <c r="V19" s="279">
        <f t="shared" si="3"/>
        <v>0</v>
      </c>
      <c r="W19" s="279">
        <f t="shared" si="3"/>
        <v>0</v>
      </c>
      <c r="X19" s="279">
        <f t="shared" si="3"/>
        <v>0</v>
      </c>
      <c r="Y19" s="279">
        <f t="shared" si="3"/>
        <v>0</v>
      </c>
      <c r="Z19" s="279">
        <f>-IFERROR(PMT(Y11/12,Y6,-Y17),0)</f>
        <v>0</v>
      </c>
      <c r="AA19" s="279">
        <f>-IFERROR(PMT(Z11/12,Z6,-Z17),0)</f>
        <v>0</v>
      </c>
      <c r="AB19" s="279">
        <f t="shared" si="3"/>
        <v>0</v>
      </c>
      <c r="AC19" s="279">
        <f t="shared" si="3"/>
        <v>0</v>
      </c>
      <c r="AD19" s="279">
        <f t="shared" si="3"/>
        <v>0</v>
      </c>
      <c r="AE19" s="279">
        <f t="shared" si="3"/>
        <v>0</v>
      </c>
      <c r="AF19" s="279">
        <f t="shared" si="3"/>
        <v>0</v>
      </c>
      <c r="AG19" s="279">
        <f t="shared" si="3"/>
        <v>0</v>
      </c>
      <c r="AH19" s="279">
        <f t="shared" si="3"/>
        <v>0</v>
      </c>
      <c r="AI19" s="279">
        <f t="shared" si="3"/>
        <v>0</v>
      </c>
      <c r="AJ19" s="279">
        <f t="shared" si="3"/>
        <v>0</v>
      </c>
      <c r="AK19" s="279">
        <f t="shared" si="3"/>
        <v>0</v>
      </c>
      <c r="AL19" s="279">
        <f t="shared" si="3"/>
        <v>0</v>
      </c>
      <c r="AM19" s="279">
        <f t="shared" si="3"/>
        <v>0</v>
      </c>
      <c r="AN19" s="279">
        <f t="shared" si="3"/>
        <v>0</v>
      </c>
      <c r="AO19" s="279">
        <f t="shared" si="3"/>
        <v>0</v>
      </c>
      <c r="AP19" s="279">
        <f t="shared" si="3"/>
        <v>0</v>
      </c>
      <c r="AQ19" s="279">
        <f t="shared" si="3"/>
        <v>0</v>
      </c>
      <c r="AR19" s="279">
        <f t="shared" si="3"/>
        <v>0</v>
      </c>
      <c r="AS19" s="279">
        <f t="shared" si="3"/>
        <v>0</v>
      </c>
      <c r="AT19" s="279">
        <f t="shared" si="3"/>
        <v>0</v>
      </c>
      <c r="AU19" s="279">
        <f t="shared" si="3"/>
        <v>0</v>
      </c>
      <c r="AV19" s="279">
        <f t="shared" si="3"/>
        <v>0</v>
      </c>
      <c r="AW19" s="279">
        <f t="shared" si="3"/>
        <v>0</v>
      </c>
      <c r="AX19" s="279">
        <f t="shared" si="3"/>
        <v>0</v>
      </c>
      <c r="AY19" s="279">
        <f t="shared" si="3"/>
        <v>0</v>
      </c>
      <c r="AZ19" s="279">
        <f t="shared" si="3"/>
        <v>0</v>
      </c>
      <c r="BA19" s="279">
        <f t="shared" si="3"/>
        <v>0</v>
      </c>
      <c r="BB19" s="279">
        <f t="shared" si="3"/>
        <v>0</v>
      </c>
      <c r="BC19" s="279">
        <f t="shared" si="3"/>
        <v>0</v>
      </c>
      <c r="BD19" s="279">
        <f t="shared" si="3"/>
        <v>0</v>
      </c>
      <c r="BE19" s="279">
        <f t="shared" si="3"/>
        <v>0</v>
      </c>
      <c r="BF19" s="279">
        <f t="shared" si="3"/>
        <v>0</v>
      </c>
      <c r="BG19" s="279">
        <f t="shared" si="3"/>
        <v>0</v>
      </c>
      <c r="BH19" s="279">
        <f t="shared" si="3"/>
        <v>0</v>
      </c>
      <c r="BI19" s="279">
        <f t="shared" si="3"/>
        <v>0</v>
      </c>
      <c r="BJ19" s="279">
        <f t="shared" si="3"/>
        <v>0</v>
      </c>
      <c r="BK19" s="279">
        <f t="shared" si="3"/>
        <v>0</v>
      </c>
      <c r="BL19" s="279">
        <f t="shared" si="3"/>
        <v>0</v>
      </c>
    </row>
    <row r="20" spans="1:64" s="140" customFormat="1" x14ac:dyDescent="0.15">
      <c r="C20" s="84" t="s">
        <v>355</v>
      </c>
      <c r="E20" s="140">
        <f>-IF(E5&gt;$D$6,0,D17*D11/12)</f>
        <v>-0.55972544720010908</v>
      </c>
      <c r="F20" s="140">
        <f t="shared" ref="F20:BL20" si="4">-IF(F5&gt;$D$6,0,E17*E11/12)</f>
        <v>-0.47403833066947892</v>
      </c>
      <c r="G20" s="140">
        <f t="shared" si="4"/>
        <v>-0.40532977627859146</v>
      </c>
      <c r="H20" s="140">
        <f t="shared" si="4"/>
        <v>-0.34097191011238775</v>
      </c>
      <c r="I20" s="140">
        <f t="shared" si="4"/>
        <v>-0.29461097080808929</v>
      </c>
      <c r="J20" s="140">
        <f t="shared" si="4"/>
        <v>-0.24915083272321706</v>
      </c>
      <c r="K20" s="140">
        <f t="shared" si="4"/>
        <v>-0.20462195470385969</v>
      </c>
      <c r="L20" s="140">
        <f t="shared" si="4"/>
        <v>-0.16106015842918656</v>
      </c>
      <c r="M20" s="140">
        <f t="shared" si="4"/>
        <v>-0.11852217149136669</v>
      </c>
      <c r="N20" s="140">
        <f t="shared" si="4"/>
        <v>-7.7106764712115514E-2</v>
      </c>
      <c r="O20" s="140">
        <f t="shared" si="4"/>
        <v>-3.7014688194085529E-2</v>
      </c>
      <c r="P20" s="140">
        <f t="shared" si="4"/>
        <v>0</v>
      </c>
      <c r="Q20" s="140">
        <f t="shared" si="4"/>
        <v>0</v>
      </c>
      <c r="R20" s="140">
        <f t="shared" si="4"/>
        <v>0</v>
      </c>
      <c r="S20" s="140">
        <f t="shared" si="4"/>
        <v>0</v>
      </c>
      <c r="T20" s="140">
        <f t="shared" si="4"/>
        <v>0</v>
      </c>
      <c r="U20" s="140">
        <f t="shared" si="4"/>
        <v>0</v>
      </c>
      <c r="V20" s="140">
        <f t="shared" si="4"/>
        <v>0</v>
      </c>
      <c r="W20" s="140">
        <f t="shared" si="4"/>
        <v>0</v>
      </c>
      <c r="X20" s="140">
        <f t="shared" si="4"/>
        <v>0</v>
      </c>
      <c r="Y20" s="140">
        <f t="shared" si="4"/>
        <v>0</v>
      </c>
      <c r="Z20" s="140">
        <f t="shared" si="4"/>
        <v>0</v>
      </c>
      <c r="AA20" s="140">
        <f t="shared" si="4"/>
        <v>0</v>
      </c>
      <c r="AB20" s="140">
        <f t="shared" si="4"/>
        <v>0</v>
      </c>
      <c r="AC20" s="140">
        <f t="shared" si="4"/>
        <v>0</v>
      </c>
      <c r="AD20" s="140">
        <f t="shared" si="4"/>
        <v>0</v>
      </c>
      <c r="AE20" s="140">
        <f t="shared" si="4"/>
        <v>0</v>
      </c>
      <c r="AF20" s="140">
        <f t="shared" si="4"/>
        <v>0</v>
      </c>
      <c r="AG20" s="140">
        <f t="shared" si="4"/>
        <v>0</v>
      </c>
      <c r="AH20" s="140">
        <f t="shared" si="4"/>
        <v>0</v>
      </c>
      <c r="AI20" s="140">
        <f t="shared" si="4"/>
        <v>0</v>
      </c>
      <c r="AJ20" s="140">
        <f t="shared" si="4"/>
        <v>0</v>
      </c>
      <c r="AK20" s="140">
        <f t="shared" si="4"/>
        <v>0</v>
      </c>
      <c r="AL20" s="140">
        <f t="shared" si="4"/>
        <v>0</v>
      </c>
      <c r="AM20" s="140">
        <f t="shared" si="4"/>
        <v>0</v>
      </c>
      <c r="AN20" s="140">
        <f t="shared" si="4"/>
        <v>0</v>
      </c>
      <c r="AO20" s="140">
        <f t="shared" si="4"/>
        <v>0</v>
      </c>
      <c r="AP20" s="140">
        <f t="shared" si="4"/>
        <v>0</v>
      </c>
      <c r="AQ20" s="140">
        <f t="shared" si="4"/>
        <v>0</v>
      </c>
      <c r="AR20" s="140">
        <f t="shared" si="4"/>
        <v>0</v>
      </c>
      <c r="AS20" s="140">
        <f t="shared" si="4"/>
        <v>0</v>
      </c>
      <c r="AT20" s="140">
        <f t="shared" si="4"/>
        <v>0</v>
      </c>
      <c r="AU20" s="140">
        <f t="shared" si="4"/>
        <v>0</v>
      </c>
      <c r="AV20" s="140">
        <f t="shared" si="4"/>
        <v>0</v>
      </c>
      <c r="AW20" s="140">
        <f t="shared" si="4"/>
        <v>0</v>
      </c>
      <c r="AX20" s="140">
        <f t="shared" si="4"/>
        <v>0</v>
      </c>
      <c r="AY20" s="140">
        <f t="shared" si="4"/>
        <v>0</v>
      </c>
      <c r="AZ20" s="140">
        <f t="shared" si="4"/>
        <v>0</v>
      </c>
      <c r="BA20" s="140">
        <f t="shared" si="4"/>
        <v>0</v>
      </c>
      <c r="BB20" s="140">
        <f t="shared" si="4"/>
        <v>0</v>
      </c>
      <c r="BC20" s="140">
        <f t="shared" si="4"/>
        <v>0</v>
      </c>
      <c r="BD20" s="140">
        <f t="shared" si="4"/>
        <v>0</v>
      </c>
      <c r="BE20" s="140">
        <f t="shared" si="4"/>
        <v>0</v>
      </c>
      <c r="BF20" s="140">
        <f t="shared" si="4"/>
        <v>0</v>
      </c>
      <c r="BG20" s="140">
        <f t="shared" si="4"/>
        <v>0</v>
      </c>
      <c r="BH20" s="140">
        <f t="shared" si="4"/>
        <v>0</v>
      </c>
      <c r="BI20" s="140">
        <f t="shared" si="4"/>
        <v>0</v>
      </c>
      <c r="BJ20" s="140">
        <f t="shared" si="4"/>
        <v>0</v>
      </c>
      <c r="BK20" s="140">
        <f t="shared" si="4"/>
        <v>0</v>
      </c>
      <c r="BL20" s="140">
        <f t="shared" si="4"/>
        <v>0</v>
      </c>
    </row>
    <row r="21" spans="1:64" s="140" customFormat="1" x14ac:dyDescent="0.15">
      <c r="C21" s="280" t="s">
        <v>356</v>
      </c>
      <c r="E21" s="140">
        <f t="shared" ref="E21:BL21" si="5">E19-E20</f>
        <v>-0.9563113179169197</v>
      </c>
      <c r="F21" s="140">
        <f t="shared" si="5"/>
        <v>-0.91115223741785889</v>
      </c>
      <c r="G21" s="140">
        <f t="shared" si="5"/>
        <v>-0.88519936652292341</v>
      </c>
      <c r="H21" s="140">
        <f t="shared" si="5"/>
        <v>-0.85652149605972983</v>
      </c>
      <c r="I21" s="140">
        <f t="shared" si="5"/>
        <v>-0.86463325832995253</v>
      </c>
      <c r="J21" s="140">
        <f t="shared" si="5"/>
        <v>-0.87196757433841232</v>
      </c>
      <c r="K21" s="140">
        <f t="shared" si="5"/>
        <v>-0.87824633697967047</v>
      </c>
      <c r="L21" s="140">
        <f t="shared" si="5"/>
        <v>-0.88296557280672083</v>
      </c>
      <c r="M21" s="140">
        <f t="shared" si="5"/>
        <v>-0.88514025101057547</v>
      </c>
      <c r="N21" s="140">
        <f t="shared" si="5"/>
        <v>-0.88237030698638685</v>
      </c>
      <c r="O21" s="140">
        <f t="shared" si="5"/>
        <v>-0.86527403198056418</v>
      </c>
      <c r="P21" s="140">
        <f t="shared" si="5"/>
        <v>0</v>
      </c>
      <c r="Q21" s="140">
        <f t="shared" si="5"/>
        <v>0</v>
      </c>
      <c r="R21" s="140">
        <f t="shared" si="5"/>
        <v>0</v>
      </c>
      <c r="S21" s="140">
        <f t="shared" si="5"/>
        <v>0</v>
      </c>
      <c r="T21" s="140">
        <f t="shared" si="5"/>
        <v>0</v>
      </c>
      <c r="U21" s="140">
        <f t="shared" si="5"/>
        <v>0</v>
      </c>
      <c r="V21" s="140">
        <f t="shared" si="5"/>
        <v>0</v>
      </c>
      <c r="W21" s="140">
        <f t="shared" si="5"/>
        <v>0</v>
      </c>
      <c r="X21" s="140">
        <f t="shared" si="5"/>
        <v>0</v>
      </c>
      <c r="Y21" s="140">
        <f t="shared" si="5"/>
        <v>0</v>
      </c>
      <c r="Z21" s="140">
        <f t="shared" si="5"/>
        <v>0</v>
      </c>
      <c r="AA21" s="140">
        <f t="shared" si="5"/>
        <v>0</v>
      </c>
      <c r="AB21" s="140">
        <f t="shared" si="5"/>
        <v>0</v>
      </c>
      <c r="AC21" s="140">
        <f t="shared" si="5"/>
        <v>0</v>
      </c>
      <c r="AD21" s="140">
        <f t="shared" si="5"/>
        <v>0</v>
      </c>
      <c r="AE21" s="140">
        <f t="shared" si="5"/>
        <v>0</v>
      </c>
      <c r="AF21" s="140">
        <f t="shared" si="5"/>
        <v>0</v>
      </c>
      <c r="AG21" s="140">
        <f t="shared" si="5"/>
        <v>0</v>
      </c>
      <c r="AH21" s="140">
        <f t="shared" si="5"/>
        <v>0</v>
      </c>
      <c r="AI21" s="140">
        <f t="shared" si="5"/>
        <v>0</v>
      </c>
      <c r="AJ21" s="140">
        <f t="shared" si="5"/>
        <v>0</v>
      </c>
      <c r="AK21" s="140">
        <f t="shared" si="5"/>
        <v>0</v>
      </c>
      <c r="AL21" s="140">
        <f t="shared" si="5"/>
        <v>0</v>
      </c>
      <c r="AM21" s="140">
        <f t="shared" si="5"/>
        <v>0</v>
      </c>
      <c r="AN21" s="140">
        <f t="shared" si="5"/>
        <v>0</v>
      </c>
      <c r="AO21" s="140">
        <f t="shared" si="5"/>
        <v>0</v>
      </c>
      <c r="AP21" s="140">
        <f t="shared" si="5"/>
        <v>0</v>
      </c>
      <c r="AQ21" s="140">
        <f t="shared" si="5"/>
        <v>0</v>
      </c>
      <c r="AR21" s="140">
        <f t="shared" si="5"/>
        <v>0</v>
      </c>
      <c r="AS21" s="140">
        <f t="shared" si="5"/>
        <v>0</v>
      </c>
      <c r="AT21" s="140">
        <f t="shared" si="5"/>
        <v>0</v>
      </c>
      <c r="AU21" s="140">
        <f t="shared" si="5"/>
        <v>0</v>
      </c>
      <c r="AV21" s="140">
        <f t="shared" si="5"/>
        <v>0</v>
      </c>
      <c r="AW21" s="140">
        <f t="shared" si="5"/>
        <v>0</v>
      </c>
      <c r="AX21" s="140">
        <f t="shared" si="5"/>
        <v>0</v>
      </c>
      <c r="AY21" s="140">
        <f t="shared" si="5"/>
        <v>0</v>
      </c>
      <c r="AZ21" s="140">
        <f t="shared" si="5"/>
        <v>0</v>
      </c>
      <c r="BA21" s="140">
        <f t="shared" si="5"/>
        <v>0</v>
      </c>
      <c r="BB21" s="140">
        <f t="shared" si="5"/>
        <v>0</v>
      </c>
      <c r="BC21" s="140">
        <f t="shared" si="5"/>
        <v>0</v>
      </c>
      <c r="BD21" s="140">
        <f t="shared" si="5"/>
        <v>0</v>
      </c>
      <c r="BE21" s="140">
        <f t="shared" si="5"/>
        <v>0</v>
      </c>
      <c r="BF21" s="140">
        <f t="shared" si="5"/>
        <v>0</v>
      </c>
      <c r="BG21" s="140">
        <f t="shared" si="5"/>
        <v>0</v>
      </c>
      <c r="BH21" s="140">
        <f t="shared" si="5"/>
        <v>0</v>
      </c>
      <c r="BI21" s="140">
        <f t="shared" si="5"/>
        <v>0</v>
      </c>
      <c r="BJ21" s="140">
        <f t="shared" si="5"/>
        <v>0</v>
      </c>
      <c r="BK21" s="140">
        <f t="shared" si="5"/>
        <v>0</v>
      </c>
      <c r="BL21" s="140">
        <f t="shared" si="5"/>
        <v>0</v>
      </c>
    </row>
    <row r="22" spans="1:64" s="140" customFormat="1" x14ac:dyDescent="0.15">
      <c r="C22" s="280"/>
    </row>
    <row r="23" spans="1:64" x14ac:dyDescent="0.15">
      <c r="E23" s="140"/>
      <c r="F23" s="140"/>
      <c r="G23" s="140"/>
      <c r="H23" s="140"/>
      <c r="I23" s="140"/>
      <c r="J23" s="140"/>
      <c r="K23" s="140"/>
      <c r="L23" s="140"/>
      <c r="M23" s="140"/>
      <c r="N23" s="140"/>
      <c r="O23" s="140"/>
      <c r="P23" s="140"/>
      <c r="Q23" s="140"/>
      <c r="R23" s="140"/>
      <c r="S23" s="140"/>
      <c r="T23" s="140"/>
      <c r="U23" s="140"/>
      <c r="V23" s="140"/>
      <c r="W23" s="140"/>
      <c r="X23" s="140"/>
      <c r="Y23" s="140"/>
      <c r="Z23" s="140"/>
      <c r="AA23" s="140"/>
      <c r="AB23" s="140"/>
      <c r="AC23" s="140"/>
      <c r="AD23" s="140"/>
      <c r="AE23" s="140"/>
      <c r="AF23" s="140"/>
      <c r="AG23" s="140"/>
      <c r="AH23" s="140"/>
      <c r="AI23" s="140"/>
      <c r="AJ23" s="140"/>
      <c r="AK23" s="140"/>
      <c r="AL23" s="140"/>
      <c r="AM23" s="140"/>
      <c r="AN23" s="140"/>
      <c r="AO23" s="140"/>
      <c r="AP23" s="140"/>
      <c r="AQ23" s="140"/>
      <c r="AR23" s="140"/>
      <c r="AS23" s="140"/>
      <c r="AT23" s="140"/>
      <c r="AU23" s="140"/>
      <c r="AV23" s="140"/>
      <c r="AW23" s="140"/>
      <c r="AX23" s="140"/>
      <c r="AY23" s="140"/>
      <c r="AZ23" s="140"/>
      <c r="BA23" s="140"/>
      <c r="BB23" s="140"/>
      <c r="BC23" s="140"/>
      <c r="BD23" s="140"/>
      <c r="BE23" s="140"/>
      <c r="BF23" s="140"/>
      <c r="BG23" s="140"/>
      <c r="BH23" s="140"/>
      <c r="BI23" s="140"/>
      <c r="BJ23" s="140"/>
      <c r="BK23" s="140"/>
      <c r="BL23" s="140"/>
    </row>
    <row r="24" spans="1:64" x14ac:dyDescent="0.15">
      <c r="C24" s="155" t="s">
        <v>357</v>
      </c>
      <c r="D24" s="155"/>
      <c r="E24" s="281">
        <f>IF(E5&gt;Leadsheet!$E$12,0,IFERROR(E21/D17*D27*(1-Leadsheet!$D$91)+E18,0))</f>
        <v>-1.9695943848900217</v>
      </c>
      <c r="F24" s="281">
        <f>IF(F5&gt;Leadsheet!$E$12,0,IFERROR(F21/E17*E27*(1-Leadsheet!$D$91)+F18,0))</f>
        <v>-1.5405943963391504</v>
      </c>
      <c r="G24" s="281">
        <f>IF(G5&gt;Leadsheet!$E$12,0,IFERROR(G21/F17*F27*(1-Leadsheet!$D$91)+G18,0))</f>
        <v>-1.4194696411361203</v>
      </c>
      <c r="H24" s="281">
        <f>IF(H5&gt;Leadsheet!$E$12,0,IFERROR(H21/G17*G27*(1-Leadsheet!$D$91)+H18,0))</f>
        <v>-0.98127285619711879</v>
      </c>
      <c r="I24" s="281">
        <f>IF(I5&gt;Leadsheet!$E$12,0,IFERROR(I21/H17*H27*(1-Leadsheet!$D$91)+I18,0))</f>
        <v>-0.94194454186812127</v>
      </c>
      <c r="J24" s="281">
        <f>IF(J5&gt;Leadsheet!$E$12,0,IFERROR(J21/I17*I27*(1-Leadsheet!$D$91)+J18,0))</f>
        <v>-0.90127353158735179</v>
      </c>
      <c r="K24" s="281">
        <f>IF(K5&gt;Leadsheet!$E$12,0,IFERROR(K21/J17*J27*(1-Leadsheet!$D$91)+K18,0))</f>
        <v>-0.8598138103815407</v>
      </c>
      <c r="L24" s="281">
        <f>IF(L5&gt;Leadsheet!$E$12,0,IFERROR(L21/K17*K27*(1-Leadsheet!$D$91)+L18,0))</f>
        <v>-0.81748075700394252</v>
      </c>
      <c r="M24" s="281">
        <f>IF(M5&gt;Leadsheet!$E$12,0,IFERROR(M21/L17*L27*(1-Leadsheet!$D$91)+M18,0))</f>
        <v>-0.77394627678634098</v>
      </c>
      <c r="N24" s="281">
        <f>IF(N5&gt;Leadsheet!$E$12,0,IFERROR(N21/M17*M27*(1-Leadsheet!$D$91)+N18,0))</f>
        <v>-0.72843165512144925</v>
      </c>
      <c r="O24" s="281">
        <f>IF(O5&gt;Leadsheet!$E$12,0,IFERROR(O21/N17*N27*(1-Leadsheet!$D$91)+O18,0))</f>
        <v>-0.65087249405942749</v>
      </c>
      <c r="P24" s="281">
        <f>IF(P5&gt;Leadsheet!$E$12,0,IFERROR(P21/O17*O27*(1-Leadsheet!$D$91)+P18,0))</f>
        <v>0</v>
      </c>
      <c r="Q24" s="281">
        <f>IF(Q5&gt;Leadsheet!$E$12,0,IFERROR(Q21/P17*P27*(1-Leadsheet!$D$91)+Q18,0))</f>
        <v>0</v>
      </c>
      <c r="R24" s="281">
        <f>IF(R5&gt;Leadsheet!$E$12,0,IFERROR(R21/Q17*Q27*(1-Leadsheet!$D$91)+R18,0))</f>
        <v>0</v>
      </c>
      <c r="S24" s="281">
        <f>IF(S5&gt;Leadsheet!$E$12,0,IFERROR(S21/R17*R27*(1-Leadsheet!$D$91)+S18,0))</f>
        <v>0</v>
      </c>
      <c r="T24" s="281">
        <f>IF(T5&gt;Leadsheet!$E$12,0,IFERROR(T21/S17*S27*(1-Leadsheet!$D$91)+T18,0))</f>
        <v>0</v>
      </c>
      <c r="U24" s="281">
        <f>IF(U5&gt;Leadsheet!$E$12,0,IFERROR(U21/T17*T27*(1-Leadsheet!$D$91)+U18,0))</f>
        <v>0</v>
      </c>
      <c r="V24" s="281">
        <f>IF(V5&gt;Leadsheet!$E$12,0,IFERROR(V21/U17*U27*(1-Leadsheet!$D$91)+V18,0))</f>
        <v>0</v>
      </c>
      <c r="W24" s="281">
        <f>IF(W5&gt;Leadsheet!$E$12,0,IFERROR(W21/V17*V27*(1-Leadsheet!$D$91)+W18,0))</f>
        <v>0</v>
      </c>
      <c r="X24" s="281">
        <f>IF(X5&gt;Leadsheet!$E$12,0,IFERROR(X21/W17*W27*(1-Leadsheet!$D$91)+X18,0))</f>
        <v>0</v>
      </c>
      <c r="Y24" s="281">
        <f>IF(Y5&gt;Leadsheet!$E$12,0,IFERROR(Y21/X17*X27*(1-Leadsheet!$D$91)+Y18,0))</f>
        <v>0</v>
      </c>
      <c r="Z24" s="281">
        <f>IF(Z5&gt;Leadsheet!$E$12,0,IFERROR(Z21/Y17*Y27*(1-Leadsheet!$D$91)+Z18,0))</f>
        <v>0</v>
      </c>
      <c r="AA24" s="281">
        <f>IF(AA5&gt;Leadsheet!$E$12,0,IFERROR(AA21/Z17*Z27*(1-Leadsheet!$D$91)+AA18,0))</f>
        <v>0</v>
      </c>
      <c r="AB24" s="281">
        <f>IF(AB5&gt;Leadsheet!$E$12,0,IFERROR(AB21/AA17*AA27*(1-Leadsheet!$D$91)+AB18,0))</f>
        <v>0</v>
      </c>
      <c r="AC24" s="281">
        <f>IF(AC5&gt;Leadsheet!$E$12,0,IFERROR(AC21/AB17*AB27*(1-Leadsheet!$D$91)+AC18,0))</f>
        <v>0</v>
      </c>
      <c r="AD24" s="281">
        <f>IF(AD5&gt;Leadsheet!$E$12,0,IFERROR(AD21/AC17*AC27*(1-Leadsheet!$D$91)+AD18,0))</f>
        <v>0</v>
      </c>
      <c r="AE24" s="281">
        <f>IF(AE5&gt;Leadsheet!$E$12,0,IFERROR(AE21/AD17*AD27*(1-Leadsheet!$D$91)+AE18,0))</f>
        <v>0</v>
      </c>
      <c r="AF24" s="281">
        <f>IF(AF5&gt;Leadsheet!$E$12,0,IFERROR(AF21/AE17*AE27*(1-Leadsheet!$D$91)+AF18,0))</f>
        <v>0</v>
      </c>
      <c r="AG24" s="281">
        <f>IF(AG5&gt;Leadsheet!$E$12,0,IFERROR(AG21/AF17*AF27*(1-Leadsheet!$D$91)+AG18,0))</f>
        <v>0</v>
      </c>
      <c r="AH24" s="281">
        <f>IF(AH5&gt;Leadsheet!$E$12,0,IFERROR(AH21/AG17*AG27*(1-Leadsheet!$D$91)+AH18,0))</f>
        <v>0</v>
      </c>
      <c r="AI24" s="281">
        <f>IF(AI5&gt;Leadsheet!$E$12,0,IFERROR(AI21/AH17*AH27*(1-Leadsheet!$D$91)+AI18,0))</f>
        <v>0</v>
      </c>
      <c r="AJ24" s="281">
        <f>IF(AJ5&gt;Leadsheet!$E$12,0,IFERROR(AJ21/AI17*AI27*(1-Leadsheet!$D$91)+AJ18,0))</f>
        <v>0</v>
      </c>
      <c r="AK24" s="281">
        <f>IF(AK5&gt;Leadsheet!$E$12,0,IFERROR(AK21/AJ17*AJ27*(1-Leadsheet!$D$91)+AK18,0))</f>
        <v>0</v>
      </c>
      <c r="AL24" s="281">
        <f>IF(AL5&gt;Leadsheet!$E$12,0,IFERROR(AL21/AK17*AK27*(1-Leadsheet!$D$91)+AL18,0))</f>
        <v>0</v>
      </c>
      <c r="AM24" s="281">
        <f>IF(AM5&gt;Leadsheet!$E$12,0,IFERROR(AM21/AL17*AL27*(1-Leadsheet!$D$91)+AM18,0))</f>
        <v>0</v>
      </c>
      <c r="AN24" s="281">
        <f>IF(AN5&gt;Leadsheet!$E$12,0,IFERROR(AN21/AM17*AM27*(1-Leadsheet!$D$91)+AN18,0))</f>
        <v>0</v>
      </c>
      <c r="AO24" s="281">
        <f>IF(AO5&gt;Leadsheet!$E$12,0,IFERROR(AO21/AN17*AN27*(1-Leadsheet!$D$91)+AO18,0))</f>
        <v>0</v>
      </c>
      <c r="AP24" s="281">
        <f>IF(AP5&gt;Leadsheet!$E$12,0,IFERROR(AP21/AO17*AO27*(1-Leadsheet!$D$91)+AP18,0))</f>
        <v>0</v>
      </c>
      <c r="AQ24" s="281">
        <f>IF(AQ5&gt;Leadsheet!$E$12,0,IFERROR(AQ21/AP17*AP27*(1-Leadsheet!$D$91)+AQ18,0))</f>
        <v>0</v>
      </c>
      <c r="AR24" s="281">
        <f>IF(AR5&gt;Leadsheet!$E$12,0,IFERROR(AR21/AQ17*AQ27*(1-Leadsheet!$D$91)+AR18,0))</f>
        <v>0</v>
      </c>
      <c r="AS24" s="281">
        <f>IF(AS5&gt;Leadsheet!$E$12,0,IFERROR(AS21/AR17*AR27*(1-Leadsheet!$D$91)+AS18,0))</f>
        <v>0</v>
      </c>
      <c r="AT24" s="281">
        <f>IF(AT5&gt;Leadsheet!$E$12,0,IFERROR(AT21/AS17*AS27*(1-Leadsheet!$D$91)+AT18,0))</f>
        <v>0</v>
      </c>
      <c r="AU24" s="281">
        <f>IF(AU5&gt;Leadsheet!$E$12,0,IFERROR(AU21/AT17*AT27*(1-Leadsheet!$D$91)+AU18,0))</f>
        <v>0</v>
      </c>
      <c r="AV24" s="281">
        <f>IF(AV5&gt;Leadsheet!$E$12,0,IFERROR(AV21/AU17*AU27*(1-Leadsheet!$D$91)+AV18,0))</f>
        <v>0</v>
      </c>
      <c r="AW24" s="281">
        <f>IF(AW5&gt;Leadsheet!$E$12,0,IFERROR(AW21/AV17*AV27*(1-Leadsheet!$D$91)+AW18,0))</f>
        <v>0</v>
      </c>
      <c r="AX24" s="281">
        <f>IF(AX5&gt;Leadsheet!$E$12,0,IFERROR(AX21/AW17*AW27*(1-Leadsheet!$D$91)+AX18,0))</f>
        <v>0</v>
      </c>
      <c r="AY24" s="281">
        <f>IF(AY5&gt;Leadsheet!$E$12,0,IFERROR(AY21/AX17*AX27*(1-Leadsheet!$D$91)+AY18,0))</f>
        <v>0</v>
      </c>
      <c r="AZ24" s="281">
        <f>IF(AZ5&gt;Leadsheet!$E$12,0,IFERROR(AZ21/AY17*AY27*(1-Leadsheet!$D$91)+AZ18,0))</f>
        <v>0</v>
      </c>
      <c r="BA24" s="281">
        <f>IF(BA5&gt;Leadsheet!$E$12,0,IFERROR(BA21/AZ17*AZ27*(1-Leadsheet!$D$91)+BA18,0))</f>
        <v>0</v>
      </c>
      <c r="BB24" s="281">
        <f>IF(BB5&gt;Leadsheet!$E$12,0,IFERROR(BB21/BA17*BA27*(1-Leadsheet!$D$91)+BB18,0))</f>
        <v>0</v>
      </c>
      <c r="BC24" s="281">
        <f>IF(BC5&gt;Leadsheet!$E$12,0,IFERROR(BC21/BB17*BB27*(1-Leadsheet!$D$91)+BC18,0))</f>
        <v>0</v>
      </c>
      <c r="BD24" s="281">
        <f>IF(BD5&gt;Leadsheet!$E$12,0,IFERROR(BD21/BC17*BC27*(1-Leadsheet!$D$91)+BD18,0))</f>
        <v>0</v>
      </c>
      <c r="BE24" s="281">
        <f>IF(BE5&gt;Leadsheet!$E$12,0,IFERROR(BE21/BD17*BD27*(1-Leadsheet!$D$91)+BE18,0))</f>
        <v>0</v>
      </c>
      <c r="BF24" s="281">
        <f>IF(BF5&gt;Leadsheet!$E$12,0,IFERROR(BF21/BE17*BE27*(1-Leadsheet!$D$91)+BF18,0))</f>
        <v>0</v>
      </c>
      <c r="BG24" s="281">
        <f>IF(BG5&gt;Leadsheet!$E$12,0,IFERROR(BG21/BF17*BF27*(1-Leadsheet!$D$91)+BG18,0))</f>
        <v>0</v>
      </c>
      <c r="BH24" s="281">
        <f>IF(BH5&gt;Leadsheet!$E$12,0,IFERROR(BH21/BG17*BG27*(1-Leadsheet!$D$91)+BH18,0))</f>
        <v>0</v>
      </c>
      <c r="BI24" s="281">
        <f>IF(BI5&gt;Leadsheet!$E$12,0,IFERROR(BI21/BH17*BH27*(1-Leadsheet!$D$91)+BI18,0))</f>
        <v>0</v>
      </c>
      <c r="BJ24" s="281">
        <f>IF(BJ5&gt;Leadsheet!$E$12,0,IFERROR(BJ21/BI17*BI27*(1-Leadsheet!$D$91)+BJ18,0))</f>
        <v>0</v>
      </c>
      <c r="BK24" s="281">
        <f>IF(BK5&gt;Leadsheet!$E$12,0,IFERROR(BK21/BJ17*BJ27*(1-Leadsheet!$D$91)+BK18,0))</f>
        <v>0</v>
      </c>
      <c r="BL24" s="281">
        <f>IF(BL5&gt;Leadsheet!$E$12,0,IFERROR(BL21/BK17*BK27*(1-Leadsheet!$D$91)+BL18,0))</f>
        <v>0</v>
      </c>
    </row>
    <row r="25" spans="1:64" x14ac:dyDescent="0.15">
      <c r="E25" s="106"/>
      <c r="F25" s="106"/>
      <c r="G25" s="106"/>
      <c r="H25" s="106"/>
      <c r="I25" s="106"/>
      <c r="J25" s="106"/>
      <c r="K25" s="106"/>
      <c r="L25" s="106"/>
      <c r="M25" s="106"/>
      <c r="N25" s="106"/>
      <c r="O25" s="106"/>
      <c r="P25" s="106"/>
      <c r="Q25" s="106"/>
      <c r="R25" s="106"/>
      <c r="S25" s="106"/>
      <c r="T25" s="106"/>
      <c r="U25" s="106"/>
      <c r="V25" s="106"/>
      <c r="W25" s="106"/>
      <c r="X25" s="106"/>
      <c r="Y25" s="106"/>
      <c r="Z25" s="106"/>
      <c r="AA25" s="106"/>
      <c r="AB25" s="106"/>
      <c r="AC25" s="106"/>
      <c r="AD25" s="106"/>
      <c r="AE25" s="106"/>
      <c r="AF25" s="106"/>
      <c r="AG25" s="106"/>
      <c r="AH25" s="106"/>
      <c r="AI25" s="106"/>
      <c r="AJ25" s="106"/>
      <c r="AK25" s="106"/>
      <c r="AL25" s="106"/>
      <c r="AM25" s="106"/>
      <c r="AN25" s="106"/>
      <c r="AO25" s="106"/>
      <c r="AP25" s="106"/>
      <c r="AQ25" s="106"/>
      <c r="AR25" s="106"/>
      <c r="AS25" s="106"/>
      <c r="AT25" s="106"/>
      <c r="AU25" s="106"/>
      <c r="AV25" s="106"/>
      <c r="AW25" s="106"/>
      <c r="AX25" s="106"/>
      <c r="AY25" s="106"/>
      <c r="AZ25" s="106"/>
      <c r="BA25" s="106"/>
      <c r="BB25" s="106"/>
      <c r="BC25" s="106"/>
      <c r="BD25" s="140"/>
      <c r="BE25" s="140"/>
      <c r="BF25" s="140"/>
      <c r="BG25" s="140"/>
      <c r="BH25" s="140"/>
      <c r="BI25" s="140"/>
      <c r="BJ25" s="140"/>
      <c r="BK25" s="140"/>
      <c r="BL25" s="140"/>
    </row>
    <row r="26" spans="1:64" s="155" customFormat="1" x14ac:dyDescent="0.15">
      <c r="A26" s="282" t="s">
        <v>358</v>
      </c>
      <c r="B26" s="282" t="s">
        <v>359</v>
      </c>
      <c r="C26" s="267" t="s">
        <v>360</v>
      </c>
      <c r="D26" s="279"/>
      <c r="E26" s="279"/>
      <c r="F26" s="279"/>
      <c r="G26" s="279"/>
      <c r="H26" s="279"/>
      <c r="I26" s="279"/>
      <c r="J26" s="279"/>
      <c r="K26" s="279"/>
      <c r="L26" s="279"/>
      <c r="M26" s="279"/>
      <c r="N26" s="279"/>
      <c r="O26" s="279"/>
      <c r="P26" s="279"/>
      <c r="Q26" s="279"/>
      <c r="R26" s="279"/>
      <c r="S26" s="279"/>
      <c r="T26" s="279"/>
      <c r="U26" s="279"/>
      <c r="V26" s="279"/>
      <c r="W26" s="279"/>
      <c r="X26" s="279"/>
      <c r="Y26" s="279"/>
      <c r="Z26" s="279"/>
      <c r="AA26" s="279"/>
      <c r="AB26" s="279"/>
      <c r="AC26" s="279"/>
      <c r="AD26" s="279"/>
      <c r="AE26" s="279"/>
      <c r="AF26" s="279"/>
      <c r="AG26" s="279"/>
      <c r="AH26" s="279"/>
      <c r="AI26" s="279"/>
      <c r="AJ26" s="279"/>
      <c r="AK26" s="279"/>
      <c r="AL26" s="279"/>
      <c r="AM26" s="279"/>
      <c r="AN26" s="279"/>
      <c r="AO26" s="279"/>
      <c r="AP26" s="279"/>
      <c r="AQ26" s="279"/>
      <c r="AR26" s="279"/>
      <c r="AS26" s="279"/>
      <c r="AT26" s="279"/>
      <c r="AU26" s="279"/>
      <c r="AV26" s="279"/>
      <c r="AW26" s="279"/>
      <c r="AX26" s="279"/>
      <c r="AY26" s="279"/>
      <c r="AZ26" s="279"/>
      <c r="BA26" s="279"/>
      <c r="BB26" s="279"/>
      <c r="BC26" s="279"/>
      <c r="BD26" s="279"/>
      <c r="BE26" s="279"/>
      <c r="BF26" s="279"/>
      <c r="BG26" s="279"/>
      <c r="BH26" s="279"/>
      <c r="BI26" s="279"/>
      <c r="BJ26" s="279"/>
      <c r="BK26" s="279"/>
      <c r="BL26" s="279"/>
    </row>
    <row r="27" spans="1:64" s="140" customFormat="1" x14ac:dyDescent="0.15">
      <c r="A27" s="283" t="s">
        <v>361</v>
      </c>
      <c r="B27" s="284">
        <v>0</v>
      </c>
      <c r="C27" s="84" t="s">
        <v>362</v>
      </c>
      <c r="D27" s="285">
        <f>Leadsheet!E10</f>
        <v>13.084424538752435</v>
      </c>
      <c r="E27" s="286">
        <f>IF(E5&gt;=Leadsheet!$E$12,0,D44+E24-SUM(E28:E41))</f>
        <v>10.656875295006079</v>
      </c>
      <c r="F27" s="286">
        <f>IF(F5&gt;=Leadsheet!$E$12,0,E44+F24-SUM(F28:F41))</f>
        <v>8.8760971724100521</v>
      </c>
      <c r="G27" s="286">
        <f>IF(G5&gt;=Leadsheet!$E$12,0,F44+G24-SUM(G28:G41))</f>
        <v>7.271527001130722</v>
      </c>
      <c r="H27" s="286">
        <f>IF(H5&gt;=Leadsheet!$E$12,0,G44+H24-SUM(H28:H41))</f>
        <v>6.1400420502589128</v>
      </c>
      <c r="I27" s="286">
        <f>IF(I5&gt;=Leadsheet!$E$12,0,H44+I24-SUM(I28:I41))</f>
        <v>5.0688585388840064</v>
      </c>
      <c r="J27" s="286">
        <f>IF(J5&gt;=Leadsheet!$E$12,0,I44+J24-SUM(J28:J41))</f>
        <v>4.0622097338668173</v>
      </c>
      <c r="K27" s="286">
        <f>IF(K5&gt;=Leadsheet!$E$12,0,J44+K24-SUM(K28:K41))</f>
        <v>3.1198685877257319</v>
      </c>
      <c r="L27" s="286">
        <f>IF(L5&gt;=Leadsheet!$E$12,0,K44+L24-SUM(L28:L41))</f>
        <v>2.241194389016623</v>
      </c>
      <c r="M27" s="286">
        <f>IF(M5&gt;=Leadsheet!$E$12,0,L44+M24-SUM(M28:M41))</f>
        <v>1.4258999967222037</v>
      </c>
      <c r="N27" s="286">
        <f>IF(N5&gt;=Leadsheet!$E$12,0,M44+N24-SUM(N28:N41))</f>
        <v>0.67447926845536532</v>
      </c>
      <c r="O27" s="286">
        <f>IF(O5&gt;=Leadsheet!$E$12,0,N44+O24-SUM(O28:O41))</f>
        <v>0</v>
      </c>
      <c r="P27" s="286">
        <f>IF(P5&gt;=Leadsheet!$E$12,0,O44+P24-SUM(P28:P41))</f>
        <v>0</v>
      </c>
      <c r="Q27" s="286">
        <f>IF(Q5&gt;=Leadsheet!$E$12,0,P44+Q24-SUM(Q28:Q41))</f>
        <v>0</v>
      </c>
      <c r="R27" s="286">
        <f>IF(R5&gt;=Leadsheet!$E$12,0,Q44+R24-SUM(R28:R41))</f>
        <v>0</v>
      </c>
      <c r="S27" s="286">
        <f>IF(S5&gt;=Leadsheet!$E$12,0,R44+S24-SUM(S28:S41))</f>
        <v>0</v>
      </c>
      <c r="T27" s="286">
        <f>IF(T5&gt;=Leadsheet!$E$12,0,S44+T24-SUM(T28:T41))</f>
        <v>0</v>
      </c>
      <c r="U27" s="286">
        <f>IF(U5&gt;=Leadsheet!$E$12,0,T44+U24-SUM(U28:U41))</f>
        <v>0</v>
      </c>
      <c r="V27" s="286">
        <f>IF(V5&gt;=Leadsheet!$E$12,0,U44+V24-SUM(V28:V41))</f>
        <v>0</v>
      </c>
      <c r="W27" s="286">
        <f>IF(W5&gt;=Leadsheet!$E$12,0,V44+W24-SUM(W28:W41))</f>
        <v>0</v>
      </c>
      <c r="X27" s="286">
        <f>IF(X5&gt;=Leadsheet!$E$12,0,W44+X24-SUM(X28:X41))</f>
        <v>0</v>
      </c>
      <c r="Y27" s="286">
        <f>IF(Y5&gt;=Leadsheet!$E$12,0,X44+Y24-SUM(Y28:Y41))</f>
        <v>0</v>
      </c>
      <c r="Z27" s="286">
        <f>IF(Z5&gt;=Leadsheet!$E$12,0,Y44+Z24-SUM(Z28:Z41))</f>
        <v>0</v>
      </c>
      <c r="AA27" s="286">
        <f>IF(AA5&gt;=Leadsheet!$E$12,0,Z44+AA24-SUM(AA28:AA41))</f>
        <v>0</v>
      </c>
      <c r="AB27" s="286">
        <f>IF(AB5&gt;=Leadsheet!$E$12,0,AA44+AB24-SUM(AB28:AB41))</f>
        <v>0</v>
      </c>
      <c r="AC27" s="286">
        <f>IF(AC5&gt;=Leadsheet!$E$12,0,AB44+AC24-SUM(AC28:AC41))</f>
        <v>0</v>
      </c>
      <c r="AD27" s="286">
        <f>IF(AD5&gt;=Leadsheet!$E$12,0,AC44+AD24-SUM(AD28:AD41))</f>
        <v>0</v>
      </c>
      <c r="AE27" s="286">
        <f>IF(AE5&gt;=Leadsheet!$E$12,0,AD44+AE24-SUM(AE28:AE41))</f>
        <v>0</v>
      </c>
      <c r="AF27" s="286">
        <f>IF(AF5&gt;=Leadsheet!$E$12,0,AE44+AF24-SUM(AF28:AF41))</f>
        <v>0</v>
      </c>
      <c r="AG27" s="286">
        <f>IF(AG5&gt;=Leadsheet!$E$12,0,AF44+AG24-SUM(AG28:AG41))</f>
        <v>0</v>
      </c>
      <c r="AH27" s="286">
        <f>IF(AH5&gt;=Leadsheet!$E$12,0,AG44+AH24-SUM(AH28:AH41))</f>
        <v>0</v>
      </c>
      <c r="AI27" s="286">
        <f>IF(AI5&gt;=Leadsheet!$E$12,0,AH44+AI24-SUM(AI28:AI41))</f>
        <v>0</v>
      </c>
      <c r="AJ27" s="286">
        <f>IF(AJ5&gt;=Leadsheet!$E$12,0,AI44+AJ24-SUM(AJ28:AJ41))</f>
        <v>0</v>
      </c>
      <c r="AK27" s="286">
        <f>IF(AK5&gt;=Leadsheet!$E$12,0,AJ44+AK24-SUM(AK28:AK41))</f>
        <v>0</v>
      </c>
      <c r="AL27" s="286">
        <f>IF(AL5&gt;=Leadsheet!$E$12,0,AK44+AL24-SUM(AL28:AL41))</f>
        <v>0</v>
      </c>
      <c r="AM27" s="286">
        <f>IF(AM5&gt;=Leadsheet!$E$12,0,AL44+AM24-SUM(AM28:AM41))</f>
        <v>0</v>
      </c>
      <c r="AN27" s="286">
        <f>IF(AN5&gt;=Leadsheet!$E$12,0,AM44+AN24-SUM(AN28:AN41))</f>
        <v>0</v>
      </c>
      <c r="AO27" s="286">
        <f>IF(AO5&gt;=Leadsheet!$E$12,0,AN44+AO24-SUM(AO28:AO41))</f>
        <v>0</v>
      </c>
      <c r="AP27" s="286">
        <f>IF(AP5&gt;=Leadsheet!$E$12,0,AO44+AP24-SUM(AP28:AP41))</f>
        <v>0</v>
      </c>
      <c r="AQ27" s="286">
        <f>IF(AQ5&gt;=Leadsheet!$E$12,0,AP44+AQ24-SUM(AQ28:AQ41))</f>
        <v>0</v>
      </c>
      <c r="AR27" s="286">
        <f>IF(AR5&gt;=Leadsheet!$E$12,0,AQ44+AR24-SUM(AR28:AR41))</f>
        <v>0</v>
      </c>
      <c r="AS27" s="286">
        <f>IF(AS5&gt;=Leadsheet!$E$12,0,AR44+AS24-SUM(AS28:AS41))</f>
        <v>0</v>
      </c>
      <c r="AT27" s="286">
        <f>IF(AT5&gt;=Leadsheet!$E$12,0,AS44+AT24-SUM(AT28:AT41))</f>
        <v>0</v>
      </c>
      <c r="AU27" s="286">
        <f>IF(AU5&gt;=Leadsheet!$E$12,0,AT44+AU24-SUM(AU28:AU41))</f>
        <v>0</v>
      </c>
      <c r="AV27" s="286">
        <f>IF(AV5&gt;=Leadsheet!$E$12,0,AU44+AV24-SUM(AV28:AV41))</f>
        <v>0</v>
      </c>
      <c r="AW27" s="286">
        <f>IF(AW5&gt;=Leadsheet!$E$12,0,AV44+AW24-SUM(AW28:AW41))</f>
        <v>0</v>
      </c>
      <c r="AX27" s="286">
        <f>IF(AX5&gt;=Leadsheet!$E$12,0,AW44+AX24-SUM(AX28:AX41))</f>
        <v>0</v>
      </c>
      <c r="AY27" s="286">
        <f>IF(AY5&gt;=Leadsheet!$E$12,0,AX44+AY24-SUM(AY28:AY41))</f>
        <v>0</v>
      </c>
      <c r="AZ27" s="286">
        <f>IF(AZ5&gt;=Leadsheet!$E$12,0,AY44+AZ24-SUM(AZ28:AZ41))</f>
        <v>0</v>
      </c>
      <c r="BA27" s="286">
        <f>IF(BA5&gt;=Leadsheet!$E$12,0,AZ44+BA24-SUM(BA28:BA41))</f>
        <v>0</v>
      </c>
      <c r="BB27" s="286">
        <f>IF(BB5&gt;=Leadsheet!$E$12,0,BA44+BB24-SUM(BB28:BB41))</f>
        <v>0</v>
      </c>
      <c r="BC27" s="286">
        <f>IF(BC5&gt;=Leadsheet!$E$12,0,BB44+BC24-SUM(BC28:BC41))</f>
        <v>0</v>
      </c>
      <c r="BD27" s="286">
        <f>IF(BD5&gt;=Leadsheet!$E$12,0,BC44+BD24-SUM(BD28:BD41))</f>
        <v>0</v>
      </c>
      <c r="BE27" s="286">
        <f>IF(BE5&gt;=Leadsheet!$E$12,0,BD44+BE24-SUM(BE28:BE41))</f>
        <v>0</v>
      </c>
      <c r="BF27" s="286">
        <f>IF(BF5&gt;=Leadsheet!$E$12,0,BE44+BF24-SUM(BF28:BF41))</f>
        <v>0</v>
      </c>
      <c r="BG27" s="286">
        <f>IF(BG5&gt;=Leadsheet!$E$12,0,BF44+BG24-SUM(BG28:BG41))</f>
        <v>0</v>
      </c>
      <c r="BH27" s="286">
        <f>IF(BH5&gt;=Leadsheet!$E$12,0,BG44+BH24-SUM(BH28:BH41))</f>
        <v>0</v>
      </c>
      <c r="BI27" s="286">
        <f>IF(BI5&gt;=Leadsheet!$E$12,0,BH44+BI24-SUM(BI28:BI41))</f>
        <v>0</v>
      </c>
      <c r="BJ27" s="286">
        <f>IF(BJ5&gt;=Leadsheet!$E$12,0,BI44+BJ24-SUM(BJ28:BJ41))</f>
        <v>0</v>
      </c>
      <c r="BK27" s="286">
        <f>IF(BK5&gt;=Leadsheet!$E$12,0,BJ44+BK24-SUM(BK28:BK41))</f>
        <v>0</v>
      </c>
      <c r="BL27" s="286">
        <f>IF(BL5&gt;=Leadsheet!$E$12,0,BK44+BL24-SUM(BL28:BL41))</f>
        <v>0</v>
      </c>
    </row>
    <row r="28" spans="1:64" s="140" customFormat="1" x14ac:dyDescent="0.15">
      <c r="A28" s="283" t="s">
        <v>363</v>
      </c>
      <c r="B28" s="284">
        <v>30</v>
      </c>
      <c r="C28" s="84" t="s">
        <v>364</v>
      </c>
      <c r="D28" s="285"/>
      <c r="E28" s="286">
        <f>IF(E$5&gt;$D$7,0,D27*Leadsheet!$D91)</f>
        <v>0.45795485885633525</v>
      </c>
      <c r="F28" s="286">
        <f>IF(F$5&gt;$D$7,0,E27*Leadsheet!$D91)</f>
        <v>0.37299063532521282</v>
      </c>
      <c r="G28" s="286">
        <f>IF(G$5&gt;$D$7,0,F27*Leadsheet!$D91)</f>
        <v>0.31066340103435186</v>
      </c>
      <c r="H28" s="286">
        <f>IF(H$5&gt;$D$7,0,G27*Leadsheet!$D91)</f>
        <v>0.25450344503957528</v>
      </c>
      <c r="I28" s="286">
        <f>IF(I$5&gt;$D$7,0,H27*Leadsheet!$D91)</f>
        <v>0.21490147175906196</v>
      </c>
      <c r="J28" s="286">
        <f>IF(J$5&gt;$D$7,0,I27*Leadsheet!$D91)</f>
        <v>0.17741004886094025</v>
      </c>
      <c r="K28" s="286">
        <f>IF(K$5&gt;$D$7,0,J27*Leadsheet!$D91)</f>
        <v>0.1421773406853386</v>
      </c>
      <c r="L28" s="286">
        <f>IF(L$5&gt;$D$7,0,K27*Leadsheet!$D91)</f>
        <v>0.10919540057040063</v>
      </c>
      <c r="M28" s="286">
        <f>IF(M$5&gt;$D$7,0,L27*Leadsheet!$D91)</f>
        <v>7.8441803615581812E-2</v>
      </c>
      <c r="N28" s="286">
        <f>IF(N$5&gt;$D$7,0,M27*Leadsheet!$D91)</f>
        <v>4.9906499885277136E-2</v>
      </c>
      <c r="O28" s="286">
        <f>IF(O$5&gt;$D$7,0,N27*Leadsheet!$D91)</f>
        <v>2.360677439593779E-2</v>
      </c>
      <c r="P28" s="286">
        <f>IF(P$5&gt;$D$7,0,O27*Leadsheet!$D91)</f>
        <v>0</v>
      </c>
      <c r="Q28" s="286">
        <f>IF(Q$5&gt;$D$7,0,P27*Leadsheet!$D91)</f>
        <v>0</v>
      </c>
      <c r="R28" s="286">
        <f>IF(R$5&gt;$D$7,0,Q27*Leadsheet!$D91)</f>
        <v>0</v>
      </c>
      <c r="S28" s="286">
        <f>IF(S$5&gt;$D$7,0,R27*Leadsheet!$D91)</f>
        <v>0</v>
      </c>
      <c r="T28" s="285">
        <f>IF(T$5&gt;$D$7,0,S27*Leadsheet!$D91)</f>
        <v>0</v>
      </c>
      <c r="U28" s="285">
        <f>IF(U$5&gt;$D$7,0,T27*Leadsheet!$D91)</f>
        <v>0</v>
      </c>
      <c r="V28" s="285">
        <f>IF(V$5&gt;$D$7,0,U27*Leadsheet!$D91)</f>
        <v>0</v>
      </c>
      <c r="W28" s="285">
        <f>IF(W$5&gt;$D$7,0,V27*Leadsheet!$D91)</f>
        <v>0</v>
      </c>
      <c r="X28" s="285">
        <f>IF(X$5&gt;$D$7,0,W27*Leadsheet!$D91)</f>
        <v>0</v>
      </c>
      <c r="Y28" s="285">
        <f>IF(Y$5&gt;$D$7,0,X27*Leadsheet!$D91)</f>
        <v>0</v>
      </c>
      <c r="Z28" s="285">
        <f>IF(Z$5&gt;$D$7,0,Y27*Leadsheet!$D91)</f>
        <v>0</v>
      </c>
      <c r="AA28" s="285">
        <f>IF(AA$5&gt;$D$7,0,Z27*Leadsheet!$D91)</f>
        <v>0</v>
      </c>
      <c r="AB28" s="285">
        <f>IF(AB$5&gt;$D$7,0,AA27*Leadsheet!$D91)</f>
        <v>0</v>
      </c>
      <c r="AC28" s="285">
        <f>IF(AC$5&gt;$D$7,0,AB27*Leadsheet!$D91)</f>
        <v>0</v>
      </c>
      <c r="AD28" s="285">
        <f>IF(AD$5&gt;$D$7,0,AC27*Leadsheet!$D91)</f>
        <v>0</v>
      </c>
      <c r="AE28" s="285">
        <f>IF(AE$5&gt;$D$7,0,AD27*Leadsheet!$D91)</f>
        <v>0</v>
      </c>
      <c r="AF28" s="285">
        <f>IF(AF$5&gt;$D$7,0,AE27*Leadsheet!$D91)</f>
        <v>0</v>
      </c>
      <c r="AG28" s="285">
        <f>IF(AG$5&gt;$D$7,0,AF27*Leadsheet!$D91)</f>
        <v>0</v>
      </c>
      <c r="AH28" s="285">
        <f>IF(AH$5&gt;$D$7,0,AG27*Leadsheet!$D91)</f>
        <v>0</v>
      </c>
      <c r="AI28" s="285">
        <f>IF(AI$5&gt;$D$7,0,AH27*Leadsheet!$D91)</f>
        <v>0</v>
      </c>
      <c r="AJ28" s="285">
        <f>IF(AJ$5&gt;$D$7,0,AI27*Leadsheet!$D91)</f>
        <v>0</v>
      </c>
      <c r="AK28" s="285">
        <f>IF(AK$5&gt;$D$7,0,AJ27*Leadsheet!$D91)</f>
        <v>0</v>
      </c>
      <c r="AL28" s="285">
        <f>IF(AL$5&gt;$D$7,0,AK27*Leadsheet!$D91)</f>
        <v>0</v>
      </c>
      <c r="AM28" s="285">
        <f>IF(AM$5&gt;$D$7,0,AL27*Leadsheet!$D91)</f>
        <v>0</v>
      </c>
      <c r="AN28" s="285">
        <f>IF(AN$5&gt;$D$7,0,AM27*Leadsheet!$D91)</f>
        <v>0</v>
      </c>
      <c r="AO28" s="285">
        <f>IF(AO$5&gt;$D$7,0,AN27*Leadsheet!$D91)</f>
        <v>0</v>
      </c>
      <c r="AP28" s="285">
        <f>IF(AP$5&gt;$D$7,0,AO27*Leadsheet!$D91)</f>
        <v>0</v>
      </c>
      <c r="AQ28" s="285">
        <f>IF(AQ$5&gt;$D$7,0,AP27*Leadsheet!$D91)</f>
        <v>0</v>
      </c>
      <c r="AR28" s="285">
        <f>IF(AR$5&gt;$D$7,0,AQ27*Leadsheet!$D91)</f>
        <v>0</v>
      </c>
      <c r="AS28" s="285">
        <f>IF(AS$5&gt;$D$7,0,AR27*Leadsheet!$D91)</f>
        <v>0</v>
      </c>
      <c r="AT28" s="285">
        <f>IF(AT$5&gt;$D$7,0,AS27*Leadsheet!$D91)</f>
        <v>0</v>
      </c>
      <c r="AU28" s="285">
        <f>IF(AU$5&gt;$D$7,0,AT27*Leadsheet!$D91)</f>
        <v>0</v>
      </c>
      <c r="AV28" s="285">
        <f>IF(AV$5&gt;$D$7,0,AU27*Leadsheet!$D91)</f>
        <v>0</v>
      </c>
      <c r="AW28" s="285">
        <f>IF(AW$5&gt;$D$7,0,AV27*Leadsheet!$D91)</f>
        <v>0</v>
      </c>
      <c r="AX28" s="285">
        <f>IF(AX$5&gt;$D$7,0,AW27*Leadsheet!$D91)</f>
        <v>0</v>
      </c>
      <c r="AY28" s="285">
        <f>IF(AY$5&gt;$D$7,0,AX27*Leadsheet!$D91)</f>
        <v>0</v>
      </c>
      <c r="AZ28" s="285">
        <f>IF(AZ$5&gt;$D$7,0,AY27*Leadsheet!$D91)</f>
        <v>0</v>
      </c>
      <c r="BA28" s="285">
        <f>IF(BA$5&gt;$D$7,0,AZ27*Leadsheet!$D91)</f>
        <v>0</v>
      </c>
      <c r="BB28" s="285">
        <f>IF(BB$5&gt;$D$7,0,BA27*Leadsheet!$D91)</f>
        <v>0</v>
      </c>
      <c r="BC28" s="285">
        <f>IF(BC$5&gt;$D$7,0,BB27*Leadsheet!$D91)</f>
        <v>0</v>
      </c>
      <c r="BD28" s="285">
        <f>IF(BD$5&gt;$D$7,0,BC27*Leadsheet!$D91)</f>
        <v>0</v>
      </c>
      <c r="BE28" s="285">
        <f>IF(BE$5&gt;$D$7,0,BD27*Leadsheet!$D91)</f>
        <v>0</v>
      </c>
      <c r="BF28" s="285">
        <f>IF(BF$5&gt;$D$7,0,BE27*Leadsheet!$D91)</f>
        <v>0</v>
      </c>
      <c r="BG28" s="285">
        <f>IF(BG$5&gt;$D$7,0,BF27*Leadsheet!$D91)</f>
        <v>0</v>
      </c>
      <c r="BH28" s="285">
        <f>IF(BH$5&gt;$D$7,0,BG27*Leadsheet!$D91)</f>
        <v>0</v>
      </c>
      <c r="BI28" s="285">
        <f>IF(BI$5&gt;$D$7,0,BH27*Leadsheet!$D91)</f>
        <v>0</v>
      </c>
      <c r="BJ28" s="285">
        <f>IF(BJ$5&gt;$D$7,0,BI27*Leadsheet!$D91)</f>
        <v>0</v>
      </c>
      <c r="BK28" s="285">
        <f>IF(BK$5&gt;$D$7,0,BJ27*Leadsheet!$D91)</f>
        <v>0</v>
      </c>
      <c r="BL28" s="285">
        <f>IF(BL$5&gt;$D$7,0,BK27*Leadsheet!$D91)</f>
        <v>0</v>
      </c>
    </row>
    <row r="29" spans="1:64" s="140" customFormat="1" x14ac:dyDescent="0.15">
      <c r="A29" s="283" t="s">
        <v>363</v>
      </c>
      <c r="B29" s="284">
        <v>60</v>
      </c>
      <c r="C29" s="84" t="s">
        <v>365</v>
      </c>
      <c r="D29" s="285"/>
      <c r="E29" s="286">
        <f>IF(E$5&gt;$D$7,0,D28*Leadsheet!$D92)</f>
        <v>0</v>
      </c>
      <c r="F29" s="286">
        <f>IF(F$5&gt;$D$7,0,E28*Leadsheet!$D92)</f>
        <v>0.32514794978799799</v>
      </c>
      <c r="G29" s="286">
        <f>IF(G$5&gt;$D$7,0,F28*Leadsheet!$D92)</f>
        <v>0.2648233510809011</v>
      </c>
      <c r="H29" s="286">
        <f>IF(H$5&gt;$D$7,0,G28*Leadsheet!$D92)</f>
        <v>0.22057101473438981</v>
      </c>
      <c r="I29" s="286">
        <f>IF(I$5&gt;$D$7,0,H28*Leadsheet!$D92)</f>
        <v>0.18069744597809845</v>
      </c>
      <c r="J29" s="286">
        <f>IF(J$5&gt;$D$7,0,I28*Leadsheet!$D92)</f>
        <v>0.15258004494893398</v>
      </c>
      <c r="K29" s="286">
        <f>IF(K$5&gt;$D$7,0,J28*Leadsheet!$D92)</f>
        <v>0.12596113469126757</v>
      </c>
      <c r="L29" s="286">
        <f>IF(L$5&gt;$D$7,0,K28*Leadsheet!$D92)</f>
        <v>0.1009459118865904</v>
      </c>
      <c r="M29" s="286">
        <f>IF(M$5&gt;$D$7,0,L28*Leadsheet!$D92)</f>
        <v>7.7528734404984437E-2</v>
      </c>
      <c r="N29" s="286">
        <f>IF(N$5&gt;$D$7,0,M28*Leadsheet!$D92)</f>
        <v>5.5693680567063086E-2</v>
      </c>
      <c r="O29" s="286">
        <f>IF(O$5&gt;$D$7,0,N28*Leadsheet!$D92)</f>
        <v>3.5433614918546762E-2</v>
      </c>
      <c r="P29" s="286">
        <f>IF(P$5&gt;$D$7,0,O28*Leadsheet!$D92)</f>
        <v>1.676080982111583E-2</v>
      </c>
      <c r="Q29" s="286">
        <f>IF(Q$5&gt;$D$7,0,P28*Leadsheet!$D92)</f>
        <v>0</v>
      </c>
      <c r="R29" s="286">
        <f>IF(R$5&gt;$D$7,0,Q28*Leadsheet!$D92)</f>
        <v>0</v>
      </c>
      <c r="S29" s="286">
        <f>IF(S$5&gt;$D$7,0,R28*Leadsheet!$D92)</f>
        <v>0</v>
      </c>
      <c r="T29" s="285">
        <f>IF(T$5&gt;$D$7,0,S28*Leadsheet!$D92)</f>
        <v>0</v>
      </c>
      <c r="U29" s="285">
        <f>IF(U$5&gt;$D$7,0,T28*Leadsheet!$D92)</f>
        <v>0</v>
      </c>
      <c r="V29" s="285">
        <f>IF(V$5&gt;$D$7,0,U28*Leadsheet!$D92)</f>
        <v>0</v>
      </c>
      <c r="W29" s="285">
        <f>IF(W$5&gt;$D$7,0,V28*Leadsheet!$D92)</f>
        <v>0</v>
      </c>
      <c r="X29" s="285">
        <f>IF(X$5&gt;$D$7,0,W28*Leadsheet!$D92)</f>
        <v>0</v>
      </c>
      <c r="Y29" s="285">
        <f>IF(Y$5&gt;$D$7,0,X28*Leadsheet!$D92)</f>
        <v>0</v>
      </c>
      <c r="Z29" s="285">
        <f>IF(Z$5&gt;$D$7,0,Y28*Leadsheet!$D92)</f>
        <v>0</v>
      </c>
      <c r="AA29" s="285">
        <f>IF(AA$5&gt;$D$7,0,Z28*Leadsheet!$D92)</f>
        <v>0</v>
      </c>
      <c r="AB29" s="285">
        <f>IF(AB$5&gt;$D$7,0,AA28*Leadsheet!$D92)</f>
        <v>0</v>
      </c>
      <c r="AC29" s="285">
        <f>IF(AC$5&gt;$D$7,0,AB28*Leadsheet!$D92)</f>
        <v>0</v>
      </c>
      <c r="AD29" s="285">
        <f>IF(AD$5&gt;$D$7,0,AC28*Leadsheet!$D92)</f>
        <v>0</v>
      </c>
      <c r="AE29" s="285">
        <f>IF(AE$5&gt;$D$7,0,AD28*Leadsheet!$D92)</f>
        <v>0</v>
      </c>
      <c r="AF29" s="285">
        <f>IF(AF$5&gt;$D$7,0,AE28*Leadsheet!$D92)</f>
        <v>0</v>
      </c>
      <c r="AG29" s="285">
        <f>IF(AG$5&gt;$D$7,0,AF28*Leadsheet!$D92)</f>
        <v>0</v>
      </c>
      <c r="AH29" s="285">
        <f>IF(AH$5&gt;$D$7,0,AG28*Leadsheet!$D92)</f>
        <v>0</v>
      </c>
      <c r="AI29" s="285">
        <f>IF(AI$5&gt;$D$7,0,AH28*Leadsheet!$D92)</f>
        <v>0</v>
      </c>
      <c r="AJ29" s="285">
        <f>IF(AJ$5&gt;$D$7,0,AI28*Leadsheet!$D92)</f>
        <v>0</v>
      </c>
      <c r="AK29" s="285">
        <f>IF(AK$5&gt;$D$7,0,AJ28*Leadsheet!$D92)</f>
        <v>0</v>
      </c>
      <c r="AL29" s="285">
        <f>IF(AL$5&gt;$D$7,0,AK28*Leadsheet!$D92)</f>
        <v>0</v>
      </c>
      <c r="AM29" s="285">
        <f>IF(AM$5&gt;$D$7,0,AL28*Leadsheet!$D92)</f>
        <v>0</v>
      </c>
      <c r="AN29" s="285">
        <f>IF(AN$5&gt;$D$7,0,AM28*Leadsheet!$D92)</f>
        <v>0</v>
      </c>
      <c r="AO29" s="285">
        <f>IF(AO$5&gt;$D$7,0,AN28*Leadsheet!$D92)</f>
        <v>0</v>
      </c>
      <c r="AP29" s="285">
        <f>IF(AP$5&gt;$D$7,0,AO28*Leadsheet!$D92)</f>
        <v>0</v>
      </c>
      <c r="AQ29" s="285">
        <f>IF(AQ$5&gt;$D$7,0,AP28*Leadsheet!$D92)</f>
        <v>0</v>
      </c>
      <c r="AR29" s="285">
        <f>IF(AR$5&gt;$D$7,0,AQ28*Leadsheet!$D92)</f>
        <v>0</v>
      </c>
      <c r="AS29" s="285">
        <f>IF(AS$5&gt;$D$7,0,AR28*Leadsheet!$D92)</f>
        <v>0</v>
      </c>
      <c r="AT29" s="285">
        <f>IF(AT$5&gt;$D$7,0,AS28*Leadsheet!$D92)</f>
        <v>0</v>
      </c>
      <c r="AU29" s="285">
        <f>IF(AU$5&gt;$D$7,0,AT28*Leadsheet!$D92)</f>
        <v>0</v>
      </c>
      <c r="AV29" s="285">
        <f>IF(AV$5&gt;$D$7,0,AU28*Leadsheet!$D92)</f>
        <v>0</v>
      </c>
      <c r="AW29" s="285">
        <f>IF(AW$5&gt;$D$7,0,AV28*Leadsheet!$D92)</f>
        <v>0</v>
      </c>
      <c r="AX29" s="285">
        <f>IF(AX$5&gt;$D$7,0,AW28*Leadsheet!$D92)</f>
        <v>0</v>
      </c>
      <c r="AY29" s="285">
        <f>IF(AY$5&gt;$D$7,0,AX28*Leadsheet!$D92)</f>
        <v>0</v>
      </c>
      <c r="AZ29" s="285">
        <f>IF(AZ$5&gt;$D$7,0,AY28*Leadsheet!$D92)</f>
        <v>0</v>
      </c>
      <c r="BA29" s="285">
        <f>IF(BA$5&gt;$D$7,0,AZ28*Leadsheet!$D92)</f>
        <v>0</v>
      </c>
      <c r="BB29" s="285">
        <f>IF(BB$5&gt;$D$7,0,BA28*Leadsheet!$D92)</f>
        <v>0</v>
      </c>
      <c r="BC29" s="285">
        <f>IF(BC$5&gt;$D$7,0,BB28*Leadsheet!$D92)</f>
        <v>0</v>
      </c>
      <c r="BD29" s="285">
        <f>IF(BD$5&gt;$D$7,0,BC28*Leadsheet!$D92)</f>
        <v>0</v>
      </c>
      <c r="BE29" s="285">
        <f>IF(BE$5&gt;$D$7,0,BD28*Leadsheet!$D92)</f>
        <v>0</v>
      </c>
      <c r="BF29" s="285">
        <f>IF(BF$5&gt;$D$7,0,BE28*Leadsheet!$D92)</f>
        <v>0</v>
      </c>
      <c r="BG29" s="285">
        <f>IF(BG$5&gt;$D$7,0,BF28*Leadsheet!$D92)</f>
        <v>0</v>
      </c>
      <c r="BH29" s="285">
        <f>IF(BH$5&gt;$D$7,0,BG28*Leadsheet!$D92)</f>
        <v>0</v>
      </c>
      <c r="BI29" s="285">
        <f>IF(BI$5&gt;$D$7,0,BH28*Leadsheet!$D92)</f>
        <v>0</v>
      </c>
      <c r="BJ29" s="285">
        <f>IF(BJ$5&gt;$D$7,0,BI28*Leadsheet!$D92)</f>
        <v>0</v>
      </c>
      <c r="BK29" s="285">
        <f>IF(BK$5&gt;$D$7,0,BJ28*Leadsheet!$D92)</f>
        <v>0</v>
      </c>
      <c r="BL29" s="285">
        <f>IF(BL$5&gt;$D$7,0,BK28*Leadsheet!$D92)</f>
        <v>0</v>
      </c>
    </row>
    <row r="30" spans="1:64" s="140" customFormat="1" x14ac:dyDescent="0.15">
      <c r="A30" s="283" t="s">
        <v>363</v>
      </c>
      <c r="B30" s="284">
        <v>90</v>
      </c>
      <c r="C30" s="84" t="s">
        <v>366</v>
      </c>
      <c r="D30" s="285"/>
      <c r="E30" s="286">
        <f>IF(E$5&gt;$D$7,0,D29*Leadsheet!$D93)</f>
        <v>0</v>
      </c>
      <c r="F30" s="286">
        <f>IF(F$5&gt;$D$7,0,E29*Leadsheet!$D93)</f>
        <v>0</v>
      </c>
      <c r="G30" s="286">
        <f>IF(G$5&gt;$D$7,0,F29*Leadsheet!$D93)</f>
        <v>0.30775236314116872</v>
      </c>
      <c r="H30" s="286">
        <f>IF(H$5&gt;$D$7,0,G29*Leadsheet!$D93)</f>
        <v>0.2506551622522919</v>
      </c>
      <c r="I30" s="286">
        <f>IF(I$5&gt;$D$7,0,H29*Leadsheet!$D93)</f>
        <v>0.20877034921860568</v>
      </c>
      <c r="J30" s="286">
        <f>IF(J$5&gt;$D$7,0,I29*Leadsheet!$D93)</f>
        <v>0.17103003740171877</v>
      </c>
      <c r="K30" s="286">
        <f>IF(K$5&gt;$D$7,0,J29*Leadsheet!$D93)</f>
        <v>0.14441693214377288</v>
      </c>
      <c r="L30" s="286">
        <f>IF(L$5&gt;$D$7,0,K29*Leadsheet!$D93)</f>
        <v>0.11922214761143651</v>
      </c>
      <c r="M30" s="286">
        <f>IF(M$5&gt;$D$7,0,L29*Leadsheet!$D93)</f>
        <v>9.5545252408308814E-2</v>
      </c>
      <c r="N30" s="286">
        <f>IF(N$5&gt;$D$7,0,M29*Leadsheet!$D93)</f>
        <v>7.3380906261395443E-2</v>
      </c>
      <c r="O30" s="286">
        <f>IF(O$5&gt;$D$7,0,N29*Leadsheet!$D93)</f>
        <v>5.2714039309546719E-2</v>
      </c>
      <c r="P30" s="286">
        <f>IF(P$5&gt;$D$7,0,O29*Leadsheet!$D93)</f>
        <v>3.353789784904699E-2</v>
      </c>
      <c r="Q30" s="286">
        <f>IF(Q$5&gt;$D$7,0,P29*Leadsheet!$D93)</f>
        <v>1.5864097663759916E-2</v>
      </c>
      <c r="R30" s="286">
        <f>IF(R$5&gt;$D$7,0,Q29*Leadsheet!$D93)</f>
        <v>0</v>
      </c>
      <c r="S30" s="286">
        <f>IF(S$5&gt;$D$7,0,R29*Leadsheet!$D93)</f>
        <v>0</v>
      </c>
      <c r="T30" s="285">
        <f>IF(T$5&gt;$D$7,0,S29*Leadsheet!$D93)</f>
        <v>0</v>
      </c>
      <c r="U30" s="285">
        <f>IF(U$5&gt;$D$7,0,T29*Leadsheet!$D93)</f>
        <v>0</v>
      </c>
      <c r="V30" s="285">
        <f>IF(V$5&gt;$D$7,0,U29*Leadsheet!$D93)</f>
        <v>0</v>
      </c>
      <c r="W30" s="285">
        <f>IF(W$5&gt;$D$7,0,V29*Leadsheet!$D93)</f>
        <v>0</v>
      </c>
      <c r="X30" s="285">
        <f>IF(X$5&gt;$D$7,0,W29*Leadsheet!$D93)</f>
        <v>0</v>
      </c>
      <c r="Y30" s="285">
        <f>IF(Y$5&gt;$D$7,0,X29*Leadsheet!$D93)</f>
        <v>0</v>
      </c>
      <c r="Z30" s="285">
        <f>IF(Z$5&gt;$D$7,0,Y29*Leadsheet!$D93)</f>
        <v>0</v>
      </c>
      <c r="AA30" s="285">
        <f>IF(AA$5&gt;$D$7,0,Z29*Leadsheet!$D93)</f>
        <v>0</v>
      </c>
      <c r="AB30" s="285">
        <f>IF(AB$5&gt;$D$7,0,AA29*Leadsheet!$D93)</f>
        <v>0</v>
      </c>
      <c r="AC30" s="285">
        <f>IF(AC$5&gt;$D$7,0,AB29*Leadsheet!$D93)</f>
        <v>0</v>
      </c>
      <c r="AD30" s="285">
        <f>IF(AD$5&gt;$D$7,0,AC29*Leadsheet!$D93)</f>
        <v>0</v>
      </c>
      <c r="AE30" s="285">
        <f>IF(AE$5&gt;$D$7,0,AD29*Leadsheet!$D93)</f>
        <v>0</v>
      </c>
      <c r="AF30" s="285">
        <f>IF(AF$5&gt;$D$7,0,AE29*Leadsheet!$D93)</f>
        <v>0</v>
      </c>
      <c r="AG30" s="285">
        <f>IF(AG$5&gt;$D$7,0,AF29*Leadsheet!$D93)</f>
        <v>0</v>
      </c>
      <c r="AH30" s="285">
        <f>IF(AH$5&gt;$D$7,0,AG29*Leadsheet!$D93)</f>
        <v>0</v>
      </c>
      <c r="AI30" s="285">
        <f>IF(AI$5&gt;$D$7,0,AH29*Leadsheet!$D93)</f>
        <v>0</v>
      </c>
      <c r="AJ30" s="285">
        <f>IF(AJ$5&gt;$D$7,0,AI29*Leadsheet!$D93)</f>
        <v>0</v>
      </c>
      <c r="AK30" s="285">
        <f>IF(AK$5&gt;$D$7,0,AJ29*Leadsheet!$D93)</f>
        <v>0</v>
      </c>
      <c r="AL30" s="285">
        <f>IF(AL$5&gt;$D$7,0,AK29*Leadsheet!$D93)</f>
        <v>0</v>
      </c>
      <c r="AM30" s="285">
        <f>IF(AM$5&gt;$D$7,0,AL29*Leadsheet!$D93)</f>
        <v>0</v>
      </c>
      <c r="AN30" s="285">
        <f>IF(AN$5&gt;$D$7,0,AM29*Leadsheet!$D93)</f>
        <v>0</v>
      </c>
      <c r="AO30" s="285">
        <f>IF(AO$5&gt;$D$7,0,AN29*Leadsheet!$D93)</f>
        <v>0</v>
      </c>
      <c r="AP30" s="285">
        <f>IF(AP$5&gt;$D$7,0,AO29*Leadsheet!$D93)</f>
        <v>0</v>
      </c>
      <c r="AQ30" s="285">
        <f>IF(AQ$5&gt;$D$7,0,AP29*Leadsheet!$D93)</f>
        <v>0</v>
      </c>
      <c r="AR30" s="285">
        <f>IF(AR$5&gt;$D$7,0,AQ29*Leadsheet!$D93)</f>
        <v>0</v>
      </c>
      <c r="AS30" s="285">
        <f>IF(AS$5&gt;$D$7,0,AR29*Leadsheet!$D93)</f>
        <v>0</v>
      </c>
      <c r="AT30" s="285">
        <f>IF(AT$5&gt;$D$7,0,AS29*Leadsheet!$D93)</f>
        <v>0</v>
      </c>
      <c r="AU30" s="285">
        <f>IF(AU$5&gt;$D$7,0,AT29*Leadsheet!$D93)</f>
        <v>0</v>
      </c>
      <c r="AV30" s="285">
        <v>0</v>
      </c>
      <c r="AW30" s="285">
        <f>IF(AW$5&gt;$D$7,0,AV29*Leadsheet!$D93)</f>
        <v>0</v>
      </c>
      <c r="AX30" s="285">
        <f>IF(AX$5&gt;$D$7,0,AW29*Leadsheet!$D93)</f>
        <v>0</v>
      </c>
      <c r="AY30" s="285">
        <f>IF(AY$5&gt;$D$7,0,AX29*Leadsheet!$D93)</f>
        <v>0</v>
      </c>
      <c r="AZ30" s="285">
        <f>IF(AZ$5&gt;$D$7,0,AY29*Leadsheet!$D93)</f>
        <v>0</v>
      </c>
      <c r="BA30" s="285">
        <f>IF(BA$5&gt;$D$7,0,AZ29*Leadsheet!$D93)</f>
        <v>0</v>
      </c>
      <c r="BB30" s="285">
        <f>IF(BB$5&gt;$D$7,0,BA29*Leadsheet!$D93)</f>
        <v>0</v>
      </c>
      <c r="BC30" s="285">
        <f>IF(BC$5&gt;$D$7,0,BB29*Leadsheet!$D93)</f>
        <v>0</v>
      </c>
      <c r="BD30" s="285">
        <f>IF(BD$5&gt;$D$7,0,BC29*Leadsheet!$D93)</f>
        <v>0</v>
      </c>
      <c r="BE30" s="285">
        <f>IF(BE$5&gt;$D$7,0,BD29*Leadsheet!$D93)</f>
        <v>0</v>
      </c>
      <c r="BF30" s="285">
        <f>IF(BF$5&gt;$D$7,0,BE29*Leadsheet!$D93)</f>
        <v>0</v>
      </c>
      <c r="BG30" s="285">
        <f>IF(BG$5&gt;$D$7,0,BF29*Leadsheet!$D93)</f>
        <v>0</v>
      </c>
      <c r="BH30" s="285">
        <f>IF(BH$5&gt;$D$7,0,BG29*Leadsheet!$D93)</f>
        <v>0</v>
      </c>
      <c r="BI30" s="285">
        <f>IF(BI$5&gt;$D$7,0,BH29*Leadsheet!$D93)</f>
        <v>0</v>
      </c>
      <c r="BJ30" s="285">
        <f>IF(BJ$5&gt;$D$7,0,BI29*Leadsheet!$D93)</f>
        <v>0</v>
      </c>
      <c r="BK30" s="285">
        <f>IF(BK$5&gt;$D$7,0,BJ29*Leadsheet!$D93)</f>
        <v>0</v>
      </c>
      <c r="BL30" s="285">
        <f>IF(BL$5&gt;$D$7,0,BK29*Leadsheet!$D93)</f>
        <v>0</v>
      </c>
    </row>
    <row r="31" spans="1:64" x14ac:dyDescent="0.15">
      <c r="A31" s="287" t="s">
        <v>367</v>
      </c>
      <c r="B31" s="288">
        <v>120</v>
      </c>
      <c r="C31" s="84" t="s">
        <v>368</v>
      </c>
      <c r="D31" s="289"/>
      <c r="E31" s="286">
        <f>IF(E$5&gt;$D$7,0,D30*Leadsheet!$D94)</f>
        <v>0</v>
      </c>
      <c r="F31" s="286">
        <f>IF(F$5&gt;$D$7,0,E30*Leadsheet!$D94)</f>
        <v>0</v>
      </c>
      <c r="G31" s="286">
        <f>IF(G$5&gt;$D$7,0,F30*Leadsheet!$D94)</f>
        <v>0</v>
      </c>
      <c r="H31" s="286">
        <f>IF(H$5&gt;$D$7,0,G30*Leadsheet!$D94)</f>
        <v>0.3077215879048546</v>
      </c>
      <c r="I31" s="286">
        <f>IF(I$5&gt;$D$7,0,H30*Leadsheet!$D94)</f>
        <v>0.25063009673606668</v>
      </c>
      <c r="J31" s="286">
        <f>IF(J$5&gt;$D$7,0,I30*Leadsheet!$D94)</f>
        <v>0.20874947218368384</v>
      </c>
      <c r="K31" s="286">
        <f>IF(K$5&gt;$D$7,0,J30*Leadsheet!$D94)</f>
        <v>0.1710129343979786</v>
      </c>
      <c r="L31" s="286">
        <f>IF(L$5&gt;$D$7,0,K30*Leadsheet!$D94)</f>
        <v>0.1444024904505585</v>
      </c>
      <c r="M31" s="286">
        <f>IF(M$5&gt;$D$7,0,L30*Leadsheet!$D94)</f>
        <v>0.11921022539667538</v>
      </c>
      <c r="N31" s="286">
        <f>IF(N$5&gt;$D$7,0,M30*Leadsheet!$D94)</f>
        <v>9.5535697883067983E-2</v>
      </c>
      <c r="O31" s="286">
        <f>IF(O$5&gt;$D$7,0,N30*Leadsheet!$D94)</f>
        <v>7.3373568170769302E-2</v>
      </c>
      <c r="P31" s="286">
        <f>IF(P$5&gt;$D$7,0,O30*Leadsheet!$D94)</f>
        <v>5.2708767905615767E-2</v>
      </c>
      <c r="Q31" s="286">
        <f>IF(Q$5&gt;$D$7,0,P30*Leadsheet!$D94)</f>
        <v>3.3534544059262088E-2</v>
      </c>
      <c r="R31" s="286">
        <f>IF(R$5&gt;$D$7,0,Q30*Leadsheet!$D94)</f>
        <v>1.5862511253993541E-2</v>
      </c>
      <c r="S31" s="286">
        <f>IF(S$5&gt;$D$7,0,R30*Leadsheet!$D94)</f>
        <v>0</v>
      </c>
      <c r="T31" s="285">
        <f>IF(T$5&gt;$D$7,0,S30*Leadsheet!$D94)</f>
        <v>0</v>
      </c>
      <c r="U31" s="285">
        <f>IF(U$5&gt;$D$7,0,T30*Leadsheet!$D94)</f>
        <v>0</v>
      </c>
      <c r="V31" s="285">
        <f>IF(V$5&gt;$D$7,0,U30*Leadsheet!$D94)</f>
        <v>0</v>
      </c>
      <c r="W31" s="285">
        <f>IF(W$5&gt;$D$7,0,V30*Leadsheet!$D94)</f>
        <v>0</v>
      </c>
      <c r="X31" s="285">
        <f>IF(X$5&gt;$D$7,0,W30*Leadsheet!$D94)</f>
        <v>0</v>
      </c>
      <c r="Y31" s="285">
        <f>IF(Y$5&gt;$D$7,0,X30*Leadsheet!$D94)</f>
        <v>0</v>
      </c>
      <c r="Z31" s="285">
        <f>IF(Z$5&gt;$D$7,0,Y30*Leadsheet!$D94)</f>
        <v>0</v>
      </c>
      <c r="AA31" s="285">
        <f>IF(AA$5&gt;$D$7,0,Z30*Leadsheet!$D94)</f>
        <v>0</v>
      </c>
      <c r="AB31" s="285">
        <f>IF(AB$5&gt;$D$7,0,AA30*Leadsheet!$D94)</f>
        <v>0</v>
      </c>
      <c r="AC31" s="285">
        <f>IF(AC$5&gt;$D$7,0,AB30*Leadsheet!$D94)</f>
        <v>0</v>
      </c>
      <c r="AD31" s="285">
        <f>IF(AD$5&gt;$D$7,0,AC30*Leadsheet!$D94)</f>
        <v>0</v>
      </c>
      <c r="AE31" s="285">
        <f>IF(AE$5&gt;$D$7,0,AD30*Leadsheet!$D94)</f>
        <v>0</v>
      </c>
      <c r="AF31" s="285">
        <f>IF(AF$5&gt;$D$7,0,AE30*Leadsheet!$D94)</f>
        <v>0</v>
      </c>
      <c r="AG31" s="285">
        <f>IF(AG$5&gt;$D$7,0,AF30*Leadsheet!$D94)</f>
        <v>0</v>
      </c>
      <c r="AH31" s="285">
        <f>IF(AH$5&gt;$D$7,0,AG30*Leadsheet!$D94)</f>
        <v>0</v>
      </c>
      <c r="AI31" s="285">
        <f>IF(AI$5&gt;$D$7,0,AH30*Leadsheet!$D94)</f>
        <v>0</v>
      </c>
      <c r="AJ31" s="285">
        <f>IF(AJ$5&gt;$D$7,0,AI30*Leadsheet!$D94)</f>
        <v>0</v>
      </c>
      <c r="AK31" s="285">
        <f>IF(AK$5&gt;$D$7,0,AJ30*Leadsheet!$D94)</f>
        <v>0</v>
      </c>
      <c r="AL31" s="285">
        <f>IF(AL$5&gt;$D$7,0,AK30*Leadsheet!$D94)</f>
        <v>0</v>
      </c>
      <c r="AM31" s="285">
        <f>IF(AM$5&gt;$D$7,0,AL30*Leadsheet!$D94)</f>
        <v>0</v>
      </c>
      <c r="AN31" s="285">
        <f>IF(AN$5&gt;$D$7,0,AM30*Leadsheet!$D94)</f>
        <v>0</v>
      </c>
      <c r="AO31" s="285">
        <f>IF(AO$5&gt;$D$7,0,AN30*Leadsheet!$D94)</f>
        <v>0</v>
      </c>
      <c r="AP31" s="285">
        <f>IF(AP$5&gt;$D$7,0,AO30*Leadsheet!$D94)</f>
        <v>0</v>
      </c>
      <c r="AQ31" s="285">
        <f>IF(AQ$5&gt;$D$7,0,AP30*Leadsheet!$D94)</f>
        <v>0</v>
      </c>
      <c r="AR31" s="285">
        <f>IF(AR$5&gt;$D$7,0,AQ30*Leadsheet!$D94)</f>
        <v>0</v>
      </c>
      <c r="AS31" s="285">
        <f>IF(AS$5&gt;$D$7,0,AR30*Leadsheet!$D94)</f>
        <v>0</v>
      </c>
      <c r="AT31" s="285">
        <f>IF(AT$5&gt;$D$7,0,AS30*Leadsheet!$D94)</f>
        <v>0</v>
      </c>
      <c r="AU31" s="285">
        <f>IF(AU$5&gt;$D$7,0,AT30*Leadsheet!$D94)</f>
        <v>0</v>
      </c>
      <c r="AV31" s="285">
        <f>IF(AV$5&gt;$D$7,0,AU30*Leadsheet!$D94)</f>
        <v>0</v>
      </c>
      <c r="AW31" s="285">
        <f>IF(AW$5&gt;$D$7,0,AV30*Leadsheet!$D94)</f>
        <v>0</v>
      </c>
      <c r="AX31" s="285">
        <f>IF(AX$5&gt;$D$7,0,AW30*Leadsheet!$D94)</f>
        <v>0</v>
      </c>
      <c r="AY31" s="285">
        <f>IF(AY$5&gt;$D$7,0,AX30*Leadsheet!$D94)</f>
        <v>0</v>
      </c>
      <c r="AZ31" s="285">
        <f>IF(AZ$5&gt;$D$7,0,AY30*Leadsheet!$D94)</f>
        <v>0</v>
      </c>
      <c r="BA31" s="285">
        <f>IF(BA$5&gt;$D$7,0,AZ30*Leadsheet!$D94)</f>
        <v>0</v>
      </c>
      <c r="BB31" s="285">
        <f>IF(BB$5&gt;$D$7,0,BA30*Leadsheet!$D94)</f>
        <v>0</v>
      </c>
      <c r="BC31" s="285">
        <f>IF(BC$5&gt;$D$7,0,BB30*Leadsheet!$D94)</f>
        <v>0</v>
      </c>
      <c r="BD31" s="285">
        <f>IF(BD$5&gt;$D$7,0,BC30*Leadsheet!$D94)</f>
        <v>0</v>
      </c>
      <c r="BE31" s="285">
        <f>IF(BE$5&gt;$D$7,0,BD30*Leadsheet!$D94)</f>
        <v>0</v>
      </c>
      <c r="BF31" s="285">
        <f>IF(BF$5&gt;$D$7,0,BE30*Leadsheet!$D94)</f>
        <v>0</v>
      </c>
      <c r="BG31" s="285">
        <f>IF(BG$5&gt;$D$7,0,BF30*Leadsheet!$D94)</f>
        <v>0</v>
      </c>
      <c r="BH31" s="285">
        <f>IF(BH$5&gt;$D$7,0,BG30*Leadsheet!$D94)</f>
        <v>0</v>
      </c>
      <c r="BI31" s="285">
        <f>IF(BI$5&gt;$D$7,0,BH30*Leadsheet!$D94)</f>
        <v>0</v>
      </c>
      <c r="BJ31" s="285">
        <f>IF(BJ$5&gt;$D$7,0,BI30*Leadsheet!$D94)</f>
        <v>0</v>
      </c>
      <c r="BK31" s="285">
        <f>IF(BK$5&gt;$D$7,0,BJ30*Leadsheet!$D94)</f>
        <v>0</v>
      </c>
      <c r="BL31" s="285">
        <f>IF(BL$5&gt;$D$7,0,BK30*Leadsheet!$D94)</f>
        <v>0</v>
      </c>
    </row>
    <row r="32" spans="1:64" x14ac:dyDescent="0.15">
      <c r="A32" s="287" t="s">
        <v>367</v>
      </c>
      <c r="B32" s="288">
        <v>150</v>
      </c>
      <c r="C32" s="84" t="s">
        <v>369</v>
      </c>
      <c r="D32" s="289"/>
      <c r="E32" s="286">
        <f>IF(E$5&gt;$D$7,0,D31*Leadsheet!$D95)</f>
        <v>0</v>
      </c>
      <c r="F32" s="286">
        <f>IF(F$5&gt;$D$7,0,E31*Leadsheet!$D95)</f>
        <v>0</v>
      </c>
      <c r="G32" s="286">
        <f>IF(G$5&gt;$D$7,0,F31*Leadsheet!$D95)</f>
        <v>0</v>
      </c>
      <c r="H32" s="286">
        <f>IF(H$5&gt;$D$7,0,G31*Leadsheet!$D95)</f>
        <v>0</v>
      </c>
      <c r="I32" s="286">
        <f>IF(I$5&gt;$D$7,0,H31*Leadsheet!$D95)</f>
        <v>0.30769081574606411</v>
      </c>
      <c r="J32" s="286">
        <f>IF(J$5&gt;$D$7,0,I31*Leadsheet!$D95)</f>
        <v>0.25060503372639309</v>
      </c>
      <c r="K32" s="286">
        <f>IF(K$5&gt;$D$7,0,J31*Leadsheet!$D95)</f>
        <v>0.20872859723646547</v>
      </c>
      <c r="L32" s="286">
        <f>IF(L$5&gt;$D$7,0,K31*Leadsheet!$D95)</f>
        <v>0.17099583310453881</v>
      </c>
      <c r="M32" s="286">
        <f>IF(M$5&gt;$D$7,0,L31*Leadsheet!$D95)</f>
        <v>0.14438805020151343</v>
      </c>
      <c r="N32" s="286">
        <f>IF(N$5&gt;$D$7,0,M31*Leadsheet!$D95)</f>
        <v>0.11919830437413571</v>
      </c>
      <c r="O32" s="286">
        <f>IF(O$5&gt;$D$7,0,N31*Leadsheet!$D95)</f>
        <v>9.5526144313279673E-2</v>
      </c>
      <c r="P32" s="286">
        <f>IF(P$5&gt;$D$7,0,O31*Leadsheet!$D95)</f>
        <v>7.336623081395223E-2</v>
      </c>
      <c r="Q32" s="286">
        <f>IF(Q$5&gt;$D$7,0,P31*Leadsheet!$D95)</f>
        <v>5.2703497028825208E-2</v>
      </c>
      <c r="R32" s="286">
        <f>IF(R$5&gt;$D$7,0,Q31*Leadsheet!$D95)</f>
        <v>3.3531190604856161E-2</v>
      </c>
      <c r="S32" s="286">
        <f>IF(S$5&gt;$D$7,0,R31*Leadsheet!$D95)</f>
        <v>1.5860925002868141E-2</v>
      </c>
      <c r="T32" s="285">
        <f>IF(T$5&gt;$D$7,0,S31*Leadsheet!$D95)</f>
        <v>0</v>
      </c>
      <c r="U32" s="285">
        <f>IF(U$5&gt;$D$7,0,T31*Leadsheet!$D95)</f>
        <v>0</v>
      </c>
      <c r="V32" s="285">
        <f>IF(V$5&gt;$D$7,0,U31*Leadsheet!$D95)</f>
        <v>0</v>
      </c>
      <c r="W32" s="285">
        <f>IF(W$5&gt;$D$7,0,V31*Leadsheet!$D95)</f>
        <v>0</v>
      </c>
      <c r="X32" s="285">
        <f>IF(X$5&gt;$D$7,0,W31*Leadsheet!$D95)</f>
        <v>0</v>
      </c>
      <c r="Y32" s="285">
        <f>IF(Y$5&gt;$D$7,0,X31*Leadsheet!$D95)</f>
        <v>0</v>
      </c>
      <c r="Z32" s="285">
        <f>IF(Z$5&gt;$D$7,0,Y31*Leadsheet!$D95)</f>
        <v>0</v>
      </c>
      <c r="AA32" s="285">
        <f>IF(AA$5&gt;$D$7,0,Z31*Leadsheet!$D95)</f>
        <v>0</v>
      </c>
      <c r="AB32" s="285">
        <f>IF(AB$5&gt;$D$7,0,AA31*Leadsheet!$D95)</f>
        <v>0</v>
      </c>
      <c r="AC32" s="285">
        <f>IF(AC$5&gt;$D$7,0,AB31*Leadsheet!$D95)</f>
        <v>0</v>
      </c>
      <c r="AD32" s="285">
        <f>IF(AD$5&gt;$D$7,0,AC31*Leadsheet!$D95)</f>
        <v>0</v>
      </c>
      <c r="AE32" s="285">
        <f>IF(AE$5&gt;$D$7,0,AD31*Leadsheet!$D95)</f>
        <v>0</v>
      </c>
      <c r="AF32" s="285">
        <f>IF(AF$5&gt;$D$7,0,AE31*Leadsheet!$D95)</f>
        <v>0</v>
      </c>
      <c r="AG32" s="285">
        <f>IF(AG$5&gt;$D$7,0,AF31*Leadsheet!$D95)</f>
        <v>0</v>
      </c>
      <c r="AH32" s="285">
        <f>IF(AH$5&gt;$D$7,0,AG31*Leadsheet!$D95)</f>
        <v>0</v>
      </c>
      <c r="AI32" s="285">
        <f>IF(AI$5&gt;$D$7,0,AH31*Leadsheet!$D95)</f>
        <v>0</v>
      </c>
      <c r="AJ32" s="285">
        <f>IF(AJ$5&gt;$D$7,0,AI31*Leadsheet!$D95)</f>
        <v>0</v>
      </c>
      <c r="AK32" s="285">
        <f>IF(AK$5&gt;$D$7,0,AJ31*Leadsheet!$D95)</f>
        <v>0</v>
      </c>
      <c r="AL32" s="285">
        <f>IF(AL$5&gt;$D$7,0,AK31*Leadsheet!$D95)</f>
        <v>0</v>
      </c>
      <c r="AM32" s="285">
        <f>IF(AM$5&gt;$D$7,0,AL31*Leadsheet!$D95)</f>
        <v>0</v>
      </c>
      <c r="AN32" s="285">
        <f>IF(AN$5&gt;$D$7,0,AM31*Leadsheet!$D95)</f>
        <v>0</v>
      </c>
      <c r="AO32" s="285">
        <f>IF(AO$5&gt;$D$7,0,AN31*Leadsheet!$D95)</f>
        <v>0</v>
      </c>
      <c r="AP32" s="285">
        <f>IF(AP$5&gt;$D$7,0,AO31*Leadsheet!$D95)</f>
        <v>0</v>
      </c>
      <c r="AQ32" s="285">
        <f>IF(AQ$5&gt;$D$7,0,AP31*Leadsheet!$D95)</f>
        <v>0</v>
      </c>
      <c r="AR32" s="285">
        <f>IF(AR$5&gt;$D$7,0,AQ31*Leadsheet!$D95)</f>
        <v>0</v>
      </c>
      <c r="AS32" s="285">
        <f>IF(AS$5&gt;$D$7,0,AR31*Leadsheet!$D95)</f>
        <v>0</v>
      </c>
      <c r="AT32" s="285">
        <f>IF(AT$5&gt;$D$7,0,AS31*Leadsheet!$D95)</f>
        <v>0</v>
      </c>
      <c r="AU32" s="285">
        <f>IF(AU$5&gt;$D$7,0,AT31*Leadsheet!$D95)</f>
        <v>0</v>
      </c>
      <c r="AV32" s="285">
        <f>IF(AV$5&gt;$D$7,0,AU31*Leadsheet!$D95)</f>
        <v>0</v>
      </c>
      <c r="AW32" s="285">
        <f>IF(AW$5&gt;$D$7,0,AV31*Leadsheet!$D95)</f>
        <v>0</v>
      </c>
      <c r="AX32" s="285">
        <f>IF(AX$5&gt;$D$7,0,AW31*Leadsheet!$D95)</f>
        <v>0</v>
      </c>
      <c r="AY32" s="285">
        <f>IF(AY$5&gt;$D$7,0,AX31*Leadsheet!$D95)</f>
        <v>0</v>
      </c>
      <c r="AZ32" s="285">
        <f>IF(AZ$5&gt;$D$7,0,AY31*Leadsheet!$D95)</f>
        <v>0</v>
      </c>
      <c r="BA32" s="285">
        <f>IF(BA$5&gt;$D$7,0,AZ31*Leadsheet!$D95)</f>
        <v>0</v>
      </c>
      <c r="BB32" s="285">
        <f>IF(BB$5&gt;$D$7,0,BA31*Leadsheet!$D95)</f>
        <v>0</v>
      </c>
      <c r="BC32" s="285">
        <f>IF(BC$5&gt;$D$7,0,BB31*Leadsheet!$D95)</f>
        <v>0</v>
      </c>
      <c r="BD32" s="285">
        <f>IF(BD$5&gt;$D$7,0,BC31*Leadsheet!$D95)</f>
        <v>0</v>
      </c>
      <c r="BE32" s="285">
        <f>IF(BE$5&gt;$D$7,0,BD31*Leadsheet!$D95)</f>
        <v>0</v>
      </c>
      <c r="BF32" s="285">
        <f>IF(BF$5&gt;$D$7,0,BE31*Leadsheet!$D95)</f>
        <v>0</v>
      </c>
      <c r="BG32" s="285">
        <f>IF(BG$5&gt;$D$7,0,BF31*Leadsheet!$D95)</f>
        <v>0</v>
      </c>
      <c r="BH32" s="285">
        <f>IF(BH$5&gt;$D$7,0,BG31*Leadsheet!$D95)</f>
        <v>0</v>
      </c>
      <c r="BI32" s="285">
        <f>IF(BI$5&gt;$D$7,0,BH31*Leadsheet!$D95)</f>
        <v>0</v>
      </c>
      <c r="BJ32" s="285">
        <f>IF(BJ$5&gt;$D$7,0,BI31*Leadsheet!$D95)</f>
        <v>0</v>
      </c>
      <c r="BK32" s="285">
        <f>IF(BK$5&gt;$D$7,0,BJ31*Leadsheet!$D95)</f>
        <v>0</v>
      </c>
      <c r="BL32" s="285">
        <f>IF(BL$5&gt;$D$7,0,BK31*Leadsheet!$D95)</f>
        <v>0</v>
      </c>
    </row>
    <row r="33" spans="1:64" s="155" customFormat="1" x14ac:dyDescent="0.15">
      <c r="A33" s="287" t="s">
        <v>367</v>
      </c>
      <c r="B33" s="288">
        <v>180</v>
      </c>
      <c r="C33" s="84" t="s">
        <v>332</v>
      </c>
      <c r="D33" s="290"/>
      <c r="E33" s="286">
        <f>IF(E$5&gt;$D$7,0,D32*Leadsheet!$D96)</f>
        <v>0</v>
      </c>
      <c r="F33" s="286">
        <f>IF(F$5&gt;$D$7,0,E32*Leadsheet!$D96)</f>
        <v>0</v>
      </c>
      <c r="G33" s="286">
        <f>IF(G$5&gt;$D$7,0,F32*Leadsheet!$D96)</f>
        <v>0</v>
      </c>
      <c r="H33" s="286">
        <f>IF(H$5&gt;$D$7,0,G32*Leadsheet!$D96)</f>
        <v>0</v>
      </c>
      <c r="I33" s="286">
        <f>IF(I$5&gt;$D$7,0,H32*Leadsheet!$D96)</f>
        <v>0</v>
      </c>
      <c r="J33" s="286">
        <f>IF(J$5&gt;$D$7,0,I32*Leadsheet!$D96)</f>
        <v>0.30769081574606411</v>
      </c>
      <c r="K33" s="286">
        <f>IF(K$5&gt;$D$7,0,J32*Leadsheet!$D96)</f>
        <v>0.25060503372639309</v>
      </c>
      <c r="L33" s="286">
        <f>IF(L$5&gt;$D$7,0,K32*Leadsheet!$D96)</f>
        <v>0.20872859723646547</v>
      </c>
      <c r="M33" s="286">
        <f>IF(M$5&gt;$D$7,0,L32*Leadsheet!$D96)</f>
        <v>0.17099583310453881</v>
      </c>
      <c r="N33" s="286">
        <f>IF(N$5&gt;$D$7,0,M32*Leadsheet!$D96)</f>
        <v>0.14438805020151343</v>
      </c>
      <c r="O33" s="286">
        <f>IF(O$5&gt;$D$7,0,N32*Leadsheet!$D96)</f>
        <v>0.11919830437413571</v>
      </c>
      <c r="P33" s="286">
        <f>IF(P$5&gt;$D$7,0,O32*Leadsheet!$D96)</f>
        <v>9.5526144313279673E-2</v>
      </c>
      <c r="Q33" s="286">
        <f>IF(Q$5&gt;$D$7,0,P32*Leadsheet!$D96)</f>
        <v>7.336623081395223E-2</v>
      </c>
      <c r="R33" s="286">
        <f>IF(R$5&gt;$D$7,0,Q32*Leadsheet!$D96)</f>
        <v>5.2703497028825208E-2</v>
      </c>
      <c r="S33" s="286">
        <f>IF(S$5&gt;$D$7,0,R32*Leadsheet!$D96)</f>
        <v>3.3531190604856161E-2</v>
      </c>
      <c r="T33" s="285">
        <f>IF(T$5&gt;$D$7,0,S32*Leadsheet!$D96)</f>
        <v>1.5860925002868141E-2</v>
      </c>
      <c r="U33" s="285">
        <f>IF(U$5&gt;$D$7,0,T32*Leadsheet!$D96)</f>
        <v>0</v>
      </c>
      <c r="V33" s="285">
        <f>IF(V$5&gt;$D$7,0,U32*Leadsheet!$D96)</f>
        <v>0</v>
      </c>
      <c r="W33" s="285">
        <f>IF(W$5&gt;$D$7,0,V32*Leadsheet!$D96)</f>
        <v>0</v>
      </c>
      <c r="X33" s="285">
        <f>IF(X$5&gt;$D$7,0,W32*Leadsheet!$D96)</f>
        <v>0</v>
      </c>
      <c r="Y33" s="285">
        <f>IF(Y$5&gt;$D$7,0,X32*Leadsheet!$D96)</f>
        <v>0</v>
      </c>
      <c r="Z33" s="285">
        <f>IF(Z$5&gt;$D$7,0,Y32*Leadsheet!$D96)</f>
        <v>0</v>
      </c>
      <c r="AA33" s="285">
        <f>IF(AA$5&gt;$D$7,0,Z32*Leadsheet!$D96)</f>
        <v>0</v>
      </c>
      <c r="AB33" s="285">
        <f>IF(AB$5&gt;$D$7,0,AA32*Leadsheet!$D96)</f>
        <v>0</v>
      </c>
      <c r="AC33" s="285">
        <f>IF(AC$5&gt;$D$7,0,AB32*Leadsheet!$D96)</f>
        <v>0</v>
      </c>
      <c r="AD33" s="285">
        <f>IF(AD$5&gt;$D$7,0,AC32*Leadsheet!$D96)</f>
        <v>0</v>
      </c>
      <c r="AE33" s="285">
        <f>IF(AE$5&gt;$D$7,0,AD32*Leadsheet!$D96)</f>
        <v>0</v>
      </c>
      <c r="AF33" s="285">
        <f>IF(AF$5&gt;$D$7,0,AE32*Leadsheet!$D96)</f>
        <v>0</v>
      </c>
      <c r="AG33" s="285">
        <f>IF(AG$5&gt;$D$7,0,AF32*Leadsheet!$D96)</f>
        <v>0</v>
      </c>
      <c r="AH33" s="285">
        <f>IF(AH$5&gt;$D$7,0,AG32*Leadsheet!$D96)</f>
        <v>0</v>
      </c>
      <c r="AI33" s="285">
        <f>IF(AI$5&gt;$D$7,0,AH32*Leadsheet!$D96)</f>
        <v>0</v>
      </c>
      <c r="AJ33" s="285">
        <f>IF(AJ$5&gt;$D$7,0,AI32*Leadsheet!$D96)</f>
        <v>0</v>
      </c>
      <c r="AK33" s="285">
        <f>IF(AK$5&gt;$D$7,0,AJ32*Leadsheet!$D96)</f>
        <v>0</v>
      </c>
      <c r="AL33" s="285">
        <f>IF(AL$5&gt;$D$7,0,AK32*Leadsheet!$D96)</f>
        <v>0</v>
      </c>
      <c r="AM33" s="285">
        <f>IF(AM$5&gt;$D$7,0,AL32*Leadsheet!$D96)</f>
        <v>0</v>
      </c>
      <c r="AN33" s="285">
        <f>IF(AN$5&gt;$D$7,0,AM32*Leadsheet!$D96)</f>
        <v>0</v>
      </c>
      <c r="AO33" s="285">
        <f>IF(AO$5&gt;$D$7,0,AN32*Leadsheet!$D96)</f>
        <v>0</v>
      </c>
      <c r="AP33" s="285">
        <f>IF(AP$5&gt;$D$7,0,AO32*Leadsheet!$D96)</f>
        <v>0</v>
      </c>
      <c r="AQ33" s="285">
        <f>IF(AQ$5&gt;$D$7,0,AP32*Leadsheet!$D96)</f>
        <v>0</v>
      </c>
      <c r="AR33" s="285">
        <f>IF(AR$5&gt;$D$7,0,AQ32*Leadsheet!$D96)</f>
        <v>0</v>
      </c>
      <c r="AS33" s="285">
        <f>IF(AS$5&gt;$D$7,0,AR32*Leadsheet!$D96)</f>
        <v>0</v>
      </c>
      <c r="AT33" s="285">
        <f>IF(AT$5&gt;$D$7,0,AS32*Leadsheet!$D96)</f>
        <v>0</v>
      </c>
      <c r="AU33" s="285">
        <f>IF(AU$5&gt;$D$7,0,AT32*Leadsheet!$D96)</f>
        <v>0</v>
      </c>
      <c r="AV33" s="285">
        <f>IF(AV$5&gt;$D$7,0,AU32*Leadsheet!$D96)</f>
        <v>0</v>
      </c>
      <c r="AW33" s="285">
        <f>IF(AW$5&gt;$D$7,0,AV32*Leadsheet!$D96)</f>
        <v>0</v>
      </c>
      <c r="AX33" s="285">
        <f>IF(AX$5&gt;$D$7,0,AW32*Leadsheet!$D96)</f>
        <v>0</v>
      </c>
      <c r="AY33" s="285">
        <f>IF(AY$5&gt;$D$7,0,AX32*Leadsheet!$D96)</f>
        <v>0</v>
      </c>
      <c r="AZ33" s="285">
        <f>IF(AZ$5&gt;$D$7,0,AY32*Leadsheet!$D96)</f>
        <v>0</v>
      </c>
      <c r="BA33" s="285">
        <f>IF(BA$5&gt;$D$7,0,AZ32*Leadsheet!$D96)</f>
        <v>0</v>
      </c>
      <c r="BB33" s="285">
        <f>IF(BB$5&gt;$D$7,0,BA32*Leadsheet!$D96)</f>
        <v>0</v>
      </c>
      <c r="BC33" s="285">
        <f>IF(BC$5&gt;$D$7,0,BB32*Leadsheet!$D96)</f>
        <v>0</v>
      </c>
      <c r="BD33" s="285">
        <f>IF(BD$5&gt;$D$7,0,BC32*Leadsheet!$D96)</f>
        <v>0</v>
      </c>
      <c r="BE33" s="285">
        <f>IF(BE$5&gt;$D$7,0,BD32*Leadsheet!$D96)</f>
        <v>0</v>
      </c>
      <c r="BF33" s="285">
        <f>IF(BF$5&gt;$D$7,0,BE32*Leadsheet!$D96)</f>
        <v>0</v>
      </c>
      <c r="BG33" s="285">
        <f>IF(BG$5&gt;$D$7,0,BF32*Leadsheet!$D96)</f>
        <v>0</v>
      </c>
      <c r="BH33" s="285">
        <f>IF(BH$5&gt;$D$7,0,BG32*Leadsheet!$D96)</f>
        <v>0</v>
      </c>
      <c r="BI33" s="285">
        <f>IF(BI$5&gt;$D$7,0,BH32*Leadsheet!$D96)</f>
        <v>0</v>
      </c>
      <c r="BJ33" s="285">
        <f>IF(BJ$5&gt;$D$7,0,BI32*Leadsheet!$D96)</f>
        <v>0</v>
      </c>
      <c r="BK33" s="285">
        <f>IF(BK$5&gt;$D$7,0,BJ32*Leadsheet!$D96)</f>
        <v>0</v>
      </c>
      <c r="BL33" s="285">
        <f>IF(BL$5&gt;$D$7,0,BK32*Leadsheet!$D96)</f>
        <v>0</v>
      </c>
    </row>
    <row r="34" spans="1:64" s="155" customFormat="1" x14ac:dyDescent="0.15">
      <c r="A34" s="287" t="s">
        <v>370</v>
      </c>
      <c r="B34" s="288">
        <v>210</v>
      </c>
      <c r="C34" s="84" t="s">
        <v>333</v>
      </c>
      <c r="D34" s="290"/>
      <c r="E34" s="286">
        <f>IF(E$5&gt;$D$7,0,D33*Leadsheet!$D97)</f>
        <v>0</v>
      </c>
      <c r="F34" s="286">
        <f>IF(F$5&gt;$D$7,0,E33*Leadsheet!$D97)</f>
        <v>0</v>
      </c>
      <c r="G34" s="286">
        <f>IF(G$5&gt;$D$7,0,F33*Leadsheet!$D97)</f>
        <v>0</v>
      </c>
      <c r="H34" s="286">
        <f>IF(H$5&gt;$D$7,0,G33*Leadsheet!$D97)</f>
        <v>0</v>
      </c>
      <c r="I34" s="286">
        <f>IF(I$5&gt;$D$7,0,H33*Leadsheet!$D97)</f>
        <v>0</v>
      </c>
      <c r="J34" s="286">
        <f>IF(J$5&gt;$D$7,0,I33*Leadsheet!$D97)</f>
        <v>0</v>
      </c>
      <c r="K34" s="286">
        <f>IF(K$5&gt;$D$7,0,J33*Leadsheet!$D97)</f>
        <v>0.30769081574606411</v>
      </c>
      <c r="L34" s="286">
        <f>IF(L$5&gt;$D$7,0,K33*Leadsheet!$D97)</f>
        <v>0.25060503372639309</v>
      </c>
      <c r="M34" s="286">
        <f>IF(M$5&gt;$D$7,0,L33*Leadsheet!$D97)</f>
        <v>0.20872859723646547</v>
      </c>
      <c r="N34" s="286">
        <f>IF(N$5&gt;$D$7,0,M33*Leadsheet!$D97)</f>
        <v>0.17099583310453881</v>
      </c>
      <c r="O34" s="286">
        <f>IF(O$5&gt;$D$7,0,N33*Leadsheet!$D97)</f>
        <v>0.14438805020151343</v>
      </c>
      <c r="P34" s="286">
        <f>IF(P$5&gt;$D$7,0,O33*Leadsheet!$D97)</f>
        <v>0.11919830437413571</v>
      </c>
      <c r="Q34" s="286">
        <f>IF(Q$5&gt;$D$7,0,P33*Leadsheet!$D97)</f>
        <v>9.5526144313279673E-2</v>
      </c>
      <c r="R34" s="286">
        <f>IF(R$5&gt;$D$7,0,Q33*Leadsheet!$D97)</f>
        <v>7.336623081395223E-2</v>
      </c>
      <c r="S34" s="286">
        <f>IF(S$5&gt;$D$7,0,R33*Leadsheet!$D97)</f>
        <v>5.2703497028825208E-2</v>
      </c>
      <c r="T34" s="285">
        <f>IF(T$5&gt;$D$7,0,S33*Leadsheet!$D97)</f>
        <v>3.3531190604856161E-2</v>
      </c>
      <c r="U34" s="285">
        <f>IF(U$5&gt;$D$7,0,T33*Leadsheet!$D97)</f>
        <v>1.5860925002868141E-2</v>
      </c>
      <c r="V34" s="285">
        <f>IF(V$5&gt;$D$7,0,U33*Leadsheet!$D97)</f>
        <v>0</v>
      </c>
      <c r="W34" s="285">
        <f>IF(W$5&gt;$D$7,0,V33*Leadsheet!$D97)</f>
        <v>0</v>
      </c>
      <c r="X34" s="285">
        <f>IF(X$5&gt;$D$7,0,W33*Leadsheet!$D97)</f>
        <v>0</v>
      </c>
      <c r="Y34" s="285">
        <f>IF(Y$5&gt;$D$7,0,X33*Leadsheet!$D97)</f>
        <v>0</v>
      </c>
      <c r="Z34" s="285">
        <f>IF(Z$5&gt;$D$7,0,Y33*Leadsheet!$D97)</f>
        <v>0</v>
      </c>
      <c r="AA34" s="285">
        <f>IF(AA$5&gt;$D$7,0,Z33*Leadsheet!$D97)</f>
        <v>0</v>
      </c>
      <c r="AB34" s="285">
        <f>IF(AB$5&gt;$D$7,0,AA33*Leadsheet!$D97)</f>
        <v>0</v>
      </c>
      <c r="AC34" s="285">
        <f>IF(AC$5&gt;$D$7,0,AB33*Leadsheet!$D97)</f>
        <v>0</v>
      </c>
      <c r="AD34" s="285">
        <f>IF(AD$5&gt;$D$7,0,AC33*Leadsheet!$D97)</f>
        <v>0</v>
      </c>
      <c r="AE34" s="285">
        <f>IF(AE$5&gt;$D$7,0,AD33*Leadsheet!$D97)</f>
        <v>0</v>
      </c>
      <c r="AF34" s="285">
        <f>IF(AF$5&gt;$D$7,0,AE33*Leadsheet!$D97)</f>
        <v>0</v>
      </c>
      <c r="AG34" s="285">
        <f>IF(AG$5&gt;$D$7,0,AF33*Leadsheet!$D97)</f>
        <v>0</v>
      </c>
      <c r="AH34" s="285">
        <f>IF(AH$5&gt;$D$7,0,AG33*Leadsheet!$D97)</f>
        <v>0</v>
      </c>
      <c r="AI34" s="285">
        <f>IF(AI$5&gt;$D$7,0,AH33*Leadsheet!$D97)</f>
        <v>0</v>
      </c>
      <c r="AJ34" s="285">
        <f>IF(AJ$5&gt;$D$7,0,AI33*Leadsheet!$D97)</f>
        <v>0</v>
      </c>
      <c r="AK34" s="285">
        <f>IF(AK$5&gt;$D$7,0,AJ33*Leadsheet!$D97)</f>
        <v>0</v>
      </c>
      <c r="AL34" s="285">
        <f>IF(AL$5&gt;$D$7,0,AK33*Leadsheet!$D97)</f>
        <v>0</v>
      </c>
      <c r="AM34" s="285">
        <f>IF(AM$5&gt;$D$7,0,AL33*Leadsheet!$D97)</f>
        <v>0</v>
      </c>
      <c r="AN34" s="285">
        <f>IF(AN$5&gt;$D$7,0,AM33*Leadsheet!$D97)</f>
        <v>0</v>
      </c>
      <c r="AO34" s="285">
        <f>IF(AO$5&gt;$D$7,0,AN33*Leadsheet!$D97)</f>
        <v>0</v>
      </c>
      <c r="AP34" s="285">
        <f>IF(AP$5&gt;$D$7,0,AO33*Leadsheet!$D97)</f>
        <v>0</v>
      </c>
      <c r="AQ34" s="285">
        <f>IF(AQ$5&gt;$D$7,0,AP33*Leadsheet!$D97)</f>
        <v>0</v>
      </c>
      <c r="AR34" s="285">
        <f>IF(AR$5&gt;$D$7,0,AQ33*Leadsheet!$D97)</f>
        <v>0</v>
      </c>
      <c r="AS34" s="285">
        <f>IF(AS$5&gt;$D$7,0,AR33*Leadsheet!$D97)</f>
        <v>0</v>
      </c>
      <c r="AT34" s="285">
        <f>IF(AT$5&gt;$D$7,0,AS33*Leadsheet!$D97)</f>
        <v>0</v>
      </c>
      <c r="AU34" s="285">
        <f>IF(AU$5&gt;$D$7,0,AT33*Leadsheet!$D97)</f>
        <v>0</v>
      </c>
      <c r="AV34" s="285">
        <f>IF(AV$5&gt;$D$7,0,AU33*Leadsheet!$D97)</f>
        <v>0</v>
      </c>
      <c r="AW34" s="285">
        <f>IF(AW$5&gt;$D$7,0,AV33*Leadsheet!$D97)</f>
        <v>0</v>
      </c>
      <c r="AX34" s="285">
        <f>IF(AX$5&gt;$D$7,0,AW33*Leadsheet!$D97)</f>
        <v>0</v>
      </c>
      <c r="AY34" s="285">
        <f>IF(AY$5&gt;$D$7,0,AX33*Leadsheet!$D97)</f>
        <v>0</v>
      </c>
      <c r="AZ34" s="285">
        <f>IF(AZ$5&gt;$D$7,0,AY33*Leadsheet!$D97)</f>
        <v>0</v>
      </c>
      <c r="BA34" s="285">
        <f>IF(BA$5&gt;$D$7,0,AZ33*Leadsheet!$D97)</f>
        <v>0</v>
      </c>
      <c r="BB34" s="285">
        <f>IF(BB$5&gt;$D$7,0,BA33*Leadsheet!$D97)</f>
        <v>0</v>
      </c>
      <c r="BC34" s="285">
        <f>IF(BC$5&gt;$D$7,0,BB33*Leadsheet!$D97)</f>
        <v>0</v>
      </c>
      <c r="BD34" s="285">
        <f>IF(BD$5&gt;$D$7,0,BC33*Leadsheet!$D97)</f>
        <v>0</v>
      </c>
      <c r="BE34" s="285">
        <f>IF(BE$5&gt;$D$7,0,BD33*Leadsheet!$D97)</f>
        <v>0</v>
      </c>
      <c r="BF34" s="285">
        <f>IF(BF$5&gt;$D$7,0,BE33*Leadsheet!$D97)</f>
        <v>0</v>
      </c>
      <c r="BG34" s="285">
        <f>IF(BG$5&gt;$D$7,0,BF33*Leadsheet!$D97)</f>
        <v>0</v>
      </c>
      <c r="BH34" s="285">
        <f>IF(BH$5&gt;$D$7,0,BG33*Leadsheet!$D97)</f>
        <v>0</v>
      </c>
      <c r="BI34" s="285">
        <f>IF(BI$5&gt;$D$7,0,BH33*Leadsheet!$D97)</f>
        <v>0</v>
      </c>
      <c r="BJ34" s="285">
        <f>IF(BJ$5&gt;$D$7,0,BI33*Leadsheet!$D97)</f>
        <v>0</v>
      </c>
      <c r="BK34" s="285">
        <f>IF(BK$5&gt;$D$7,0,BJ33*Leadsheet!$D97)</f>
        <v>0</v>
      </c>
      <c r="BL34" s="285">
        <f>IF(BL$5&gt;$D$7,0,BK33*Leadsheet!$D97)</f>
        <v>0</v>
      </c>
    </row>
    <row r="35" spans="1:64" s="155" customFormat="1" x14ac:dyDescent="0.15">
      <c r="A35" s="287" t="s">
        <v>370</v>
      </c>
      <c r="B35" s="288">
        <v>240</v>
      </c>
      <c r="C35" s="84" t="s">
        <v>371</v>
      </c>
      <c r="D35" s="290"/>
      <c r="E35" s="286">
        <f>IF(E$5&gt;$D$7,0,D34*Leadsheet!$D98)</f>
        <v>0</v>
      </c>
      <c r="F35" s="286">
        <f>IF(F$5&gt;$D$7,0,E34*Leadsheet!$D98)</f>
        <v>0</v>
      </c>
      <c r="G35" s="286">
        <f>IF(G$5&gt;$D$7,0,F34*Leadsheet!$D98)</f>
        <v>0</v>
      </c>
      <c r="H35" s="286">
        <f>IF(H$5&gt;$D$7,0,G34*Leadsheet!$D98)</f>
        <v>0</v>
      </c>
      <c r="I35" s="286">
        <f>IF(I$5&gt;$D$7,0,H34*Leadsheet!$D98)</f>
        <v>0</v>
      </c>
      <c r="J35" s="286">
        <f>IF(J$5&gt;$D$7,0,I34*Leadsheet!$D98)</f>
        <v>0</v>
      </c>
      <c r="K35" s="286">
        <f>IF(K$5&gt;$D$7,0,J34*Leadsheet!$D98)</f>
        <v>0</v>
      </c>
      <c r="L35" s="286">
        <f>IF(L$5&gt;$D$7,0,K34*Leadsheet!$D98)</f>
        <v>0.30769081574606411</v>
      </c>
      <c r="M35" s="286">
        <f>IF(M$5&gt;$D$7,0,L34*Leadsheet!$D98)</f>
        <v>0.25060503372639309</v>
      </c>
      <c r="N35" s="286">
        <f>IF(N$5&gt;$D$7,0,M34*Leadsheet!$D98)</f>
        <v>0.20872859723646547</v>
      </c>
      <c r="O35" s="286">
        <f>IF(O$5&gt;$D$7,0,N34*Leadsheet!$D98)</f>
        <v>0.17099583310453881</v>
      </c>
      <c r="P35" s="286">
        <f>IF(P$5&gt;$D$7,0,O34*Leadsheet!$D98)</f>
        <v>0.14438805020151343</v>
      </c>
      <c r="Q35" s="286">
        <f>IF(Q$5&gt;$D$7,0,P34*Leadsheet!$D98)</f>
        <v>0.11919830437413571</v>
      </c>
      <c r="R35" s="286">
        <f>IF(R$5&gt;$D$7,0,Q34*Leadsheet!$D98)</f>
        <v>9.5526144313279673E-2</v>
      </c>
      <c r="S35" s="286">
        <f>IF(S$5&gt;$D$7,0,R34*Leadsheet!$D98)</f>
        <v>7.336623081395223E-2</v>
      </c>
      <c r="T35" s="285">
        <f>IF(T$5&gt;$D$7,0,S34*Leadsheet!$D98)</f>
        <v>5.2703497028825208E-2</v>
      </c>
      <c r="U35" s="285">
        <f>IF(U$5&gt;$D$7,0,T34*Leadsheet!$D98)</f>
        <v>3.3531190604856161E-2</v>
      </c>
      <c r="V35" s="285">
        <f>IF(V$5&gt;$D$7,0,U34*Leadsheet!$D98)</f>
        <v>0</v>
      </c>
      <c r="W35" s="285">
        <f>IF(W$5&gt;$D$7,0,V34*Leadsheet!$D98)</f>
        <v>0</v>
      </c>
      <c r="X35" s="285">
        <f>IF(X$5&gt;$D$7,0,W34*Leadsheet!$D98)</f>
        <v>0</v>
      </c>
      <c r="Y35" s="285">
        <f>IF(Y$5&gt;$D$7,0,X34*Leadsheet!$D98)</f>
        <v>0</v>
      </c>
      <c r="Z35" s="285">
        <f>IF(Z$5&gt;$D$7,0,Y34*Leadsheet!$D98)</f>
        <v>0</v>
      </c>
      <c r="AA35" s="285">
        <f>IF(AA$5&gt;$D$7,0,Z34*Leadsheet!$D98)</f>
        <v>0</v>
      </c>
      <c r="AB35" s="285">
        <f>IF(AB$5&gt;$D$7,0,AA34*Leadsheet!$D98)</f>
        <v>0</v>
      </c>
      <c r="AC35" s="285">
        <f>IF(AC$5&gt;$D$7,0,AB34*Leadsheet!$D98)</f>
        <v>0</v>
      </c>
      <c r="AD35" s="285">
        <f>IF(AD$5&gt;$D$7,0,AC34*Leadsheet!$D98)</f>
        <v>0</v>
      </c>
      <c r="AE35" s="285">
        <f>IF(AE$5&gt;$D$7,0,AD34*Leadsheet!$D98)</f>
        <v>0</v>
      </c>
      <c r="AF35" s="285">
        <f>IF(AF$5&gt;$D$7,0,AE34*Leadsheet!$D98)</f>
        <v>0</v>
      </c>
      <c r="AG35" s="285">
        <f>IF(AG$5&gt;$D$7,0,AF34*Leadsheet!$D98)</f>
        <v>0</v>
      </c>
      <c r="AH35" s="285">
        <f>IF(AH$5&gt;$D$7,0,AG34*Leadsheet!$D98)</f>
        <v>0</v>
      </c>
      <c r="AI35" s="285">
        <f>IF(AI$5&gt;$D$7,0,AH34*Leadsheet!$D98)</f>
        <v>0</v>
      </c>
      <c r="AJ35" s="285">
        <f>IF(AJ$5&gt;$D$7,0,AI34*Leadsheet!$D98)</f>
        <v>0</v>
      </c>
      <c r="AK35" s="285">
        <f>IF(AK$5&gt;$D$7,0,AJ34*Leadsheet!$D98)</f>
        <v>0</v>
      </c>
      <c r="AL35" s="285">
        <f>IF(AL$5&gt;$D$7,0,AK34*Leadsheet!$D98)</f>
        <v>0</v>
      </c>
      <c r="AM35" s="285">
        <f>IF(AM$5&gt;$D$7,0,AL34*Leadsheet!$D98)</f>
        <v>0</v>
      </c>
      <c r="AN35" s="285">
        <f>IF(AN$5&gt;$D$7,0,AM34*Leadsheet!$D98)</f>
        <v>0</v>
      </c>
      <c r="AO35" s="285">
        <f>IF(AO$5&gt;$D$7,0,AN34*Leadsheet!$D98)</f>
        <v>0</v>
      </c>
      <c r="AP35" s="285">
        <f>IF(AP$5&gt;$D$7,0,AO34*Leadsheet!$D98)</f>
        <v>0</v>
      </c>
      <c r="AQ35" s="285">
        <f>IF(AQ$5&gt;$D$7,0,AP34*Leadsheet!$D98)</f>
        <v>0</v>
      </c>
      <c r="AR35" s="285">
        <f>IF(AR$5&gt;$D$7,0,AQ34*Leadsheet!$D98)</f>
        <v>0</v>
      </c>
      <c r="AS35" s="285">
        <f>IF(AS$5&gt;$D$7,0,AR34*Leadsheet!$D98)</f>
        <v>0</v>
      </c>
      <c r="AT35" s="285">
        <f>IF(AT$5&gt;$D$7,0,AS34*Leadsheet!$D98)</f>
        <v>0</v>
      </c>
      <c r="AU35" s="285">
        <f>IF(AU$5&gt;$D$7,0,AT34*Leadsheet!$D98)</f>
        <v>0</v>
      </c>
      <c r="AV35" s="285">
        <f>IF(AV$5&gt;$D$7,0,AU34*Leadsheet!$D98)</f>
        <v>0</v>
      </c>
      <c r="AW35" s="285">
        <f>IF(AW$5&gt;$D$7,0,AV34*Leadsheet!$D98)</f>
        <v>0</v>
      </c>
      <c r="AX35" s="285">
        <f>IF(AX$5&gt;$D$7,0,AW34*Leadsheet!$D98)</f>
        <v>0</v>
      </c>
      <c r="AY35" s="285">
        <f>IF(AY$5&gt;$D$7,0,AX34*Leadsheet!$D98)</f>
        <v>0</v>
      </c>
      <c r="AZ35" s="285">
        <f>IF(AZ$5&gt;$D$7,0,AY34*Leadsheet!$D98)</f>
        <v>0</v>
      </c>
      <c r="BA35" s="285">
        <f>IF(BA$5&gt;$D$7,0,AZ34*Leadsheet!$D98)</f>
        <v>0</v>
      </c>
      <c r="BB35" s="285">
        <f>IF(BB$5&gt;$D$7,0,BA34*Leadsheet!$D98)</f>
        <v>0</v>
      </c>
      <c r="BC35" s="285">
        <f>IF(BC$5&gt;$D$7,0,BB34*Leadsheet!$D98)</f>
        <v>0</v>
      </c>
      <c r="BD35" s="285">
        <f>IF(BD$5&gt;$D$7,0,BC34*Leadsheet!$D98)</f>
        <v>0</v>
      </c>
      <c r="BE35" s="285">
        <f>IF(BE$5&gt;$D$7,0,BD34*Leadsheet!$D98)</f>
        <v>0</v>
      </c>
      <c r="BF35" s="285">
        <f>IF(BF$5&gt;$D$7,0,BE34*Leadsheet!$D98)</f>
        <v>0</v>
      </c>
      <c r="BG35" s="285">
        <f>IF(BG$5&gt;$D$7,0,BF34*Leadsheet!$D98)</f>
        <v>0</v>
      </c>
      <c r="BH35" s="285">
        <f>IF(BH$5&gt;$D$7,0,BG34*Leadsheet!$D98)</f>
        <v>0</v>
      </c>
      <c r="BI35" s="285">
        <f>IF(BI$5&gt;$D$7,0,BH34*Leadsheet!$D98)</f>
        <v>0</v>
      </c>
      <c r="BJ35" s="285">
        <f>IF(BJ$5&gt;$D$7,0,BI34*Leadsheet!$D98)</f>
        <v>0</v>
      </c>
      <c r="BK35" s="285">
        <f>IF(BK$5&gt;$D$7,0,BJ34*Leadsheet!$D98)</f>
        <v>0</v>
      </c>
      <c r="BL35" s="285">
        <f>IF(BL$5&gt;$D$7,0,BK34*Leadsheet!$D98)</f>
        <v>0</v>
      </c>
    </row>
    <row r="36" spans="1:64" s="155" customFormat="1" x14ac:dyDescent="0.15">
      <c r="A36" s="287" t="s">
        <v>370</v>
      </c>
      <c r="B36" s="288">
        <v>270</v>
      </c>
      <c r="C36" s="84" t="s">
        <v>372</v>
      </c>
      <c r="D36" s="290"/>
      <c r="E36" s="286">
        <f>IF(E$5&gt;$D$7,0,D35*Leadsheet!$D99)</f>
        <v>0</v>
      </c>
      <c r="F36" s="286">
        <f>IF(F$5&gt;$D$7,0,E35*Leadsheet!$D99)</f>
        <v>0</v>
      </c>
      <c r="G36" s="286">
        <f>IF(G$5&gt;$D$7,0,F35*Leadsheet!$D99)</f>
        <v>0</v>
      </c>
      <c r="H36" s="286">
        <f>IF(H$5&gt;$D$7,0,G35*Leadsheet!$D99)</f>
        <v>0</v>
      </c>
      <c r="I36" s="286">
        <f>IF(I$5&gt;$D$7,0,H35*Leadsheet!$D99)</f>
        <v>0</v>
      </c>
      <c r="J36" s="286">
        <f>IF(J$5&gt;$D$7,0,I35*Leadsheet!$D99)</f>
        <v>0</v>
      </c>
      <c r="K36" s="286">
        <f>IF(K$5&gt;$D$7,0,J35*Leadsheet!$D99)</f>
        <v>0</v>
      </c>
      <c r="L36" s="286">
        <f>IF(L$5&gt;$D$7,0,K35*Leadsheet!$D99)</f>
        <v>0</v>
      </c>
      <c r="M36" s="286">
        <f>IF(M$5&gt;$D$7,0,L35*Leadsheet!$D99)</f>
        <v>0.30769081574606411</v>
      </c>
      <c r="N36" s="286">
        <f>IF(N$5&gt;$D$7,0,M35*Leadsheet!$D99)</f>
        <v>0.25060503372639309</v>
      </c>
      <c r="O36" s="286">
        <f>IF(O$5&gt;$D$7,0,N35*Leadsheet!$D99)</f>
        <v>0.20872859723646547</v>
      </c>
      <c r="P36" s="286">
        <f>IF(P$5&gt;$D$7,0,O35*Leadsheet!$D99)</f>
        <v>0.17099583310453881</v>
      </c>
      <c r="Q36" s="286">
        <f>IF(Q$5&gt;$D$7,0,P35*Leadsheet!$D99)</f>
        <v>0.14438805020151343</v>
      </c>
      <c r="R36" s="286">
        <f>IF(R$5&gt;$D$7,0,Q35*Leadsheet!$D99)</f>
        <v>0.11919830437413571</v>
      </c>
      <c r="S36" s="286">
        <f>IF(S$5&gt;$D$7,0,R35*Leadsheet!$D99)</f>
        <v>9.5526144313279673E-2</v>
      </c>
      <c r="T36" s="285">
        <f>IF(T$5&gt;$D$7,0,S35*Leadsheet!$D99)</f>
        <v>7.336623081395223E-2</v>
      </c>
      <c r="U36" s="285">
        <f>IF(U$5&gt;$D$7,0,T35*Leadsheet!$D99)</f>
        <v>5.2703497028825208E-2</v>
      </c>
      <c r="V36" s="285">
        <f>IF(V$5&gt;$D$7,0,U35*Leadsheet!$D99)</f>
        <v>0</v>
      </c>
      <c r="W36" s="285">
        <f>IF(W$5&gt;$D$7,0,V35*Leadsheet!$D99)</f>
        <v>0</v>
      </c>
      <c r="X36" s="285">
        <f>IF(X$5&gt;$D$7,0,W35*Leadsheet!$D99)</f>
        <v>0</v>
      </c>
      <c r="Y36" s="285">
        <f>IF(Y$5&gt;$D$7,0,X35*Leadsheet!$D99)</f>
        <v>0</v>
      </c>
      <c r="Z36" s="285">
        <f>IF(Z$5&gt;$D$7,0,Y35*Leadsheet!$D99)</f>
        <v>0</v>
      </c>
      <c r="AA36" s="285">
        <f>IF(AA$5&gt;$D$7,0,Z35*Leadsheet!$D99)</f>
        <v>0</v>
      </c>
      <c r="AB36" s="285">
        <f>IF(AB$5&gt;$D$7,0,AA35*Leadsheet!$D99)</f>
        <v>0</v>
      </c>
      <c r="AC36" s="285">
        <f>IF(AC$5&gt;$D$7,0,AB35*Leadsheet!$D99)</f>
        <v>0</v>
      </c>
      <c r="AD36" s="285">
        <f>IF(AD$5&gt;$D$7,0,AC35*Leadsheet!$D99)</f>
        <v>0</v>
      </c>
      <c r="AE36" s="285">
        <f>IF(AE$5&gt;$D$7,0,AD35*Leadsheet!$D99)</f>
        <v>0</v>
      </c>
      <c r="AF36" s="285">
        <f>IF(AF$5&gt;$D$7,0,AE35*Leadsheet!$D99)</f>
        <v>0</v>
      </c>
      <c r="AG36" s="285">
        <f>IF(AG$5&gt;$D$7,0,AF35*Leadsheet!$D99)</f>
        <v>0</v>
      </c>
      <c r="AH36" s="285">
        <f>IF(AH$5&gt;$D$7,0,AG35*Leadsheet!$D99)</f>
        <v>0</v>
      </c>
      <c r="AI36" s="285">
        <f>IF(AI$5&gt;$D$7,0,AH35*Leadsheet!$D99)</f>
        <v>0</v>
      </c>
      <c r="AJ36" s="285">
        <f>IF(AJ$5&gt;$D$7,0,AI35*Leadsheet!$D99)</f>
        <v>0</v>
      </c>
      <c r="AK36" s="285">
        <f>IF(AK$5&gt;$D$7,0,AJ35*Leadsheet!$D99)</f>
        <v>0</v>
      </c>
      <c r="AL36" s="285">
        <f>IF(AL$5&gt;$D$7,0,AK35*Leadsheet!$D99)</f>
        <v>0</v>
      </c>
      <c r="AM36" s="285">
        <f>IF(AM$5&gt;$D$7,0,AL35*Leadsheet!$D99)</f>
        <v>0</v>
      </c>
      <c r="AN36" s="285">
        <f>IF(AN$5&gt;$D$7,0,AM35*Leadsheet!$D99)</f>
        <v>0</v>
      </c>
      <c r="AO36" s="285">
        <f>IF(AO$5&gt;$D$7,0,AN35*Leadsheet!$D99)</f>
        <v>0</v>
      </c>
      <c r="AP36" s="285">
        <f>IF(AP$5&gt;$D$7,0,AO35*Leadsheet!$D99)</f>
        <v>0</v>
      </c>
      <c r="AQ36" s="285">
        <f>IF(AQ$5&gt;$D$7,0,AP35*Leadsheet!$D99)</f>
        <v>0</v>
      </c>
      <c r="AR36" s="285">
        <f>IF(AR$5&gt;$D$7,0,AQ35*Leadsheet!$D99)</f>
        <v>0</v>
      </c>
      <c r="AS36" s="285">
        <f>IF(AS$5&gt;$D$7,0,AR35*Leadsheet!$D99)</f>
        <v>0</v>
      </c>
      <c r="AT36" s="285">
        <f>IF(AT$5&gt;$D$7,0,AS35*Leadsheet!$D99)</f>
        <v>0</v>
      </c>
      <c r="AU36" s="285">
        <f>IF(AU$5&gt;$D$7,0,AT35*Leadsheet!$D99)</f>
        <v>0</v>
      </c>
      <c r="AV36" s="285">
        <f>IF(AV$5&gt;$D$7,0,AU35*Leadsheet!$D99)</f>
        <v>0</v>
      </c>
      <c r="AW36" s="285">
        <f>IF(AW$5&gt;$D$7,0,AV35*Leadsheet!$D99)</f>
        <v>0</v>
      </c>
      <c r="AX36" s="285">
        <f>IF(AX$5&gt;$D$7,0,AW35*Leadsheet!$D99)</f>
        <v>0</v>
      </c>
      <c r="AY36" s="285">
        <f>IF(AY$5&gt;$D$7,0,AX35*Leadsheet!$D99)</f>
        <v>0</v>
      </c>
      <c r="AZ36" s="285">
        <f>IF(AZ$5&gt;$D$7,0,AY35*Leadsheet!$D99)</f>
        <v>0</v>
      </c>
      <c r="BA36" s="285">
        <f>IF(BA$5&gt;$D$7,0,AZ35*Leadsheet!$D99)</f>
        <v>0</v>
      </c>
      <c r="BB36" s="285">
        <f>IF(BB$5&gt;$D$7,0,BA35*Leadsheet!$D99)</f>
        <v>0</v>
      </c>
      <c r="BC36" s="285">
        <f>IF(BC$5&gt;$D$7,0,BB35*Leadsheet!$D99)</f>
        <v>0</v>
      </c>
      <c r="BD36" s="285">
        <f>IF(BD$5&gt;$D$7,0,BC35*Leadsheet!$D99)</f>
        <v>0</v>
      </c>
      <c r="BE36" s="285">
        <f>IF(BE$5&gt;$D$7,0,BD35*Leadsheet!$D99)</f>
        <v>0</v>
      </c>
      <c r="BF36" s="285">
        <f>IF(BF$5&gt;$D$7,0,BE35*Leadsheet!$D99)</f>
        <v>0</v>
      </c>
      <c r="BG36" s="285">
        <f>IF(BG$5&gt;$D$7,0,BF35*Leadsheet!$D99)</f>
        <v>0</v>
      </c>
      <c r="BH36" s="285">
        <f>IF(BH$5&gt;$D$7,0,BG35*Leadsheet!$D99)</f>
        <v>0</v>
      </c>
      <c r="BI36" s="285">
        <f>IF(BI$5&gt;$D$7,0,BH35*Leadsheet!$D99)</f>
        <v>0</v>
      </c>
      <c r="BJ36" s="285">
        <f>IF(BJ$5&gt;$D$7,0,BI35*Leadsheet!$D99)</f>
        <v>0</v>
      </c>
      <c r="BK36" s="285">
        <f>IF(BK$5&gt;$D$7,0,BJ35*Leadsheet!$D99)</f>
        <v>0</v>
      </c>
      <c r="BL36" s="285">
        <f>IF(BL$5&gt;$D$7,0,BK35*Leadsheet!$D99)</f>
        <v>0</v>
      </c>
    </row>
    <row r="37" spans="1:64" s="155" customFormat="1" x14ac:dyDescent="0.15">
      <c r="A37" s="287" t="s">
        <v>370</v>
      </c>
      <c r="B37" s="288">
        <v>300</v>
      </c>
      <c r="C37" s="84" t="s">
        <v>373</v>
      </c>
      <c r="D37" s="290"/>
      <c r="E37" s="286">
        <f>IF(E$5&gt;$D$7,0,D36*Leadsheet!$D100)</f>
        <v>0</v>
      </c>
      <c r="F37" s="286">
        <f>IF(F$5&gt;$D$7,0,E36*Leadsheet!$D100)</f>
        <v>0</v>
      </c>
      <c r="G37" s="286">
        <f>IF(G$5&gt;$D$7,0,F36*Leadsheet!$D100)</f>
        <v>0</v>
      </c>
      <c r="H37" s="286">
        <f>IF(H$5&gt;$D$7,0,G36*Leadsheet!$D100)</f>
        <v>0</v>
      </c>
      <c r="I37" s="286">
        <f>IF(I$5&gt;$D$7,0,H36*Leadsheet!$D100)</f>
        <v>0</v>
      </c>
      <c r="J37" s="286">
        <f>IF(J$5&gt;$D$7,0,I36*Leadsheet!$D100)</f>
        <v>0</v>
      </c>
      <c r="K37" s="286">
        <f>IF(K$5&gt;$D$7,0,J36*Leadsheet!$D100)</f>
        <v>0</v>
      </c>
      <c r="L37" s="286">
        <f>IF(L$5&gt;$D$7,0,K36*Leadsheet!$D100)</f>
        <v>0</v>
      </c>
      <c r="M37" s="286">
        <f>IF(M$5&gt;$D$7,0,L36*Leadsheet!$D100)</f>
        <v>0</v>
      </c>
      <c r="N37" s="286">
        <f>IF(N$5&gt;$D$7,0,M36*Leadsheet!$D100)</f>
        <v>0.30769081574606411</v>
      </c>
      <c r="O37" s="286">
        <f>IF(O$5&gt;$D$7,0,N36*Leadsheet!$D100)</f>
        <v>0.25060503372639309</v>
      </c>
      <c r="P37" s="286">
        <f>IF(P$5&gt;$D$7,0,O36*Leadsheet!$D100)</f>
        <v>0.20872859723646547</v>
      </c>
      <c r="Q37" s="286">
        <f>IF(Q$5&gt;$D$7,0,P36*Leadsheet!$D100)</f>
        <v>0.17099583310453881</v>
      </c>
      <c r="R37" s="286">
        <f>IF(R$5&gt;$D$7,0,Q36*Leadsheet!$D100)</f>
        <v>0.14438805020151343</v>
      </c>
      <c r="S37" s="286">
        <f>IF(S$5&gt;$D$7,0,R36*Leadsheet!$D100)</f>
        <v>0.11919830437413571</v>
      </c>
      <c r="T37" s="285">
        <f>IF(T$5&gt;$D$7,0,S36*Leadsheet!$D100)</f>
        <v>9.5526144313279673E-2</v>
      </c>
      <c r="U37" s="285">
        <f>IF(U$5&gt;$D$7,0,T36*Leadsheet!$D100)</f>
        <v>7.336623081395223E-2</v>
      </c>
      <c r="V37" s="285">
        <f>IF(V$5&gt;$D$7,0,U36*Leadsheet!$D100)</f>
        <v>0</v>
      </c>
      <c r="W37" s="285">
        <f>IF(W$5&gt;$D$7,0,V36*Leadsheet!$D100)</f>
        <v>0</v>
      </c>
      <c r="X37" s="285">
        <f>IF(X$5&gt;$D$7,0,W36*Leadsheet!$D100)</f>
        <v>0</v>
      </c>
      <c r="Y37" s="285">
        <f>IF(Y$5&gt;$D$7,0,X36*Leadsheet!$D100)</f>
        <v>0</v>
      </c>
      <c r="Z37" s="285">
        <f>IF(Z$5&gt;$D$7,0,Y36*Leadsheet!$D100)</f>
        <v>0</v>
      </c>
      <c r="AA37" s="285">
        <f>IF(AA$5&gt;$D$7,0,Z36*Leadsheet!$D100)</f>
        <v>0</v>
      </c>
      <c r="AB37" s="285">
        <f>IF(AB$5&gt;$D$7,0,AA36*Leadsheet!$D100)</f>
        <v>0</v>
      </c>
      <c r="AC37" s="285">
        <f>IF(AC$5&gt;$D$7,0,AB36*Leadsheet!$D100)</f>
        <v>0</v>
      </c>
      <c r="AD37" s="285">
        <f>IF(AD$5&gt;$D$7,0,AC36*Leadsheet!$D100)</f>
        <v>0</v>
      </c>
      <c r="AE37" s="285">
        <f>IF(AE$5&gt;$D$7,0,AD36*Leadsheet!$D100)</f>
        <v>0</v>
      </c>
      <c r="AF37" s="285">
        <f>IF(AF$5&gt;$D$7,0,AE36*Leadsheet!$D100)</f>
        <v>0</v>
      </c>
      <c r="AG37" s="285">
        <f>IF(AG$5&gt;$D$7,0,AF36*Leadsheet!$D100)</f>
        <v>0</v>
      </c>
      <c r="AH37" s="285">
        <f>IF(AH$5&gt;$D$7,0,AG36*Leadsheet!$D100)</f>
        <v>0</v>
      </c>
      <c r="AI37" s="285">
        <f>IF(AI$5&gt;$D$7,0,AH36*Leadsheet!$D100)</f>
        <v>0</v>
      </c>
      <c r="AJ37" s="285">
        <f>IF(AJ$5&gt;$D$7,0,AI36*Leadsheet!$D100)</f>
        <v>0</v>
      </c>
      <c r="AK37" s="285">
        <f>IF(AK$5&gt;$D$7,0,AJ36*Leadsheet!$D100)</f>
        <v>0</v>
      </c>
      <c r="AL37" s="285">
        <f>IF(AL$5&gt;$D$7,0,AK36*Leadsheet!$D100)</f>
        <v>0</v>
      </c>
      <c r="AM37" s="285">
        <f>IF(AM$5&gt;$D$7,0,AL36*Leadsheet!$D100)</f>
        <v>0</v>
      </c>
      <c r="AN37" s="285">
        <f>IF(AN$5&gt;$D$7,0,AM36*Leadsheet!$D100)</f>
        <v>0</v>
      </c>
      <c r="AO37" s="285">
        <f>IF(AO$5&gt;$D$7,0,AN36*Leadsheet!$D100)</f>
        <v>0</v>
      </c>
      <c r="AP37" s="285">
        <f>IF(AP$5&gt;$D$7,0,AO36*Leadsheet!$D100)</f>
        <v>0</v>
      </c>
      <c r="AQ37" s="285">
        <f>IF(AQ$5&gt;$D$7,0,AP36*Leadsheet!$D100)</f>
        <v>0</v>
      </c>
      <c r="AR37" s="285">
        <f>IF(AR$5&gt;$D$7,0,AQ36*Leadsheet!$D100)</f>
        <v>0</v>
      </c>
      <c r="AS37" s="285">
        <f>IF(AS$5&gt;$D$7,0,AR36*Leadsheet!$D100)</f>
        <v>0</v>
      </c>
      <c r="AT37" s="285">
        <f>IF(AT$5&gt;$D$7,0,AS36*Leadsheet!$D100)</f>
        <v>0</v>
      </c>
      <c r="AU37" s="285">
        <f>IF(AU$5&gt;$D$7,0,AT36*Leadsheet!$D100)</f>
        <v>0</v>
      </c>
      <c r="AV37" s="285">
        <f>IF(AV$5&gt;$D$7,0,AU36*Leadsheet!$D100)</f>
        <v>0</v>
      </c>
      <c r="AW37" s="285">
        <f>IF(AW$5&gt;$D$7,0,AV36*Leadsheet!$D100)</f>
        <v>0</v>
      </c>
      <c r="AX37" s="285">
        <f>IF(AX$5&gt;$D$7,0,AW36*Leadsheet!$D100)</f>
        <v>0</v>
      </c>
      <c r="AY37" s="285">
        <f>IF(AY$5&gt;$D$7,0,AX36*Leadsheet!$D100)</f>
        <v>0</v>
      </c>
      <c r="AZ37" s="285">
        <f>IF(AZ$5&gt;$D$7,0,AY36*Leadsheet!$D100)</f>
        <v>0</v>
      </c>
      <c r="BA37" s="285">
        <f>IF(BA$5&gt;$D$7,0,AZ36*Leadsheet!$D100)</f>
        <v>0</v>
      </c>
      <c r="BB37" s="285">
        <f>IF(BB$5&gt;$D$7,0,BA36*Leadsheet!$D100)</f>
        <v>0</v>
      </c>
      <c r="BC37" s="285">
        <f>IF(BC$5&gt;$D$7,0,BB36*Leadsheet!$D100)</f>
        <v>0</v>
      </c>
      <c r="BD37" s="285">
        <f>IF(BD$5&gt;$D$7,0,BC36*Leadsheet!$D100)</f>
        <v>0</v>
      </c>
      <c r="BE37" s="285">
        <f>IF(BE$5&gt;$D$7,0,BD36*Leadsheet!$D100)</f>
        <v>0</v>
      </c>
      <c r="BF37" s="285">
        <f>IF(BF$5&gt;$D$7,0,BE36*Leadsheet!$D100)</f>
        <v>0</v>
      </c>
      <c r="BG37" s="285">
        <f>IF(BG$5&gt;$D$7,0,BF36*Leadsheet!$D100)</f>
        <v>0</v>
      </c>
      <c r="BH37" s="285">
        <f>IF(BH$5&gt;$D$7,0,BG36*Leadsheet!$D100)</f>
        <v>0</v>
      </c>
      <c r="BI37" s="285">
        <f>IF(BI$5&gt;$D$7,0,BH36*Leadsheet!$D100)</f>
        <v>0</v>
      </c>
      <c r="BJ37" s="285">
        <f>IF(BJ$5&gt;$D$7,0,BI36*Leadsheet!$D100)</f>
        <v>0</v>
      </c>
      <c r="BK37" s="285">
        <f>IF(BK$5&gt;$D$7,0,BJ36*Leadsheet!$D100)</f>
        <v>0</v>
      </c>
      <c r="BL37" s="285">
        <f>IF(BL$5&gt;$D$7,0,BK36*Leadsheet!$D100)</f>
        <v>0</v>
      </c>
    </row>
    <row r="38" spans="1:64" s="155" customFormat="1" x14ac:dyDescent="0.15">
      <c r="A38" s="287" t="s">
        <v>370</v>
      </c>
      <c r="B38" s="288">
        <v>330</v>
      </c>
      <c r="C38" s="84" t="s">
        <v>374</v>
      </c>
      <c r="D38" s="290"/>
      <c r="E38" s="286">
        <f>IF(E$5&gt;$D$7,0,D37*Leadsheet!$D101)</f>
        <v>0</v>
      </c>
      <c r="F38" s="286">
        <f>IF(F$5&gt;$D$7,0,E37*Leadsheet!$D101)</f>
        <v>0</v>
      </c>
      <c r="G38" s="286">
        <f>IF(G$5&gt;$D$7,0,F37*Leadsheet!$D101)</f>
        <v>0</v>
      </c>
      <c r="H38" s="286">
        <f>IF(H$5&gt;$D$7,0,G37*Leadsheet!$D101)</f>
        <v>0</v>
      </c>
      <c r="I38" s="286">
        <f>IF(I$5&gt;$D$7,0,H37*Leadsheet!$D101)</f>
        <v>0</v>
      </c>
      <c r="J38" s="286">
        <f>IF(J$5&gt;$D$7,0,I37*Leadsheet!$D101)</f>
        <v>0</v>
      </c>
      <c r="K38" s="286">
        <f>IF(K$5&gt;$D$7,0,J37*Leadsheet!$D101)</f>
        <v>0</v>
      </c>
      <c r="L38" s="286">
        <f>IF(L$5&gt;$D$7,0,K37*Leadsheet!$D101)</f>
        <v>0</v>
      </c>
      <c r="M38" s="286">
        <f>IF(M$5&gt;$D$7,0,L37*Leadsheet!$D101)</f>
        <v>0</v>
      </c>
      <c r="N38" s="286">
        <f>IF(N$5&gt;$D$7,0,M37*Leadsheet!$D101)</f>
        <v>0</v>
      </c>
      <c r="O38" s="286">
        <f>IF(O$5&gt;$D$7,0,N37*Leadsheet!$D101)</f>
        <v>0.30769081574606411</v>
      </c>
      <c r="P38" s="286">
        <f>IF(P$5&gt;$D$7,0,O37*Leadsheet!$D101)</f>
        <v>0.25060503372639309</v>
      </c>
      <c r="Q38" s="286">
        <f>IF(Q$5&gt;$D$7,0,P37*Leadsheet!$D101)</f>
        <v>0.20872859723646547</v>
      </c>
      <c r="R38" s="286">
        <f>IF(R$5&gt;$D$7,0,Q37*Leadsheet!$D101)</f>
        <v>0.17099583310453881</v>
      </c>
      <c r="S38" s="286">
        <f>IF(S$5&gt;$D$7,0,R37*Leadsheet!$D101)</f>
        <v>0.14438805020151343</v>
      </c>
      <c r="T38" s="285">
        <f>IF(T$5&gt;$D$7,0,S37*Leadsheet!$D101)</f>
        <v>0.11919830437413571</v>
      </c>
      <c r="U38" s="285">
        <f>IF(U$5&gt;$D$7,0,T37*Leadsheet!$D101)</f>
        <v>9.5526144313279673E-2</v>
      </c>
      <c r="V38" s="285">
        <f>IF(V$5&gt;$D$7,0,U37*Leadsheet!$D101)</f>
        <v>0</v>
      </c>
      <c r="W38" s="285">
        <f>IF(W$5&gt;$D$7,0,V37*Leadsheet!$D101)</f>
        <v>0</v>
      </c>
      <c r="X38" s="285">
        <f>IF(X$5&gt;$D$7,0,W37*Leadsheet!$D101)</f>
        <v>0</v>
      </c>
      <c r="Y38" s="285">
        <f>IF(Y$5&gt;$D$7,0,X37*Leadsheet!$D101)</f>
        <v>0</v>
      </c>
      <c r="Z38" s="285">
        <f>IF(Z$5&gt;$D$7,0,Y37*Leadsheet!$D101)</f>
        <v>0</v>
      </c>
      <c r="AA38" s="285">
        <f>IF(AA$5&gt;$D$7,0,Z37*Leadsheet!$D101)</f>
        <v>0</v>
      </c>
      <c r="AB38" s="285">
        <f>IF(AB$5&gt;$D$7,0,AA37*Leadsheet!$D101)</f>
        <v>0</v>
      </c>
      <c r="AC38" s="285">
        <f>IF(AC$5&gt;$D$7,0,AB37*Leadsheet!$D101)</f>
        <v>0</v>
      </c>
      <c r="AD38" s="285">
        <f>IF(AD$5&gt;$D$7,0,AC37*Leadsheet!$D101)</f>
        <v>0</v>
      </c>
      <c r="AE38" s="285">
        <f>IF(AE$5&gt;$D$7,0,AD37*Leadsheet!$D101)</f>
        <v>0</v>
      </c>
      <c r="AF38" s="285">
        <f>IF(AF$5&gt;$D$7,0,AE37*Leadsheet!$D101)</f>
        <v>0</v>
      </c>
      <c r="AG38" s="285">
        <f>IF(AG$5&gt;$D$7,0,AF37*Leadsheet!$D101)</f>
        <v>0</v>
      </c>
      <c r="AH38" s="285">
        <f>IF(AH$5&gt;$D$7,0,AG37*Leadsheet!$D101)</f>
        <v>0</v>
      </c>
      <c r="AI38" s="285">
        <f>IF(AI$5&gt;$D$7,0,AH37*Leadsheet!$D101)</f>
        <v>0</v>
      </c>
      <c r="AJ38" s="285">
        <f>IF(AJ$5&gt;$D$7,0,AI37*Leadsheet!$D101)</f>
        <v>0</v>
      </c>
      <c r="AK38" s="285">
        <f>IF(AK$5&gt;$D$7,0,AJ37*Leadsheet!$D101)</f>
        <v>0</v>
      </c>
      <c r="AL38" s="285">
        <f>IF(AL$5&gt;$D$7,0,AK37*Leadsheet!$D101)</f>
        <v>0</v>
      </c>
      <c r="AM38" s="285">
        <f>IF(AM$5&gt;$D$7,0,AL37*Leadsheet!$D101)</f>
        <v>0</v>
      </c>
      <c r="AN38" s="285">
        <f>IF(AN$5&gt;$D$7,0,AM37*Leadsheet!$D101)</f>
        <v>0</v>
      </c>
      <c r="AO38" s="285">
        <f>IF(AO$5&gt;$D$7,0,AN37*Leadsheet!$D101)</f>
        <v>0</v>
      </c>
      <c r="AP38" s="285">
        <f>IF(AP$5&gt;$D$7,0,AO37*Leadsheet!$D101)</f>
        <v>0</v>
      </c>
      <c r="AQ38" s="285">
        <f>IF(AQ$5&gt;$D$7,0,AP37*Leadsheet!$D101)</f>
        <v>0</v>
      </c>
      <c r="AR38" s="285">
        <f>IF(AR$5&gt;$D$7,0,AQ37*Leadsheet!$D101)</f>
        <v>0</v>
      </c>
      <c r="AS38" s="285">
        <f>IF(AS$5&gt;$D$7,0,AR37*Leadsheet!$D101)</f>
        <v>0</v>
      </c>
      <c r="AT38" s="285">
        <f>IF(AT$5&gt;$D$7,0,AS37*Leadsheet!$D101)</f>
        <v>0</v>
      </c>
      <c r="AU38" s="285">
        <f>IF(AU$5&gt;$D$7,0,AT37*Leadsheet!$D101)</f>
        <v>0</v>
      </c>
      <c r="AV38" s="285">
        <f>IF(AV$5&gt;$D$7,0,AU37*Leadsheet!$D101)</f>
        <v>0</v>
      </c>
      <c r="AW38" s="285">
        <f>IF(AW$5&gt;$D$7,0,AV37*Leadsheet!$D101)</f>
        <v>0</v>
      </c>
      <c r="AX38" s="285">
        <f>IF(AX$5&gt;$D$7,0,AW37*Leadsheet!$D101)</f>
        <v>0</v>
      </c>
      <c r="AY38" s="285">
        <f>IF(AY$5&gt;$D$7,0,AX37*Leadsheet!$D101)</f>
        <v>0</v>
      </c>
      <c r="AZ38" s="285">
        <f>IF(AZ$5&gt;$D$7,0,AY37*Leadsheet!$D101)</f>
        <v>0</v>
      </c>
      <c r="BA38" s="285">
        <f>IF(BA$5&gt;$D$7,0,AZ37*Leadsheet!$D101)</f>
        <v>0</v>
      </c>
      <c r="BB38" s="285">
        <f>IF(BB$5&gt;$D$7,0,BA37*Leadsheet!$D101)</f>
        <v>0</v>
      </c>
      <c r="BC38" s="285">
        <f>IF(BC$5&gt;$D$7,0,BB37*Leadsheet!$D101)</f>
        <v>0</v>
      </c>
      <c r="BD38" s="285">
        <f>IF(BD$5&gt;$D$7,0,BC37*Leadsheet!$D101)</f>
        <v>0</v>
      </c>
      <c r="BE38" s="285">
        <f>IF(BE$5&gt;$D$7,0,BD37*Leadsheet!$D101)</f>
        <v>0</v>
      </c>
      <c r="BF38" s="285">
        <f>IF(BF$5&gt;$D$7,0,BE37*Leadsheet!$D101)</f>
        <v>0</v>
      </c>
      <c r="BG38" s="285">
        <f>IF(BG$5&gt;$D$7,0,BF37*Leadsheet!$D101)</f>
        <v>0</v>
      </c>
      <c r="BH38" s="285">
        <f>IF(BH$5&gt;$D$7,0,BG37*Leadsheet!$D101)</f>
        <v>0</v>
      </c>
      <c r="BI38" s="285">
        <f>IF(BI$5&gt;$D$7,0,BH37*Leadsheet!$D101)</f>
        <v>0</v>
      </c>
      <c r="BJ38" s="285">
        <f>IF(BJ$5&gt;$D$7,0,BI37*Leadsheet!$D101)</f>
        <v>0</v>
      </c>
      <c r="BK38" s="285">
        <f>IF(BK$5&gt;$D$7,0,BJ37*Leadsheet!$D101)</f>
        <v>0</v>
      </c>
      <c r="BL38" s="285">
        <f>IF(BL$5&gt;$D$7,0,BK37*Leadsheet!$D101)</f>
        <v>0</v>
      </c>
    </row>
    <row r="39" spans="1:64" s="155" customFormat="1" x14ac:dyDescent="0.15">
      <c r="A39" s="287" t="s">
        <v>370</v>
      </c>
      <c r="B39" s="288">
        <v>360</v>
      </c>
      <c r="C39" s="84" t="s">
        <v>375</v>
      </c>
      <c r="D39" s="290"/>
      <c r="E39" s="286">
        <f>IF(E$5&gt;$D$7,0,D38*Leadsheet!$D102)</f>
        <v>0</v>
      </c>
      <c r="F39" s="286">
        <f>IF(F$5&gt;$D$7,0,E38*Leadsheet!$D102)</f>
        <v>0</v>
      </c>
      <c r="G39" s="286">
        <f>IF(G$5&gt;$D$7,0,F38*Leadsheet!$D102)</f>
        <v>0</v>
      </c>
      <c r="H39" s="286">
        <f>IF(H$5&gt;$D$7,0,G38*Leadsheet!$D102)</f>
        <v>0</v>
      </c>
      <c r="I39" s="286">
        <f>IF(I$5&gt;$D$7,0,H38*Leadsheet!$D102)</f>
        <v>0</v>
      </c>
      <c r="J39" s="286">
        <f>IF(J$5&gt;$D$7,0,I38*Leadsheet!$D102)</f>
        <v>0</v>
      </c>
      <c r="K39" s="286">
        <f>IF(K$5&gt;$D$7,0,J38*Leadsheet!$D102)</f>
        <v>0</v>
      </c>
      <c r="L39" s="286">
        <f>IF(L$5&gt;$D$7,0,K38*Leadsheet!$D102)</f>
        <v>0</v>
      </c>
      <c r="M39" s="286">
        <f>IF(M$5&gt;$D$7,0,L38*Leadsheet!$D102)</f>
        <v>0</v>
      </c>
      <c r="N39" s="286">
        <f>IF(N$5&gt;$D$7,0,M38*Leadsheet!$D102)</f>
        <v>0</v>
      </c>
      <c r="O39" s="286">
        <f>IF(O$5&gt;$D$7,0,N38*Leadsheet!$D102)</f>
        <v>0</v>
      </c>
      <c r="P39" s="286">
        <f>IF(P$5&gt;$D$7,0,O38*Leadsheet!$D102)</f>
        <v>0.30769081574606411</v>
      </c>
      <c r="Q39" s="286">
        <f>IF(Q$5&gt;$D$7,0,P38*Leadsheet!$D102)</f>
        <v>0.25060503372639309</v>
      </c>
      <c r="R39" s="286">
        <f>IF(R$5&gt;$D$7,0,Q38*Leadsheet!$D102)</f>
        <v>0.20872859723646547</v>
      </c>
      <c r="S39" s="286">
        <f>IF(S$5&gt;$D$7,0,R38*Leadsheet!$D102)</f>
        <v>0.17099583310453881</v>
      </c>
      <c r="T39" s="285">
        <f>IF(T$5&gt;$D$7,0,S38*Leadsheet!$D102)</f>
        <v>0.14438805020151343</v>
      </c>
      <c r="U39" s="285">
        <f>IF(U$5&gt;$D$7,0,T38*Leadsheet!$D102)</f>
        <v>0.11919830437413571</v>
      </c>
      <c r="V39" s="285">
        <f>IF(V$5&gt;$D$7,0,U38*Leadsheet!$D102)</f>
        <v>0</v>
      </c>
      <c r="W39" s="285">
        <f>IF(W$5&gt;$D$7,0,V38*Leadsheet!$D102)</f>
        <v>0</v>
      </c>
      <c r="X39" s="285">
        <f>IF(X$5&gt;$D$7,0,W38*Leadsheet!$D102)</f>
        <v>0</v>
      </c>
      <c r="Y39" s="285">
        <f>IF(Y$5&gt;$D$7,0,X38*Leadsheet!$D102)</f>
        <v>0</v>
      </c>
      <c r="Z39" s="285">
        <f>IF(Z$5&gt;$D$7,0,Y38*Leadsheet!$D102)</f>
        <v>0</v>
      </c>
      <c r="AA39" s="285">
        <f>IF(AA$5&gt;$D$7,0,Z38*Leadsheet!$D102)</f>
        <v>0</v>
      </c>
      <c r="AB39" s="285">
        <f>IF(AB$5&gt;$D$7,0,AA38*Leadsheet!$D102)</f>
        <v>0</v>
      </c>
      <c r="AC39" s="285">
        <f>IF(AC$5&gt;$D$7,0,AB38*Leadsheet!$D102)</f>
        <v>0</v>
      </c>
      <c r="AD39" s="285">
        <f>IF(AD$5&gt;$D$7,0,AC38*Leadsheet!$D102)</f>
        <v>0</v>
      </c>
      <c r="AE39" s="285">
        <f>IF(AE$5&gt;$D$7,0,AD38*Leadsheet!$D102)</f>
        <v>0</v>
      </c>
      <c r="AF39" s="285">
        <f>IF(AF$5&gt;$D$7,0,AE38*Leadsheet!$D102)</f>
        <v>0</v>
      </c>
      <c r="AG39" s="285">
        <f>IF(AG$5&gt;$D$7,0,AF38*Leadsheet!$D102)</f>
        <v>0</v>
      </c>
      <c r="AH39" s="285">
        <f>IF(AH$5&gt;$D$7,0,AG38*Leadsheet!$D102)</f>
        <v>0</v>
      </c>
      <c r="AI39" s="285">
        <f>IF(AI$5&gt;$D$7,0,AH38*Leadsheet!$D102)</f>
        <v>0</v>
      </c>
      <c r="AJ39" s="285">
        <f>IF(AJ$5&gt;$D$7,0,AI38*Leadsheet!$D102)</f>
        <v>0</v>
      </c>
      <c r="AK39" s="285">
        <f>IF(AK$5&gt;$D$7,0,AJ38*Leadsheet!$D102)</f>
        <v>0</v>
      </c>
      <c r="AL39" s="285">
        <f>IF(AL$5&gt;$D$7,0,AK38*Leadsheet!$D102)</f>
        <v>0</v>
      </c>
      <c r="AM39" s="285">
        <f>IF(AM$5&gt;$D$7,0,AL38*Leadsheet!$D102)</f>
        <v>0</v>
      </c>
      <c r="AN39" s="285">
        <f>IF(AN$5&gt;$D$7,0,AM38*Leadsheet!$D102)</f>
        <v>0</v>
      </c>
      <c r="AO39" s="285">
        <f>IF(AO$5&gt;$D$7,0,AN38*Leadsheet!$D102)</f>
        <v>0</v>
      </c>
      <c r="AP39" s="285">
        <f>IF(AP$5&gt;$D$7,0,AO38*Leadsheet!$D102)</f>
        <v>0</v>
      </c>
      <c r="AQ39" s="285">
        <f>IF(AQ$5&gt;$D$7,0,AP38*Leadsheet!$D102)</f>
        <v>0</v>
      </c>
      <c r="AR39" s="285">
        <f>IF(AR$5&gt;$D$7,0,AQ38*Leadsheet!$D102)</f>
        <v>0</v>
      </c>
      <c r="AS39" s="285">
        <f>IF(AS$5&gt;$D$7,0,AR38*Leadsheet!$D102)</f>
        <v>0</v>
      </c>
      <c r="AT39" s="285">
        <f>IF(AT$5&gt;$D$7,0,AS38*Leadsheet!$D102)</f>
        <v>0</v>
      </c>
      <c r="AU39" s="285">
        <f>IF(AU$5&gt;$D$7,0,AT38*Leadsheet!$D102)</f>
        <v>0</v>
      </c>
      <c r="AV39" s="285">
        <f>IF(AV$5&gt;$D$7,0,AU38*Leadsheet!$D102)</f>
        <v>0</v>
      </c>
      <c r="AW39" s="285">
        <f>IF(AW$5&gt;$D$7,0,AV38*Leadsheet!$D102)</f>
        <v>0</v>
      </c>
      <c r="AX39" s="285">
        <f>IF(AX$5&gt;$D$7,0,AW38*Leadsheet!$D102)</f>
        <v>0</v>
      </c>
      <c r="AY39" s="285">
        <f>IF(AY$5&gt;$D$7,0,AX38*Leadsheet!$D102)</f>
        <v>0</v>
      </c>
      <c r="AZ39" s="285">
        <f>IF(AZ$5&gt;$D$7,0,AY38*Leadsheet!$D102)</f>
        <v>0</v>
      </c>
      <c r="BA39" s="285">
        <f>IF(BA$5&gt;$D$7,0,AZ38*Leadsheet!$D102)</f>
        <v>0</v>
      </c>
      <c r="BB39" s="285">
        <f>IF(BB$5&gt;$D$7,0,BA38*Leadsheet!$D102)</f>
        <v>0</v>
      </c>
      <c r="BC39" s="285">
        <f>IF(BC$5&gt;$D$7,0,BB38*Leadsheet!$D102)</f>
        <v>0</v>
      </c>
      <c r="BD39" s="285">
        <f>IF(BD$5&gt;$D$7,0,BC38*Leadsheet!$D102)</f>
        <v>0</v>
      </c>
      <c r="BE39" s="285">
        <f>IF(BE$5&gt;$D$7,0,BD38*Leadsheet!$D102)</f>
        <v>0</v>
      </c>
      <c r="BF39" s="285">
        <f>IF(BF$5&gt;$D$7,0,BE38*Leadsheet!$D102)</f>
        <v>0</v>
      </c>
      <c r="BG39" s="285">
        <f>IF(BG$5&gt;$D$7,0,BF38*Leadsheet!$D102)</f>
        <v>0</v>
      </c>
      <c r="BH39" s="285">
        <f>IF(BH$5&gt;$D$7,0,BG38*Leadsheet!$D102)</f>
        <v>0</v>
      </c>
      <c r="BI39" s="285">
        <f>IF(BI$5&gt;$D$7,0,BH38*Leadsheet!$D102)</f>
        <v>0</v>
      </c>
      <c r="BJ39" s="285">
        <f>IF(BJ$5&gt;$D$7,0,BI38*Leadsheet!$D102)</f>
        <v>0</v>
      </c>
      <c r="BK39" s="285">
        <f>IF(BK$5&gt;$D$7,0,BJ38*Leadsheet!$D102)</f>
        <v>0</v>
      </c>
      <c r="BL39" s="285">
        <f>IF(BL$5&gt;$D$7,0,BK38*Leadsheet!$D102)</f>
        <v>0</v>
      </c>
    </row>
    <row r="40" spans="1:64" x14ac:dyDescent="0.15">
      <c r="A40" s="287" t="s">
        <v>376</v>
      </c>
      <c r="B40" s="288">
        <v>390</v>
      </c>
      <c r="C40" s="84" t="s">
        <v>377</v>
      </c>
      <c r="D40" s="289"/>
      <c r="E40" s="286">
        <f>IF(E$5&gt;$D$7,0,D39*Leadsheet!$D103)</f>
        <v>0</v>
      </c>
      <c r="F40" s="286">
        <f>IF(F$5&gt;$D$7,0,E39*Leadsheet!$D103)</f>
        <v>0</v>
      </c>
      <c r="G40" s="286">
        <f>IF(G$5&gt;$D$7,0,F39*Leadsheet!$D103)</f>
        <v>0</v>
      </c>
      <c r="H40" s="286">
        <f>IF(H$5&gt;$D$7,0,G39*Leadsheet!$D103)</f>
        <v>0</v>
      </c>
      <c r="I40" s="286">
        <f>IF(I$5&gt;$D$7,0,H39*Leadsheet!$D103)</f>
        <v>0</v>
      </c>
      <c r="J40" s="286">
        <f>IF(J$5&gt;$D$7,0,I39*Leadsheet!$D103)</f>
        <v>0</v>
      </c>
      <c r="K40" s="286">
        <f>IF(K$5&gt;$D$7,0,J39*Leadsheet!$D103)</f>
        <v>0</v>
      </c>
      <c r="L40" s="286">
        <f>IF(L$5&gt;$D$7,0,K39*Leadsheet!$D103)</f>
        <v>0</v>
      </c>
      <c r="M40" s="286">
        <f>IF(M$5&gt;$D$7,0,L39*Leadsheet!$D103)</f>
        <v>0</v>
      </c>
      <c r="N40" s="286">
        <f>IF(N$5&gt;$D$7,0,M39*Leadsheet!$D103)</f>
        <v>0</v>
      </c>
      <c r="O40" s="286">
        <f>IF(O$5&gt;$D$7,0,N39*Leadsheet!$D103)</f>
        <v>0</v>
      </c>
      <c r="P40" s="286">
        <f>IF(P$5&gt;$D$7,0,O39*Leadsheet!$D103)</f>
        <v>0</v>
      </c>
      <c r="Q40" s="286">
        <f>IF(Q$5&gt;$D$7,0,P39*Leadsheet!$D103)</f>
        <v>0.30769081574606411</v>
      </c>
      <c r="R40" s="286">
        <f>IF(R$5&gt;$D$7,0,Q39*Leadsheet!$D103)</f>
        <v>0.25060503372639309</v>
      </c>
      <c r="S40" s="286">
        <f>IF(S$5&gt;$D$7,0,R39*Leadsheet!$D103)</f>
        <v>0.20872859723646547</v>
      </c>
      <c r="T40" s="285">
        <f>IF(T$5&gt;$D$7,0,S39*Leadsheet!$D103)</f>
        <v>0.17099583310453881</v>
      </c>
      <c r="U40" s="285">
        <f>IF(U$5&gt;$D$7,0,T39*Leadsheet!$D103)</f>
        <v>0.14438805020151343</v>
      </c>
      <c r="V40" s="285">
        <f>IF(V$5&gt;$D$7,0,U39*Leadsheet!$D103)</f>
        <v>0</v>
      </c>
      <c r="W40" s="285">
        <f>IF(W$5&gt;$D$7,0,V39*Leadsheet!$D103)</f>
        <v>0</v>
      </c>
      <c r="X40" s="285">
        <f>IF(X$5&gt;$D$7,0,W39*Leadsheet!$D103)</f>
        <v>0</v>
      </c>
      <c r="Y40" s="285">
        <f>IF(Y$5&gt;$D$7,0,X39*Leadsheet!$D103)</f>
        <v>0</v>
      </c>
      <c r="Z40" s="285">
        <f>IF(Z$5&gt;$D$7,0,Y39*Leadsheet!$D103)</f>
        <v>0</v>
      </c>
      <c r="AA40" s="285">
        <f>IF(AA$5&gt;$D$7,0,Z39*Leadsheet!$D103)</f>
        <v>0</v>
      </c>
      <c r="AB40" s="285">
        <f>IF(AB$5&gt;$D$7,0,AA39*Leadsheet!$D103)</f>
        <v>0</v>
      </c>
      <c r="AC40" s="285">
        <f>IF(AC$5&gt;$D$7,0,AB39*Leadsheet!$D103)</f>
        <v>0</v>
      </c>
      <c r="AD40" s="285">
        <f>IF(AD$5&gt;$D$7,0,AC39*Leadsheet!$D103)</f>
        <v>0</v>
      </c>
      <c r="AE40" s="285">
        <f>IF(AE$5&gt;$D$7,0,AD39*Leadsheet!$D103)</f>
        <v>0</v>
      </c>
      <c r="AF40" s="285">
        <f>IF(AF$5&gt;$D$7,0,AE39*Leadsheet!$D103)</f>
        <v>0</v>
      </c>
      <c r="AG40" s="285">
        <f>IF(AG$5&gt;$D$7,0,AF39*Leadsheet!$D103)</f>
        <v>0</v>
      </c>
      <c r="AH40" s="285">
        <f>IF(AH$5&gt;$D$7,0,AG39*Leadsheet!$D103)</f>
        <v>0</v>
      </c>
      <c r="AI40" s="285">
        <f>IF(AI$5&gt;$D$7,0,AH39*Leadsheet!$D103)</f>
        <v>0</v>
      </c>
      <c r="AJ40" s="285">
        <f>IF(AJ$5&gt;$D$7,0,AI39*Leadsheet!$D103)</f>
        <v>0</v>
      </c>
      <c r="AK40" s="285">
        <f>IF(AK$5&gt;$D$7,0,AJ39*Leadsheet!$D103)</f>
        <v>0</v>
      </c>
      <c r="AL40" s="285">
        <f>IF(AL$5&gt;$D$7,0,AK39*Leadsheet!$D103)</f>
        <v>0</v>
      </c>
      <c r="AM40" s="285">
        <f>IF(AM$5&gt;$D$7,0,AL39*Leadsheet!$D103)</f>
        <v>0</v>
      </c>
      <c r="AN40" s="285">
        <f>IF(AN$5&gt;$D$7,0,AM39*Leadsheet!$D103)</f>
        <v>0</v>
      </c>
      <c r="AO40" s="285">
        <f>IF(AO$5&gt;$D$7,0,AN39*Leadsheet!$D103)</f>
        <v>0</v>
      </c>
      <c r="AP40" s="285">
        <f>IF(AP$5&gt;$D$7,0,AO39*Leadsheet!$D103)</f>
        <v>0</v>
      </c>
      <c r="AQ40" s="285">
        <f>IF(AQ$5&gt;$D$7,0,AP39*Leadsheet!$D103)</f>
        <v>0</v>
      </c>
      <c r="AR40" s="285">
        <f>IF(AR$5&gt;$D$7,0,AQ39*Leadsheet!$D103)</f>
        <v>0</v>
      </c>
      <c r="AS40" s="285">
        <f>IF(AS$5&gt;$D$7,0,AR39*Leadsheet!$D103)</f>
        <v>0</v>
      </c>
      <c r="AT40" s="285">
        <f>IF(AT$5&gt;$D$7,0,AS39*Leadsheet!$D103)</f>
        <v>0</v>
      </c>
      <c r="AU40" s="285">
        <f>IF(AU$5&gt;$D$7,0,AT39*Leadsheet!$D103)</f>
        <v>0</v>
      </c>
      <c r="AV40" s="285">
        <f>IF(AV$5&gt;$D$7,0,AU39*Leadsheet!$D103)</f>
        <v>0</v>
      </c>
      <c r="AW40" s="285">
        <f>IF(AW$5&gt;$D$7,0,AV39*Leadsheet!$D103)</f>
        <v>0</v>
      </c>
      <c r="AX40" s="285">
        <f>IF(AX$5&gt;$D$7,0,AW39*Leadsheet!$D103)</f>
        <v>0</v>
      </c>
      <c r="AY40" s="285">
        <f>IF(AY$5&gt;$D$7,0,AX39*Leadsheet!$D103)</f>
        <v>0</v>
      </c>
      <c r="AZ40" s="285">
        <f>IF(AZ$5&gt;$D$7,0,AY39*Leadsheet!$D103)</f>
        <v>0</v>
      </c>
      <c r="BA40" s="285">
        <f>IF(BA$5&gt;$D$7,0,AZ39*Leadsheet!$D103)</f>
        <v>0</v>
      </c>
      <c r="BB40" s="285">
        <f>IF(BB$5&gt;$D$7,0,BA39*Leadsheet!$D103)</f>
        <v>0</v>
      </c>
      <c r="BC40" s="285">
        <f>IF(BC$5&gt;$D$7,0,BB39*Leadsheet!$D103)</f>
        <v>0</v>
      </c>
      <c r="BD40" s="285">
        <f>IF(BD$5&gt;$D$7,0,BC39*Leadsheet!$D103)</f>
        <v>0</v>
      </c>
      <c r="BE40" s="285">
        <f>IF(BE$5&gt;$D$7,0,BD39*Leadsheet!$D103)</f>
        <v>0</v>
      </c>
      <c r="BF40" s="285">
        <f>IF(BF$5&gt;$D$7,0,BE39*Leadsheet!$D103)</f>
        <v>0</v>
      </c>
      <c r="BG40" s="285">
        <f>IF(BG$5&gt;$D$7,0,BF39*Leadsheet!$D103)</f>
        <v>0</v>
      </c>
      <c r="BH40" s="285">
        <f>IF(BH$5&gt;$D$7,0,BG39*Leadsheet!$D103)</f>
        <v>0</v>
      </c>
      <c r="BI40" s="285">
        <f>IF(BI$5&gt;$D$7,0,BH39*Leadsheet!$D103)</f>
        <v>0</v>
      </c>
      <c r="BJ40" s="285">
        <f>IF(BJ$5&gt;$D$7,0,BI39*Leadsheet!$D103)</f>
        <v>0</v>
      </c>
      <c r="BK40" s="285">
        <f>IF(BK$5&gt;$D$7,0,BJ39*Leadsheet!$D103)</f>
        <v>0</v>
      </c>
      <c r="BL40" s="285">
        <f>IF(BL$5&gt;$D$7,0,BK39*Leadsheet!$D103)</f>
        <v>0</v>
      </c>
    </row>
    <row r="41" spans="1:64" x14ac:dyDescent="0.15">
      <c r="A41" s="287" t="s">
        <v>376</v>
      </c>
      <c r="B41" s="288" t="s">
        <v>378</v>
      </c>
      <c r="C41" s="84" t="s">
        <v>379</v>
      </c>
      <c r="D41" s="289"/>
      <c r="E41" s="285">
        <f t="shared" ref="E41:BL41" si="6">IF(E5&gt;$D$7,0,D40+D41)</f>
        <v>0</v>
      </c>
      <c r="F41" s="285">
        <f t="shared" si="6"/>
        <v>0</v>
      </c>
      <c r="G41" s="285">
        <f t="shared" si="6"/>
        <v>0</v>
      </c>
      <c r="H41" s="285">
        <f t="shared" si="6"/>
        <v>0</v>
      </c>
      <c r="I41" s="285">
        <f t="shared" si="6"/>
        <v>0</v>
      </c>
      <c r="J41" s="285">
        <f t="shared" si="6"/>
        <v>0</v>
      </c>
      <c r="K41" s="285">
        <f t="shared" si="6"/>
        <v>0</v>
      </c>
      <c r="L41" s="285">
        <f t="shared" si="6"/>
        <v>0</v>
      </c>
      <c r="M41" s="285">
        <f t="shared" si="6"/>
        <v>0</v>
      </c>
      <c r="N41" s="285">
        <f t="shared" si="6"/>
        <v>0</v>
      </c>
      <c r="O41" s="285">
        <f t="shared" si="6"/>
        <v>0</v>
      </c>
      <c r="P41" s="285">
        <f t="shared" si="6"/>
        <v>0</v>
      </c>
      <c r="Q41" s="285">
        <f t="shared" si="6"/>
        <v>0</v>
      </c>
      <c r="R41" s="285">
        <f t="shared" si="6"/>
        <v>0.30769081574606411</v>
      </c>
      <c r="S41" s="285">
        <f t="shared" si="6"/>
        <v>0.55829584947245725</v>
      </c>
      <c r="T41" s="285">
        <f t="shared" si="6"/>
        <v>0.76702444670892267</v>
      </c>
      <c r="U41" s="285">
        <f t="shared" si="6"/>
        <v>0.93802027981346148</v>
      </c>
      <c r="V41" s="285">
        <f t="shared" si="6"/>
        <v>0</v>
      </c>
      <c r="W41" s="285">
        <f t="shared" si="6"/>
        <v>0</v>
      </c>
      <c r="X41" s="285">
        <f t="shared" si="6"/>
        <v>0</v>
      </c>
      <c r="Y41" s="285">
        <f t="shared" si="6"/>
        <v>0</v>
      </c>
      <c r="Z41" s="285">
        <f t="shared" si="6"/>
        <v>0</v>
      </c>
      <c r="AA41" s="285">
        <f t="shared" si="6"/>
        <v>0</v>
      </c>
      <c r="AB41" s="285">
        <f t="shared" si="6"/>
        <v>0</v>
      </c>
      <c r="AC41" s="285">
        <f t="shared" si="6"/>
        <v>0</v>
      </c>
      <c r="AD41" s="285">
        <f t="shared" si="6"/>
        <v>0</v>
      </c>
      <c r="AE41" s="285">
        <f t="shared" si="6"/>
        <v>0</v>
      </c>
      <c r="AF41" s="285">
        <f t="shared" si="6"/>
        <v>0</v>
      </c>
      <c r="AG41" s="285">
        <f t="shared" si="6"/>
        <v>0</v>
      </c>
      <c r="AH41" s="285">
        <f t="shared" si="6"/>
        <v>0</v>
      </c>
      <c r="AI41" s="285">
        <f t="shared" si="6"/>
        <v>0</v>
      </c>
      <c r="AJ41" s="285">
        <f t="shared" si="6"/>
        <v>0</v>
      </c>
      <c r="AK41" s="285">
        <f t="shared" si="6"/>
        <v>0</v>
      </c>
      <c r="AL41" s="285">
        <f t="shared" si="6"/>
        <v>0</v>
      </c>
      <c r="AM41" s="285">
        <f t="shared" si="6"/>
        <v>0</v>
      </c>
      <c r="AN41" s="285">
        <f t="shared" si="6"/>
        <v>0</v>
      </c>
      <c r="AO41" s="285">
        <f t="shared" si="6"/>
        <v>0</v>
      </c>
      <c r="AP41" s="285">
        <f t="shared" si="6"/>
        <v>0</v>
      </c>
      <c r="AQ41" s="285">
        <f t="shared" si="6"/>
        <v>0</v>
      </c>
      <c r="AR41" s="285">
        <f t="shared" si="6"/>
        <v>0</v>
      </c>
      <c r="AS41" s="285">
        <f t="shared" si="6"/>
        <v>0</v>
      </c>
      <c r="AT41" s="285">
        <f t="shared" si="6"/>
        <v>0</v>
      </c>
      <c r="AU41" s="285">
        <f t="shared" si="6"/>
        <v>0</v>
      </c>
      <c r="AV41" s="285">
        <f t="shared" si="6"/>
        <v>0</v>
      </c>
      <c r="AW41" s="285">
        <f t="shared" si="6"/>
        <v>0</v>
      </c>
      <c r="AX41" s="285">
        <f t="shared" si="6"/>
        <v>0</v>
      </c>
      <c r="AY41" s="285">
        <f t="shared" si="6"/>
        <v>0</v>
      </c>
      <c r="AZ41" s="285">
        <f t="shared" si="6"/>
        <v>0</v>
      </c>
      <c r="BA41" s="285">
        <f t="shared" si="6"/>
        <v>0</v>
      </c>
      <c r="BB41" s="285">
        <f t="shared" si="6"/>
        <v>0</v>
      </c>
      <c r="BC41" s="285">
        <f t="shared" si="6"/>
        <v>0</v>
      </c>
      <c r="BD41" s="285">
        <f t="shared" si="6"/>
        <v>0</v>
      </c>
      <c r="BE41" s="285">
        <f t="shared" si="6"/>
        <v>0</v>
      </c>
      <c r="BF41" s="285">
        <f t="shared" si="6"/>
        <v>0</v>
      </c>
      <c r="BG41" s="285">
        <f t="shared" si="6"/>
        <v>0</v>
      </c>
      <c r="BH41" s="285">
        <f t="shared" si="6"/>
        <v>0</v>
      </c>
      <c r="BI41" s="285">
        <f t="shared" si="6"/>
        <v>0</v>
      </c>
      <c r="BJ41" s="285">
        <f t="shared" si="6"/>
        <v>0</v>
      </c>
      <c r="BK41" s="285">
        <f t="shared" si="6"/>
        <v>0</v>
      </c>
      <c r="BL41" s="285">
        <f t="shared" si="6"/>
        <v>0</v>
      </c>
    </row>
    <row r="42" spans="1:64" x14ac:dyDescent="0.15">
      <c r="E42" s="106"/>
      <c r="F42" s="106"/>
      <c r="G42" s="106"/>
      <c r="H42" s="106"/>
      <c r="I42" s="106"/>
      <c r="J42" s="106"/>
      <c r="K42" s="106"/>
      <c r="L42" s="106"/>
      <c r="M42" s="106"/>
      <c r="N42" s="106"/>
      <c r="O42" s="106"/>
      <c r="P42" s="106"/>
      <c r="Q42" s="106"/>
      <c r="R42" s="106"/>
      <c r="S42" s="106"/>
      <c r="T42" s="106"/>
      <c r="U42" s="106"/>
      <c r="V42" s="106"/>
      <c r="W42" s="106"/>
      <c r="X42" s="106"/>
      <c r="Y42" s="106"/>
      <c r="Z42" s="106"/>
      <c r="AA42" s="106"/>
      <c r="AB42" s="106"/>
      <c r="AC42" s="106"/>
      <c r="AD42" s="106"/>
      <c r="AE42" s="106"/>
      <c r="AF42" s="106"/>
      <c r="AG42" s="106"/>
      <c r="AH42" s="106"/>
      <c r="AI42" s="106"/>
      <c r="AJ42" s="106"/>
      <c r="AK42" s="106"/>
      <c r="AL42" s="106"/>
      <c r="AM42" s="106"/>
      <c r="AN42" s="106"/>
      <c r="AO42" s="106"/>
      <c r="AP42" s="106"/>
      <c r="AQ42" s="106"/>
      <c r="AR42" s="106"/>
      <c r="AS42" s="106"/>
      <c r="AT42" s="106"/>
      <c r="AU42" s="106"/>
      <c r="AV42" s="106"/>
      <c r="AW42" s="106"/>
      <c r="AX42" s="106"/>
      <c r="AY42" s="106"/>
      <c r="AZ42" s="106"/>
      <c r="BA42" s="106"/>
      <c r="BB42" s="106"/>
      <c r="BC42" s="106"/>
      <c r="BD42" s="140"/>
      <c r="BE42" s="140"/>
      <c r="BF42" s="140"/>
      <c r="BG42" s="140"/>
      <c r="BH42" s="140"/>
      <c r="BI42" s="140"/>
      <c r="BJ42" s="140"/>
      <c r="BK42" s="140"/>
      <c r="BL42" s="140"/>
    </row>
    <row r="43" spans="1:64" x14ac:dyDescent="0.15">
      <c r="B43" s="155" t="s">
        <v>297</v>
      </c>
      <c r="C43" s="267"/>
      <c r="E43" s="291"/>
      <c r="F43" s="291"/>
      <c r="G43" s="291"/>
      <c r="H43" s="291"/>
      <c r="I43" s="291"/>
      <c r="J43" s="291"/>
      <c r="K43" s="291"/>
      <c r="L43" s="291"/>
      <c r="M43" s="291"/>
      <c r="N43" s="291"/>
      <c r="O43" s="291"/>
      <c r="P43" s="291"/>
      <c r="Q43" s="291"/>
      <c r="R43" s="291"/>
      <c r="S43" s="291"/>
      <c r="T43" s="147"/>
      <c r="U43" s="147"/>
      <c r="V43" s="147"/>
      <c r="W43" s="147"/>
      <c r="X43" s="147"/>
      <c r="Y43" s="147"/>
      <c r="Z43" s="147"/>
      <c r="AA43" s="147"/>
      <c r="AB43" s="147"/>
    </row>
    <row r="44" spans="1:64" s="140" customFormat="1" x14ac:dyDescent="0.15">
      <c r="C44" s="155" t="s">
        <v>380</v>
      </c>
      <c r="D44" s="279">
        <f>SUM(D27:D41)</f>
        <v>13.084424538752435</v>
      </c>
      <c r="E44" s="279">
        <f>SUM(E27:E41)</f>
        <v>11.114830153862414</v>
      </c>
      <c r="F44" s="279">
        <f t="shared" ref="F44:BL44" si="7">SUM(F27:F41)</f>
        <v>9.5742357575232635</v>
      </c>
      <c r="G44" s="279">
        <f t="shared" si="7"/>
        <v>8.1547661163871439</v>
      </c>
      <c r="H44" s="279">
        <f t="shared" si="7"/>
        <v>7.1734932601900248</v>
      </c>
      <c r="I44" s="279">
        <f t="shared" si="7"/>
        <v>6.2315487183219034</v>
      </c>
      <c r="J44" s="279">
        <f t="shared" si="7"/>
        <v>5.3302751867345526</v>
      </c>
      <c r="K44" s="279">
        <f t="shared" si="7"/>
        <v>4.470461376353013</v>
      </c>
      <c r="L44" s="279">
        <f t="shared" si="7"/>
        <v>3.6529806193490701</v>
      </c>
      <c r="M44" s="279">
        <f t="shared" si="7"/>
        <v>2.8790343425627287</v>
      </c>
      <c r="N44" s="279">
        <f t="shared" si="7"/>
        <v>2.1506026874412796</v>
      </c>
      <c r="O44" s="279">
        <f t="shared" si="7"/>
        <v>1.4822607754971906</v>
      </c>
      <c r="P44" s="279">
        <f t="shared" si="7"/>
        <v>1.4735064850921211</v>
      </c>
      <c r="Q44" s="279">
        <f t="shared" si="7"/>
        <v>1.4726011482681898</v>
      </c>
      <c r="R44" s="279">
        <f t="shared" si="7"/>
        <v>1.4725962084040174</v>
      </c>
      <c r="S44" s="279">
        <f t="shared" si="7"/>
        <v>1.4725946221528921</v>
      </c>
      <c r="T44" s="279">
        <f t="shared" si="7"/>
        <v>1.4725946221528921</v>
      </c>
      <c r="U44" s="279">
        <f t="shared" si="7"/>
        <v>1.4725946221528921</v>
      </c>
      <c r="V44" s="279">
        <f t="shared" si="7"/>
        <v>0</v>
      </c>
      <c r="W44" s="279">
        <f t="shared" si="7"/>
        <v>0</v>
      </c>
      <c r="X44" s="279">
        <f t="shared" si="7"/>
        <v>0</v>
      </c>
      <c r="Y44" s="279">
        <f>SUM(Y27:Y41)</f>
        <v>0</v>
      </c>
      <c r="Z44" s="279">
        <f t="shared" si="7"/>
        <v>0</v>
      </c>
      <c r="AA44" s="279">
        <f t="shared" si="7"/>
        <v>0</v>
      </c>
      <c r="AB44" s="279">
        <f t="shared" si="7"/>
        <v>0</v>
      </c>
      <c r="AC44" s="279">
        <f t="shared" si="7"/>
        <v>0</v>
      </c>
      <c r="AD44" s="279">
        <f t="shared" si="7"/>
        <v>0</v>
      </c>
      <c r="AE44" s="279">
        <f t="shared" si="7"/>
        <v>0</v>
      </c>
      <c r="AF44" s="279">
        <f t="shared" si="7"/>
        <v>0</v>
      </c>
      <c r="AG44" s="279">
        <f t="shared" si="7"/>
        <v>0</v>
      </c>
      <c r="AH44" s="279">
        <f t="shared" si="7"/>
        <v>0</v>
      </c>
      <c r="AI44" s="279">
        <f t="shared" si="7"/>
        <v>0</v>
      </c>
      <c r="AJ44" s="279">
        <f t="shared" si="7"/>
        <v>0</v>
      </c>
      <c r="AK44" s="279">
        <f t="shared" si="7"/>
        <v>0</v>
      </c>
      <c r="AL44" s="279">
        <f t="shared" si="7"/>
        <v>0</v>
      </c>
      <c r="AM44" s="279">
        <f t="shared" si="7"/>
        <v>0</v>
      </c>
      <c r="AN44" s="279">
        <f t="shared" si="7"/>
        <v>0</v>
      </c>
      <c r="AO44" s="279">
        <f t="shared" si="7"/>
        <v>0</v>
      </c>
      <c r="AP44" s="279">
        <f t="shared" si="7"/>
        <v>0</v>
      </c>
      <c r="AQ44" s="279">
        <f t="shared" si="7"/>
        <v>0</v>
      </c>
      <c r="AR44" s="279">
        <f t="shared" si="7"/>
        <v>0</v>
      </c>
      <c r="AS44" s="279">
        <f t="shared" si="7"/>
        <v>0</v>
      </c>
      <c r="AT44" s="279">
        <f t="shared" si="7"/>
        <v>0</v>
      </c>
      <c r="AU44" s="279">
        <f t="shared" si="7"/>
        <v>0</v>
      </c>
      <c r="AV44" s="279">
        <f t="shared" si="7"/>
        <v>0</v>
      </c>
      <c r="AW44" s="279">
        <f t="shared" si="7"/>
        <v>0</v>
      </c>
      <c r="AX44" s="279">
        <f t="shared" si="7"/>
        <v>0</v>
      </c>
      <c r="AY44" s="279">
        <f t="shared" si="7"/>
        <v>0</v>
      </c>
      <c r="AZ44" s="279">
        <f t="shared" si="7"/>
        <v>0</v>
      </c>
      <c r="BA44" s="279">
        <f t="shared" si="7"/>
        <v>0</v>
      </c>
      <c r="BB44" s="279">
        <f t="shared" si="7"/>
        <v>0</v>
      </c>
      <c r="BC44" s="279">
        <f t="shared" si="7"/>
        <v>0</v>
      </c>
      <c r="BD44" s="279">
        <f t="shared" si="7"/>
        <v>0</v>
      </c>
      <c r="BE44" s="279">
        <f t="shared" si="7"/>
        <v>0</v>
      </c>
      <c r="BF44" s="279">
        <f t="shared" si="7"/>
        <v>0</v>
      </c>
      <c r="BG44" s="279">
        <f t="shared" si="7"/>
        <v>0</v>
      </c>
      <c r="BH44" s="279">
        <f t="shared" si="7"/>
        <v>0</v>
      </c>
      <c r="BI44" s="279">
        <f t="shared" si="7"/>
        <v>0</v>
      </c>
      <c r="BJ44" s="279">
        <f t="shared" si="7"/>
        <v>0</v>
      </c>
      <c r="BK44" s="279">
        <f t="shared" si="7"/>
        <v>0</v>
      </c>
      <c r="BL44" s="279">
        <f t="shared" si="7"/>
        <v>0</v>
      </c>
    </row>
    <row r="45" spans="1:64" s="155" customFormat="1" x14ac:dyDescent="0.15">
      <c r="C45" s="280" t="s">
        <v>381</v>
      </c>
      <c r="D45" s="140" cm="1">
        <f t="array" ref="D45">IF(D5=$D$7,0,_xlfn.IFS(Leadsheet!$G$5="DPD360+",SUM(SAP_Speadsheet!D27:D40),Leadsheet!$G$5="DPD180+",SUM(SAP_Speadsheet!D27:D34)))</f>
        <v>13.084424538752435</v>
      </c>
      <c r="E45" s="140" cm="1">
        <f t="array" ref="E45">IF(E5=$D$7,0,_xlfn.IFS(Leadsheet!$G$5="DPD360+",SUM(SAP_Speadsheet!E27:E40),Leadsheet!$G$5="DPD180+",SUM(SAP_Speadsheet!E27:E34)))</f>
        <v>11.114830153862414</v>
      </c>
      <c r="F45" s="140" cm="1">
        <f t="array" ref="F45">IF(F5=$D$7,0,_xlfn.IFS(Leadsheet!$G$5="DPD360+",SUM(SAP_Speadsheet!F27:F40),Leadsheet!$G$5="DPD180+",SUM(SAP_Speadsheet!F27:F34)))</f>
        <v>9.5742357575232635</v>
      </c>
      <c r="G45" s="140" cm="1">
        <f t="array" ref="G45">IF(G5=$D$7,0,_xlfn.IFS(Leadsheet!$G$5="DPD360+",SUM(SAP_Speadsheet!G27:G40),Leadsheet!$G$5="DPD180+",SUM(SAP_Speadsheet!G27:G34)))</f>
        <v>8.1547661163871439</v>
      </c>
      <c r="H45" s="140" cm="1">
        <f t="array" ref="H45">IF(H5=$D$7,0,_xlfn.IFS(Leadsheet!$G$5="DPD360+",SUM(SAP_Speadsheet!H27:H40),Leadsheet!$G$5="DPD180+",SUM(SAP_Speadsheet!H27:H34)))</f>
        <v>7.1734932601900248</v>
      </c>
      <c r="I45" s="140" cm="1">
        <f t="array" ref="I45">IF(I5=$D$7,0,_xlfn.IFS(Leadsheet!$G$5="DPD360+",SUM(SAP_Speadsheet!I27:I40),Leadsheet!$G$5="DPD180+",SUM(SAP_Speadsheet!I27:I34)))</f>
        <v>6.2315487183219034</v>
      </c>
      <c r="J45" s="140" cm="1">
        <f t="array" ref="J45">IF(J5=$D$7,0,_xlfn.IFS(Leadsheet!$G$5="DPD360+",SUM(SAP_Speadsheet!J27:J40),Leadsheet!$G$5="DPD180+",SUM(SAP_Speadsheet!J27:J34)))</f>
        <v>5.3302751867345526</v>
      </c>
      <c r="K45" s="140" cm="1">
        <f t="array" ref="K45">IF(K5=$D$7,0,_xlfn.IFS(Leadsheet!$G$5="DPD360+",SUM(SAP_Speadsheet!K27:K40),Leadsheet!$G$5="DPD180+",SUM(SAP_Speadsheet!K27:K34)))</f>
        <v>4.470461376353013</v>
      </c>
      <c r="L45" s="140" cm="1">
        <f t="array" ref="L45">IF(L5=$D$7,0,_xlfn.IFS(Leadsheet!$G$5="DPD360+",SUM(SAP_Speadsheet!L27:L40),Leadsheet!$G$5="DPD180+",SUM(SAP_Speadsheet!L27:L34)))</f>
        <v>3.3452898036030061</v>
      </c>
      <c r="M45" s="140" cm="1">
        <f t="array" ref="M45">IF(M5=$D$7,0,_xlfn.IFS(Leadsheet!$G$5="DPD360+",SUM(SAP_Speadsheet!M27:M40),Leadsheet!$G$5="DPD180+",SUM(SAP_Speadsheet!M27:M34)))</f>
        <v>2.3207384930902717</v>
      </c>
      <c r="N45" s="140" cm="1">
        <f t="array" ref="N45">IF(N5=$D$7,0,_xlfn.IFS(Leadsheet!$G$5="DPD360+",SUM(SAP_Speadsheet!N27:N40),Leadsheet!$G$5="DPD180+",SUM(SAP_Speadsheet!N27:N34)))</f>
        <v>1.3835782407323571</v>
      </c>
      <c r="O45" s="140" cm="1">
        <f t="array" ref="O45">IF(O5=$D$7,0,_xlfn.IFS(Leadsheet!$G$5="DPD360+",SUM(SAP_Speadsheet!O27:O40),Leadsheet!$G$5="DPD180+",SUM(SAP_Speadsheet!O27:O34)))</f>
        <v>0.54424049568372934</v>
      </c>
      <c r="P45" s="140" cm="1">
        <f t="array" ref="P45">IF(P5=$D$7,0,_xlfn.IFS(Leadsheet!$G$5="DPD360+",SUM(SAP_Speadsheet!P27:P40),Leadsheet!$G$5="DPD180+",SUM(SAP_Speadsheet!P27:P34)))</f>
        <v>0.39109815507714618</v>
      </c>
      <c r="Q45" s="140" cm="1">
        <f t="array" ref="Q45">IF(Q5=$D$7,0,_xlfn.IFS(Leadsheet!$G$5="DPD360+",SUM(SAP_Speadsheet!Q27:Q40),Leadsheet!$G$5="DPD180+",SUM(SAP_Speadsheet!Q27:Q34)))</f>
        <v>0.27099451387907908</v>
      </c>
      <c r="R45" s="140" cm="1">
        <f t="array" ref="R45">IF(R5=$D$7,0,_xlfn.IFS(Leadsheet!$G$5="DPD360+",SUM(SAP_Speadsheet!R27:R40),Leadsheet!$G$5="DPD180+",SUM(SAP_Speadsheet!R27:R34)))</f>
        <v>0.17546342970162715</v>
      </c>
      <c r="S45" s="140" cm="1">
        <f t="array" ref="S45">IF(S5=$D$7,0,_xlfn.IFS(Leadsheet!$G$5="DPD360+",SUM(SAP_Speadsheet!S27:S40),Leadsheet!$G$5="DPD180+",SUM(SAP_Speadsheet!S27:S34)))</f>
        <v>0.10209561263654951</v>
      </c>
      <c r="T45" s="140" cm="1">
        <f t="array" ref="T45">IF(T5=$D$7,0,_xlfn.IFS(Leadsheet!$G$5="DPD360+",SUM(SAP_Speadsheet!T27:T40),Leadsheet!$G$5="DPD180+",SUM(SAP_Speadsheet!T27:T34)))</f>
        <v>4.9392115607724302E-2</v>
      </c>
      <c r="U45" s="140" cm="1">
        <f t="array" ref="U45">IF(U5=$D$7,0,_xlfn.IFS(Leadsheet!$G$5="DPD360+",SUM(SAP_Speadsheet!U27:U40),Leadsheet!$G$5="DPD180+",SUM(SAP_Speadsheet!U27:U34)))</f>
        <v>0</v>
      </c>
      <c r="V45" s="140" cm="1">
        <f t="array" ref="V45">IF(V5=$D$7,0,_xlfn.IFS(Leadsheet!$G$5="DPD360+",SUM(SAP_Speadsheet!V27:V40),Leadsheet!$G$5="DPD180+",SUM(SAP_Speadsheet!V27:V34)))</f>
        <v>0</v>
      </c>
      <c r="W45" s="140" cm="1">
        <f t="array" ref="W45">IF(W5=$D$7,0,_xlfn.IFS(Leadsheet!$G$5="DPD360+",SUM(SAP_Speadsheet!W27:W40),Leadsheet!$G$5="DPD180+",SUM(SAP_Speadsheet!W27:W34)))</f>
        <v>0</v>
      </c>
      <c r="X45" s="140" cm="1">
        <f t="array" ref="X45">IF(X5=$D$7,0,_xlfn.IFS(Leadsheet!$G$5="DPD360+",SUM(SAP_Speadsheet!X27:X40),Leadsheet!$G$5="DPD180+",SUM(SAP_Speadsheet!X27:X34)))</f>
        <v>0</v>
      </c>
      <c r="Y45" s="140" cm="1">
        <f t="array" ref="Y45">IF(Y5=$D$7,0,_xlfn.IFS(Leadsheet!$G$5="DPD360+",SUM(SAP_Speadsheet!Y27:Y40),Leadsheet!$G$5="DPD180+",SUM(SAP_Speadsheet!Y27:Y34)))</f>
        <v>0</v>
      </c>
      <c r="Z45" s="140" cm="1">
        <f t="array" ref="Z45">IF(Z5=$D$7,0,_xlfn.IFS(Leadsheet!$G$5="DPD360+",SUM(SAP_Speadsheet!Z27:Z40),Leadsheet!$G$5="DPD180+",SUM(SAP_Speadsheet!Z27:Z34)))</f>
        <v>0</v>
      </c>
      <c r="AA45" s="140" cm="1">
        <f t="array" ref="AA45">IF(AA5=$D$7,0,_xlfn.IFS(Leadsheet!$G$5="DPD360+",SUM(SAP_Speadsheet!AA27:AA40),Leadsheet!$G$5="DPD180+",SUM(SAP_Speadsheet!AA27:AA34)))</f>
        <v>0</v>
      </c>
      <c r="AB45" s="140" cm="1">
        <f t="array" ref="AB45">IF(AB5=$D$7,0,_xlfn.IFS(Leadsheet!$G$5="DPD360+",SUM(SAP_Speadsheet!AB27:AB40),Leadsheet!$G$5="DPD180+",SUM(SAP_Speadsheet!AB27:AB34)))</f>
        <v>0</v>
      </c>
      <c r="AC45" s="140" cm="1">
        <f t="array" ref="AC45">IF(AC5=$D$7,0,_xlfn.IFS(Leadsheet!$G$5="DPD360+",SUM(SAP_Speadsheet!AC27:AC40),Leadsheet!$G$5="DPD180+",SUM(SAP_Speadsheet!AC27:AC34)))</f>
        <v>0</v>
      </c>
      <c r="AD45" s="140" cm="1">
        <f t="array" ref="AD45">IF(AD5=$D$7,0,_xlfn.IFS(Leadsheet!$G$5="DPD360+",SUM(SAP_Speadsheet!AD27:AD40),Leadsheet!$G$5="DPD180+",SUM(SAP_Speadsheet!AD27:AD34)))</f>
        <v>0</v>
      </c>
      <c r="AE45" s="140" cm="1">
        <f t="array" ref="AE45">IF(AE5=$D$7,0,_xlfn.IFS(Leadsheet!$G$5="DPD360+",SUM(SAP_Speadsheet!AE27:AE40),Leadsheet!$G$5="DPD180+",SUM(SAP_Speadsheet!AE27:AE34)))</f>
        <v>0</v>
      </c>
      <c r="AF45" s="140" cm="1">
        <f t="array" ref="AF45">IF(AF5=$D$7,0,_xlfn.IFS(Leadsheet!$G$5="DPD360+",SUM(SAP_Speadsheet!AF27:AF40),Leadsheet!$G$5="DPD180+",SUM(SAP_Speadsheet!AF27:AF34)))</f>
        <v>0</v>
      </c>
      <c r="AG45" s="140" cm="1">
        <f t="array" ref="AG45">IF(AG5=$D$7,0,_xlfn.IFS(Leadsheet!$G$5="DPD360+",SUM(SAP_Speadsheet!AG27:AG40),Leadsheet!$G$5="DPD180+",SUM(SAP_Speadsheet!AG27:AG34)))</f>
        <v>0</v>
      </c>
      <c r="AH45" s="140" cm="1">
        <f t="array" ref="AH45">IF(AH5=$D$7,0,_xlfn.IFS(Leadsheet!$G$5="DPD360+",SUM(SAP_Speadsheet!AH27:AH40),Leadsheet!$G$5="DPD180+",SUM(SAP_Speadsheet!AH27:AH34)))</f>
        <v>0</v>
      </c>
      <c r="AI45" s="140" cm="1">
        <f t="array" ref="AI45">IF(AI5=$D$7,0,_xlfn.IFS(Leadsheet!$G$5="DPD360+",SUM(SAP_Speadsheet!AI27:AI40),Leadsheet!$G$5="DPD180+",SUM(SAP_Speadsheet!AI27:AI34)))</f>
        <v>0</v>
      </c>
      <c r="AJ45" s="140" cm="1">
        <f t="array" ref="AJ45">IF(AJ5=$D$7,0,_xlfn.IFS(Leadsheet!$G$5="DPD360+",SUM(SAP_Speadsheet!AJ27:AJ40),Leadsheet!$G$5="DPD180+",SUM(SAP_Speadsheet!AJ27:AJ34)))</f>
        <v>0</v>
      </c>
      <c r="AK45" s="140" cm="1">
        <f t="array" ref="AK45">IF(AK5=$D$7,0,_xlfn.IFS(Leadsheet!$G$5="DPD360+",SUM(SAP_Speadsheet!AK27:AK40),Leadsheet!$G$5="DPD180+",SUM(SAP_Speadsheet!AK27:AK34)))</f>
        <v>0</v>
      </c>
      <c r="AL45" s="140" cm="1">
        <f t="array" ref="AL45">IF(AL5=$D$7,0,_xlfn.IFS(Leadsheet!$G$5="DPD360+",SUM(SAP_Speadsheet!AL27:AL40),Leadsheet!$G$5="DPD180+",SUM(SAP_Speadsheet!AL27:AL34)))</f>
        <v>0</v>
      </c>
      <c r="AM45" s="140" cm="1">
        <f t="array" ref="AM45">IF(AM5=$D$7,0,_xlfn.IFS(Leadsheet!$G$5="DPD360+",SUM(SAP_Speadsheet!AM27:AM40),Leadsheet!$G$5="DPD180+",SUM(SAP_Speadsheet!AM27:AM34)))</f>
        <v>0</v>
      </c>
      <c r="AN45" s="140" cm="1">
        <f t="array" ref="AN45">IF(AN5=$D$7,0,_xlfn.IFS(Leadsheet!$G$5="DPD360+",SUM(SAP_Speadsheet!AN27:AN40),Leadsheet!$G$5="DPD180+",SUM(SAP_Speadsheet!AN27:AN34)))</f>
        <v>0</v>
      </c>
      <c r="AO45" s="140" cm="1">
        <f t="array" ref="AO45">IF(AO5=$D$7,0,_xlfn.IFS(Leadsheet!$G$5="DPD360+",SUM(SAP_Speadsheet!AO27:AO40),Leadsheet!$G$5="DPD180+",SUM(SAP_Speadsheet!AO27:AO34)))</f>
        <v>0</v>
      </c>
      <c r="AP45" s="140" cm="1">
        <f t="array" ref="AP45">IF(AP5=$D$7,0,_xlfn.IFS(Leadsheet!$G$5="DPD360+",SUM(SAP_Speadsheet!AP27:AP40),Leadsheet!$G$5="DPD180+",SUM(SAP_Speadsheet!AP27:AP34)))</f>
        <v>0</v>
      </c>
      <c r="AQ45" s="140" cm="1">
        <f t="array" ref="AQ45">IF(AQ5=$D$7,0,_xlfn.IFS(Leadsheet!$G$5="DPD360+",SUM(SAP_Speadsheet!AQ27:AQ40),Leadsheet!$G$5="DPD180+",SUM(SAP_Speadsheet!AQ27:AQ34)))</f>
        <v>0</v>
      </c>
      <c r="AR45" s="140" cm="1">
        <f t="array" ref="AR45">IF(AR5=$D$7,0,_xlfn.IFS(Leadsheet!$G$5="DPD360+",SUM(SAP_Speadsheet!AR27:AR40),Leadsheet!$G$5="DPD180+",SUM(SAP_Speadsheet!AR27:AR34)))</f>
        <v>0</v>
      </c>
      <c r="AS45" s="140" cm="1">
        <f t="array" ref="AS45">IF(AS5=$D$7,0,_xlfn.IFS(Leadsheet!$G$5="DPD360+",SUM(SAP_Speadsheet!AS27:AS40),Leadsheet!$G$5="DPD180+",SUM(SAP_Speadsheet!AS27:AS34)))</f>
        <v>0</v>
      </c>
      <c r="AT45" s="140" cm="1">
        <f t="array" ref="AT45">IF(AT5=$D$7,0,_xlfn.IFS(Leadsheet!$G$5="DPD360+",SUM(SAP_Speadsheet!AT27:AT40),Leadsheet!$G$5="DPD180+",SUM(SAP_Speadsheet!AT27:AT34)))</f>
        <v>0</v>
      </c>
      <c r="AU45" s="140" cm="1">
        <f t="array" ref="AU45">IF(AU5=$D$7,0,_xlfn.IFS(Leadsheet!$G$5="DPD360+",SUM(SAP_Speadsheet!AU27:AU40),Leadsheet!$G$5="DPD180+",SUM(SAP_Speadsheet!AU27:AU34)))</f>
        <v>0</v>
      </c>
      <c r="AV45" s="140" cm="1">
        <f t="array" ref="AV45">IF(AV5=$D$7,0,_xlfn.IFS(Leadsheet!$G$5="DPD360+",SUM(SAP_Speadsheet!AV27:AV40),Leadsheet!$G$5="DPD180+",SUM(SAP_Speadsheet!AV27:AV34)))</f>
        <v>0</v>
      </c>
      <c r="AW45" s="140" cm="1">
        <f t="array" ref="AW45">IF(AW5=$D$7,0,_xlfn.IFS(Leadsheet!$G$5="DPD360+",SUM(SAP_Speadsheet!AW27:AW40),Leadsheet!$G$5="DPD180+",SUM(SAP_Speadsheet!AW27:AW34)))</f>
        <v>0</v>
      </c>
      <c r="AX45" s="140" cm="1">
        <f t="array" ref="AX45">IF(AX5=$D$7,0,_xlfn.IFS(Leadsheet!$G$5="DPD360+",SUM(SAP_Speadsheet!AX27:AX40),Leadsheet!$G$5="DPD180+",SUM(SAP_Speadsheet!AX27:AX34)))</f>
        <v>0</v>
      </c>
      <c r="AY45" s="140" cm="1">
        <f t="array" ref="AY45">IF(AY5=$D$7,0,_xlfn.IFS(Leadsheet!$G$5="DPD360+",SUM(SAP_Speadsheet!AY27:AY40),Leadsheet!$G$5="DPD180+",SUM(SAP_Speadsheet!AY27:AY34)))</f>
        <v>0</v>
      </c>
      <c r="AZ45" s="140" cm="1">
        <f t="array" ref="AZ45">IF(AZ5=$D$7,0,_xlfn.IFS(Leadsheet!$G$5="DPD360+",SUM(SAP_Speadsheet!AZ27:AZ40),Leadsheet!$G$5="DPD180+",SUM(SAP_Speadsheet!AZ27:AZ34)))</f>
        <v>0</v>
      </c>
      <c r="BA45" s="140" cm="1">
        <f t="array" ref="BA45">IF(BA5=$D$7,0,_xlfn.IFS(Leadsheet!$G$5="DPD360+",SUM(SAP_Speadsheet!BA27:BA40),Leadsheet!$G$5="DPD180+",SUM(SAP_Speadsheet!BA27:BA34)))</f>
        <v>0</v>
      </c>
      <c r="BB45" s="140" cm="1">
        <f t="array" ref="BB45">IF(BB5=$D$7,0,_xlfn.IFS(Leadsheet!$G$5="DPD360+",SUM(SAP_Speadsheet!BB27:BB40),Leadsheet!$G$5="DPD180+",SUM(SAP_Speadsheet!BB27:BB34)))</f>
        <v>0</v>
      </c>
      <c r="BC45" s="140" cm="1">
        <f t="array" ref="BC45">IF(BC5=$D$7,0,_xlfn.IFS(Leadsheet!$G$5="DPD360+",SUM(SAP_Speadsheet!BC27:BC40),Leadsheet!$G$5="DPD180+",SUM(SAP_Speadsheet!BC27:BC34)))</f>
        <v>0</v>
      </c>
      <c r="BD45" s="140" cm="1">
        <f t="array" ref="BD45">IF(BD5=$D$7,0,_xlfn.IFS(Leadsheet!$G$5="DPD360+",SUM(SAP_Speadsheet!BD27:BD40),Leadsheet!$G$5="DPD180+",SUM(SAP_Speadsheet!BD27:BD34)))</f>
        <v>0</v>
      </c>
      <c r="BE45" s="140" cm="1">
        <f t="array" ref="BE45">IF(BE5=$D$7,0,_xlfn.IFS(Leadsheet!$G$5="DPD360+",SUM(SAP_Speadsheet!BE27:BE40),Leadsheet!$G$5="DPD180+",SUM(SAP_Speadsheet!BE27:BE34)))</f>
        <v>0</v>
      </c>
      <c r="BF45" s="140" cm="1">
        <f t="array" ref="BF45">IF(BF5=$D$7,0,_xlfn.IFS(Leadsheet!$G$5="DPD360+",SUM(SAP_Speadsheet!BF27:BF40),Leadsheet!$G$5="DPD180+",SUM(SAP_Speadsheet!BF27:BF34)))</f>
        <v>0</v>
      </c>
      <c r="BG45" s="140" cm="1">
        <f t="array" ref="BG45">IF(BG5=$D$7,0,_xlfn.IFS(Leadsheet!$G$5="DPD360+",SUM(SAP_Speadsheet!BG27:BG40),Leadsheet!$G$5="DPD180+",SUM(SAP_Speadsheet!BG27:BG34)))</f>
        <v>0</v>
      </c>
      <c r="BH45" s="140" cm="1">
        <f t="array" ref="BH45">IF(BH5=$D$7,0,_xlfn.IFS(Leadsheet!$G$5="DPD360+",SUM(SAP_Speadsheet!BH27:BH40),Leadsheet!$G$5="DPD180+",SUM(SAP_Speadsheet!BH27:BH34)))</f>
        <v>0</v>
      </c>
      <c r="BI45" s="140" cm="1">
        <f t="array" ref="BI45">IF(BI5=$D$7,0,_xlfn.IFS(Leadsheet!$G$5="DPD360+",SUM(SAP_Speadsheet!BI27:BI40),Leadsheet!$G$5="DPD180+",SUM(SAP_Speadsheet!BI27:BI34)))</f>
        <v>0</v>
      </c>
      <c r="BJ45" s="140" cm="1">
        <f t="array" ref="BJ45">IF(BJ5=$D$7,0,_xlfn.IFS(Leadsheet!$G$5="DPD360+",SUM(SAP_Speadsheet!BJ27:BJ40),Leadsheet!$G$5="DPD180+",SUM(SAP_Speadsheet!BJ27:BJ34)))</f>
        <v>0</v>
      </c>
      <c r="BK45" s="140" cm="1">
        <f t="array" ref="BK45">IF(BK5=$D$7,0,_xlfn.IFS(Leadsheet!$G$5="DPD360+",SUM(SAP_Speadsheet!BK27:BK40),Leadsheet!$G$5="DPD180+",SUM(SAP_Speadsheet!BK27:BK34)))</f>
        <v>0</v>
      </c>
      <c r="BL45" s="140" cm="1">
        <f t="array" ref="BL45">IF(BL5=$D$7,0,_xlfn.IFS(Leadsheet!$G$5="DPD360+",SUM(SAP_Speadsheet!BL27:BL40),Leadsheet!$G$5="DPD180+",SUM(SAP_Speadsheet!BL27:BL34)))</f>
        <v>0</v>
      </c>
    </row>
    <row r="46" spans="1:64" s="155" customFormat="1" x14ac:dyDescent="0.15">
      <c r="C46" s="280" t="s">
        <v>382</v>
      </c>
      <c r="D46" s="140">
        <f>D44-D45</f>
        <v>0</v>
      </c>
      <c r="E46" s="140">
        <f t="shared" ref="E46:BL46" si="8">E44-E45</f>
        <v>0</v>
      </c>
      <c r="F46" s="140">
        <f t="shared" si="8"/>
        <v>0</v>
      </c>
      <c r="G46" s="140">
        <f t="shared" si="8"/>
        <v>0</v>
      </c>
      <c r="H46" s="140">
        <f t="shared" si="8"/>
        <v>0</v>
      </c>
      <c r="I46" s="140">
        <f t="shared" si="8"/>
        <v>0</v>
      </c>
      <c r="J46" s="140">
        <f t="shared" si="8"/>
        <v>0</v>
      </c>
      <c r="K46" s="140">
        <f t="shared" si="8"/>
        <v>0</v>
      </c>
      <c r="L46" s="140">
        <f t="shared" si="8"/>
        <v>0.30769081574606405</v>
      </c>
      <c r="M46" s="140">
        <f t="shared" si="8"/>
        <v>0.55829584947245703</v>
      </c>
      <c r="N46" s="140">
        <f t="shared" si="8"/>
        <v>0.76702444670892245</v>
      </c>
      <c r="O46" s="140">
        <f t="shared" si="8"/>
        <v>0.93802027981346126</v>
      </c>
      <c r="P46" s="140">
        <f t="shared" si="8"/>
        <v>1.0824083300149749</v>
      </c>
      <c r="Q46" s="140">
        <f t="shared" si="8"/>
        <v>1.2016066343891108</v>
      </c>
      <c r="R46" s="140">
        <f t="shared" si="8"/>
        <v>1.2971327787023903</v>
      </c>
      <c r="S46" s="140">
        <f t="shared" si="8"/>
        <v>1.3704990095163425</v>
      </c>
      <c r="T46" s="140">
        <f t="shared" si="8"/>
        <v>1.4232025065451677</v>
      </c>
      <c r="U46" s="140">
        <f t="shared" si="8"/>
        <v>1.4725946221528921</v>
      </c>
      <c r="V46" s="140">
        <f t="shared" si="8"/>
        <v>0</v>
      </c>
      <c r="W46" s="140">
        <f t="shared" si="8"/>
        <v>0</v>
      </c>
      <c r="X46" s="140">
        <f t="shared" si="8"/>
        <v>0</v>
      </c>
      <c r="Y46" s="140">
        <f>Y44-Y45</f>
        <v>0</v>
      </c>
      <c r="Z46" s="140">
        <f t="shared" si="8"/>
        <v>0</v>
      </c>
      <c r="AA46" s="140">
        <f t="shared" si="8"/>
        <v>0</v>
      </c>
      <c r="AB46" s="140">
        <f t="shared" si="8"/>
        <v>0</v>
      </c>
      <c r="AC46" s="140">
        <f t="shared" si="8"/>
        <v>0</v>
      </c>
      <c r="AD46" s="140">
        <f t="shared" si="8"/>
        <v>0</v>
      </c>
      <c r="AE46" s="140">
        <f t="shared" si="8"/>
        <v>0</v>
      </c>
      <c r="AF46" s="140">
        <f t="shared" si="8"/>
        <v>0</v>
      </c>
      <c r="AG46" s="140">
        <f t="shared" si="8"/>
        <v>0</v>
      </c>
      <c r="AH46" s="140">
        <f t="shared" si="8"/>
        <v>0</v>
      </c>
      <c r="AI46" s="140">
        <f t="shared" si="8"/>
        <v>0</v>
      </c>
      <c r="AJ46" s="140">
        <f t="shared" si="8"/>
        <v>0</v>
      </c>
      <c r="AK46" s="140">
        <f t="shared" si="8"/>
        <v>0</v>
      </c>
      <c r="AL46" s="140">
        <f t="shared" si="8"/>
        <v>0</v>
      </c>
      <c r="AM46" s="140">
        <f t="shared" si="8"/>
        <v>0</v>
      </c>
      <c r="AN46" s="140">
        <f t="shared" si="8"/>
        <v>0</v>
      </c>
      <c r="AO46" s="140">
        <f t="shared" si="8"/>
        <v>0</v>
      </c>
      <c r="AP46" s="140">
        <f t="shared" si="8"/>
        <v>0</v>
      </c>
      <c r="AQ46" s="140">
        <f t="shared" si="8"/>
        <v>0</v>
      </c>
      <c r="AR46" s="140">
        <f t="shared" si="8"/>
        <v>0</v>
      </c>
      <c r="AS46" s="140">
        <f t="shared" si="8"/>
        <v>0</v>
      </c>
      <c r="AT46" s="140">
        <f t="shared" si="8"/>
        <v>0</v>
      </c>
      <c r="AU46" s="140">
        <f t="shared" si="8"/>
        <v>0</v>
      </c>
      <c r="AV46" s="140">
        <f t="shared" si="8"/>
        <v>0</v>
      </c>
      <c r="AW46" s="140">
        <f t="shared" si="8"/>
        <v>0</v>
      </c>
      <c r="AX46" s="140">
        <f t="shared" si="8"/>
        <v>0</v>
      </c>
      <c r="AY46" s="140">
        <f t="shared" si="8"/>
        <v>0</v>
      </c>
      <c r="AZ46" s="140">
        <f t="shared" si="8"/>
        <v>0</v>
      </c>
      <c r="BA46" s="140">
        <f t="shared" si="8"/>
        <v>0</v>
      </c>
      <c r="BB46" s="140">
        <f t="shared" si="8"/>
        <v>0</v>
      </c>
      <c r="BC46" s="140">
        <f t="shared" si="8"/>
        <v>0</v>
      </c>
      <c r="BD46" s="140">
        <f t="shared" si="8"/>
        <v>0</v>
      </c>
      <c r="BE46" s="140">
        <f t="shared" si="8"/>
        <v>0</v>
      </c>
      <c r="BF46" s="140">
        <f t="shared" si="8"/>
        <v>0</v>
      </c>
      <c r="BG46" s="140">
        <f t="shared" si="8"/>
        <v>0</v>
      </c>
      <c r="BH46" s="140">
        <f t="shared" si="8"/>
        <v>0</v>
      </c>
      <c r="BI46" s="140">
        <f t="shared" si="8"/>
        <v>0</v>
      </c>
      <c r="BJ46" s="140">
        <f t="shared" si="8"/>
        <v>0</v>
      </c>
      <c r="BK46" s="140">
        <f t="shared" si="8"/>
        <v>0</v>
      </c>
      <c r="BL46" s="140">
        <f t="shared" si="8"/>
        <v>0</v>
      </c>
    </row>
    <row r="47" spans="1:64" s="155" customFormat="1" x14ac:dyDescent="0.15">
      <c r="C47" s="280" t="s">
        <v>383</v>
      </c>
      <c r="D47" s="292">
        <f>IFERROR(D45/D44,"")</f>
        <v>1</v>
      </c>
      <c r="E47" s="292">
        <f t="shared" ref="E47:BL47" si="9">IFERROR(E45/E44,"")</f>
        <v>1</v>
      </c>
      <c r="F47" s="292">
        <f t="shared" si="9"/>
        <v>1</v>
      </c>
      <c r="G47" s="292">
        <f t="shared" si="9"/>
        <v>1</v>
      </c>
      <c r="H47" s="292">
        <f t="shared" si="9"/>
        <v>1</v>
      </c>
      <c r="I47" s="292">
        <f t="shared" si="9"/>
        <v>1</v>
      </c>
      <c r="J47" s="292">
        <f t="shared" si="9"/>
        <v>1</v>
      </c>
      <c r="K47" s="292">
        <f t="shared" si="9"/>
        <v>1</v>
      </c>
      <c r="L47" s="292">
        <f t="shared" si="9"/>
        <v>0.91576992932393608</v>
      </c>
      <c r="M47" s="292">
        <f t="shared" si="9"/>
        <v>0.80608225431048575</v>
      </c>
      <c r="N47" s="292">
        <f t="shared" si="9"/>
        <v>0.64334442099042277</v>
      </c>
      <c r="O47" s="292">
        <f t="shared" si="9"/>
        <v>0.36716919497594902</v>
      </c>
      <c r="P47" s="292">
        <f t="shared" si="9"/>
        <v>0.26542004330079033</v>
      </c>
      <c r="Q47" s="292">
        <f t="shared" si="9"/>
        <v>0.18402438039504071</v>
      </c>
      <c r="R47" s="292">
        <f t="shared" si="9"/>
        <v>0.1191524388697105</v>
      </c>
      <c r="S47" s="292">
        <f t="shared" si="9"/>
        <v>6.93304261068729E-2</v>
      </c>
      <c r="T47" s="292">
        <f t="shared" si="9"/>
        <v>3.3540877349880864E-2</v>
      </c>
      <c r="U47" s="292">
        <f t="shared" si="9"/>
        <v>0</v>
      </c>
      <c r="V47" s="292" t="str">
        <f t="shared" si="9"/>
        <v/>
      </c>
      <c r="W47" s="292" t="str">
        <f t="shared" si="9"/>
        <v/>
      </c>
      <c r="X47" s="292" t="str">
        <f t="shared" si="9"/>
        <v/>
      </c>
      <c r="Y47" s="292" t="str">
        <f t="shared" si="9"/>
        <v/>
      </c>
      <c r="Z47" s="292" t="str">
        <f t="shared" si="9"/>
        <v/>
      </c>
      <c r="AA47" s="292" t="str">
        <f t="shared" si="9"/>
        <v/>
      </c>
      <c r="AB47" s="292" t="str">
        <f t="shared" si="9"/>
        <v/>
      </c>
      <c r="AC47" s="292" t="str">
        <f t="shared" si="9"/>
        <v/>
      </c>
      <c r="AD47" s="292" t="str">
        <f t="shared" si="9"/>
        <v/>
      </c>
      <c r="AE47" s="292" t="str">
        <f t="shared" si="9"/>
        <v/>
      </c>
      <c r="AF47" s="292" t="str">
        <f t="shared" si="9"/>
        <v/>
      </c>
      <c r="AG47" s="292" t="str">
        <f t="shared" si="9"/>
        <v/>
      </c>
      <c r="AH47" s="292" t="str">
        <f t="shared" si="9"/>
        <v/>
      </c>
      <c r="AI47" s="292" t="str">
        <f t="shared" si="9"/>
        <v/>
      </c>
      <c r="AJ47" s="292" t="str">
        <f t="shared" si="9"/>
        <v/>
      </c>
      <c r="AK47" s="292" t="str">
        <f t="shared" si="9"/>
        <v/>
      </c>
      <c r="AL47" s="292" t="str">
        <f t="shared" si="9"/>
        <v/>
      </c>
      <c r="AM47" s="292" t="str">
        <f t="shared" si="9"/>
        <v/>
      </c>
      <c r="AN47" s="292" t="str">
        <f t="shared" si="9"/>
        <v/>
      </c>
      <c r="AO47" s="292" t="str">
        <f t="shared" si="9"/>
        <v/>
      </c>
      <c r="AP47" s="292" t="str">
        <f t="shared" si="9"/>
        <v/>
      </c>
      <c r="AQ47" s="292" t="str">
        <f t="shared" si="9"/>
        <v/>
      </c>
      <c r="AR47" s="292" t="str">
        <f t="shared" si="9"/>
        <v/>
      </c>
      <c r="AS47" s="292" t="str">
        <f t="shared" si="9"/>
        <v/>
      </c>
      <c r="AT47" s="292" t="str">
        <f t="shared" si="9"/>
        <v/>
      </c>
      <c r="AU47" s="292" t="str">
        <f t="shared" si="9"/>
        <v/>
      </c>
      <c r="AV47" s="292" t="str">
        <f t="shared" si="9"/>
        <v/>
      </c>
      <c r="AW47" s="292" t="str">
        <f t="shared" si="9"/>
        <v/>
      </c>
      <c r="AX47" s="292" t="str">
        <f t="shared" si="9"/>
        <v/>
      </c>
      <c r="AY47" s="292" t="str">
        <f t="shared" si="9"/>
        <v/>
      </c>
      <c r="AZ47" s="292" t="str">
        <f t="shared" si="9"/>
        <v/>
      </c>
      <c r="BA47" s="292" t="str">
        <f t="shared" si="9"/>
        <v/>
      </c>
      <c r="BB47" s="292" t="str">
        <f t="shared" si="9"/>
        <v/>
      </c>
      <c r="BC47" s="292" t="str">
        <f t="shared" si="9"/>
        <v/>
      </c>
      <c r="BD47" s="292" t="str">
        <f t="shared" si="9"/>
        <v/>
      </c>
      <c r="BE47" s="292" t="str">
        <f t="shared" si="9"/>
        <v/>
      </c>
      <c r="BF47" s="292" t="str">
        <f t="shared" si="9"/>
        <v/>
      </c>
      <c r="BG47" s="292" t="str">
        <f t="shared" si="9"/>
        <v/>
      </c>
      <c r="BH47" s="292" t="str">
        <f t="shared" si="9"/>
        <v/>
      </c>
      <c r="BI47" s="292" t="str">
        <f t="shared" si="9"/>
        <v/>
      </c>
      <c r="BJ47" s="292" t="str">
        <f t="shared" si="9"/>
        <v/>
      </c>
      <c r="BK47" s="292" t="str">
        <f t="shared" si="9"/>
        <v/>
      </c>
      <c r="BL47" s="292" t="str">
        <f t="shared" si="9"/>
        <v/>
      </c>
    </row>
    <row r="48" spans="1:64" s="155" customFormat="1" x14ac:dyDescent="0.15">
      <c r="D48" s="279"/>
      <c r="E48" s="279"/>
      <c r="F48" s="279"/>
      <c r="G48" s="279"/>
      <c r="H48" s="279"/>
      <c r="I48" s="279"/>
      <c r="J48" s="279"/>
      <c r="K48" s="279"/>
      <c r="L48" s="293"/>
      <c r="M48" s="293"/>
      <c r="N48" s="293"/>
      <c r="O48" s="293"/>
      <c r="P48" s="293"/>
      <c r="Q48" s="293"/>
      <c r="R48" s="293"/>
      <c r="S48" s="293"/>
      <c r="T48" s="293"/>
      <c r="U48" s="293"/>
      <c r="V48" s="293"/>
      <c r="W48" s="293"/>
      <c r="X48" s="293"/>
      <c r="Y48" s="293"/>
      <c r="Z48" s="279"/>
      <c r="AA48" s="294"/>
      <c r="AB48" s="279"/>
      <c r="AC48" s="279"/>
      <c r="AD48" s="279"/>
      <c r="AE48" s="279"/>
      <c r="AF48" s="279"/>
      <c r="AG48" s="279"/>
      <c r="AH48" s="279"/>
      <c r="AI48" s="279"/>
      <c r="AJ48" s="279"/>
      <c r="AK48" s="279"/>
      <c r="AL48" s="279"/>
      <c r="AM48" s="279"/>
      <c r="AN48" s="279"/>
      <c r="AO48" s="279"/>
      <c r="AP48" s="279"/>
      <c r="AQ48" s="279"/>
      <c r="AR48" s="279"/>
      <c r="AS48" s="279"/>
      <c r="AT48" s="279"/>
      <c r="AU48" s="279"/>
      <c r="AV48" s="279"/>
      <c r="AW48" s="279"/>
      <c r="AX48" s="279"/>
      <c r="AY48" s="279"/>
      <c r="AZ48" s="279"/>
      <c r="BA48" s="279"/>
      <c r="BB48" s="279"/>
      <c r="BC48" s="279"/>
      <c r="BD48" s="279"/>
      <c r="BE48" s="279"/>
      <c r="BF48" s="279"/>
      <c r="BG48" s="279"/>
      <c r="BH48" s="279"/>
      <c r="BI48" s="279"/>
      <c r="BJ48" s="279"/>
      <c r="BK48" s="279"/>
      <c r="BL48" s="279"/>
    </row>
    <row r="49" spans="1:64" x14ac:dyDescent="0.15">
      <c r="B49" s="155" t="s">
        <v>191</v>
      </c>
      <c r="L49" s="276"/>
    </row>
    <row r="50" spans="1:64" x14ac:dyDescent="0.15">
      <c r="C50" s="84" t="s">
        <v>381</v>
      </c>
      <c r="D50" s="140"/>
      <c r="E50" s="279">
        <f>IF(E5&gt;$D$7,0,AVERAGE(D45:E45))</f>
        <v>12.099627346307425</v>
      </c>
      <c r="F50" s="279">
        <f t="shared" ref="F50:BL50" si="10">IF(F5&gt;$D$7,0,AVERAGE(E45:F45))</f>
        <v>10.344532955692838</v>
      </c>
      <c r="G50" s="279">
        <f t="shared" si="10"/>
        <v>8.8645009369552028</v>
      </c>
      <c r="H50" s="279">
        <f t="shared" si="10"/>
        <v>7.6641296882885843</v>
      </c>
      <c r="I50" s="279">
        <f t="shared" si="10"/>
        <v>6.7025209892559641</v>
      </c>
      <c r="J50" s="279">
        <f t="shared" si="10"/>
        <v>5.7809119525282284</v>
      </c>
      <c r="K50" s="279">
        <f t="shared" si="10"/>
        <v>4.9003682815437823</v>
      </c>
      <c r="L50" s="279">
        <f t="shared" si="10"/>
        <v>3.9078755899780093</v>
      </c>
      <c r="M50" s="279">
        <f t="shared" si="10"/>
        <v>2.8330141483466389</v>
      </c>
      <c r="N50" s="279">
        <f t="shared" si="10"/>
        <v>1.8521583669113144</v>
      </c>
      <c r="O50" s="279">
        <f t="shared" si="10"/>
        <v>0.96390936820804329</v>
      </c>
      <c r="P50" s="279">
        <f t="shared" si="10"/>
        <v>0.46766932538043776</v>
      </c>
      <c r="Q50" s="279">
        <f t="shared" si="10"/>
        <v>0.3310463344781126</v>
      </c>
      <c r="R50" s="279">
        <f t="shared" si="10"/>
        <v>0.22322897179035311</v>
      </c>
      <c r="S50" s="279">
        <f t="shared" si="10"/>
        <v>0.13877952116908832</v>
      </c>
      <c r="T50" s="279">
        <f t="shared" si="10"/>
        <v>7.5743864122136906E-2</v>
      </c>
      <c r="U50" s="279">
        <f t="shared" si="10"/>
        <v>2.4696057803862151E-2</v>
      </c>
      <c r="V50" s="279">
        <f t="shared" si="10"/>
        <v>0</v>
      </c>
      <c r="W50" s="279">
        <f t="shared" si="10"/>
        <v>0</v>
      </c>
      <c r="X50" s="279">
        <f t="shared" si="10"/>
        <v>0</v>
      </c>
      <c r="Y50" s="279">
        <f t="shared" si="10"/>
        <v>0</v>
      </c>
      <c r="Z50" s="279">
        <f t="shared" si="10"/>
        <v>0</v>
      </c>
      <c r="AA50" s="279">
        <f t="shared" si="10"/>
        <v>0</v>
      </c>
      <c r="AB50" s="279">
        <f t="shared" si="10"/>
        <v>0</v>
      </c>
      <c r="AC50" s="279">
        <f t="shared" si="10"/>
        <v>0</v>
      </c>
      <c r="AD50" s="279">
        <f t="shared" si="10"/>
        <v>0</v>
      </c>
      <c r="AE50" s="279">
        <f t="shared" si="10"/>
        <v>0</v>
      </c>
      <c r="AF50" s="279">
        <f t="shared" si="10"/>
        <v>0</v>
      </c>
      <c r="AG50" s="279">
        <f t="shared" si="10"/>
        <v>0</v>
      </c>
      <c r="AH50" s="279">
        <f t="shared" si="10"/>
        <v>0</v>
      </c>
      <c r="AI50" s="279">
        <f t="shared" si="10"/>
        <v>0</v>
      </c>
      <c r="AJ50" s="279">
        <f t="shared" si="10"/>
        <v>0</v>
      </c>
      <c r="AK50" s="279">
        <f t="shared" si="10"/>
        <v>0</v>
      </c>
      <c r="AL50" s="279">
        <f t="shared" si="10"/>
        <v>0</v>
      </c>
      <c r="AM50" s="279">
        <f t="shared" si="10"/>
        <v>0</v>
      </c>
      <c r="AN50" s="279">
        <f t="shared" si="10"/>
        <v>0</v>
      </c>
      <c r="AO50" s="279">
        <f t="shared" si="10"/>
        <v>0</v>
      </c>
      <c r="AP50" s="279">
        <f t="shared" si="10"/>
        <v>0</v>
      </c>
      <c r="AQ50" s="279">
        <f t="shared" si="10"/>
        <v>0</v>
      </c>
      <c r="AR50" s="279">
        <f t="shared" si="10"/>
        <v>0</v>
      </c>
      <c r="AS50" s="279">
        <f t="shared" si="10"/>
        <v>0</v>
      </c>
      <c r="AT50" s="279">
        <f t="shared" si="10"/>
        <v>0</v>
      </c>
      <c r="AU50" s="279">
        <f t="shared" si="10"/>
        <v>0</v>
      </c>
      <c r="AV50" s="279">
        <f t="shared" si="10"/>
        <v>0</v>
      </c>
      <c r="AW50" s="279">
        <f t="shared" si="10"/>
        <v>0</v>
      </c>
      <c r="AX50" s="279">
        <f t="shared" si="10"/>
        <v>0</v>
      </c>
      <c r="AY50" s="279">
        <f t="shared" si="10"/>
        <v>0</v>
      </c>
      <c r="AZ50" s="279">
        <f t="shared" si="10"/>
        <v>0</v>
      </c>
      <c r="BA50" s="279">
        <f t="shared" si="10"/>
        <v>0</v>
      </c>
      <c r="BB50" s="279">
        <f t="shared" si="10"/>
        <v>0</v>
      </c>
      <c r="BC50" s="279">
        <f t="shared" si="10"/>
        <v>0</v>
      </c>
      <c r="BD50" s="279">
        <f t="shared" si="10"/>
        <v>0</v>
      </c>
      <c r="BE50" s="279">
        <f t="shared" si="10"/>
        <v>0</v>
      </c>
      <c r="BF50" s="279">
        <f t="shared" si="10"/>
        <v>0</v>
      </c>
      <c r="BG50" s="279">
        <f t="shared" si="10"/>
        <v>0</v>
      </c>
      <c r="BH50" s="279">
        <f t="shared" si="10"/>
        <v>0</v>
      </c>
      <c r="BI50" s="279">
        <f t="shared" si="10"/>
        <v>0</v>
      </c>
      <c r="BJ50" s="279">
        <f t="shared" si="10"/>
        <v>0</v>
      </c>
      <c r="BK50" s="279">
        <f t="shared" si="10"/>
        <v>0</v>
      </c>
      <c r="BL50" s="279">
        <f t="shared" si="10"/>
        <v>0</v>
      </c>
    </row>
    <row r="51" spans="1:64" x14ac:dyDescent="0.15">
      <c r="C51" s="84" t="s">
        <v>384</v>
      </c>
      <c r="D51" s="140"/>
      <c r="E51" s="140">
        <f>D27*(1-Leadsheet!$D$91)+D28*Leadsheet!$E$117</f>
        <v>12.626469679896099</v>
      </c>
      <c r="F51" s="140">
        <f>E27*(1-Leadsheet!$D$91)+E28*Leadsheet!$E$117</f>
        <v>10.416691568749204</v>
      </c>
      <c r="G51" s="140">
        <f>F27*(1-Leadsheet!$D$91)+F28*Leadsheet!$E$117</f>
        <v>8.6736010556200114</v>
      </c>
      <c r="H51" s="140">
        <f>G27*(1-Leadsheet!$D$91)+G28*Leadsheet!$E$117</f>
        <v>7.1071159423911086</v>
      </c>
      <c r="I51" s="140">
        <f>H27*(1-Leadsheet!$D$91)+H28*Leadsheet!$E$117</f>
        <v>5.9989465775613278</v>
      </c>
      <c r="J51" s="140">
        <f>I27*(1-Leadsheet!$D$91)+I28*Leadsheet!$E$117</f>
        <v>4.9537699168331937</v>
      </c>
      <c r="K51" s="140">
        <f>J27*(1-Leadsheet!$D$91)+J28*Leadsheet!$E$117</f>
        <v>3.971481307351151</v>
      </c>
      <c r="L51" s="140">
        <f>K27*(1-Leadsheet!$D$91)+K28*Leadsheet!$E$117</f>
        <v>3.0519046159540797</v>
      </c>
      <c r="M51" s="140">
        <f>L27*(1-Leadsheet!$D$91)+L28*Leadsheet!$E$117</f>
        <v>2.1944192515664573</v>
      </c>
      <c r="N51" s="140">
        <f>M27*(1-Leadsheet!$D$91)+M28*Leadsheet!$E$117</f>
        <v>1.3987416198854452</v>
      </c>
      <c r="O51" s="140">
        <f>N27*(1-Leadsheet!$D$91)+N28*Leadsheet!$E$117</f>
        <v>0.66534537902615787</v>
      </c>
      <c r="P51" s="140">
        <f>O27*(1-Leadsheet!$D$91)+O28*Leadsheet!$E$117</f>
        <v>6.8459645748219595E-3</v>
      </c>
      <c r="Q51" s="140">
        <f>P27*(1-Leadsheet!$D$91)+P28*Leadsheet!$E$117</f>
        <v>0</v>
      </c>
      <c r="R51" s="140">
        <f>Q27*(1-Leadsheet!$D$91)+Q28*Leadsheet!$E$117</f>
        <v>0</v>
      </c>
      <c r="S51" s="140">
        <f>R27*(1-Leadsheet!$D$91)+R28*Leadsheet!$E$117</f>
        <v>0</v>
      </c>
      <c r="T51" s="140">
        <f>S27*(1-Leadsheet!$D$91)+S28*Leadsheet!$E$117</f>
        <v>0</v>
      </c>
      <c r="U51" s="140">
        <f>T27*(1-Leadsheet!$D$91)+T28*Leadsheet!$E$117</f>
        <v>0</v>
      </c>
      <c r="V51" s="140">
        <f>U27*(1-Leadsheet!$D$91)+U28*Leadsheet!$E$117</f>
        <v>0</v>
      </c>
      <c r="W51" s="140">
        <f>V27*(1-Leadsheet!$D$91)+V28*Leadsheet!$E$117</f>
        <v>0</v>
      </c>
      <c r="X51" s="140">
        <f>W27*(1-Leadsheet!$D$91)+W28*Leadsheet!$E$117</f>
        <v>0</v>
      </c>
      <c r="Y51" s="140">
        <f>X27*(1-Leadsheet!$D$91)+X28*Leadsheet!$E$117</f>
        <v>0</v>
      </c>
      <c r="Z51" s="140">
        <f>Y27*(1-Leadsheet!$D$91)+Y28*Leadsheet!$E$117</f>
        <v>0</v>
      </c>
      <c r="AA51" s="140">
        <f>Z27*(1-Leadsheet!$D$91)+Z28*Leadsheet!$E$117</f>
        <v>0</v>
      </c>
      <c r="AB51" s="140">
        <f>AA27*(1-Leadsheet!$D$91)+AA28*Leadsheet!$E$117</f>
        <v>0</v>
      </c>
      <c r="AC51" s="140">
        <f>AB27*(1-Leadsheet!$D$91)+AB28*Leadsheet!$E$117</f>
        <v>0</v>
      </c>
      <c r="AD51" s="140">
        <f>AC27*(1-Leadsheet!$D$91)+AC28*Leadsheet!$E$117</f>
        <v>0</v>
      </c>
      <c r="AE51" s="140">
        <f>AD27*(1-Leadsheet!$D$91)+AD28*Leadsheet!$E$117</f>
        <v>0</v>
      </c>
      <c r="AF51" s="140">
        <f>AE27*(1-Leadsheet!$D$91)+AE28*Leadsheet!$E$117</f>
        <v>0</v>
      </c>
      <c r="AG51" s="140">
        <f>AF27*(1-Leadsheet!$D$91)+AF28*Leadsheet!$E$117</f>
        <v>0</v>
      </c>
      <c r="AH51" s="140">
        <f>AG27*(1-Leadsheet!$D$91)+AG28*Leadsheet!$E$117</f>
        <v>0</v>
      </c>
      <c r="AI51" s="140">
        <f>AH27*(1-Leadsheet!$D$91)+AH28*Leadsheet!$E$117</f>
        <v>0</v>
      </c>
      <c r="AJ51" s="140">
        <f>AI27*(1-Leadsheet!$D$91)+AI28*Leadsheet!$E$117</f>
        <v>0</v>
      </c>
      <c r="AK51" s="140">
        <f>AJ27*(1-Leadsheet!$D$91)+AJ28*Leadsheet!$E$117</f>
        <v>0</v>
      </c>
      <c r="AL51" s="140">
        <f>AK27*(1-Leadsheet!$D$91)+AK28*Leadsheet!$E$117</f>
        <v>0</v>
      </c>
      <c r="AM51" s="140">
        <f>AL27*(1-Leadsheet!$D$91)+AL28*Leadsheet!$E$117</f>
        <v>0</v>
      </c>
      <c r="AN51" s="140">
        <f>AM27*(1-Leadsheet!$D$91)+AM28*Leadsheet!$E$117</f>
        <v>0</v>
      </c>
      <c r="AO51" s="140">
        <f>AN27*(1-Leadsheet!$D$91)+AN28*Leadsheet!$E$117</f>
        <v>0</v>
      </c>
      <c r="AP51" s="140">
        <f>AO27*(1-Leadsheet!$D$91)+AO28*Leadsheet!$E$117</f>
        <v>0</v>
      </c>
      <c r="AQ51" s="140">
        <f>AP27*(1-Leadsheet!$D$91)+AP28*Leadsheet!$E$117</f>
        <v>0</v>
      </c>
      <c r="AR51" s="140">
        <f>AQ27*(1-Leadsheet!$D$91)+AQ28*Leadsheet!$E$117</f>
        <v>0</v>
      </c>
      <c r="AS51" s="140">
        <f>AR27*(1-Leadsheet!$D$91)+AR28*Leadsheet!$E$117</f>
        <v>0</v>
      </c>
      <c r="AT51" s="140">
        <f>AS27*(1-Leadsheet!$D$91)+AS28*Leadsheet!$E$117</f>
        <v>0</v>
      </c>
      <c r="AU51" s="140">
        <f>AT27*(1-Leadsheet!$D$91)+AT28*Leadsheet!$E$117</f>
        <v>0</v>
      </c>
      <c r="AV51" s="140">
        <f>AU27*(1-Leadsheet!$D$91)+AU28*Leadsheet!$E$117</f>
        <v>0</v>
      </c>
      <c r="AW51" s="140">
        <f>AV27*(1-Leadsheet!$D$91)+AV28*Leadsheet!$E$117</f>
        <v>0</v>
      </c>
      <c r="AX51" s="140">
        <f>AW27*(1-Leadsheet!$D$91)+AW28*Leadsheet!$E$117</f>
        <v>0</v>
      </c>
      <c r="AY51" s="140">
        <f>AX27*(1-Leadsheet!$D$91)+AX28*Leadsheet!$E$117</f>
        <v>0</v>
      </c>
      <c r="AZ51" s="140">
        <f>AY27*(1-Leadsheet!$D$91)+AY28*Leadsheet!$E$117</f>
        <v>0</v>
      </c>
      <c r="BA51" s="140">
        <f>AZ27*(1-Leadsheet!$D$91)+AZ28*Leadsheet!$E$117</f>
        <v>0</v>
      </c>
      <c r="BB51" s="140">
        <f>BA27*(1-Leadsheet!$D$91)+BA28*Leadsheet!$E$117</f>
        <v>0</v>
      </c>
      <c r="BC51" s="140">
        <f>BB27*(1-Leadsheet!$D$91)+BB28*Leadsheet!$E$117</f>
        <v>0</v>
      </c>
      <c r="BD51" s="140">
        <f>BC27*(1-Leadsheet!$D$91)+BC28*Leadsheet!$E$117</f>
        <v>0</v>
      </c>
      <c r="BE51" s="140">
        <f>BD27*(1-Leadsheet!$D$91)+BD28*Leadsheet!$E$117</f>
        <v>0</v>
      </c>
      <c r="BF51" s="140">
        <f>BE27*(1-Leadsheet!$D$91)+BE28*Leadsheet!$E$117</f>
        <v>0</v>
      </c>
      <c r="BG51" s="140">
        <f>BF27*(1-Leadsheet!$D$91)+BF28*Leadsheet!$E$117</f>
        <v>0</v>
      </c>
      <c r="BH51" s="140">
        <f>BG27*(1-Leadsheet!$D$91)+BG28*Leadsheet!$E$117</f>
        <v>0</v>
      </c>
      <c r="BI51" s="140">
        <f>BH27*(1-Leadsheet!$D$91)+BH28*Leadsheet!$E$117</f>
        <v>0</v>
      </c>
      <c r="BJ51" s="140">
        <f>BI27*(1-Leadsheet!$D$91)+BI28*Leadsheet!$E$117</f>
        <v>0</v>
      </c>
      <c r="BK51" s="140">
        <f>BJ27*(1-Leadsheet!$D$91)+BJ28*Leadsheet!$E$117</f>
        <v>0</v>
      </c>
      <c r="BL51" s="140">
        <f>BK27*(1-Leadsheet!$D$91)+BK28*Leadsheet!$E$117</f>
        <v>0</v>
      </c>
    </row>
    <row r="52" spans="1:64" x14ac:dyDescent="0.15">
      <c r="BC52" s="140"/>
      <c r="BD52" s="140"/>
      <c r="BE52" s="140"/>
      <c r="BF52" s="265"/>
      <c r="BG52" s="265"/>
      <c r="BH52" s="265"/>
      <c r="BI52" s="265"/>
      <c r="BJ52" s="265"/>
      <c r="BK52" s="265"/>
      <c r="BL52" s="265"/>
    </row>
    <row r="53" spans="1:64" ht="13" thickBot="1" x14ac:dyDescent="0.2">
      <c r="A53" s="155"/>
      <c r="B53" s="272" t="s">
        <v>385</v>
      </c>
      <c r="C53" s="273"/>
      <c r="D53" s="274"/>
      <c r="E53" s="275"/>
      <c r="F53" s="274"/>
      <c r="G53" s="274"/>
      <c r="H53" s="274"/>
      <c r="I53" s="274"/>
      <c r="J53" s="274"/>
      <c r="K53" s="274"/>
      <c r="L53" s="274"/>
      <c r="M53" s="274"/>
      <c r="N53" s="274"/>
      <c r="O53" s="274"/>
      <c r="P53" s="274"/>
      <c r="Q53" s="274"/>
      <c r="R53" s="274"/>
      <c r="S53" s="274"/>
      <c r="T53" s="274"/>
      <c r="U53" s="274"/>
      <c r="V53" s="274"/>
      <c r="W53" s="274"/>
      <c r="X53" s="274"/>
      <c r="Y53" s="274"/>
      <c r="Z53" s="274"/>
      <c r="AA53" s="274"/>
      <c r="AB53" s="274"/>
      <c r="AC53" s="274"/>
      <c r="AD53" s="274"/>
      <c r="AE53" s="274"/>
      <c r="AF53" s="274"/>
      <c r="AG53" s="274"/>
      <c r="AH53" s="274"/>
      <c r="AI53" s="274"/>
      <c r="AJ53" s="274"/>
      <c r="AK53" s="274"/>
      <c r="AL53" s="274"/>
      <c r="AM53" s="274"/>
      <c r="AN53" s="274"/>
      <c r="AO53" s="274"/>
      <c r="AP53" s="274"/>
      <c r="AQ53" s="274"/>
      <c r="AR53" s="274"/>
      <c r="AS53" s="274"/>
      <c r="AT53" s="274"/>
      <c r="AU53" s="274"/>
      <c r="AV53" s="274"/>
      <c r="AW53" s="274"/>
      <c r="AX53" s="274"/>
      <c r="AY53" s="274"/>
      <c r="AZ53" s="274"/>
      <c r="BA53" s="274"/>
      <c r="BB53" s="274"/>
      <c r="BC53" s="274"/>
      <c r="BD53" s="274"/>
      <c r="BE53" s="274"/>
      <c r="BF53" s="274"/>
      <c r="BG53" s="274"/>
      <c r="BH53" s="274"/>
      <c r="BI53" s="274"/>
      <c r="BJ53" s="274"/>
      <c r="BK53" s="274"/>
      <c r="BL53" s="274"/>
    </row>
    <row r="54" spans="1:64" ht="13" thickTop="1" x14ac:dyDescent="0.15">
      <c r="A54" s="155"/>
      <c r="B54" s="295"/>
      <c r="C54" s="155"/>
      <c r="E54" s="296"/>
    </row>
    <row r="55" spans="1:64" x14ac:dyDescent="0.15">
      <c r="B55" s="155" t="s">
        <v>192</v>
      </c>
      <c r="E55" s="297">
        <f>E57+E61+E68</f>
        <v>0.98190731676000831</v>
      </c>
      <c r="F55" s="297">
        <f t="shared" ref="F55:BL55" si="11">F57+F61+F68</f>
        <v>0.40352634564718204</v>
      </c>
      <c r="G55" s="297">
        <f t="shared" si="11"/>
        <v>0.33569142616232051</v>
      </c>
      <c r="H55" s="297">
        <f t="shared" si="11"/>
        <v>0.26422177104676986</v>
      </c>
      <c r="I55" s="297">
        <f t="shared" si="11"/>
        <v>0.22179121339059996</v>
      </c>
      <c r="J55" s="297">
        <f t="shared" si="11"/>
        <v>0.18181398878218211</v>
      </c>
      <c r="K55" s="297">
        <f t="shared" si="11"/>
        <v>0.14428371963732078</v>
      </c>
      <c r="L55" s="297">
        <f t="shared" si="11"/>
        <v>0.11012416683755709</v>
      </c>
      <c r="M55" s="297">
        <f t="shared" si="11"/>
        <v>7.9128902307037813E-2</v>
      </c>
      <c r="N55" s="297">
        <f t="shared" si="11"/>
        <v>5.0213334484996451E-2</v>
      </c>
      <c r="O55" s="297">
        <f t="shared" si="11"/>
        <v>2.2598359292243728E-2</v>
      </c>
      <c r="P55" s="297">
        <f t="shared" si="11"/>
        <v>-2.5521317578675626E-3</v>
      </c>
      <c r="Q55" s="297">
        <f t="shared" si="11"/>
        <v>-2.013865201408518E-3</v>
      </c>
      <c r="R55" s="297">
        <f t="shared" si="11"/>
        <v>-1.3579762450579814E-3</v>
      </c>
      <c r="S55" s="297">
        <f t="shared" si="11"/>
        <v>-8.4424208711195387E-4</v>
      </c>
      <c r="T55" s="297">
        <f t="shared" si="11"/>
        <v>-4.6077517340966609E-4</v>
      </c>
      <c r="U55" s="297">
        <f t="shared" si="11"/>
        <v>-1.5023435164016142E-4</v>
      </c>
      <c r="V55" s="297">
        <f t="shared" si="11"/>
        <v>0</v>
      </c>
      <c r="W55" s="297">
        <f t="shared" si="11"/>
        <v>0</v>
      </c>
      <c r="X55" s="297">
        <f t="shared" si="11"/>
        <v>0</v>
      </c>
      <c r="Y55" s="297">
        <f t="shared" si="11"/>
        <v>0</v>
      </c>
      <c r="Z55" s="297">
        <f t="shared" si="11"/>
        <v>0</v>
      </c>
      <c r="AA55" s="297">
        <f t="shared" si="11"/>
        <v>0</v>
      </c>
      <c r="AB55" s="297">
        <f t="shared" si="11"/>
        <v>0</v>
      </c>
      <c r="AC55" s="297">
        <f t="shared" si="11"/>
        <v>0</v>
      </c>
      <c r="AD55" s="297">
        <f t="shared" si="11"/>
        <v>0</v>
      </c>
      <c r="AE55" s="297">
        <f t="shared" si="11"/>
        <v>0</v>
      </c>
      <c r="AF55" s="297">
        <f t="shared" si="11"/>
        <v>0</v>
      </c>
      <c r="AG55" s="297">
        <f t="shared" si="11"/>
        <v>0</v>
      </c>
      <c r="AH55" s="297">
        <f t="shared" si="11"/>
        <v>0</v>
      </c>
      <c r="AI55" s="297">
        <f t="shared" si="11"/>
        <v>0</v>
      </c>
      <c r="AJ55" s="297">
        <f t="shared" si="11"/>
        <v>0</v>
      </c>
      <c r="AK55" s="297">
        <f t="shared" si="11"/>
        <v>0</v>
      </c>
      <c r="AL55" s="297">
        <f t="shared" si="11"/>
        <v>0</v>
      </c>
      <c r="AM55" s="297">
        <f t="shared" si="11"/>
        <v>0</v>
      </c>
      <c r="AN55" s="297">
        <f t="shared" si="11"/>
        <v>0</v>
      </c>
      <c r="AO55" s="297">
        <f t="shared" si="11"/>
        <v>0</v>
      </c>
      <c r="AP55" s="297">
        <f t="shared" si="11"/>
        <v>0</v>
      </c>
      <c r="AQ55" s="297">
        <f t="shared" si="11"/>
        <v>0</v>
      </c>
      <c r="AR55" s="297">
        <f t="shared" si="11"/>
        <v>0</v>
      </c>
      <c r="AS55" s="297">
        <f t="shared" si="11"/>
        <v>0</v>
      </c>
      <c r="AT55" s="297">
        <f t="shared" si="11"/>
        <v>0</v>
      </c>
      <c r="AU55" s="297">
        <f t="shared" si="11"/>
        <v>0</v>
      </c>
      <c r="AV55" s="297">
        <f t="shared" si="11"/>
        <v>0</v>
      </c>
      <c r="AW55" s="297">
        <f t="shared" si="11"/>
        <v>0</v>
      </c>
      <c r="AX55" s="297">
        <f t="shared" si="11"/>
        <v>0</v>
      </c>
      <c r="AY55" s="297">
        <f t="shared" si="11"/>
        <v>0</v>
      </c>
      <c r="AZ55" s="297">
        <f t="shared" si="11"/>
        <v>0</v>
      </c>
      <c r="BA55" s="297">
        <f t="shared" si="11"/>
        <v>0</v>
      </c>
      <c r="BB55" s="297">
        <f t="shared" si="11"/>
        <v>0</v>
      </c>
      <c r="BC55" s="297">
        <f t="shared" si="11"/>
        <v>0</v>
      </c>
      <c r="BD55" s="297">
        <f t="shared" si="11"/>
        <v>0</v>
      </c>
      <c r="BE55" s="297">
        <f t="shared" si="11"/>
        <v>0</v>
      </c>
      <c r="BF55" s="297">
        <f t="shared" si="11"/>
        <v>0</v>
      </c>
      <c r="BG55" s="297">
        <f t="shared" si="11"/>
        <v>0</v>
      </c>
      <c r="BH55" s="297">
        <f t="shared" si="11"/>
        <v>0</v>
      </c>
      <c r="BI55" s="297">
        <f t="shared" si="11"/>
        <v>0</v>
      </c>
      <c r="BJ55" s="297">
        <f t="shared" si="11"/>
        <v>0</v>
      </c>
      <c r="BK55" s="297">
        <f t="shared" si="11"/>
        <v>0</v>
      </c>
      <c r="BL55" s="297">
        <f t="shared" si="11"/>
        <v>0</v>
      </c>
    </row>
    <row r="56" spans="1:64" x14ac:dyDescent="0.15">
      <c r="E56" s="147"/>
      <c r="F56" s="147"/>
      <c r="G56" s="147"/>
      <c r="H56" s="147"/>
      <c r="I56" s="147"/>
      <c r="J56" s="147"/>
      <c r="K56" s="147"/>
      <c r="L56" s="147"/>
      <c r="M56" s="147"/>
      <c r="N56" s="147"/>
      <c r="O56" s="147"/>
      <c r="P56" s="147"/>
      <c r="Q56" s="147"/>
      <c r="R56" s="147"/>
      <c r="S56" s="147"/>
      <c r="T56" s="147"/>
      <c r="U56" s="147"/>
      <c r="V56" s="147"/>
      <c r="W56" s="147"/>
      <c r="X56" s="147"/>
      <c r="Y56" s="147"/>
      <c r="Z56" s="147"/>
      <c r="AA56" s="147"/>
      <c r="AB56" s="147"/>
      <c r="AC56" s="147"/>
      <c r="AD56" s="147"/>
      <c r="AE56" s="147"/>
      <c r="AF56" s="147"/>
      <c r="AG56" s="147"/>
      <c r="AH56" s="147"/>
      <c r="AI56" s="147"/>
      <c r="AJ56" s="147"/>
      <c r="AK56" s="147"/>
      <c r="AL56" s="147"/>
      <c r="AM56" s="147"/>
      <c r="AN56" s="147"/>
      <c r="AO56" s="147"/>
      <c r="AP56" s="147"/>
      <c r="AQ56" s="147"/>
      <c r="AR56" s="147"/>
      <c r="AS56" s="147"/>
      <c r="AT56" s="147"/>
      <c r="AU56" s="147"/>
      <c r="AV56" s="147"/>
      <c r="AW56" s="147"/>
      <c r="AX56" s="147"/>
      <c r="AY56" s="147"/>
      <c r="AZ56" s="147"/>
      <c r="BA56" s="147"/>
      <c r="BB56" s="147"/>
      <c r="BC56" s="147"/>
      <c r="BD56" s="147"/>
      <c r="BE56" s="147"/>
      <c r="BF56" s="147"/>
      <c r="BG56" s="147"/>
      <c r="BH56" s="147"/>
      <c r="BI56" s="147"/>
      <c r="BJ56" s="147"/>
      <c r="BK56" s="147"/>
      <c r="BL56" s="147"/>
    </row>
    <row r="57" spans="1:64" x14ac:dyDescent="0.15">
      <c r="B57" s="155"/>
      <c r="C57" s="155" t="s">
        <v>193</v>
      </c>
      <c r="E57" s="297">
        <f t="shared" ref="E57:BL57" si="12">E58+E59</f>
        <v>0.4665289901914017</v>
      </c>
      <c r="F57" s="297">
        <f t="shared" si="12"/>
        <v>0.38267593746130057</v>
      </c>
      <c r="G57" s="297">
        <f t="shared" si="12"/>
        <v>0.31711354835960176</v>
      </c>
      <c r="H57" s="297">
        <f t="shared" si="12"/>
        <v>0.25740471448320978</v>
      </c>
      <c r="I57" s="297">
        <f t="shared" si="12"/>
        <v>0.21584923721293003</v>
      </c>
      <c r="J57" s="297">
        <f t="shared" si="12"/>
        <v>0.1767451302432981</v>
      </c>
      <c r="K57" s="297">
        <f t="shared" si="12"/>
        <v>0.14008143370573442</v>
      </c>
      <c r="L57" s="297">
        <f t="shared" si="12"/>
        <v>0.10678145049356523</v>
      </c>
      <c r="M57" s="297">
        <f t="shared" si="12"/>
        <v>7.6638686319241561E-2</v>
      </c>
      <c r="N57" s="297">
        <f t="shared" si="12"/>
        <v>4.8568065258009288E-2</v>
      </c>
      <c r="O57" s="297">
        <f t="shared" si="12"/>
        <v>2.2598359292243728E-2</v>
      </c>
      <c r="P57" s="297">
        <f t="shared" si="12"/>
        <v>-2.5521317578675626E-3</v>
      </c>
      <c r="Q57" s="297">
        <f t="shared" si="12"/>
        <v>-2.013865201408518E-3</v>
      </c>
      <c r="R57" s="297">
        <f t="shared" si="12"/>
        <v>-1.3579762450579814E-3</v>
      </c>
      <c r="S57" s="297">
        <f t="shared" si="12"/>
        <v>-8.4424208711195387E-4</v>
      </c>
      <c r="T57" s="297">
        <f t="shared" si="12"/>
        <v>-4.6077517340966609E-4</v>
      </c>
      <c r="U57" s="297">
        <f t="shared" si="12"/>
        <v>-1.5023435164016142E-4</v>
      </c>
      <c r="V57" s="297">
        <f t="shared" si="12"/>
        <v>0</v>
      </c>
      <c r="W57" s="297">
        <f t="shared" si="12"/>
        <v>0</v>
      </c>
      <c r="X57" s="297">
        <f t="shared" si="12"/>
        <v>0</v>
      </c>
      <c r="Y57" s="297">
        <f t="shared" si="12"/>
        <v>0</v>
      </c>
      <c r="Z57" s="297">
        <f t="shared" si="12"/>
        <v>0</v>
      </c>
      <c r="AA57" s="297">
        <f t="shared" si="12"/>
        <v>0</v>
      </c>
      <c r="AB57" s="297">
        <f t="shared" si="12"/>
        <v>0</v>
      </c>
      <c r="AC57" s="297">
        <f t="shared" si="12"/>
        <v>0</v>
      </c>
      <c r="AD57" s="297">
        <f t="shared" si="12"/>
        <v>0</v>
      </c>
      <c r="AE57" s="297">
        <f t="shared" si="12"/>
        <v>0</v>
      </c>
      <c r="AF57" s="297">
        <f t="shared" si="12"/>
        <v>0</v>
      </c>
      <c r="AG57" s="297">
        <f t="shared" si="12"/>
        <v>0</v>
      </c>
      <c r="AH57" s="297">
        <f t="shared" si="12"/>
        <v>0</v>
      </c>
      <c r="AI57" s="297">
        <f t="shared" si="12"/>
        <v>0</v>
      </c>
      <c r="AJ57" s="297">
        <f t="shared" si="12"/>
        <v>0</v>
      </c>
      <c r="AK57" s="297">
        <f t="shared" si="12"/>
        <v>0</v>
      </c>
      <c r="AL57" s="297">
        <f t="shared" si="12"/>
        <v>0</v>
      </c>
      <c r="AM57" s="297">
        <f t="shared" si="12"/>
        <v>0</v>
      </c>
      <c r="AN57" s="297">
        <f t="shared" si="12"/>
        <v>0</v>
      </c>
      <c r="AO57" s="297">
        <f t="shared" si="12"/>
        <v>0</v>
      </c>
      <c r="AP57" s="297">
        <f t="shared" si="12"/>
        <v>0</v>
      </c>
      <c r="AQ57" s="297">
        <f t="shared" si="12"/>
        <v>0</v>
      </c>
      <c r="AR57" s="297">
        <f t="shared" si="12"/>
        <v>0</v>
      </c>
      <c r="AS57" s="297">
        <f t="shared" si="12"/>
        <v>0</v>
      </c>
      <c r="AT57" s="297">
        <f t="shared" si="12"/>
        <v>0</v>
      </c>
      <c r="AU57" s="297">
        <f t="shared" si="12"/>
        <v>0</v>
      </c>
      <c r="AV57" s="297">
        <f t="shared" si="12"/>
        <v>0</v>
      </c>
      <c r="AW57" s="297">
        <f t="shared" si="12"/>
        <v>0</v>
      </c>
      <c r="AX57" s="297">
        <f t="shared" si="12"/>
        <v>0</v>
      </c>
      <c r="AY57" s="297">
        <f t="shared" si="12"/>
        <v>0</v>
      </c>
      <c r="AZ57" s="297">
        <f t="shared" si="12"/>
        <v>0</v>
      </c>
      <c r="BA57" s="297">
        <f t="shared" si="12"/>
        <v>0</v>
      </c>
      <c r="BB57" s="297">
        <f t="shared" si="12"/>
        <v>0</v>
      </c>
      <c r="BC57" s="297">
        <f t="shared" si="12"/>
        <v>0</v>
      </c>
      <c r="BD57" s="297">
        <f t="shared" si="12"/>
        <v>0</v>
      </c>
      <c r="BE57" s="297">
        <f t="shared" si="12"/>
        <v>0</v>
      </c>
      <c r="BF57" s="297">
        <f t="shared" si="12"/>
        <v>0</v>
      </c>
      <c r="BG57" s="297">
        <f t="shared" si="12"/>
        <v>0</v>
      </c>
      <c r="BH57" s="297">
        <f t="shared" si="12"/>
        <v>0</v>
      </c>
      <c r="BI57" s="297">
        <f t="shared" si="12"/>
        <v>0</v>
      </c>
      <c r="BJ57" s="297">
        <f t="shared" si="12"/>
        <v>0</v>
      </c>
      <c r="BK57" s="297">
        <f t="shared" si="12"/>
        <v>0</v>
      </c>
      <c r="BL57" s="297">
        <f t="shared" si="12"/>
        <v>0</v>
      </c>
    </row>
    <row r="58" spans="1:64" s="155" customFormat="1" x14ac:dyDescent="0.15">
      <c r="C58" s="84" t="s">
        <v>207</v>
      </c>
      <c r="D58" s="297"/>
      <c r="E58" s="140">
        <f>IFERROR(E$51*D$11/12,0)</f>
        <v>0.54013505654810523</v>
      </c>
      <c r="F58" s="140">
        <f t="shared" ref="F58:BL58" si="13">IFERROR(F$51*E$11/12,0)</f>
        <v>0.44560517960843199</v>
      </c>
      <c r="G58" s="140">
        <f t="shared" si="13"/>
        <v>0.37103926239274593</v>
      </c>
      <c r="H58" s="140">
        <f t="shared" si="13"/>
        <v>0.30402817008696531</v>
      </c>
      <c r="I58" s="140">
        <f t="shared" si="13"/>
        <v>0.25662290656423714</v>
      </c>
      <c r="J58" s="140">
        <f t="shared" si="13"/>
        <v>0.21191234462117817</v>
      </c>
      <c r="K58" s="140">
        <f t="shared" si="13"/>
        <v>0.16989200741845908</v>
      </c>
      <c r="L58" s="140">
        <f t="shared" si="13"/>
        <v>0.13055436033259812</v>
      </c>
      <c r="M58" s="140">
        <f t="shared" si="13"/>
        <v>9.3872855721683621E-2</v>
      </c>
      <c r="N58" s="140">
        <f t="shared" si="13"/>
        <v>5.9835361990053119E-2</v>
      </c>
      <c r="O58" s="140">
        <f t="shared" si="13"/>
        <v>2.8462141282175991E-2</v>
      </c>
      <c r="P58" s="140">
        <f t="shared" si="13"/>
        <v>2.9285663819676727E-4</v>
      </c>
      <c r="Q58" s="140">
        <f t="shared" si="13"/>
        <v>0</v>
      </c>
      <c r="R58" s="140">
        <f t="shared" si="13"/>
        <v>0</v>
      </c>
      <c r="S58" s="140">
        <f t="shared" si="13"/>
        <v>0</v>
      </c>
      <c r="T58" s="140">
        <f t="shared" si="13"/>
        <v>0</v>
      </c>
      <c r="U58" s="140">
        <f t="shared" si="13"/>
        <v>0</v>
      </c>
      <c r="V58" s="140">
        <f t="shared" si="13"/>
        <v>0</v>
      </c>
      <c r="W58" s="140">
        <f t="shared" si="13"/>
        <v>0</v>
      </c>
      <c r="X58" s="140">
        <f t="shared" si="13"/>
        <v>0</v>
      </c>
      <c r="Y58" s="140">
        <f t="shared" si="13"/>
        <v>0</v>
      </c>
      <c r="Z58" s="140">
        <f t="shared" si="13"/>
        <v>0</v>
      </c>
      <c r="AA58" s="140">
        <f t="shared" si="13"/>
        <v>0</v>
      </c>
      <c r="AB58" s="140">
        <f t="shared" si="13"/>
        <v>0</v>
      </c>
      <c r="AC58" s="140">
        <f t="shared" si="13"/>
        <v>0</v>
      </c>
      <c r="AD58" s="140">
        <f t="shared" si="13"/>
        <v>0</v>
      </c>
      <c r="AE58" s="140">
        <f t="shared" si="13"/>
        <v>0</v>
      </c>
      <c r="AF58" s="140">
        <f t="shared" si="13"/>
        <v>0</v>
      </c>
      <c r="AG58" s="140">
        <f t="shared" si="13"/>
        <v>0</v>
      </c>
      <c r="AH58" s="140">
        <f t="shared" si="13"/>
        <v>0</v>
      </c>
      <c r="AI58" s="140">
        <f t="shared" si="13"/>
        <v>0</v>
      </c>
      <c r="AJ58" s="140">
        <f t="shared" si="13"/>
        <v>0</v>
      </c>
      <c r="AK58" s="140">
        <f t="shared" si="13"/>
        <v>0</v>
      </c>
      <c r="AL58" s="140">
        <f t="shared" si="13"/>
        <v>0</v>
      </c>
      <c r="AM58" s="140">
        <f t="shared" si="13"/>
        <v>0</v>
      </c>
      <c r="AN58" s="140">
        <f t="shared" si="13"/>
        <v>0</v>
      </c>
      <c r="AO58" s="140">
        <f t="shared" si="13"/>
        <v>0</v>
      </c>
      <c r="AP58" s="140">
        <f t="shared" si="13"/>
        <v>0</v>
      </c>
      <c r="AQ58" s="140">
        <f t="shared" si="13"/>
        <v>0</v>
      </c>
      <c r="AR58" s="140">
        <f t="shared" si="13"/>
        <v>0</v>
      </c>
      <c r="AS58" s="140">
        <f t="shared" si="13"/>
        <v>0</v>
      </c>
      <c r="AT58" s="140">
        <f t="shared" si="13"/>
        <v>0</v>
      </c>
      <c r="AU58" s="140">
        <f t="shared" si="13"/>
        <v>0</v>
      </c>
      <c r="AV58" s="140">
        <f t="shared" si="13"/>
        <v>0</v>
      </c>
      <c r="AW58" s="140">
        <f t="shared" si="13"/>
        <v>0</v>
      </c>
      <c r="AX58" s="140">
        <f t="shared" si="13"/>
        <v>0</v>
      </c>
      <c r="AY58" s="140">
        <f t="shared" si="13"/>
        <v>0</v>
      </c>
      <c r="AZ58" s="140">
        <f t="shared" si="13"/>
        <v>0</v>
      </c>
      <c r="BA58" s="140">
        <f t="shared" si="13"/>
        <v>0</v>
      </c>
      <c r="BB58" s="140">
        <f t="shared" si="13"/>
        <v>0</v>
      </c>
      <c r="BC58" s="140">
        <f t="shared" si="13"/>
        <v>0</v>
      </c>
      <c r="BD58" s="140">
        <f t="shared" si="13"/>
        <v>0</v>
      </c>
      <c r="BE58" s="140">
        <f t="shared" si="13"/>
        <v>0</v>
      </c>
      <c r="BF58" s="140">
        <f t="shared" si="13"/>
        <v>0</v>
      </c>
      <c r="BG58" s="140">
        <f t="shared" si="13"/>
        <v>0</v>
      </c>
      <c r="BH58" s="140">
        <f t="shared" si="13"/>
        <v>0</v>
      </c>
      <c r="BI58" s="140">
        <f t="shared" si="13"/>
        <v>0</v>
      </c>
      <c r="BJ58" s="140">
        <f t="shared" si="13"/>
        <v>0</v>
      </c>
      <c r="BK58" s="140">
        <f t="shared" si="13"/>
        <v>0</v>
      </c>
      <c r="BL58" s="140">
        <f t="shared" si="13"/>
        <v>0</v>
      </c>
    </row>
    <row r="59" spans="1:64" s="155" customFormat="1" x14ac:dyDescent="0.15">
      <c r="C59" s="173" t="s">
        <v>209</v>
      </c>
      <c r="E59" s="140">
        <f t="shared" ref="E59:BL59" si="14">-IFERROR(E50*D12/12,0)</f>
        <v>-7.3606066356703498E-2</v>
      </c>
      <c r="F59" s="140">
        <f t="shared" si="14"/>
        <v>-6.2929242147131428E-2</v>
      </c>
      <c r="G59" s="140">
        <f t="shared" si="14"/>
        <v>-5.3925714033144147E-2</v>
      </c>
      <c r="H59" s="140">
        <f t="shared" si="14"/>
        <v>-4.6623455603755554E-2</v>
      </c>
      <c r="I59" s="140">
        <f t="shared" si="14"/>
        <v>-4.0773669351307114E-2</v>
      </c>
      <c r="J59" s="140">
        <f t="shared" si="14"/>
        <v>-3.5167214377880056E-2</v>
      </c>
      <c r="K59" s="140">
        <f t="shared" si="14"/>
        <v>-2.9810573712724674E-2</v>
      </c>
      <c r="L59" s="140">
        <f t="shared" si="14"/>
        <v>-2.377290983903289E-2</v>
      </c>
      <c r="M59" s="140">
        <f t="shared" si="14"/>
        <v>-1.7234169402442052E-2</v>
      </c>
      <c r="N59" s="140">
        <f t="shared" si="14"/>
        <v>-1.126729673204383E-2</v>
      </c>
      <c r="O59" s="140">
        <f t="shared" si="14"/>
        <v>-5.8637819899322631E-3</v>
      </c>
      <c r="P59" s="140">
        <f t="shared" si="14"/>
        <v>-2.8449883960643299E-3</v>
      </c>
      <c r="Q59" s="140">
        <f t="shared" si="14"/>
        <v>-2.013865201408518E-3</v>
      </c>
      <c r="R59" s="140">
        <f t="shared" si="14"/>
        <v>-1.3579762450579814E-3</v>
      </c>
      <c r="S59" s="140">
        <f t="shared" si="14"/>
        <v>-8.4424208711195387E-4</v>
      </c>
      <c r="T59" s="140">
        <f t="shared" si="14"/>
        <v>-4.6077517340966609E-4</v>
      </c>
      <c r="U59" s="140">
        <f t="shared" si="14"/>
        <v>-1.5023435164016142E-4</v>
      </c>
      <c r="V59" s="140">
        <f t="shared" si="14"/>
        <v>0</v>
      </c>
      <c r="W59" s="140">
        <f t="shared" si="14"/>
        <v>0</v>
      </c>
      <c r="X59" s="140">
        <f t="shared" si="14"/>
        <v>0</v>
      </c>
      <c r="Y59" s="140">
        <f t="shared" si="14"/>
        <v>0</v>
      </c>
      <c r="Z59" s="140">
        <f t="shared" si="14"/>
        <v>0</v>
      </c>
      <c r="AA59" s="140">
        <f t="shared" si="14"/>
        <v>0</v>
      </c>
      <c r="AB59" s="140">
        <f t="shared" si="14"/>
        <v>0</v>
      </c>
      <c r="AC59" s="140">
        <f t="shared" si="14"/>
        <v>0</v>
      </c>
      <c r="AD59" s="140">
        <f t="shared" si="14"/>
        <v>0</v>
      </c>
      <c r="AE59" s="140">
        <f t="shared" si="14"/>
        <v>0</v>
      </c>
      <c r="AF59" s="140">
        <f t="shared" si="14"/>
        <v>0</v>
      </c>
      <c r="AG59" s="140">
        <f t="shared" si="14"/>
        <v>0</v>
      </c>
      <c r="AH59" s="140">
        <f t="shared" si="14"/>
        <v>0</v>
      </c>
      <c r="AI59" s="140">
        <f t="shared" si="14"/>
        <v>0</v>
      </c>
      <c r="AJ59" s="140">
        <f t="shared" si="14"/>
        <v>0</v>
      </c>
      <c r="AK59" s="140">
        <f t="shared" si="14"/>
        <v>0</v>
      </c>
      <c r="AL59" s="140">
        <f t="shared" si="14"/>
        <v>0</v>
      </c>
      <c r="AM59" s="140">
        <f t="shared" si="14"/>
        <v>0</v>
      </c>
      <c r="AN59" s="140">
        <f t="shared" si="14"/>
        <v>0</v>
      </c>
      <c r="AO59" s="140">
        <f t="shared" si="14"/>
        <v>0</v>
      </c>
      <c r="AP59" s="140">
        <f t="shared" si="14"/>
        <v>0</v>
      </c>
      <c r="AQ59" s="140">
        <f t="shared" si="14"/>
        <v>0</v>
      </c>
      <c r="AR59" s="140">
        <f t="shared" si="14"/>
        <v>0</v>
      </c>
      <c r="AS59" s="140">
        <f t="shared" si="14"/>
        <v>0</v>
      </c>
      <c r="AT59" s="140">
        <f t="shared" si="14"/>
        <v>0</v>
      </c>
      <c r="AU59" s="140">
        <f t="shared" si="14"/>
        <v>0</v>
      </c>
      <c r="AV59" s="140">
        <f t="shared" si="14"/>
        <v>0</v>
      </c>
      <c r="AW59" s="140">
        <f t="shared" si="14"/>
        <v>0</v>
      </c>
      <c r="AX59" s="140">
        <f t="shared" si="14"/>
        <v>0</v>
      </c>
      <c r="AY59" s="140">
        <f t="shared" si="14"/>
        <v>0</v>
      </c>
      <c r="AZ59" s="140">
        <f t="shared" si="14"/>
        <v>0</v>
      </c>
      <c r="BA59" s="140">
        <f t="shared" si="14"/>
        <v>0</v>
      </c>
      <c r="BB59" s="140">
        <f t="shared" si="14"/>
        <v>0</v>
      </c>
      <c r="BC59" s="140">
        <f t="shared" si="14"/>
        <v>0</v>
      </c>
      <c r="BD59" s="140">
        <f t="shared" si="14"/>
        <v>0</v>
      </c>
      <c r="BE59" s="140">
        <f t="shared" si="14"/>
        <v>0</v>
      </c>
      <c r="BF59" s="140">
        <f t="shared" si="14"/>
        <v>0</v>
      </c>
      <c r="BG59" s="140">
        <f t="shared" si="14"/>
        <v>0</v>
      </c>
      <c r="BH59" s="140">
        <f t="shared" si="14"/>
        <v>0</v>
      </c>
      <c r="BI59" s="140">
        <f t="shared" si="14"/>
        <v>0</v>
      </c>
      <c r="BJ59" s="140">
        <f t="shared" si="14"/>
        <v>0</v>
      </c>
      <c r="BK59" s="140">
        <f t="shared" si="14"/>
        <v>0</v>
      </c>
      <c r="BL59" s="140">
        <f t="shared" si="14"/>
        <v>0</v>
      </c>
    </row>
    <row r="61" spans="1:64" x14ac:dyDescent="0.15">
      <c r="B61" s="155"/>
      <c r="C61" s="155" t="s">
        <v>194</v>
      </c>
      <c r="E61" s="297">
        <f>SUM(E62:E64)</f>
        <v>0.5153783265686066</v>
      </c>
      <c r="F61" s="297">
        <f t="shared" ref="F61:BL61" si="15">SUM(F62:F64)</f>
        <v>2.0850408185881436E-2</v>
      </c>
      <c r="G61" s="297">
        <f t="shared" si="15"/>
        <v>1.8577877802718728E-2</v>
      </c>
      <c r="H61" s="297">
        <f t="shared" si="15"/>
        <v>6.8170565635600573E-3</v>
      </c>
      <c r="I61" s="297">
        <f t="shared" si="15"/>
        <v>5.9419761776699203E-3</v>
      </c>
      <c r="J61" s="297">
        <f t="shared" si="15"/>
        <v>5.0688585388840111E-3</v>
      </c>
      <c r="K61" s="297">
        <f t="shared" si="15"/>
        <v>4.2022859315863663E-3</v>
      </c>
      <c r="L61" s="297">
        <f t="shared" si="15"/>
        <v>3.3427163439918588E-3</v>
      </c>
      <c r="M61" s="297">
        <f t="shared" si="15"/>
        <v>2.4902159877962502E-3</v>
      </c>
      <c r="N61" s="297">
        <f t="shared" si="15"/>
        <v>1.6452692269871597E-3</v>
      </c>
      <c r="O61" s="297">
        <f t="shared" si="15"/>
        <v>0</v>
      </c>
      <c r="P61" s="297">
        <f t="shared" si="15"/>
        <v>0</v>
      </c>
      <c r="Q61" s="297">
        <f t="shared" si="15"/>
        <v>0</v>
      </c>
      <c r="R61" s="297">
        <f t="shared" si="15"/>
        <v>0</v>
      </c>
      <c r="S61" s="297">
        <f t="shared" si="15"/>
        <v>0</v>
      </c>
      <c r="T61" s="297">
        <f t="shared" si="15"/>
        <v>0</v>
      </c>
      <c r="U61" s="297">
        <f t="shared" si="15"/>
        <v>0</v>
      </c>
      <c r="V61" s="297">
        <f t="shared" si="15"/>
        <v>0</v>
      </c>
      <c r="W61" s="297">
        <f t="shared" si="15"/>
        <v>0</v>
      </c>
      <c r="X61" s="297">
        <f t="shared" si="15"/>
        <v>0</v>
      </c>
      <c r="Y61" s="297">
        <f t="shared" si="15"/>
        <v>0</v>
      </c>
      <c r="Z61" s="297">
        <f t="shared" si="15"/>
        <v>0</v>
      </c>
      <c r="AA61" s="297">
        <f t="shared" si="15"/>
        <v>0</v>
      </c>
      <c r="AB61" s="297">
        <f t="shared" si="15"/>
        <v>0</v>
      </c>
      <c r="AC61" s="297">
        <f t="shared" si="15"/>
        <v>0</v>
      </c>
      <c r="AD61" s="297">
        <f t="shared" si="15"/>
        <v>0</v>
      </c>
      <c r="AE61" s="297">
        <f t="shared" si="15"/>
        <v>0</v>
      </c>
      <c r="AF61" s="297">
        <f t="shared" si="15"/>
        <v>0</v>
      </c>
      <c r="AG61" s="297">
        <f t="shared" si="15"/>
        <v>0</v>
      </c>
      <c r="AH61" s="297">
        <f t="shared" si="15"/>
        <v>0</v>
      </c>
      <c r="AI61" s="297">
        <f t="shared" si="15"/>
        <v>0</v>
      </c>
      <c r="AJ61" s="297">
        <f t="shared" si="15"/>
        <v>0</v>
      </c>
      <c r="AK61" s="297">
        <f t="shared" si="15"/>
        <v>0</v>
      </c>
      <c r="AL61" s="297">
        <f t="shared" si="15"/>
        <v>0</v>
      </c>
      <c r="AM61" s="297">
        <f t="shared" si="15"/>
        <v>0</v>
      </c>
      <c r="AN61" s="297">
        <f t="shared" si="15"/>
        <v>0</v>
      </c>
      <c r="AO61" s="297">
        <f t="shared" si="15"/>
        <v>0</v>
      </c>
      <c r="AP61" s="297">
        <f t="shared" si="15"/>
        <v>0</v>
      </c>
      <c r="AQ61" s="297">
        <f t="shared" si="15"/>
        <v>0</v>
      </c>
      <c r="AR61" s="297">
        <f t="shared" si="15"/>
        <v>0</v>
      </c>
      <c r="AS61" s="297">
        <f t="shared" si="15"/>
        <v>0</v>
      </c>
      <c r="AT61" s="297">
        <f t="shared" si="15"/>
        <v>0</v>
      </c>
      <c r="AU61" s="297">
        <f t="shared" si="15"/>
        <v>0</v>
      </c>
      <c r="AV61" s="297">
        <f t="shared" si="15"/>
        <v>0</v>
      </c>
      <c r="AW61" s="297">
        <f t="shared" si="15"/>
        <v>0</v>
      </c>
      <c r="AX61" s="297">
        <f t="shared" si="15"/>
        <v>0</v>
      </c>
      <c r="AY61" s="297">
        <f t="shared" si="15"/>
        <v>0</v>
      </c>
      <c r="AZ61" s="297">
        <f t="shared" si="15"/>
        <v>0</v>
      </c>
      <c r="BA61" s="297">
        <f t="shared" si="15"/>
        <v>0</v>
      </c>
      <c r="BB61" s="297">
        <f t="shared" si="15"/>
        <v>0</v>
      </c>
      <c r="BC61" s="297">
        <f t="shared" si="15"/>
        <v>0</v>
      </c>
      <c r="BD61" s="297">
        <f t="shared" si="15"/>
        <v>0</v>
      </c>
      <c r="BE61" s="297">
        <f t="shared" si="15"/>
        <v>0</v>
      </c>
      <c r="BF61" s="297">
        <f t="shared" si="15"/>
        <v>0</v>
      </c>
      <c r="BG61" s="297">
        <f t="shared" si="15"/>
        <v>0</v>
      </c>
      <c r="BH61" s="297">
        <f t="shared" si="15"/>
        <v>0</v>
      </c>
      <c r="BI61" s="297">
        <f t="shared" si="15"/>
        <v>0</v>
      </c>
      <c r="BJ61" s="297">
        <f t="shared" si="15"/>
        <v>0</v>
      </c>
      <c r="BK61" s="297">
        <f t="shared" si="15"/>
        <v>0</v>
      </c>
      <c r="BL61" s="297">
        <f t="shared" si="15"/>
        <v>0</v>
      </c>
    </row>
    <row r="62" spans="1:64" x14ac:dyDescent="0.15">
      <c r="C62" s="173" t="s">
        <v>210</v>
      </c>
      <c r="E62" s="140">
        <f t="shared" ref="E62:BL62" si="16">-E18*E14</f>
        <v>3.1402618893005829E-2</v>
      </c>
      <c r="F62" s="140">
        <f t="shared" si="16"/>
        <v>2.0850408185881436E-2</v>
      </c>
      <c r="G62" s="140">
        <f t="shared" si="16"/>
        <v>1.8577877802718728E-2</v>
      </c>
      <c r="H62" s="140">
        <f t="shared" si="16"/>
        <v>6.8170565635600573E-3</v>
      </c>
      <c r="I62" s="140">
        <f t="shared" si="16"/>
        <v>5.9419761776699203E-3</v>
      </c>
      <c r="J62" s="140">
        <f t="shared" si="16"/>
        <v>5.0688585388840111E-3</v>
      </c>
      <c r="K62" s="140">
        <f t="shared" si="16"/>
        <v>4.2022859315863663E-3</v>
      </c>
      <c r="L62" s="140">
        <f t="shared" si="16"/>
        <v>3.3427163439918588E-3</v>
      </c>
      <c r="M62" s="140">
        <f t="shared" si="16"/>
        <v>2.4902159877962502E-3</v>
      </c>
      <c r="N62" s="140">
        <f t="shared" si="16"/>
        <v>1.6452692269871597E-3</v>
      </c>
      <c r="O62" s="140">
        <f t="shared" si="16"/>
        <v>0</v>
      </c>
      <c r="P62" s="140">
        <f t="shared" si="16"/>
        <v>0</v>
      </c>
      <c r="Q62" s="140">
        <f t="shared" si="16"/>
        <v>0</v>
      </c>
      <c r="R62" s="140">
        <f t="shared" si="16"/>
        <v>0</v>
      </c>
      <c r="S62" s="140">
        <f t="shared" si="16"/>
        <v>0</v>
      </c>
      <c r="T62" s="140">
        <f t="shared" si="16"/>
        <v>0</v>
      </c>
      <c r="U62" s="140">
        <f t="shared" si="16"/>
        <v>0</v>
      </c>
      <c r="V62" s="140">
        <f t="shared" si="16"/>
        <v>0</v>
      </c>
      <c r="W62" s="140">
        <f t="shared" si="16"/>
        <v>0</v>
      </c>
      <c r="X62" s="140">
        <f t="shared" si="16"/>
        <v>0</v>
      </c>
      <c r="Y62" s="140">
        <f t="shared" si="16"/>
        <v>0</v>
      </c>
      <c r="Z62" s="140">
        <f t="shared" si="16"/>
        <v>0</v>
      </c>
      <c r="AA62" s="140">
        <f t="shared" si="16"/>
        <v>0</v>
      </c>
      <c r="AB62" s="140">
        <f t="shared" si="16"/>
        <v>0</v>
      </c>
      <c r="AC62" s="140">
        <f t="shared" si="16"/>
        <v>0</v>
      </c>
      <c r="AD62" s="140">
        <f t="shared" si="16"/>
        <v>0</v>
      </c>
      <c r="AE62" s="140">
        <f t="shared" si="16"/>
        <v>0</v>
      </c>
      <c r="AF62" s="140">
        <f t="shared" si="16"/>
        <v>0</v>
      </c>
      <c r="AG62" s="140">
        <f t="shared" si="16"/>
        <v>0</v>
      </c>
      <c r="AH62" s="140">
        <f t="shared" si="16"/>
        <v>0</v>
      </c>
      <c r="AI62" s="140">
        <f t="shared" si="16"/>
        <v>0</v>
      </c>
      <c r="AJ62" s="140">
        <f t="shared" si="16"/>
        <v>0</v>
      </c>
      <c r="AK62" s="140">
        <f t="shared" si="16"/>
        <v>0</v>
      </c>
      <c r="AL62" s="140">
        <f t="shared" si="16"/>
        <v>0</v>
      </c>
      <c r="AM62" s="140">
        <f t="shared" si="16"/>
        <v>0</v>
      </c>
      <c r="AN62" s="140">
        <f t="shared" si="16"/>
        <v>0</v>
      </c>
      <c r="AO62" s="140">
        <f t="shared" si="16"/>
        <v>0</v>
      </c>
      <c r="AP62" s="140">
        <f t="shared" si="16"/>
        <v>0</v>
      </c>
      <c r="AQ62" s="140">
        <f t="shared" si="16"/>
        <v>0</v>
      </c>
      <c r="AR62" s="140">
        <f t="shared" si="16"/>
        <v>0</v>
      </c>
      <c r="AS62" s="140">
        <f t="shared" si="16"/>
        <v>0</v>
      </c>
      <c r="AT62" s="140">
        <f t="shared" si="16"/>
        <v>0</v>
      </c>
      <c r="AU62" s="140">
        <f t="shared" si="16"/>
        <v>0</v>
      </c>
      <c r="AV62" s="140">
        <f t="shared" si="16"/>
        <v>0</v>
      </c>
      <c r="AW62" s="140">
        <f t="shared" si="16"/>
        <v>0</v>
      </c>
      <c r="AX62" s="140">
        <f t="shared" si="16"/>
        <v>0</v>
      </c>
      <c r="AY62" s="140">
        <f t="shared" si="16"/>
        <v>0</v>
      </c>
      <c r="AZ62" s="140">
        <f t="shared" si="16"/>
        <v>0</v>
      </c>
      <c r="BA62" s="140">
        <f t="shared" si="16"/>
        <v>0</v>
      </c>
      <c r="BB62" s="140">
        <f t="shared" si="16"/>
        <v>0</v>
      </c>
      <c r="BC62" s="140">
        <f t="shared" si="16"/>
        <v>0</v>
      </c>
      <c r="BD62" s="140">
        <f t="shared" si="16"/>
        <v>0</v>
      </c>
      <c r="BE62" s="140">
        <f t="shared" si="16"/>
        <v>0</v>
      </c>
      <c r="BF62" s="140">
        <f t="shared" si="16"/>
        <v>0</v>
      </c>
      <c r="BG62" s="140">
        <f t="shared" si="16"/>
        <v>0</v>
      </c>
      <c r="BH62" s="140">
        <f t="shared" si="16"/>
        <v>0</v>
      </c>
      <c r="BI62" s="140">
        <f t="shared" si="16"/>
        <v>0</v>
      </c>
      <c r="BJ62" s="140">
        <f t="shared" si="16"/>
        <v>0</v>
      </c>
      <c r="BK62" s="140">
        <f t="shared" si="16"/>
        <v>0</v>
      </c>
      <c r="BL62" s="140">
        <f t="shared" si="16"/>
        <v>0</v>
      </c>
    </row>
    <row r="63" spans="1:64" x14ac:dyDescent="0.15">
      <c r="A63" s="155"/>
      <c r="C63" s="173" t="s">
        <v>386</v>
      </c>
      <c r="E63" s="140">
        <f>Leadsheet!E10*Leadsheet!E33*Leadsheet!E35*Leadsheet!E36+Leadsheet!E10/(1+Leadsheet!E34*Leadsheet!E35)*Leadsheet!E34*Leadsheet!E35*Leadsheet!E36</f>
        <v>0.48397570767560077</v>
      </c>
    </row>
    <row r="64" spans="1:64" x14ac:dyDescent="0.15">
      <c r="C64" s="84" t="s">
        <v>86</v>
      </c>
      <c r="E64" s="140">
        <f>SUM(E65:E66)</f>
        <v>0</v>
      </c>
      <c r="F64" s="140">
        <f t="shared" ref="F64:BL64" si="17">SUM(F65:F66)</f>
        <v>0</v>
      </c>
      <c r="G64" s="140">
        <f t="shared" si="17"/>
        <v>0</v>
      </c>
      <c r="H64" s="140">
        <f t="shared" si="17"/>
        <v>0</v>
      </c>
      <c r="I64" s="140">
        <f t="shared" si="17"/>
        <v>0</v>
      </c>
      <c r="J64" s="140">
        <f t="shared" si="17"/>
        <v>0</v>
      </c>
      <c r="K64" s="140">
        <f t="shared" si="17"/>
        <v>0</v>
      </c>
      <c r="L64" s="140">
        <f t="shared" si="17"/>
        <v>0</v>
      </c>
      <c r="M64" s="140">
        <f t="shared" si="17"/>
        <v>0</v>
      </c>
      <c r="N64" s="140">
        <f t="shared" si="17"/>
        <v>0</v>
      </c>
      <c r="O64" s="140">
        <f t="shared" si="17"/>
        <v>0</v>
      </c>
      <c r="P64" s="140">
        <f t="shared" si="17"/>
        <v>0</v>
      </c>
      <c r="Q64" s="140">
        <f t="shared" si="17"/>
        <v>0</v>
      </c>
      <c r="R64" s="140">
        <f t="shared" si="17"/>
        <v>0</v>
      </c>
      <c r="S64" s="140">
        <f t="shared" si="17"/>
        <v>0</v>
      </c>
      <c r="T64" s="140">
        <f t="shared" si="17"/>
        <v>0</v>
      </c>
      <c r="U64" s="140">
        <f t="shared" si="17"/>
        <v>0</v>
      </c>
      <c r="V64" s="140">
        <f t="shared" si="17"/>
        <v>0</v>
      </c>
      <c r="W64" s="140">
        <f t="shared" si="17"/>
        <v>0</v>
      </c>
      <c r="X64" s="140">
        <f t="shared" si="17"/>
        <v>0</v>
      </c>
      <c r="Y64" s="140">
        <f t="shared" si="17"/>
        <v>0</v>
      </c>
      <c r="Z64" s="140">
        <f t="shared" si="17"/>
        <v>0</v>
      </c>
      <c r="AA64" s="140">
        <f t="shared" si="17"/>
        <v>0</v>
      </c>
      <c r="AB64" s="140">
        <f t="shared" si="17"/>
        <v>0</v>
      </c>
      <c r="AC64" s="140">
        <f t="shared" si="17"/>
        <v>0</v>
      </c>
      <c r="AD64" s="140">
        <f t="shared" si="17"/>
        <v>0</v>
      </c>
      <c r="AE64" s="140">
        <f t="shared" si="17"/>
        <v>0</v>
      </c>
      <c r="AF64" s="140">
        <f t="shared" si="17"/>
        <v>0</v>
      </c>
      <c r="AG64" s="140">
        <f t="shared" si="17"/>
        <v>0</v>
      </c>
      <c r="AH64" s="140">
        <f t="shared" si="17"/>
        <v>0</v>
      </c>
      <c r="AI64" s="140">
        <f t="shared" si="17"/>
        <v>0</v>
      </c>
      <c r="AJ64" s="140">
        <f t="shared" si="17"/>
        <v>0</v>
      </c>
      <c r="AK64" s="140">
        <f t="shared" si="17"/>
        <v>0</v>
      </c>
      <c r="AL64" s="140">
        <f t="shared" si="17"/>
        <v>0</v>
      </c>
      <c r="AM64" s="140">
        <f t="shared" si="17"/>
        <v>0</v>
      </c>
      <c r="AN64" s="140">
        <f t="shared" si="17"/>
        <v>0</v>
      </c>
      <c r="AO64" s="140">
        <f t="shared" si="17"/>
        <v>0</v>
      </c>
      <c r="AP64" s="140">
        <f t="shared" si="17"/>
        <v>0</v>
      </c>
      <c r="AQ64" s="140">
        <f t="shared" si="17"/>
        <v>0</v>
      </c>
      <c r="AR64" s="140">
        <f t="shared" si="17"/>
        <v>0</v>
      </c>
      <c r="AS64" s="140">
        <f t="shared" si="17"/>
        <v>0</v>
      </c>
      <c r="AT64" s="140">
        <f t="shared" si="17"/>
        <v>0</v>
      </c>
      <c r="AU64" s="140">
        <f t="shared" si="17"/>
        <v>0</v>
      </c>
      <c r="AV64" s="140">
        <f t="shared" si="17"/>
        <v>0</v>
      </c>
      <c r="AW64" s="140">
        <f t="shared" si="17"/>
        <v>0</v>
      </c>
      <c r="AX64" s="140">
        <f t="shared" si="17"/>
        <v>0</v>
      </c>
      <c r="AY64" s="140">
        <f t="shared" si="17"/>
        <v>0</v>
      </c>
      <c r="AZ64" s="140">
        <f t="shared" si="17"/>
        <v>0</v>
      </c>
      <c r="BA64" s="140">
        <f t="shared" si="17"/>
        <v>0</v>
      </c>
      <c r="BB64" s="140">
        <f t="shared" si="17"/>
        <v>0</v>
      </c>
      <c r="BC64" s="140">
        <f t="shared" si="17"/>
        <v>0</v>
      </c>
      <c r="BD64" s="140">
        <f t="shared" si="17"/>
        <v>0</v>
      </c>
      <c r="BE64" s="140">
        <f t="shared" si="17"/>
        <v>0</v>
      </c>
      <c r="BF64" s="140">
        <f t="shared" si="17"/>
        <v>0</v>
      </c>
      <c r="BG64" s="140">
        <f t="shared" si="17"/>
        <v>0</v>
      </c>
      <c r="BH64" s="140">
        <f t="shared" si="17"/>
        <v>0</v>
      </c>
      <c r="BI64" s="140">
        <f t="shared" si="17"/>
        <v>0</v>
      </c>
      <c r="BJ64" s="140">
        <f t="shared" si="17"/>
        <v>0</v>
      </c>
      <c r="BK64" s="140">
        <f t="shared" si="17"/>
        <v>0</v>
      </c>
      <c r="BL64" s="140">
        <f t="shared" si="17"/>
        <v>0</v>
      </c>
    </row>
    <row r="65" spans="2:64" x14ac:dyDescent="0.15">
      <c r="C65" s="180" t="s">
        <v>213</v>
      </c>
      <c r="E65" s="140">
        <f>Leadsheet!E10*Leadsheet!E39+Leadsheet!E38</f>
        <v>0</v>
      </c>
      <c r="F65" s="140"/>
      <c r="G65" s="140"/>
      <c r="H65" s="140"/>
      <c r="I65" s="140"/>
      <c r="J65" s="140"/>
      <c r="K65" s="140"/>
      <c r="L65" s="140"/>
      <c r="M65" s="140"/>
      <c r="N65" s="140"/>
      <c r="O65" s="140"/>
      <c r="P65" s="140"/>
      <c r="Q65" s="140"/>
      <c r="R65" s="140"/>
      <c r="S65" s="140"/>
      <c r="T65" s="140"/>
      <c r="U65" s="140"/>
      <c r="V65" s="140"/>
      <c r="W65" s="140"/>
      <c r="X65" s="140"/>
      <c r="Y65" s="140"/>
      <c r="Z65" s="140"/>
      <c r="AA65" s="140"/>
      <c r="AB65" s="140"/>
      <c r="AC65" s="140"/>
      <c r="AD65" s="140"/>
      <c r="AE65" s="140"/>
      <c r="AF65" s="140"/>
      <c r="AG65" s="140"/>
      <c r="AH65" s="140"/>
      <c r="AI65" s="140"/>
      <c r="AJ65" s="140"/>
      <c r="AK65" s="140"/>
      <c r="AL65" s="140"/>
      <c r="AM65" s="140"/>
      <c r="AN65" s="140"/>
      <c r="AO65" s="140"/>
      <c r="AP65" s="140"/>
      <c r="AQ65" s="140"/>
      <c r="AR65" s="140"/>
      <c r="AS65" s="140"/>
      <c r="AT65" s="140"/>
      <c r="AU65" s="140"/>
      <c r="AV65" s="140"/>
      <c r="AW65" s="140"/>
      <c r="AX65" s="140"/>
      <c r="AY65" s="140"/>
      <c r="AZ65" s="140"/>
      <c r="BA65" s="140"/>
      <c r="BB65" s="140"/>
      <c r="BC65" s="140"/>
      <c r="BD65" s="140"/>
      <c r="BE65" s="140"/>
      <c r="BF65" s="140"/>
      <c r="BG65" s="140"/>
      <c r="BH65" s="140"/>
      <c r="BI65" s="140"/>
      <c r="BJ65" s="140"/>
      <c r="BK65" s="140"/>
      <c r="BL65" s="140"/>
    </row>
    <row r="66" spans="2:64" x14ac:dyDescent="0.15">
      <c r="C66" s="180" t="s">
        <v>216</v>
      </c>
      <c r="E66" s="140">
        <f>IF(E5&gt;$D$6,0,$D$17*Leadsheet!$E$40*D16*((D27*(1-Leadsheet!$D$91)+D28*Leadsheet!$E$117)/D45))</f>
        <v>0</v>
      </c>
      <c r="F66" s="140">
        <f>IF(F5&gt;$D$6,0,$D$17*Leadsheet!$E$40*E16*((E27*(1-Leadsheet!$D$91)+E28*Leadsheet!$E$117)/E45))</f>
        <v>0</v>
      </c>
      <c r="G66" s="140">
        <f>IF(G5&gt;$D$6,0,$D$17*Leadsheet!$E$40*F16*((F27*(1-Leadsheet!$D$91)+F28*Leadsheet!$E$117)/F45))</f>
        <v>0</v>
      </c>
      <c r="H66" s="140">
        <f>IF(H5&gt;$D$6,0,$D$17*Leadsheet!$E$40*G16*((G27*(1-Leadsheet!$D$91)+G28*Leadsheet!$E$117)/G45))</f>
        <v>0</v>
      </c>
      <c r="I66" s="140">
        <f>IF(I5&gt;$D$6,0,$D$17*Leadsheet!$E$40*H16*((H27*(1-Leadsheet!$D$91)+H28*Leadsheet!$E$117)/H45))</f>
        <v>0</v>
      </c>
      <c r="J66" s="140">
        <f>IF(J5&gt;$D$6,0,$D$17*Leadsheet!$E$40*I16*((I27*(1-Leadsheet!$D$91)+I28*Leadsheet!$E$117)/I45))</f>
        <v>0</v>
      </c>
      <c r="K66" s="140">
        <f>IF(K5&gt;$D$6,0,$D$17*Leadsheet!$E$40*J16*((J27*(1-Leadsheet!$D$91)+J28*Leadsheet!$E$117)/J45))</f>
        <v>0</v>
      </c>
      <c r="L66" s="140">
        <f>IF(L5&gt;$D$6,0,$D$17*Leadsheet!$E$40*K16*((K27*(1-Leadsheet!$D$91)+K28*Leadsheet!$E$117)/K45))</f>
        <v>0</v>
      </c>
      <c r="M66" s="140">
        <f>IF(M5&gt;$D$6,0,$D$17*Leadsheet!$E$40*L16*((L27*(1-Leadsheet!$D$91)+L28*Leadsheet!$E$117)/L45))</f>
        <v>0</v>
      </c>
      <c r="N66" s="140">
        <f>IF(N5&gt;$D$6,0,$D$17*Leadsheet!$E$40*M16*((M27*(1-Leadsheet!$D$91)+M28*Leadsheet!$E$117)/M45))</f>
        <v>0</v>
      </c>
      <c r="O66" s="140">
        <f>IF(O5&gt;$D$6,0,$D$17*Leadsheet!$E$40*N16*((N27*(1-Leadsheet!$D$91)+N28*Leadsheet!$E$117)/N45))</f>
        <v>0</v>
      </c>
      <c r="P66" s="140">
        <f>IF(P5&gt;$D$6,0,$D$17*Leadsheet!$E$40*O16*((O27*(1-Leadsheet!$D$91)+O28*Leadsheet!$E$117)/O45))</f>
        <v>0</v>
      </c>
      <c r="Q66" s="140">
        <f>IF(Q5&gt;$D$6,0,$D$17*Leadsheet!$E$40*P16*((P27*(1-Leadsheet!$D$91)+P28*Leadsheet!$E$117)/P45))</f>
        <v>0</v>
      </c>
      <c r="R66" s="140">
        <f>IF(R5&gt;$D$6,0,$D$17*Leadsheet!$E$40*Q16*((Q27*(1-Leadsheet!$D$91)+Q28*Leadsheet!$E$117)/Q45))</f>
        <v>0</v>
      </c>
      <c r="S66" s="140">
        <f>IF(S5&gt;$D$6,0,$D$17*Leadsheet!$E$40*R16*((R27*(1-Leadsheet!$D$91)+R28*Leadsheet!$E$117)/R45))</f>
        <v>0</v>
      </c>
      <c r="T66" s="140">
        <f>IF(T5&gt;$D$6,0,$D$17*Leadsheet!$E$40*S16*((S27*(1-Leadsheet!$D$91)+S28*Leadsheet!$E$117)/S45))</f>
        <v>0</v>
      </c>
      <c r="U66" s="140">
        <f>IF(U5&gt;$D$6,0,$D$17*Leadsheet!$E$40*T16*((T27*(1-Leadsheet!$D$91)+T28*Leadsheet!$E$117)/T45))</f>
        <v>0</v>
      </c>
      <c r="V66" s="140">
        <f>IF(V5&gt;$D$6,0,$D$17*Leadsheet!$E$40*U16*((U27*(1-Leadsheet!$D$91)+U28*Leadsheet!$E$117)/U45))</f>
        <v>0</v>
      </c>
      <c r="W66" s="140">
        <f>IF(W5&gt;$D$6,0,$D$17*Leadsheet!$E$40*V16*((V27*(1-Leadsheet!$D$91)+V28*Leadsheet!$E$117)/V45))</f>
        <v>0</v>
      </c>
      <c r="X66" s="140">
        <f>IF(X5&gt;$D$6,0,$D$17*Leadsheet!$E$40*W16*((W27*(1-Leadsheet!$D$91)+W28*Leadsheet!$E$117)/W45))</f>
        <v>0</v>
      </c>
      <c r="Y66" s="140">
        <f>IF(Y5&gt;$D$6,0,$D$17*Leadsheet!$E$40*X16*((X27*(1-Leadsheet!$D$91)+X28*Leadsheet!$E$117)/X45))</f>
        <v>0</v>
      </c>
      <c r="Z66" s="140">
        <f>IF(Z5&gt;$D$6,0,$D$17*Leadsheet!$E$40*Y16*((Y27*(1-Leadsheet!$D$91)+Y28*Leadsheet!$E$117)/Y45))</f>
        <v>0</v>
      </c>
      <c r="AA66" s="140">
        <f>IF(AA5&gt;$D$6,0,$D$17*Leadsheet!$E$40*Z16*((Z27*(1-Leadsheet!$D$91)+Z28*Leadsheet!$E$117)/Z45))</f>
        <v>0</v>
      </c>
      <c r="AB66" s="140">
        <f>IF(AB5&gt;$D$6,0,$D$17*Leadsheet!$E$40*AA16*((AA27*(1-Leadsheet!$D$91)+AA28*Leadsheet!$E$117)/AA45))</f>
        <v>0</v>
      </c>
      <c r="AC66" s="140">
        <f>IF(AC5&gt;$D$6,0,$D$17*Leadsheet!$E$40*AB16*((AB27*(1-Leadsheet!$D$91)+AB28*Leadsheet!$E$117)/AB45))</f>
        <v>0</v>
      </c>
      <c r="AD66" s="140">
        <f>IF(AD5&gt;$D$6,0,$D$17*Leadsheet!$E$40*AC16*((AC27*(1-Leadsheet!$D$91)+AC28*Leadsheet!$E$117)/AC45))</f>
        <v>0</v>
      </c>
      <c r="AE66" s="140">
        <f>IF(AE5&gt;$D$6,0,$D$17*Leadsheet!$E$40*AD16*((AD27*(1-Leadsheet!$D$91)+AD28*Leadsheet!$E$117)/AD45))</f>
        <v>0</v>
      </c>
      <c r="AF66" s="140">
        <f>IF(AF5&gt;$D$6,0,$D$17*Leadsheet!$E$40*AE16*((AE27*(1-Leadsheet!$D$91)+AE28*Leadsheet!$E$117)/AE45))</f>
        <v>0</v>
      </c>
      <c r="AG66" s="140">
        <f>IF(AG5&gt;$D$6,0,$D$17*Leadsheet!$E$40*AF16*((AF27*(1-Leadsheet!$D$91)+AF28*Leadsheet!$E$117)/AF45))</f>
        <v>0</v>
      </c>
      <c r="AH66" s="140">
        <f>IF(AH5&gt;$D$6,0,$D$17*Leadsheet!$E$40*AG16*((AG27*(1-Leadsheet!$D$91)+AG28*Leadsheet!$E$117)/AG45))</f>
        <v>0</v>
      </c>
      <c r="AI66" s="140">
        <f>IF(AI5&gt;$D$6,0,$D$17*Leadsheet!$E$40*AH16*((AH27*(1-Leadsheet!$D$91)+AH28*Leadsheet!$E$117)/AH45))</f>
        <v>0</v>
      </c>
      <c r="AJ66" s="140">
        <f>IF(AJ5&gt;$D$6,0,$D$17*Leadsheet!$E$40*AI16*((AI27*(1-Leadsheet!$D$91)+AI28*Leadsheet!$E$117)/AI45))</f>
        <v>0</v>
      </c>
      <c r="AK66" s="140">
        <f>IF(AK5&gt;$D$6,0,$D$17*Leadsheet!$E$40*AJ16*((AJ27*(1-Leadsheet!$D$91)+AJ28*Leadsheet!$E$117)/AJ45))</f>
        <v>0</v>
      </c>
      <c r="AL66" s="140">
        <f>IF(AL5&gt;$D$6,0,$D$17*Leadsheet!$E$40*AK16*((AK27*(1-Leadsheet!$D$91)+AK28*Leadsheet!$E$117)/AK45))</f>
        <v>0</v>
      </c>
      <c r="AM66" s="140">
        <f>IF(AM5&gt;$D$6,0,$D$17*Leadsheet!$E$40*AL16*((AL27*(1-Leadsheet!$D$91)+AL28*Leadsheet!$E$117)/AL45))</f>
        <v>0</v>
      </c>
      <c r="AN66" s="140">
        <f>IF(AN5&gt;$D$6,0,$D$17*Leadsheet!$E$40*AM16*((AM27*(1-Leadsheet!$D$91)+AM28*Leadsheet!$E$117)/AM45))</f>
        <v>0</v>
      </c>
      <c r="AO66" s="140">
        <f>IF(AO5&gt;$D$6,0,$D$17*Leadsheet!$E$40*AN16*((AN27*(1-Leadsheet!$D$91)+AN28*Leadsheet!$E$117)/AN45))</f>
        <v>0</v>
      </c>
      <c r="AP66" s="140">
        <f>IF(AP5&gt;$D$6,0,$D$17*Leadsheet!$E$40*AO16*((AO27*(1-Leadsheet!$D$91)+AO28*Leadsheet!$E$117)/AO45))</f>
        <v>0</v>
      </c>
      <c r="AQ66" s="140">
        <f>IF(AQ5&gt;$D$6,0,$D$17*Leadsheet!$E$40*AP16*((AP27*(1-Leadsheet!$D$91)+AP28*Leadsheet!$E$117)/AP45))</f>
        <v>0</v>
      </c>
      <c r="AR66" s="140">
        <f>IF(AR5&gt;$D$6,0,$D$17*Leadsheet!$E$40*AQ16*((AQ27*(1-Leadsheet!$D$91)+AQ28*Leadsheet!$E$117)/AQ45))</f>
        <v>0</v>
      </c>
      <c r="AS66" s="140">
        <f>IF(AS5&gt;$D$6,0,$D$17*Leadsheet!$E$40*AR16*((AR27*(1-Leadsheet!$D$91)+AR28*Leadsheet!$E$117)/AR45))</f>
        <v>0</v>
      </c>
      <c r="AT66" s="140">
        <f>IF(AT5&gt;$D$6,0,$D$17*Leadsheet!$E$40*AS16*((AS27*(1-Leadsheet!$D$91)+AS28*Leadsheet!$E$117)/AS45))</f>
        <v>0</v>
      </c>
      <c r="AU66" s="140">
        <f>IF(AU5&gt;$D$6,0,$D$17*Leadsheet!$E$40*AT16*((AT27*(1-Leadsheet!$D$91)+AT28*Leadsheet!$E$117)/AT45))</f>
        <v>0</v>
      </c>
      <c r="AV66" s="140">
        <f>IF(AV5&gt;$D$6,0,$D$17*Leadsheet!$E$40*AU16*((AU27*(1-Leadsheet!$D$91)+AU28*Leadsheet!$E$117)/AU45))</f>
        <v>0</v>
      </c>
      <c r="AW66" s="140">
        <f>IF(AW5&gt;$D$6,0,$D$17*Leadsheet!$E$40*AV16*((AV27*(1-Leadsheet!$D$91)+AV28*Leadsheet!$E$117)/AV45))</f>
        <v>0</v>
      </c>
      <c r="AX66" s="140">
        <f>IF(AX5&gt;$D$6,0,$D$17*Leadsheet!$E$40*AW16*((AW27*(1-Leadsheet!$D$91)+AW28*Leadsheet!$E$117)/AW45))</f>
        <v>0</v>
      </c>
      <c r="AY66" s="140">
        <f>IF(AY5&gt;$D$6,0,$D$17*Leadsheet!$E$40*AX16*((AX27*(1-Leadsheet!$D$91)+AX28*Leadsheet!$E$117)/AX45))</f>
        <v>0</v>
      </c>
      <c r="AZ66" s="140">
        <f>IF(AZ5&gt;$D$6,0,$D$17*Leadsheet!$E$40*AY16*((AY27*(1-Leadsheet!$D$91)+AY28*Leadsheet!$E$117)/AY45))</f>
        <v>0</v>
      </c>
      <c r="BA66" s="140">
        <f>IF(BA5&gt;$D$6,0,$D$17*Leadsheet!$E$40*AZ16*((AZ27*(1-Leadsheet!$D$91)+AZ28*Leadsheet!$E$117)/AZ45))</f>
        <v>0</v>
      </c>
      <c r="BB66" s="140">
        <f>IF(BB5&gt;$D$6,0,$D$17*Leadsheet!$E$40*BA16*((BA27*(1-Leadsheet!$D$91)+BA28*Leadsheet!$E$117)/BA45))</f>
        <v>0</v>
      </c>
      <c r="BC66" s="140">
        <f>IF(BC5&gt;$D$6,0,$D$17*Leadsheet!$E$40*BB16*((BB27*(1-Leadsheet!$D$91)+BB28*Leadsheet!$E$117)/BB45))</f>
        <v>0</v>
      </c>
      <c r="BD66" s="140">
        <f>IF(BD5&gt;$D$6,0,$D$17*Leadsheet!$E$40*BC16*((BC27*(1-Leadsheet!$D$91)+BC28*Leadsheet!$E$117)/BC45))</f>
        <v>0</v>
      </c>
      <c r="BE66" s="140">
        <f>IF(BE5&gt;$D$6,0,$D$17*Leadsheet!$E$40*BD16*((BD27*(1-Leadsheet!$D$91)+BD28*Leadsheet!$E$117)/BD45))</f>
        <v>0</v>
      </c>
      <c r="BF66" s="140">
        <f>IF(BF5&gt;$D$6,0,$D$17*Leadsheet!$E$40*BE16*((BE27*(1-Leadsheet!$D$91)+BE28*Leadsheet!$E$117)/BE45))</f>
        <v>0</v>
      </c>
      <c r="BG66" s="140">
        <f>IF(BG5&gt;$D$6,0,$D$17*Leadsheet!$E$40*BF16*((BF27*(1-Leadsheet!$D$91)+BF28*Leadsheet!$E$117)/BF45))</f>
        <v>0</v>
      </c>
      <c r="BH66" s="140">
        <f>IF(BH5&gt;$D$6,0,$D$17*Leadsheet!$E$40*BG16*((BG27*(1-Leadsheet!$D$91)+BG28*Leadsheet!$E$117)/BG45))</f>
        <v>0</v>
      </c>
      <c r="BI66" s="140">
        <f>IF(BI5&gt;$D$6,0,$D$17*Leadsheet!$E$40*BH16*((BH27*(1-Leadsheet!$D$91)+BH28*Leadsheet!$E$117)/BH45))</f>
        <v>0</v>
      </c>
      <c r="BJ66" s="140">
        <f>IF(BJ5&gt;$D$6,0,$D$17*Leadsheet!$E$40*BI16*((BI27*(1-Leadsheet!$D$91)+BI28*Leadsheet!$E$117)/BI45))</f>
        <v>0</v>
      </c>
      <c r="BK66" s="140">
        <f>IF(BK5&gt;$D$6,0,$D$17*Leadsheet!$E$40*BJ16*((BJ27*(1-Leadsheet!$D$91)+BJ28*Leadsheet!$E$117)/BJ45))</f>
        <v>0</v>
      </c>
      <c r="BL66" s="140">
        <f>IF(BL5&gt;$D$6,0,$D$17*Leadsheet!$E$40*BK16*((BK27*(1-Leadsheet!$D$91)+BK28*Leadsheet!$E$117)/BK45))</f>
        <v>0</v>
      </c>
    </row>
    <row r="67" spans="2:64" x14ac:dyDescent="0.15">
      <c r="C67" s="181"/>
      <c r="E67" s="140"/>
      <c r="F67" s="298"/>
      <c r="G67" s="298"/>
      <c r="H67" s="298"/>
      <c r="I67" s="298"/>
      <c r="J67" s="298"/>
      <c r="K67" s="298"/>
      <c r="L67" s="298"/>
      <c r="M67" s="298"/>
      <c r="N67" s="298"/>
      <c r="O67" s="298"/>
      <c r="P67" s="298"/>
      <c r="Q67" s="298"/>
      <c r="R67" s="298"/>
      <c r="S67" s="298"/>
      <c r="T67" s="298"/>
      <c r="U67" s="298"/>
      <c r="V67" s="298"/>
      <c r="W67" s="298"/>
      <c r="X67" s="298"/>
      <c r="Y67" s="298"/>
      <c r="Z67" s="298"/>
      <c r="AA67" s="298"/>
      <c r="AB67" s="298"/>
      <c r="AC67" s="298"/>
      <c r="AD67" s="298"/>
      <c r="AE67" s="298"/>
      <c r="AF67" s="298"/>
      <c r="AG67" s="298"/>
      <c r="AH67" s="298"/>
      <c r="AI67" s="298"/>
      <c r="AJ67" s="298"/>
      <c r="AK67" s="298"/>
      <c r="AL67" s="298"/>
      <c r="AM67" s="298"/>
      <c r="AN67" s="298"/>
      <c r="AO67" s="298"/>
      <c r="AP67" s="298"/>
      <c r="AQ67" s="298"/>
      <c r="AR67" s="298"/>
      <c r="AS67" s="298"/>
      <c r="AT67" s="298"/>
      <c r="AU67" s="298"/>
      <c r="AV67" s="298"/>
      <c r="AW67" s="298"/>
      <c r="AX67" s="298"/>
      <c r="AY67" s="298"/>
      <c r="AZ67" s="298"/>
      <c r="BA67" s="298"/>
      <c r="BB67" s="298"/>
      <c r="BC67" s="298"/>
      <c r="BD67" s="298"/>
      <c r="BE67" s="298"/>
      <c r="BF67" s="298"/>
      <c r="BG67" s="298"/>
      <c r="BH67" s="298"/>
      <c r="BI67" s="298"/>
      <c r="BJ67" s="298"/>
      <c r="BK67" s="298"/>
      <c r="BL67" s="298"/>
    </row>
    <row r="68" spans="2:64" x14ac:dyDescent="0.15">
      <c r="B68" s="299" t="s">
        <v>387</v>
      </c>
      <c r="C68" s="300"/>
      <c r="D68" s="300"/>
      <c r="E68" s="301" cm="1">
        <f t="array" ref="E68">IF(E5=$D$7,_xlfn.IFS(Leadsheet!$G$4="IFRS",0,Leadsheet!$G$5="DPD180+",(E180-E145)*(1+Leadsheet!$E$115),Leadsheet!$G$5="DPD360+",(E165-E145)*(1+Leadsheet!$E$115)),0)</f>
        <v>0</v>
      </c>
      <c r="F68" s="301" cm="1">
        <f t="array" ref="F68">IF(F5=$D$7,_xlfn.IFS(Leadsheet!$G$4="IFRS",0,Leadsheet!$G$5="DPD180+",(F180-F145)*(1+Leadsheet!$E$115),Leadsheet!$G$5="DPD360+",(F165-F145)*(1+Leadsheet!$E$115)),0)</f>
        <v>0</v>
      </c>
      <c r="G68" s="301" cm="1">
        <f t="array" ref="G68">IF(G5=$D$7,_xlfn.IFS(Leadsheet!$G$4="IFRS",0,Leadsheet!$G$5="DPD180+",(G180-G145)*(1+Leadsheet!$E$115),Leadsheet!$G$5="DPD360+",(G165-G145)*(1+Leadsheet!$E$115)),0)</f>
        <v>0</v>
      </c>
      <c r="H68" s="301" cm="1">
        <f t="array" ref="H68">IF(H5=$D$7,_xlfn.IFS(Leadsheet!$G$4="IFRS",0,Leadsheet!$G$5="DPD180+",(H180-H145)*(1+Leadsheet!$E$115),Leadsheet!$G$5="DPD360+",(H165-H145)*(1+Leadsheet!$E$115)),0)</f>
        <v>0</v>
      </c>
      <c r="I68" s="301" cm="1">
        <f t="array" ref="I68">IF(I5=$D$7,_xlfn.IFS(Leadsheet!$G$4="IFRS",0,Leadsheet!$G$5="DPD180+",(I180-I145)*(1+Leadsheet!$E$115),Leadsheet!$G$5="DPD360+",(I165-I145)*(1+Leadsheet!$E$115)),0)</f>
        <v>0</v>
      </c>
      <c r="J68" s="301" cm="1">
        <f t="array" ref="J68">IF(J5=$D$7,_xlfn.IFS(Leadsheet!$G$4="IFRS",0,Leadsheet!$G$5="DPD180+",(J180-J145)*(1+Leadsheet!$E$115),Leadsheet!$G$5="DPD360+",(J165-J145)*(1+Leadsheet!$E$115)),0)</f>
        <v>0</v>
      </c>
      <c r="K68" s="301" cm="1">
        <f t="array" ref="K68">IF(K5=$D$7,_xlfn.IFS(Leadsheet!$G$4="IFRS",0,Leadsheet!$G$5="DPD180+",(K180-K145)*(1+Leadsheet!$E$115),Leadsheet!$G$5="DPD360+",(K165-K145)*(1+Leadsheet!$E$115)),0)</f>
        <v>0</v>
      </c>
      <c r="L68" s="301" cm="1">
        <f t="array" ref="L68">IF(L5=$D$7,_xlfn.IFS(Leadsheet!$G$4="IFRS",0,Leadsheet!$G$5="DPD180+",(L180-L145)*(1+Leadsheet!$E$115),Leadsheet!$G$5="DPD360+",(L165-L145)*(1+Leadsheet!$E$115)),0)</f>
        <v>0</v>
      </c>
      <c r="M68" s="301" cm="1">
        <f t="array" ref="M68">IF(M5=$D$7,_xlfn.IFS(Leadsheet!$G$4="IFRS",0,Leadsheet!$G$5="DPD180+",(M180-M145)*(1+Leadsheet!$E$115),Leadsheet!$G$5="DPD360+",(M165-M145)*(1+Leadsheet!$E$115)),0)</f>
        <v>0</v>
      </c>
      <c r="N68" s="301" cm="1">
        <f t="array" ref="N68">IF(N5=$D$7,_xlfn.IFS(Leadsheet!$G$4="IFRS",0,Leadsheet!$G$5="DPD180+",(N180-N145)*(1+Leadsheet!$E$115),Leadsheet!$G$5="DPD360+",(N165-N145)*(1+Leadsheet!$E$115)),0)</f>
        <v>0</v>
      </c>
      <c r="O68" s="301" cm="1">
        <f t="array" ref="O68">IF(O5=$D$7,_xlfn.IFS(Leadsheet!$G$4="IFRS",0,Leadsheet!$G$5="DPD180+",(O180-O145)*(1+Leadsheet!$E$115),Leadsheet!$G$5="DPD360+",(O165-O145)*(1+Leadsheet!$E$115)),0)</f>
        <v>0</v>
      </c>
      <c r="P68" s="301" cm="1">
        <f t="array" ref="P68">IF(P5=$D$7,_xlfn.IFS(Leadsheet!$G$4="IFRS",0,Leadsheet!$G$5="DPD180+",(P180-P145)*(1+Leadsheet!$E$115),Leadsheet!$G$5="DPD360+",(P165-P145)*(1+Leadsheet!$E$115)),0)</f>
        <v>0</v>
      </c>
      <c r="Q68" s="301" cm="1">
        <f t="array" ref="Q68">IF(Q5=$D$7,_xlfn.IFS(Leadsheet!$G$4="IFRS",0,Leadsheet!$G$5="DPD180+",(Q180-Q145)*(1+Leadsheet!$E$115),Leadsheet!$G$5="DPD360+",(Q165-Q145)*(1+Leadsheet!$E$115)),0)</f>
        <v>0</v>
      </c>
      <c r="R68" s="301" cm="1">
        <f t="array" ref="R68">IF(R5=$D$7,_xlfn.IFS(Leadsheet!$G$4="IFRS",0,Leadsheet!$G$5="DPD180+",(R180-R145)*(1+Leadsheet!$E$115),Leadsheet!$G$5="DPD360+",(R165-R145)*(1+Leadsheet!$E$115)),0)</f>
        <v>0</v>
      </c>
      <c r="S68" s="301" cm="1">
        <f t="array" ref="S68">IF(S5=$D$7,_xlfn.IFS(Leadsheet!$G$4="IFRS",0,Leadsheet!$G$5="DPD180+",(S180-S145)*(1+Leadsheet!$E$115),Leadsheet!$G$5="DPD360+",(S165-S145)*(1+Leadsheet!$E$115)),0)</f>
        <v>0</v>
      </c>
      <c r="T68" s="301" cm="1">
        <f t="array" ref="T68">IF(T5=$D$7,_xlfn.IFS(Leadsheet!$G$4="IFRS",0,Leadsheet!$G$5="DPD180+",(T180-T145)*(1+Leadsheet!$E$115),Leadsheet!$G$5="DPD360+",(T165-T145)*(1+Leadsheet!$E$115)),0)</f>
        <v>0</v>
      </c>
      <c r="U68" s="301" cm="1">
        <f t="array" ref="U68">IF(U5=$D$7,_xlfn.IFS(Leadsheet!$G$4="IFRS",0,Leadsheet!$G$5="DPD180+",(U180-U145)*(1+Leadsheet!$E$115),Leadsheet!$G$5="DPD360+",(U165-U145)*(1+Leadsheet!$E$115)),0)</f>
        <v>0</v>
      </c>
      <c r="V68" s="301" cm="1">
        <f t="array" ref="V68">IF(V5=$D$7,_xlfn.IFS(Leadsheet!$G$4="IFRS",0,Leadsheet!$G$5="DPD180+",(V180-V145)*(1+Leadsheet!$E$115),Leadsheet!$G$5="DPD360+",(V165-V145)*(1+Leadsheet!$E$115)),0)</f>
        <v>0</v>
      </c>
      <c r="W68" s="301" cm="1">
        <f t="array" ref="W68">IF(W5=$D$7,_xlfn.IFS(Leadsheet!$G$4="IFRS",0,Leadsheet!$G$5="DPD180+",(W180-W145)*(1+Leadsheet!$E$115),Leadsheet!$G$5="DPD360+",(W165-W145)*(1+Leadsheet!$E$115)),0)</f>
        <v>0</v>
      </c>
      <c r="X68" s="301" cm="1">
        <f t="array" ref="X68">IF(X5=$D$7,_xlfn.IFS(Leadsheet!$G$4="IFRS",0,Leadsheet!$G$5="DPD180+",(X180-X145)*(1+Leadsheet!$E$115),Leadsheet!$G$5="DPD360+",(X165-X145)*(1+Leadsheet!$E$115)),0)</f>
        <v>0</v>
      </c>
      <c r="Y68" s="301" cm="1">
        <f t="array" ref="Y68">IF(Y5=$D$7,_xlfn.IFS(Leadsheet!$G$4="IFRS",0,Leadsheet!$G$5="DPD180+",(Y180-Y145)*(1+Leadsheet!$E$115),Leadsheet!$G$5="DPD360+",(Y165-Y145)*(1+Leadsheet!$E$115)),0)</f>
        <v>0</v>
      </c>
      <c r="Z68" s="301" cm="1">
        <f t="array" ref="Z68">IF(Z5=$D$7,_xlfn.IFS(Leadsheet!$G$4="IFRS",0,Leadsheet!$G$5="DPD180+",(Z180-Z145)*(1+Leadsheet!$E$115),Leadsheet!$G$5="DPD360+",(Z165-Z145)*(1+Leadsheet!$E$115)),0)</f>
        <v>0</v>
      </c>
      <c r="AA68" s="301" cm="1">
        <f t="array" ref="AA68">IF(AA5=$D$7,_xlfn.IFS(Leadsheet!$G$4="IFRS",0,Leadsheet!$G$5="DPD180+",(AA180-AA145)*(1+Leadsheet!$E$115),Leadsheet!$G$5="DPD360+",(AA165-AA145)*(1+Leadsheet!$E$115)),0)</f>
        <v>0</v>
      </c>
      <c r="AB68" s="301" cm="1">
        <f t="array" ref="AB68">IF(AB5=$D$7,_xlfn.IFS(Leadsheet!$G$4="IFRS",0,Leadsheet!$G$5="DPD180+",(AB180-AB145)*(1+Leadsheet!$E$115),Leadsheet!$G$5="DPD360+",(AB165-AB145)*(1+Leadsheet!$E$115)),0)</f>
        <v>0</v>
      </c>
      <c r="AC68" s="301" cm="1">
        <f t="array" ref="AC68">IF(AC5=$D$7,_xlfn.IFS(Leadsheet!$G$4="IFRS",0,Leadsheet!$G$5="DPD180+",(AC180-AC145)*(1+Leadsheet!$E$115),Leadsheet!$G$5="DPD360+",(AC165-AC145)*(1+Leadsheet!$E$115)),0)</f>
        <v>0</v>
      </c>
      <c r="AD68" s="301" cm="1">
        <f t="array" ref="AD68">IF(AD5=$D$7,_xlfn.IFS(Leadsheet!$G$4="IFRS",0,Leadsheet!$G$5="DPD180+",(AD180-AD145)*(1+Leadsheet!$E$115),Leadsheet!$G$5="DPD360+",(AD165-AD145)*(1+Leadsheet!$E$115)),0)</f>
        <v>0</v>
      </c>
      <c r="AE68" s="301" cm="1">
        <f t="array" ref="AE68">IF(AE5=$D$7,_xlfn.IFS(Leadsheet!$G$4="IFRS",0,Leadsheet!$G$5="DPD180+",(AE180-AE145)*(1+Leadsheet!$E$115),Leadsheet!$G$5="DPD360+",(AE165-AE145)*(1+Leadsheet!$E$115)),0)</f>
        <v>0</v>
      </c>
      <c r="AF68" s="301" cm="1">
        <f t="array" ref="AF68">IF(AF5=$D$7,_xlfn.IFS(Leadsheet!$G$4="IFRS",0,Leadsheet!$G$5="DPD180+",(AF180-AF145)*(1+Leadsheet!$E$115),Leadsheet!$G$5="DPD360+",(AF165-AF145)*(1+Leadsheet!$E$115)),0)</f>
        <v>0</v>
      </c>
      <c r="AG68" s="301" cm="1">
        <f t="array" ref="AG68">IF(AG5=$D$7,_xlfn.IFS(Leadsheet!$G$4="IFRS",0,Leadsheet!$G$5="DPD180+",(AG180-AG145)*(1+Leadsheet!$E$115),Leadsheet!$G$5="DPD360+",(AG165-AG145)*(1+Leadsheet!$E$115)),0)</f>
        <v>0</v>
      </c>
      <c r="AH68" s="301" cm="1">
        <f t="array" ref="AH68">IF(AH5=$D$7,_xlfn.IFS(Leadsheet!$G$4="IFRS",0,Leadsheet!$G$5="DPD180+",(AH180-AH145)*(1+Leadsheet!$E$115),Leadsheet!$G$5="DPD360+",(AH165-AH145)*(1+Leadsheet!$E$115)),0)</f>
        <v>0</v>
      </c>
      <c r="AI68" s="301" cm="1">
        <f t="array" ref="AI68">IF(AI5=$D$7,_xlfn.IFS(Leadsheet!$G$4="IFRS",0,Leadsheet!$G$5="DPD180+",(AI180-AI145)*(1+Leadsheet!$E$115),Leadsheet!$G$5="DPD360+",(AI165-AI145)*(1+Leadsheet!$E$115)),0)</f>
        <v>0</v>
      </c>
      <c r="AJ68" s="301" cm="1">
        <f t="array" ref="AJ68">IF(AJ5=$D$7,_xlfn.IFS(Leadsheet!$G$4="IFRS",0,Leadsheet!$G$5="DPD180+",(AJ180-AJ145)*(1+Leadsheet!$E$115),Leadsheet!$G$5="DPD360+",(AJ165-AJ145)*(1+Leadsheet!$E$115)),0)</f>
        <v>0</v>
      </c>
      <c r="AK68" s="301" cm="1">
        <f t="array" ref="AK68">IF(AK5=$D$7,_xlfn.IFS(Leadsheet!$G$4="IFRS",0,Leadsheet!$G$5="DPD180+",(AK180-AK145)*(1+Leadsheet!$E$115),Leadsheet!$G$5="DPD360+",(AK165-AK145)*(1+Leadsheet!$E$115)),0)</f>
        <v>0</v>
      </c>
      <c r="AL68" s="301" cm="1">
        <f t="array" ref="AL68">IF(AL5=$D$7,_xlfn.IFS(Leadsheet!$G$4="IFRS",0,Leadsheet!$G$5="DPD180+",(AL180-AL145)*(1+Leadsheet!$E$115),Leadsheet!$G$5="DPD360+",(AL165-AL145)*(1+Leadsheet!$E$115)),0)</f>
        <v>0</v>
      </c>
      <c r="AM68" s="301" cm="1">
        <f t="array" ref="AM68">IF(AM5=$D$7,_xlfn.IFS(Leadsheet!$G$4="IFRS",0,Leadsheet!$G$5="DPD180+",(AM180-AM145)*(1+Leadsheet!$E$115),Leadsheet!$G$5="DPD360+",(AM165-AM145)*(1+Leadsheet!$E$115)),0)</f>
        <v>0</v>
      </c>
      <c r="AN68" s="301" cm="1">
        <f t="array" ref="AN68">IF(AN5=$D$7,_xlfn.IFS(Leadsheet!$G$4="IFRS",0,Leadsheet!$G$5="DPD180+",(AN180-AN145)*(1+Leadsheet!$E$115),Leadsheet!$G$5="DPD360+",(AN165-AN145)*(1+Leadsheet!$E$115)),0)</f>
        <v>0</v>
      </c>
      <c r="AO68" s="301" cm="1">
        <f t="array" ref="AO68">IF(AO5=$D$7,_xlfn.IFS(Leadsheet!$G$4="IFRS",0,Leadsheet!$G$5="DPD180+",(AO180-AO145)*(1+Leadsheet!$E$115),Leadsheet!$G$5="DPD360+",(AO165-AO145)*(1+Leadsheet!$E$115)),0)</f>
        <v>0</v>
      </c>
      <c r="AP68" s="301" cm="1">
        <f t="array" ref="AP68">IF(AP5=$D$7,_xlfn.IFS(Leadsheet!$G$4="IFRS",0,Leadsheet!$G$5="DPD180+",(AP180-AP145)*(1+Leadsheet!$E$115),Leadsheet!$G$5="DPD360+",(AP165-AP145)*(1+Leadsheet!$E$115)),0)</f>
        <v>0</v>
      </c>
      <c r="AQ68" s="301" cm="1">
        <f t="array" ref="AQ68">IF(AQ5=$D$7,_xlfn.IFS(Leadsheet!$G$4="IFRS",0,Leadsheet!$G$5="DPD180+",(AQ180-AQ145)*(1+Leadsheet!$E$115),Leadsheet!$G$5="DPD360+",(AQ165-AQ145)*(1+Leadsheet!$E$115)),0)</f>
        <v>0</v>
      </c>
      <c r="AR68" s="301" cm="1">
        <f t="array" ref="AR68">IF(AR5=$D$7,_xlfn.IFS(Leadsheet!$G$4="IFRS",0,Leadsheet!$G$5="DPD180+",(AR180-AR145)*(1+Leadsheet!$E$115),Leadsheet!$G$5="DPD360+",(AR165-AR145)*(1+Leadsheet!$E$115)),0)</f>
        <v>0</v>
      </c>
      <c r="AS68" s="301" cm="1">
        <f t="array" ref="AS68">IF(AS5=$D$7,_xlfn.IFS(Leadsheet!$G$4="IFRS",0,Leadsheet!$G$5="DPD180+",(AS180-AS145)*(1+Leadsheet!$E$115),Leadsheet!$G$5="DPD360+",(AS165-AS145)*(1+Leadsheet!$E$115)),0)</f>
        <v>0</v>
      </c>
      <c r="AT68" s="301" cm="1">
        <f t="array" ref="AT68">IF(AT5=$D$7,_xlfn.IFS(Leadsheet!$G$4="IFRS",0,Leadsheet!$G$5="DPD180+",(AT180-AT145)*(1+Leadsheet!$E$115),Leadsheet!$G$5="DPD360+",(AT165-AT145)*(1+Leadsheet!$E$115)),0)</f>
        <v>0</v>
      </c>
      <c r="AU68" s="301" cm="1">
        <f t="array" ref="AU68">IF(AU5=$D$7,_xlfn.IFS(Leadsheet!$G$4="IFRS",0,Leadsheet!$G$5="DPD180+",(AU180-AU145)*(1+Leadsheet!$E$115),Leadsheet!$G$5="DPD360+",(AU165-AU145)*(1+Leadsheet!$E$115)),0)</f>
        <v>0</v>
      </c>
      <c r="AV68" s="301" cm="1">
        <f t="array" ref="AV68">IF(AV5=$D$7,_xlfn.IFS(Leadsheet!$G$4="IFRS",0,Leadsheet!$G$5="DPD180+",(AV180-AV145)*(1+Leadsheet!$E$115),Leadsheet!$G$5="DPD360+",(AV165-AV145)*(1+Leadsheet!$E$115)),0)</f>
        <v>0</v>
      </c>
      <c r="AW68" s="301" cm="1">
        <f t="array" ref="AW68">IF(AW5=$D$7,_xlfn.IFS(Leadsheet!$G$4="IFRS",0,Leadsheet!$G$5="DPD180+",(AW180-AW145)*(1+Leadsheet!$E$115),Leadsheet!$G$5="DPD360+",(AW165-AW145)*(1+Leadsheet!$E$115)),0)</f>
        <v>0</v>
      </c>
      <c r="AX68" s="301" cm="1">
        <f t="array" ref="AX68">IF(AX5=$D$7,_xlfn.IFS(Leadsheet!$G$4="IFRS",0,Leadsheet!$G$5="DPD180+",(AX180-AX145)*(1+Leadsheet!$E$115),Leadsheet!$G$5="DPD360+",(AX165-AX145)*(1+Leadsheet!$E$115)),0)</f>
        <v>0</v>
      </c>
      <c r="AY68" s="301" cm="1">
        <f t="array" ref="AY68">IF(AY5=$D$7,_xlfn.IFS(Leadsheet!$G$4="IFRS",0,Leadsheet!$G$5="DPD180+",(AY180-AY145)*(1+Leadsheet!$E$115),Leadsheet!$G$5="DPD360+",(AY165-AY145)*(1+Leadsheet!$E$115)),0)</f>
        <v>0</v>
      </c>
      <c r="AZ68" s="301" cm="1">
        <f t="array" ref="AZ68">IF(AZ5=$D$7,_xlfn.IFS(Leadsheet!$G$4="IFRS",0,Leadsheet!$G$5="DPD180+",(AZ180-AZ145)*(1+Leadsheet!$E$115),Leadsheet!$G$5="DPD360+",(AZ165-AZ145)*(1+Leadsheet!$E$115)),0)</f>
        <v>0</v>
      </c>
      <c r="BA68" s="301" cm="1">
        <f t="array" ref="BA68">IF(BA5=$D$7,_xlfn.IFS(Leadsheet!$G$4="IFRS",0,Leadsheet!$G$5="DPD180+",(BA180-BA145)*(1+Leadsheet!$E$115),Leadsheet!$G$5="DPD360+",(BA165-BA145)*(1+Leadsheet!$E$115)),0)</f>
        <v>0</v>
      </c>
      <c r="BB68" s="301" cm="1">
        <f t="array" ref="BB68">IF(BB5=$D$7,_xlfn.IFS(Leadsheet!$G$4="IFRS",0,Leadsheet!$G$5="DPD180+",(BB180-BB145)*(1+Leadsheet!$E$115),Leadsheet!$G$5="DPD360+",(BB165-BB145)*(1+Leadsheet!$E$115)),0)</f>
        <v>0</v>
      </c>
      <c r="BC68" s="301" cm="1">
        <f t="array" ref="BC68">IF(BC5=$D$7,_xlfn.IFS(Leadsheet!$G$4="IFRS",0,Leadsheet!$G$5="DPD180+",(BC180-BC145)*(1+Leadsheet!$E$115),Leadsheet!$G$5="DPD360+",(BC165-BC145)*(1+Leadsheet!$E$115)),0)</f>
        <v>0</v>
      </c>
      <c r="BD68" s="301" cm="1">
        <f t="array" ref="BD68">IF(BD5=$D$7,_xlfn.IFS(Leadsheet!$G$4="IFRS",0,Leadsheet!$G$5="DPD180+",(BD180-BD145)*(1+Leadsheet!$E$115),Leadsheet!$G$5="DPD360+",(BD165-BD145)*(1+Leadsheet!$E$115)),0)</f>
        <v>0</v>
      </c>
      <c r="BE68" s="301" cm="1">
        <f t="array" ref="BE68">IF(BE5=$D$7,_xlfn.IFS(Leadsheet!$G$4="IFRS",0,Leadsheet!$G$5="DPD180+",(BE180-BE145)*(1+Leadsheet!$E$115),Leadsheet!$G$5="DPD360+",(BE165-BE145)*(1+Leadsheet!$E$115)),0)</f>
        <v>0</v>
      </c>
      <c r="BF68" s="301" cm="1">
        <f t="array" ref="BF68">IF(BF5=$D$7,_xlfn.IFS(Leadsheet!$G$4="IFRS",0,Leadsheet!$G$5="DPD180+",(BF180-BF145)*(1+Leadsheet!$E$115),Leadsheet!$G$5="DPD360+",(BF165-BF145)*(1+Leadsheet!$E$115)),0)</f>
        <v>0</v>
      </c>
      <c r="BG68" s="301" cm="1">
        <f t="array" ref="BG68">IF(BG5=$D$7,_xlfn.IFS(Leadsheet!$G$4="IFRS",0,Leadsheet!$G$5="DPD180+",(BG180-BG145)*(1+Leadsheet!$E$115),Leadsheet!$G$5="DPD360+",(BG165-BG145)*(1+Leadsheet!$E$115)),0)</f>
        <v>0</v>
      </c>
      <c r="BH68" s="301" cm="1">
        <f t="array" ref="BH68">IF(BH5=$D$7,_xlfn.IFS(Leadsheet!$G$4="IFRS",0,Leadsheet!$G$5="DPD180+",(BH180-BH145)*(1+Leadsheet!$E$115),Leadsheet!$G$5="DPD360+",(BH165-BH145)*(1+Leadsheet!$E$115)),0)</f>
        <v>0</v>
      </c>
      <c r="BI68" s="301" cm="1">
        <f t="array" ref="BI68">IF(BI5=$D$7,_xlfn.IFS(Leadsheet!$G$4="IFRS",0,Leadsheet!$G$5="DPD180+",(BI180-BI145)*(1+Leadsheet!$E$115),Leadsheet!$G$5="DPD360+",(BI165-BI145)*(1+Leadsheet!$E$115)),0)</f>
        <v>0</v>
      </c>
      <c r="BJ68" s="301" cm="1">
        <f t="array" ref="BJ68">IF(BJ5=$D$7,_xlfn.IFS(Leadsheet!$G$4="IFRS",0,Leadsheet!$G$5="DPD180+",(BJ180-BJ145)*(1+Leadsheet!$E$115),Leadsheet!$G$5="DPD360+",(BJ165-BJ145)*(1+Leadsheet!$E$115)),0)</f>
        <v>0</v>
      </c>
      <c r="BK68" s="301" cm="1">
        <f t="array" ref="BK68">IF(BK5=$D$7,_xlfn.IFS(Leadsheet!$G$4="IFRS",0,Leadsheet!$G$5="DPD180+",(BK180-BK145)*(1+Leadsheet!$E$115),Leadsheet!$G$5="DPD360+",(BK165-BK145)*(1+Leadsheet!$E$115)),0)</f>
        <v>0</v>
      </c>
      <c r="BL68" s="301" cm="1">
        <f t="array" ref="BL68">IF(BL5=$D$7,_xlfn.IFS(Leadsheet!$G$4="IFRS",0,Leadsheet!$G$5="DPD180+",(BL180-BL145)*(1+Leadsheet!$E$115),Leadsheet!$G$5="DPD360+",(BL165-BL145)*(1+Leadsheet!$E$115)),0)</f>
        <v>0</v>
      </c>
    </row>
    <row r="69" spans="2:64" x14ac:dyDescent="0.15">
      <c r="E69" s="140"/>
      <c r="F69" s="140"/>
      <c r="G69" s="140"/>
      <c r="H69" s="140"/>
      <c r="I69" s="140"/>
      <c r="J69" s="140"/>
      <c r="K69" s="140"/>
      <c r="L69" s="140"/>
      <c r="M69" s="140"/>
      <c r="N69" s="140"/>
      <c r="O69" s="140"/>
      <c r="P69" s="140"/>
      <c r="Q69" s="140"/>
      <c r="R69" s="140"/>
      <c r="S69" s="140"/>
      <c r="T69" s="140"/>
      <c r="U69" s="140"/>
      <c r="V69" s="140"/>
      <c r="W69" s="140"/>
      <c r="X69" s="140"/>
      <c r="Y69" s="140"/>
      <c r="Z69" s="140"/>
      <c r="AA69" s="140"/>
      <c r="AB69" s="140"/>
      <c r="AC69" s="140"/>
      <c r="AD69" s="140"/>
      <c r="AE69" s="140"/>
      <c r="AF69" s="140"/>
      <c r="AG69" s="140"/>
      <c r="AH69" s="140"/>
      <c r="AI69" s="140"/>
      <c r="AJ69" s="140"/>
      <c r="AK69" s="140"/>
      <c r="AL69" s="140"/>
      <c r="AM69" s="140"/>
      <c r="AN69" s="140"/>
      <c r="AO69" s="140"/>
      <c r="AP69" s="140"/>
      <c r="AQ69" s="140"/>
      <c r="AR69" s="140"/>
      <c r="AS69" s="140"/>
      <c r="AT69" s="140"/>
      <c r="AU69" s="140"/>
      <c r="AV69" s="140"/>
      <c r="AW69" s="140"/>
      <c r="AX69" s="140"/>
      <c r="AY69" s="140"/>
      <c r="AZ69" s="140"/>
      <c r="BA69" s="140"/>
      <c r="BB69" s="140"/>
      <c r="BC69" s="140"/>
      <c r="BD69" s="140"/>
      <c r="BE69" s="140"/>
      <c r="BF69" s="140"/>
      <c r="BG69" s="140"/>
      <c r="BH69" s="140"/>
      <c r="BI69" s="140"/>
      <c r="BJ69" s="140"/>
      <c r="BK69" s="140"/>
      <c r="BL69" s="140"/>
    </row>
    <row r="71" spans="2:64" x14ac:dyDescent="0.15">
      <c r="B71" s="155" t="s">
        <v>388</v>
      </c>
      <c r="E71" s="297">
        <f t="shared" ref="E71:BL71" si="18">E72+E85+E88+E95+E99</f>
        <v>-0.37610464159091972</v>
      </c>
      <c r="F71" s="297">
        <f t="shared" si="18"/>
        <v>-7.7058993986471886E-3</v>
      </c>
      <c r="G71" s="297">
        <f t="shared" si="18"/>
        <v>-7.2017668824625016E-3</v>
      </c>
      <c r="H71" s="297">
        <f t="shared" si="18"/>
        <v>-6.7117116673855483E-3</v>
      </c>
      <c r="I71" s="297">
        <f t="shared" si="18"/>
        <v>-6.5016564523085948E-3</v>
      </c>
      <c r="J71" s="297">
        <f t="shared" si="18"/>
        <v>-6.2916012372316414E-3</v>
      </c>
      <c r="K71" s="297">
        <f t="shared" si="18"/>
        <v>-6.081546022154688E-3</v>
      </c>
      <c r="L71" s="297">
        <f t="shared" si="18"/>
        <v>-5.8714908070777354E-3</v>
      </c>
      <c r="M71" s="297">
        <f t="shared" si="18"/>
        <v>-5.6614355920007811E-3</v>
      </c>
      <c r="N71" s="297">
        <f t="shared" si="18"/>
        <v>-5.4513803769238285E-3</v>
      </c>
      <c r="O71" s="297">
        <f t="shared" si="18"/>
        <v>-5.251380376923828E-3</v>
      </c>
      <c r="P71" s="297">
        <f t="shared" si="18"/>
        <v>-9.3245474116403584E-4</v>
      </c>
      <c r="Q71" s="297">
        <f t="shared" si="18"/>
        <v>-9.3188183183356055E-4</v>
      </c>
      <c r="R71" s="297">
        <f t="shared" si="18"/>
        <v>-9.3187870582100833E-4</v>
      </c>
      <c r="S71" s="297">
        <f t="shared" si="18"/>
        <v>-9.3187770201994099E-4</v>
      </c>
      <c r="T71" s="297">
        <f t="shared" si="18"/>
        <v>-9.3187770201994099E-4</v>
      </c>
      <c r="U71" s="297">
        <f t="shared" si="18"/>
        <v>-9.3187770201994099E-4</v>
      </c>
      <c r="V71" s="297">
        <f t="shared" si="18"/>
        <v>0</v>
      </c>
      <c r="W71" s="297">
        <f t="shared" si="18"/>
        <v>0</v>
      </c>
      <c r="X71" s="297">
        <f t="shared" si="18"/>
        <v>0</v>
      </c>
      <c r="Y71" s="297">
        <f t="shared" si="18"/>
        <v>0</v>
      </c>
      <c r="Z71" s="297">
        <f t="shared" si="18"/>
        <v>0</v>
      </c>
      <c r="AA71" s="297">
        <f t="shared" si="18"/>
        <v>0</v>
      </c>
      <c r="AB71" s="297">
        <f t="shared" si="18"/>
        <v>0</v>
      </c>
      <c r="AC71" s="297">
        <f t="shared" si="18"/>
        <v>0</v>
      </c>
      <c r="AD71" s="297">
        <f t="shared" si="18"/>
        <v>0</v>
      </c>
      <c r="AE71" s="297">
        <f t="shared" si="18"/>
        <v>0</v>
      </c>
      <c r="AF71" s="297">
        <f t="shared" si="18"/>
        <v>0</v>
      </c>
      <c r="AG71" s="297">
        <f t="shared" si="18"/>
        <v>0</v>
      </c>
      <c r="AH71" s="297">
        <f t="shared" si="18"/>
        <v>0</v>
      </c>
      <c r="AI71" s="297">
        <f t="shared" si="18"/>
        <v>0</v>
      </c>
      <c r="AJ71" s="297">
        <f t="shared" si="18"/>
        <v>0</v>
      </c>
      <c r="AK71" s="297">
        <f t="shared" si="18"/>
        <v>0</v>
      </c>
      <c r="AL71" s="297">
        <f t="shared" si="18"/>
        <v>0</v>
      </c>
      <c r="AM71" s="297">
        <f t="shared" si="18"/>
        <v>0</v>
      </c>
      <c r="AN71" s="297">
        <f t="shared" si="18"/>
        <v>0</v>
      </c>
      <c r="AO71" s="297">
        <f t="shared" si="18"/>
        <v>0</v>
      </c>
      <c r="AP71" s="297">
        <f t="shared" si="18"/>
        <v>0</v>
      </c>
      <c r="AQ71" s="297">
        <f t="shared" si="18"/>
        <v>0</v>
      </c>
      <c r="AR71" s="297">
        <f t="shared" si="18"/>
        <v>0</v>
      </c>
      <c r="AS71" s="297">
        <f t="shared" si="18"/>
        <v>0</v>
      </c>
      <c r="AT71" s="297">
        <f t="shared" si="18"/>
        <v>0</v>
      </c>
      <c r="AU71" s="297">
        <f t="shared" si="18"/>
        <v>0</v>
      </c>
      <c r="AV71" s="297">
        <f t="shared" si="18"/>
        <v>0</v>
      </c>
      <c r="AW71" s="297">
        <f t="shared" si="18"/>
        <v>0</v>
      </c>
      <c r="AX71" s="297">
        <f t="shared" si="18"/>
        <v>0</v>
      </c>
      <c r="AY71" s="297">
        <f t="shared" si="18"/>
        <v>0</v>
      </c>
      <c r="AZ71" s="297">
        <f t="shared" si="18"/>
        <v>0</v>
      </c>
      <c r="BA71" s="297">
        <f t="shared" si="18"/>
        <v>0</v>
      </c>
      <c r="BB71" s="297">
        <f t="shared" si="18"/>
        <v>0</v>
      </c>
      <c r="BC71" s="297">
        <f t="shared" si="18"/>
        <v>0</v>
      </c>
      <c r="BD71" s="297">
        <f t="shared" si="18"/>
        <v>0</v>
      </c>
      <c r="BE71" s="297">
        <f t="shared" si="18"/>
        <v>0</v>
      </c>
      <c r="BF71" s="297">
        <f t="shared" si="18"/>
        <v>0</v>
      </c>
      <c r="BG71" s="297">
        <f t="shared" si="18"/>
        <v>0</v>
      </c>
      <c r="BH71" s="297">
        <f t="shared" si="18"/>
        <v>0</v>
      </c>
      <c r="BI71" s="297">
        <f t="shared" si="18"/>
        <v>0</v>
      </c>
      <c r="BJ71" s="297">
        <f t="shared" si="18"/>
        <v>0</v>
      </c>
      <c r="BK71" s="297">
        <f t="shared" si="18"/>
        <v>0</v>
      </c>
      <c r="BL71" s="297">
        <f t="shared" si="18"/>
        <v>0</v>
      </c>
    </row>
    <row r="72" spans="2:64" x14ac:dyDescent="0.15">
      <c r="B72" s="155" t="s">
        <v>94</v>
      </c>
      <c r="C72" s="155"/>
      <c r="D72" s="155"/>
      <c r="E72" s="279">
        <f>E73+E74</f>
        <v>-0.32711061346881087</v>
      </c>
      <c r="F72" s="279">
        <f t="shared" ref="F72:BL72" si="19">F73+F74</f>
        <v>0</v>
      </c>
      <c r="G72" s="279">
        <f t="shared" si="19"/>
        <v>0</v>
      </c>
      <c r="H72" s="279">
        <f t="shared" si="19"/>
        <v>0</v>
      </c>
      <c r="I72" s="279">
        <f t="shared" si="19"/>
        <v>0</v>
      </c>
      <c r="J72" s="279">
        <f t="shared" si="19"/>
        <v>0</v>
      </c>
      <c r="K72" s="279">
        <f t="shared" si="19"/>
        <v>0</v>
      </c>
      <c r="L72" s="279">
        <f t="shared" si="19"/>
        <v>0</v>
      </c>
      <c r="M72" s="279">
        <f t="shared" si="19"/>
        <v>0</v>
      </c>
      <c r="N72" s="279">
        <f t="shared" si="19"/>
        <v>0</v>
      </c>
      <c r="O72" s="279">
        <f t="shared" si="19"/>
        <v>0</v>
      </c>
      <c r="P72" s="279">
        <f t="shared" si="19"/>
        <v>0</v>
      </c>
      <c r="Q72" s="279">
        <f t="shared" si="19"/>
        <v>0</v>
      </c>
      <c r="R72" s="279">
        <f t="shared" si="19"/>
        <v>0</v>
      </c>
      <c r="S72" s="279">
        <f t="shared" si="19"/>
        <v>0</v>
      </c>
      <c r="T72" s="279">
        <f t="shared" si="19"/>
        <v>0</v>
      </c>
      <c r="U72" s="279">
        <f t="shared" si="19"/>
        <v>0</v>
      </c>
      <c r="V72" s="279">
        <f t="shared" si="19"/>
        <v>0</v>
      </c>
      <c r="W72" s="279">
        <f t="shared" si="19"/>
        <v>0</v>
      </c>
      <c r="X72" s="279">
        <f t="shared" si="19"/>
        <v>0</v>
      </c>
      <c r="Y72" s="279">
        <f t="shared" si="19"/>
        <v>0</v>
      </c>
      <c r="Z72" s="279">
        <f t="shared" si="19"/>
        <v>0</v>
      </c>
      <c r="AA72" s="279">
        <f t="shared" si="19"/>
        <v>0</v>
      </c>
      <c r="AB72" s="279">
        <f t="shared" si="19"/>
        <v>0</v>
      </c>
      <c r="AC72" s="279">
        <f t="shared" si="19"/>
        <v>0</v>
      </c>
      <c r="AD72" s="279">
        <f t="shared" si="19"/>
        <v>0</v>
      </c>
      <c r="AE72" s="279">
        <f t="shared" si="19"/>
        <v>0</v>
      </c>
      <c r="AF72" s="279">
        <f t="shared" si="19"/>
        <v>0</v>
      </c>
      <c r="AG72" s="279">
        <f t="shared" si="19"/>
        <v>0</v>
      </c>
      <c r="AH72" s="279">
        <f t="shared" si="19"/>
        <v>0</v>
      </c>
      <c r="AI72" s="279">
        <f t="shared" si="19"/>
        <v>0</v>
      </c>
      <c r="AJ72" s="279">
        <f t="shared" si="19"/>
        <v>0</v>
      </c>
      <c r="AK72" s="279">
        <f t="shared" si="19"/>
        <v>0</v>
      </c>
      <c r="AL72" s="279">
        <f t="shared" si="19"/>
        <v>0</v>
      </c>
      <c r="AM72" s="279">
        <f t="shared" si="19"/>
        <v>0</v>
      </c>
      <c r="AN72" s="279">
        <f t="shared" si="19"/>
        <v>0</v>
      </c>
      <c r="AO72" s="279">
        <f t="shared" si="19"/>
        <v>0</v>
      </c>
      <c r="AP72" s="279">
        <f t="shared" si="19"/>
        <v>0</v>
      </c>
      <c r="AQ72" s="279">
        <f t="shared" si="19"/>
        <v>0</v>
      </c>
      <c r="AR72" s="279">
        <f t="shared" si="19"/>
        <v>0</v>
      </c>
      <c r="AS72" s="279">
        <f t="shared" si="19"/>
        <v>0</v>
      </c>
      <c r="AT72" s="279">
        <f t="shared" si="19"/>
        <v>0</v>
      </c>
      <c r="AU72" s="279">
        <f t="shared" si="19"/>
        <v>0</v>
      </c>
      <c r="AV72" s="279">
        <f t="shared" si="19"/>
        <v>0</v>
      </c>
      <c r="AW72" s="279">
        <f t="shared" si="19"/>
        <v>0</v>
      </c>
      <c r="AX72" s="279">
        <f t="shared" si="19"/>
        <v>0</v>
      </c>
      <c r="AY72" s="279">
        <f t="shared" si="19"/>
        <v>0</v>
      </c>
      <c r="AZ72" s="279">
        <f t="shared" si="19"/>
        <v>0</v>
      </c>
      <c r="BA72" s="279">
        <f t="shared" si="19"/>
        <v>0</v>
      </c>
      <c r="BB72" s="279">
        <f t="shared" si="19"/>
        <v>0</v>
      </c>
      <c r="BC72" s="279">
        <f t="shared" si="19"/>
        <v>0</v>
      </c>
      <c r="BD72" s="279">
        <f t="shared" si="19"/>
        <v>0</v>
      </c>
      <c r="BE72" s="279">
        <f t="shared" si="19"/>
        <v>0</v>
      </c>
      <c r="BF72" s="279">
        <f t="shared" si="19"/>
        <v>0</v>
      </c>
      <c r="BG72" s="279">
        <f t="shared" si="19"/>
        <v>0</v>
      </c>
      <c r="BH72" s="279">
        <f t="shared" si="19"/>
        <v>0</v>
      </c>
      <c r="BI72" s="279">
        <f t="shared" si="19"/>
        <v>0</v>
      </c>
      <c r="BJ72" s="279">
        <f t="shared" si="19"/>
        <v>0</v>
      </c>
      <c r="BK72" s="279">
        <f t="shared" si="19"/>
        <v>0</v>
      </c>
      <c r="BL72" s="279">
        <f t="shared" si="19"/>
        <v>0</v>
      </c>
    </row>
    <row r="73" spans="2:64" s="163" customFormat="1" x14ac:dyDescent="0.15">
      <c r="C73" s="84" t="s">
        <v>389</v>
      </c>
      <c r="E73" s="140">
        <f>-Leadsheet!E56-Leadsheet!E57*Leadsheet!E10</f>
        <v>-0.32711061346881087</v>
      </c>
    </row>
    <row r="74" spans="2:64" x14ac:dyDescent="0.15">
      <c r="C74" s="155" t="s">
        <v>390</v>
      </c>
      <c r="E74" s="279">
        <f t="shared" ref="E74:BL74" si="20">SUM(E75:E82)</f>
        <v>0</v>
      </c>
      <c r="F74" s="279">
        <f t="shared" si="20"/>
        <v>0</v>
      </c>
      <c r="G74" s="279">
        <f t="shared" si="20"/>
        <v>0</v>
      </c>
      <c r="H74" s="279">
        <f t="shared" si="20"/>
        <v>0</v>
      </c>
      <c r="I74" s="279">
        <f t="shared" si="20"/>
        <v>0</v>
      </c>
      <c r="J74" s="279">
        <f t="shared" si="20"/>
        <v>0</v>
      </c>
      <c r="K74" s="279">
        <f t="shared" si="20"/>
        <v>0</v>
      </c>
      <c r="L74" s="279">
        <f t="shared" si="20"/>
        <v>0</v>
      </c>
      <c r="M74" s="279">
        <f t="shared" si="20"/>
        <v>0</v>
      </c>
      <c r="N74" s="279">
        <f t="shared" si="20"/>
        <v>0</v>
      </c>
      <c r="O74" s="279">
        <f t="shared" si="20"/>
        <v>0</v>
      </c>
      <c r="P74" s="279">
        <f t="shared" si="20"/>
        <v>0</v>
      </c>
      <c r="Q74" s="279">
        <f t="shared" si="20"/>
        <v>0</v>
      </c>
      <c r="R74" s="279">
        <f t="shared" si="20"/>
        <v>0</v>
      </c>
      <c r="S74" s="279">
        <f t="shared" si="20"/>
        <v>0</v>
      </c>
      <c r="T74" s="279">
        <f t="shared" si="20"/>
        <v>0</v>
      </c>
      <c r="U74" s="279">
        <f t="shared" si="20"/>
        <v>0</v>
      </c>
      <c r="V74" s="279">
        <f t="shared" si="20"/>
        <v>0</v>
      </c>
      <c r="W74" s="279">
        <f t="shared" si="20"/>
        <v>0</v>
      </c>
      <c r="X74" s="279">
        <f t="shared" si="20"/>
        <v>0</v>
      </c>
      <c r="Y74" s="279">
        <f t="shared" si="20"/>
        <v>0</v>
      </c>
      <c r="Z74" s="279">
        <f t="shared" si="20"/>
        <v>0</v>
      </c>
      <c r="AA74" s="279">
        <f t="shared" si="20"/>
        <v>0</v>
      </c>
      <c r="AB74" s="279">
        <f t="shared" si="20"/>
        <v>0</v>
      </c>
      <c r="AC74" s="279">
        <f t="shared" si="20"/>
        <v>0</v>
      </c>
      <c r="AD74" s="279">
        <f t="shared" si="20"/>
        <v>0</v>
      </c>
      <c r="AE74" s="279">
        <f t="shared" si="20"/>
        <v>0</v>
      </c>
      <c r="AF74" s="279">
        <f t="shared" si="20"/>
        <v>0</v>
      </c>
      <c r="AG74" s="279">
        <f t="shared" si="20"/>
        <v>0</v>
      </c>
      <c r="AH74" s="279">
        <f t="shared" si="20"/>
        <v>0</v>
      </c>
      <c r="AI74" s="279">
        <f t="shared" si="20"/>
        <v>0</v>
      </c>
      <c r="AJ74" s="279">
        <f t="shared" si="20"/>
        <v>0</v>
      </c>
      <c r="AK74" s="279">
        <f t="shared" si="20"/>
        <v>0</v>
      </c>
      <c r="AL74" s="279">
        <f t="shared" si="20"/>
        <v>0</v>
      </c>
      <c r="AM74" s="279">
        <f t="shared" si="20"/>
        <v>0</v>
      </c>
      <c r="AN74" s="279">
        <f t="shared" si="20"/>
        <v>0</v>
      </c>
      <c r="AO74" s="279">
        <f t="shared" si="20"/>
        <v>0</v>
      </c>
      <c r="AP74" s="279">
        <f t="shared" si="20"/>
        <v>0</v>
      </c>
      <c r="AQ74" s="279">
        <f t="shared" si="20"/>
        <v>0</v>
      </c>
      <c r="AR74" s="279">
        <f t="shared" si="20"/>
        <v>0</v>
      </c>
      <c r="AS74" s="279">
        <f t="shared" si="20"/>
        <v>0</v>
      </c>
      <c r="AT74" s="279">
        <f t="shared" si="20"/>
        <v>0</v>
      </c>
      <c r="AU74" s="279">
        <f t="shared" si="20"/>
        <v>0</v>
      </c>
      <c r="AV74" s="279">
        <f t="shared" si="20"/>
        <v>0</v>
      </c>
      <c r="AW74" s="279">
        <f t="shared" si="20"/>
        <v>0</v>
      </c>
      <c r="AX74" s="279">
        <f t="shared" si="20"/>
        <v>0</v>
      </c>
      <c r="AY74" s="279">
        <f t="shared" si="20"/>
        <v>0</v>
      </c>
      <c r="AZ74" s="279">
        <f t="shared" si="20"/>
        <v>0</v>
      </c>
      <c r="BA74" s="279">
        <f t="shared" si="20"/>
        <v>0</v>
      </c>
      <c r="BB74" s="279">
        <f t="shared" si="20"/>
        <v>0</v>
      </c>
      <c r="BC74" s="279">
        <f t="shared" si="20"/>
        <v>0</v>
      </c>
      <c r="BD74" s="279">
        <f t="shared" si="20"/>
        <v>0</v>
      </c>
      <c r="BE74" s="279">
        <f t="shared" si="20"/>
        <v>0</v>
      </c>
      <c r="BF74" s="279">
        <f t="shared" si="20"/>
        <v>0</v>
      </c>
      <c r="BG74" s="279">
        <f t="shared" si="20"/>
        <v>0</v>
      </c>
      <c r="BH74" s="279">
        <f t="shared" si="20"/>
        <v>0</v>
      </c>
      <c r="BI74" s="279">
        <f t="shared" si="20"/>
        <v>0</v>
      </c>
      <c r="BJ74" s="279">
        <f t="shared" si="20"/>
        <v>0</v>
      </c>
      <c r="BK74" s="279">
        <f t="shared" si="20"/>
        <v>0</v>
      </c>
      <c r="BL74" s="279">
        <f t="shared" si="20"/>
        <v>0</v>
      </c>
    </row>
    <row r="75" spans="2:64" x14ac:dyDescent="0.15">
      <c r="C75" s="161" t="s">
        <v>101</v>
      </c>
      <c r="E75" s="140">
        <f>-SUM(E58:E58)*Leadsheet!$E$50</f>
        <v>0</v>
      </c>
      <c r="F75" s="140">
        <f>-SUM(F58:F58)*Leadsheet!$E$50</f>
        <v>0</v>
      </c>
      <c r="G75" s="140">
        <f>-SUM(G58:G58)*Leadsheet!$E$50</f>
        <v>0</v>
      </c>
      <c r="H75" s="140">
        <f>-SUM(H58:H58)*Leadsheet!$E$50</f>
        <v>0</v>
      </c>
      <c r="I75" s="140">
        <f>-SUM(I58:I58)*Leadsheet!$E$50</f>
        <v>0</v>
      </c>
      <c r="J75" s="140">
        <f>-SUM(J58:J58)*Leadsheet!$E$50</f>
        <v>0</v>
      </c>
      <c r="K75" s="140">
        <f>-SUM(K58:K58)*Leadsheet!$E$50</f>
        <v>0</v>
      </c>
      <c r="L75" s="140">
        <f>-SUM(L58:L58)*Leadsheet!$E$50</f>
        <v>0</v>
      </c>
      <c r="M75" s="140">
        <f>-SUM(M58:M58)*Leadsheet!$E$50</f>
        <v>0</v>
      </c>
      <c r="N75" s="140">
        <f>-SUM(N58:N58)*Leadsheet!$E$50</f>
        <v>0</v>
      </c>
      <c r="O75" s="140">
        <f>-SUM(O58:O58)*Leadsheet!$E$50</f>
        <v>0</v>
      </c>
      <c r="P75" s="140">
        <f>-SUM(P58:P58)*Leadsheet!$E$50</f>
        <v>0</v>
      </c>
      <c r="Q75" s="140">
        <f>-SUM(Q58:Q58)*Leadsheet!$E$50</f>
        <v>0</v>
      </c>
      <c r="R75" s="140">
        <f>-SUM(R58:R58)*Leadsheet!$E$50</f>
        <v>0</v>
      </c>
      <c r="S75" s="140">
        <f>-SUM(S58:S58)*Leadsheet!$E$50</f>
        <v>0</v>
      </c>
      <c r="T75" s="140">
        <f>-SUM(T58:T58)*Leadsheet!$E$50</f>
        <v>0</v>
      </c>
      <c r="U75" s="140">
        <f>-SUM(U58:U58)*Leadsheet!$E$50</f>
        <v>0</v>
      </c>
      <c r="V75" s="140">
        <f>-SUM(V58:V58)*Leadsheet!$E$50</f>
        <v>0</v>
      </c>
      <c r="W75" s="140">
        <f>-SUM(W58:W58)*Leadsheet!$E$50</f>
        <v>0</v>
      </c>
      <c r="X75" s="140">
        <f>-SUM(X58:X58)*Leadsheet!$E$50</f>
        <v>0</v>
      </c>
      <c r="Y75" s="140">
        <f>-SUM(Y58:Y58)*Leadsheet!$E$50</f>
        <v>0</v>
      </c>
      <c r="Z75" s="140">
        <f>-SUM(Z58:Z58)*Leadsheet!$E$50</f>
        <v>0</v>
      </c>
      <c r="AA75" s="140">
        <f>-SUM(AA58:AA58)*Leadsheet!$E$50</f>
        <v>0</v>
      </c>
      <c r="AB75" s="140">
        <f>-SUM(AB58:AB58)*Leadsheet!$E$50</f>
        <v>0</v>
      </c>
      <c r="AC75" s="140">
        <f>-SUM(AC58:AC58)*Leadsheet!$E$50</f>
        <v>0</v>
      </c>
      <c r="AD75" s="140">
        <f>-SUM(AD58:AD58)*Leadsheet!$E$50</f>
        <v>0</v>
      </c>
      <c r="AE75" s="140">
        <f>-SUM(AE58:AE58)*Leadsheet!$E$50</f>
        <v>0</v>
      </c>
      <c r="AF75" s="140">
        <f>-SUM(AF58:AF58)*Leadsheet!$E$50</f>
        <v>0</v>
      </c>
      <c r="AG75" s="140">
        <f>-SUM(AG58:AG58)*Leadsheet!$E$50</f>
        <v>0</v>
      </c>
      <c r="AH75" s="140">
        <f>-SUM(AH58:AH58)*Leadsheet!$E$50</f>
        <v>0</v>
      </c>
      <c r="AI75" s="140">
        <f>-SUM(AI58:AI58)*Leadsheet!$E$50</f>
        <v>0</v>
      </c>
      <c r="AJ75" s="140">
        <f>-SUM(AJ58:AJ58)*Leadsheet!$E$50</f>
        <v>0</v>
      </c>
      <c r="AK75" s="140">
        <f>-SUM(AK58:AK58)*Leadsheet!$E$50</f>
        <v>0</v>
      </c>
      <c r="AL75" s="140">
        <f>-SUM(AL58:AL58)*Leadsheet!$E$50</f>
        <v>0</v>
      </c>
      <c r="AM75" s="140">
        <f>-SUM(AM58:AM58)*Leadsheet!$E$50</f>
        <v>0</v>
      </c>
      <c r="AN75" s="140">
        <f>-SUM(AN58:AN58)*Leadsheet!$E$50</f>
        <v>0</v>
      </c>
      <c r="AO75" s="140">
        <f>-SUM(AO58:AO58)*Leadsheet!$E$50</f>
        <v>0</v>
      </c>
      <c r="AP75" s="140">
        <f>-SUM(AP58:AP58)*Leadsheet!$E$50</f>
        <v>0</v>
      </c>
      <c r="AQ75" s="140">
        <f>-SUM(AQ58:AQ58)*Leadsheet!$E$50</f>
        <v>0</v>
      </c>
      <c r="AR75" s="140">
        <f>-SUM(AR58:AR58)*Leadsheet!$E$50</f>
        <v>0</v>
      </c>
      <c r="AS75" s="140">
        <f>-SUM(AS58:AS58)*Leadsheet!$E$50</f>
        <v>0</v>
      </c>
      <c r="AT75" s="140">
        <f>-SUM(AT58:AT58)*Leadsheet!$E$50</f>
        <v>0</v>
      </c>
      <c r="AU75" s="140">
        <f>-SUM(AU58:AU58)*Leadsheet!$E$50</f>
        <v>0</v>
      </c>
      <c r="AV75" s="140">
        <f>-SUM(AV58:AV58)*Leadsheet!$E$50</f>
        <v>0</v>
      </c>
      <c r="AW75" s="140">
        <f>-SUM(AW58:AW58)*Leadsheet!$E$50</f>
        <v>0</v>
      </c>
      <c r="AX75" s="140">
        <f>-SUM(AX58:AX58)*Leadsheet!$E$50</f>
        <v>0</v>
      </c>
      <c r="AY75" s="140">
        <f>-SUM(AY58:AY58)*Leadsheet!$E$50</f>
        <v>0</v>
      </c>
      <c r="AZ75" s="140">
        <f>-SUM(AZ58:AZ58)*Leadsheet!$E$50</f>
        <v>0</v>
      </c>
      <c r="BA75" s="140">
        <f>-SUM(BA58:BA58)*Leadsheet!$E$50</f>
        <v>0</v>
      </c>
      <c r="BB75" s="140">
        <f>-SUM(BB58:BB58)*Leadsheet!$E$50</f>
        <v>0</v>
      </c>
      <c r="BC75" s="140">
        <f>-SUM(BC58:BC58)*Leadsheet!$E$50</f>
        <v>0</v>
      </c>
      <c r="BD75" s="140">
        <f>-SUM(BD58:BD58)*Leadsheet!$E$50</f>
        <v>0</v>
      </c>
      <c r="BE75" s="140">
        <f>-SUM(BE58:BE58)*Leadsheet!$E$50</f>
        <v>0</v>
      </c>
      <c r="BF75" s="140">
        <f>-SUM(BF58:BF58)*Leadsheet!$E$50</f>
        <v>0</v>
      </c>
      <c r="BG75" s="140">
        <f>-SUM(BG58:BG58)*Leadsheet!$E$50</f>
        <v>0</v>
      </c>
      <c r="BH75" s="140">
        <f>-SUM(BH58:BH58)*Leadsheet!$E$50</f>
        <v>0</v>
      </c>
      <c r="BI75" s="140">
        <f>-SUM(BI58:BI58)*Leadsheet!$E$50</f>
        <v>0</v>
      </c>
      <c r="BJ75" s="140">
        <f>-SUM(BJ58:BJ58)*Leadsheet!$E$50</f>
        <v>0</v>
      </c>
      <c r="BK75" s="140">
        <f>-SUM(BK58:BK58)*Leadsheet!$E$50</f>
        <v>0</v>
      </c>
      <c r="BL75" s="140">
        <f>-SUM(BL58:BL58)*Leadsheet!$E$50</f>
        <v>0</v>
      </c>
    </row>
    <row r="76" spans="2:64" x14ac:dyDescent="0.15">
      <c r="C76" s="161" t="s">
        <v>103</v>
      </c>
      <c r="E76" s="140">
        <f>-E59*Leadsheet!$E$51</f>
        <v>0</v>
      </c>
      <c r="F76" s="140">
        <f>-F59*Leadsheet!$E$51</f>
        <v>0</v>
      </c>
      <c r="G76" s="140">
        <f>-G59*Leadsheet!$E$51</f>
        <v>0</v>
      </c>
      <c r="H76" s="140">
        <f>-H59*Leadsheet!$E$51</f>
        <v>0</v>
      </c>
      <c r="I76" s="140">
        <f>-I59*Leadsheet!$E$51</f>
        <v>0</v>
      </c>
      <c r="J76" s="140">
        <f>-J59*Leadsheet!$E$51</f>
        <v>0</v>
      </c>
      <c r="K76" s="140">
        <f>-K59*Leadsheet!$E$51</f>
        <v>0</v>
      </c>
      <c r="L76" s="140">
        <f>-L59*Leadsheet!$E$51</f>
        <v>0</v>
      </c>
      <c r="M76" s="140">
        <f>-M59*Leadsheet!$E$51</f>
        <v>0</v>
      </c>
      <c r="N76" s="140">
        <f>-N59*Leadsheet!$E$51</f>
        <v>0</v>
      </c>
      <c r="O76" s="140">
        <f>-O59*Leadsheet!$E$51</f>
        <v>0</v>
      </c>
      <c r="P76" s="140">
        <f>-P59*Leadsheet!$E$51</f>
        <v>0</v>
      </c>
      <c r="Q76" s="140">
        <f>-Q59*Leadsheet!$E$51</f>
        <v>0</v>
      </c>
      <c r="R76" s="140">
        <f>-R59*Leadsheet!$E$51</f>
        <v>0</v>
      </c>
      <c r="S76" s="140">
        <f>-S59*Leadsheet!$E$51</f>
        <v>0</v>
      </c>
      <c r="T76" s="140">
        <f>-T59*Leadsheet!$E$51</f>
        <v>0</v>
      </c>
      <c r="U76" s="140">
        <f>-U59*Leadsheet!$E$51</f>
        <v>0</v>
      </c>
      <c r="V76" s="140">
        <f>-V59*Leadsheet!$E$51</f>
        <v>0</v>
      </c>
      <c r="W76" s="140">
        <f>-W59*Leadsheet!$E$51</f>
        <v>0</v>
      </c>
      <c r="X76" s="140">
        <f>-X59*Leadsheet!$E$51</f>
        <v>0</v>
      </c>
      <c r="Y76" s="140">
        <f>-Y59*Leadsheet!$E$51</f>
        <v>0</v>
      </c>
      <c r="Z76" s="140">
        <f>-Z59*Leadsheet!$E$51</f>
        <v>0</v>
      </c>
      <c r="AA76" s="140">
        <f>-AA59*Leadsheet!$E$51</f>
        <v>0</v>
      </c>
      <c r="AB76" s="140">
        <f>-AB59*Leadsheet!$E$51</f>
        <v>0</v>
      </c>
      <c r="AC76" s="140">
        <f>-AC59*Leadsheet!$E$51</f>
        <v>0</v>
      </c>
      <c r="AD76" s="140">
        <f>-AD59*Leadsheet!$E$51</f>
        <v>0</v>
      </c>
      <c r="AE76" s="140">
        <f>-AE59*Leadsheet!$E$51</f>
        <v>0</v>
      </c>
      <c r="AF76" s="140">
        <f>-AF59*Leadsheet!$E$51</f>
        <v>0</v>
      </c>
      <c r="AG76" s="140">
        <f>-AG59*Leadsheet!$E$51</f>
        <v>0</v>
      </c>
      <c r="AH76" s="140">
        <f>-AH59*Leadsheet!$E$51</f>
        <v>0</v>
      </c>
      <c r="AI76" s="140">
        <f>-AI59*Leadsheet!$E$51</f>
        <v>0</v>
      </c>
      <c r="AJ76" s="140">
        <f>-AJ59*Leadsheet!$E$51</f>
        <v>0</v>
      </c>
      <c r="AK76" s="140">
        <f>-AK59*Leadsheet!$E$51</f>
        <v>0</v>
      </c>
      <c r="AL76" s="140">
        <f>-AL59*Leadsheet!$E$51</f>
        <v>0</v>
      </c>
      <c r="AM76" s="140">
        <f>-AM59*Leadsheet!$E$51</f>
        <v>0</v>
      </c>
      <c r="AN76" s="140">
        <f>-AN59*Leadsheet!$E$51</f>
        <v>0</v>
      </c>
      <c r="AO76" s="140">
        <f>-AO59*Leadsheet!$E$51</f>
        <v>0</v>
      </c>
      <c r="AP76" s="140">
        <f>-AP59*Leadsheet!$E$51</f>
        <v>0</v>
      </c>
      <c r="AQ76" s="140">
        <f>-AQ59*Leadsheet!$E$51</f>
        <v>0</v>
      </c>
      <c r="AR76" s="140">
        <f>-AR59*Leadsheet!$E$51</f>
        <v>0</v>
      </c>
      <c r="AS76" s="140">
        <f>-AS59*Leadsheet!$E$51</f>
        <v>0</v>
      </c>
      <c r="AT76" s="140">
        <f>-AT59*Leadsheet!$E$51</f>
        <v>0</v>
      </c>
      <c r="AU76" s="140">
        <f>-AU59*Leadsheet!$E$51</f>
        <v>0</v>
      </c>
      <c r="AV76" s="140">
        <f>-AV59*Leadsheet!$E$51</f>
        <v>0</v>
      </c>
      <c r="AW76" s="140">
        <f>-AW59*Leadsheet!$E$51</f>
        <v>0</v>
      </c>
      <c r="AX76" s="140">
        <f>-AX59*Leadsheet!$E$51</f>
        <v>0</v>
      </c>
      <c r="AY76" s="140">
        <f>-AY59*Leadsheet!$E$51</f>
        <v>0</v>
      </c>
      <c r="AZ76" s="140">
        <f>-AZ59*Leadsheet!$E$51</f>
        <v>0</v>
      </c>
      <c r="BA76" s="140">
        <f>-BA59*Leadsheet!$E$51</f>
        <v>0</v>
      </c>
      <c r="BB76" s="140">
        <f>-BB59*Leadsheet!$E$51</f>
        <v>0</v>
      </c>
      <c r="BC76" s="140">
        <f>-BC59*Leadsheet!$E$51</f>
        <v>0</v>
      </c>
      <c r="BD76" s="140">
        <f>-BD59*Leadsheet!$E$51</f>
        <v>0</v>
      </c>
      <c r="BE76" s="140">
        <f>-BE59*Leadsheet!$E$51</f>
        <v>0</v>
      </c>
      <c r="BF76" s="140">
        <f>-BF59*Leadsheet!$E$51</f>
        <v>0</v>
      </c>
      <c r="BG76" s="140">
        <f>-BG59*Leadsheet!$E$51</f>
        <v>0</v>
      </c>
      <c r="BH76" s="140">
        <f>-BH59*Leadsheet!$E$51</f>
        <v>0</v>
      </c>
      <c r="BI76" s="140">
        <f>-BI59*Leadsheet!$E$51</f>
        <v>0</v>
      </c>
      <c r="BJ76" s="140">
        <f>-BJ59*Leadsheet!$E$51</f>
        <v>0</v>
      </c>
      <c r="BK76" s="140">
        <f>-BK59*Leadsheet!$E$51</f>
        <v>0</v>
      </c>
      <c r="BL76" s="140">
        <f>-BL59*Leadsheet!$E$51</f>
        <v>0</v>
      </c>
    </row>
    <row r="77" spans="2:64" x14ac:dyDescent="0.15">
      <c r="C77" s="161" t="s">
        <v>105</v>
      </c>
      <c r="E77" s="140">
        <f>-E61*Leadsheet!$E$52</f>
        <v>0</v>
      </c>
      <c r="F77" s="140">
        <f>-F61*Leadsheet!$E$52</f>
        <v>0</v>
      </c>
      <c r="G77" s="140">
        <f>-G61*Leadsheet!$E$52</f>
        <v>0</v>
      </c>
      <c r="H77" s="140">
        <f>-H61*Leadsheet!$E$52</f>
        <v>0</v>
      </c>
      <c r="I77" s="140">
        <f>-I61*Leadsheet!$E$52</f>
        <v>0</v>
      </c>
      <c r="J77" s="140">
        <f>-J61*Leadsheet!$E$52</f>
        <v>0</v>
      </c>
      <c r="K77" s="140">
        <f>-K61*Leadsheet!$E$52</f>
        <v>0</v>
      </c>
      <c r="L77" s="140">
        <f>-L61*Leadsheet!$E$52</f>
        <v>0</v>
      </c>
      <c r="M77" s="140">
        <f>-M61*Leadsheet!$E$52</f>
        <v>0</v>
      </c>
      <c r="N77" s="140">
        <f>-N61*Leadsheet!$E$52</f>
        <v>0</v>
      </c>
      <c r="O77" s="140">
        <f>-O61*Leadsheet!$E$52</f>
        <v>0</v>
      </c>
      <c r="P77" s="140">
        <f>-P61*Leadsheet!$E$52</f>
        <v>0</v>
      </c>
      <c r="Q77" s="140">
        <f>-Q61*Leadsheet!$E$52</f>
        <v>0</v>
      </c>
      <c r="R77" s="140">
        <f>-R61*Leadsheet!$E$52</f>
        <v>0</v>
      </c>
      <c r="S77" s="140">
        <f>-S61*Leadsheet!$E$52</f>
        <v>0</v>
      </c>
      <c r="T77" s="140">
        <f>-T61*Leadsheet!$E$52</f>
        <v>0</v>
      </c>
      <c r="U77" s="140">
        <f>-U61*Leadsheet!$E$52</f>
        <v>0</v>
      </c>
      <c r="V77" s="140">
        <f>-V61*Leadsheet!$E$52</f>
        <v>0</v>
      </c>
      <c r="W77" s="140">
        <f>-W61*Leadsheet!$E$52</f>
        <v>0</v>
      </c>
      <c r="X77" s="140">
        <f>-X61*Leadsheet!$E$52</f>
        <v>0</v>
      </c>
      <c r="Y77" s="140">
        <f>-Y61*Leadsheet!$E$52</f>
        <v>0</v>
      </c>
      <c r="Z77" s="140">
        <f>-Z61*Leadsheet!$E$52</f>
        <v>0</v>
      </c>
      <c r="AA77" s="140">
        <f>-AA61*Leadsheet!$E$52</f>
        <v>0</v>
      </c>
      <c r="AB77" s="140">
        <f>-AB61*Leadsheet!$E$52</f>
        <v>0</v>
      </c>
      <c r="AC77" s="140">
        <f>-AC61*Leadsheet!$E$52</f>
        <v>0</v>
      </c>
      <c r="AD77" s="140">
        <f>-AD61*Leadsheet!$E$52</f>
        <v>0</v>
      </c>
      <c r="AE77" s="140">
        <f>-AE61*Leadsheet!$E$52</f>
        <v>0</v>
      </c>
      <c r="AF77" s="140">
        <f>-AF61*Leadsheet!$E$52</f>
        <v>0</v>
      </c>
      <c r="AG77" s="140">
        <f>-AG61*Leadsheet!$E$52</f>
        <v>0</v>
      </c>
      <c r="AH77" s="140">
        <f>-AH61*Leadsheet!$E$52</f>
        <v>0</v>
      </c>
      <c r="AI77" s="140">
        <f>-AI61*Leadsheet!$E$52</f>
        <v>0</v>
      </c>
      <c r="AJ77" s="140">
        <f>-AJ61*Leadsheet!$E$52</f>
        <v>0</v>
      </c>
      <c r="AK77" s="140">
        <f>-AK61*Leadsheet!$E$52</f>
        <v>0</v>
      </c>
      <c r="AL77" s="140">
        <f>-AL61*Leadsheet!$E$52</f>
        <v>0</v>
      </c>
      <c r="AM77" s="140">
        <f>-AM61*Leadsheet!$E$52</f>
        <v>0</v>
      </c>
      <c r="AN77" s="140">
        <f>-AN61*Leadsheet!$E$52</f>
        <v>0</v>
      </c>
      <c r="AO77" s="140">
        <f>-AO61*Leadsheet!$E$52</f>
        <v>0</v>
      </c>
      <c r="AP77" s="140">
        <f>-AP61*Leadsheet!$E$52</f>
        <v>0</v>
      </c>
      <c r="AQ77" s="140">
        <f>-AQ61*Leadsheet!$E$52</f>
        <v>0</v>
      </c>
      <c r="AR77" s="140">
        <f>-AR61*Leadsheet!$E$52</f>
        <v>0</v>
      </c>
      <c r="AS77" s="140">
        <f>-AS61*Leadsheet!$E$52</f>
        <v>0</v>
      </c>
      <c r="AT77" s="140">
        <f>-AT61*Leadsheet!$E$52</f>
        <v>0</v>
      </c>
      <c r="AU77" s="140">
        <f>-AU61*Leadsheet!$E$52</f>
        <v>0</v>
      </c>
      <c r="AV77" s="140">
        <f>-AV61*Leadsheet!$E$52</f>
        <v>0</v>
      </c>
      <c r="AW77" s="140">
        <f>-AW61*Leadsheet!$E$52</f>
        <v>0</v>
      </c>
      <c r="AX77" s="140">
        <f>-AX61*Leadsheet!$E$52</f>
        <v>0</v>
      </c>
      <c r="AY77" s="140">
        <f>-AY61*Leadsheet!$E$52</f>
        <v>0</v>
      </c>
      <c r="AZ77" s="140">
        <f>-AZ61*Leadsheet!$E$52</f>
        <v>0</v>
      </c>
      <c r="BA77" s="140">
        <f>-BA61*Leadsheet!$E$52</f>
        <v>0</v>
      </c>
      <c r="BB77" s="140">
        <f>-BB61*Leadsheet!$E$52</f>
        <v>0</v>
      </c>
      <c r="BC77" s="140">
        <f>-BC61*Leadsheet!$E$52</f>
        <v>0</v>
      </c>
      <c r="BD77" s="140">
        <f>-BD61*Leadsheet!$E$52</f>
        <v>0</v>
      </c>
      <c r="BE77" s="140">
        <f>-BE61*Leadsheet!$E$52</f>
        <v>0</v>
      </c>
      <c r="BF77" s="140">
        <f>-BF61*Leadsheet!$E$52</f>
        <v>0</v>
      </c>
      <c r="BG77" s="140">
        <f>-BG61*Leadsheet!$E$52</f>
        <v>0</v>
      </c>
      <c r="BH77" s="140">
        <f>-BH61*Leadsheet!$E$52</f>
        <v>0</v>
      </c>
      <c r="BI77" s="140">
        <f>-BI61*Leadsheet!$E$52</f>
        <v>0</v>
      </c>
      <c r="BJ77" s="140">
        <f>-BJ61*Leadsheet!$E$52</f>
        <v>0</v>
      </c>
      <c r="BK77" s="140">
        <f>-BK61*Leadsheet!$E$52</f>
        <v>0</v>
      </c>
      <c r="BL77" s="140">
        <f>-BL61*Leadsheet!$E$52</f>
        <v>0</v>
      </c>
    </row>
    <row r="78" spans="2:64" x14ac:dyDescent="0.15">
      <c r="C78" s="161" t="s">
        <v>107</v>
      </c>
      <c r="E78" s="140">
        <f>IF(E5&gt;$D$7,0,Leadsheet!$E$53*(E31-SUM(D31:D39)+SUM(E32:E40)))</f>
        <v>0</v>
      </c>
      <c r="F78" s="140">
        <f>IF(F5&gt;$D$7,0,Leadsheet!$E$53*(F31-SUM(E31:E39)+SUM(F32:F40)))</f>
        <v>0</v>
      </c>
      <c r="G78" s="140">
        <f>IF(G5&gt;$D$7,0,Leadsheet!$E$53*(G31-SUM(F31:F39)+SUM(G32:G40)))</f>
        <v>0</v>
      </c>
      <c r="H78" s="140">
        <f>IF(H5&gt;$D$7,0,Leadsheet!$E$53*(H31-SUM(G31:G39)+SUM(H32:H40)))</f>
        <v>0</v>
      </c>
      <c r="I78" s="140">
        <f>IF(I5&gt;$D$7,0,Leadsheet!$E$53*(I31-SUM(H31:H39)+SUM(I32:I40)))</f>
        <v>0</v>
      </c>
      <c r="J78" s="140">
        <f>IF(J5&gt;$D$7,0,Leadsheet!$E$53*(J31-SUM(I31:I39)+SUM(J32:J40)))</f>
        <v>0</v>
      </c>
      <c r="K78" s="140">
        <f>IF(K5&gt;$D$7,0,Leadsheet!$E$53*(K31-SUM(J31:J39)+SUM(K32:K40)))</f>
        <v>0</v>
      </c>
      <c r="L78" s="140">
        <f>IF(L5&gt;$D$7,0,Leadsheet!$E$53*(L31-SUM(K31:K39)+SUM(L32:L40)))</f>
        <v>0</v>
      </c>
      <c r="M78" s="140">
        <f>IF(M5&gt;$D$7,0,Leadsheet!$E$53*(M31-SUM(L31:L39)+SUM(M32:M40)))</f>
        <v>0</v>
      </c>
      <c r="N78" s="140">
        <f>IF(N5&gt;$D$7,0,Leadsheet!$E$53*(N31-SUM(M31:M39)+SUM(N32:N40)))</f>
        <v>0</v>
      </c>
      <c r="O78" s="140">
        <f>IF(O5&gt;$D$7,0,Leadsheet!$E$53*(O31-SUM(N31:N39)+SUM(O32:O40)))</f>
        <v>0</v>
      </c>
      <c r="P78" s="140">
        <f>IF(P5&gt;$D$7,0,Leadsheet!$E$53*(P31-SUM(O31:O39)+SUM(P32:P40)))</f>
        <v>0</v>
      </c>
      <c r="Q78" s="140">
        <f>IF(Q5&gt;$D$7,0,Leadsheet!$E$53*(Q31-SUM(P31:P39)+SUM(Q32:Q40)))</f>
        <v>0</v>
      </c>
      <c r="R78" s="140">
        <f>IF(R5&gt;$D$7,0,Leadsheet!$E$53*(R31-SUM(Q31:Q39)+SUM(R32:R40)))</f>
        <v>0</v>
      </c>
      <c r="S78" s="140">
        <f>IF(S5&gt;$D$7,0,Leadsheet!$E$53*(S31-SUM(R31:R39)+SUM(S32:S40)))</f>
        <v>0</v>
      </c>
      <c r="T78" s="140">
        <f>IF(T5&gt;$D$7,0,Leadsheet!$E$53*(T31-SUM(S31:S39)+SUM(T32:T40)))</f>
        <v>0</v>
      </c>
      <c r="U78" s="140">
        <f>IF(U5&gt;$D$7,0,Leadsheet!$E$53*(U31-SUM(T31:T39)+SUM(U32:U40)))</f>
        <v>0</v>
      </c>
      <c r="V78" s="140">
        <f>IF(V5&gt;$D$7,0,Leadsheet!$E$53*(V31-SUM(U31:U39)+SUM(V32:V40)))</f>
        <v>0</v>
      </c>
      <c r="W78" s="140">
        <f>IF(W5&gt;$D$7,0,Leadsheet!$E$53*(W31-SUM(V31:V39)+SUM(W32:W40)))</f>
        <v>0</v>
      </c>
      <c r="X78" s="140">
        <f>IF(X5&gt;$D$7,0,Leadsheet!$E$53*(X31-SUM(W31:W39)+SUM(X32:X40)))</f>
        <v>0</v>
      </c>
      <c r="Y78" s="140">
        <f>IF(Y5&gt;$D$7,0,Leadsheet!$E$53*(Y31-SUM(X31:X39)+SUM(Y32:Y40)))</f>
        <v>0</v>
      </c>
      <c r="Z78" s="140">
        <f>IF(Z5&gt;$D$7,0,Leadsheet!$E$53*(Z31-SUM(Y31:Y39)+SUM(Z32:Z40)))</f>
        <v>0</v>
      </c>
      <c r="AA78" s="140">
        <f>IF(AA5&gt;$D$7,0,Leadsheet!$E$53*(AA31-SUM(Z31:Z39)+SUM(AA32:AA40)))</f>
        <v>0</v>
      </c>
      <c r="AB78" s="140">
        <f>IF(AB5&gt;$D$7,0,Leadsheet!$E$53*(AB31-SUM(AA31:AA39)+SUM(AB32:AB40)))</f>
        <v>0</v>
      </c>
      <c r="AC78" s="140">
        <f>IF(AC5&gt;$D$7,0,Leadsheet!$E$53*(AC31-SUM(AB31:AB39)+SUM(AC32:AC40)))</f>
        <v>0</v>
      </c>
      <c r="AD78" s="140">
        <f>IF(AD5&gt;$D$7,0,Leadsheet!$E$53*(AD31-SUM(AC31:AC39)+SUM(AD32:AD40)))</f>
        <v>0</v>
      </c>
      <c r="AE78" s="140">
        <f>IF(AE5&gt;$D$7,0,Leadsheet!$E$53*(AE31-SUM(AD31:AD39)+SUM(AE32:AE40)))</f>
        <v>0</v>
      </c>
      <c r="AF78" s="140">
        <f>IF(AF5&gt;$D$7,0,Leadsheet!$E$53*(AF31-SUM(AE31:AE39)+SUM(AF32:AF40)))</f>
        <v>0</v>
      </c>
      <c r="AG78" s="140">
        <f>IF(AG5&gt;$D$7,0,Leadsheet!$E$53*(AG31-SUM(AF31:AF39)+SUM(AG32:AG40)))</f>
        <v>0</v>
      </c>
      <c r="AH78" s="140">
        <f>IF(AH5&gt;$D$7,0,Leadsheet!$E$53*(AH31-SUM(AG31:AG39)+SUM(AH32:AH40)))</f>
        <v>0</v>
      </c>
      <c r="AI78" s="140">
        <f>IF(AI5&gt;$D$7,0,Leadsheet!$E$53*(AI31-SUM(AH31:AH39)+SUM(AI32:AI40)))</f>
        <v>0</v>
      </c>
      <c r="AJ78" s="140">
        <f>IF(AJ5&gt;$D$7,0,Leadsheet!$E$53*(AJ31-SUM(AI31:AI39)+SUM(AJ32:AJ40)))</f>
        <v>0</v>
      </c>
      <c r="AK78" s="140">
        <f>IF(AK5&gt;$D$7,0,Leadsheet!$E$53*(AK31-SUM(AJ31:AJ39)+SUM(AK32:AK40)))</f>
        <v>0</v>
      </c>
      <c r="AL78" s="140">
        <f>IF(AL5&gt;$D$7,0,Leadsheet!$E$53*(AL31-SUM(AK31:AK39)+SUM(AL32:AL40)))</f>
        <v>0</v>
      </c>
      <c r="AM78" s="140">
        <f>IF(AM5&gt;$D$7,0,Leadsheet!$E$53*(AM31-SUM(AL31:AL39)+SUM(AM32:AM40)))</f>
        <v>0</v>
      </c>
      <c r="AN78" s="140">
        <f>IF(AN5&gt;$D$7,0,Leadsheet!$E$53*(AN31-SUM(AM31:AM39)+SUM(AN32:AN40)))</f>
        <v>0</v>
      </c>
      <c r="AO78" s="140">
        <f>IF(AO5&gt;$D$7,0,Leadsheet!$E$53*(AO31-SUM(AN31:AN39)+SUM(AO32:AO40)))</f>
        <v>0</v>
      </c>
      <c r="AP78" s="140">
        <f>IF(AP5&gt;$D$7,0,Leadsheet!$E$53*(AP31-SUM(AO31:AO39)+SUM(AP32:AP40)))</f>
        <v>0</v>
      </c>
      <c r="AQ78" s="140">
        <f>IF(AQ5&gt;$D$7,0,Leadsheet!$E$53*(AQ31-SUM(AP31:AP39)+SUM(AQ32:AQ40)))</f>
        <v>0</v>
      </c>
      <c r="AR78" s="140">
        <f>IF(AR5&gt;$D$7,0,Leadsheet!$E$53*(AR31-SUM(AQ31:AQ39)+SUM(AR32:AR40)))</f>
        <v>0</v>
      </c>
      <c r="AS78" s="140">
        <f>IF(AS5&gt;$D$7,0,Leadsheet!$E$53*(AS31-SUM(AR31:AR39)+SUM(AS32:AS40)))</f>
        <v>0</v>
      </c>
      <c r="AT78" s="140">
        <f>IF(AT5&gt;$D$7,0,Leadsheet!$E$53*(AT31-SUM(AS31:AS39)+SUM(AT32:AT40)))</f>
        <v>0</v>
      </c>
      <c r="AU78" s="140">
        <f>IF(AU5&gt;$D$7,0,Leadsheet!$E$53*(AU31-SUM(AT31:AT39)+SUM(AU32:AU40)))</f>
        <v>0</v>
      </c>
      <c r="AV78" s="140">
        <f>IF(AV5&gt;$D$7,0,Leadsheet!$E$53*(AV31-SUM(AU31:AU39)+SUM(AV32:AV40)))</f>
        <v>0</v>
      </c>
      <c r="AW78" s="140">
        <f>IF(AW5&gt;$D$7,0,Leadsheet!$E$53*(AW31-SUM(AV31:AV39)+SUM(AW32:AW40)))</f>
        <v>0</v>
      </c>
      <c r="AX78" s="140">
        <f>IF(AX5&gt;$D$7,0,Leadsheet!$E$53*(AX31-SUM(AW31:AW39)+SUM(AX32:AX40)))</f>
        <v>0</v>
      </c>
      <c r="AY78" s="140">
        <f>IF(AY5&gt;$D$7,0,Leadsheet!$E$53*(AY31-SUM(AX31:AX39)+SUM(AY32:AY40)))</f>
        <v>0</v>
      </c>
      <c r="AZ78" s="140">
        <f>IF(AZ5&gt;$D$7,0,Leadsheet!$E$53*(AZ31-SUM(AY31:AY39)+SUM(AZ32:AZ40)))</f>
        <v>0</v>
      </c>
      <c r="BA78" s="140">
        <f>IF(BA5&gt;$D$7,0,Leadsheet!$E$53*(BA31-SUM(AZ31:AZ39)+SUM(BA32:BA40)))</f>
        <v>0</v>
      </c>
      <c r="BB78" s="140">
        <f>IF(BB5&gt;$D$7,0,Leadsheet!$E$53*(BB31-SUM(BA31:BA39)+SUM(BB32:BB40)))</f>
        <v>0</v>
      </c>
      <c r="BC78" s="140">
        <f>IF(BC5&gt;$D$7,0,Leadsheet!$E$53*(BC31-SUM(BB31:BB39)+SUM(BC32:BC40)))</f>
        <v>0</v>
      </c>
      <c r="BD78" s="140">
        <f>IF(BD5&gt;$D$7,0,Leadsheet!$E$53*(BD31-SUM(BC31:BC39)+SUM(BD32:BD40)))</f>
        <v>0</v>
      </c>
      <c r="BE78" s="140">
        <f>IF(BE5&gt;$D$7,0,Leadsheet!$E$53*(BE31-SUM(BD31:BD39)+SUM(BE32:BE40)))</f>
        <v>0</v>
      </c>
      <c r="BF78" s="140">
        <f>IF(BF5&gt;$D$7,0,Leadsheet!$E$53*(BF31-SUM(BE31:BE39)+SUM(BF32:BF40)))</f>
        <v>0</v>
      </c>
      <c r="BG78" s="140">
        <f>IF(BG5&gt;$D$7,0,Leadsheet!$E$53*(BG31-SUM(BF31:BF39)+SUM(BG32:BG40)))</f>
        <v>0</v>
      </c>
      <c r="BH78" s="140">
        <f>IF(BH5&gt;$D$7,0,Leadsheet!$E$53*(BH31-SUM(BG31:BG39)+SUM(BH32:BH40)))</f>
        <v>0</v>
      </c>
      <c r="BI78" s="140">
        <f>IF(BI5&gt;$D$7,0,Leadsheet!$E$53*(BI31-SUM(BH31:BH39)+SUM(BI32:BI40)))</f>
        <v>0</v>
      </c>
      <c r="BJ78" s="140">
        <f>IF(BJ5&gt;$D$7,0,Leadsheet!$E$53*(BJ31-SUM(BI31:BI39)+SUM(BJ32:BJ40)))</f>
        <v>0</v>
      </c>
      <c r="BK78" s="140">
        <f>IF(BK5&gt;$D$7,0,Leadsheet!$E$53*(BK31-SUM(BJ31:BJ39)+SUM(BK32:BK40)))</f>
        <v>0</v>
      </c>
      <c r="BL78" s="140">
        <f>IF(BL5&gt;$D$7,0,Leadsheet!$E$53*(BL31-SUM(BK31:BK39)+SUM(BL32:BL40)))</f>
        <v>0</v>
      </c>
    </row>
    <row r="79" spans="2:64" x14ac:dyDescent="0.15">
      <c r="C79" s="161" t="s">
        <v>109</v>
      </c>
      <c r="E79" s="140">
        <f>IF(E5&gt;$D$7,0,Leadsheet!$E$54*(E34-SUM(D34:D39)+SUM(E35:E40)))</f>
        <v>0</v>
      </c>
      <c r="F79" s="140">
        <f>IF(F5&gt;$D$7,0,Leadsheet!$E$54*(F34-SUM(E34:E39)+SUM(F35:F40)))</f>
        <v>0</v>
      </c>
      <c r="G79" s="140">
        <f>IF(G5&gt;$D$7,0,Leadsheet!$E$54*(G34-SUM(F34:F39)+SUM(G35:G40)))</f>
        <v>0</v>
      </c>
      <c r="H79" s="140">
        <f>IF(H5&gt;$D$7,0,Leadsheet!$E$54*(H34-SUM(G34:G39)+SUM(H35:H40)))</f>
        <v>0</v>
      </c>
      <c r="I79" s="140">
        <f>IF(I5&gt;$D$7,0,Leadsheet!$E$54*(I34-SUM(H34:H39)+SUM(I35:I40)))</f>
        <v>0</v>
      </c>
      <c r="J79" s="140">
        <f>IF(J5&gt;$D$7,0,Leadsheet!$E$54*(J34-SUM(I34:I39)+SUM(J35:J40)))</f>
        <v>0</v>
      </c>
      <c r="K79" s="140">
        <f>IF(K5&gt;$D$7,0,Leadsheet!$E$54*(K34-SUM(J34:J39)+SUM(K35:K40)))</f>
        <v>0</v>
      </c>
      <c r="L79" s="140">
        <f>IF(L5&gt;$D$7,0,Leadsheet!$E$54*(L34-SUM(K34:K39)+SUM(L35:L40)))</f>
        <v>0</v>
      </c>
      <c r="M79" s="140">
        <f>IF(M5&gt;$D$7,0,Leadsheet!$E$54*(M34-SUM(L34:L39)+SUM(M35:M40)))</f>
        <v>0</v>
      </c>
      <c r="N79" s="140">
        <f>IF(N5&gt;$D$7,0,Leadsheet!$E$54*(N34-SUM(M34:M39)+SUM(N35:N40)))</f>
        <v>0</v>
      </c>
      <c r="O79" s="140">
        <f>IF(O5&gt;$D$7,0,Leadsheet!$E$54*(O34-SUM(N34:N39)+SUM(O35:O40)))</f>
        <v>0</v>
      </c>
      <c r="P79" s="140">
        <f>IF(P5&gt;$D$7,0,Leadsheet!$E$54*(P34-SUM(O34:O39)+SUM(P35:P40)))</f>
        <v>0</v>
      </c>
      <c r="Q79" s="140">
        <f>IF(Q5&gt;$D$7,0,Leadsheet!$E$54*(Q34-SUM(P34:P39)+SUM(Q35:Q40)))</f>
        <v>0</v>
      </c>
      <c r="R79" s="140">
        <f>IF(R5&gt;$D$7,0,Leadsheet!$E$54*(R34-SUM(Q34:Q39)+SUM(R35:R40)))</f>
        <v>0</v>
      </c>
      <c r="S79" s="140">
        <f>IF(S5&gt;$D$7,0,Leadsheet!$E$54*(S34-SUM(R34:R39)+SUM(S35:S40)))</f>
        <v>0</v>
      </c>
      <c r="T79" s="140">
        <f>IF(T5&gt;$D$7,0,Leadsheet!$E$54*(T34-SUM(S34:S39)+SUM(T35:T40)))</f>
        <v>0</v>
      </c>
      <c r="U79" s="140">
        <f>IF(U5&gt;$D$7,0,Leadsheet!$E$54*(U34-SUM(T34:T39)+SUM(U35:U40)))</f>
        <v>0</v>
      </c>
      <c r="V79" s="140">
        <f>IF(V5&gt;$D$7,0,Leadsheet!$E$54*(V34-SUM(U34:U39)+SUM(V35:V40)))</f>
        <v>0</v>
      </c>
      <c r="W79" s="140">
        <f>IF(W5&gt;$D$7,0,Leadsheet!$E$54*(W34-SUM(V34:V39)+SUM(W35:W40)))</f>
        <v>0</v>
      </c>
      <c r="X79" s="140">
        <f>IF(X5&gt;$D$7,0,Leadsheet!$E$54*(X34-SUM(W34:W39)+SUM(X35:X40)))</f>
        <v>0</v>
      </c>
      <c r="Y79" s="140">
        <f>IF(Y5&gt;$D$7,0,Leadsheet!$E$54*(Y34-SUM(X34:X39)+SUM(Y35:Y40)))</f>
        <v>0</v>
      </c>
      <c r="Z79" s="140">
        <f>IF(Z5&gt;$D$7,0,Leadsheet!$E$54*(Z34-SUM(Y34:Y39)+SUM(Z35:Z40)))</f>
        <v>0</v>
      </c>
      <c r="AA79" s="140">
        <f>IF(AA5&gt;$D$7,0,Leadsheet!$E$54*(AA34-SUM(Z34:Z39)+SUM(AA35:AA40)))</f>
        <v>0</v>
      </c>
      <c r="AB79" s="140">
        <f>IF(AB5&gt;$D$7,0,Leadsheet!$E$54*(AB34-SUM(AA34:AA39)+SUM(AB35:AB40)))</f>
        <v>0</v>
      </c>
      <c r="AC79" s="140">
        <f>IF(AC5&gt;$D$7,0,Leadsheet!$E$54*(AC34-SUM(AB34:AB39)+SUM(AC35:AC40)))</f>
        <v>0</v>
      </c>
      <c r="AD79" s="140">
        <f>IF(AD5&gt;$D$7,0,Leadsheet!$E$54*(AD34-SUM(AC34:AC39)+SUM(AD35:AD40)))</f>
        <v>0</v>
      </c>
      <c r="AE79" s="140">
        <f>IF(AE5&gt;$D$7,0,Leadsheet!$E$54*(AE34-SUM(AD34:AD39)+SUM(AE35:AE40)))</f>
        <v>0</v>
      </c>
      <c r="AF79" s="140">
        <f>IF(AF5&gt;$D$7,0,Leadsheet!$E$54*(AF34-SUM(AE34:AE39)+SUM(AF35:AF40)))</f>
        <v>0</v>
      </c>
      <c r="AG79" s="140">
        <f>IF(AG5&gt;$D$7,0,Leadsheet!$E$54*(AG34-SUM(AF34:AF39)+SUM(AG35:AG40)))</f>
        <v>0</v>
      </c>
      <c r="AH79" s="140">
        <f>IF(AH5&gt;$D$7,0,Leadsheet!$E$54*(AH34-SUM(AG34:AG39)+SUM(AH35:AH40)))</f>
        <v>0</v>
      </c>
      <c r="AI79" s="140">
        <f>IF(AI5&gt;$D$7,0,Leadsheet!$E$54*(AI34-SUM(AH34:AH39)+SUM(AI35:AI40)))</f>
        <v>0</v>
      </c>
      <c r="AJ79" s="140">
        <f>IF(AJ5&gt;$D$7,0,Leadsheet!$E$54*(AJ34-SUM(AI34:AI39)+SUM(AJ35:AJ40)))</f>
        <v>0</v>
      </c>
      <c r="AK79" s="140">
        <f>IF(AK5&gt;$D$7,0,Leadsheet!$E$54*(AK34-SUM(AJ34:AJ39)+SUM(AK35:AK40)))</f>
        <v>0</v>
      </c>
      <c r="AL79" s="140">
        <f>IF(AL5&gt;$D$7,0,Leadsheet!$E$54*(AL34-SUM(AK34:AK39)+SUM(AL35:AL40)))</f>
        <v>0</v>
      </c>
      <c r="AM79" s="140">
        <f>IF(AM5&gt;$D$7,0,Leadsheet!$E$54*(AM34-SUM(AL34:AL39)+SUM(AM35:AM40)))</f>
        <v>0</v>
      </c>
      <c r="AN79" s="140">
        <f>IF(AN5&gt;$D$7,0,Leadsheet!$E$54*(AN34-SUM(AM34:AM39)+SUM(AN35:AN40)))</f>
        <v>0</v>
      </c>
      <c r="AO79" s="140">
        <f>IF(AO5&gt;$D$7,0,Leadsheet!$E$54*(AO34-SUM(AN34:AN39)+SUM(AO35:AO40)))</f>
        <v>0</v>
      </c>
      <c r="AP79" s="140">
        <f>IF(AP5&gt;$D$7,0,Leadsheet!$E$54*(AP34-SUM(AO34:AO39)+SUM(AP35:AP40)))</f>
        <v>0</v>
      </c>
      <c r="AQ79" s="140">
        <f>IF(AQ5&gt;$D$7,0,Leadsheet!$E$54*(AQ34-SUM(AP34:AP39)+SUM(AQ35:AQ40)))</f>
        <v>0</v>
      </c>
      <c r="AR79" s="140">
        <f>IF(AR5&gt;$D$7,0,Leadsheet!$E$54*(AR34-SUM(AQ34:AQ39)+SUM(AR35:AR40)))</f>
        <v>0</v>
      </c>
      <c r="AS79" s="140">
        <f>IF(AS5&gt;$D$7,0,Leadsheet!$E$54*(AS34-SUM(AR34:AR39)+SUM(AS35:AS40)))</f>
        <v>0</v>
      </c>
      <c r="AT79" s="140">
        <f>IF(AT5&gt;$D$7,0,Leadsheet!$E$54*(AT34-SUM(AS34:AS39)+SUM(AT35:AT40)))</f>
        <v>0</v>
      </c>
      <c r="AU79" s="140">
        <f>IF(AU5&gt;$D$7,0,Leadsheet!$E$54*(AU34-SUM(AT34:AT39)+SUM(AU35:AU40)))</f>
        <v>0</v>
      </c>
      <c r="AV79" s="140">
        <f>IF(AV5&gt;$D$7,0,Leadsheet!$E$54*(AV34-SUM(AU34:AU39)+SUM(AV35:AV40)))</f>
        <v>0</v>
      </c>
      <c r="AW79" s="140">
        <f>IF(AW5&gt;$D$7,0,Leadsheet!$E$54*(AW34-SUM(AV34:AV39)+SUM(AW35:AW40)))</f>
        <v>0</v>
      </c>
      <c r="AX79" s="140">
        <f>IF(AX5&gt;$D$7,0,Leadsheet!$E$54*(AX34-SUM(AW34:AW39)+SUM(AX35:AX40)))</f>
        <v>0</v>
      </c>
      <c r="AY79" s="140">
        <f>IF(AY5&gt;$D$7,0,Leadsheet!$E$54*(AY34-SUM(AX34:AX39)+SUM(AY35:AY40)))</f>
        <v>0</v>
      </c>
      <c r="AZ79" s="140">
        <f>IF(AZ5&gt;$D$7,0,Leadsheet!$E$54*(AZ34-SUM(AY34:AY39)+SUM(AZ35:AZ40)))</f>
        <v>0</v>
      </c>
      <c r="BA79" s="140">
        <f>IF(BA5&gt;$D$7,0,Leadsheet!$E$54*(BA34-SUM(AZ34:AZ39)+SUM(BA35:BA40)))</f>
        <v>0</v>
      </c>
      <c r="BB79" s="140">
        <f>IF(BB5&gt;$D$7,0,Leadsheet!$E$54*(BB34-SUM(BA34:BA39)+SUM(BB35:BB40)))</f>
        <v>0</v>
      </c>
      <c r="BC79" s="140">
        <f>IF(BC5&gt;$D$7,0,Leadsheet!$E$54*(BC34-SUM(BB34:BB39)+SUM(BC35:BC40)))</f>
        <v>0</v>
      </c>
      <c r="BD79" s="140">
        <f>IF(BD5&gt;$D$7,0,Leadsheet!$E$54*(BD34-SUM(BC34:BC39)+SUM(BD35:BD40)))</f>
        <v>0</v>
      </c>
      <c r="BE79" s="140">
        <f>IF(BE5&gt;$D$7,0,Leadsheet!$E$54*(BE34-SUM(BD34:BD39)+SUM(BE35:BE40)))</f>
        <v>0</v>
      </c>
      <c r="BF79" s="140">
        <f>IF(BF5&gt;$D$7,0,Leadsheet!$E$54*(BF34-SUM(BE34:BE39)+SUM(BF35:BF40)))</f>
        <v>0</v>
      </c>
      <c r="BG79" s="140">
        <f>IF(BG5&gt;$D$7,0,Leadsheet!$E$54*(BG34-SUM(BF34:BF39)+SUM(BG35:BG40)))</f>
        <v>0</v>
      </c>
      <c r="BH79" s="140">
        <f>IF(BH5&gt;$D$7,0,Leadsheet!$E$54*(BH34-SUM(BG34:BG39)+SUM(BH35:BH40)))</f>
        <v>0</v>
      </c>
      <c r="BI79" s="140">
        <f>IF(BI5&gt;$D$7,0,Leadsheet!$E$54*(BI34-SUM(BH34:BH39)+SUM(BI35:BI40)))</f>
        <v>0</v>
      </c>
      <c r="BJ79" s="140">
        <f>IF(BJ5&gt;$D$7,0,Leadsheet!$E$54*(BJ34-SUM(BI34:BI39)+SUM(BJ35:BJ40)))</f>
        <v>0</v>
      </c>
      <c r="BK79" s="140">
        <f>IF(BK5&gt;$D$7,0,Leadsheet!$E$54*(BK34-SUM(BJ34:BJ39)+SUM(BK35:BK40)))</f>
        <v>0</v>
      </c>
      <c r="BL79" s="140">
        <f>IF(BL5&gt;$D$7,0,Leadsheet!$E$54*(BL34-SUM(BK34:BK39)+SUM(BL35:BL40)))</f>
        <v>0</v>
      </c>
    </row>
    <row r="80" spans="2:64" x14ac:dyDescent="0.15">
      <c r="C80" s="161" t="s">
        <v>391</v>
      </c>
      <c r="E80" s="140"/>
      <c r="F80" s="140"/>
      <c r="G80" s="140">
        <f>IF(SUM(SAP_Speadsheet!E78:BL79)&gt;(SAP_Speadsheet!E84*Leadsheet!E53+SAP_Speadsheet!E84*Leadsheet!E54),-Leadsheet!E10*Leadsheet!E55,-SUM(SAP_Speadsheet!E78:BL79))</f>
        <v>0</v>
      </c>
      <c r="H80" s="140"/>
      <c r="I80" s="140"/>
      <c r="J80" s="140"/>
      <c r="K80" s="140"/>
      <c r="L80" s="140"/>
      <c r="M80" s="140"/>
      <c r="N80" s="140"/>
      <c r="O80" s="140"/>
      <c r="P80" s="140"/>
      <c r="Q80" s="140"/>
      <c r="R80" s="140"/>
      <c r="S80" s="140"/>
      <c r="T80" s="140"/>
      <c r="U80" s="140"/>
      <c r="V80" s="140"/>
      <c r="W80" s="140"/>
      <c r="X80" s="140"/>
      <c r="Y80" s="140"/>
      <c r="Z80" s="140"/>
      <c r="AA80" s="140"/>
      <c r="AB80" s="140"/>
      <c r="AC80" s="140"/>
      <c r="AD80" s="140"/>
      <c r="AE80" s="140"/>
      <c r="AF80" s="140"/>
      <c r="AG80" s="140"/>
      <c r="AH80" s="140"/>
      <c r="AI80" s="140"/>
      <c r="AJ80" s="140"/>
      <c r="AK80" s="140"/>
      <c r="AL80" s="140"/>
      <c r="AM80" s="140"/>
      <c r="AN80" s="140"/>
      <c r="AO80" s="140"/>
      <c r="AP80" s="140"/>
      <c r="AQ80" s="140"/>
      <c r="AR80" s="140"/>
      <c r="AS80" s="140"/>
      <c r="AT80" s="140"/>
      <c r="AU80" s="140"/>
      <c r="AV80" s="140"/>
      <c r="AW80" s="140"/>
      <c r="AX80" s="140"/>
      <c r="AY80" s="140"/>
      <c r="AZ80" s="140"/>
      <c r="BA80" s="140"/>
      <c r="BB80" s="140"/>
      <c r="BC80" s="140"/>
      <c r="BD80" s="140"/>
      <c r="BE80" s="140"/>
      <c r="BF80" s="140"/>
      <c r="BG80" s="140"/>
      <c r="BH80" s="140"/>
      <c r="BI80" s="140"/>
      <c r="BJ80" s="140"/>
      <c r="BK80" s="140"/>
      <c r="BL80" s="140"/>
    </row>
    <row r="81" spans="2:64" x14ac:dyDescent="0.15">
      <c r="C81" s="302" t="s">
        <v>392</v>
      </c>
      <c r="E81" s="140">
        <f>IF(E5&gt;$D$7,0,Leadsheet!$E$47*(-(E57+E61)+E31-SUM(D31:D39)+SUM(E32:E40)))</f>
        <v>0</v>
      </c>
      <c r="F81" s="140">
        <f>IF(F5&gt;$D$7,0,Leadsheet!$E$47*(-(F57+F61)+F31-SUM(E31:E39)+SUM(F32:F40)))</f>
        <v>0</v>
      </c>
      <c r="G81" s="140">
        <f>IF(G5&gt;$D$7,0,Leadsheet!$E$47*(-(G57+G61)+G31-SUM(F31:F39)+SUM(G32:G40)))</f>
        <v>0</v>
      </c>
      <c r="H81" s="140">
        <f>IF(H5&gt;$D$7,0,Leadsheet!$E$47*(-(H57+H61)+H31-SUM(G31:G39)+SUM(H32:H40)))</f>
        <v>0</v>
      </c>
      <c r="I81" s="140">
        <f>IF(I5&gt;$D$7,0,Leadsheet!$E$47*(-(I57+I61)+I31-SUM(H31:H39)+SUM(I32:I40)))</f>
        <v>0</v>
      </c>
      <c r="J81" s="140">
        <f>IF(J5&gt;$D$7,0,Leadsheet!$E$47*(-(J57+J61)+J31-SUM(I31:I39)+SUM(J32:J40)))</f>
        <v>0</v>
      </c>
      <c r="K81" s="140">
        <f>IF(K5&gt;$D$7,0,Leadsheet!$E$47*(-(K57+K61)+K31-SUM(J31:J39)+SUM(K32:K40)))</f>
        <v>0</v>
      </c>
      <c r="L81" s="140">
        <f>IF(L5&gt;$D$7,0,Leadsheet!$E$47*(-(L57+L61)+L31-SUM(K31:K39)+SUM(L32:L40)))</f>
        <v>0</v>
      </c>
      <c r="M81" s="140">
        <f>IF(M5&gt;$D$7,0,Leadsheet!$E$47*(-(M57+M61)+M31-SUM(L31:L39)+SUM(M32:M40)))</f>
        <v>0</v>
      </c>
      <c r="N81" s="140">
        <f>IF(N5&gt;$D$7,0,Leadsheet!$E$47*(-(N57+N61)+N31-SUM(M31:M39)+SUM(N32:N40)))</f>
        <v>0</v>
      </c>
      <c r="O81" s="140">
        <f>IF(O5&gt;$D$7,0,Leadsheet!$E$47*(-(O57+O61)+O31-SUM(N31:N39)+SUM(O32:O40)))</f>
        <v>0</v>
      </c>
      <c r="P81" s="140">
        <f>IF(P5&gt;$D$7,0,Leadsheet!$E$47*(-(P57+P61)+P31-SUM(O31:O39)+SUM(P32:P40)))</f>
        <v>0</v>
      </c>
      <c r="Q81" s="140">
        <f>IF(Q5&gt;$D$7,0,Leadsheet!$E$47*(-(Q57+Q61)+Q31-SUM(P31:P39)+SUM(Q32:Q40)))</f>
        <v>0</v>
      </c>
      <c r="R81" s="140">
        <f>IF(R5&gt;$D$7,0,Leadsheet!$E$47*(-(R57+R61)+R31-SUM(Q31:Q39)+SUM(R32:R40)))</f>
        <v>0</v>
      </c>
      <c r="S81" s="140">
        <f>IF(S5&gt;$D$7,0,Leadsheet!$E$47*(-(S57+S61)+S31-SUM(R31:R39)+SUM(S32:S40)))</f>
        <v>0</v>
      </c>
      <c r="T81" s="140">
        <f>IF(T5&gt;$D$7,0,Leadsheet!$E$47*(-(T57+T61)+T31-SUM(S31:S39)+SUM(T32:T40)))</f>
        <v>0</v>
      </c>
      <c r="U81" s="140">
        <f>IF(U5&gt;$D$7,0,Leadsheet!$E$47*(-(U57+U61)+U31-SUM(T31:T39)+SUM(U32:U40)))</f>
        <v>0</v>
      </c>
      <c r="V81" s="140">
        <f>IF(V5&gt;$D$7,0,Leadsheet!$E$47*(-(V57+V61)+V31-SUM(U31:U39)+SUM(V32:V40)))</f>
        <v>0</v>
      </c>
      <c r="W81" s="140">
        <f>IF(W5&gt;$D$7,0,Leadsheet!$E$47*(-(W57+W61)+W31-SUM(V31:V39)+SUM(W32:W40)))</f>
        <v>0</v>
      </c>
      <c r="X81" s="140">
        <f>IF(X5&gt;$D$7,0,Leadsheet!$E$47*(-(X57+X61)+X31-SUM(W31:W39)+SUM(X32:X40)))</f>
        <v>0</v>
      </c>
      <c r="Y81" s="140">
        <f>IF(Y5&gt;$D$7,0,Leadsheet!$E$47*(-(Y57+Y61)+Y31-SUM(X31:X39)+SUM(Y32:Y40)))</f>
        <v>0</v>
      </c>
      <c r="Z81" s="140">
        <f>IF(Z5&gt;$D$7,0,Leadsheet!$E$47*(-(Z57+Z61)+Z31-SUM(Y31:Y39)+SUM(Z32:Z40)))</f>
        <v>0</v>
      </c>
      <c r="AA81" s="140">
        <f>IF(AA5&gt;$D$7,0,Leadsheet!$E$47*(-(AA57+AA61)+AA31-SUM(Z31:Z39)+SUM(AA32:AA40)))</f>
        <v>0</v>
      </c>
      <c r="AB81" s="140">
        <f>IF(AB5&gt;$D$7,0,Leadsheet!$E$47*(-(AB57+AB61)+AB31-SUM(AA31:AA39)+SUM(AB32:AB40)))</f>
        <v>0</v>
      </c>
      <c r="AC81" s="140">
        <f>IF(AC5&gt;$D$7,0,Leadsheet!$E$47*(-(AC57+AC61)+AC31-SUM(AB31:AB39)+SUM(AC32:AC40)))</f>
        <v>0</v>
      </c>
      <c r="AD81" s="140">
        <f>IF(AD5&gt;$D$7,0,Leadsheet!$E$47*(-(AD57+AD61)+AD31-SUM(AC31:AC39)+SUM(AD32:AD40)))</f>
        <v>0</v>
      </c>
      <c r="AE81" s="140">
        <f>IF(AE5&gt;$D$7,0,Leadsheet!$E$47*(-(AE57+AE61)+AE31-SUM(AD31:AD39)+SUM(AE32:AE40)))</f>
        <v>0</v>
      </c>
      <c r="AF81" s="140">
        <f>IF(AF5&gt;$D$7,0,Leadsheet!$E$47*(-(AF57+AF61)+AF31-SUM(AE31:AE39)+SUM(AF32:AF40)))</f>
        <v>0</v>
      </c>
      <c r="AG81" s="140">
        <f>IF(AG5&gt;$D$7,0,Leadsheet!$E$47*(-(AG57+AG61)+AG31-SUM(AF31:AF39)+SUM(AG32:AG40)))</f>
        <v>0</v>
      </c>
      <c r="AH81" s="140">
        <f>IF(AH5&gt;$D$7,0,Leadsheet!$E$47*(-(AH57+AH61)+AH31-SUM(AG31:AG39)+SUM(AH32:AH40)))</f>
        <v>0</v>
      </c>
      <c r="AI81" s="140">
        <f>IF(AI5&gt;$D$7,0,Leadsheet!$E$47*(-(AI57+AI61)+AI31-SUM(AH31:AH39)+SUM(AI32:AI40)))</f>
        <v>0</v>
      </c>
      <c r="AJ81" s="140">
        <f>IF(AJ5&gt;$D$7,0,Leadsheet!$E$47*(-(AJ57+AJ61)+AJ31-SUM(AI31:AI39)+SUM(AJ32:AJ40)))</f>
        <v>0</v>
      </c>
      <c r="AK81" s="140">
        <f>IF(AK5&gt;$D$7,0,Leadsheet!$E$47*(-(AK57+AK61)+AK31-SUM(AJ31:AJ39)+SUM(AK32:AK40)))</f>
        <v>0</v>
      </c>
      <c r="AL81" s="140">
        <f>IF(AL5&gt;$D$7,0,Leadsheet!$E$47*(-(AL57+AL61)+AL31-SUM(AK31:AK39)+SUM(AL32:AL40)))</f>
        <v>0</v>
      </c>
      <c r="AM81" s="140">
        <f>IF(AM5&gt;$D$7,0,Leadsheet!$E$47*(-(AM57+AM61)+AM31-SUM(AL31:AL39)+SUM(AM32:AM40)))</f>
        <v>0</v>
      </c>
      <c r="AN81" s="140">
        <f>IF(AN5&gt;$D$7,0,Leadsheet!$E$47*(-(AN57+AN61)+AN31-SUM(AM31:AM39)+SUM(AN32:AN40)))</f>
        <v>0</v>
      </c>
      <c r="AO81" s="140">
        <f>IF(AO5&gt;$D$7,0,Leadsheet!$E$47*(-(AO57+AO61)+AO31-SUM(AN31:AN39)+SUM(AO32:AO40)))</f>
        <v>0</v>
      </c>
      <c r="AP81" s="140">
        <f>IF(AP5&gt;$D$7,0,Leadsheet!$E$47*(-(AP57+AP61)+AP31-SUM(AO31:AO39)+SUM(AP32:AP40)))</f>
        <v>0</v>
      </c>
      <c r="AQ81" s="140">
        <f>IF(AQ5&gt;$D$7,0,Leadsheet!$E$47*(-(AQ57+AQ61)+AQ31-SUM(AP31:AP39)+SUM(AQ32:AQ40)))</f>
        <v>0</v>
      </c>
      <c r="AR81" s="140">
        <f>IF(AR5&gt;$D$7,0,Leadsheet!$E$47*(-(AR57+AR61)+AR31-SUM(AQ31:AQ39)+SUM(AR32:AR40)))</f>
        <v>0</v>
      </c>
      <c r="AS81" s="140">
        <f>IF(AS5&gt;$D$7,0,Leadsheet!$E$47*(-(AS57+AS61)+AS31-SUM(AR31:AR39)+SUM(AS32:AS40)))</f>
        <v>0</v>
      </c>
      <c r="AT81" s="140">
        <f>IF(AT5&gt;$D$7,0,Leadsheet!$E$47*(-(AT57+AT61)+AT31-SUM(AS31:AS39)+SUM(AT32:AT40)))</f>
        <v>0</v>
      </c>
      <c r="AU81" s="140">
        <f>IF(AU5&gt;$D$7,0,Leadsheet!$E$47*(-(AU57+AU61)+AU31-SUM(AT31:AT39)+SUM(AU32:AU40)))</f>
        <v>0</v>
      </c>
      <c r="AV81" s="140">
        <f>IF(AV5&gt;$D$7,0,Leadsheet!$E$47*(-(AV57+AV61)+AV31-SUM(AU31:AU39)+SUM(AV32:AV40)))</f>
        <v>0</v>
      </c>
      <c r="AW81" s="140">
        <f>IF(AW5&gt;$D$7,0,Leadsheet!$E$47*(-(AW57+AW61)+AW31-SUM(AV31:AV39)+SUM(AW32:AW40)))</f>
        <v>0</v>
      </c>
      <c r="AX81" s="140">
        <f>IF(AX5&gt;$D$7,0,Leadsheet!$E$47*(-(AX57+AX61)+AX31-SUM(AW31:AW39)+SUM(AX32:AX40)))</f>
        <v>0</v>
      </c>
      <c r="AY81" s="140">
        <f>IF(AY5&gt;$D$7,0,Leadsheet!$E$47*(-(AY57+AY61)+AY31-SUM(AX31:AX39)+SUM(AY32:AY40)))</f>
        <v>0</v>
      </c>
      <c r="AZ81" s="140">
        <f>IF(AZ5&gt;$D$7,0,Leadsheet!$E$47*(-(AZ57+AZ61)+AZ31-SUM(AY31:AY39)+SUM(AZ32:AZ40)))</f>
        <v>0</v>
      </c>
      <c r="BA81" s="140">
        <f>IF(BA5&gt;$D$7,0,Leadsheet!$E$47*(-(BA57+BA61)+BA31-SUM(AZ31:AZ39)+SUM(BA32:BA40)))</f>
        <v>0</v>
      </c>
      <c r="BB81" s="140">
        <f>IF(BB5&gt;$D$7,0,Leadsheet!$E$47*(-(BB57+BB61)+BB31-SUM(BA31:BA39)+SUM(BB32:BB40)))</f>
        <v>0</v>
      </c>
      <c r="BC81" s="140">
        <f>IF(BC5&gt;$D$7,0,Leadsheet!$E$47*(-(BC57+BC61)+BC31-SUM(BB31:BB39)+SUM(BC32:BC40)))</f>
        <v>0</v>
      </c>
      <c r="BD81" s="140">
        <f>IF(BD5&gt;$D$7,0,Leadsheet!$E$47*(-(BD57+BD61)+BD31-SUM(BC31:BC39)+SUM(BD32:BD40)))</f>
        <v>0</v>
      </c>
      <c r="BE81" s="140">
        <f>IF(BE5&gt;$D$7,0,Leadsheet!$E$47*(-(BE57+BE61)+BE31-SUM(BD31:BD39)+SUM(BE32:BE40)))</f>
        <v>0</v>
      </c>
      <c r="BF81" s="140">
        <f>IF(BF5&gt;$D$7,0,Leadsheet!$E$47*(-(BF57+BF61)+BF31-SUM(BE31:BE39)+SUM(BF32:BF40)))</f>
        <v>0</v>
      </c>
      <c r="BG81" s="140">
        <f>IF(BG5&gt;$D$7,0,Leadsheet!$E$47*(-(BG57+BG61)+BG31-SUM(BF31:BF39)+SUM(BG32:BG40)))</f>
        <v>0</v>
      </c>
      <c r="BH81" s="140">
        <f>IF(BH5&gt;$D$7,0,Leadsheet!$E$47*(-(BH57+BH61)+BH31-SUM(BG31:BG39)+SUM(BH32:BH40)))</f>
        <v>0</v>
      </c>
      <c r="BI81" s="140">
        <f>IF(BI5&gt;$D$7,0,Leadsheet!$E$47*(-(BI57+BI61)+BI31-SUM(BH31:BH39)+SUM(BI32:BI40)))</f>
        <v>0</v>
      </c>
      <c r="BJ81" s="140">
        <f>IF(BJ5&gt;$D$7,0,Leadsheet!$E$47*(-(BJ57+BJ61)+BJ31-SUM(BI31:BI39)+SUM(BJ32:BJ40)))</f>
        <v>0</v>
      </c>
      <c r="BK81" s="140">
        <f>IF(BK5&gt;$D$7,0,Leadsheet!$E$47*(-(BK57+BK61)+BK31-SUM(BJ31:BJ39)+SUM(BK32:BK40)))</f>
        <v>0</v>
      </c>
      <c r="BL81" s="140">
        <f>IF(BL5&gt;$D$7,0,Leadsheet!$E$47*(-(BL57+BL61)+BL31-SUM(BK31:BK39)+SUM(BL32:BL40)))</f>
        <v>0</v>
      </c>
    </row>
    <row r="82" spans="2:64" x14ac:dyDescent="0.15">
      <c r="C82" s="302" t="s">
        <v>393</v>
      </c>
      <c r="E82" s="140">
        <f>IF(E5&gt;$D$7,0,Leadsheet!$E$48*(-(E57+E61)+E34-SUM(D34:D39)+SUM(E35:E40)))</f>
        <v>0</v>
      </c>
      <c r="F82" s="140">
        <f>IF(F5&gt;$D$7,0,Leadsheet!$E$48*(-(F57+F61)+F34-SUM(E34:E39)+SUM(F35:F40)))</f>
        <v>0</v>
      </c>
      <c r="G82" s="140">
        <f>IF(G5&gt;$D$7,0,Leadsheet!$E$48*(-(G57+G61)+G34-SUM(F34:F39)+SUM(G35:G40)))</f>
        <v>0</v>
      </c>
      <c r="H82" s="140">
        <f>IF(H5&gt;$D$7,0,Leadsheet!$E$48*(-(H57+H61)+H34-SUM(G34:G39)+SUM(H35:H40)))</f>
        <v>0</v>
      </c>
      <c r="I82" s="140">
        <f>IF(I5&gt;$D$7,0,Leadsheet!$E$48*(-(I57+I61)+I34-SUM(H34:H39)+SUM(I35:I40)))</f>
        <v>0</v>
      </c>
      <c r="J82" s="140">
        <f>IF(J5&gt;$D$7,0,Leadsheet!$E$48*(-(J57+J61)+J34-SUM(I34:I39)+SUM(J35:J40)))</f>
        <v>0</v>
      </c>
      <c r="K82" s="140">
        <f>IF(K5&gt;$D$7,0,Leadsheet!$E$48*(-(K57+K61)+K34-SUM(J34:J39)+SUM(K35:K40)))</f>
        <v>0</v>
      </c>
      <c r="L82" s="140">
        <f>IF(L5&gt;$D$7,0,Leadsheet!$E$48*(-(L57+L61)+L34-SUM(K34:K39)+SUM(L35:L40)))</f>
        <v>0</v>
      </c>
      <c r="M82" s="140">
        <f>IF(M5&gt;$D$7,0,Leadsheet!$E$48*(-(M57+M61)+M34-SUM(L34:L39)+SUM(M35:M40)))</f>
        <v>0</v>
      </c>
      <c r="N82" s="140">
        <f>IF(N5&gt;$D$7,0,Leadsheet!$E$48*(-(N57+N61)+N34-SUM(M34:M39)+SUM(N35:N40)))</f>
        <v>0</v>
      </c>
      <c r="O82" s="140">
        <f>IF(O5&gt;$D$7,0,Leadsheet!$E$48*(-(O57+O61)+O34-SUM(N34:N39)+SUM(O35:O40)))</f>
        <v>0</v>
      </c>
      <c r="P82" s="140">
        <f>IF(P5&gt;$D$7,0,Leadsheet!$E$48*(-(P57+P61)+P34-SUM(O34:O39)+SUM(P35:P40)))</f>
        <v>0</v>
      </c>
      <c r="Q82" s="140">
        <f>IF(Q5&gt;$D$7,0,Leadsheet!$E$48*(-(Q57+Q61)+Q34-SUM(P34:P39)+SUM(Q35:Q40)))</f>
        <v>0</v>
      </c>
      <c r="R82" s="140">
        <f>IF(R5&gt;$D$7,0,Leadsheet!$E$48*(-(R57+R61)+R34-SUM(Q34:Q39)+SUM(R35:R40)))</f>
        <v>0</v>
      </c>
      <c r="S82" s="140">
        <f>IF(S5&gt;$D$7,0,Leadsheet!$E$48*(-(S57+S61)+S34-SUM(R34:R39)+SUM(S35:S40)))</f>
        <v>0</v>
      </c>
      <c r="T82" s="140">
        <f>IF(T5&gt;$D$7,0,Leadsheet!$E$48*(-(T57+T61)+T34-SUM(S34:S39)+SUM(T35:T40)))</f>
        <v>0</v>
      </c>
      <c r="U82" s="140">
        <f>IF(U5&gt;$D$7,0,Leadsheet!$E$48*(-(U57+U61)+U34-SUM(T34:T39)+SUM(U35:U40)))</f>
        <v>0</v>
      </c>
      <c r="V82" s="140">
        <f>IF(V5&gt;$D$7,0,Leadsheet!$E$48*(-(V57+V61)+V34-SUM(U34:U39)+SUM(V35:V40)))</f>
        <v>0</v>
      </c>
      <c r="W82" s="140">
        <f>IF(W5&gt;$D$7,0,Leadsheet!$E$48*(-(W57+W61)+W34-SUM(V34:V39)+SUM(W35:W40)))</f>
        <v>0</v>
      </c>
      <c r="X82" s="140">
        <f>IF(X5&gt;$D$7,0,Leadsheet!$E$48*(-(X57+X61)+X34-SUM(W34:W39)+SUM(X35:X40)))</f>
        <v>0</v>
      </c>
      <c r="Y82" s="140">
        <f>IF(Y5&gt;$D$7,0,Leadsheet!$E$48*(-(Y57+Y61)+Y34-SUM(X34:X39)+SUM(Y35:Y40)))</f>
        <v>0</v>
      </c>
      <c r="Z82" s="140">
        <f>IF(Z5&gt;$D$7,0,Leadsheet!$E$48*(-(Z57+Z61)+Z34-SUM(Y34:Y39)+SUM(Z35:Z40)))</f>
        <v>0</v>
      </c>
      <c r="AA82" s="140">
        <f>IF(AA5&gt;$D$7,0,Leadsheet!$E$48*(-(AA57+AA61)+AA34-SUM(Z34:Z39)+SUM(AA35:AA40)))</f>
        <v>0</v>
      </c>
      <c r="AB82" s="140">
        <f>IF(AB5&gt;$D$7,0,Leadsheet!$E$48*(-(AB57+AB61)+AB34-SUM(AA34:AA39)+SUM(AB35:AB40)))</f>
        <v>0</v>
      </c>
      <c r="AC82" s="140">
        <f>IF(AC5&gt;$D$7,0,Leadsheet!$E$48*(-(AC57+AC61)+AC34-SUM(AB34:AB39)+SUM(AC35:AC40)))</f>
        <v>0</v>
      </c>
      <c r="AD82" s="140">
        <f>IF(AD5&gt;$D$7,0,Leadsheet!$E$48*(-(AD57+AD61)+AD34-SUM(AC34:AC39)+SUM(AD35:AD40)))</f>
        <v>0</v>
      </c>
      <c r="AE82" s="140">
        <f>IF(AE5&gt;$D$7,0,Leadsheet!$E$48*(-(AE57+AE61)+AE34-SUM(AD34:AD39)+SUM(AE35:AE40)))</f>
        <v>0</v>
      </c>
      <c r="AF82" s="140">
        <f>IF(AF5&gt;$D$7,0,Leadsheet!$E$48*(-(AF57+AF61)+AF34-SUM(AE34:AE39)+SUM(AF35:AF40)))</f>
        <v>0</v>
      </c>
      <c r="AG82" s="140">
        <f>IF(AG5&gt;$D$7,0,Leadsheet!$E$48*(-(AG57+AG61)+AG34-SUM(AF34:AF39)+SUM(AG35:AG40)))</f>
        <v>0</v>
      </c>
      <c r="AH82" s="140">
        <f>IF(AH5&gt;$D$7,0,Leadsheet!$E$48*(-(AH57+AH61)+AH34-SUM(AG34:AG39)+SUM(AH35:AH40)))</f>
        <v>0</v>
      </c>
      <c r="AI82" s="140">
        <f>IF(AI5&gt;$D$7,0,Leadsheet!$E$48*(-(AI57+AI61)+AI34-SUM(AH34:AH39)+SUM(AI35:AI40)))</f>
        <v>0</v>
      </c>
      <c r="AJ82" s="140">
        <f>IF(AJ5&gt;$D$7,0,Leadsheet!$E$48*(-(AJ57+AJ61)+AJ34-SUM(AI34:AI39)+SUM(AJ35:AJ40)))</f>
        <v>0</v>
      </c>
      <c r="AK82" s="140">
        <f>IF(AK5&gt;$D$7,0,Leadsheet!$E$48*(-(AK57+AK61)+AK34-SUM(AJ34:AJ39)+SUM(AK35:AK40)))</f>
        <v>0</v>
      </c>
      <c r="AL82" s="140">
        <f>IF(AL5&gt;$D$7,0,Leadsheet!$E$48*(-(AL57+AL61)+AL34-SUM(AK34:AK39)+SUM(AL35:AL40)))</f>
        <v>0</v>
      </c>
      <c r="AM82" s="140">
        <f>IF(AM5&gt;$D$7,0,Leadsheet!$E$48*(-(AM57+AM61)+AM34-SUM(AL34:AL39)+SUM(AM35:AM40)))</f>
        <v>0</v>
      </c>
      <c r="AN82" s="140">
        <f>IF(AN5&gt;$D$7,0,Leadsheet!$E$48*(-(AN57+AN61)+AN34-SUM(AM34:AM39)+SUM(AN35:AN40)))</f>
        <v>0</v>
      </c>
      <c r="AO82" s="140">
        <f>IF(AO5&gt;$D$7,0,Leadsheet!$E$48*(-(AO57+AO61)+AO34-SUM(AN34:AN39)+SUM(AO35:AO40)))</f>
        <v>0</v>
      </c>
      <c r="AP82" s="140">
        <f>IF(AP5&gt;$D$7,0,Leadsheet!$E$48*(-(AP57+AP61)+AP34-SUM(AO34:AO39)+SUM(AP35:AP40)))</f>
        <v>0</v>
      </c>
      <c r="AQ82" s="140">
        <f>IF(AQ5&gt;$D$7,0,Leadsheet!$E$48*(-(AQ57+AQ61)+AQ34-SUM(AP34:AP39)+SUM(AQ35:AQ40)))</f>
        <v>0</v>
      </c>
      <c r="AR82" s="140">
        <f>IF(AR5&gt;$D$7,0,Leadsheet!$E$48*(-(AR57+AR61)+AR34-SUM(AQ34:AQ39)+SUM(AR35:AR40)))</f>
        <v>0</v>
      </c>
      <c r="AS82" s="140">
        <f>IF(AS5&gt;$D$7,0,Leadsheet!$E$48*(-(AS57+AS61)+AS34-SUM(AR34:AR39)+SUM(AS35:AS40)))</f>
        <v>0</v>
      </c>
      <c r="AT82" s="140">
        <f>IF(AT5&gt;$D$7,0,Leadsheet!$E$48*(-(AT57+AT61)+AT34-SUM(AS34:AS39)+SUM(AT35:AT40)))</f>
        <v>0</v>
      </c>
      <c r="AU82" s="140">
        <f>IF(AU5&gt;$D$7,0,Leadsheet!$E$48*(-(AU57+AU61)+AU34-SUM(AT34:AT39)+SUM(AU35:AU40)))</f>
        <v>0</v>
      </c>
      <c r="AV82" s="140">
        <f>IF(AV5&gt;$D$7,0,Leadsheet!$E$48*(-(AV57+AV61)+AV34-SUM(AU34:AU39)+SUM(AV35:AV40)))</f>
        <v>0</v>
      </c>
      <c r="AW82" s="140">
        <f>IF(AW5&gt;$D$7,0,Leadsheet!$E$48*(-(AW57+AW61)+AW34-SUM(AV34:AV39)+SUM(AW35:AW40)))</f>
        <v>0</v>
      </c>
      <c r="AX82" s="140">
        <f>IF(AX5&gt;$D$7,0,Leadsheet!$E$48*(-(AX57+AX61)+AX34-SUM(AW34:AW39)+SUM(AX35:AX40)))</f>
        <v>0</v>
      </c>
      <c r="AY82" s="140">
        <f>IF(AY5&gt;$D$7,0,Leadsheet!$E$48*(-(AY57+AY61)+AY34-SUM(AX34:AX39)+SUM(AY35:AY40)))</f>
        <v>0</v>
      </c>
      <c r="AZ82" s="140">
        <f>IF(AZ5&gt;$D$7,0,Leadsheet!$E$48*(-(AZ57+AZ61)+AZ34-SUM(AY34:AY39)+SUM(AZ35:AZ40)))</f>
        <v>0</v>
      </c>
      <c r="BA82" s="140">
        <f>IF(BA5&gt;$D$7,0,Leadsheet!$E$48*(-(BA57+BA61)+BA34-SUM(AZ34:AZ39)+SUM(BA35:BA40)))</f>
        <v>0</v>
      </c>
      <c r="BB82" s="140">
        <f>IF(BB5&gt;$D$7,0,Leadsheet!$E$48*(-(BB57+BB61)+BB34-SUM(BA34:BA39)+SUM(BB35:BB40)))</f>
        <v>0</v>
      </c>
      <c r="BC82" s="140">
        <f>IF(BC5&gt;$D$7,0,Leadsheet!$E$48*(-(BC57+BC61)+BC34-SUM(BB34:BB39)+SUM(BC35:BC40)))</f>
        <v>0</v>
      </c>
      <c r="BD82" s="140">
        <f>IF(BD5&gt;$D$7,0,Leadsheet!$E$48*(-(BD57+BD61)+BD34-SUM(BC34:BC39)+SUM(BD35:BD40)))</f>
        <v>0</v>
      </c>
      <c r="BE82" s="140">
        <f>IF(BE5&gt;$D$7,0,Leadsheet!$E$48*(-(BE57+BE61)+BE34-SUM(BD34:BD39)+SUM(BE35:BE40)))</f>
        <v>0</v>
      </c>
      <c r="BF82" s="140">
        <f>IF(BF5&gt;$D$7,0,Leadsheet!$E$48*(-(BF57+BF61)+BF34-SUM(BE34:BE39)+SUM(BF35:BF40)))</f>
        <v>0</v>
      </c>
      <c r="BG82" s="140">
        <f>IF(BG5&gt;$D$7,0,Leadsheet!$E$48*(-(BG57+BG61)+BG34-SUM(BF34:BF39)+SUM(BG35:BG40)))</f>
        <v>0</v>
      </c>
      <c r="BH82" s="140">
        <f>IF(BH5&gt;$D$7,0,Leadsheet!$E$48*(-(BH57+BH61)+BH34-SUM(BG34:BG39)+SUM(BH35:BH40)))</f>
        <v>0</v>
      </c>
      <c r="BI82" s="140">
        <f>IF(BI5&gt;$D$7,0,Leadsheet!$E$48*(-(BI57+BI61)+BI34-SUM(BH34:BH39)+SUM(BI35:BI40)))</f>
        <v>0</v>
      </c>
      <c r="BJ82" s="140">
        <f>IF(BJ5&gt;$D$7,0,Leadsheet!$E$48*(-(BJ57+BJ61)+BJ34-SUM(BI34:BI39)+SUM(BJ35:BJ40)))</f>
        <v>0</v>
      </c>
      <c r="BK82" s="140">
        <f>IF(BK5&gt;$D$7,0,Leadsheet!$E$48*(-(BK57+BK61)+BK34-SUM(BJ34:BJ39)+SUM(BK35:BK40)))</f>
        <v>0</v>
      </c>
      <c r="BL82" s="140">
        <f>IF(BL5&gt;$D$7,0,Leadsheet!$E$48*(-(BL57+BL61)+BL34-SUM(BK34:BK39)+SUM(BL35:BL40)))</f>
        <v>0</v>
      </c>
    </row>
    <row r="83" spans="2:64" x14ac:dyDescent="0.15">
      <c r="C83" s="302"/>
      <c r="E83" s="140"/>
      <c r="F83" s="140"/>
      <c r="G83" s="140"/>
      <c r="H83" s="140"/>
      <c r="I83" s="140"/>
      <c r="J83" s="140"/>
      <c r="K83" s="140"/>
      <c r="L83" s="140"/>
      <c r="M83" s="140"/>
      <c r="N83" s="140"/>
      <c r="O83" s="140"/>
      <c r="P83" s="140"/>
      <c r="Q83" s="140"/>
      <c r="R83" s="140"/>
      <c r="S83" s="140"/>
      <c r="T83" s="140"/>
      <c r="U83" s="140"/>
      <c r="V83" s="140"/>
      <c r="W83" s="140"/>
      <c r="X83" s="140"/>
      <c r="Y83" s="140"/>
      <c r="Z83" s="140"/>
      <c r="AA83" s="140"/>
      <c r="AB83" s="140"/>
      <c r="AC83" s="140"/>
      <c r="AD83" s="140"/>
      <c r="AE83" s="140"/>
      <c r="AF83" s="140"/>
      <c r="AG83" s="140"/>
      <c r="AH83" s="140"/>
      <c r="AI83" s="140"/>
      <c r="AJ83" s="140"/>
      <c r="AK83" s="140"/>
      <c r="AL83" s="140"/>
      <c r="AM83" s="140"/>
      <c r="AN83" s="140"/>
      <c r="AO83" s="140"/>
      <c r="AP83" s="140"/>
      <c r="AQ83" s="140"/>
      <c r="AR83" s="140"/>
      <c r="AS83" s="140"/>
      <c r="AT83" s="140"/>
      <c r="AU83" s="140"/>
      <c r="AV83" s="140"/>
      <c r="AW83" s="140"/>
      <c r="AX83" s="140"/>
      <c r="AY83" s="140"/>
      <c r="AZ83" s="140"/>
      <c r="BA83" s="140"/>
      <c r="BB83" s="140"/>
      <c r="BC83" s="140"/>
      <c r="BD83" s="140"/>
      <c r="BE83" s="140"/>
      <c r="BF83" s="140"/>
      <c r="BG83" s="140"/>
      <c r="BH83" s="140"/>
      <c r="BI83" s="140"/>
      <c r="BJ83" s="140"/>
      <c r="BK83" s="140"/>
      <c r="BL83" s="140"/>
    </row>
    <row r="84" spans="2:64" x14ac:dyDescent="0.15">
      <c r="C84" s="302"/>
      <c r="E84" s="140"/>
      <c r="F84" s="140"/>
      <c r="G84" s="140"/>
      <c r="H84" s="140"/>
      <c r="I84" s="140"/>
      <c r="J84" s="140"/>
      <c r="K84" s="140"/>
      <c r="L84" s="140"/>
      <c r="M84" s="140"/>
      <c r="N84" s="140"/>
      <c r="O84" s="140"/>
      <c r="P84" s="140"/>
      <c r="Q84" s="140"/>
      <c r="R84" s="140"/>
      <c r="S84" s="140"/>
      <c r="T84" s="140"/>
      <c r="U84" s="140"/>
      <c r="V84" s="140"/>
      <c r="W84" s="140"/>
      <c r="X84" s="140"/>
      <c r="Y84" s="140"/>
      <c r="Z84" s="140"/>
      <c r="AA84" s="140"/>
      <c r="AB84" s="140"/>
      <c r="AC84" s="140"/>
      <c r="AD84" s="140"/>
      <c r="AE84" s="140"/>
      <c r="AF84" s="140"/>
      <c r="AG84" s="140"/>
      <c r="AH84" s="140"/>
      <c r="AI84" s="140"/>
      <c r="AJ84" s="140"/>
      <c r="AK84" s="140"/>
      <c r="AL84" s="140"/>
      <c r="AM84" s="140"/>
      <c r="AN84" s="140"/>
      <c r="AO84" s="140"/>
      <c r="AP84" s="140"/>
      <c r="AQ84" s="140"/>
      <c r="AR84" s="140"/>
      <c r="AS84" s="140"/>
      <c r="AT84" s="140"/>
      <c r="AU84" s="140"/>
      <c r="AV84" s="140"/>
      <c r="AW84" s="140"/>
      <c r="AX84" s="140"/>
      <c r="AY84" s="140"/>
      <c r="AZ84" s="140"/>
      <c r="BA84" s="140"/>
      <c r="BB84" s="140"/>
      <c r="BC84" s="140"/>
      <c r="BD84" s="140"/>
      <c r="BE84" s="140"/>
      <c r="BF84" s="140"/>
      <c r="BG84" s="140"/>
      <c r="BH84" s="140"/>
      <c r="BI84" s="140"/>
      <c r="BJ84" s="140"/>
      <c r="BK84" s="140"/>
      <c r="BL84" s="140"/>
    </row>
    <row r="85" spans="2:64" x14ac:dyDescent="0.15">
      <c r="B85" s="155" t="s">
        <v>221</v>
      </c>
      <c r="C85" s="302"/>
      <c r="E85" s="279">
        <f>E86+E67</f>
        <v>0</v>
      </c>
      <c r="F85" s="140"/>
      <c r="G85" s="140"/>
      <c r="H85" s="140"/>
      <c r="I85" s="140"/>
      <c r="J85" s="140"/>
      <c r="K85" s="140"/>
      <c r="L85" s="140"/>
      <c r="M85" s="140"/>
      <c r="N85" s="140"/>
      <c r="O85" s="140"/>
      <c r="P85" s="140"/>
      <c r="Q85" s="140"/>
      <c r="R85" s="140"/>
      <c r="S85" s="140"/>
      <c r="T85" s="140"/>
      <c r="U85" s="140"/>
      <c r="V85" s="140"/>
      <c r="W85" s="140"/>
      <c r="X85" s="140"/>
      <c r="Y85" s="140"/>
      <c r="Z85" s="140"/>
      <c r="AA85" s="140"/>
      <c r="AB85" s="140"/>
      <c r="AC85" s="140"/>
      <c r="AD85" s="140"/>
      <c r="AE85" s="140"/>
      <c r="AF85" s="140"/>
      <c r="AG85" s="140"/>
      <c r="AH85" s="140"/>
      <c r="AI85" s="140"/>
      <c r="AJ85" s="140"/>
      <c r="AK85" s="140"/>
      <c r="AL85" s="140"/>
      <c r="AM85" s="140"/>
      <c r="AN85" s="140"/>
      <c r="AO85" s="140"/>
      <c r="AP85" s="140"/>
      <c r="AQ85" s="140"/>
      <c r="AR85" s="140"/>
      <c r="AS85" s="140"/>
      <c r="AT85" s="140"/>
      <c r="AU85" s="140"/>
      <c r="AV85" s="140"/>
      <c r="AW85" s="140"/>
      <c r="AX85" s="140"/>
      <c r="AY85" s="140"/>
      <c r="AZ85" s="140"/>
      <c r="BA85" s="140"/>
      <c r="BB85" s="140"/>
      <c r="BC85" s="140"/>
      <c r="BD85" s="140"/>
      <c r="BE85" s="140"/>
      <c r="BF85" s="140"/>
      <c r="BG85" s="140"/>
      <c r="BH85" s="140"/>
      <c r="BI85" s="140"/>
      <c r="BJ85" s="140"/>
      <c r="BK85" s="140"/>
      <c r="BL85" s="140"/>
    </row>
    <row r="86" spans="2:64" x14ac:dyDescent="0.15">
      <c r="C86" s="84" t="s">
        <v>394</v>
      </c>
      <c r="E86" s="140">
        <f>-Leadsheet!E61</f>
        <v>0</v>
      </c>
    </row>
    <row r="88" spans="2:64" x14ac:dyDescent="0.15">
      <c r="B88" s="170" t="s">
        <v>200</v>
      </c>
      <c r="C88" s="155"/>
      <c r="D88" s="155"/>
      <c r="E88" s="279">
        <f>E89+E90+E91</f>
        <v>-4.0623996207276983E-2</v>
      </c>
      <c r="F88" s="303"/>
      <c r="G88" s="303"/>
      <c r="H88" s="303"/>
      <c r="I88" s="303"/>
      <c r="J88" s="303"/>
      <c r="K88" s="303"/>
      <c r="L88" s="303"/>
      <c r="M88" s="303"/>
      <c r="N88" s="303"/>
      <c r="O88" s="303"/>
      <c r="P88" s="303"/>
      <c r="Q88" s="303"/>
      <c r="R88" s="303"/>
      <c r="S88" s="303"/>
      <c r="T88" s="303"/>
      <c r="U88" s="303"/>
      <c r="V88" s="303"/>
      <c r="W88" s="303"/>
      <c r="X88" s="303"/>
      <c r="Y88" s="303"/>
      <c r="Z88" s="303"/>
      <c r="AA88" s="303"/>
      <c r="AB88" s="303"/>
      <c r="AC88" s="303"/>
      <c r="AD88" s="303"/>
      <c r="AE88" s="303"/>
      <c r="AF88" s="303"/>
      <c r="AG88" s="303"/>
      <c r="AH88" s="303"/>
      <c r="AI88" s="303"/>
      <c r="AJ88" s="303"/>
      <c r="AK88" s="303"/>
      <c r="AL88" s="303"/>
      <c r="AM88" s="303"/>
      <c r="AN88" s="303"/>
      <c r="AO88" s="303"/>
      <c r="AP88" s="303"/>
      <c r="AQ88" s="303"/>
      <c r="AR88" s="303"/>
      <c r="AS88" s="303"/>
      <c r="AT88" s="303"/>
      <c r="AU88" s="303"/>
      <c r="AV88" s="303"/>
      <c r="AW88" s="303"/>
      <c r="AX88" s="303"/>
      <c r="AY88" s="303"/>
      <c r="AZ88" s="303"/>
      <c r="BA88" s="303"/>
      <c r="BB88" s="303"/>
      <c r="BC88" s="303"/>
    </row>
    <row r="89" spans="2:64" x14ac:dyDescent="0.15">
      <c r="C89" s="84" t="s">
        <v>395</v>
      </c>
      <c r="E89" s="140">
        <f>-Leadsheet!E63/Leadsheet!E66/Leadsheet!E67-Leadsheet!E64</f>
        <v>-3.8216710390312325E-2</v>
      </c>
    </row>
    <row r="90" spans="2:64" x14ac:dyDescent="0.15">
      <c r="C90" s="84" t="s">
        <v>123</v>
      </c>
      <c r="E90" s="140">
        <f>-Leadsheet!E65</f>
        <v>-2.4072858169646612E-3</v>
      </c>
    </row>
    <row r="91" spans="2:64" x14ac:dyDescent="0.15">
      <c r="C91" s="84" t="s">
        <v>121</v>
      </c>
      <c r="E91" s="140">
        <f>-Leadsheet!E64</f>
        <v>0</v>
      </c>
      <c r="F91" s="140"/>
      <c r="G91" s="140"/>
      <c r="H91" s="140"/>
      <c r="I91" s="140"/>
      <c r="J91" s="140"/>
      <c r="K91" s="140"/>
      <c r="L91" s="140"/>
      <c r="M91" s="140"/>
      <c r="N91" s="140"/>
      <c r="O91" s="140"/>
      <c r="P91" s="140"/>
      <c r="Q91" s="140"/>
      <c r="R91" s="140"/>
      <c r="S91" s="140"/>
      <c r="T91" s="140"/>
      <c r="U91" s="140"/>
      <c r="V91" s="140"/>
      <c r="W91" s="140"/>
      <c r="X91" s="140"/>
      <c r="Y91" s="140"/>
      <c r="Z91" s="140"/>
      <c r="AA91" s="140"/>
      <c r="AB91" s="140"/>
      <c r="AC91" s="140"/>
      <c r="AD91" s="140"/>
      <c r="AE91" s="140"/>
      <c r="AF91" s="140"/>
      <c r="AG91" s="140"/>
      <c r="AH91" s="140"/>
      <c r="AI91" s="140"/>
      <c r="AJ91" s="140"/>
      <c r="AK91" s="140"/>
      <c r="AL91" s="140"/>
      <c r="AM91" s="140"/>
      <c r="AN91" s="140"/>
      <c r="AO91" s="140"/>
      <c r="AP91" s="140"/>
      <c r="AQ91" s="140"/>
      <c r="AR91" s="140"/>
      <c r="AS91" s="140"/>
      <c r="AT91" s="140"/>
      <c r="AU91" s="140"/>
      <c r="AV91" s="140"/>
      <c r="AW91" s="140"/>
      <c r="AX91" s="140"/>
      <c r="AY91" s="140"/>
      <c r="AZ91" s="140"/>
      <c r="BA91" s="140"/>
      <c r="BB91" s="140"/>
      <c r="BC91" s="140"/>
    </row>
    <row r="92" spans="2:64" x14ac:dyDescent="0.15">
      <c r="F92" s="140"/>
      <c r="G92" s="140"/>
      <c r="H92" s="140"/>
      <c r="I92" s="140"/>
      <c r="J92" s="140"/>
      <c r="K92" s="140"/>
      <c r="L92" s="140"/>
      <c r="M92" s="140"/>
      <c r="N92" s="140"/>
      <c r="O92" s="140"/>
      <c r="P92" s="140"/>
      <c r="Q92" s="140"/>
      <c r="R92" s="140"/>
      <c r="S92" s="140"/>
      <c r="T92" s="140"/>
      <c r="U92" s="140"/>
      <c r="V92" s="140"/>
      <c r="W92" s="140"/>
      <c r="X92" s="140"/>
      <c r="Y92" s="140"/>
      <c r="Z92" s="140"/>
      <c r="AA92" s="140"/>
      <c r="AB92" s="140"/>
      <c r="AC92" s="140"/>
      <c r="AD92" s="140"/>
      <c r="AE92" s="140"/>
      <c r="AF92" s="140"/>
      <c r="AG92" s="140"/>
      <c r="AH92" s="140"/>
      <c r="AI92" s="140"/>
      <c r="AJ92" s="140"/>
      <c r="AK92" s="140"/>
      <c r="AL92" s="140"/>
      <c r="AM92" s="140"/>
      <c r="AN92" s="140"/>
      <c r="AO92" s="140"/>
      <c r="AP92" s="140"/>
      <c r="AQ92" s="140"/>
      <c r="AR92" s="140"/>
      <c r="AS92" s="140"/>
      <c r="AT92" s="140"/>
      <c r="AU92" s="140"/>
      <c r="AV92" s="140"/>
      <c r="AW92" s="140"/>
      <c r="AX92" s="140"/>
      <c r="AY92" s="140"/>
      <c r="AZ92" s="140"/>
      <c r="BA92" s="140"/>
      <c r="BB92" s="140"/>
      <c r="BC92" s="140"/>
    </row>
    <row r="93" spans="2:64" x14ac:dyDescent="0.15">
      <c r="C93" s="304" t="s">
        <v>396</v>
      </c>
      <c r="D93" s="304"/>
      <c r="E93" s="305">
        <v>1</v>
      </c>
      <c r="F93" s="305">
        <f>IF(F$5&gt;$D$7,0,IF(F$5&lt;12,1,(1+Leadsheet!$E$43)^(ROUNDDOWN(F$5/12,0))))</f>
        <v>1</v>
      </c>
      <c r="G93" s="305">
        <f>IF(G$5&gt;$D$7,0,IF(G$5&lt;12,1,(1+Leadsheet!$E$43)^(ROUNDDOWN(G$5/12,0))))</f>
        <v>1</v>
      </c>
      <c r="H93" s="305">
        <f>IF(H$5&gt;$D$7,0,IF(H$5&lt;12,1,(1+Leadsheet!$E$43)^(ROUNDDOWN(H$5/12,0))))</f>
        <v>1</v>
      </c>
      <c r="I93" s="305">
        <f>IF(I$5&gt;$D$7,0,IF(I$5&lt;12,1,(1+Leadsheet!$E$43)^(ROUNDDOWN(I$5/12,0))))</f>
        <v>1</v>
      </c>
      <c r="J93" s="305">
        <f>IF(J$5&gt;$D$7,0,IF(J$5&lt;12,1,(1+Leadsheet!$E$43)^(ROUNDDOWN(J$5/12,0))))</f>
        <v>1</v>
      </c>
      <c r="K93" s="305">
        <f>IF(K$5&gt;$D$7,0,IF(K$5&lt;12,1,(1+Leadsheet!$E$43)^(ROUNDDOWN(K$5/12,0))))</f>
        <v>1</v>
      </c>
      <c r="L93" s="305">
        <f>IF(L$5&gt;$D$7,0,IF(L$5&lt;12,1,(1+Leadsheet!$E$43)^(ROUNDDOWN(L$5/12,0))))</f>
        <v>1</v>
      </c>
      <c r="M93" s="305">
        <f>IF(M$5&gt;$D$7,0,IF(M$5&lt;12,1,(1+Leadsheet!$E$43)^(ROUNDDOWN(M$5/12,0))))</f>
        <v>1</v>
      </c>
      <c r="N93" s="305">
        <f>IF(N$5&gt;$D$7,0,IF(N$5&lt;12,1,(1+Leadsheet!$E$43)^(ROUNDDOWN(N$5/12,0))))</f>
        <v>1</v>
      </c>
      <c r="O93" s="305">
        <f>IF(O$5&gt;$D$7,0,IF(O$5&lt;12,1,(1+Leadsheet!$E$43)^(ROUNDDOWN(O$5/12,0))))</f>
        <v>1</v>
      </c>
      <c r="P93" s="305">
        <f>IF(P$5&gt;$D$7,0,IF(P$5&lt;12,1,(1+Leadsheet!$E$43)^(ROUNDDOWN(P$5/12,0))))</f>
        <v>1.0349999999999999</v>
      </c>
      <c r="Q93" s="305">
        <f>IF(Q$5&gt;$D$7,0,IF(Q$5&lt;12,1,(1+Leadsheet!$E$43)^(ROUNDDOWN(Q$5/12,0))))</f>
        <v>1.0349999999999999</v>
      </c>
      <c r="R93" s="305">
        <f>IF(R$5&gt;$D$7,0,IF(R$5&lt;12,1,(1+Leadsheet!$E$43)^(ROUNDDOWN(R$5/12,0))))</f>
        <v>1.0349999999999999</v>
      </c>
      <c r="S93" s="305">
        <f>IF(S$5&gt;$D$7,0,IF(S$5&lt;12,1,(1+Leadsheet!$E$43)^(ROUNDDOWN(S$5/12,0))))</f>
        <v>1.0349999999999999</v>
      </c>
      <c r="T93" s="305">
        <f>IF(T$5&gt;$D$7,0,IF(T$5&lt;12,1,(1+Leadsheet!$E$43)^(ROUNDDOWN(T$5/12,0))))</f>
        <v>1.0349999999999999</v>
      </c>
      <c r="U93" s="305">
        <f>IF(U$5&gt;$D$7,0,IF(U$5&lt;12,1,(1+Leadsheet!$E$43)^(ROUNDDOWN(U$5/12,0))))</f>
        <v>1.0349999999999999</v>
      </c>
      <c r="V93" s="305">
        <f>IF(V$5&gt;$D$7,0,IF(V$5&lt;12,1,(1+Leadsheet!$E$43)^(ROUNDDOWN(V$5/12,0))))</f>
        <v>0</v>
      </c>
      <c r="W93" s="305">
        <f>IF(W$5&gt;$D$7,0,IF(W$5&lt;12,1,(1+Leadsheet!$E$43)^(ROUNDDOWN(W$5/12,0))))</f>
        <v>0</v>
      </c>
      <c r="X93" s="305">
        <f>IF(X$5&gt;$D$7,0,IF(X$5&lt;12,1,(1+Leadsheet!$E$43)^(ROUNDDOWN(X$5/12,0))))</f>
        <v>0</v>
      </c>
      <c r="Y93" s="305">
        <f>IF(Y$5&gt;$D$7,0,IF(Y$5&lt;12,1,(1+Leadsheet!$E$43)^(ROUNDDOWN(Y$5/12,0))))</f>
        <v>0</v>
      </c>
      <c r="Z93" s="305">
        <f>IF(Z$5&gt;$D$7,0,IF(Z$5&lt;12,1,(1+Leadsheet!$E$43)^(ROUNDDOWN(Z$5/12,0))))</f>
        <v>0</v>
      </c>
      <c r="AA93" s="305">
        <f>IF(AA$5&gt;$D$7,0,IF(AA$5&lt;12,1,(1+Leadsheet!$E$43)^(ROUNDDOWN(AA$5/12,0))))</f>
        <v>0</v>
      </c>
      <c r="AB93" s="305">
        <f>IF(AB$5&gt;$D$7,0,IF(AB$5&lt;12,1,(1+Leadsheet!$E$43)^(ROUNDDOWN(AB$5/12,0))))</f>
        <v>0</v>
      </c>
      <c r="AC93" s="305">
        <f>IF(AC$5&gt;$D$7,0,IF(AC$5&lt;12,1,(1+Leadsheet!$E$43)^(ROUNDDOWN(AC$5/12,0))))</f>
        <v>0</v>
      </c>
      <c r="AD93" s="305">
        <f>IF(AD$5&gt;$D$7,0,IF(AD$5&lt;12,1,(1+Leadsheet!$E$43)^(ROUNDDOWN(AD$5/12,0))))</f>
        <v>0</v>
      </c>
      <c r="AE93" s="305">
        <f>IF(AE$5&gt;$D$7,0,IF(AE$5&lt;12,1,(1+Leadsheet!$E$43)^(ROUNDDOWN(AE$5/12,0))))</f>
        <v>0</v>
      </c>
      <c r="AF93" s="305">
        <f>IF(AF$5&gt;$D$7,0,IF(AF$5&lt;12,1,(1+Leadsheet!$E$43)^(ROUNDDOWN(AF$5/12,0))))</f>
        <v>0</v>
      </c>
      <c r="AG93" s="305">
        <f>IF(AG$5&gt;$D$7,0,IF(AG$5&lt;12,1,(1+Leadsheet!$E$43)^(ROUNDDOWN(AG$5/12,0))))</f>
        <v>0</v>
      </c>
      <c r="AH93" s="305">
        <f>IF(AH$5&gt;$D$7,0,IF(AH$5&lt;12,1,(1+Leadsheet!$E$43)^(ROUNDDOWN(AH$5/12,0))))</f>
        <v>0</v>
      </c>
      <c r="AI93" s="305">
        <f>IF(AI$5&gt;$D$7,0,IF(AI$5&lt;12,1,(1+Leadsheet!$E$43)^(ROUNDDOWN(AI$5/12,0))))</f>
        <v>0</v>
      </c>
      <c r="AJ93" s="305">
        <f>IF(AJ$5&gt;$D$7,0,IF(AJ$5&lt;12,1,(1+Leadsheet!$E$43)^(ROUNDDOWN(AJ$5/12,0))))</f>
        <v>0</v>
      </c>
      <c r="AK93" s="305">
        <f>IF(AK$5&gt;$D$7,0,IF(AK$5&lt;12,1,(1+Leadsheet!$E$43)^(ROUNDDOWN(AK$5/12,0))))</f>
        <v>0</v>
      </c>
      <c r="AL93" s="305">
        <f>IF(AL$5&gt;$D$7,0,IF(AL$5&lt;12,1,(1+Leadsheet!$E$43)^(ROUNDDOWN(AL$5/12,0))))</f>
        <v>0</v>
      </c>
      <c r="AM93" s="305">
        <f>IF(AM$5&gt;$D$7,0,IF(AM$5&lt;12,1,(1+Leadsheet!$E$43)^(ROUNDDOWN(AM$5/12,0))))</f>
        <v>0</v>
      </c>
      <c r="AN93" s="305">
        <f>IF(AN$5&gt;$D$7,0,IF(AN$5&lt;12,1,(1+Leadsheet!$E$43)^(ROUNDDOWN(AN$5/12,0))))</f>
        <v>0</v>
      </c>
      <c r="AO93" s="305">
        <f>IF(AO$5&gt;$D$7,0,IF(AO$5&lt;12,1,(1+Leadsheet!$E$43)^(ROUNDDOWN(AO$5/12,0))))</f>
        <v>0</v>
      </c>
      <c r="AP93" s="305">
        <f>IF(AP$5&gt;$D$7,0,IF(AP$5&lt;12,1,(1+Leadsheet!$E$43)^(ROUNDDOWN(AP$5/12,0))))</f>
        <v>0</v>
      </c>
      <c r="AQ93" s="305">
        <f>IF(AQ$5&gt;$D$7,0,IF(AQ$5&lt;12,1,(1+Leadsheet!$E$43)^(ROUNDDOWN(AQ$5/12,0))))</f>
        <v>0</v>
      </c>
      <c r="AR93" s="305">
        <f>IF(AR$5&gt;$D$7,0,IF(AR$5&lt;12,1,(1+Leadsheet!$E$43)^(ROUNDDOWN(AR$5/12,0))))</f>
        <v>0</v>
      </c>
      <c r="AS93" s="305">
        <f>IF(AS$5&gt;$D$7,0,IF(AS$5&lt;12,1,(1+Leadsheet!$E$43)^(ROUNDDOWN(AS$5/12,0))))</f>
        <v>0</v>
      </c>
      <c r="AT93" s="305">
        <f>IF(AT$5&gt;$D$7,0,IF(AT$5&lt;12,1,(1+Leadsheet!$E$43)^(ROUNDDOWN(AT$5/12,0))))</f>
        <v>0</v>
      </c>
      <c r="AU93" s="305">
        <f>IF(AU$5&gt;$D$7,0,IF(AU$5&lt;12,1,(1+Leadsheet!$E$43)^(ROUNDDOWN(AU$5/12,0))))</f>
        <v>0</v>
      </c>
      <c r="AV93" s="305">
        <f>IF(AV$5&gt;$D$7,0,IF(AV$5&lt;12,1,(1+Leadsheet!$E$43)^(ROUNDDOWN(AV$5/12,0))))</f>
        <v>0</v>
      </c>
      <c r="AW93" s="305">
        <f>IF(AW$5&gt;$D$7,0,IF(AW$5&lt;12,1,(1+Leadsheet!$E$43)^(ROUNDDOWN(AW$5/12,0))))</f>
        <v>0</v>
      </c>
      <c r="AX93" s="305">
        <f>IF(AX$5&gt;$D$7,0,IF(AX$5&lt;12,1,(1+Leadsheet!$E$43)^(ROUNDDOWN(AX$5/12,0))))</f>
        <v>0</v>
      </c>
      <c r="AY93" s="305">
        <f>IF(AY$5&gt;$D$7,0,IF(AY$5&lt;12,1,(1+Leadsheet!$E$43)^(ROUNDDOWN(AY$5/12,0))))</f>
        <v>0</v>
      </c>
      <c r="AZ93" s="305">
        <f>IF(AZ$5&gt;$D$7,0,IF(AZ$5&lt;12,1,(1+Leadsheet!$E$43)^(ROUNDDOWN(AZ$5/12,0))))</f>
        <v>0</v>
      </c>
      <c r="BA93" s="305">
        <f>IF(BA$5&gt;$D$7,0,IF(BA$5&lt;12,1,(1+Leadsheet!$E$43)^(ROUNDDOWN(BA$5/12,0))))</f>
        <v>0</v>
      </c>
      <c r="BB93" s="305">
        <f>IF(BB$5&gt;$D$7,0,IF(BB$5&lt;12,1,(1+Leadsheet!$E$43)^(ROUNDDOWN(BB$5/12,0))))</f>
        <v>0</v>
      </c>
      <c r="BC93" s="305">
        <f>IF(BC$5&gt;$D$7,0,IF(BC$5&lt;12,1,(1+Leadsheet!$E$43)^(ROUNDDOWN(BC$5/12,0))))</f>
        <v>0</v>
      </c>
      <c r="BD93" s="305">
        <f>IF(BD$5&gt;$D$7,0,IF(BD$5&lt;12,1,(1+Leadsheet!$E$43)^(ROUNDDOWN(BD$5/12,0))))</f>
        <v>0</v>
      </c>
      <c r="BE93" s="305">
        <f>IF(BE$5&gt;$D$7,0,IF(BE$5&lt;12,1,(1+Leadsheet!$E$43)^(ROUNDDOWN(BE$5/12,0))))</f>
        <v>0</v>
      </c>
      <c r="BF93" s="305">
        <f>IF(BF$5&gt;$D$7,0,IF(BF$5&lt;12,1,(1+Leadsheet!$E$43)^(ROUNDDOWN(BF$5/12,0))))</f>
        <v>0</v>
      </c>
      <c r="BG93" s="305">
        <f>IF(BG$5&gt;$D$7,0,IF(BG$5&lt;12,1,(1+Leadsheet!$E$43)^(ROUNDDOWN(BG$5/12,0))))</f>
        <v>0</v>
      </c>
      <c r="BH93" s="305">
        <f>IF(BH$5&gt;$D$7,0,IF(BH$5&lt;12,1,(1+Leadsheet!$E$43)^(ROUNDDOWN(BH$5/12,0))))</f>
        <v>0</v>
      </c>
      <c r="BI93" s="305">
        <f>IF(BI$5&gt;$D$7,0,IF(BI$5&lt;12,1,(1+Leadsheet!$E$43)^(ROUNDDOWN(BI$5/12,0))))</f>
        <v>0</v>
      </c>
      <c r="BJ93" s="305">
        <f>IF(BJ$5&gt;$D$7,0,IF(BJ$5&lt;12,1,(1+Leadsheet!$E$43)^(ROUNDDOWN(BJ$5/12,0))))</f>
        <v>0</v>
      </c>
      <c r="BK93" s="305">
        <f>IF(BK$5&gt;$D$7,0,IF(BK$5&lt;12,1,(1+Leadsheet!$E$43)^(ROUNDDOWN(BK$5/12,0))))</f>
        <v>0</v>
      </c>
      <c r="BL93" s="305">
        <f>IF(BL$5&gt;$D$7,0,IF(BL$5&lt;12,1,(1+Leadsheet!$E$43)^(ROUNDDOWN(BL$5/12,0))))</f>
        <v>0</v>
      </c>
    </row>
    <row r="95" spans="2:64" s="155" customFormat="1" x14ac:dyDescent="0.15">
      <c r="B95" s="155" t="s">
        <v>131</v>
      </c>
      <c r="E95" s="297">
        <f>SUM(E96:E97)</f>
        <v>-8.0000000000000002E-3</v>
      </c>
      <c r="F95" s="297">
        <f t="shared" ref="F95:BL95" si="21">SUM(F96:F97)</f>
        <v>-7.3600000000000002E-3</v>
      </c>
      <c r="G95" s="297">
        <f t="shared" si="21"/>
        <v>-6.8800000000000007E-3</v>
      </c>
      <c r="H95" s="297">
        <f t="shared" si="21"/>
        <v>-6.4000000000000003E-3</v>
      </c>
      <c r="I95" s="297">
        <f t="shared" si="21"/>
        <v>-6.2000000000000006E-3</v>
      </c>
      <c r="J95" s="297">
        <f t="shared" si="21"/>
        <v>-6.0000000000000001E-3</v>
      </c>
      <c r="K95" s="297">
        <f t="shared" si="21"/>
        <v>-5.7999999999999996E-3</v>
      </c>
      <c r="L95" s="297">
        <f t="shared" si="21"/>
        <v>-5.5999999999999999E-3</v>
      </c>
      <c r="M95" s="297">
        <f t="shared" si="21"/>
        <v>-5.3999999999999994E-3</v>
      </c>
      <c r="N95" s="297">
        <f t="shared" si="21"/>
        <v>-5.1999999999999998E-3</v>
      </c>
      <c r="O95" s="297">
        <f t="shared" si="21"/>
        <v>-4.9999999999999992E-3</v>
      </c>
      <c r="P95" s="297">
        <f t="shared" si="21"/>
        <v>-9.3245474116403584E-4</v>
      </c>
      <c r="Q95" s="297">
        <f t="shared" si="21"/>
        <v>-9.3188183183356055E-4</v>
      </c>
      <c r="R95" s="297">
        <f t="shared" si="21"/>
        <v>-9.3187870582100833E-4</v>
      </c>
      <c r="S95" s="297">
        <f t="shared" si="21"/>
        <v>-9.3187770201994099E-4</v>
      </c>
      <c r="T95" s="297">
        <f t="shared" si="21"/>
        <v>-9.3187770201994099E-4</v>
      </c>
      <c r="U95" s="297">
        <f t="shared" si="21"/>
        <v>-9.3187770201994099E-4</v>
      </c>
      <c r="V95" s="297">
        <f t="shared" si="21"/>
        <v>0</v>
      </c>
      <c r="W95" s="297">
        <f t="shared" si="21"/>
        <v>0</v>
      </c>
      <c r="X95" s="297">
        <f t="shared" si="21"/>
        <v>0</v>
      </c>
      <c r="Y95" s="297">
        <f t="shared" si="21"/>
        <v>0</v>
      </c>
      <c r="Z95" s="297">
        <f t="shared" si="21"/>
        <v>0</v>
      </c>
      <c r="AA95" s="297">
        <f t="shared" si="21"/>
        <v>0</v>
      </c>
      <c r="AB95" s="297">
        <f t="shared" si="21"/>
        <v>0</v>
      </c>
      <c r="AC95" s="297">
        <f t="shared" si="21"/>
        <v>0</v>
      </c>
      <c r="AD95" s="297">
        <f t="shared" si="21"/>
        <v>0</v>
      </c>
      <c r="AE95" s="297">
        <f t="shared" si="21"/>
        <v>0</v>
      </c>
      <c r="AF95" s="297">
        <f t="shared" si="21"/>
        <v>0</v>
      </c>
      <c r="AG95" s="297">
        <f t="shared" si="21"/>
        <v>0</v>
      </c>
      <c r="AH95" s="297">
        <f t="shared" si="21"/>
        <v>0</v>
      </c>
      <c r="AI95" s="297">
        <f t="shared" si="21"/>
        <v>0</v>
      </c>
      <c r="AJ95" s="297">
        <f t="shared" si="21"/>
        <v>0</v>
      </c>
      <c r="AK95" s="297">
        <f t="shared" si="21"/>
        <v>0</v>
      </c>
      <c r="AL95" s="297">
        <f t="shared" si="21"/>
        <v>0</v>
      </c>
      <c r="AM95" s="297">
        <f t="shared" si="21"/>
        <v>0</v>
      </c>
      <c r="AN95" s="297">
        <f t="shared" si="21"/>
        <v>0</v>
      </c>
      <c r="AO95" s="297">
        <f t="shared" si="21"/>
        <v>0</v>
      </c>
      <c r="AP95" s="297">
        <f t="shared" si="21"/>
        <v>0</v>
      </c>
      <c r="AQ95" s="297">
        <f t="shared" si="21"/>
        <v>0</v>
      </c>
      <c r="AR95" s="297">
        <f t="shared" si="21"/>
        <v>0</v>
      </c>
      <c r="AS95" s="297">
        <f t="shared" si="21"/>
        <v>0</v>
      </c>
      <c r="AT95" s="297">
        <f t="shared" si="21"/>
        <v>0</v>
      </c>
      <c r="AU95" s="297">
        <f t="shared" si="21"/>
        <v>0</v>
      </c>
      <c r="AV95" s="297">
        <f t="shared" si="21"/>
        <v>0</v>
      </c>
      <c r="AW95" s="297">
        <f t="shared" si="21"/>
        <v>0</v>
      </c>
      <c r="AX95" s="297">
        <f t="shared" si="21"/>
        <v>0</v>
      </c>
      <c r="AY95" s="297">
        <f t="shared" si="21"/>
        <v>0</v>
      </c>
      <c r="AZ95" s="297">
        <f t="shared" si="21"/>
        <v>0</v>
      </c>
      <c r="BA95" s="297">
        <f t="shared" si="21"/>
        <v>0</v>
      </c>
      <c r="BB95" s="297">
        <f t="shared" si="21"/>
        <v>0</v>
      </c>
      <c r="BC95" s="297">
        <f t="shared" si="21"/>
        <v>0</v>
      </c>
      <c r="BD95" s="297">
        <f t="shared" si="21"/>
        <v>0</v>
      </c>
      <c r="BE95" s="297">
        <f t="shared" si="21"/>
        <v>0</v>
      </c>
      <c r="BF95" s="297">
        <f t="shared" si="21"/>
        <v>0</v>
      </c>
      <c r="BG95" s="297">
        <f t="shared" si="21"/>
        <v>0</v>
      </c>
      <c r="BH95" s="297">
        <f t="shared" si="21"/>
        <v>0</v>
      </c>
      <c r="BI95" s="297">
        <f t="shared" si="21"/>
        <v>0</v>
      </c>
      <c r="BJ95" s="297">
        <f t="shared" si="21"/>
        <v>0</v>
      </c>
      <c r="BK95" s="297">
        <f t="shared" si="21"/>
        <v>0</v>
      </c>
      <c r="BL95" s="297">
        <f t="shared" si="21"/>
        <v>0</v>
      </c>
    </row>
    <row r="96" spans="2:64" s="306" customFormat="1" x14ac:dyDescent="0.15">
      <c r="C96" s="307" t="s">
        <v>228</v>
      </c>
      <c r="E96" s="306">
        <f>-IF(E5&gt;Leadsheet!$E$12,Leadsheet!$E$71*E$93*E44/$D$44,Leadsheet!$E$71*E$93*D16)</f>
        <v>-8.0000000000000002E-3</v>
      </c>
      <c r="F96" s="306">
        <f>-IF(F5&gt;Leadsheet!$E$12,Leadsheet!$E$71*F$93*F44/$D$44,Leadsheet!$E$71*F$93*E16)</f>
        <v>-7.3600000000000002E-3</v>
      </c>
      <c r="G96" s="306">
        <f>-IF(G5&gt;Leadsheet!$E$12,Leadsheet!$E$71*G$93*G44/$D$44,Leadsheet!$E$71*G$93*F16)</f>
        <v>-6.8800000000000007E-3</v>
      </c>
      <c r="H96" s="306">
        <f>-IF(H5&gt;Leadsheet!$E$12,Leadsheet!$E$71*H$93*H44/$D$44,Leadsheet!$E$71*H$93*G16)</f>
        <v>-6.4000000000000003E-3</v>
      </c>
      <c r="I96" s="306">
        <f>-IF(I5&gt;Leadsheet!$E$12,Leadsheet!$E$71*I$93*I44/$D$44,Leadsheet!$E$71*I$93*H16)</f>
        <v>-6.2000000000000006E-3</v>
      </c>
      <c r="J96" s="306">
        <f>-IF(J5&gt;Leadsheet!$E$12,Leadsheet!$E$71*J$93*J44/$D$44,Leadsheet!$E$71*J$93*I16)</f>
        <v>-6.0000000000000001E-3</v>
      </c>
      <c r="K96" s="306">
        <f>-IF(K5&gt;Leadsheet!$E$12,Leadsheet!$E$71*K$93*K44/$D$44,Leadsheet!$E$71*K$93*J16)</f>
        <v>-5.7999999999999996E-3</v>
      </c>
      <c r="L96" s="306">
        <f>-IF(L5&gt;Leadsheet!$E$12,Leadsheet!$E$71*L$93*L44/$D$44,Leadsheet!$E$71*L$93*K16)</f>
        <v>-5.5999999999999999E-3</v>
      </c>
      <c r="M96" s="306">
        <f>-IF(M5&gt;Leadsheet!$E$12,Leadsheet!$E$71*M$93*M44/$D$44,Leadsheet!$E$71*M$93*L16)</f>
        <v>-5.3999999999999994E-3</v>
      </c>
      <c r="N96" s="306">
        <f>-IF(N5&gt;Leadsheet!$E$12,Leadsheet!$E$71*N$93*N44/$D$44,Leadsheet!$E$71*N$93*M16)</f>
        <v>-5.1999999999999998E-3</v>
      </c>
      <c r="O96" s="306">
        <f>-IF(O5&gt;Leadsheet!$E$12,Leadsheet!$E$71*O$93*O44/$D$44,Leadsheet!$E$71*O$93*N16)</f>
        <v>-4.9999999999999992E-3</v>
      </c>
      <c r="P96" s="306">
        <f>-IF(P5&gt;Leadsheet!$E$12,Leadsheet!$E$71*P$93*P44/$D$44,Leadsheet!$E$71*P$93*O16)</f>
        <v>-9.3245474116403584E-4</v>
      </c>
      <c r="Q96" s="306">
        <f>-IF(Q5&gt;Leadsheet!$E$12,Leadsheet!$E$71*Q$93*Q44/$D$44,Leadsheet!$E$71*Q$93*P16)</f>
        <v>-9.3188183183356055E-4</v>
      </c>
      <c r="R96" s="306">
        <f>-IF(R5&gt;Leadsheet!$E$12,Leadsheet!$E$71*R$93*R44/$D$44,Leadsheet!$E$71*R$93*Q16)</f>
        <v>-9.3187870582100833E-4</v>
      </c>
      <c r="S96" s="306">
        <f>-IF(S5&gt;Leadsheet!$E$12,Leadsheet!$E$71*S$93*S44/$D$44,Leadsheet!$E$71*S$93*R16)</f>
        <v>-9.3187770201994099E-4</v>
      </c>
      <c r="T96" s="306">
        <f>-IF(T5&gt;Leadsheet!$E$12,Leadsheet!$E$71*T$93*T44/$D$44,Leadsheet!$E$71*T$93*S16)</f>
        <v>-9.3187770201994099E-4</v>
      </c>
      <c r="U96" s="306">
        <f>-IF(U5&gt;Leadsheet!$E$12,Leadsheet!$E$71*U$93*U44/$D$44,Leadsheet!$E$71*U$93*T16)</f>
        <v>-9.3187770201994099E-4</v>
      </c>
      <c r="V96" s="306">
        <f>-IF(V5&gt;Leadsheet!$E$12,Leadsheet!$E$71*V$93*V44/$D$44,Leadsheet!$E$71*V$93*U16)</f>
        <v>0</v>
      </c>
      <c r="W96" s="306">
        <f>-IF(W5&gt;Leadsheet!$E$12,Leadsheet!$E$71*W$93*W44/$D$44,Leadsheet!$E$71*W$93*V16)</f>
        <v>0</v>
      </c>
      <c r="X96" s="306">
        <f>-IF(X5&gt;Leadsheet!$E$12,Leadsheet!$E$71*X$93*X44/$D$44,Leadsheet!$E$71*X$93*W16)</f>
        <v>0</v>
      </c>
      <c r="Y96" s="306">
        <f>-IF(Y5&gt;Leadsheet!$E$12,Leadsheet!$E$71*Y$93*Y44/$D$44,Leadsheet!$E$71*Y$93*X16)</f>
        <v>0</v>
      </c>
      <c r="Z96" s="306">
        <f>-IF(Z5&gt;Leadsheet!$E$12,Leadsheet!$E$71*Z$93*Z44/$D$44,Leadsheet!$E$71*Z$93*Y16)</f>
        <v>0</v>
      </c>
      <c r="AA96" s="306">
        <f>-IF(AA5&gt;Leadsheet!$E$12,Leadsheet!$E$71*AA$93*AA44/$D$44,Leadsheet!$E$71*AA$93*Z16)</f>
        <v>0</v>
      </c>
      <c r="AB96" s="306">
        <f>-IF(AB5&gt;Leadsheet!$E$12,Leadsheet!$E$71*AB$93*AB44/$D$44,Leadsheet!$E$71*AB$93*AA16)</f>
        <v>0</v>
      </c>
      <c r="AC96" s="306">
        <f>-IF(AC5&gt;Leadsheet!$E$12,Leadsheet!$E$71*AC$93*AC44/$D$44,Leadsheet!$E$71*AC$93*AB16)</f>
        <v>0</v>
      </c>
      <c r="AD96" s="306">
        <f>-IF(AD5&gt;Leadsheet!$E$12,Leadsheet!$E$71*AD$93*AD44/$D$44,Leadsheet!$E$71*AD$93*AC16)</f>
        <v>0</v>
      </c>
      <c r="AE96" s="306">
        <f>-IF(AE5&gt;Leadsheet!$E$12,Leadsheet!$E$71*AE$93*AE44/$D$44,Leadsheet!$E$71*AE$93*AD16)</f>
        <v>0</v>
      </c>
      <c r="AF96" s="306">
        <f>-IF(AF5&gt;Leadsheet!$E$12,Leadsheet!$E$71*AF$93*AF44/$D$44,Leadsheet!$E$71*AF$93*AE16)</f>
        <v>0</v>
      </c>
      <c r="AG96" s="306">
        <f>-IF(AG5&gt;Leadsheet!$E$12,Leadsheet!$E$71*AG$93*AG44/$D$44,Leadsheet!$E$71*AG$93*AF16)</f>
        <v>0</v>
      </c>
      <c r="AH96" s="306">
        <f>-IF(AH5&gt;Leadsheet!$E$12,Leadsheet!$E$71*AH$93*AH44/$D$44,Leadsheet!$E$71*AH$93*AG16)</f>
        <v>0</v>
      </c>
      <c r="AI96" s="306">
        <f>-IF(AI5&gt;Leadsheet!$E$12,Leadsheet!$E$71*AI$93*AI44/$D$44,Leadsheet!$E$71*AI$93*AH16)</f>
        <v>0</v>
      </c>
      <c r="AJ96" s="306">
        <f>-IF(AJ5&gt;Leadsheet!$E$12,Leadsheet!$E$71*AJ$93*AJ44/$D$44,Leadsheet!$E$71*AJ$93*AI16)</f>
        <v>0</v>
      </c>
      <c r="AK96" s="306">
        <f>-IF(AK5&gt;Leadsheet!$E$12,Leadsheet!$E$71*AK$93*AK44/$D$44,Leadsheet!$E$71*AK$93*AJ16)</f>
        <v>0</v>
      </c>
      <c r="AL96" s="306">
        <f>-IF(AL5&gt;Leadsheet!$E$12,Leadsheet!$E$71*AL$93*AL44/$D$44,Leadsheet!$E$71*AL$93*AK16)</f>
        <v>0</v>
      </c>
      <c r="AM96" s="306">
        <f>-IF(AM5&gt;Leadsheet!$E$12,Leadsheet!$E$71*AM$93*AM44/$D$44,Leadsheet!$E$71*AM$93*AL16)</f>
        <v>0</v>
      </c>
      <c r="AN96" s="306">
        <f>-IF(AN5&gt;Leadsheet!$E$12,Leadsheet!$E$71*AN$93*AN44/$D$44,Leadsheet!$E$71*AN$93*AM16)</f>
        <v>0</v>
      </c>
      <c r="AO96" s="306">
        <f>-IF(AO5&gt;Leadsheet!$E$12,Leadsheet!$E$71*AO$93*AO44/$D$44,Leadsheet!$E$71*AO$93*AN16)</f>
        <v>0</v>
      </c>
      <c r="AP96" s="306">
        <f>-IF(AP5&gt;Leadsheet!$E$12,Leadsheet!$E$71*AP$93*AP44/$D$44,Leadsheet!$E$71*AP$93*AO16)</f>
        <v>0</v>
      </c>
      <c r="AQ96" s="306">
        <f>-IF(AQ5&gt;Leadsheet!$E$12,Leadsheet!$E$71*AQ$93*AQ44/$D$44,Leadsheet!$E$71*AQ$93*AP16)</f>
        <v>0</v>
      </c>
      <c r="AR96" s="306">
        <f>-IF(AR5&gt;Leadsheet!$E$12,Leadsheet!$E$71*AR$93*AR44/$D$44,Leadsheet!$E$71*AR$93*AQ16)</f>
        <v>0</v>
      </c>
      <c r="AS96" s="306">
        <f>-IF(AS5&gt;Leadsheet!$E$12,Leadsheet!$E$71*AS$93*AS44/$D$44,Leadsheet!$E$71*AS$93*AR16)</f>
        <v>0</v>
      </c>
      <c r="AT96" s="306">
        <f>-IF(AT5&gt;Leadsheet!$E$12,Leadsheet!$E$71*AT$93*AT44/$D$44,Leadsheet!$E$71*AT$93*AS16)</f>
        <v>0</v>
      </c>
      <c r="AU96" s="306">
        <f>-IF(AU5&gt;Leadsheet!$E$12,Leadsheet!$E$71*AU$93*AU44/$D$44,Leadsheet!$E$71*AU$93*AT16)</f>
        <v>0</v>
      </c>
      <c r="AV96" s="306">
        <f>-IF(AV5&gt;Leadsheet!$E$12,Leadsheet!$E$71*AV$93*AV44/$D$44,Leadsheet!$E$71*AV$93*AU16)</f>
        <v>0</v>
      </c>
      <c r="AW96" s="306">
        <f>-IF(AW5&gt;Leadsheet!$E$12,Leadsheet!$E$71*AW$93*AW44/$D$44,Leadsheet!$E$71*AW$93*AV16)</f>
        <v>0</v>
      </c>
      <c r="AX96" s="306">
        <f>-IF(AX5&gt;Leadsheet!$E$12,Leadsheet!$E$71*AX$93*AX44/$D$44,Leadsheet!$E$71*AX$93*AW16)</f>
        <v>0</v>
      </c>
      <c r="AY96" s="306">
        <f>-IF(AY5&gt;Leadsheet!$E$12,Leadsheet!$E$71*AY$93*AY44/$D$44,Leadsheet!$E$71*AY$93*AX16)</f>
        <v>0</v>
      </c>
      <c r="AZ96" s="306">
        <f>-IF(AZ5&gt;Leadsheet!$E$12,Leadsheet!$E$71*AZ$93*AZ44/$D$44,Leadsheet!$E$71*AZ$93*AY16)</f>
        <v>0</v>
      </c>
      <c r="BA96" s="306">
        <f>-IF(BA5&gt;Leadsheet!$E$12,Leadsheet!$E$71*BA$93*BA44/$D$44,Leadsheet!$E$71*BA$93*AZ16)</f>
        <v>0</v>
      </c>
      <c r="BB96" s="306">
        <f>-IF(BB5&gt;Leadsheet!$E$12,Leadsheet!$E$71*BB$93*BB44/$D$44,Leadsheet!$E$71*BB$93*BA16)</f>
        <v>0</v>
      </c>
      <c r="BC96" s="306">
        <f>-IF(BC5&gt;Leadsheet!$E$12,Leadsheet!$E$71*BC$93*BC44/$D$44,Leadsheet!$E$71*BC$93*BB16)</f>
        <v>0</v>
      </c>
      <c r="BD96" s="306">
        <f>-IF(BD5&gt;Leadsheet!$E$12,Leadsheet!$E$71*BD$93*BD44/$D$44,Leadsheet!$E$71*BD$93*BC16)</f>
        <v>0</v>
      </c>
      <c r="BE96" s="306">
        <f>-IF(BE5&gt;Leadsheet!$E$12,Leadsheet!$E$71*BE$93*BE44/$D$44,Leadsheet!$E$71*BE$93*BD16)</f>
        <v>0</v>
      </c>
      <c r="BF96" s="306">
        <f>-IF(BF5&gt;Leadsheet!$E$12,Leadsheet!$E$71*BF$93*BF44/$D$44,Leadsheet!$E$71*BF$93*BE16)</f>
        <v>0</v>
      </c>
      <c r="BG96" s="306">
        <f>-IF(BG5&gt;Leadsheet!$E$12,Leadsheet!$E$71*BG$93*BG44/$D$44,Leadsheet!$E$71*BG$93*BF16)</f>
        <v>0</v>
      </c>
      <c r="BH96" s="306">
        <f>-IF(BH5&gt;Leadsheet!$E$12,Leadsheet!$E$71*BH$93*BH44/$D$44,Leadsheet!$E$71*BH$93*BG16)</f>
        <v>0</v>
      </c>
      <c r="BI96" s="306">
        <f>-IF(BI5&gt;Leadsheet!$E$12,Leadsheet!$E$71*BI$93*BI44/$D$44,Leadsheet!$E$71*BI$93*BH16)</f>
        <v>0</v>
      </c>
      <c r="BJ96" s="306">
        <f>-IF(BJ5&gt;Leadsheet!$E$12,Leadsheet!$E$71*BJ$93*BJ44/$D$44,Leadsheet!$E$71*BJ$93*BI16)</f>
        <v>0</v>
      </c>
      <c r="BK96" s="306">
        <f>-IF(BK5&gt;Leadsheet!$E$12,Leadsheet!$E$71*BK$93*BK44/$D$44,Leadsheet!$E$71*BK$93*BJ16)</f>
        <v>0</v>
      </c>
      <c r="BL96" s="306">
        <f>-IF(BL5&gt;Leadsheet!$E$12,Leadsheet!$E$71*BL$93*BL44/$D$44,Leadsheet!$E$71*BL$93*BK16)</f>
        <v>0</v>
      </c>
    </row>
    <row r="97" spans="1:64" x14ac:dyDescent="0.15">
      <c r="C97" s="181" t="s">
        <v>229</v>
      </c>
      <c r="E97" s="140"/>
      <c r="F97" s="140"/>
      <c r="G97" s="140"/>
      <c r="H97" s="140"/>
      <c r="I97" s="140"/>
      <c r="J97" s="140"/>
      <c r="K97" s="140"/>
      <c r="L97" s="140"/>
      <c r="M97" s="140"/>
      <c r="N97" s="140"/>
      <c r="O97" s="140"/>
      <c r="P97" s="140"/>
      <c r="Q97" s="140"/>
      <c r="R97" s="140"/>
      <c r="S97" s="140"/>
      <c r="T97" s="140"/>
      <c r="U97" s="140"/>
      <c r="V97" s="140"/>
      <c r="W97" s="140"/>
      <c r="X97" s="140"/>
      <c r="Y97" s="140"/>
      <c r="Z97" s="140"/>
      <c r="AA97" s="140"/>
      <c r="AB97" s="140"/>
      <c r="AC97" s="140"/>
      <c r="AD97" s="140"/>
      <c r="AE97" s="140"/>
      <c r="AF97" s="140"/>
      <c r="AG97" s="140"/>
      <c r="AH97" s="140"/>
      <c r="AI97" s="140"/>
      <c r="AJ97" s="140"/>
      <c r="AK97" s="140"/>
      <c r="AL97" s="140"/>
      <c r="AM97" s="140"/>
      <c r="AN97" s="140"/>
      <c r="AO97" s="140"/>
      <c r="AP97" s="140"/>
      <c r="AQ97" s="140"/>
      <c r="AR97" s="140"/>
      <c r="AS97" s="140"/>
      <c r="AT97" s="140"/>
      <c r="AU97" s="140"/>
      <c r="AV97" s="140"/>
      <c r="AW97" s="140"/>
      <c r="AX97" s="140"/>
      <c r="AY97" s="140"/>
      <c r="AZ97" s="140"/>
      <c r="BA97" s="140"/>
      <c r="BB97" s="140"/>
      <c r="BC97" s="140"/>
      <c r="BD97" s="140"/>
      <c r="BE97" s="140"/>
      <c r="BF97" s="140"/>
      <c r="BG97" s="140"/>
      <c r="BH97" s="140"/>
      <c r="BI97" s="140"/>
      <c r="BJ97" s="140"/>
      <c r="BK97" s="140"/>
      <c r="BL97" s="140"/>
    </row>
    <row r="98" spans="1:64" x14ac:dyDescent="0.15">
      <c r="E98" s="140"/>
      <c r="F98" s="140"/>
      <c r="G98" s="140"/>
      <c r="H98" s="140"/>
      <c r="I98" s="140"/>
      <c r="J98" s="140"/>
      <c r="K98" s="140"/>
      <c r="L98" s="140"/>
      <c r="M98" s="140"/>
      <c r="N98" s="140"/>
      <c r="O98" s="140"/>
      <c r="P98" s="140"/>
      <c r="Q98" s="140"/>
      <c r="R98" s="140"/>
      <c r="S98" s="140"/>
      <c r="T98" s="140"/>
      <c r="U98" s="140"/>
      <c r="V98" s="140"/>
      <c r="W98" s="140"/>
      <c r="X98" s="140"/>
      <c r="Y98" s="140"/>
      <c r="Z98" s="140"/>
      <c r="AA98" s="140"/>
      <c r="AB98" s="140"/>
      <c r="AC98" s="140"/>
      <c r="AD98" s="140"/>
      <c r="AE98" s="140"/>
      <c r="AF98" s="140"/>
      <c r="AG98" s="140"/>
      <c r="AH98" s="140"/>
      <c r="AI98" s="140"/>
      <c r="AJ98" s="140"/>
      <c r="AK98" s="140"/>
      <c r="AL98" s="140"/>
      <c r="AM98" s="140"/>
      <c r="AN98" s="140"/>
      <c r="AO98" s="140"/>
      <c r="AP98" s="140"/>
      <c r="AQ98" s="140"/>
      <c r="AR98" s="140"/>
      <c r="AS98" s="140"/>
      <c r="AT98" s="140"/>
      <c r="AU98" s="140"/>
      <c r="AV98" s="140"/>
      <c r="AW98" s="140"/>
      <c r="AX98" s="140"/>
      <c r="AY98" s="140"/>
      <c r="AZ98" s="140"/>
      <c r="BA98" s="140"/>
      <c r="BB98" s="140"/>
      <c r="BC98" s="140"/>
      <c r="BD98" s="140"/>
      <c r="BE98" s="140"/>
      <c r="BF98" s="140"/>
      <c r="BG98" s="140"/>
      <c r="BH98" s="140"/>
      <c r="BI98" s="140"/>
      <c r="BJ98" s="140"/>
      <c r="BK98" s="140"/>
      <c r="BL98" s="140"/>
    </row>
    <row r="99" spans="1:64" x14ac:dyDescent="0.15">
      <c r="B99" s="155" t="s">
        <v>397</v>
      </c>
      <c r="E99" s="279">
        <f>SUM(E100:E101)</f>
        <v>-3.7003191483187616E-4</v>
      </c>
      <c r="F99" s="279">
        <f t="shared" ref="F99:BL99" si="22">SUM(F100:F101)</f>
        <v>-3.458993986471886E-4</v>
      </c>
      <c r="G99" s="279">
        <f t="shared" si="22"/>
        <v>-3.2176688246250099E-4</v>
      </c>
      <c r="H99" s="279">
        <f t="shared" si="22"/>
        <v>-3.1171166738554781E-4</v>
      </c>
      <c r="I99" s="279">
        <f t="shared" si="22"/>
        <v>-3.0165645230859463E-4</v>
      </c>
      <c r="J99" s="279">
        <f t="shared" si="22"/>
        <v>-2.9160123723164151E-4</v>
      </c>
      <c r="K99" s="279">
        <f t="shared" si="22"/>
        <v>-2.8154602215468833E-4</v>
      </c>
      <c r="L99" s="279">
        <f t="shared" si="22"/>
        <v>-2.7149080707773515E-4</v>
      </c>
      <c r="M99" s="279">
        <f t="shared" si="22"/>
        <v>-2.6143559200078202E-4</v>
      </c>
      <c r="N99" s="279">
        <f t="shared" si="22"/>
        <v>-2.5138037692382884E-4</v>
      </c>
      <c r="O99" s="279">
        <f t="shared" si="22"/>
        <v>-2.5138037692382884E-4</v>
      </c>
      <c r="P99" s="279">
        <f t="shared" si="22"/>
        <v>0</v>
      </c>
      <c r="Q99" s="279">
        <f t="shared" si="22"/>
        <v>0</v>
      </c>
      <c r="R99" s="279">
        <f t="shared" si="22"/>
        <v>0</v>
      </c>
      <c r="S99" s="279">
        <f t="shared" si="22"/>
        <v>0</v>
      </c>
      <c r="T99" s="279">
        <f t="shared" si="22"/>
        <v>0</v>
      </c>
      <c r="U99" s="279">
        <f t="shared" si="22"/>
        <v>0</v>
      </c>
      <c r="V99" s="279">
        <f t="shared" si="22"/>
        <v>0</v>
      </c>
      <c r="W99" s="279">
        <f t="shared" si="22"/>
        <v>0</v>
      </c>
      <c r="X99" s="279">
        <f t="shared" si="22"/>
        <v>0</v>
      </c>
      <c r="Y99" s="279">
        <f t="shared" si="22"/>
        <v>0</v>
      </c>
      <c r="Z99" s="279">
        <f t="shared" si="22"/>
        <v>0</v>
      </c>
      <c r="AA99" s="279">
        <f t="shared" si="22"/>
        <v>0</v>
      </c>
      <c r="AB99" s="279">
        <f t="shared" si="22"/>
        <v>0</v>
      </c>
      <c r="AC99" s="279">
        <f t="shared" si="22"/>
        <v>0</v>
      </c>
      <c r="AD99" s="279">
        <f t="shared" si="22"/>
        <v>0</v>
      </c>
      <c r="AE99" s="279">
        <f t="shared" si="22"/>
        <v>0</v>
      </c>
      <c r="AF99" s="279">
        <f t="shared" si="22"/>
        <v>0</v>
      </c>
      <c r="AG99" s="279">
        <f t="shared" si="22"/>
        <v>0</v>
      </c>
      <c r="AH99" s="279">
        <f t="shared" si="22"/>
        <v>0</v>
      </c>
      <c r="AI99" s="279">
        <f t="shared" si="22"/>
        <v>0</v>
      </c>
      <c r="AJ99" s="279">
        <f t="shared" si="22"/>
        <v>0</v>
      </c>
      <c r="AK99" s="279">
        <f t="shared" si="22"/>
        <v>0</v>
      </c>
      <c r="AL99" s="279">
        <f t="shared" si="22"/>
        <v>0</v>
      </c>
      <c r="AM99" s="279">
        <f t="shared" si="22"/>
        <v>0</v>
      </c>
      <c r="AN99" s="279">
        <f t="shared" si="22"/>
        <v>0</v>
      </c>
      <c r="AO99" s="279">
        <f t="shared" si="22"/>
        <v>0</v>
      </c>
      <c r="AP99" s="279">
        <f t="shared" si="22"/>
        <v>0</v>
      </c>
      <c r="AQ99" s="279">
        <f t="shared" si="22"/>
        <v>0</v>
      </c>
      <c r="AR99" s="279">
        <f t="shared" si="22"/>
        <v>0</v>
      </c>
      <c r="AS99" s="279">
        <f t="shared" si="22"/>
        <v>0</v>
      </c>
      <c r="AT99" s="279">
        <f t="shared" si="22"/>
        <v>0</v>
      </c>
      <c r="AU99" s="279">
        <f t="shared" si="22"/>
        <v>0</v>
      </c>
      <c r="AV99" s="279">
        <f t="shared" si="22"/>
        <v>0</v>
      </c>
      <c r="AW99" s="279">
        <f t="shared" si="22"/>
        <v>0</v>
      </c>
      <c r="AX99" s="279">
        <f t="shared" si="22"/>
        <v>0</v>
      </c>
      <c r="AY99" s="279">
        <f t="shared" si="22"/>
        <v>0</v>
      </c>
      <c r="AZ99" s="279">
        <f t="shared" si="22"/>
        <v>0</v>
      </c>
      <c r="BA99" s="279">
        <f t="shared" si="22"/>
        <v>0</v>
      </c>
      <c r="BB99" s="279">
        <f t="shared" si="22"/>
        <v>0</v>
      </c>
      <c r="BC99" s="279">
        <f t="shared" si="22"/>
        <v>0</v>
      </c>
      <c r="BD99" s="279">
        <f t="shared" si="22"/>
        <v>0</v>
      </c>
      <c r="BE99" s="279">
        <f t="shared" si="22"/>
        <v>0</v>
      </c>
      <c r="BF99" s="279">
        <f t="shared" si="22"/>
        <v>0</v>
      </c>
      <c r="BG99" s="279">
        <f t="shared" si="22"/>
        <v>0</v>
      </c>
      <c r="BH99" s="279">
        <f t="shared" si="22"/>
        <v>0</v>
      </c>
      <c r="BI99" s="279">
        <f t="shared" si="22"/>
        <v>0</v>
      </c>
      <c r="BJ99" s="279">
        <f t="shared" si="22"/>
        <v>0</v>
      </c>
      <c r="BK99" s="279">
        <f t="shared" si="22"/>
        <v>0</v>
      </c>
      <c r="BL99" s="279">
        <f t="shared" si="22"/>
        <v>0</v>
      </c>
    </row>
    <row r="100" spans="1:64" x14ac:dyDescent="0.15">
      <c r="B100" s="155"/>
      <c r="C100" s="84" t="s">
        <v>398</v>
      </c>
      <c r="E100" s="140">
        <f>IF(E5&gt;Leadsheet!$E$12,0,-E16*Leadsheet!$E$78)</f>
        <v>-3.7003191483187616E-4</v>
      </c>
      <c r="F100" s="140">
        <f>IF(F5&gt;Leadsheet!$E$12,0,-F16*Leadsheet!$E$78)</f>
        <v>-3.458993986471886E-4</v>
      </c>
      <c r="G100" s="140">
        <f>IF(G5&gt;Leadsheet!$E$12,0,-G16*Leadsheet!$E$78)</f>
        <v>-3.2176688246250099E-4</v>
      </c>
      <c r="H100" s="140">
        <f>IF(H5&gt;Leadsheet!$E$12,0,-H16*Leadsheet!$E$78)</f>
        <v>-3.1171166738554781E-4</v>
      </c>
      <c r="I100" s="140">
        <f>IF(I5&gt;Leadsheet!$E$12,0,-I16*Leadsheet!$E$78)</f>
        <v>-3.0165645230859463E-4</v>
      </c>
      <c r="J100" s="140">
        <f>IF(J5&gt;Leadsheet!$E$12,0,-J16*Leadsheet!$E$78)</f>
        <v>-2.9160123723164151E-4</v>
      </c>
      <c r="K100" s="140">
        <f>IF(K5&gt;Leadsheet!$E$12,0,-K16*Leadsheet!$E$78)</f>
        <v>-2.8154602215468833E-4</v>
      </c>
      <c r="L100" s="140">
        <f>IF(L5&gt;Leadsheet!$E$12,0,-L16*Leadsheet!$E$78)</f>
        <v>-2.7149080707773515E-4</v>
      </c>
      <c r="M100" s="140">
        <f>IF(M5&gt;Leadsheet!$E$12,0,-M16*Leadsheet!$E$78)</f>
        <v>-2.6143559200078202E-4</v>
      </c>
      <c r="N100" s="140">
        <f>IF(N5&gt;Leadsheet!$E$12,0,-N16*Leadsheet!$E$78)</f>
        <v>-2.5138037692382884E-4</v>
      </c>
      <c r="O100" s="140">
        <f>IF(O5&gt;Leadsheet!$E$12,0,-O16*Leadsheet!$E$78)</f>
        <v>-2.5138037692382884E-4</v>
      </c>
      <c r="P100" s="140">
        <f>IF(P5&gt;Leadsheet!$E$12,0,-P16*Leadsheet!$E$78)</f>
        <v>0</v>
      </c>
      <c r="Q100" s="140">
        <f>IF(Q5&gt;Leadsheet!$E$12,0,-Q16*Leadsheet!$E$78)</f>
        <v>0</v>
      </c>
      <c r="R100" s="140">
        <f>IF(R5&gt;Leadsheet!$E$12,0,-R16*Leadsheet!$E$78)</f>
        <v>0</v>
      </c>
      <c r="S100" s="140">
        <f>IF(S5&gt;Leadsheet!$E$12,0,-S16*Leadsheet!$E$78)</f>
        <v>0</v>
      </c>
      <c r="T100" s="140">
        <f>IF(T5&gt;Leadsheet!$E$12,0,-T16*Leadsheet!$E$78)</f>
        <v>0</v>
      </c>
      <c r="U100" s="140">
        <f>IF(U5&gt;Leadsheet!$E$12,0,-U16*Leadsheet!$E$78)</f>
        <v>0</v>
      </c>
      <c r="V100" s="140">
        <f>IF(V5&gt;Leadsheet!$E$12,0,-V16*Leadsheet!$E$78)</f>
        <v>0</v>
      </c>
      <c r="W100" s="140">
        <f>IF(W5&gt;Leadsheet!$E$12,0,-W16*Leadsheet!$E$78)</f>
        <v>0</v>
      </c>
      <c r="X100" s="140">
        <f>IF(X5&gt;Leadsheet!$E$12,0,-X16*Leadsheet!$E$78)</f>
        <v>0</v>
      </c>
      <c r="Y100" s="140">
        <f>IF(Y5&gt;Leadsheet!$E$12,0,-Y16*Leadsheet!$E$78)</f>
        <v>0</v>
      </c>
      <c r="Z100" s="140">
        <f>IF(Z5&gt;Leadsheet!$E$12,0,-Z16*Leadsheet!$E$78)</f>
        <v>0</v>
      </c>
      <c r="AA100" s="140">
        <f>IF(AA5&gt;Leadsheet!$E$12,0,-AA16*Leadsheet!$E$78)</f>
        <v>0</v>
      </c>
      <c r="AB100" s="140">
        <f>IF(AB5&gt;Leadsheet!$E$12,0,-AB16*Leadsheet!$E$78)</f>
        <v>0</v>
      </c>
      <c r="AC100" s="140">
        <f>IF(AC5&gt;Leadsheet!$E$12,0,-AC16*Leadsheet!$E$78)</f>
        <v>0</v>
      </c>
      <c r="AD100" s="140">
        <f>IF(AD5&gt;Leadsheet!$E$12,0,-AD16*Leadsheet!$E$78)</f>
        <v>0</v>
      </c>
      <c r="AE100" s="140">
        <f>IF(AE5&gt;Leadsheet!$E$12,0,-AE16*Leadsheet!$E$78)</f>
        <v>0</v>
      </c>
      <c r="AF100" s="140">
        <f>IF(AF5&gt;Leadsheet!$E$12,0,-AF16*Leadsheet!$E$78)</f>
        <v>0</v>
      </c>
      <c r="AG100" s="140">
        <f>IF(AG5&gt;Leadsheet!$E$12,0,-AG16*Leadsheet!$E$78)</f>
        <v>0</v>
      </c>
      <c r="AH100" s="140">
        <f>IF(AH5&gt;Leadsheet!$E$12,0,-AH16*Leadsheet!$E$78)</f>
        <v>0</v>
      </c>
      <c r="AI100" s="140">
        <f>IF(AI5&gt;Leadsheet!$E$12,0,-AI16*Leadsheet!$E$78)</f>
        <v>0</v>
      </c>
      <c r="AJ100" s="140">
        <f>IF(AJ5&gt;Leadsheet!$E$12,0,-AJ16*Leadsheet!$E$78)</f>
        <v>0</v>
      </c>
      <c r="AK100" s="140">
        <f>IF(AK5&gt;Leadsheet!$E$12,0,-AK16*Leadsheet!$E$78)</f>
        <v>0</v>
      </c>
      <c r="AL100" s="140">
        <f>IF(AL5&gt;Leadsheet!$E$12,0,-AL16*Leadsheet!$E$78)</f>
        <v>0</v>
      </c>
      <c r="AM100" s="140">
        <f>IF(AM5&gt;Leadsheet!$E$12,0,-AM16*Leadsheet!$E$78)</f>
        <v>0</v>
      </c>
      <c r="AN100" s="140">
        <f>IF(AN5&gt;Leadsheet!$E$12,0,-AN16*Leadsheet!$E$78)</f>
        <v>0</v>
      </c>
      <c r="AO100" s="140">
        <f>IF(AO5&gt;Leadsheet!$E$12,0,-AO16*Leadsheet!$E$78)</f>
        <v>0</v>
      </c>
      <c r="AP100" s="140">
        <f>IF(AP5&gt;Leadsheet!$E$12,0,-AP16*Leadsheet!$E$78)</f>
        <v>0</v>
      </c>
      <c r="AQ100" s="140">
        <f>IF(AQ5&gt;Leadsheet!$E$12,0,-AQ16*Leadsheet!$E$78)</f>
        <v>0</v>
      </c>
      <c r="AR100" s="140">
        <f>IF(AR5&gt;Leadsheet!$E$12,0,-AR16*Leadsheet!$E$78)</f>
        <v>0</v>
      </c>
      <c r="AS100" s="140">
        <f>IF(AS5&gt;Leadsheet!$E$12,0,-AS16*Leadsheet!$E$78)</f>
        <v>0</v>
      </c>
      <c r="AT100" s="140">
        <f>IF(AT5&gt;Leadsheet!$E$12,0,-AT16*Leadsheet!$E$78)</f>
        <v>0</v>
      </c>
      <c r="AU100" s="140">
        <f>IF(AU5&gt;Leadsheet!$E$12,0,-AU16*Leadsheet!$E$78)</f>
        <v>0</v>
      </c>
      <c r="AV100" s="140">
        <f>IF(AV5&gt;Leadsheet!$E$12,0,-AV16*Leadsheet!$E$78)</f>
        <v>0</v>
      </c>
      <c r="AW100" s="140">
        <f>IF(AW5&gt;Leadsheet!$E$12,0,-AW16*Leadsheet!$E$78)</f>
        <v>0</v>
      </c>
      <c r="AX100" s="140">
        <f>IF(AX5&gt;Leadsheet!$E$12,0,-AX16*Leadsheet!$E$78)</f>
        <v>0</v>
      </c>
      <c r="AY100" s="140">
        <f>IF(AY5&gt;Leadsheet!$E$12,0,-AY16*Leadsheet!$E$78)</f>
        <v>0</v>
      </c>
      <c r="AZ100" s="140">
        <f>IF(AZ5&gt;Leadsheet!$E$12,0,-AZ16*Leadsheet!$E$78)</f>
        <v>0</v>
      </c>
      <c r="BA100" s="140">
        <f>IF(BA5&gt;Leadsheet!$E$12,0,-BA16*Leadsheet!$E$78)</f>
        <v>0</v>
      </c>
      <c r="BB100" s="140">
        <f>IF(BB5&gt;Leadsheet!$E$12,0,-BB16*Leadsheet!$E$78)</f>
        <v>0</v>
      </c>
      <c r="BC100" s="140">
        <f>IF(BC5&gt;Leadsheet!$E$12,0,-BC16*Leadsheet!$E$78)</f>
        <v>0</v>
      </c>
      <c r="BD100" s="140">
        <f>IF(BD5&gt;Leadsheet!$E$12,0,-BD16*Leadsheet!$E$78)</f>
        <v>0</v>
      </c>
      <c r="BE100" s="140">
        <f>IF(BE5&gt;Leadsheet!$E$12,0,-BE16*Leadsheet!$E$78)</f>
        <v>0</v>
      </c>
      <c r="BF100" s="140">
        <f>IF(BF5&gt;Leadsheet!$E$12,0,-BF16*Leadsheet!$E$78)</f>
        <v>0</v>
      </c>
      <c r="BG100" s="140">
        <f>IF(BG5&gt;Leadsheet!$E$12,0,-BG16*Leadsheet!$E$78)</f>
        <v>0</v>
      </c>
      <c r="BH100" s="140">
        <f>IF(BH5&gt;Leadsheet!$E$12,0,-BH16*Leadsheet!$E$78)</f>
        <v>0</v>
      </c>
      <c r="BI100" s="140">
        <f>IF(BI5&gt;Leadsheet!$E$12,0,-BI16*Leadsheet!$E$78)</f>
        <v>0</v>
      </c>
      <c r="BJ100" s="140">
        <f>IF(BJ5&gt;Leadsheet!$E$12,0,-BJ16*Leadsheet!$E$78)</f>
        <v>0</v>
      </c>
      <c r="BK100" s="140">
        <f>IF(BK5&gt;Leadsheet!$E$12,0,-BK16*Leadsheet!$E$78)</f>
        <v>0</v>
      </c>
      <c r="BL100" s="140">
        <f>IF(BL5&gt;Leadsheet!$E$12,0,-BL16*Leadsheet!$E$78)</f>
        <v>0</v>
      </c>
    </row>
    <row r="101" spans="1:64" x14ac:dyDescent="0.15">
      <c r="E101" s="147"/>
      <c r="F101" s="147"/>
      <c r="G101" s="147"/>
      <c r="H101" s="147"/>
      <c r="I101" s="147"/>
      <c r="J101" s="147"/>
      <c r="K101" s="147"/>
      <c r="L101" s="147"/>
      <c r="M101" s="147"/>
      <c r="N101" s="147"/>
      <c r="O101" s="147"/>
      <c r="P101" s="147"/>
      <c r="Q101" s="147"/>
      <c r="R101" s="147"/>
      <c r="S101" s="147"/>
      <c r="T101" s="147"/>
      <c r="U101" s="147"/>
      <c r="V101" s="147"/>
      <c r="W101" s="147"/>
      <c r="X101" s="147"/>
      <c r="Y101" s="147"/>
      <c r="Z101" s="147"/>
      <c r="AA101" s="147"/>
      <c r="AB101" s="147"/>
      <c r="AC101" s="147"/>
      <c r="AD101" s="147"/>
      <c r="AE101" s="147"/>
      <c r="AF101" s="147"/>
      <c r="AG101" s="147"/>
      <c r="AH101" s="147"/>
      <c r="AI101" s="147"/>
      <c r="AJ101" s="147"/>
      <c r="AK101" s="147"/>
      <c r="AL101" s="147"/>
      <c r="AM101" s="147"/>
      <c r="AN101" s="147"/>
      <c r="AO101" s="147"/>
      <c r="AP101" s="147"/>
      <c r="AQ101" s="147"/>
      <c r="AR101" s="147"/>
      <c r="AS101" s="147"/>
      <c r="AT101" s="147"/>
      <c r="AU101" s="147"/>
      <c r="AV101" s="147"/>
      <c r="AW101" s="147"/>
      <c r="AX101" s="147"/>
      <c r="AY101" s="147"/>
      <c r="AZ101" s="147"/>
      <c r="BA101" s="147"/>
      <c r="BB101" s="147"/>
      <c r="BC101" s="147"/>
      <c r="BD101" s="147"/>
      <c r="BE101" s="147"/>
      <c r="BF101" s="147"/>
      <c r="BG101" s="147"/>
      <c r="BH101" s="147"/>
      <c r="BI101" s="147"/>
      <c r="BJ101" s="147"/>
      <c r="BK101" s="147"/>
      <c r="BL101" s="147"/>
    </row>
    <row r="102" spans="1:64" x14ac:dyDescent="0.15">
      <c r="E102" s="147"/>
      <c r="F102" s="147"/>
      <c r="G102" s="147"/>
      <c r="H102" s="147"/>
      <c r="I102" s="147"/>
      <c r="J102" s="147"/>
      <c r="K102" s="147"/>
      <c r="L102" s="147"/>
      <c r="M102" s="147"/>
      <c r="N102" s="147"/>
      <c r="O102" s="147"/>
      <c r="P102" s="147"/>
      <c r="Q102" s="147"/>
      <c r="R102" s="147"/>
      <c r="S102" s="147"/>
      <c r="T102" s="147"/>
      <c r="U102" s="147"/>
      <c r="V102" s="147"/>
      <c r="W102" s="147"/>
      <c r="X102" s="147"/>
      <c r="Y102" s="147"/>
      <c r="Z102" s="147"/>
      <c r="AA102" s="147"/>
      <c r="AB102" s="147"/>
      <c r="AC102" s="147"/>
      <c r="AD102" s="147"/>
      <c r="AE102" s="147"/>
      <c r="AF102" s="147"/>
      <c r="AG102" s="147"/>
      <c r="AH102" s="147"/>
      <c r="AI102" s="147"/>
      <c r="AJ102" s="147"/>
      <c r="AK102" s="147"/>
      <c r="AL102" s="147"/>
      <c r="AM102" s="147"/>
      <c r="AN102" s="147"/>
      <c r="AO102" s="147"/>
      <c r="AP102" s="147"/>
      <c r="AQ102" s="147"/>
      <c r="AR102" s="147"/>
      <c r="AS102" s="147"/>
      <c r="AT102" s="147"/>
      <c r="AU102" s="147"/>
      <c r="AV102" s="147"/>
      <c r="AW102" s="147"/>
      <c r="AX102" s="147"/>
      <c r="AY102" s="147"/>
      <c r="AZ102" s="147"/>
      <c r="BA102" s="147"/>
      <c r="BB102" s="147"/>
      <c r="BC102" s="147"/>
      <c r="BD102" s="147"/>
      <c r="BE102" s="147"/>
      <c r="BF102" s="147"/>
      <c r="BG102" s="147"/>
      <c r="BH102" s="147"/>
      <c r="BI102" s="147"/>
      <c r="BJ102" s="147"/>
      <c r="BK102" s="147"/>
      <c r="BL102" s="147"/>
    </row>
    <row r="103" spans="1:64" s="155" customFormat="1" x14ac:dyDescent="0.15">
      <c r="B103" s="155" t="s">
        <v>399</v>
      </c>
      <c r="E103" s="279">
        <f>SUM(E104:E107)</f>
        <v>-5.6791732395531626E-2</v>
      </c>
      <c r="F103" s="279">
        <f t="shared" ref="F103:BL103" si="23">SUM(F104:F107)</f>
        <v>-5.2248393803889098E-2</v>
      </c>
      <c r="G103" s="279">
        <f t="shared" si="23"/>
        <v>-4.8840889860157208E-2</v>
      </c>
      <c r="H103" s="279">
        <f t="shared" si="23"/>
        <v>-4.5433385916425303E-2</v>
      </c>
      <c r="I103" s="279">
        <f t="shared" si="23"/>
        <v>-4.4013592606537012E-2</v>
      </c>
      <c r="J103" s="279">
        <f t="shared" si="23"/>
        <v>-4.2593799296648721E-2</v>
      </c>
      <c r="K103" s="279">
        <f t="shared" si="23"/>
        <v>-4.117400598676043E-2</v>
      </c>
      <c r="L103" s="279">
        <f t="shared" si="23"/>
        <v>-3.9754212676872139E-2</v>
      </c>
      <c r="M103" s="279">
        <f t="shared" si="23"/>
        <v>-3.8334419366983848E-2</v>
      </c>
      <c r="N103" s="279">
        <f t="shared" si="23"/>
        <v>-3.691462605709555E-2</v>
      </c>
      <c r="O103" s="279">
        <f t="shared" si="23"/>
        <v>-3.5494832747207265E-2</v>
      </c>
      <c r="P103" s="279">
        <f t="shared" si="23"/>
        <v>0</v>
      </c>
      <c r="Q103" s="279">
        <f t="shared" si="23"/>
        <v>0</v>
      </c>
      <c r="R103" s="279">
        <f t="shared" si="23"/>
        <v>0</v>
      </c>
      <c r="S103" s="279">
        <f t="shared" si="23"/>
        <v>0</v>
      </c>
      <c r="T103" s="279">
        <f t="shared" si="23"/>
        <v>0</v>
      </c>
      <c r="U103" s="279">
        <f t="shared" si="23"/>
        <v>0</v>
      </c>
      <c r="V103" s="279">
        <f t="shared" si="23"/>
        <v>0</v>
      </c>
      <c r="W103" s="279">
        <f t="shared" si="23"/>
        <v>0</v>
      </c>
      <c r="X103" s="279">
        <f t="shared" si="23"/>
        <v>0</v>
      </c>
      <c r="Y103" s="279">
        <f t="shared" si="23"/>
        <v>0</v>
      </c>
      <c r="Z103" s="279">
        <f t="shared" si="23"/>
        <v>0</v>
      </c>
      <c r="AA103" s="279">
        <f t="shared" si="23"/>
        <v>0</v>
      </c>
      <c r="AB103" s="279">
        <f t="shared" si="23"/>
        <v>0</v>
      </c>
      <c r="AC103" s="279">
        <f t="shared" si="23"/>
        <v>0</v>
      </c>
      <c r="AD103" s="279">
        <f t="shared" si="23"/>
        <v>0</v>
      </c>
      <c r="AE103" s="279">
        <f t="shared" si="23"/>
        <v>0</v>
      </c>
      <c r="AF103" s="279">
        <f t="shared" si="23"/>
        <v>0</v>
      </c>
      <c r="AG103" s="279">
        <f t="shared" si="23"/>
        <v>0</v>
      </c>
      <c r="AH103" s="279">
        <f t="shared" si="23"/>
        <v>0</v>
      </c>
      <c r="AI103" s="279">
        <f t="shared" si="23"/>
        <v>0</v>
      </c>
      <c r="AJ103" s="279">
        <f t="shared" si="23"/>
        <v>0</v>
      </c>
      <c r="AK103" s="279">
        <f t="shared" si="23"/>
        <v>0</v>
      </c>
      <c r="AL103" s="279">
        <f t="shared" si="23"/>
        <v>0</v>
      </c>
      <c r="AM103" s="279">
        <f t="shared" si="23"/>
        <v>0</v>
      </c>
      <c r="AN103" s="279">
        <f t="shared" si="23"/>
        <v>0</v>
      </c>
      <c r="AO103" s="279">
        <f t="shared" si="23"/>
        <v>0</v>
      </c>
      <c r="AP103" s="279">
        <f t="shared" si="23"/>
        <v>0</v>
      </c>
      <c r="AQ103" s="279">
        <f t="shared" si="23"/>
        <v>0</v>
      </c>
      <c r="AR103" s="279">
        <f t="shared" si="23"/>
        <v>0</v>
      </c>
      <c r="AS103" s="279">
        <f t="shared" si="23"/>
        <v>0</v>
      </c>
      <c r="AT103" s="279">
        <f t="shared" si="23"/>
        <v>0</v>
      </c>
      <c r="AU103" s="279">
        <f t="shared" si="23"/>
        <v>0</v>
      </c>
      <c r="AV103" s="279">
        <f t="shared" si="23"/>
        <v>0</v>
      </c>
      <c r="AW103" s="279">
        <f t="shared" si="23"/>
        <v>0</v>
      </c>
      <c r="AX103" s="279">
        <f t="shared" si="23"/>
        <v>0</v>
      </c>
      <c r="AY103" s="279">
        <f t="shared" si="23"/>
        <v>0</v>
      </c>
      <c r="AZ103" s="279">
        <f t="shared" si="23"/>
        <v>0</v>
      </c>
      <c r="BA103" s="279">
        <f t="shared" si="23"/>
        <v>0</v>
      </c>
      <c r="BB103" s="279">
        <f t="shared" si="23"/>
        <v>0</v>
      </c>
      <c r="BC103" s="279">
        <f t="shared" si="23"/>
        <v>0</v>
      </c>
      <c r="BD103" s="279">
        <f t="shared" si="23"/>
        <v>0</v>
      </c>
      <c r="BE103" s="279">
        <f t="shared" si="23"/>
        <v>0</v>
      </c>
      <c r="BF103" s="279">
        <f t="shared" si="23"/>
        <v>0</v>
      </c>
      <c r="BG103" s="279">
        <f t="shared" si="23"/>
        <v>0</v>
      </c>
      <c r="BH103" s="279">
        <f t="shared" si="23"/>
        <v>0</v>
      </c>
      <c r="BI103" s="279">
        <f t="shared" si="23"/>
        <v>0</v>
      </c>
      <c r="BJ103" s="279">
        <f t="shared" si="23"/>
        <v>0</v>
      </c>
      <c r="BK103" s="279">
        <f t="shared" si="23"/>
        <v>0</v>
      </c>
      <c r="BL103" s="279">
        <f t="shared" si="23"/>
        <v>0</v>
      </c>
    </row>
    <row r="104" spans="1:64" x14ac:dyDescent="0.15">
      <c r="C104" s="84" t="s">
        <v>139</v>
      </c>
      <c r="E104" s="140">
        <f>-IF(E$5&gt;Leadsheet!$E$12,0,Leadsheet!$E81*SAP_Speadsheet!E$93*D$16)</f>
        <v>-9.077282642806923E-3</v>
      </c>
      <c r="F104" s="140">
        <f>-IF(F$5&gt;Leadsheet!$E$12,0,Leadsheet!$E81*SAP_Speadsheet!F$93*E$16)</f>
        <v>-8.3511000313823691E-3</v>
      </c>
      <c r="G104" s="140">
        <f>-IF(G$5&gt;Leadsheet!$E$12,0,Leadsheet!$E81*SAP_Speadsheet!G$93*F$16)</f>
        <v>-7.806463072813955E-3</v>
      </c>
      <c r="H104" s="140">
        <f>-IF(H$5&gt;Leadsheet!$E$12,0,Leadsheet!$E81*SAP_Speadsheet!H$93*G$16)</f>
        <v>-7.2618261142455391E-3</v>
      </c>
      <c r="I104" s="140">
        <f>-IF(I$5&gt;Leadsheet!$E$12,0,Leadsheet!$E81*SAP_Speadsheet!I$93*H$16)</f>
        <v>-7.0348940481753655E-3</v>
      </c>
      <c r="J104" s="140">
        <f>-IF(J$5&gt;Leadsheet!$E$12,0,Leadsheet!$E81*SAP_Speadsheet!J$93*I$16)</f>
        <v>-6.8079619821051918E-3</v>
      </c>
      <c r="K104" s="140">
        <f>-IF(K$5&gt;Leadsheet!$E$12,0,Leadsheet!$E81*SAP_Speadsheet!K$93*J$16)</f>
        <v>-6.5810299160350191E-3</v>
      </c>
      <c r="L104" s="140">
        <f>-IF(L$5&gt;Leadsheet!$E$12,0,Leadsheet!$E81*SAP_Speadsheet!L$93*K$16)</f>
        <v>-6.3540978499648454E-3</v>
      </c>
      <c r="M104" s="140">
        <f>-IF(M$5&gt;Leadsheet!$E$12,0,Leadsheet!$E81*SAP_Speadsheet!M$93*L$16)</f>
        <v>-6.1271657838946727E-3</v>
      </c>
      <c r="N104" s="140">
        <f>-IF(N$5&gt;Leadsheet!$E$12,0,Leadsheet!$E81*SAP_Speadsheet!N$93*M$16)</f>
        <v>-5.900233717824499E-3</v>
      </c>
      <c r="O104" s="140">
        <f>-IF(O$5&gt;Leadsheet!$E$12,0,Leadsheet!$E81*SAP_Speadsheet!O$93*N$16)</f>
        <v>-5.6733016517543262E-3</v>
      </c>
      <c r="P104" s="140">
        <f>-IF(P$5&gt;Leadsheet!$E$12,0,Leadsheet!$E81*SAP_Speadsheet!P$93*O$16)</f>
        <v>0</v>
      </c>
      <c r="Q104" s="140">
        <f>-IF(Q$5&gt;Leadsheet!$E$12,0,Leadsheet!$E81*SAP_Speadsheet!Q$93*P$16)</f>
        <v>0</v>
      </c>
      <c r="R104" s="140">
        <f>-IF(R$5&gt;Leadsheet!$E$12,0,Leadsheet!$E81*SAP_Speadsheet!R$93*Q$16)</f>
        <v>0</v>
      </c>
      <c r="S104" s="140">
        <f>-IF(S$5&gt;Leadsheet!$E$12,0,Leadsheet!$E81*SAP_Speadsheet!S$93*R$16)</f>
        <v>0</v>
      </c>
      <c r="T104" s="140">
        <f>-IF(T$5&gt;Leadsheet!$E$12,0,Leadsheet!$E81*SAP_Speadsheet!T$93*S$16)</f>
        <v>0</v>
      </c>
      <c r="U104" s="140">
        <f>-IF(U$5&gt;Leadsheet!$E$12,0,Leadsheet!$E81*SAP_Speadsheet!U$93*T$16)</f>
        <v>0</v>
      </c>
      <c r="V104" s="140">
        <f>-IF(V$5&gt;Leadsheet!$E$12,0,Leadsheet!$E81*SAP_Speadsheet!V$93*U$16)</f>
        <v>0</v>
      </c>
      <c r="W104" s="140">
        <f>-IF(W$5&gt;Leadsheet!$E$12,0,Leadsheet!$E81*SAP_Speadsheet!W$93*V$16)</f>
        <v>0</v>
      </c>
      <c r="X104" s="140">
        <f>-IF(X$5&gt;Leadsheet!$E$12,0,Leadsheet!$E81*SAP_Speadsheet!X$93*W$16)</f>
        <v>0</v>
      </c>
      <c r="Y104" s="140">
        <f>-IF(Y$5&gt;Leadsheet!$E$12,0,Leadsheet!$E81*SAP_Speadsheet!Y$93*X$16)</f>
        <v>0</v>
      </c>
      <c r="Z104" s="140">
        <f>-IF(Z$5&gt;Leadsheet!$E$12,0,Leadsheet!$E81*SAP_Speadsheet!Z$93*Y$16)</f>
        <v>0</v>
      </c>
      <c r="AA104" s="140">
        <f>-IF(AA$5&gt;Leadsheet!$E$12,0,Leadsheet!$E81*SAP_Speadsheet!AA$93*Z$16)</f>
        <v>0</v>
      </c>
      <c r="AB104" s="140">
        <f>-IF(AB$5&gt;Leadsheet!$E$12,0,Leadsheet!$E81*SAP_Speadsheet!AB$93*AA$16)</f>
        <v>0</v>
      </c>
      <c r="AC104" s="140">
        <f>-IF(AC$5&gt;Leadsheet!$E$12,0,Leadsheet!$E81*SAP_Speadsheet!AC$93*AB$16)</f>
        <v>0</v>
      </c>
      <c r="AD104" s="140">
        <f>-IF(AD$5&gt;Leadsheet!$E$12,0,Leadsheet!$E81*SAP_Speadsheet!AD$93*AC$16)</f>
        <v>0</v>
      </c>
      <c r="AE104" s="140">
        <f>-IF(AE$5&gt;Leadsheet!$E$12,0,Leadsheet!$E81*SAP_Speadsheet!AE$93*AD$16)</f>
        <v>0</v>
      </c>
      <c r="AF104" s="140">
        <f>-IF(AF$5&gt;Leadsheet!$E$12,0,Leadsheet!$E81*SAP_Speadsheet!AF$93*AE$16)</f>
        <v>0</v>
      </c>
      <c r="AG104" s="140">
        <f>-IF(AG$5&gt;Leadsheet!$E$12,0,Leadsheet!$E81*SAP_Speadsheet!AG$93*AF$16)</f>
        <v>0</v>
      </c>
      <c r="AH104" s="140">
        <f>-IF(AH$5&gt;Leadsheet!$E$12,0,Leadsheet!$E81*SAP_Speadsheet!AH$93*AG$16)</f>
        <v>0</v>
      </c>
      <c r="AI104" s="140">
        <f>-IF(AI$5&gt;Leadsheet!$E$12,0,Leadsheet!$E81*SAP_Speadsheet!AI$93*AH$16)</f>
        <v>0</v>
      </c>
      <c r="AJ104" s="140">
        <f>-IF(AJ$5&gt;Leadsheet!$E$12,0,Leadsheet!$E81*SAP_Speadsheet!AJ$93*AI$16)</f>
        <v>0</v>
      </c>
      <c r="AK104" s="140">
        <f>-IF(AK$5&gt;Leadsheet!$E$12,0,Leadsheet!$E81*SAP_Speadsheet!AK$93*AJ$16)</f>
        <v>0</v>
      </c>
      <c r="AL104" s="140">
        <f>-IF(AL$5&gt;Leadsheet!$E$12,0,Leadsheet!$E81*SAP_Speadsheet!AL$93*AK$16)</f>
        <v>0</v>
      </c>
      <c r="AM104" s="140">
        <f>-IF(AM$5&gt;Leadsheet!$E$12,0,Leadsheet!$E81*SAP_Speadsheet!AM$93*AL$16)</f>
        <v>0</v>
      </c>
      <c r="AN104" s="140">
        <f>-IF(AN$5&gt;Leadsheet!$E$12,0,Leadsheet!$E81*SAP_Speadsheet!AN$93*AM$16)</f>
        <v>0</v>
      </c>
      <c r="AO104" s="140">
        <f>-IF(AO$5&gt;Leadsheet!$E$12,0,Leadsheet!$E81*SAP_Speadsheet!AO$93*AN$16)</f>
        <v>0</v>
      </c>
      <c r="AP104" s="140">
        <f>-IF(AP$5&gt;Leadsheet!$E$12,0,Leadsheet!$E81*SAP_Speadsheet!AP$93*AO$16)</f>
        <v>0</v>
      </c>
      <c r="AQ104" s="140">
        <f>-IF(AQ$5&gt;Leadsheet!$E$12,0,Leadsheet!$E81*SAP_Speadsheet!AQ$93*AP$16)</f>
        <v>0</v>
      </c>
      <c r="AR104" s="140">
        <f>-IF(AR$5&gt;Leadsheet!$E$12,0,Leadsheet!$E81*SAP_Speadsheet!AR$93*AQ$16)</f>
        <v>0</v>
      </c>
      <c r="AS104" s="140">
        <f>-IF(AS$5&gt;Leadsheet!$E$12,0,Leadsheet!$E81*SAP_Speadsheet!AS$93*AR$16)</f>
        <v>0</v>
      </c>
      <c r="AT104" s="140">
        <f>-IF(AT$5&gt;Leadsheet!$E$12,0,Leadsheet!$E81*SAP_Speadsheet!AT$93*AS$16)</f>
        <v>0</v>
      </c>
      <c r="AU104" s="140">
        <f>-IF(AU$5&gt;Leadsheet!$E$12,0,Leadsheet!$E81*SAP_Speadsheet!AU$93*AT$16)</f>
        <v>0</v>
      </c>
      <c r="AV104" s="140">
        <f>-IF(AV$5&gt;Leadsheet!$E$12,0,Leadsheet!$E81*SAP_Speadsheet!AV$93*AU$16)</f>
        <v>0</v>
      </c>
      <c r="AW104" s="140">
        <f>-IF(AW$5&gt;Leadsheet!$E$12,0,Leadsheet!$E81*SAP_Speadsheet!AW$93*AV$16)</f>
        <v>0</v>
      </c>
      <c r="AX104" s="140">
        <f>-IF(AX$5&gt;Leadsheet!$E$12,0,Leadsheet!$E81*SAP_Speadsheet!AX$93*AW$16)</f>
        <v>0</v>
      </c>
      <c r="AY104" s="140">
        <f>-IF(AY$5&gt;Leadsheet!$E$12,0,Leadsheet!$E81*SAP_Speadsheet!AY$93*AX$16)</f>
        <v>0</v>
      </c>
      <c r="AZ104" s="140">
        <f>-IF(AZ$5&gt;Leadsheet!$E$12,0,Leadsheet!$E81*SAP_Speadsheet!AZ$93*AY$16)</f>
        <v>0</v>
      </c>
      <c r="BA104" s="140">
        <f>-IF(BA$5&gt;Leadsheet!$E$12,0,Leadsheet!$E81*SAP_Speadsheet!BA$93*AZ$16)</f>
        <v>0</v>
      </c>
      <c r="BB104" s="140">
        <f>-IF(BB$5&gt;Leadsheet!$E$12,0,Leadsheet!$E81*SAP_Speadsheet!BB$93*BA$16)</f>
        <v>0</v>
      </c>
      <c r="BC104" s="140">
        <f>-IF(BC$5&gt;Leadsheet!$E$12,0,Leadsheet!$E81*SAP_Speadsheet!BC$93*BB$16)</f>
        <v>0</v>
      </c>
      <c r="BD104" s="140">
        <f>-IF(BD$5&gt;Leadsheet!$E$12,0,Leadsheet!$E81*SAP_Speadsheet!BD$93*BC$16)</f>
        <v>0</v>
      </c>
      <c r="BE104" s="140">
        <f>-IF(BE$5&gt;Leadsheet!$E$12,0,Leadsheet!$E81*SAP_Speadsheet!BE$93*BD$16)</f>
        <v>0</v>
      </c>
      <c r="BF104" s="140">
        <f>-IF(BF$5&gt;Leadsheet!$E$12,0,Leadsheet!$E81*SAP_Speadsheet!BF$93*BE$16)</f>
        <v>0</v>
      </c>
      <c r="BG104" s="140">
        <f>-IF(BG$5&gt;Leadsheet!$E$12,0,Leadsheet!$E81*SAP_Speadsheet!BG$93*BF$16)</f>
        <v>0</v>
      </c>
      <c r="BH104" s="140">
        <f>-IF(BH$5&gt;Leadsheet!$E$12,0,Leadsheet!$E81*SAP_Speadsheet!BH$93*BG$16)</f>
        <v>0</v>
      </c>
      <c r="BI104" s="140">
        <f>-IF(BI$5&gt;Leadsheet!$E$12,0,Leadsheet!$E81*SAP_Speadsheet!BI$93*BH$16)</f>
        <v>0</v>
      </c>
      <c r="BJ104" s="140">
        <f>-IF(BJ$5&gt;Leadsheet!$E$12,0,Leadsheet!$E81*SAP_Speadsheet!BJ$93*BI$16)</f>
        <v>0</v>
      </c>
      <c r="BK104" s="140">
        <f>-IF(BK$5&gt;Leadsheet!$E$12,0,Leadsheet!$E81*SAP_Speadsheet!BK$93*BJ$16)</f>
        <v>0</v>
      </c>
      <c r="BL104" s="140">
        <f>-IF(BL$5&gt;Leadsheet!$E$12,0,Leadsheet!$E81*SAP_Speadsheet!BL$93*BK$16)</f>
        <v>0</v>
      </c>
    </row>
    <row r="105" spans="1:64" x14ac:dyDescent="0.15">
      <c r="C105" s="84" t="s">
        <v>141</v>
      </c>
      <c r="E105" s="140">
        <f>-IF(E$5&gt;Leadsheet!$E$12,0,Leadsheet!$E82*SAP_Speadsheet!E$93*D$16)</f>
        <v>-2.4318660235886368E-2</v>
      </c>
      <c r="F105" s="140">
        <f>-IF(F$5&gt;Leadsheet!$E$12,0,Leadsheet!$E82*SAP_Speadsheet!F$93*E$16)</f>
        <v>-2.237316741701546E-2</v>
      </c>
      <c r="G105" s="140">
        <f>-IF(G$5&gt;Leadsheet!$E$12,0,Leadsheet!$E82*SAP_Speadsheet!G$93*F$16)</f>
        <v>-2.0914047802862278E-2</v>
      </c>
      <c r="H105" s="140">
        <f>-IF(H$5&gt;Leadsheet!$E$12,0,Leadsheet!$E82*SAP_Speadsheet!H$93*G$16)</f>
        <v>-1.9454928188709097E-2</v>
      </c>
      <c r="I105" s="140">
        <f>-IF(I$5&gt;Leadsheet!$E$12,0,Leadsheet!$E82*SAP_Speadsheet!I$93*H$16)</f>
        <v>-1.8846961682811934E-2</v>
      </c>
      <c r="J105" s="140">
        <f>-IF(J$5&gt;Leadsheet!$E$12,0,Leadsheet!$E82*SAP_Speadsheet!J$93*I$16)</f>
        <v>-1.8238995176914775E-2</v>
      </c>
      <c r="K105" s="140">
        <f>-IF(K$5&gt;Leadsheet!$E$12,0,Leadsheet!$E82*SAP_Speadsheet!K$93*J$16)</f>
        <v>-1.7631028671017616E-2</v>
      </c>
      <c r="L105" s="140">
        <f>-IF(L$5&gt;Leadsheet!$E$12,0,Leadsheet!$E82*SAP_Speadsheet!L$93*K$16)</f>
        <v>-1.7023062165120458E-2</v>
      </c>
      <c r="M105" s="140">
        <f>-IF(M$5&gt;Leadsheet!$E$12,0,Leadsheet!$E82*SAP_Speadsheet!M$93*L$16)</f>
        <v>-1.6415095659223299E-2</v>
      </c>
      <c r="N105" s="140">
        <f>-IF(N$5&gt;Leadsheet!$E$12,0,Leadsheet!$E82*SAP_Speadsheet!N$93*M$16)</f>
        <v>-1.5807129153326136E-2</v>
      </c>
      <c r="O105" s="140">
        <f>-IF(O$5&gt;Leadsheet!$E$12,0,Leadsheet!$E82*SAP_Speadsheet!O$93*N$16)</f>
        <v>-1.5199162647428977E-2</v>
      </c>
      <c r="P105" s="140">
        <f>-IF(P$5&gt;Leadsheet!$E$12,0,Leadsheet!$E82*SAP_Speadsheet!P$93*O$16)</f>
        <v>0</v>
      </c>
      <c r="Q105" s="140">
        <f>-IF(Q$5&gt;Leadsheet!$E$12,0,Leadsheet!$E82*SAP_Speadsheet!Q$93*P$16)</f>
        <v>0</v>
      </c>
      <c r="R105" s="140">
        <f>-IF(R$5&gt;Leadsheet!$E$12,0,Leadsheet!$E82*SAP_Speadsheet!R$93*Q$16)</f>
        <v>0</v>
      </c>
      <c r="S105" s="140">
        <f>-IF(S$5&gt;Leadsheet!$E$12,0,Leadsheet!$E82*SAP_Speadsheet!S$93*R$16)</f>
        <v>0</v>
      </c>
      <c r="T105" s="140">
        <f>-IF(T$5&gt;Leadsheet!$E$12,0,Leadsheet!$E82*SAP_Speadsheet!T$93*S$16)</f>
        <v>0</v>
      </c>
      <c r="U105" s="140">
        <f>-IF(U$5&gt;Leadsheet!$E$12,0,Leadsheet!$E82*SAP_Speadsheet!U$93*T$16)</f>
        <v>0</v>
      </c>
      <c r="V105" s="140">
        <f>-IF(V$5&gt;Leadsheet!$E$12,0,Leadsheet!$E82*SAP_Speadsheet!V$93*U$16)</f>
        <v>0</v>
      </c>
      <c r="W105" s="140">
        <f>-IF(W$5&gt;Leadsheet!$E$12,0,Leadsheet!$E82*SAP_Speadsheet!W$93*V$16)</f>
        <v>0</v>
      </c>
      <c r="X105" s="140">
        <f>-IF(X$5&gt;Leadsheet!$E$12,0,Leadsheet!$E82*SAP_Speadsheet!X$93*W$16)</f>
        <v>0</v>
      </c>
      <c r="Y105" s="140">
        <f>-IF(Y$5&gt;Leadsheet!$E$12,0,Leadsheet!$E82*SAP_Speadsheet!Y$93*X$16)</f>
        <v>0</v>
      </c>
      <c r="Z105" s="140">
        <f>-IF(Z$5&gt;Leadsheet!$E$12,0,Leadsheet!$E82*SAP_Speadsheet!Z$93*Y$16)</f>
        <v>0</v>
      </c>
      <c r="AA105" s="140">
        <f>-IF(AA$5&gt;Leadsheet!$E$12,0,Leadsheet!$E82*SAP_Speadsheet!AA$93*Z$16)</f>
        <v>0</v>
      </c>
      <c r="AB105" s="140">
        <f>-IF(AB$5&gt;Leadsheet!$E$12,0,Leadsheet!$E82*SAP_Speadsheet!AB$93*AA$16)</f>
        <v>0</v>
      </c>
      <c r="AC105" s="140">
        <f>-IF(AC$5&gt;Leadsheet!$E$12,0,Leadsheet!$E82*SAP_Speadsheet!AC$93*AB$16)</f>
        <v>0</v>
      </c>
      <c r="AD105" s="140">
        <f>-IF(AD$5&gt;Leadsheet!$E$12,0,Leadsheet!$E82*SAP_Speadsheet!AD$93*AC$16)</f>
        <v>0</v>
      </c>
      <c r="AE105" s="140">
        <f>-IF(AE$5&gt;Leadsheet!$E$12,0,Leadsheet!$E82*SAP_Speadsheet!AE$93*AD$16)</f>
        <v>0</v>
      </c>
      <c r="AF105" s="140">
        <f>-IF(AF$5&gt;Leadsheet!$E$12,0,Leadsheet!$E82*SAP_Speadsheet!AF$93*AE$16)</f>
        <v>0</v>
      </c>
      <c r="AG105" s="140">
        <f>-IF(AG$5&gt;Leadsheet!$E$12,0,Leadsheet!$E82*SAP_Speadsheet!AG$93*AF$16)</f>
        <v>0</v>
      </c>
      <c r="AH105" s="140">
        <f>-IF(AH$5&gt;Leadsheet!$E$12,0,Leadsheet!$E82*SAP_Speadsheet!AH$93*AG$16)</f>
        <v>0</v>
      </c>
      <c r="AI105" s="140">
        <f>-IF(AI$5&gt;Leadsheet!$E$12,0,Leadsheet!$E82*SAP_Speadsheet!AI$93*AH$16)</f>
        <v>0</v>
      </c>
      <c r="AJ105" s="140">
        <f>-IF(AJ$5&gt;Leadsheet!$E$12,0,Leadsheet!$E82*SAP_Speadsheet!AJ$93*AI$16)</f>
        <v>0</v>
      </c>
      <c r="AK105" s="140">
        <f>-IF(AK$5&gt;Leadsheet!$E$12,0,Leadsheet!$E82*SAP_Speadsheet!AK$93*AJ$16)</f>
        <v>0</v>
      </c>
      <c r="AL105" s="140">
        <f>-IF(AL$5&gt;Leadsheet!$E$12,0,Leadsheet!$E82*SAP_Speadsheet!AL$93*AK$16)</f>
        <v>0</v>
      </c>
      <c r="AM105" s="140">
        <f>-IF(AM$5&gt;Leadsheet!$E$12,0,Leadsheet!$E82*SAP_Speadsheet!AM$93*AL$16)</f>
        <v>0</v>
      </c>
      <c r="AN105" s="140">
        <f>-IF(AN$5&gt;Leadsheet!$E$12,0,Leadsheet!$E82*SAP_Speadsheet!AN$93*AM$16)</f>
        <v>0</v>
      </c>
      <c r="AO105" s="140">
        <f>-IF(AO$5&gt;Leadsheet!$E$12,0,Leadsheet!$E82*SAP_Speadsheet!AO$93*AN$16)</f>
        <v>0</v>
      </c>
      <c r="AP105" s="140">
        <f>-IF(AP$5&gt;Leadsheet!$E$12,0,Leadsheet!$E82*SAP_Speadsheet!AP$93*AO$16)</f>
        <v>0</v>
      </c>
      <c r="AQ105" s="140">
        <f>-IF(AQ$5&gt;Leadsheet!$E$12,0,Leadsheet!$E82*SAP_Speadsheet!AQ$93*AP$16)</f>
        <v>0</v>
      </c>
      <c r="AR105" s="140">
        <f>-IF(AR$5&gt;Leadsheet!$E$12,0,Leadsheet!$E82*SAP_Speadsheet!AR$93*AQ$16)</f>
        <v>0</v>
      </c>
      <c r="AS105" s="140">
        <f>-IF(AS$5&gt;Leadsheet!$E$12,0,Leadsheet!$E82*SAP_Speadsheet!AS$93*AR$16)</f>
        <v>0</v>
      </c>
      <c r="AT105" s="140">
        <f>-IF(AT$5&gt;Leadsheet!$E$12,0,Leadsheet!$E82*SAP_Speadsheet!AT$93*AS$16)</f>
        <v>0</v>
      </c>
      <c r="AU105" s="140">
        <f>-IF(AU$5&gt;Leadsheet!$E$12,0,Leadsheet!$E82*SAP_Speadsheet!AU$93*AT$16)</f>
        <v>0</v>
      </c>
      <c r="AV105" s="140">
        <f>-IF(AV$5&gt;Leadsheet!$E$12,0,Leadsheet!$E82*SAP_Speadsheet!AV$93*AU$16)</f>
        <v>0</v>
      </c>
      <c r="AW105" s="140">
        <f>-IF(AW$5&gt;Leadsheet!$E$12,0,Leadsheet!$E82*SAP_Speadsheet!AW$93*AV$16)</f>
        <v>0</v>
      </c>
      <c r="AX105" s="140">
        <f>-IF(AX$5&gt;Leadsheet!$E$12,0,Leadsheet!$E82*SAP_Speadsheet!AX$93*AW$16)</f>
        <v>0</v>
      </c>
      <c r="AY105" s="140">
        <f>-IF(AY$5&gt;Leadsheet!$E$12,0,Leadsheet!$E82*SAP_Speadsheet!AY$93*AX$16)</f>
        <v>0</v>
      </c>
      <c r="AZ105" s="140">
        <f>-IF(AZ$5&gt;Leadsheet!$E$12,0,Leadsheet!$E82*SAP_Speadsheet!AZ$93*AY$16)</f>
        <v>0</v>
      </c>
      <c r="BA105" s="140">
        <f>-IF(BA$5&gt;Leadsheet!$E$12,0,Leadsheet!$E82*SAP_Speadsheet!BA$93*AZ$16)</f>
        <v>0</v>
      </c>
      <c r="BB105" s="140">
        <f>-IF(BB$5&gt;Leadsheet!$E$12,0,Leadsheet!$E82*SAP_Speadsheet!BB$93*BA$16)</f>
        <v>0</v>
      </c>
      <c r="BC105" s="140">
        <f>-IF(BC$5&gt;Leadsheet!$E$12,0,Leadsheet!$E82*SAP_Speadsheet!BC$93*BB$16)</f>
        <v>0</v>
      </c>
      <c r="BD105" s="140">
        <f>-IF(BD$5&gt;Leadsheet!$E$12,0,Leadsheet!$E82*SAP_Speadsheet!BD$93*BC$16)</f>
        <v>0</v>
      </c>
      <c r="BE105" s="140">
        <f>-IF(BE$5&gt;Leadsheet!$E$12,0,Leadsheet!$E82*SAP_Speadsheet!BE$93*BD$16)</f>
        <v>0</v>
      </c>
      <c r="BF105" s="140">
        <f>-IF(BF$5&gt;Leadsheet!$E$12,0,Leadsheet!$E82*SAP_Speadsheet!BF$93*BE$16)</f>
        <v>0</v>
      </c>
      <c r="BG105" s="140">
        <f>-IF(BG$5&gt;Leadsheet!$E$12,0,Leadsheet!$E82*SAP_Speadsheet!BG$93*BF$16)</f>
        <v>0</v>
      </c>
      <c r="BH105" s="140">
        <f>-IF(BH$5&gt;Leadsheet!$E$12,0,Leadsheet!$E82*SAP_Speadsheet!BH$93*BG$16)</f>
        <v>0</v>
      </c>
      <c r="BI105" s="140">
        <f>-IF(BI$5&gt;Leadsheet!$E$12,0,Leadsheet!$E82*SAP_Speadsheet!BI$93*BH$16)</f>
        <v>0</v>
      </c>
      <c r="BJ105" s="140">
        <f>-IF(BJ$5&gt;Leadsheet!$E$12,0,Leadsheet!$E82*SAP_Speadsheet!BJ$93*BI$16)</f>
        <v>0</v>
      </c>
      <c r="BK105" s="140">
        <f>-IF(BK$5&gt;Leadsheet!$E$12,0,Leadsheet!$E82*SAP_Speadsheet!BK$93*BJ$16)</f>
        <v>0</v>
      </c>
      <c r="BL105" s="140">
        <f>-IF(BL$5&gt;Leadsheet!$E$12,0,Leadsheet!$E82*SAP_Speadsheet!BL$93*BK$16)</f>
        <v>0</v>
      </c>
    </row>
    <row r="106" spans="1:64" x14ac:dyDescent="0.15">
      <c r="C106" s="84" t="s">
        <v>143</v>
      </c>
      <c r="E106" s="140">
        <f>-IF(E$5&gt;Leadsheet!$E$12,0,Leadsheet!$E83*SAP_Speadsheet!E$93*D$16)</f>
        <v>-1.1666441173288321E-2</v>
      </c>
      <c r="F106" s="140">
        <f>-IF(F$5&gt;Leadsheet!$E$12,0,Leadsheet!$E83*SAP_Speadsheet!F$93*E$16)</f>
        <v>-1.0733125879425256E-2</v>
      </c>
      <c r="G106" s="140">
        <f>-IF(G$5&gt;Leadsheet!$E$12,0,Leadsheet!$E83*SAP_Speadsheet!G$93*F$16)</f>
        <v>-1.0033139409027957E-2</v>
      </c>
      <c r="H106" s="140">
        <f>-IF(H$5&gt;Leadsheet!$E$12,0,Leadsheet!$E83*SAP_Speadsheet!H$93*G$16)</f>
        <v>-9.3331529386306566E-3</v>
      </c>
      <c r="I106" s="140">
        <f>-IF(I$5&gt;Leadsheet!$E$12,0,Leadsheet!$E83*SAP_Speadsheet!I$93*H$16)</f>
        <v>-9.0414919092984495E-3</v>
      </c>
      <c r="J106" s="140">
        <f>-IF(J$5&gt;Leadsheet!$E$12,0,Leadsheet!$E83*SAP_Speadsheet!J$93*I$16)</f>
        <v>-8.7498308799662406E-3</v>
      </c>
      <c r="K106" s="140">
        <f>-IF(K$5&gt;Leadsheet!$E$12,0,Leadsheet!$E83*SAP_Speadsheet!K$93*J$16)</f>
        <v>-8.4581698506340317E-3</v>
      </c>
      <c r="L106" s="140">
        <f>-IF(L$5&gt;Leadsheet!$E$12,0,Leadsheet!$E83*SAP_Speadsheet!L$93*K$16)</f>
        <v>-8.1665088213018246E-3</v>
      </c>
      <c r="M106" s="140">
        <f>-IF(M$5&gt;Leadsheet!$E$12,0,Leadsheet!$E83*SAP_Speadsheet!M$93*L$16)</f>
        <v>-7.8748477919696157E-3</v>
      </c>
      <c r="N106" s="140">
        <f>-IF(N$5&gt;Leadsheet!$E$12,0,Leadsheet!$E83*SAP_Speadsheet!N$93*M$16)</f>
        <v>-7.5831867626374077E-3</v>
      </c>
      <c r="O106" s="140">
        <f>-IF(O$5&gt;Leadsheet!$E$12,0,Leadsheet!$E83*SAP_Speadsheet!O$93*N$16)</f>
        <v>-7.2915257333051996E-3</v>
      </c>
      <c r="P106" s="140">
        <f>-IF(P$5&gt;Leadsheet!$E$12,0,Leadsheet!$E83*SAP_Speadsheet!P$93*O$16)</f>
        <v>0</v>
      </c>
      <c r="Q106" s="140">
        <f>-IF(Q$5&gt;Leadsheet!$E$12,0,Leadsheet!$E83*SAP_Speadsheet!Q$93*P$16)</f>
        <v>0</v>
      </c>
      <c r="R106" s="140">
        <f>-IF(R$5&gt;Leadsheet!$E$12,0,Leadsheet!$E83*SAP_Speadsheet!R$93*Q$16)</f>
        <v>0</v>
      </c>
      <c r="S106" s="140">
        <f>-IF(S$5&gt;Leadsheet!$E$12,0,Leadsheet!$E83*SAP_Speadsheet!S$93*R$16)</f>
        <v>0</v>
      </c>
      <c r="T106" s="140">
        <f>-IF(T$5&gt;Leadsheet!$E$12,0,Leadsheet!$E83*SAP_Speadsheet!T$93*S$16)</f>
        <v>0</v>
      </c>
      <c r="U106" s="140">
        <f>-IF(U$5&gt;Leadsheet!$E$12,0,Leadsheet!$E83*SAP_Speadsheet!U$93*T$16)</f>
        <v>0</v>
      </c>
      <c r="V106" s="140">
        <f>-IF(V$5&gt;Leadsheet!$E$12,0,Leadsheet!$E83*SAP_Speadsheet!V$93*U$16)</f>
        <v>0</v>
      </c>
      <c r="W106" s="140">
        <f>-IF(W$5&gt;Leadsheet!$E$12,0,Leadsheet!$E83*SAP_Speadsheet!W$93*V$16)</f>
        <v>0</v>
      </c>
      <c r="X106" s="140">
        <f>-IF(X$5&gt;Leadsheet!$E$12,0,Leadsheet!$E83*SAP_Speadsheet!X$93*W$16)</f>
        <v>0</v>
      </c>
      <c r="Y106" s="140">
        <f>-IF(Y$5&gt;Leadsheet!$E$12,0,Leadsheet!$E83*SAP_Speadsheet!Y$93*X$16)</f>
        <v>0</v>
      </c>
      <c r="Z106" s="140">
        <f>-IF(Z$5&gt;Leadsheet!$E$12,0,Leadsheet!$E83*SAP_Speadsheet!Z$93*Y$16)</f>
        <v>0</v>
      </c>
      <c r="AA106" s="140">
        <f>-IF(AA$5&gt;Leadsheet!$E$12,0,Leadsheet!$E83*SAP_Speadsheet!AA$93*Z$16)</f>
        <v>0</v>
      </c>
      <c r="AB106" s="140">
        <f>-IF(AB$5&gt;Leadsheet!$E$12,0,Leadsheet!$E83*SAP_Speadsheet!AB$93*AA$16)</f>
        <v>0</v>
      </c>
      <c r="AC106" s="140">
        <f>-IF(AC$5&gt;Leadsheet!$E$12,0,Leadsheet!$E83*SAP_Speadsheet!AC$93*AB$16)</f>
        <v>0</v>
      </c>
      <c r="AD106" s="140">
        <f>-IF(AD$5&gt;Leadsheet!$E$12,0,Leadsheet!$E83*SAP_Speadsheet!AD$93*AC$16)</f>
        <v>0</v>
      </c>
      <c r="AE106" s="140">
        <f>-IF(AE$5&gt;Leadsheet!$E$12,0,Leadsheet!$E83*SAP_Speadsheet!AE$93*AD$16)</f>
        <v>0</v>
      </c>
      <c r="AF106" s="140">
        <f>-IF(AF$5&gt;Leadsheet!$E$12,0,Leadsheet!$E83*SAP_Speadsheet!AF$93*AE$16)</f>
        <v>0</v>
      </c>
      <c r="AG106" s="140">
        <f>-IF(AG$5&gt;Leadsheet!$E$12,0,Leadsheet!$E83*SAP_Speadsheet!AG$93*AF$16)</f>
        <v>0</v>
      </c>
      <c r="AH106" s="140">
        <f>-IF(AH$5&gt;Leadsheet!$E$12,0,Leadsheet!$E83*SAP_Speadsheet!AH$93*AG$16)</f>
        <v>0</v>
      </c>
      <c r="AI106" s="140">
        <f>-IF(AI$5&gt;Leadsheet!$E$12,0,Leadsheet!$E83*SAP_Speadsheet!AI$93*AH$16)</f>
        <v>0</v>
      </c>
      <c r="AJ106" s="140">
        <f>-IF(AJ$5&gt;Leadsheet!$E$12,0,Leadsheet!$E83*SAP_Speadsheet!AJ$93*AI$16)</f>
        <v>0</v>
      </c>
      <c r="AK106" s="140">
        <f>-IF(AK$5&gt;Leadsheet!$E$12,0,Leadsheet!$E83*SAP_Speadsheet!AK$93*AJ$16)</f>
        <v>0</v>
      </c>
      <c r="AL106" s="140">
        <f>-IF(AL$5&gt;Leadsheet!$E$12,0,Leadsheet!$E83*SAP_Speadsheet!AL$93*AK$16)</f>
        <v>0</v>
      </c>
      <c r="AM106" s="140">
        <f>-IF(AM$5&gt;Leadsheet!$E$12,0,Leadsheet!$E83*SAP_Speadsheet!AM$93*AL$16)</f>
        <v>0</v>
      </c>
      <c r="AN106" s="140">
        <f>-IF(AN$5&gt;Leadsheet!$E$12,0,Leadsheet!$E83*SAP_Speadsheet!AN$93*AM$16)</f>
        <v>0</v>
      </c>
      <c r="AO106" s="140">
        <f>-IF(AO$5&gt;Leadsheet!$E$12,0,Leadsheet!$E83*SAP_Speadsheet!AO$93*AN$16)</f>
        <v>0</v>
      </c>
      <c r="AP106" s="140">
        <f>-IF(AP$5&gt;Leadsheet!$E$12,0,Leadsheet!$E83*SAP_Speadsheet!AP$93*AO$16)</f>
        <v>0</v>
      </c>
      <c r="AQ106" s="140">
        <f>-IF(AQ$5&gt;Leadsheet!$E$12,0,Leadsheet!$E83*SAP_Speadsheet!AQ$93*AP$16)</f>
        <v>0</v>
      </c>
      <c r="AR106" s="140">
        <f>-IF(AR$5&gt;Leadsheet!$E$12,0,Leadsheet!$E83*SAP_Speadsheet!AR$93*AQ$16)</f>
        <v>0</v>
      </c>
      <c r="AS106" s="140">
        <f>-IF(AS$5&gt;Leadsheet!$E$12,0,Leadsheet!$E83*SAP_Speadsheet!AS$93*AR$16)</f>
        <v>0</v>
      </c>
      <c r="AT106" s="140">
        <f>-IF(AT$5&gt;Leadsheet!$E$12,0,Leadsheet!$E83*SAP_Speadsheet!AT$93*AS$16)</f>
        <v>0</v>
      </c>
      <c r="AU106" s="140">
        <f>-IF(AU$5&gt;Leadsheet!$E$12,0,Leadsheet!$E83*SAP_Speadsheet!AU$93*AT$16)</f>
        <v>0</v>
      </c>
      <c r="AV106" s="140">
        <f>-IF(AV$5&gt;Leadsheet!$E$12,0,Leadsheet!$E83*SAP_Speadsheet!AV$93*AU$16)</f>
        <v>0</v>
      </c>
      <c r="AW106" s="140">
        <f>-IF(AW$5&gt;Leadsheet!$E$12,0,Leadsheet!$E83*SAP_Speadsheet!AW$93*AV$16)</f>
        <v>0</v>
      </c>
      <c r="AX106" s="140">
        <f>-IF(AX$5&gt;Leadsheet!$E$12,0,Leadsheet!$E83*SAP_Speadsheet!AX$93*AW$16)</f>
        <v>0</v>
      </c>
      <c r="AY106" s="140">
        <f>-IF(AY$5&gt;Leadsheet!$E$12,0,Leadsheet!$E83*SAP_Speadsheet!AY$93*AX$16)</f>
        <v>0</v>
      </c>
      <c r="AZ106" s="140">
        <f>-IF(AZ$5&gt;Leadsheet!$E$12,0,Leadsheet!$E83*SAP_Speadsheet!AZ$93*AY$16)</f>
        <v>0</v>
      </c>
      <c r="BA106" s="140">
        <f>-IF(BA$5&gt;Leadsheet!$E$12,0,Leadsheet!$E83*SAP_Speadsheet!BA$93*AZ$16)</f>
        <v>0</v>
      </c>
      <c r="BB106" s="140">
        <f>-IF(BB$5&gt;Leadsheet!$E$12,0,Leadsheet!$E83*SAP_Speadsheet!BB$93*BA$16)</f>
        <v>0</v>
      </c>
      <c r="BC106" s="140">
        <f>-IF(BC$5&gt;Leadsheet!$E$12,0,Leadsheet!$E83*SAP_Speadsheet!BC$93*BB$16)</f>
        <v>0</v>
      </c>
      <c r="BD106" s="140">
        <f>-IF(BD$5&gt;Leadsheet!$E$12,0,Leadsheet!$E83*SAP_Speadsheet!BD$93*BC$16)</f>
        <v>0</v>
      </c>
      <c r="BE106" s="140">
        <f>-IF(BE$5&gt;Leadsheet!$E$12,0,Leadsheet!$E83*SAP_Speadsheet!BE$93*BD$16)</f>
        <v>0</v>
      </c>
      <c r="BF106" s="140">
        <f>-IF(BF$5&gt;Leadsheet!$E$12,0,Leadsheet!$E83*SAP_Speadsheet!BF$93*BE$16)</f>
        <v>0</v>
      </c>
      <c r="BG106" s="140">
        <f>-IF(BG$5&gt;Leadsheet!$E$12,0,Leadsheet!$E83*SAP_Speadsheet!BG$93*BF$16)</f>
        <v>0</v>
      </c>
      <c r="BH106" s="140">
        <f>-IF(BH$5&gt;Leadsheet!$E$12,0,Leadsheet!$E83*SAP_Speadsheet!BH$93*BG$16)</f>
        <v>0</v>
      </c>
      <c r="BI106" s="140">
        <f>-IF(BI$5&gt;Leadsheet!$E$12,0,Leadsheet!$E83*SAP_Speadsheet!BI$93*BH$16)</f>
        <v>0</v>
      </c>
      <c r="BJ106" s="140">
        <f>-IF(BJ$5&gt;Leadsheet!$E$12,0,Leadsheet!$E83*SAP_Speadsheet!BJ$93*BI$16)</f>
        <v>0</v>
      </c>
      <c r="BK106" s="140">
        <f>-IF(BK$5&gt;Leadsheet!$E$12,0,Leadsheet!$E83*SAP_Speadsheet!BK$93*BJ$16)</f>
        <v>0</v>
      </c>
      <c r="BL106" s="140">
        <f>-IF(BL$5&gt;Leadsheet!$E$12,0,Leadsheet!$E83*SAP_Speadsheet!BL$93*BK$16)</f>
        <v>0</v>
      </c>
    </row>
    <row r="107" spans="1:64" x14ac:dyDescent="0.15">
      <c r="C107" s="84" t="s">
        <v>235</v>
      </c>
      <c r="E107" s="140">
        <f>-IF(E$5&gt;Leadsheet!$E$12,0,Leadsheet!$E84*SAP_Speadsheet!E$93*D$16)</f>
        <v>-1.1729348343550017E-2</v>
      </c>
      <c r="F107" s="140">
        <f>-IF(F$5&gt;Leadsheet!$E$12,0,Leadsheet!$E84*SAP_Speadsheet!F$93*E$16)</f>
        <v>-1.0791000476066017E-2</v>
      </c>
      <c r="G107" s="140">
        <f>-IF(G$5&gt;Leadsheet!$E$12,0,Leadsheet!$E84*SAP_Speadsheet!G$93*F$16)</f>
        <v>-1.0087239575453016E-2</v>
      </c>
      <c r="H107" s="140">
        <f>-IF(H$5&gt;Leadsheet!$E$12,0,Leadsheet!$E84*SAP_Speadsheet!H$93*G$16)</f>
        <v>-9.3834786748400144E-3</v>
      </c>
      <c r="I107" s="140">
        <f>-IF(I$5&gt;Leadsheet!$E$12,0,Leadsheet!$E84*SAP_Speadsheet!I$93*H$16)</f>
        <v>-9.0902449662512638E-3</v>
      </c>
      <c r="J107" s="140">
        <f>-IF(J$5&gt;Leadsheet!$E$12,0,Leadsheet!$E84*SAP_Speadsheet!J$93*I$16)</f>
        <v>-8.7970112576625133E-3</v>
      </c>
      <c r="K107" s="140">
        <f>-IF(K$5&gt;Leadsheet!$E$12,0,Leadsheet!$E84*SAP_Speadsheet!K$93*J$16)</f>
        <v>-8.5037775490737627E-3</v>
      </c>
      <c r="L107" s="140">
        <f>-IF(L$5&gt;Leadsheet!$E$12,0,Leadsheet!$E84*SAP_Speadsheet!L$93*K$16)</f>
        <v>-8.2105438404850122E-3</v>
      </c>
      <c r="M107" s="140">
        <f>-IF(M$5&gt;Leadsheet!$E$12,0,Leadsheet!$E84*SAP_Speadsheet!M$93*L$16)</f>
        <v>-7.9173101318962616E-3</v>
      </c>
      <c r="N107" s="140">
        <f>-IF(N$5&gt;Leadsheet!$E$12,0,Leadsheet!$E84*SAP_Speadsheet!N$93*M$16)</f>
        <v>-7.6240764233075102E-3</v>
      </c>
      <c r="O107" s="140">
        <f>-IF(O$5&gt;Leadsheet!$E$12,0,Leadsheet!$E84*SAP_Speadsheet!O$93*N$16)</f>
        <v>-7.3308427147187596E-3</v>
      </c>
      <c r="P107" s="140">
        <f>-IF(P$5&gt;Leadsheet!$E$12,0,Leadsheet!$E84*SAP_Speadsheet!P$93*O$16)</f>
        <v>0</v>
      </c>
      <c r="Q107" s="140">
        <f>-IF(Q$5&gt;Leadsheet!$E$12,0,Leadsheet!$E84*SAP_Speadsheet!Q$93*P$16)</f>
        <v>0</v>
      </c>
      <c r="R107" s="140">
        <f>-IF(R$5&gt;Leadsheet!$E$12,0,Leadsheet!$E84*SAP_Speadsheet!R$93*Q$16)</f>
        <v>0</v>
      </c>
      <c r="S107" s="140">
        <f>-IF(S$5&gt;Leadsheet!$E$12,0,Leadsheet!$E84*SAP_Speadsheet!S$93*R$16)</f>
        <v>0</v>
      </c>
      <c r="T107" s="140">
        <f>-IF(T$5&gt;Leadsheet!$E$12,0,Leadsheet!$E84*SAP_Speadsheet!T$93*S$16)</f>
        <v>0</v>
      </c>
      <c r="U107" s="140">
        <f>-IF(U$5&gt;Leadsheet!$E$12,0,Leadsheet!$E84*SAP_Speadsheet!U$93*T$16)</f>
        <v>0</v>
      </c>
      <c r="V107" s="140">
        <f>-IF(V$5&gt;Leadsheet!$E$12,0,Leadsheet!$E84*SAP_Speadsheet!V$93*U$16)</f>
        <v>0</v>
      </c>
      <c r="W107" s="140">
        <f>-IF(W$5&gt;Leadsheet!$E$12,0,Leadsheet!$E84*SAP_Speadsheet!W$93*V$16)</f>
        <v>0</v>
      </c>
      <c r="X107" s="140">
        <f>-IF(X$5&gt;Leadsheet!$E$12,0,Leadsheet!$E84*SAP_Speadsheet!X$93*W$16)</f>
        <v>0</v>
      </c>
      <c r="Y107" s="140">
        <f>-IF(Y$5&gt;Leadsheet!$E$12,0,Leadsheet!$E84*SAP_Speadsheet!Y$93*X$16)</f>
        <v>0</v>
      </c>
      <c r="Z107" s="140">
        <f>-IF(Z$5&gt;Leadsheet!$E$12,0,Leadsheet!$E84*SAP_Speadsheet!Z$93*Y$16)</f>
        <v>0</v>
      </c>
      <c r="AA107" s="140">
        <f>-IF(AA$5&gt;Leadsheet!$E$12,0,Leadsheet!$E84*SAP_Speadsheet!AA$93*Z$16)</f>
        <v>0</v>
      </c>
      <c r="AB107" s="140">
        <f>-IF(AB$5&gt;Leadsheet!$E$12,0,Leadsheet!$E84*SAP_Speadsheet!AB$93*AA$16)</f>
        <v>0</v>
      </c>
      <c r="AC107" s="140">
        <f>-IF(AC$5&gt;Leadsheet!$E$12,0,Leadsheet!$E84*SAP_Speadsheet!AC$93*AB$16)</f>
        <v>0</v>
      </c>
      <c r="AD107" s="140">
        <f>-IF(AD$5&gt;Leadsheet!$E$12,0,Leadsheet!$E84*SAP_Speadsheet!AD$93*AC$16)</f>
        <v>0</v>
      </c>
      <c r="AE107" s="140">
        <f>-IF(AE$5&gt;Leadsheet!$E$12,0,Leadsheet!$E84*SAP_Speadsheet!AE$93*AD$16)</f>
        <v>0</v>
      </c>
      <c r="AF107" s="140">
        <f>-IF(AF$5&gt;Leadsheet!$E$12,0,Leadsheet!$E84*SAP_Speadsheet!AF$93*AE$16)</f>
        <v>0</v>
      </c>
      <c r="AG107" s="140">
        <f>-IF(AG$5&gt;Leadsheet!$E$12,0,Leadsheet!$E84*SAP_Speadsheet!AG$93*AF$16)</f>
        <v>0</v>
      </c>
      <c r="AH107" s="140">
        <f>-IF(AH$5&gt;Leadsheet!$E$12,0,Leadsheet!$E84*SAP_Speadsheet!AH$93*AG$16)</f>
        <v>0</v>
      </c>
      <c r="AI107" s="140">
        <f>-IF(AI$5&gt;Leadsheet!$E$12,0,Leadsheet!$E84*SAP_Speadsheet!AI$93*AH$16)</f>
        <v>0</v>
      </c>
      <c r="AJ107" s="140">
        <f>-IF(AJ$5&gt;Leadsheet!$E$12,0,Leadsheet!$E84*SAP_Speadsheet!AJ$93*AI$16)</f>
        <v>0</v>
      </c>
      <c r="AK107" s="140">
        <f>-IF(AK$5&gt;Leadsheet!$E$12,0,Leadsheet!$E84*SAP_Speadsheet!AK$93*AJ$16)</f>
        <v>0</v>
      </c>
      <c r="AL107" s="140">
        <f>-IF(AL$5&gt;Leadsheet!$E$12,0,Leadsheet!$E84*SAP_Speadsheet!AL$93*AK$16)</f>
        <v>0</v>
      </c>
      <c r="AM107" s="140">
        <f>-IF(AM$5&gt;Leadsheet!$E$12,0,Leadsheet!$E84*SAP_Speadsheet!AM$93*AL$16)</f>
        <v>0</v>
      </c>
      <c r="AN107" s="140">
        <f>-IF(AN$5&gt;Leadsheet!$E$12,0,Leadsheet!$E84*SAP_Speadsheet!AN$93*AM$16)</f>
        <v>0</v>
      </c>
      <c r="AO107" s="140">
        <f>-IF(AO$5&gt;Leadsheet!$E$12,0,Leadsheet!$E84*SAP_Speadsheet!AO$93*AN$16)</f>
        <v>0</v>
      </c>
      <c r="AP107" s="140">
        <f>-IF(AP$5&gt;Leadsheet!$E$12,0,Leadsheet!$E84*SAP_Speadsheet!AP$93*AO$16)</f>
        <v>0</v>
      </c>
      <c r="AQ107" s="140">
        <f>-IF(AQ$5&gt;Leadsheet!$E$12,0,Leadsheet!$E84*SAP_Speadsheet!AQ$93*AP$16)</f>
        <v>0</v>
      </c>
      <c r="AR107" s="140">
        <f>-IF(AR$5&gt;Leadsheet!$E$12,0,Leadsheet!$E84*SAP_Speadsheet!AR$93*AQ$16)</f>
        <v>0</v>
      </c>
      <c r="AS107" s="140">
        <f>-IF(AS$5&gt;Leadsheet!$E$12,0,Leadsheet!$E84*SAP_Speadsheet!AS$93*AR$16)</f>
        <v>0</v>
      </c>
      <c r="AT107" s="140">
        <f>-IF(AT$5&gt;Leadsheet!$E$12,0,Leadsheet!$E84*SAP_Speadsheet!AT$93*AS$16)</f>
        <v>0</v>
      </c>
      <c r="AU107" s="140">
        <f>-IF(AU$5&gt;Leadsheet!$E$12,0,Leadsheet!$E84*SAP_Speadsheet!AU$93*AT$16)</f>
        <v>0</v>
      </c>
      <c r="AV107" s="140">
        <f>-IF(AV$5&gt;Leadsheet!$E$12,0,Leadsheet!$E84*SAP_Speadsheet!AV$93*AU$16)</f>
        <v>0</v>
      </c>
      <c r="AW107" s="140">
        <f>-IF(AW$5&gt;Leadsheet!$E$12,0,Leadsheet!$E84*SAP_Speadsheet!AW$93*AV$16)</f>
        <v>0</v>
      </c>
      <c r="AX107" s="140">
        <f>-IF(AX$5&gt;Leadsheet!$E$12,0,Leadsheet!$E84*SAP_Speadsheet!AX$93*AW$16)</f>
        <v>0</v>
      </c>
      <c r="AY107" s="140">
        <f>-IF(AY$5&gt;Leadsheet!$E$12,0,Leadsheet!$E84*SAP_Speadsheet!AY$93*AX$16)</f>
        <v>0</v>
      </c>
      <c r="AZ107" s="140">
        <f>-IF(AZ$5&gt;Leadsheet!$E$12,0,Leadsheet!$E84*SAP_Speadsheet!AZ$93*AY$16)</f>
        <v>0</v>
      </c>
      <c r="BA107" s="140">
        <f>-IF(BA$5&gt;Leadsheet!$E$12,0,Leadsheet!$E84*SAP_Speadsheet!BA$93*AZ$16)</f>
        <v>0</v>
      </c>
      <c r="BB107" s="140">
        <f>-IF(BB$5&gt;Leadsheet!$E$12,0,Leadsheet!$E84*SAP_Speadsheet!BB$93*BA$16)</f>
        <v>0</v>
      </c>
      <c r="BC107" s="140">
        <f>-IF(BC$5&gt;Leadsheet!$E$12,0,Leadsheet!$E84*SAP_Speadsheet!BC$93*BB$16)</f>
        <v>0</v>
      </c>
      <c r="BD107" s="140">
        <f>-IF(BD$5&gt;Leadsheet!$E$12,0,Leadsheet!$E84*SAP_Speadsheet!BD$93*BC$16)</f>
        <v>0</v>
      </c>
      <c r="BE107" s="140">
        <f>-IF(BE$5&gt;Leadsheet!$E$12,0,Leadsheet!$E84*SAP_Speadsheet!BE$93*BD$16)</f>
        <v>0</v>
      </c>
      <c r="BF107" s="140">
        <f>-IF(BF$5&gt;Leadsheet!$E$12,0,Leadsheet!$E84*SAP_Speadsheet!BF$93*BE$16)</f>
        <v>0</v>
      </c>
      <c r="BG107" s="140">
        <f>-IF(BG$5&gt;Leadsheet!$E$12,0,Leadsheet!$E84*SAP_Speadsheet!BG$93*BF$16)</f>
        <v>0</v>
      </c>
      <c r="BH107" s="140">
        <f>-IF(BH$5&gt;Leadsheet!$E$12,0,Leadsheet!$E84*SAP_Speadsheet!BH$93*BG$16)</f>
        <v>0</v>
      </c>
      <c r="BI107" s="140">
        <f>-IF(BI$5&gt;Leadsheet!$E$12,0,Leadsheet!$E84*SAP_Speadsheet!BI$93*BH$16)</f>
        <v>0</v>
      </c>
      <c r="BJ107" s="140">
        <f>-IF(BJ$5&gt;Leadsheet!$E$12,0,Leadsheet!$E84*SAP_Speadsheet!BJ$93*BI$16)</f>
        <v>0</v>
      </c>
      <c r="BK107" s="140">
        <f>-IF(BK$5&gt;Leadsheet!$E$12,0,Leadsheet!$E84*SAP_Speadsheet!BK$93*BJ$16)</f>
        <v>0</v>
      </c>
      <c r="BL107" s="140">
        <f>-IF(BL$5&gt;Leadsheet!$E$12,0,Leadsheet!$E84*SAP_Speadsheet!BL$93*BK$16)</f>
        <v>0</v>
      </c>
    </row>
    <row r="108" spans="1:64" s="267" customFormat="1" x14ac:dyDescent="0.15">
      <c r="C108" s="163"/>
      <c r="D108" s="155"/>
      <c r="E108" s="308"/>
      <c r="F108" s="308"/>
      <c r="G108" s="308"/>
      <c r="H108" s="308"/>
      <c r="I108" s="308"/>
      <c r="J108" s="308"/>
      <c r="K108" s="308"/>
      <c r="L108" s="308"/>
      <c r="M108" s="308"/>
      <c r="N108" s="308"/>
      <c r="O108" s="308"/>
      <c r="P108" s="308"/>
      <c r="Q108" s="308"/>
      <c r="R108" s="308"/>
      <c r="S108" s="308"/>
      <c r="T108" s="308"/>
      <c r="U108" s="308"/>
      <c r="V108" s="308"/>
      <c r="W108" s="308"/>
      <c r="X108" s="308"/>
      <c r="Y108" s="308"/>
      <c r="Z108" s="308"/>
      <c r="AA108" s="308"/>
      <c r="AB108" s="308"/>
      <c r="AC108" s="308"/>
      <c r="AD108" s="308"/>
      <c r="AE108" s="308"/>
      <c r="AF108" s="308"/>
      <c r="AG108" s="308"/>
      <c r="AH108" s="308"/>
      <c r="AI108" s="308"/>
      <c r="AJ108" s="308"/>
      <c r="AK108" s="308"/>
      <c r="AL108" s="308"/>
      <c r="AM108" s="308"/>
      <c r="AN108" s="308"/>
      <c r="AO108" s="308"/>
      <c r="AP108" s="308"/>
      <c r="AQ108" s="308"/>
      <c r="AR108" s="308"/>
      <c r="AS108" s="308"/>
      <c r="AT108" s="308"/>
      <c r="AU108" s="308"/>
      <c r="AV108" s="308"/>
      <c r="AW108" s="308"/>
      <c r="AX108" s="308"/>
      <c r="AY108" s="308"/>
      <c r="AZ108" s="308"/>
      <c r="BA108" s="308"/>
      <c r="BB108" s="308"/>
      <c r="BC108" s="308"/>
      <c r="BD108" s="308"/>
      <c r="BE108" s="308"/>
      <c r="BF108" s="308"/>
      <c r="BG108" s="308"/>
      <c r="BH108" s="308"/>
      <c r="BI108" s="308"/>
      <c r="BJ108" s="308"/>
      <c r="BK108" s="308"/>
      <c r="BL108" s="308"/>
    </row>
    <row r="109" spans="1:64" x14ac:dyDescent="0.15">
      <c r="F109" s="140"/>
      <c r="G109" s="140"/>
      <c r="H109" s="140"/>
      <c r="I109" s="140"/>
      <c r="J109" s="140"/>
      <c r="K109" s="140"/>
      <c r="L109" s="140"/>
      <c r="M109" s="140"/>
      <c r="N109" s="140"/>
      <c r="O109" s="140"/>
      <c r="P109" s="140"/>
      <c r="Q109" s="140"/>
      <c r="R109" s="140"/>
      <c r="S109" s="140"/>
      <c r="T109" s="140"/>
      <c r="U109" s="140"/>
      <c r="V109" s="140"/>
      <c r="W109" s="140"/>
      <c r="X109" s="140"/>
      <c r="Y109" s="140"/>
      <c r="Z109" s="140"/>
      <c r="AA109" s="140"/>
      <c r="AB109" s="140"/>
      <c r="AC109" s="140"/>
      <c r="AD109" s="140"/>
      <c r="AE109" s="140"/>
      <c r="AF109" s="140"/>
      <c r="AG109" s="140"/>
      <c r="AH109" s="140"/>
      <c r="AI109" s="140"/>
      <c r="AJ109" s="140"/>
      <c r="AK109" s="140"/>
      <c r="AL109" s="140"/>
      <c r="AM109" s="140"/>
      <c r="AN109" s="140"/>
      <c r="AO109" s="140"/>
      <c r="AP109" s="140"/>
      <c r="AQ109" s="140"/>
      <c r="AR109" s="140"/>
      <c r="AS109" s="140"/>
      <c r="AT109" s="140"/>
      <c r="AU109" s="140"/>
      <c r="AV109" s="140"/>
      <c r="AW109" s="140"/>
      <c r="AX109" s="140"/>
      <c r="AY109" s="140"/>
      <c r="AZ109" s="140"/>
      <c r="BA109" s="140"/>
      <c r="BB109" s="140"/>
      <c r="BC109" s="140"/>
    </row>
    <row r="110" spans="1:64" ht="13" thickBot="1" x14ac:dyDescent="0.2">
      <c r="A110" s="155"/>
      <c r="B110" s="272" t="s">
        <v>400</v>
      </c>
      <c r="C110" s="273"/>
      <c r="D110" s="274"/>
      <c r="E110" s="275"/>
      <c r="F110" s="274"/>
      <c r="G110" s="274"/>
      <c r="H110" s="274"/>
      <c r="I110" s="274"/>
      <c r="J110" s="274"/>
      <c r="K110" s="274"/>
      <c r="L110" s="274"/>
      <c r="M110" s="274"/>
      <c r="N110" s="274"/>
      <c r="O110" s="274"/>
      <c r="P110" s="274"/>
      <c r="Q110" s="274"/>
      <c r="R110" s="274"/>
      <c r="S110" s="274"/>
      <c r="T110" s="274"/>
      <c r="U110" s="274"/>
      <c r="V110" s="274"/>
      <c r="W110" s="274"/>
      <c r="X110" s="274"/>
      <c r="Y110" s="274"/>
      <c r="Z110" s="274"/>
      <c r="AA110" s="274"/>
      <c r="AB110" s="274"/>
      <c r="AC110" s="274"/>
      <c r="AD110" s="274"/>
      <c r="AE110" s="274"/>
      <c r="AF110" s="274"/>
      <c r="AG110" s="274"/>
      <c r="AH110" s="274"/>
      <c r="AI110" s="274"/>
      <c r="AJ110" s="274"/>
      <c r="AK110" s="274"/>
      <c r="AL110" s="274"/>
      <c r="AM110" s="274"/>
      <c r="AN110" s="274"/>
      <c r="AO110" s="274"/>
      <c r="AP110" s="274"/>
      <c r="AQ110" s="274"/>
      <c r="AR110" s="274"/>
      <c r="AS110" s="274"/>
      <c r="AT110" s="274"/>
      <c r="AU110" s="274"/>
      <c r="AV110" s="274"/>
      <c r="AW110" s="274"/>
      <c r="AX110" s="274"/>
      <c r="AY110" s="274"/>
      <c r="AZ110" s="274"/>
      <c r="BA110" s="274"/>
      <c r="BB110" s="274"/>
      <c r="BC110" s="274"/>
      <c r="BD110" s="274"/>
      <c r="BE110" s="274"/>
      <c r="BF110" s="274"/>
      <c r="BG110" s="274"/>
      <c r="BH110" s="274"/>
      <c r="BI110" s="274"/>
      <c r="BJ110" s="274"/>
      <c r="BK110" s="274"/>
      <c r="BL110" s="274"/>
    </row>
    <row r="111" spans="1:64" ht="12" thickTop="1" x14ac:dyDescent="0.15">
      <c r="C111" s="299" t="s">
        <v>401</v>
      </c>
      <c r="E111" s="84" t="s">
        <v>162</v>
      </c>
      <c r="F111" s="84" t="s">
        <v>402</v>
      </c>
      <c r="G111" s="84" t="s">
        <v>403</v>
      </c>
    </row>
    <row r="112" spans="1:64" x14ac:dyDescent="0.15">
      <c r="C112" s="84" t="s">
        <v>362</v>
      </c>
      <c r="E112" s="276">
        <f>Leadsheet!F91</f>
        <v>2.1911561495272989E-2</v>
      </c>
      <c r="F112" s="276">
        <v>7.4999999999999997E-3</v>
      </c>
      <c r="G112" s="309">
        <v>7.4999999999999997E-3</v>
      </c>
    </row>
    <row r="113" spans="2:7" x14ac:dyDescent="0.15">
      <c r="C113" s="84" t="s">
        <v>364</v>
      </c>
      <c r="E113" s="276">
        <f>Leadsheet!F92</f>
        <v>0.62604461415065671</v>
      </c>
      <c r="F113" s="276">
        <v>5.7500000000000002E-2</v>
      </c>
      <c r="G113" s="309">
        <v>5.7500000000000002E-2</v>
      </c>
    </row>
    <row r="114" spans="2:7" x14ac:dyDescent="0.15">
      <c r="C114" s="84" t="s">
        <v>365</v>
      </c>
      <c r="E114" s="276">
        <f>Leadsheet!F93</f>
        <v>0.88175297767698146</v>
      </c>
      <c r="F114" s="276">
        <v>5.7500000000000002E-2</v>
      </c>
      <c r="G114" s="309">
        <v>5.7500000000000002E-2</v>
      </c>
    </row>
    <row r="115" spans="2:7" x14ac:dyDescent="0.15">
      <c r="C115" s="84" t="s">
        <v>366</v>
      </c>
      <c r="E115" s="276">
        <f>Leadsheet!F94</f>
        <v>0.93159373330180084</v>
      </c>
      <c r="F115" s="276">
        <v>5.7500000000000002E-2</v>
      </c>
      <c r="G115" s="309">
        <v>5.7500000000000002E-2</v>
      </c>
    </row>
    <row r="116" spans="2:7" x14ac:dyDescent="0.15">
      <c r="C116" s="84" t="s">
        <v>368</v>
      </c>
      <c r="E116" s="276">
        <f>Leadsheet!F95</f>
        <v>0.93168690199199988</v>
      </c>
      <c r="F116" s="276">
        <v>0.20749999999999999</v>
      </c>
      <c r="G116" s="309">
        <v>0.20749999999999999</v>
      </c>
    </row>
    <row r="117" spans="2:7" x14ac:dyDescent="0.15">
      <c r="C117" s="84" t="s">
        <v>369</v>
      </c>
      <c r="E117" s="276">
        <f>Leadsheet!F96</f>
        <v>0.9317800799999999</v>
      </c>
      <c r="F117" s="276">
        <v>0.20749999999999999</v>
      </c>
      <c r="G117" s="309">
        <v>0.20749999999999999</v>
      </c>
    </row>
    <row r="118" spans="2:7" x14ac:dyDescent="0.15">
      <c r="C118" s="84" t="s">
        <v>332</v>
      </c>
      <c r="E118" s="276">
        <f>Leadsheet!F97</f>
        <v>0.9317800799999999</v>
      </c>
      <c r="F118" s="276">
        <v>0.20749999999999999</v>
      </c>
      <c r="G118" s="309">
        <v>0.20749999999999999</v>
      </c>
    </row>
    <row r="119" spans="2:7" x14ac:dyDescent="0.15">
      <c r="C119" s="84" t="s">
        <v>333</v>
      </c>
      <c r="E119" s="276">
        <f>Leadsheet!F98</f>
        <v>0.9317800799999999</v>
      </c>
      <c r="F119" s="276">
        <v>0.50749999999999995</v>
      </c>
      <c r="G119" s="309">
        <v>0.50749999999999995</v>
      </c>
    </row>
    <row r="120" spans="2:7" x14ac:dyDescent="0.15">
      <c r="C120" s="84" t="s">
        <v>371</v>
      </c>
      <c r="E120" s="276">
        <f>Leadsheet!F99</f>
        <v>0.95079599999999986</v>
      </c>
      <c r="F120" s="276">
        <v>0.50749999999999995</v>
      </c>
      <c r="G120" s="309">
        <v>1</v>
      </c>
    </row>
    <row r="121" spans="2:7" x14ac:dyDescent="0.15">
      <c r="C121" s="84" t="s">
        <v>372</v>
      </c>
      <c r="E121" s="276">
        <f>Leadsheet!F100</f>
        <v>0.95079599999999986</v>
      </c>
      <c r="F121" s="276">
        <v>0.50749999999999995</v>
      </c>
    </row>
    <row r="122" spans="2:7" x14ac:dyDescent="0.15">
      <c r="C122" s="84" t="s">
        <v>373</v>
      </c>
      <c r="E122" s="276">
        <f>Leadsheet!F101</f>
        <v>0.95079599999999986</v>
      </c>
      <c r="F122" s="276">
        <v>0.50749999999999995</v>
      </c>
    </row>
    <row r="123" spans="2:7" x14ac:dyDescent="0.15">
      <c r="C123" s="84" t="s">
        <v>374</v>
      </c>
      <c r="E123" s="276">
        <f>Leadsheet!F102</f>
        <v>0.95079599999999986</v>
      </c>
      <c r="F123" s="276">
        <v>0.50749999999999995</v>
      </c>
    </row>
    <row r="124" spans="2:7" x14ac:dyDescent="0.15">
      <c r="C124" s="84" t="s">
        <v>375</v>
      </c>
      <c r="E124" s="276">
        <f>Leadsheet!F103</f>
        <v>0.95079599999999986</v>
      </c>
      <c r="F124" s="276">
        <v>0.50749999999999995</v>
      </c>
    </row>
    <row r="125" spans="2:7" x14ac:dyDescent="0.15">
      <c r="C125" s="84" t="s">
        <v>377</v>
      </c>
      <c r="E125" s="276">
        <f>Leadsheet!F104</f>
        <v>0.95079599999999986</v>
      </c>
      <c r="F125" s="276">
        <v>1</v>
      </c>
    </row>
    <row r="126" spans="2:7" x14ac:dyDescent="0.15">
      <c r="C126" s="84" t="s">
        <v>379</v>
      </c>
      <c r="E126" s="276">
        <f>Leadsheet!F105</f>
        <v>0.97019999999999995</v>
      </c>
      <c r="F126" s="276">
        <v>1</v>
      </c>
    </row>
    <row r="128" spans="2:7" x14ac:dyDescent="0.15">
      <c r="B128" s="155" t="s">
        <v>162</v>
      </c>
    </row>
    <row r="129" spans="3:64" s="155" customFormat="1" x14ac:dyDescent="0.15">
      <c r="C129" s="155" t="s">
        <v>404</v>
      </c>
    </row>
    <row r="130" spans="3:64" s="155" customFormat="1" x14ac:dyDescent="0.15">
      <c r="C130" s="84" t="s">
        <v>362</v>
      </c>
      <c r="E130" s="147">
        <f t="shared" ref="E130:BL134" si="24">IF(E$5&gt;$D$7,0,E27*$E112)</f>
        <v>0.23350877837398118</v>
      </c>
      <c r="F130" s="147">
        <f t="shared" si="24"/>
        <v>0.19448914903128156</v>
      </c>
      <c r="G130" s="147">
        <f t="shared" si="24"/>
        <v>0.1593305110498138</v>
      </c>
      <c r="H130" s="147">
        <f t="shared" si="24"/>
        <v>0.1345379089678102</v>
      </c>
      <c r="I130" s="147">
        <f t="shared" si="24"/>
        <v>0.1110666055855965</v>
      </c>
      <c r="J130" s="147">
        <f t="shared" si="24"/>
        <v>8.9009358390319288E-2</v>
      </c>
      <c r="K130" s="147">
        <f t="shared" si="24"/>
        <v>6.8361192417122865E-2</v>
      </c>
      <c r="L130" s="147">
        <f t="shared" si="24"/>
        <v>4.910806867779851E-2</v>
      </c>
      <c r="M130" s="147">
        <f t="shared" si="24"/>
        <v>3.124369546428812E-2</v>
      </c>
      <c r="N130" s="147">
        <f t="shared" si="24"/>
        <v>1.4778893968046476E-2</v>
      </c>
      <c r="O130" s="147">
        <f t="shared" si="24"/>
        <v>0</v>
      </c>
      <c r="P130" s="147">
        <f t="shared" si="24"/>
        <v>0</v>
      </c>
      <c r="Q130" s="147">
        <f t="shared" si="24"/>
        <v>0</v>
      </c>
      <c r="R130" s="147">
        <f t="shared" si="24"/>
        <v>0</v>
      </c>
      <c r="S130" s="147">
        <f t="shared" si="24"/>
        <v>0</v>
      </c>
      <c r="T130" s="147">
        <f t="shared" si="24"/>
        <v>0</v>
      </c>
      <c r="U130" s="147">
        <f t="shared" si="24"/>
        <v>0</v>
      </c>
      <c r="V130" s="147">
        <f t="shared" si="24"/>
        <v>0</v>
      </c>
      <c r="W130" s="147">
        <f t="shared" si="24"/>
        <v>0</v>
      </c>
      <c r="X130" s="147">
        <f t="shared" si="24"/>
        <v>0</v>
      </c>
      <c r="Y130" s="147">
        <f t="shared" si="24"/>
        <v>0</v>
      </c>
      <c r="Z130" s="147">
        <f t="shared" si="24"/>
        <v>0</v>
      </c>
      <c r="AA130" s="147">
        <f t="shared" si="24"/>
        <v>0</v>
      </c>
      <c r="AB130" s="147">
        <f t="shared" si="24"/>
        <v>0</v>
      </c>
      <c r="AC130" s="147">
        <f t="shared" si="24"/>
        <v>0</v>
      </c>
      <c r="AD130" s="147">
        <f t="shared" si="24"/>
        <v>0</v>
      </c>
      <c r="AE130" s="147">
        <f t="shared" si="24"/>
        <v>0</v>
      </c>
      <c r="AF130" s="147">
        <f t="shared" si="24"/>
        <v>0</v>
      </c>
      <c r="AG130" s="147">
        <f t="shared" si="24"/>
        <v>0</v>
      </c>
      <c r="AH130" s="147">
        <f t="shared" si="24"/>
        <v>0</v>
      </c>
      <c r="AI130" s="147">
        <f t="shared" si="24"/>
        <v>0</v>
      </c>
      <c r="AJ130" s="147">
        <f t="shared" si="24"/>
        <v>0</v>
      </c>
      <c r="AK130" s="147">
        <f t="shared" si="24"/>
        <v>0</v>
      </c>
      <c r="AL130" s="147">
        <f t="shared" si="24"/>
        <v>0</v>
      </c>
      <c r="AM130" s="147">
        <f t="shared" si="24"/>
        <v>0</v>
      </c>
      <c r="AN130" s="147">
        <f t="shared" si="24"/>
        <v>0</v>
      </c>
      <c r="AO130" s="147">
        <f t="shared" si="24"/>
        <v>0</v>
      </c>
      <c r="AP130" s="147">
        <f t="shared" si="24"/>
        <v>0</v>
      </c>
      <c r="AQ130" s="147">
        <f t="shared" si="24"/>
        <v>0</v>
      </c>
      <c r="AR130" s="147">
        <f t="shared" si="24"/>
        <v>0</v>
      </c>
      <c r="AS130" s="147">
        <f t="shared" si="24"/>
        <v>0</v>
      </c>
      <c r="AT130" s="147">
        <f t="shared" si="24"/>
        <v>0</v>
      </c>
      <c r="AU130" s="147">
        <f t="shared" si="24"/>
        <v>0</v>
      </c>
      <c r="AV130" s="147">
        <f t="shared" si="24"/>
        <v>0</v>
      </c>
      <c r="AW130" s="147">
        <f t="shared" si="24"/>
        <v>0</v>
      </c>
      <c r="AX130" s="147">
        <f t="shared" si="24"/>
        <v>0</v>
      </c>
      <c r="AY130" s="147">
        <f t="shared" si="24"/>
        <v>0</v>
      </c>
      <c r="AZ130" s="147">
        <f t="shared" si="24"/>
        <v>0</v>
      </c>
      <c r="BA130" s="147">
        <f t="shared" si="24"/>
        <v>0</v>
      </c>
      <c r="BB130" s="147">
        <f t="shared" si="24"/>
        <v>0</v>
      </c>
      <c r="BC130" s="147">
        <f t="shared" si="24"/>
        <v>0</v>
      </c>
      <c r="BD130" s="147">
        <f t="shared" si="24"/>
        <v>0</v>
      </c>
      <c r="BE130" s="147">
        <f t="shared" si="24"/>
        <v>0</v>
      </c>
      <c r="BF130" s="147">
        <f t="shared" si="24"/>
        <v>0</v>
      </c>
      <c r="BG130" s="147">
        <f t="shared" si="24"/>
        <v>0</v>
      </c>
      <c r="BH130" s="147">
        <f t="shared" si="24"/>
        <v>0</v>
      </c>
      <c r="BI130" s="147">
        <f t="shared" si="24"/>
        <v>0</v>
      </c>
      <c r="BJ130" s="147">
        <f t="shared" si="24"/>
        <v>0</v>
      </c>
      <c r="BK130" s="147">
        <f t="shared" si="24"/>
        <v>0</v>
      </c>
      <c r="BL130" s="147">
        <f t="shared" si="24"/>
        <v>0</v>
      </c>
    </row>
    <row r="131" spans="3:64" s="155" customFormat="1" x14ac:dyDescent="0.15">
      <c r="C131" s="84" t="s">
        <v>364</v>
      </c>
      <c r="E131" s="147">
        <f t="shared" si="24"/>
        <v>0.28670017291113287</v>
      </c>
      <c r="F131" s="147">
        <f t="shared" si="24"/>
        <v>0.23350877837398115</v>
      </c>
      <c r="G131" s="147">
        <f t="shared" si="24"/>
        <v>0.19448914903128153</v>
      </c>
      <c r="H131" s="147">
        <f t="shared" si="24"/>
        <v>0.15933051104981377</v>
      </c>
      <c r="I131" s="147">
        <f t="shared" si="24"/>
        <v>0.1345379089678102</v>
      </c>
      <c r="J131" s="147">
        <f t="shared" si="24"/>
        <v>0.11106660558559649</v>
      </c>
      <c r="K131" s="147">
        <f t="shared" si="24"/>
        <v>8.9009358390319274E-2</v>
      </c>
      <c r="L131" s="147">
        <f t="shared" si="24"/>
        <v>6.8361192417122865E-2</v>
      </c>
      <c r="M131" s="147">
        <f t="shared" si="24"/>
        <v>4.9108068677798503E-2</v>
      </c>
      <c r="N131" s="147">
        <f t="shared" si="24"/>
        <v>3.1243695464288117E-2</v>
      </c>
      <c r="O131" s="147">
        <f t="shared" si="24"/>
        <v>1.4778893968046476E-2</v>
      </c>
      <c r="P131" s="147">
        <f t="shared" si="24"/>
        <v>0</v>
      </c>
      <c r="Q131" s="147">
        <f t="shared" si="24"/>
        <v>0</v>
      </c>
      <c r="R131" s="147">
        <f t="shared" si="24"/>
        <v>0</v>
      </c>
      <c r="S131" s="147">
        <f t="shared" si="24"/>
        <v>0</v>
      </c>
      <c r="T131" s="147">
        <f t="shared" si="24"/>
        <v>0</v>
      </c>
      <c r="U131" s="147">
        <f t="shared" si="24"/>
        <v>0</v>
      </c>
      <c r="V131" s="147">
        <f t="shared" si="24"/>
        <v>0</v>
      </c>
      <c r="W131" s="147">
        <f t="shared" si="24"/>
        <v>0</v>
      </c>
      <c r="X131" s="147">
        <f t="shared" si="24"/>
        <v>0</v>
      </c>
      <c r="Y131" s="147">
        <f t="shared" si="24"/>
        <v>0</v>
      </c>
      <c r="Z131" s="147">
        <f t="shared" si="24"/>
        <v>0</v>
      </c>
      <c r="AA131" s="147">
        <f t="shared" si="24"/>
        <v>0</v>
      </c>
      <c r="AB131" s="147">
        <f t="shared" si="24"/>
        <v>0</v>
      </c>
      <c r="AC131" s="147">
        <f t="shared" si="24"/>
        <v>0</v>
      </c>
      <c r="AD131" s="147">
        <f t="shared" si="24"/>
        <v>0</v>
      </c>
      <c r="AE131" s="147">
        <f t="shared" si="24"/>
        <v>0</v>
      </c>
      <c r="AF131" s="147">
        <f t="shared" si="24"/>
        <v>0</v>
      </c>
      <c r="AG131" s="147">
        <f t="shared" si="24"/>
        <v>0</v>
      </c>
      <c r="AH131" s="147">
        <f t="shared" si="24"/>
        <v>0</v>
      </c>
      <c r="AI131" s="147">
        <f t="shared" si="24"/>
        <v>0</v>
      </c>
      <c r="AJ131" s="147">
        <f t="shared" si="24"/>
        <v>0</v>
      </c>
      <c r="AK131" s="147">
        <f t="shared" si="24"/>
        <v>0</v>
      </c>
      <c r="AL131" s="147">
        <f t="shared" si="24"/>
        <v>0</v>
      </c>
      <c r="AM131" s="147">
        <f t="shared" si="24"/>
        <v>0</v>
      </c>
      <c r="AN131" s="147">
        <f t="shared" si="24"/>
        <v>0</v>
      </c>
      <c r="AO131" s="147">
        <f t="shared" si="24"/>
        <v>0</v>
      </c>
      <c r="AP131" s="147">
        <f t="shared" si="24"/>
        <v>0</v>
      </c>
      <c r="AQ131" s="147">
        <f t="shared" si="24"/>
        <v>0</v>
      </c>
      <c r="AR131" s="147">
        <f t="shared" si="24"/>
        <v>0</v>
      </c>
      <c r="AS131" s="147">
        <f t="shared" si="24"/>
        <v>0</v>
      </c>
      <c r="AT131" s="147">
        <f t="shared" si="24"/>
        <v>0</v>
      </c>
      <c r="AU131" s="147">
        <f t="shared" si="24"/>
        <v>0</v>
      </c>
      <c r="AV131" s="147">
        <f t="shared" si="24"/>
        <v>0</v>
      </c>
      <c r="AW131" s="147">
        <f t="shared" si="24"/>
        <v>0</v>
      </c>
      <c r="AX131" s="147">
        <f t="shared" si="24"/>
        <v>0</v>
      </c>
      <c r="AY131" s="147">
        <f t="shared" si="24"/>
        <v>0</v>
      </c>
      <c r="AZ131" s="147">
        <f t="shared" si="24"/>
        <v>0</v>
      </c>
      <c r="BA131" s="147">
        <f t="shared" si="24"/>
        <v>0</v>
      </c>
      <c r="BB131" s="147">
        <f t="shared" si="24"/>
        <v>0</v>
      </c>
      <c r="BC131" s="147">
        <f t="shared" si="24"/>
        <v>0</v>
      </c>
      <c r="BD131" s="147">
        <f t="shared" si="24"/>
        <v>0</v>
      </c>
      <c r="BE131" s="147">
        <f t="shared" si="24"/>
        <v>0</v>
      </c>
      <c r="BF131" s="147">
        <f t="shared" si="24"/>
        <v>0</v>
      </c>
      <c r="BG131" s="147">
        <f t="shared" si="24"/>
        <v>0</v>
      </c>
      <c r="BH131" s="147">
        <f t="shared" si="24"/>
        <v>0</v>
      </c>
      <c r="BI131" s="147">
        <f t="shared" si="24"/>
        <v>0</v>
      </c>
      <c r="BJ131" s="147">
        <f t="shared" si="24"/>
        <v>0</v>
      </c>
      <c r="BK131" s="147">
        <f t="shared" si="24"/>
        <v>0</v>
      </c>
      <c r="BL131" s="147">
        <f t="shared" si="24"/>
        <v>0</v>
      </c>
    </row>
    <row r="132" spans="3:64" s="155" customFormat="1" x14ac:dyDescent="0.15">
      <c r="C132" s="84" t="s">
        <v>365</v>
      </c>
      <c r="E132" s="147">
        <f t="shared" si="24"/>
        <v>0</v>
      </c>
      <c r="F132" s="147">
        <f t="shared" si="24"/>
        <v>0.28670017291113287</v>
      </c>
      <c r="G132" s="147">
        <f t="shared" si="24"/>
        <v>0.23350877837398121</v>
      </c>
      <c r="H132" s="147">
        <f t="shared" si="24"/>
        <v>0.19448914903128156</v>
      </c>
      <c r="I132" s="147">
        <f t="shared" si="24"/>
        <v>0.1593305110498138</v>
      </c>
      <c r="J132" s="147">
        <f t="shared" si="24"/>
        <v>0.1345379089678102</v>
      </c>
      <c r="K132" s="147">
        <f t="shared" si="24"/>
        <v>0.11106660558559651</v>
      </c>
      <c r="L132" s="147">
        <f t="shared" si="24"/>
        <v>8.9009358390319288E-2</v>
      </c>
      <c r="M132" s="147">
        <f t="shared" si="24"/>
        <v>6.8361192417122865E-2</v>
      </c>
      <c r="N132" s="147">
        <f t="shared" si="24"/>
        <v>4.9108068677798516E-2</v>
      </c>
      <c r="O132" s="147">
        <f t="shared" si="24"/>
        <v>3.124369546428812E-2</v>
      </c>
      <c r="P132" s="147">
        <f t="shared" si="24"/>
        <v>1.4778893968046478E-2</v>
      </c>
      <c r="Q132" s="147">
        <f t="shared" si="24"/>
        <v>0</v>
      </c>
      <c r="R132" s="147">
        <f t="shared" si="24"/>
        <v>0</v>
      </c>
      <c r="S132" s="147">
        <f t="shared" si="24"/>
        <v>0</v>
      </c>
      <c r="T132" s="147">
        <f t="shared" si="24"/>
        <v>0</v>
      </c>
      <c r="U132" s="147">
        <f t="shared" si="24"/>
        <v>0</v>
      </c>
      <c r="V132" s="147">
        <f t="shared" si="24"/>
        <v>0</v>
      </c>
      <c r="W132" s="147">
        <f t="shared" si="24"/>
        <v>0</v>
      </c>
      <c r="X132" s="147">
        <f t="shared" si="24"/>
        <v>0</v>
      </c>
      <c r="Y132" s="147">
        <f t="shared" si="24"/>
        <v>0</v>
      </c>
      <c r="Z132" s="147">
        <f t="shared" si="24"/>
        <v>0</v>
      </c>
      <c r="AA132" s="147">
        <f t="shared" si="24"/>
        <v>0</v>
      </c>
      <c r="AB132" s="147">
        <f t="shared" si="24"/>
        <v>0</v>
      </c>
      <c r="AC132" s="147">
        <f t="shared" si="24"/>
        <v>0</v>
      </c>
      <c r="AD132" s="147">
        <f t="shared" si="24"/>
        <v>0</v>
      </c>
      <c r="AE132" s="147">
        <f t="shared" si="24"/>
        <v>0</v>
      </c>
      <c r="AF132" s="147">
        <f t="shared" si="24"/>
        <v>0</v>
      </c>
      <c r="AG132" s="147">
        <f t="shared" si="24"/>
        <v>0</v>
      </c>
      <c r="AH132" s="147">
        <f t="shared" si="24"/>
        <v>0</v>
      </c>
      <c r="AI132" s="147">
        <f t="shared" si="24"/>
        <v>0</v>
      </c>
      <c r="AJ132" s="147">
        <f t="shared" si="24"/>
        <v>0</v>
      </c>
      <c r="AK132" s="147">
        <f t="shared" si="24"/>
        <v>0</v>
      </c>
      <c r="AL132" s="147">
        <f t="shared" si="24"/>
        <v>0</v>
      </c>
      <c r="AM132" s="147">
        <f t="shared" si="24"/>
        <v>0</v>
      </c>
      <c r="AN132" s="147">
        <f t="shared" si="24"/>
        <v>0</v>
      </c>
      <c r="AO132" s="147">
        <f t="shared" si="24"/>
        <v>0</v>
      </c>
      <c r="AP132" s="147">
        <f t="shared" si="24"/>
        <v>0</v>
      </c>
      <c r="AQ132" s="147">
        <f t="shared" si="24"/>
        <v>0</v>
      </c>
      <c r="AR132" s="147">
        <f t="shared" si="24"/>
        <v>0</v>
      </c>
      <c r="AS132" s="147">
        <f t="shared" si="24"/>
        <v>0</v>
      </c>
      <c r="AT132" s="147">
        <f t="shared" si="24"/>
        <v>0</v>
      </c>
      <c r="AU132" s="147">
        <f t="shared" si="24"/>
        <v>0</v>
      </c>
      <c r="AV132" s="147">
        <f t="shared" si="24"/>
        <v>0</v>
      </c>
      <c r="AW132" s="147">
        <f t="shared" si="24"/>
        <v>0</v>
      </c>
      <c r="AX132" s="147">
        <f t="shared" si="24"/>
        <v>0</v>
      </c>
      <c r="AY132" s="147">
        <f t="shared" si="24"/>
        <v>0</v>
      </c>
      <c r="AZ132" s="147">
        <f t="shared" si="24"/>
        <v>0</v>
      </c>
      <c r="BA132" s="147">
        <f t="shared" si="24"/>
        <v>0</v>
      </c>
      <c r="BB132" s="147">
        <f t="shared" si="24"/>
        <v>0</v>
      </c>
      <c r="BC132" s="147">
        <f t="shared" si="24"/>
        <v>0</v>
      </c>
      <c r="BD132" s="147">
        <f t="shared" si="24"/>
        <v>0</v>
      </c>
      <c r="BE132" s="147">
        <f t="shared" si="24"/>
        <v>0</v>
      </c>
      <c r="BF132" s="147">
        <f t="shared" si="24"/>
        <v>0</v>
      </c>
      <c r="BG132" s="147">
        <f t="shared" si="24"/>
        <v>0</v>
      </c>
      <c r="BH132" s="147">
        <f t="shared" si="24"/>
        <v>0</v>
      </c>
      <c r="BI132" s="147">
        <f t="shared" si="24"/>
        <v>0</v>
      </c>
      <c r="BJ132" s="147">
        <f t="shared" si="24"/>
        <v>0</v>
      </c>
      <c r="BK132" s="147">
        <f t="shared" si="24"/>
        <v>0</v>
      </c>
      <c r="BL132" s="147">
        <f t="shared" si="24"/>
        <v>0</v>
      </c>
    </row>
    <row r="133" spans="3:64" s="155" customFormat="1" x14ac:dyDescent="0.15">
      <c r="C133" s="84" t="s">
        <v>366</v>
      </c>
      <c r="E133" s="147">
        <f t="shared" si="24"/>
        <v>0</v>
      </c>
      <c r="F133" s="147">
        <f t="shared" si="24"/>
        <v>0</v>
      </c>
      <c r="G133" s="147">
        <f t="shared" si="24"/>
        <v>0.28670017291113287</v>
      </c>
      <c r="H133" s="147">
        <f t="shared" si="24"/>
        <v>0.23350877837398124</v>
      </c>
      <c r="I133" s="147">
        <f t="shared" si="24"/>
        <v>0.19448914903128156</v>
      </c>
      <c r="J133" s="147">
        <f t="shared" si="24"/>
        <v>0.15933051104981383</v>
      </c>
      <c r="K133" s="147">
        <f t="shared" si="24"/>
        <v>0.13453790896781023</v>
      </c>
      <c r="L133" s="147">
        <f t="shared" si="24"/>
        <v>0.11106660558559651</v>
      </c>
      <c r="M133" s="147">
        <f t="shared" si="24"/>
        <v>8.9009358390319288E-2</v>
      </c>
      <c r="N133" s="147">
        <f t="shared" si="24"/>
        <v>6.8361192417122879E-2</v>
      </c>
      <c r="O133" s="147">
        <f t="shared" si="24"/>
        <v>4.910806867779851E-2</v>
      </c>
      <c r="P133" s="147">
        <f t="shared" si="24"/>
        <v>3.124369546428812E-2</v>
      </c>
      <c r="Q133" s="147">
        <f t="shared" si="24"/>
        <v>1.4778893968046476E-2</v>
      </c>
      <c r="R133" s="147">
        <f t="shared" si="24"/>
        <v>0</v>
      </c>
      <c r="S133" s="147">
        <f t="shared" si="24"/>
        <v>0</v>
      </c>
      <c r="T133" s="147">
        <f t="shared" si="24"/>
        <v>0</v>
      </c>
      <c r="U133" s="147">
        <f t="shared" si="24"/>
        <v>0</v>
      </c>
      <c r="V133" s="147">
        <f t="shared" si="24"/>
        <v>0</v>
      </c>
      <c r="W133" s="147">
        <f t="shared" si="24"/>
        <v>0</v>
      </c>
      <c r="X133" s="147">
        <f t="shared" si="24"/>
        <v>0</v>
      </c>
      <c r="Y133" s="147">
        <f t="shared" si="24"/>
        <v>0</v>
      </c>
      <c r="Z133" s="147">
        <f t="shared" si="24"/>
        <v>0</v>
      </c>
      <c r="AA133" s="147">
        <f t="shared" si="24"/>
        <v>0</v>
      </c>
      <c r="AB133" s="147">
        <f t="shared" si="24"/>
        <v>0</v>
      </c>
      <c r="AC133" s="147">
        <f t="shared" si="24"/>
        <v>0</v>
      </c>
      <c r="AD133" s="147">
        <f t="shared" si="24"/>
        <v>0</v>
      </c>
      <c r="AE133" s="147">
        <f t="shared" si="24"/>
        <v>0</v>
      </c>
      <c r="AF133" s="147">
        <f t="shared" si="24"/>
        <v>0</v>
      </c>
      <c r="AG133" s="147">
        <f t="shared" si="24"/>
        <v>0</v>
      </c>
      <c r="AH133" s="147">
        <f t="shared" si="24"/>
        <v>0</v>
      </c>
      <c r="AI133" s="147">
        <f t="shared" si="24"/>
        <v>0</v>
      </c>
      <c r="AJ133" s="147">
        <f t="shared" si="24"/>
        <v>0</v>
      </c>
      <c r="AK133" s="147">
        <f t="shared" si="24"/>
        <v>0</v>
      </c>
      <c r="AL133" s="147">
        <f t="shared" si="24"/>
        <v>0</v>
      </c>
      <c r="AM133" s="147">
        <f t="shared" si="24"/>
        <v>0</v>
      </c>
      <c r="AN133" s="147">
        <f t="shared" si="24"/>
        <v>0</v>
      </c>
      <c r="AO133" s="147">
        <f t="shared" si="24"/>
        <v>0</v>
      </c>
      <c r="AP133" s="147">
        <f t="shared" si="24"/>
        <v>0</v>
      </c>
      <c r="AQ133" s="147">
        <f t="shared" si="24"/>
        <v>0</v>
      </c>
      <c r="AR133" s="147">
        <f t="shared" si="24"/>
        <v>0</v>
      </c>
      <c r="AS133" s="147">
        <f t="shared" si="24"/>
        <v>0</v>
      </c>
      <c r="AT133" s="147">
        <f t="shared" si="24"/>
        <v>0</v>
      </c>
      <c r="AU133" s="147">
        <f t="shared" si="24"/>
        <v>0</v>
      </c>
      <c r="AV133" s="147">
        <f t="shared" si="24"/>
        <v>0</v>
      </c>
      <c r="AW133" s="147">
        <f t="shared" si="24"/>
        <v>0</v>
      </c>
      <c r="AX133" s="147">
        <f t="shared" si="24"/>
        <v>0</v>
      </c>
      <c r="AY133" s="147">
        <f t="shared" si="24"/>
        <v>0</v>
      </c>
      <c r="AZ133" s="147">
        <f t="shared" si="24"/>
        <v>0</v>
      </c>
      <c r="BA133" s="147">
        <f t="shared" si="24"/>
        <v>0</v>
      </c>
      <c r="BB133" s="147">
        <f t="shared" si="24"/>
        <v>0</v>
      </c>
      <c r="BC133" s="147">
        <f t="shared" si="24"/>
        <v>0</v>
      </c>
      <c r="BD133" s="147">
        <f t="shared" si="24"/>
        <v>0</v>
      </c>
      <c r="BE133" s="147">
        <f t="shared" si="24"/>
        <v>0</v>
      </c>
      <c r="BF133" s="147">
        <f t="shared" si="24"/>
        <v>0</v>
      </c>
      <c r="BG133" s="147">
        <f t="shared" si="24"/>
        <v>0</v>
      </c>
      <c r="BH133" s="147">
        <f t="shared" si="24"/>
        <v>0</v>
      </c>
      <c r="BI133" s="147">
        <f t="shared" si="24"/>
        <v>0</v>
      </c>
      <c r="BJ133" s="147">
        <f t="shared" si="24"/>
        <v>0</v>
      </c>
      <c r="BK133" s="147">
        <f t="shared" si="24"/>
        <v>0</v>
      </c>
      <c r="BL133" s="147">
        <f t="shared" si="24"/>
        <v>0</v>
      </c>
    </row>
    <row r="134" spans="3:64" s="155" customFormat="1" x14ac:dyDescent="0.15">
      <c r="C134" s="84" t="s">
        <v>368</v>
      </c>
      <c r="E134" s="147">
        <f t="shared" si="24"/>
        <v>0</v>
      </c>
      <c r="F134" s="147">
        <f t="shared" si="24"/>
        <v>0</v>
      </c>
      <c r="G134" s="147">
        <f t="shared" si="24"/>
        <v>0</v>
      </c>
      <c r="H134" s="147">
        <f t="shared" si="24"/>
        <v>0.28670017291113287</v>
      </c>
      <c r="I134" s="147">
        <f t="shared" si="24"/>
        <v>0.23350877837398121</v>
      </c>
      <c r="J134" s="147">
        <f t="shared" si="24"/>
        <v>0.19448914903128156</v>
      </c>
      <c r="K134" s="147">
        <f t="shared" si="24"/>
        <v>0.1593305110498138</v>
      </c>
      <c r="L134" s="147">
        <f t="shared" si="24"/>
        <v>0.1345379089678102</v>
      </c>
      <c r="M134" s="147">
        <f t="shared" si="24"/>
        <v>0.1110666055855965</v>
      </c>
      <c r="N134" s="147">
        <f t="shared" si="24"/>
        <v>8.9009358390319274E-2</v>
      </c>
      <c r="O134" s="147">
        <f t="shared" si="24"/>
        <v>6.8361192417122865E-2</v>
      </c>
      <c r="P134" s="147">
        <f t="shared" si="24"/>
        <v>4.9108068677798503E-2</v>
      </c>
      <c r="Q134" s="147">
        <f t="shared" si="24"/>
        <v>3.124369546428812E-2</v>
      </c>
      <c r="R134" s="147">
        <f t="shared" si="24"/>
        <v>1.4778893968046476E-2</v>
      </c>
      <c r="S134" s="147">
        <f t="shared" si="24"/>
        <v>0</v>
      </c>
      <c r="T134" s="147">
        <f t="shared" ref="T134:BL142" si="25">IF(T$5&gt;$D$7,0,T31*$E116)</f>
        <v>0</v>
      </c>
      <c r="U134" s="147">
        <f t="shared" si="25"/>
        <v>0</v>
      </c>
      <c r="V134" s="147">
        <f t="shared" si="25"/>
        <v>0</v>
      </c>
      <c r="W134" s="147">
        <f t="shared" si="25"/>
        <v>0</v>
      </c>
      <c r="X134" s="147">
        <f t="shared" si="25"/>
        <v>0</v>
      </c>
      <c r="Y134" s="147">
        <f t="shared" si="25"/>
        <v>0</v>
      </c>
      <c r="Z134" s="147">
        <f t="shared" si="25"/>
        <v>0</v>
      </c>
      <c r="AA134" s="147">
        <f t="shared" si="25"/>
        <v>0</v>
      </c>
      <c r="AB134" s="147">
        <f t="shared" si="25"/>
        <v>0</v>
      </c>
      <c r="AC134" s="147">
        <f t="shared" si="25"/>
        <v>0</v>
      </c>
      <c r="AD134" s="147">
        <f t="shared" si="25"/>
        <v>0</v>
      </c>
      <c r="AE134" s="147">
        <f t="shared" si="25"/>
        <v>0</v>
      </c>
      <c r="AF134" s="147">
        <f t="shared" si="25"/>
        <v>0</v>
      </c>
      <c r="AG134" s="147">
        <f t="shared" si="25"/>
        <v>0</v>
      </c>
      <c r="AH134" s="147">
        <f t="shared" si="25"/>
        <v>0</v>
      </c>
      <c r="AI134" s="147">
        <f t="shared" si="25"/>
        <v>0</v>
      </c>
      <c r="AJ134" s="147">
        <f t="shared" si="25"/>
        <v>0</v>
      </c>
      <c r="AK134" s="147">
        <f t="shared" si="25"/>
        <v>0</v>
      </c>
      <c r="AL134" s="147">
        <f t="shared" si="25"/>
        <v>0</v>
      </c>
      <c r="AM134" s="147">
        <f t="shared" si="25"/>
        <v>0</v>
      </c>
      <c r="AN134" s="147">
        <f t="shared" si="25"/>
        <v>0</v>
      </c>
      <c r="AO134" s="147">
        <f t="shared" si="25"/>
        <v>0</v>
      </c>
      <c r="AP134" s="147">
        <f t="shared" si="25"/>
        <v>0</v>
      </c>
      <c r="AQ134" s="147">
        <f t="shared" si="25"/>
        <v>0</v>
      </c>
      <c r="AR134" s="147">
        <f t="shared" si="25"/>
        <v>0</v>
      </c>
      <c r="AS134" s="147">
        <f t="shared" si="25"/>
        <v>0</v>
      </c>
      <c r="AT134" s="147">
        <f t="shared" si="25"/>
        <v>0</v>
      </c>
      <c r="AU134" s="147">
        <f t="shared" si="25"/>
        <v>0</v>
      </c>
      <c r="AV134" s="147">
        <f t="shared" si="25"/>
        <v>0</v>
      </c>
      <c r="AW134" s="147">
        <f t="shared" si="25"/>
        <v>0</v>
      </c>
      <c r="AX134" s="147">
        <f t="shared" si="25"/>
        <v>0</v>
      </c>
      <c r="AY134" s="147">
        <f t="shared" si="25"/>
        <v>0</v>
      </c>
      <c r="AZ134" s="147">
        <f t="shared" si="25"/>
        <v>0</v>
      </c>
      <c r="BA134" s="147">
        <f t="shared" si="25"/>
        <v>0</v>
      </c>
      <c r="BB134" s="147">
        <f t="shared" si="25"/>
        <v>0</v>
      </c>
      <c r="BC134" s="147">
        <f t="shared" si="25"/>
        <v>0</v>
      </c>
      <c r="BD134" s="147">
        <f t="shared" si="25"/>
        <v>0</v>
      </c>
      <c r="BE134" s="147">
        <f t="shared" si="25"/>
        <v>0</v>
      </c>
      <c r="BF134" s="147">
        <f t="shared" si="25"/>
        <v>0</v>
      </c>
      <c r="BG134" s="147">
        <f t="shared" si="25"/>
        <v>0</v>
      </c>
      <c r="BH134" s="147">
        <f t="shared" si="25"/>
        <v>0</v>
      </c>
      <c r="BI134" s="147">
        <f t="shared" si="25"/>
        <v>0</v>
      </c>
      <c r="BJ134" s="147">
        <f t="shared" si="25"/>
        <v>0</v>
      </c>
      <c r="BK134" s="147">
        <f t="shared" si="25"/>
        <v>0</v>
      </c>
      <c r="BL134" s="147">
        <f t="shared" si="25"/>
        <v>0</v>
      </c>
    </row>
    <row r="135" spans="3:64" s="155" customFormat="1" x14ac:dyDescent="0.15">
      <c r="C135" s="84" t="s">
        <v>369</v>
      </c>
      <c r="E135" s="147">
        <f t="shared" ref="E135:AJ142" si="26">IF(E$5&gt;$D$7,0,E32*$E117)</f>
        <v>0</v>
      </c>
      <c r="F135" s="147">
        <f t="shared" si="26"/>
        <v>0</v>
      </c>
      <c r="G135" s="147">
        <f t="shared" si="26"/>
        <v>0</v>
      </c>
      <c r="H135" s="147">
        <f t="shared" si="26"/>
        <v>0</v>
      </c>
      <c r="I135" s="147">
        <f t="shared" si="26"/>
        <v>0.28670017291113287</v>
      </c>
      <c r="J135" s="147">
        <f t="shared" si="26"/>
        <v>0.23350877837398124</v>
      </c>
      <c r="K135" s="147">
        <f t="shared" si="26"/>
        <v>0.19448914903128156</v>
      </c>
      <c r="L135" s="147">
        <f t="shared" si="26"/>
        <v>0.1593305110498138</v>
      </c>
      <c r="M135" s="147">
        <f t="shared" si="26"/>
        <v>0.13453790896781018</v>
      </c>
      <c r="N135" s="147">
        <f t="shared" si="26"/>
        <v>0.11106660558559651</v>
      </c>
      <c r="O135" s="147">
        <f t="shared" si="26"/>
        <v>8.9009358390319274E-2</v>
      </c>
      <c r="P135" s="147">
        <f t="shared" si="26"/>
        <v>6.8361192417122865E-2</v>
      </c>
      <c r="Q135" s="147">
        <f t="shared" si="26"/>
        <v>4.910806867779851E-2</v>
      </c>
      <c r="R135" s="147">
        <f t="shared" si="26"/>
        <v>3.1243695464288117E-2</v>
      </c>
      <c r="S135" s="147">
        <f t="shared" si="26"/>
        <v>1.4778893968046476E-2</v>
      </c>
      <c r="T135" s="147">
        <f t="shared" si="26"/>
        <v>0</v>
      </c>
      <c r="U135" s="147">
        <f t="shared" si="26"/>
        <v>0</v>
      </c>
      <c r="V135" s="147">
        <f t="shared" si="26"/>
        <v>0</v>
      </c>
      <c r="W135" s="147">
        <f t="shared" si="26"/>
        <v>0</v>
      </c>
      <c r="X135" s="147">
        <f t="shared" si="26"/>
        <v>0</v>
      </c>
      <c r="Y135" s="147">
        <f t="shared" si="26"/>
        <v>0</v>
      </c>
      <c r="Z135" s="147">
        <f t="shared" si="26"/>
        <v>0</v>
      </c>
      <c r="AA135" s="147">
        <f t="shared" si="26"/>
        <v>0</v>
      </c>
      <c r="AB135" s="147">
        <f t="shared" si="26"/>
        <v>0</v>
      </c>
      <c r="AC135" s="147">
        <f t="shared" si="26"/>
        <v>0</v>
      </c>
      <c r="AD135" s="147">
        <f t="shared" si="26"/>
        <v>0</v>
      </c>
      <c r="AE135" s="147">
        <f t="shared" si="26"/>
        <v>0</v>
      </c>
      <c r="AF135" s="147">
        <f t="shared" si="26"/>
        <v>0</v>
      </c>
      <c r="AG135" s="147">
        <f t="shared" si="26"/>
        <v>0</v>
      </c>
      <c r="AH135" s="147">
        <f t="shared" si="26"/>
        <v>0</v>
      </c>
      <c r="AI135" s="147">
        <f t="shared" si="26"/>
        <v>0</v>
      </c>
      <c r="AJ135" s="147">
        <f t="shared" si="26"/>
        <v>0</v>
      </c>
      <c r="AK135" s="147">
        <f t="shared" si="25"/>
        <v>0</v>
      </c>
      <c r="AL135" s="147">
        <f t="shared" si="25"/>
        <v>0</v>
      </c>
      <c r="AM135" s="147">
        <f t="shared" si="25"/>
        <v>0</v>
      </c>
      <c r="AN135" s="147">
        <f t="shared" si="25"/>
        <v>0</v>
      </c>
      <c r="AO135" s="147">
        <f t="shared" si="25"/>
        <v>0</v>
      </c>
      <c r="AP135" s="147">
        <f t="shared" si="25"/>
        <v>0</v>
      </c>
      <c r="AQ135" s="147">
        <f t="shared" si="25"/>
        <v>0</v>
      </c>
      <c r="AR135" s="147">
        <f t="shared" si="25"/>
        <v>0</v>
      </c>
      <c r="AS135" s="147">
        <f t="shared" si="25"/>
        <v>0</v>
      </c>
      <c r="AT135" s="147">
        <f t="shared" si="25"/>
        <v>0</v>
      </c>
      <c r="AU135" s="147">
        <f t="shared" si="25"/>
        <v>0</v>
      </c>
      <c r="AV135" s="147">
        <f t="shared" si="25"/>
        <v>0</v>
      </c>
      <c r="AW135" s="147">
        <f t="shared" si="25"/>
        <v>0</v>
      </c>
      <c r="AX135" s="147">
        <f t="shared" si="25"/>
        <v>0</v>
      </c>
      <c r="AY135" s="147">
        <f t="shared" si="25"/>
        <v>0</v>
      </c>
      <c r="AZ135" s="147">
        <f t="shared" si="25"/>
        <v>0</v>
      </c>
      <c r="BA135" s="147">
        <f t="shared" si="25"/>
        <v>0</v>
      </c>
      <c r="BB135" s="147">
        <f t="shared" si="25"/>
        <v>0</v>
      </c>
      <c r="BC135" s="147">
        <f t="shared" si="25"/>
        <v>0</v>
      </c>
      <c r="BD135" s="147">
        <f t="shared" si="25"/>
        <v>0</v>
      </c>
      <c r="BE135" s="147">
        <f t="shared" si="25"/>
        <v>0</v>
      </c>
      <c r="BF135" s="147">
        <f t="shared" si="25"/>
        <v>0</v>
      </c>
      <c r="BG135" s="147">
        <f t="shared" si="25"/>
        <v>0</v>
      </c>
      <c r="BH135" s="147">
        <f t="shared" si="25"/>
        <v>0</v>
      </c>
      <c r="BI135" s="147">
        <f t="shared" si="25"/>
        <v>0</v>
      </c>
      <c r="BJ135" s="147">
        <f t="shared" si="25"/>
        <v>0</v>
      </c>
      <c r="BK135" s="147">
        <f t="shared" si="25"/>
        <v>0</v>
      </c>
      <c r="BL135" s="147">
        <f t="shared" si="25"/>
        <v>0</v>
      </c>
    </row>
    <row r="136" spans="3:64" s="155" customFormat="1" x14ac:dyDescent="0.15">
      <c r="C136" s="84" t="s">
        <v>332</v>
      </c>
      <c r="E136" s="147">
        <f t="shared" si="26"/>
        <v>0</v>
      </c>
      <c r="F136" s="147">
        <f t="shared" si="26"/>
        <v>0</v>
      </c>
      <c r="G136" s="147">
        <f t="shared" si="26"/>
        <v>0</v>
      </c>
      <c r="H136" s="147">
        <f t="shared" si="26"/>
        <v>0</v>
      </c>
      <c r="I136" s="147">
        <f t="shared" si="26"/>
        <v>0</v>
      </c>
      <c r="J136" s="147">
        <f t="shared" si="26"/>
        <v>0.28670017291113287</v>
      </c>
      <c r="K136" s="147">
        <f t="shared" si="26"/>
        <v>0.23350877837398124</v>
      </c>
      <c r="L136" s="147">
        <f t="shared" si="26"/>
        <v>0.19448914903128156</v>
      </c>
      <c r="M136" s="147">
        <f t="shared" si="26"/>
        <v>0.1593305110498138</v>
      </c>
      <c r="N136" s="147">
        <f t="shared" si="26"/>
        <v>0.13453790896781018</v>
      </c>
      <c r="O136" s="147">
        <f t="shared" si="26"/>
        <v>0.11106660558559651</v>
      </c>
      <c r="P136" s="147">
        <f t="shared" si="26"/>
        <v>8.9009358390319274E-2</v>
      </c>
      <c r="Q136" s="147">
        <f t="shared" si="26"/>
        <v>6.8361192417122865E-2</v>
      </c>
      <c r="R136" s="147">
        <f t="shared" si="26"/>
        <v>4.910806867779851E-2</v>
      </c>
      <c r="S136" s="147">
        <f t="shared" si="26"/>
        <v>3.1243695464288117E-2</v>
      </c>
      <c r="T136" s="147">
        <f t="shared" si="26"/>
        <v>1.4778893968046476E-2</v>
      </c>
      <c r="U136" s="147">
        <f t="shared" si="26"/>
        <v>0</v>
      </c>
      <c r="V136" s="147">
        <f t="shared" si="26"/>
        <v>0</v>
      </c>
      <c r="W136" s="147">
        <f t="shared" si="26"/>
        <v>0</v>
      </c>
      <c r="X136" s="147">
        <f t="shared" si="26"/>
        <v>0</v>
      </c>
      <c r="Y136" s="147">
        <f t="shared" si="26"/>
        <v>0</v>
      </c>
      <c r="Z136" s="147">
        <f t="shared" si="26"/>
        <v>0</v>
      </c>
      <c r="AA136" s="147">
        <f t="shared" si="26"/>
        <v>0</v>
      </c>
      <c r="AB136" s="147">
        <f t="shared" si="26"/>
        <v>0</v>
      </c>
      <c r="AC136" s="147">
        <f t="shared" si="26"/>
        <v>0</v>
      </c>
      <c r="AD136" s="147">
        <f t="shared" si="26"/>
        <v>0</v>
      </c>
      <c r="AE136" s="147">
        <f t="shared" si="26"/>
        <v>0</v>
      </c>
      <c r="AF136" s="147">
        <f t="shared" si="26"/>
        <v>0</v>
      </c>
      <c r="AG136" s="147">
        <f t="shared" si="26"/>
        <v>0</v>
      </c>
      <c r="AH136" s="147">
        <f t="shared" si="26"/>
        <v>0</v>
      </c>
      <c r="AI136" s="147">
        <f t="shared" si="26"/>
        <v>0</v>
      </c>
      <c r="AJ136" s="147">
        <f t="shared" si="26"/>
        <v>0</v>
      </c>
      <c r="AK136" s="147">
        <f t="shared" si="25"/>
        <v>0</v>
      </c>
      <c r="AL136" s="147">
        <f t="shared" si="25"/>
        <v>0</v>
      </c>
      <c r="AM136" s="147">
        <f t="shared" si="25"/>
        <v>0</v>
      </c>
      <c r="AN136" s="147">
        <f t="shared" si="25"/>
        <v>0</v>
      </c>
      <c r="AO136" s="147">
        <f t="shared" si="25"/>
        <v>0</v>
      </c>
      <c r="AP136" s="147">
        <f t="shared" si="25"/>
        <v>0</v>
      </c>
      <c r="AQ136" s="147">
        <f t="shared" si="25"/>
        <v>0</v>
      </c>
      <c r="AR136" s="147">
        <f t="shared" si="25"/>
        <v>0</v>
      </c>
      <c r="AS136" s="147">
        <f t="shared" si="25"/>
        <v>0</v>
      </c>
      <c r="AT136" s="147">
        <f t="shared" si="25"/>
        <v>0</v>
      </c>
      <c r="AU136" s="147">
        <f t="shared" si="25"/>
        <v>0</v>
      </c>
      <c r="AV136" s="147">
        <f t="shared" si="25"/>
        <v>0</v>
      </c>
      <c r="AW136" s="147">
        <f t="shared" si="25"/>
        <v>0</v>
      </c>
      <c r="AX136" s="147">
        <f t="shared" si="25"/>
        <v>0</v>
      </c>
      <c r="AY136" s="147">
        <f t="shared" si="25"/>
        <v>0</v>
      </c>
      <c r="AZ136" s="147">
        <f t="shared" si="25"/>
        <v>0</v>
      </c>
      <c r="BA136" s="147">
        <f t="shared" si="25"/>
        <v>0</v>
      </c>
      <c r="BB136" s="147">
        <f t="shared" si="25"/>
        <v>0</v>
      </c>
      <c r="BC136" s="147">
        <f t="shared" si="25"/>
        <v>0</v>
      </c>
      <c r="BD136" s="147">
        <f t="shared" si="25"/>
        <v>0</v>
      </c>
      <c r="BE136" s="147">
        <f t="shared" si="25"/>
        <v>0</v>
      </c>
      <c r="BF136" s="147">
        <f t="shared" si="25"/>
        <v>0</v>
      </c>
      <c r="BG136" s="147">
        <f t="shared" si="25"/>
        <v>0</v>
      </c>
      <c r="BH136" s="147">
        <f t="shared" si="25"/>
        <v>0</v>
      </c>
      <c r="BI136" s="147">
        <f t="shared" si="25"/>
        <v>0</v>
      </c>
      <c r="BJ136" s="147">
        <f t="shared" si="25"/>
        <v>0</v>
      </c>
      <c r="BK136" s="147">
        <f t="shared" si="25"/>
        <v>0</v>
      </c>
      <c r="BL136" s="147">
        <f t="shared" si="25"/>
        <v>0</v>
      </c>
    </row>
    <row r="137" spans="3:64" s="155" customFormat="1" x14ac:dyDescent="0.15">
      <c r="C137" s="84" t="s">
        <v>333</v>
      </c>
      <c r="E137" s="147">
        <f t="shared" si="26"/>
        <v>0</v>
      </c>
      <c r="F137" s="147">
        <f t="shared" si="26"/>
        <v>0</v>
      </c>
      <c r="G137" s="147">
        <f t="shared" si="26"/>
        <v>0</v>
      </c>
      <c r="H137" s="147">
        <f t="shared" si="26"/>
        <v>0</v>
      </c>
      <c r="I137" s="147">
        <f t="shared" si="26"/>
        <v>0</v>
      </c>
      <c r="J137" s="147">
        <f t="shared" si="26"/>
        <v>0</v>
      </c>
      <c r="K137" s="147">
        <f t="shared" si="26"/>
        <v>0.28670017291113287</v>
      </c>
      <c r="L137" s="147">
        <f t="shared" si="26"/>
        <v>0.23350877837398124</v>
      </c>
      <c r="M137" s="147">
        <f t="shared" si="26"/>
        <v>0.19448914903128156</v>
      </c>
      <c r="N137" s="147">
        <f t="shared" si="26"/>
        <v>0.1593305110498138</v>
      </c>
      <c r="O137" s="147">
        <f t="shared" si="26"/>
        <v>0.13453790896781018</v>
      </c>
      <c r="P137" s="147">
        <f t="shared" si="26"/>
        <v>0.11106660558559651</v>
      </c>
      <c r="Q137" s="147">
        <f t="shared" si="26"/>
        <v>8.9009358390319274E-2</v>
      </c>
      <c r="R137" s="147">
        <f t="shared" si="26"/>
        <v>6.8361192417122865E-2</v>
      </c>
      <c r="S137" s="147">
        <f t="shared" si="26"/>
        <v>4.910806867779851E-2</v>
      </c>
      <c r="T137" s="147">
        <f t="shared" si="26"/>
        <v>3.1243695464288117E-2</v>
      </c>
      <c r="U137" s="147">
        <f t="shared" si="26"/>
        <v>1.4778893968046476E-2</v>
      </c>
      <c r="V137" s="147">
        <f t="shared" si="26"/>
        <v>0</v>
      </c>
      <c r="W137" s="147">
        <f t="shared" si="26"/>
        <v>0</v>
      </c>
      <c r="X137" s="147">
        <f t="shared" si="26"/>
        <v>0</v>
      </c>
      <c r="Y137" s="147">
        <f t="shared" si="26"/>
        <v>0</v>
      </c>
      <c r="Z137" s="147">
        <f t="shared" si="26"/>
        <v>0</v>
      </c>
      <c r="AA137" s="147">
        <f t="shared" si="26"/>
        <v>0</v>
      </c>
      <c r="AB137" s="147">
        <f t="shared" si="26"/>
        <v>0</v>
      </c>
      <c r="AC137" s="147">
        <f t="shared" si="26"/>
        <v>0</v>
      </c>
      <c r="AD137" s="147">
        <f t="shared" si="26"/>
        <v>0</v>
      </c>
      <c r="AE137" s="147">
        <f t="shared" si="26"/>
        <v>0</v>
      </c>
      <c r="AF137" s="147">
        <f t="shared" si="26"/>
        <v>0</v>
      </c>
      <c r="AG137" s="147">
        <f t="shared" si="26"/>
        <v>0</v>
      </c>
      <c r="AH137" s="147">
        <f t="shared" si="26"/>
        <v>0</v>
      </c>
      <c r="AI137" s="147">
        <f t="shared" si="26"/>
        <v>0</v>
      </c>
      <c r="AJ137" s="147">
        <f t="shared" si="26"/>
        <v>0</v>
      </c>
      <c r="AK137" s="147">
        <f t="shared" si="25"/>
        <v>0</v>
      </c>
      <c r="AL137" s="147">
        <f t="shared" si="25"/>
        <v>0</v>
      </c>
      <c r="AM137" s="147">
        <f t="shared" si="25"/>
        <v>0</v>
      </c>
      <c r="AN137" s="147">
        <f t="shared" si="25"/>
        <v>0</v>
      </c>
      <c r="AO137" s="147">
        <f t="shared" si="25"/>
        <v>0</v>
      </c>
      <c r="AP137" s="147">
        <f t="shared" si="25"/>
        <v>0</v>
      </c>
      <c r="AQ137" s="147">
        <f t="shared" si="25"/>
        <v>0</v>
      </c>
      <c r="AR137" s="147">
        <f t="shared" si="25"/>
        <v>0</v>
      </c>
      <c r="AS137" s="147">
        <f t="shared" si="25"/>
        <v>0</v>
      </c>
      <c r="AT137" s="147">
        <f t="shared" si="25"/>
        <v>0</v>
      </c>
      <c r="AU137" s="147">
        <f t="shared" si="25"/>
        <v>0</v>
      </c>
      <c r="AV137" s="147">
        <f t="shared" si="25"/>
        <v>0</v>
      </c>
      <c r="AW137" s="147">
        <f t="shared" si="25"/>
        <v>0</v>
      </c>
      <c r="AX137" s="147">
        <f t="shared" si="25"/>
        <v>0</v>
      </c>
      <c r="AY137" s="147">
        <f t="shared" si="25"/>
        <v>0</v>
      </c>
      <c r="AZ137" s="147">
        <f t="shared" si="25"/>
        <v>0</v>
      </c>
      <c r="BA137" s="147">
        <f t="shared" si="25"/>
        <v>0</v>
      </c>
      <c r="BB137" s="147">
        <f t="shared" si="25"/>
        <v>0</v>
      </c>
      <c r="BC137" s="147">
        <f t="shared" si="25"/>
        <v>0</v>
      </c>
      <c r="BD137" s="147">
        <f t="shared" si="25"/>
        <v>0</v>
      </c>
      <c r="BE137" s="147">
        <f t="shared" si="25"/>
        <v>0</v>
      </c>
      <c r="BF137" s="147">
        <f t="shared" si="25"/>
        <v>0</v>
      </c>
      <c r="BG137" s="147">
        <f t="shared" si="25"/>
        <v>0</v>
      </c>
      <c r="BH137" s="147">
        <f t="shared" si="25"/>
        <v>0</v>
      </c>
      <c r="BI137" s="147">
        <f t="shared" si="25"/>
        <v>0</v>
      </c>
      <c r="BJ137" s="147">
        <f t="shared" si="25"/>
        <v>0</v>
      </c>
      <c r="BK137" s="147">
        <f t="shared" si="25"/>
        <v>0</v>
      </c>
      <c r="BL137" s="147">
        <f t="shared" si="25"/>
        <v>0</v>
      </c>
    </row>
    <row r="138" spans="3:64" s="155" customFormat="1" x14ac:dyDescent="0.15">
      <c r="C138" s="84" t="s">
        <v>371</v>
      </c>
      <c r="E138" s="147">
        <f t="shared" si="26"/>
        <v>0</v>
      </c>
      <c r="F138" s="147">
        <f t="shared" si="26"/>
        <v>0</v>
      </c>
      <c r="G138" s="147">
        <f t="shared" si="26"/>
        <v>0</v>
      </c>
      <c r="H138" s="147">
        <f t="shared" si="26"/>
        <v>0</v>
      </c>
      <c r="I138" s="147">
        <f t="shared" si="26"/>
        <v>0</v>
      </c>
      <c r="J138" s="147">
        <f t="shared" si="26"/>
        <v>0</v>
      </c>
      <c r="K138" s="147">
        <f t="shared" si="26"/>
        <v>0</v>
      </c>
      <c r="L138" s="147">
        <f t="shared" si="26"/>
        <v>0.29255119684809472</v>
      </c>
      <c r="M138" s="147">
        <f t="shared" si="26"/>
        <v>0.23827426364691962</v>
      </c>
      <c r="N138" s="147">
        <f t="shared" si="26"/>
        <v>0.1984583153380424</v>
      </c>
      <c r="O138" s="147">
        <f t="shared" si="26"/>
        <v>0.16258215413246305</v>
      </c>
      <c r="P138" s="147">
        <f t="shared" si="26"/>
        <v>0.13728358057939816</v>
      </c>
      <c r="Q138" s="147">
        <f t="shared" si="26"/>
        <v>0.11333327100571072</v>
      </c>
      <c r="R138" s="147">
        <f t="shared" si="26"/>
        <v>9.0825875908489048E-2</v>
      </c>
      <c r="S138" s="147">
        <f t="shared" si="26"/>
        <v>6.9756318792982511E-2</v>
      </c>
      <c r="T138" s="147">
        <f t="shared" si="26"/>
        <v>5.0110274161018882E-2</v>
      </c>
      <c r="U138" s="147">
        <f t="shared" si="26"/>
        <v>3.1881321902334815E-2</v>
      </c>
      <c r="V138" s="147">
        <f t="shared" si="26"/>
        <v>0</v>
      </c>
      <c r="W138" s="147">
        <f t="shared" si="26"/>
        <v>0</v>
      </c>
      <c r="X138" s="147">
        <f t="shared" si="26"/>
        <v>0</v>
      </c>
      <c r="Y138" s="147">
        <f t="shared" si="26"/>
        <v>0</v>
      </c>
      <c r="Z138" s="147">
        <f t="shared" si="26"/>
        <v>0</v>
      </c>
      <c r="AA138" s="147">
        <f t="shared" si="26"/>
        <v>0</v>
      </c>
      <c r="AB138" s="147">
        <f t="shared" si="26"/>
        <v>0</v>
      </c>
      <c r="AC138" s="147">
        <f t="shared" si="26"/>
        <v>0</v>
      </c>
      <c r="AD138" s="147">
        <f t="shared" si="26"/>
        <v>0</v>
      </c>
      <c r="AE138" s="147">
        <f t="shared" si="26"/>
        <v>0</v>
      </c>
      <c r="AF138" s="147">
        <f t="shared" si="26"/>
        <v>0</v>
      </c>
      <c r="AG138" s="147">
        <f t="shared" si="26"/>
        <v>0</v>
      </c>
      <c r="AH138" s="147">
        <f t="shared" si="26"/>
        <v>0</v>
      </c>
      <c r="AI138" s="147">
        <f t="shared" si="26"/>
        <v>0</v>
      </c>
      <c r="AJ138" s="147">
        <f t="shared" si="26"/>
        <v>0</v>
      </c>
      <c r="AK138" s="147">
        <f t="shared" si="25"/>
        <v>0</v>
      </c>
      <c r="AL138" s="147">
        <f t="shared" si="25"/>
        <v>0</v>
      </c>
      <c r="AM138" s="147">
        <f t="shared" si="25"/>
        <v>0</v>
      </c>
      <c r="AN138" s="147">
        <f t="shared" si="25"/>
        <v>0</v>
      </c>
      <c r="AO138" s="147">
        <f t="shared" si="25"/>
        <v>0</v>
      </c>
      <c r="AP138" s="147">
        <f t="shared" si="25"/>
        <v>0</v>
      </c>
      <c r="AQ138" s="147">
        <f t="shared" si="25"/>
        <v>0</v>
      </c>
      <c r="AR138" s="147">
        <f t="shared" si="25"/>
        <v>0</v>
      </c>
      <c r="AS138" s="147">
        <f t="shared" si="25"/>
        <v>0</v>
      </c>
      <c r="AT138" s="147">
        <f t="shared" si="25"/>
        <v>0</v>
      </c>
      <c r="AU138" s="147">
        <f t="shared" si="25"/>
        <v>0</v>
      </c>
      <c r="AV138" s="147">
        <f t="shared" si="25"/>
        <v>0</v>
      </c>
      <c r="AW138" s="147">
        <f t="shared" si="25"/>
        <v>0</v>
      </c>
      <c r="AX138" s="147">
        <f t="shared" si="25"/>
        <v>0</v>
      </c>
      <c r="AY138" s="147">
        <f t="shared" si="25"/>
        <v>0</v>
      </c>
      <c r="AZ138" s="147">
        <f t="shared" si="25"/>
        <v>0</v>
      </c>
      <c r="BA138" s="147">
        <f t="shared" si="25"/>
        <v>0</v>
      </c>
      <c r="BB138" s="147">
        <f t="shared" si="25"/>
        <v>0</v>
      </c>
      <c r="BC138" s="147">
        <f t="shared" si="25"/>
        <v>0</v>
      </c>
      <c r="BD138" s="147">
        <f t="shared" si="25"/>
        <v>0</v>
      </c>
      <c r="BE138" s="147">
        <f t="shared" si="25"/>
        <v>0</v>
      </c>
      <c r="BF138" s="147">
        <f t="shared" si="25"/>
        <v>0</v>
      </c>
      <c r="BG138" s="147">
        <f t="shared" si="25"/>
        <v>0</v>
      </c>
      <c r="BH138" s="147">
        <f t="shared" si="25"/>
        <v>0</v>
      </c>
      <c r="BI138" s="147">
        <f t="shared" si="25"/>
        <v>0</v>
      </c>
      <c r="BJ138" s="147">
        <f t="shared" si="25"/>
        <v>0</v>
      </c>
      <c r="BK138" s="147">
        <f t="shared" si="25"/>
        <v>0</v>
      </c>
      <c r="BL138" s="147">
        <f t="shared" si="25"/>
        <v>0</v>
      </c>
    </row>
    <row r="139" spans="3:64" s="155" customFormat="1" x14ac:dyDescent="0.15">
      <c r="C139" s="84" t="s">
        <v>372</v>
      </c>
      <c r="E139" s="147">
        <f t="shared" si="26"/>
        <v>0</v>
      </c>
      <c r="F139" s="147">
        <f t="shared" si="26"/>
        <v>0</v>
      </c>
      <c r="G139" s="147">
        <f t="shared" si="26"/>
        <v>0</v>
      </c>
      <c r="H139" s="147">
        <f t="shared" si="26"/>
        <v>0</v>
      </c>
      <c r="I139" s="147">
        <f t="shared" si="26"/>
        <v>0</v>
      </c>
      <c r="J139" s="147">
        <f t="shared" si="26"/>
        <v>0</v>
      </c>
      <c r="K139" s="147">
        <f t="shared" si="26"/>
        <v>0</v>
      </c>
      <c r="L139" s="147">
        <f t="shared" si="26"/>
        <v>0</v>
      </c>
      <c r="M139" s="147">
        <f t="shared" si="26"/>
        <v>0.29255119684809472</v>
      </c>
      <c r="N139" s="147">
        <f t="shared" si="26"/>
        <v>0.23827426364691962</v>
      </c>
      <c r="O139" s="147">
        <f t="shared" si="26"/>
        <v>0.1984583153380424</v>
      </c>
      <c r="P139" s="147">
        <f t="shared" si="26"/>
        <v>0.16258215413246305</v>
      </c>
      <c r="Q139" s="147">
        <f t="shared" si="26"/>
        <v>0.13728358057939816</v>
      </c>
      <c r="R139" s="147">
        <f t="shared" si="26"/>
        <v>0.11333327100571072</v>
      </c>
      <c r="S139" s="147">
        <f t="shared" si="26"/>
        <v>9.0825875908489048E-2</v>
      </c>
      <c r="T139" s="147">
        <f t="shared" si="26"/>
        <v>6.9756318792982511E-2</v>
      </c>
      <c r="U139" s="147">
        <f t="shared" si="26"/>
        <v>5.0110274161018882E-2</v>
      </c>
      <c r="V139" s="147">
        <f t="shared" si="26"/>
        <v>0</v>
      </c>
      <c r="W139" s="147">
        <f t="shared" si="26"/>
        <v>0</v>
      </c>
      <c r="X139" s="147">
        <f t="shared" si="26"/>
        <v>0</v>
      </c>
      <c r="Y139" s="147">
        <f t="shared" si="26"/>
        <v>0</v>
      </c>
      <c r="Z139" s="147">
        <f t="shared" si="26"/>
        <v>0</v>
      </c>
      <c r="AA139" s="147">
        <f t="shared" si="26"/>
        <v>0</v>
      </c>
      <c r="AB139" s="147">
        <f t="shared" si="26"/>
        <v>0</v>
      </c>
      <c r="AC139" s="147">
        <f t="shared" si="26"/>
        <v>0</v>
      </c>
      <c r="AD139" s="147">
        <f t="shared" si="26"/>
        <v>0</v>
      </c>
      <c r="AE139" s="147">
        <f t="shared" si="26"/>
        <v>0</v>
      </c>
      <c r="AF139" s="147">
        <f t="shared" si="26"/>
        <v>0</v>
      </c>
      <c r="AG139" s="147">
        <f t="shared" si="26"/>
        <v>0</v>
      </c>
      <c r="AH139" s="147">
        <f t="shared" si="26"/>
        <v>0</v>
      </c>
      <c r="AI139" s="147">
        <f t="shared" si="26"/>
        <v>0</v>
      </c>
      <c r="AJ139" s="147">
        <f t="shared" si="26"/>
        <v>0</v>
      </c>
      <c r="AK139" s="147">
        <f t="shared" si="25"/>
        <v>0</v>
      </c>
      <c r="AL139" s="147">
        <f t="shared" si="25"/>
        <v>0</v>
      </c>
      <c r="AM139" s="147">
        <f t="shared" si="25"/>
        <v>0</v>
      </c>
      <c r="AN139" s="147">
        <f t="shared" si="25"/>
        <v>0</v>
      </c>
      <c r="AO139" s="147">
        <f t="shared" si="25"/>
        <v>0</v>
      </c>
      <c r="AP139" s="147">
        <f t="shared" si="25"/>
        <v>0</v>
      </c>
      <c r="AQ139" s="147">
        <f t="shared" si="25"/>
        <v>0</v>
      </c>
      <c r="AR139" s="147">
        <f t="shared" si="25"/>
        <v>0</v>
      </c>
      <c r="AS139" s="147">
        <f t="shared" si="25"/>
        <v>0</v>
      </c>
      <c r="AT139" s="147">
        <f t="shared" si="25"/>
        <v>0</v>
      </c>
      <c r="AU139" s="147">
        <f t="shared" si="25"/>
        <v>0</v>
      </c>
      <c r="AV139" s="147">
        <f t="shared" si="25"/>
        <v>0</v>
      </c>
      <c r="AW139" s="147">
        <f t="shared" si="25"/>
        <v>0</v>
      </c>
      <c r="AX139" s="147">
        <f t="shared" si="25"/>
        <v>0</v>
      </c>
      <c r="AY139" s="147">
        <f t="shared" si="25"/>
        <v>0</v>
      </c>
      <c r="AZ139" s="147">
        <f t="shared" si="25"/>
        <v>0</v>
      </c>
      <c r="BA139" s="147">
        <f t="shared" si="25"/>
        <v>0</v>
      </c>
      <c r="BB139" s="147">
        <f t="shared" si="25"/>
        <v>0</v>
      </c>
      <c r="BC139" s="147">
        <f t="shared" si="25"/>
        <v>0</v>
      </c>
      <c r="BD139" s="147">
        <f t="shared" si="25"/>
        <v>0</v>
      </c>
      <c r="BE139" s="147">
        <f t="shared" si="25"/>
        <v>0</v>
      </c>
      <c r="BF139" s="147">
        <f t="shared" si="25"/>
        <v>0</v>
      </c>
      <c r="BG139" s="147">
        <f t="shared" si="25"/>
        <v>0</v>
      </c>
      <c r="BH139" s="147">
        <f t="shared" si="25"/>
        <v>0</v>
      </c>
      <c r="BI139" s="147">
        <f t="shared" si="25"/>
        <v>0</v>
      </c>
      <c r="BJ139" s="147">
        <f t="shared" si="25"/>
        <v>0</v>
      </c>
      <c r="BK139" s="147">
        <f t="shared" si="25"/>
        <v>0</v>
      </c>
      <c r="BL139" s="147">
        <f t="shared" si="25"/>
        <v>0</v>
      </c>
    </row>
    <row r="140" spans="3:64" x14ac:dyDescent="0.15">
      <c r="C140" s="84" t="s">
        <v>373</v>
      </c>
      <c r="E140" s="147">
        <f t="shared" si="26"/>
        <v>0</v>
      </c>
      <c r="F140" s="147">
        <f t="shared" si="26"/>
        <v>0</v>
      </c>
      <c r="G140" s="147">
        <f t="shared" si="26"/>
        <v>0</v>
      </c>
      <c r="H140" s="147">
        <f t="shared" si="26"/>
        <v>0</v>
      </c>
      <c r="I140" s="147">
        <f t="shared" si="26"/>
        <v>0</v>
      </c>
      <c r="J140" s="147">
        <f t="shared" si="26"/>
        <v>0</v>
      </c>
      <c r="K140" s="147">
        <f t="shared" si="26"/>
        <v>0</v>
      </c>
      <c r="L140" s="147">
        <f t="shared" si="26"/>
        <v>0</v>
      </c>
      <c r="M140" s="147">
        <f t="shared" si="26"/>
        <v>0</v>
      </c>
      <c r="N140" s="147">
        <f t="shared" si="26"/>
        <v>0.29255119684809472</v>
      </c>
      <c r="O140" s="147">
        <f t="shared" si="26"/>
        <v>0.23827426364691962</v>
      </c>
      <c r="P140" s="147">
        <f t="shared" si="26"/>
        <v>0.1984583153380424</v>
      </c>
      <c r="Q140" s="147">
        <f t="shared" si="26"/>
        <v>0.16258215413246305</v>
      </c>
      <c r="R140" s="147">
        <f t="shared" si="26"/>
        <v>0.13728358057939816</v>
      </c>
      <c r="S140" s="147">
        <f t="shared" si="26"/>
        <v>0.11333327100571072</v>
      </c>
      <c r="T140" s="147">
        <f t="shared" si="26"/>
        <v>9.0825875908489048E-2</v>
      </c>
      <c r="U140" s="147">
        <f t="shared" si="26"/>
        <v>6.9756318792982511E-2</v>
      </c>
      <c r="V140" s="147">
        <f t="shared" si="26"/>
        <v>0</v>
      </c>
      <c r="W140" s="147">
        <f t="shared" si="26"/>
        <v>0</v>
      </c>
      <c r="X140" s="147">
        <f t="shared" si="26"/>
        <v>0</v>
      </c>
      <c r="Y140" s="147">
        <f t="shared" si="26"/>
        <v>0</v>
      </c>
      <c r="Z140" s="147">
        <f t="shared" si="26"/>
        <v>0</v>
      </c>
      <c r="AA140" s="147">
        <f t="shared" si="26"/>
        <v>0</v>
      </c>
      <c r="AB140" s="147">
        <f t="shared" si="26"/>
        <v>0</v>
      </c>
      <c r="AC140" s="147">
        <f t="shared" si="26"/>
        <v>0</v>
      </c>
      <c r="AD140" s="147">
        <f t="shared" si="26"/>
        <v>0</v>
      </c>
      <c r="AE140" s="147">
        <f t="shared" si="26"/>
        <v>0</v>
      </c>
      <c r="AF140" s="147">
        <f t="shared" si="26"/>
        <v>0</v>
      </c>
      <c r="AG140" s="147">
        <f t="shared" si="26"/>
        <v>0</v>
      </c>
      <c r="AH140" s="147">
        <f t="shared" si="26"/>
        <v>0</v>
      </c>
      <c r="AI140" s="147">
        <f t="shared" si="26"/>
        <v>0</v>
      </c>
      <c r="AJ140" s="147">
        <f t="shared" si="26"/>
        <v>0</v>
      </c>
      <c r="AK140" s="147">
        <f t="shared" si="25"/>
        <v>0</v>
      </c>
      <c r="AL140" s="147">
        <f t="shared" si="25"/>
        <v>0</v>
      </c>
      <c r="AM140" s="147">
        <f t="shared" si="25"/>
        <v>0</v>
      </c>
      <c r="AN140" s="147">
        <f t="shared" si="25"/>
        <v>0</v>
      </c>
      <c r="AO140" s="147">
        <f t="shared" si="25"/>
        <v>0</v>
      </c>
      <c r="AP140" s="147">
        <f t="shared" si="25"/>
        <v>0</v>
      </c>
      <c r="AQ140" s="147">
        <f t="shared" si="25"/>
        <v>0</v>
      </c>
      <c r="AR140" s="147">
        <f t="shared" si="25"/>
        <v>0</v>
      </c>
      <c r="AS140" s="147">
        <f t="shared" si="25"/>
        <v>0</v>
      </c>
      <c r="AT140" s="147">
        <f t="shared" si="25"/>
        <v>0</v>
      </c>
      <c r="AU140" s="147">
        <f t="shared" si="25"/>
        <v>0</v>
      </c>
      <c r="AV140" s="147">
        <f t="shared" si="25"/>
        <v>0</v>
      </c>
      <c r="AW140" s="147">
        <f t="shared" si="25"/>
        <v>0</v>
      </c>
      <c r="AX140" s="147">
        <f t="shared" si="25"/>
        <v>0</v>
      </c>
      <c r="AY140" s="147">
        <f t="shared" si="25"/>
        <v>0</v>
      </c>
      <c r="AZ140" s="147">
        <f t="shared" si="25"/>
        <v>0</v>
      </c>
      <c r="BA140" s="147">
        <f t="shared" si="25"/>
        <v>0</v>
      </c>
      <c r="BB140" s="147">
        <f t="shared" si="25"/>
        <v>0</v>
      </c>
      <c r="BC140" s="147">
        <f t="shared" si="25"/>
        <v>0</v>
      </c>
      <c r="BD140" s="147">
        <f t="shared" si="25"/>
        <v>0</v>
      </c>
      <c r="BE140" s="147">
        <f t="shared" si="25"/>
        <v>0</v>
      </c>
      <c r="BF140" s="147">
        <f t="shared" si="25"/>
        <v>0</v>
      </c>
      <c r="BG140" s="147">
        <f t="shared" si="25"/>
        <v>0</v>
      </c>
      <c r="BH140" s="147">
        <f t="shared" si="25"/>
        <v>0</v>
      </c>
      <c r="BI140" s="147">
        <f t="shared" si="25"/>
        <v>0</v>
      </c>
      <c r="BJ140" s="147">
        <f t="shared" si="25"/>
        <v>0</v>
      </c>
      <c r="BK140" s="147">
        <f t="shared" si="25"/>
        <v>0</v>
      </c>
      <c r="BL140" s="147">
        <f t="shared" si="25"/>
        <v>0</v>
      </c>
    </row>
    <row r="141" spans="3:64" x14ac:dyDescent="0.15">
      <c r="C141" s="84" t="s">
        <v>374</v>
      </c>
      <c r="E141" s="147">
        <f t="shared" si="26"/>
        <v>0</v>
      </c>
      <c r="F141" s="147">
        <f t="shared" si="26"/>
        <v>0</v>
      </c>
      <c r="G141" s="147">
        <f t="shared" si="26"/>
        <v>0</v>
      </c>
      <c r="H141" s="147">
        <f t="shared" si="26"/>
        <v>0</v>
      </c>
      <c r="I141" s="147">
        <f t="shared" si="26"/>
        <v>0</v>
      </c>
      <c r="J141" s="147">
        <f t="shared" si="26"/>
        <v>0</v>
      </c>
      <c r="K141" s="147">
        <f t="shared" si="26"/>
        <v>0</v>
      </c>
      <c r="L141" s="147">
        <f t="shared" si="26"/>
        <v>0</v>
      </c>
      <c r="M141" s="147">
        <f t="shared" si="26"/>
        <v>0</v>
      </c>
      <c r="N141" s="147">
        <f t="shared" si="26"/>
        <v>0</v>
      </c>
      <c r="O141" s="147">
        <f t="shared" si="26"/>
        <v>0.29255119684809472</v>
      </c>
      <c r="P141" s="147">
        <f t="shared" si="26"/>
        <v>0.23827426364691962</v>
      </c>
      <c r="Q141" s="147">
        <f t="shared" si="26"/>
        <v>0.1984583153380424</v>
      </c>
      <c r="R141" s="147">
        <f t="shared" si="26"/>
        <v>0.16258215413246305</v>
      </c>
      <c r="S141" s="147">
        <f t="shared" si="26"/>
        <v>0.13728358057939816</v>
      </c>
      <c r="T141" s="147">
        <f t="shared" si="26"/>
        <v>0.11333327100571072</v>
      </c>
      <c r="U141" s="147">
        <f t="shared" si="26"/>
        <v>9.0825875908489048E-2</v>
      </c>
      <c r="V141" s="147">
        <f t="shared" si="26"/>
        <v>0</v>
      </c>
      <c r="W141" s="147">
        <f t="shared" si="26"/>
        <v>0</v>
      </c>
      <c r="X141" s="147">
        <f t="shared" si="26"/>
        <v>0</v>
      </c>
      <c r="Y141" s="147">
        <f t="shared" si="26"/>
        <v>0</v>
      </c>
      <c r="Z141" s="147">
        <f t="shared" si="26"/>
        <v>0</v>
      </c>
      <c r="AA141" s="147">
        <f t="shared" si="26"/>
        <v>0</v>
      </c>
      <c r="AB141" s="147">
        <f t="shared" si="26"/>
        <v>0</v>
      </c>
      <c r="AC141" s="147">
        <f t="shared" si="26"/>
        <v>0</v>
      </c>
      <c r="AD141" s="147">
        <f t="shared" si="26"/>
        <v>0</v>
      </c>
      <c r="AE141" s="147">
        <f t="shared" si="26"/>
        <v>0</v>
      </c>
      <c r="AF141" s="147">
        <f t="shared" si="26"/>
        <v>0</v>
      </c>
      <c r="AG141" s="147">
        <f t="shared" si="26"/>
        <v>0</v>
      </c>
      <c r="AH141" s="147">
        <f t="shared" si="26"/>
        <v>0</v>
      </c>
      <c r="AI141" s="147">
        <f t="shared" si="26"/>
        <v>0</v>
      </c>
      <c r="AJ141" s="147">
        <f t="shared" si="26"/>
        <v>0</v>
      </c>
      <c r="AK141" s="147">
        <f t="shared" si="25"/>
        <v>0</v>
      </c>
      <c r="AL141" s="147">
        <f t="shared" si="25"/>
        <v>0</v>
      </c>
      <c r="AM141" s="147">
        <f t="shared" si="25"/>
        <v>0</v>
      </c>
      <c r="AN141" s="147">
        <f t="shared" si="25"/>
        <v>0</v>
      </c>
      <c r="AO141" s="147">
        <f t="shared" si="25"/>
        <v>0</v>
      </c>
      <c r="AP141" s="147">
        <f t="shared" si="25"/>
        <v>0</v>
      </c>
      <c r="AQ141" s="147">
        <f t="shared" si="25"/>
        <v>0</v>
      </c>
      <c r="AR141" s="147">
        <f t="shared" si="25"/>
        <v>0</v>
      </c>
      <c r="AS141" s="147">
        <f t="shared" si="25"/>
        <v>0</v>
      </c>
      <c r="AT141" s="147">
        <f t="shared" si="25"/>
        <v>0</v>
      </c>
      <c r="AU141" s="147">
        <f t="shared" si="25"/>
        <v>0</v>
      </c>
      <c r="AV141" s="147">
        <f t="shared" si="25"/>
        <v>0</v>
      </c>
      <c r="AW141" s="147">
        <f t="shared" si="25"/>
        <v>0</v>
      </c>
      <c r="AX141" s="147">
        <f t="shared" si="25"/>
        <v>0</v>
      </c>
      <c r="AY141" s="147">
        <f t="shared" si="25"/>
        <v>0</v>
      </c>
      <c r="AZ141" s="147">
        <f t="shared" si="25"/>
        <v>0</v>
      </c>
      <c r="BA141" s="147">
        <f t="shared" si="25"/>
        <v>0</v>
      </c>
      <c r="BB141" s="147">
        <f t="shared" si="25"/>
        <v>0</v>
      </c>
      <c r="BC141" s="147">
        <f t="shared" si="25"/>
        <v>0</v>
      </c>
      <c r="BD141" s="147">
        <f t="shared" si="25"/>
        <v>0</v>
      </c>
      <c r="BE141" s="147">
        <f t="shared" si="25"/>
        <v>0</v>
      </c>
      <c r="BF141" s="147">
        <f t="shared" si="25"/>
        <v>0</v>
      </c>
      <c r="BG141" s="147">
        <f t="shared" si="25"/>
        <v>0</v>
      </c>
      <c r="BH141" s="147">
        <f t="shared" si="25"/>
        <v>0</v>
      </c>
      <c r="BI141" s="147">
        <f t="shared" si="25"/>
        <v>0</v>
      </c>
      <c r="BJ141" s="147">
        <f t="shared" si="25"/>
        <v>0</v>
      </c>
      <c r="BK141" s="147">
        <f t="shared" si="25"/>
        <v>0</v>
      </c>
      <c r="BL141" s="147">
        <f t="shared" si="25"/>
        <v>0</v>
      </c>
    </row>
    <row r="142" spans="3:64" x14ac:dyDescent="0.15">
      <c r="C142" s="84" t="s">
        <v>375</v>
      </c>
      <c r="E142" s="147">
        <f t="shared" si="26"/>
        <v>0</v>
      </c>
      <c r="F142" s="147">
        <f t="shared" si="26"/>
        <v>0</v>
      </c>
      <c r="G142" s="147">
        <f t="shared" si="26"/>
        <v>0</v>
      </c>
      <c r="H142" s="147">
        <f t="shared" si="26"/>
        <v>0</v>
      </c>
      <c r="I142" s="147">
        <f t="shared" si="26"/>
        <v>0</v>
      </c>
      <c r="J142" s="147">
        <f t="shared" si="26"/>
        <v>0</v>
      </c>
      <c r="K142" s="147">
        <f t="shared" si="26"/>
        <v>0</v>
      </c>
      <c r="L142" s="147">
        <f t="shared" si="26"/>
        <v>0</v>
      </c>
      <c r="M142" s="147">
        <f t="shared" si="26"/>
        <v>0</v>
      </c>
      <c r="N142" s="147">
        <f t="shared" si="26"/>
        <v>0</v>
      </c>
      <c r="O142" s="147">
        <f t="shared" si="26"/>
        <v>0</v>
      </c>
      <c r="P142" s="147">
        <f t="shared" si="26"/>
        <v>0.29255119684809472</v>
      </c>
      <c r="Q142" s="147">
        <f t="shared" si="26"/>
        <v>0.23827426364691962</v>
      </c>
      <c r="R142" s="147">
        <f t="shared" si="26"/>
        <v>0.1984583153380424</v>
      </c>
      <c r="S142" s="147">
        <f t="shared" si="26"/>
        <v>0.16258215413246305</v>
      </c>
      <c r="T142" s="147">
        <f t="shared" si="26"/>
        <v>0.13728358057939816</v>
      </c>
      <c r="U142" s="147">
        <f t="shared" si="26"/>
        <v>0.11333327100571072</v>
      </c>
      <c r="V142" s="147">
        <f t="shared" si="26"/>
        <v>0</v>
      </c>
      <c r="W142" s="147">
        <f t="shared" si="26"/>
        <v>0</v>
      </c>
      <c r="X142" s="147">
        <f t="shared" si="26"/>
        <v>0</v>
      </c>
      <c r="Y142" s="147">
        <f t="shared" si="26"/>
        <v>0</v>
      </c>
      <c r="Z142" s="147">
        <f t="shared" si="26"/>
        <v>0</v>
      </c>
      <c r="AA142" s="147">
        <f t="shared" si="26"/>
        <v>0</v>
      </c>
      <c r="AB142" s="147">
        <f t="shared" si="26"/>
        <v>0</v>
      </c>
      <c r="AC142" s="147">
        <f t="shared" si="26"/>
        <v>0</v>
      </c>
      <c r="AD142" s="147">
        <f t="shared" si="26"/>
        <v>0</v>
      </c>
      <c r="AE142" s="147">
        <f t="shared" si="26"/>
        <v>0</v>
      </c>
      <c r="AF142" s="147">
        <f t="shared" si="26"/>
        <v>0</v>
      </c>
      <c r="AG142" s="147">
        <f t="shared" si="26"/>
        <v>0</v>
      </c>
      <c r="AH142" s="147">
        <f t="shared" si="26"/>
        <v>0</v>
      </c>
      <c r="AI142" s="147">
        <f t="shared" si="26"/>
        <v>0</v>
      </c>
      <c r="AJ142" s="147">
        <f t="shared" ref="AJ142:BO142" si="27">IF(AJ$5&gt;$D$7,0,AJ39*$E124)</f>
        <v>0</v>
      </c>
      <c r="AK142" s="147">
        <f t="shared" si="25"/>
        <v>0</v>
      </c>
      <c r="AL142" s="147">
        <f t="shared" si="25"/>
        <v>0</v>
      </c>
      <c r="AM142" s="147">
        <f t="shared" si="25"/>
        <v>0</v>
      </c>
      <c r="AN142" s="147">
        <f t="shared" si="25"/>
        <v>0</v>
      </c>
      <c r="AO142" s="147">
        <f t="shared" si="25"/>
        <v>0</v>
      </c>
      <c r="AP142" s="147">
        <f t="shared" si="25"/>
        <v>0</v>
      </c>
      <c r="AQ142" s="147">
        <f t="shared" si="25"/>
        <v>0</v>
      </c>
      <c r="AR142" s="147">
        <f t="shared" si="25"/>
        <v>0</v>
      </c>
      <c r="AS142" s="147">
        <f t="shared" si="25"/>
        <v>0</v>
      </c>
      <c r="AT142" s="147">
        <f t="shared" si="25"/>
        <v>0</v>
      </c>
      <c r="AU142" s="147">
        <f t="shared" si="25"/>
        <v>0</v>
      </c>
      <c r="AV142" s="147">
        <f t="shared" si="25"/>
        <v>0</v>
      </c>
      <c r="AW142" s="147">
        <f t="shared" si="25"/>
        <v>0</v>
      </c>
      <c r="AX142" s="147">
        <f t="shared" si="25"/>
        <v>0</v>
      </c>
      <c r="AY142" s="147">
        <f t="shared" ref="AY142:BZ142" si="28">IF(AY$5&gt;$D$7,0,AY39*$E124)</f>
        <v>0</v>
      </c>
      <c r="AZ142" s="147">
        <f t="shared" si="28"/>
        <v>0</v>
      </c>
      <c r="BA142" s="147">
        <f t="shared" si="28"/>
        <v>0</v>
      </c>
      <c r="BB142" s="147">
        <f t="shared" si="28"/>
        <v>0</v>
      </c>
      <c r="BC142" s="147">
        <f t="shared" si="28"/>
        <v>0</v>
      </c>
      <c r="BD142" s="147">
        <f t="shared" si="28"/>
        <v>0</v>
      </c>
      <c r="BE142" s="147">
        <f t="shared" si="28"/>
        <v>0</v>
      </c>
      <c r="BF142" s="147">
        <f t="shared" si="28"/>
        <v>0</v>
      </c>
      <c r="BG142" s="147">
        <f t="shared" si="28"/>
        <v>0</v>
      </c>
      <c r="BH142" s="147">
        <f t="shared" si="28"/>
        <v>0</v>
      </c>
      <c r="BI142" s="147">
        <f t="shared" si="28"/>
        <v>0</v>
      </c>
      <c r="BJ142" s="147">
        <f t="shared" si="28"/>
        <v>0</v>
      </c>
      <c r="BK142" s="147">
        <f t="shared" si="28"/>
        <v>0</v>
      </c>
      <c r="BL142" s="147">
        <f t="shared" si="28"/>
        <v>0</v>
      </c>
    </row>
    <row r="143" spans="3:64" x14ac:dyDescent="0.15">
      <c r="C143" s="84" t="s">
        <v>377</v>
      </c>
      <c r="E143" s="147">
        <f t="shared" ref="E143:BL144" si="29">IF(E$5&gt;$D$7,0,E40*$E125)</f>
        <v>0</v>
      </c>
      <c r="F143" s="147">
        <f t="shared" si="29"/>
        <v>0</v>
      </c>
      <c r="G143" s="147">
        <f t="shared" si="29"/>
        <v>0</v>
      </c>
      <c r="H143" s="147">
        <f t="shared" si="29"/>
        <v>0</v>
      </c>
      <c r="I143" s="147">
        <f t="shared" si="29"/>
        <v>0</v>
      </c>
      <c r="J143" s="147">
        <f t="shared" si="29"/>
        <v>0</v>
      </c>
      <c r="K143" s="147">
        <f t="shared" si="29"/>
        <v>0</v>
      </c>
      <c r="L143" s="147">
        <f t="shared" si="29"/>
        <v>0</v>
      </c>
      <c r="M143" s="147">
        <f t="shared" si="29"/>
        <v>0</v>
      </c>
      <c r="N143" s="147">
        <f t="shared" si="29"/>
        <v>0</v>
      </c>
      <c r="O143" s="147">
        <f t="shared" si="29"/>
        <v>0</v>
      </c>
      <c r="P143" s="147">
        <f t="shared" si="29"/>
        <v>0</v>
      </c>
      <c r="Q143" s="147">
        <f t="shared" si="29"/>
        <v>0.29255119684809472</v>
      </c>
      <c r="R143" s="147">
        <f t="shared" si="29"/>
        <v>0.23827426364691962</v>
      </c>
      <c r="S143" s="147">
        <f t="shared" si="29"/>
        <v>0.1984583153380424</v>
      </c>
      <c r="T143" s="147">
        <f t="shared" si="29"/>
        <v>0.16258215413246305</v>
      </c>
      <c r="U143" s="147">
        <f t="shared" si="29"/>
        <v>0.13728358057939816</v>
      </c>
      <c r="V143" s="147">
        <f t="shared" si="29"/>
        <v>0</v>
      </c>
      <c r="W143" s="147">
        <f t="shared" si="29"/>
        <v>0</v>
      </c>
      <c r="X143" s="147">
        <f t="shared" si="29"/>
        <v>0</v>
      </c>
      <c r="Y143" s="147">
        <f t="shared" si="29"/>
        <v>0</v>
      </c>
      <c r="Z143" s="147">
        <f t="shared" si="29"/>
        <v>0</v>
      </c>
      <c r="AA143" s="147">
        <f t="shared" si="29"/>
        <v>0</v>
      </c>
      <c r="AB143" s="147">
        <f t="shared" si="29"/>
        <v>0</v>
      </c>
      <c r="AC143" s="147">
        <f t="shared" si="29"/>
        <v>0</v>
      </c>
      <c r="AD143" s="147">
        <f t="shared" si="29"/>
        <v>0</v>
      </c>
      <c r="AE143" s="147">
        <f t="shared" si="29"/>
        <v>0</v>
      </c>
      <c r="AF143" s="147">
        <f t="shared" si="29"/>
        <v>0</v>
      </c>
      <c r="AG143" s="147">
        <f t="shared" si="29"/>
        <v>0</v>
      </c>
      <c r="AH143" s="147">
        <f t="shared" si="29"/>
        <v>0</v>
      </c>
      <c r="AI143" s="147">
        <f t="shared" si="29"/>
        <v>0</v>
      </c>
      <c r="AJ143" s="147">
        <f t="shared" si="29"/>
        <v>0</v>
      </c>
      <c r="AK143" s="147">
        <f t="shared" si="29"/>
        <v>0</v>
      </c>
      <c r="AL143" s="147">
        <f t="shared" si="29"/>
        <v>0</v>
      </c>
      <c r="AM143" s="147">
        <f t="shared" si="29"/>
        <v>0</v>
      </c>
      <c r="AN143" s="147">
        <f t="shared" si="29"/>
        <v>0</v>
      </c>
      <c r="AO143" s="147">
        <f t="shared" si="29"/>
        <v>0</v>
      </c>
      <c r="AP143" s="147">
        <f t="shared" si="29"/>
        <v>0</v>
      </c>
      <c r="AQ143" s="147">
        <f t="shared" si="29"/>
        <v>0</v>
      </c>
      <c r="AR143" s="147">
        <f t="shared" si="29"/>
        <v>0</v>
      </c>
      <c r="AS143" s="147">
        <f t="shared" si="29"/>
        <v>0</v>
      </c>
      <c r="AT143" s="147">
        <f t="shared" si="29"/>
        <v>0</v>
      </c>
      <c r="AU143" s="147">
        <f t="shared" si="29"/>
        <v>0</v>
      </c>
      <c r="AV143" s="147">
        <f t="shared" si="29"/>
        <v>0</v>
      </c>
      <c r="AW143" s="147">
        <f t="shared" si="29"/>
        <v>0</v>
      </c>
      <c r="AX143" s="147">
        <f t="shared" si="29"/>
        <v>0</v>
      </c>
      <c r="AY143" s="147">
        <f t="shared" si="29"/>
        <v>0</v>
      </c>
      <c r="AZ143" s="147">
        <f t="shared" si="29"/>
        <v>0</v>
      </c>
      <c r="BA143" s="147">
        <f t="shared" si="29"/>
        <v>0</v>
      </c>
      <c r="BB143" s="147">
        <f t="shared" si="29"/>
        <v>0</v>
      </c>
      <c r="BC143" s="147">
        <f t="shared" si="29"/>
        <v>0</v>
      </c>
      <c r="BD143" s="147">
        <f t="shared" si="29"/>
        <v>0</v>
      </c>
      <c r="BE143" s="147">
        <f t="shared" si="29"/>
        <v>0</v>
      </c>
      <c r="BF143" s="147">
        <f t="shared" si="29"/>
        <v>0</v>
      </c>
      <c r="BG143" s="147">
        <f t="shared" si="29"/>
        <v>0</v>
      </c>
      <c r="BH143" s="147">
        <f t="shared" si="29"/>
        <v>0</v>
      </c>
      <c r="BI143" s="147">
        <f t="shared" si="29"/>
        <v>0</v>
      </c>
      <c r="BJ143" s="147">
        <f t="shared" si="29"/>
        <v>0</v>
      </c>
      <c r="BK143" s="147">
        <f t="shared" si="29"/>
        <v>0</v>
      </c>
      <c r="BL143" s="147">
        <f t="shared" si="29"/>
        <v>0</v>
      </c>
    </row>
    <row r="144" spans="3:64" x14ac:dyDescent="0.15">
      <c r="C144" s="84" t="s">
        <v>379</v>
      </c>
      <c r="E144" s="147">
        <f t="shared" si="29"/>
        <v>0</v>
      </c>
      <c r="F144" s="147">
        <f t="shared" si="29"/>
        <v>0</v>
      </c>
      <c r="G144" s="147">
        <f t="shared" si="29"/>
        <v>0</v>
      </c>
      <c r="H144" s="147">
        <f t="shared" si="29"/>
        <v>0</v>
      </c>
      <c r="I144" s="147">
        <f t="shared" si="29"/>
        <v>0</v>
      </c>
      <c r="J144" s="147">
        <f t="shared" si="29"/>
        <v>0</v>
      </c>
      <c r="K144" s="147">
        <f t="shared" si="29"/>
        <v>0</v>
      </c>
      <c r="L144" s="147">
        <f t="shared" si="29"/>
        <v>0</v>
      </c>
      <c r="M144" s="147">
        <f t="shared" si="29"/>
        <v>0</v>
      </c>
      <c r="N144" s="147">
        <f t="shared" si="29"/>
        <v>0</v>
      </c>
      <c r="O144" s="147">
        <f t="shared" si="29"/>
        <v>0</v>
      </c>
      <c r="P144" s="147">
        <f t="shared" si="29"/>
        <v>0</v>
      </c>
      <c r="Q144" s="147">
        <f t="shared" si="29"/>
        <v>0</v>
      </c>
      <c r="R144" s="147">
        <f t="shared" si="29"/>
        <v>0.29852162943683136</v>
      </c>
      <c r="S144" s="147">
        <f t="shared" si="29"/>
        <v>0.54165863315817797</v>
      </c>
      <c r="T144" s="147">
        <f t="shared" si="29"/>
        <v>0.74416711819699677</v>
      </c>
      <c r="U144" s="147">
        <f t="shared" si="29"/>
        <v>0.91006727547502031</v>
      </c>
      <c r="V144" s="147">
        <f t="shared" si="29"/>
        <v>0</v>
      </c>
      <c r="W144" s="147">
        <f t="shared" si="29"/>
        <v>0</v>
      </c>
      <c r="X144" s="147">
        <f t="shared" si="29"/>
        <v>0</v>
      </c>
      <c r="Y144" s="147">
        <f>IF(Y$5&gt;$D$7,0,Y41*$E126)</f>
        <v>0</v>
      </c>
      <c r="Z144" s="147">
        <f t="shared" si="29"/>
        <v>0</v>
      </c>
      <c r="AA144" s="147">
        <f t="shared" si="29"/>
        <v>0</v>
      </c>
      <c r="AB144" s="147">
        <f t="shared" si="29"/>
        <v>0</v>
      </c>
      <c r="AC144" s="147">
        <f t="shared" si="29"/>
        <v>0</v>
      </c>
      <c r="AD144" s="147">
        <f t="shared" si="29"/>
        <v>0</v>
      </c>
      <c r="AE144" s="147">
        <f t="shared" si="29"/>
        <v>0</v>
      </c>
      <c r="AF144" s="147">
        <f t="shared" si="29"/>
        <v>0</v>
      </c>
      <c r="AG144" s="147">
        <f t="shared" si="29"/>
        <v>0</v>
      </c>
      <c r="AH144" s="147">
        <f t="shared" si="29"/>
        <v>0</v>
      </c>
      <c r="AI144" s="147">
        <f t="shared" si="29"/>
        <v>0</v>
      </c>
      <c r="AJ144" s="147">
        <f t="shared" si="29"/>
        <v>0</v>
      </c>
      <c r="AK144" s="147">
        <f t="shared" si="29"/>
        <v>0</v>
      </c>
      <c r="AL144" s="147">
        <f t="shared" si="29"/>
        <v>0</v>
      </c>
      <c r="AM144" s="147">
        <f t="shared" si="29"/>
        <v>0</v>
      </c>
      <c r="AN144" s="147">
        <f t="shared" si="29"/>
        <v>0</v>
      </c>
      <c r="AO144" s="147">
        <f t="shared" si="29"/>
        <v>0</v>
      </c>
      <c r="AP144" s="147">
        <f t="shared" si="29"/>
        <v>0</v>
      </c>
      <c r="AQ144" s="147">
        <f t="shared" si="29"/>
        <v>0</v>
      </c>
      <c r="AR144" s="147">
        <f t="shared" si="29"/>
        <v>0</v>
      </c>
      <c r="AS144" s="147">
        <f t="shared" si="29"/>
        <v>0</v>
      </c>
      <c r="AT144" s="147">
        <f t="shared" si="29"/>
        <v>0</v>
      </c>
      <c r="AU144" s="147">
        <f t="shared" si="29"/>
        <v>0</v>
      </c>
      <c r="AV144" s="147">
        <f t="shared" si="29"/>
        <v>0</v>
      </c>
      <c r="AW144" s="147">
        <f t="shared" si="29"/>
        <v>0</v>
      </c>
      <c r="AX144" s="147">
        <f t="shared" si="29"/>
        <v>0</v>
      </c>
      <c r="AY144" s="147">
        <f t="shared" si="29"/>
        <v>0</v>
      </c>
      <c r="AZ144" s="147">
        <f t="shared" si="29"/>
        <v>0</v>
      </c>
      <c r="BA144" s="147">
        <f t="shared" si="29"/>
        <v>0</v>
      </c>
      <c r="BB144" s="147">
        <f t="shared" si="29"/>
        <v>0</v>
      </c>
      <c r="BC144" s="147">
        <f t="shared" si="29"/>
        <v>0</v>
      </c>
      <c r="BD144" s="147">
        <f t="shared" si="29"/>
        <v>0</v>
      </c>
      <c r="BE144" s="147">
        <f t="shared" si="29"/>
        <v>0</v>
      </c>
      <c r="BF144" s="147">
        <f t="shared" si="29"/>
        <v>0</v>
      </c>
      <c r="BG144" s="147">
        <f t="shared" si="29"/>
        <v>0</v>
      </c>
      <c r="BH144" s="147">
        <f t="shared" si="29"/>
        <v>0</v>
      </c>
      <c r="BI144" s="147">
        <f t="shared" si="29"/>
        <v>0</v>
      </c>
      <c r="BJ144" s="147">
        <f t="shared" si="29"/>
        <v>0</v>
      </c>
      <c r="BK144" s="147">
        <f t="shared" si="29"/>
        <v>0</v>
      </c>
      <c r="BL144" s="147">
        <f t="shared" si="29"/>
        <v>0</v>
      </c>
    </row>
    <row r="145" spans="2:64" x14ac:dyDescent="0.15">
      <c r="C145" s="84" t="s">
        <v>405</v>
      </c>
      <c r="E145" s="140">
        <f>IF(E$5&gt;$D$7,0,SUM(E130:E144))</f>
        <v>0.52020895128511402</v>
      </c>
      <c r="F145" s="140">
        <f t="shared" ref="F145:BL145" si="30">IF(F$5&gt;$D$7,0,SUM(F130:F144))</f>
        <v>0.71469810031639558</v>
      </c>
      <c r="G145" s="140">
        <f t="shared" si="30"/>
        <v>0.87402861136620946</v>
      </c>
      <c r="H145" s="140">
        <f t="shared" si="30"/>
        <v>1.0085665203340197</v>
      </c>
      <c r="I145" s="140">
        <f t="shared" si="30"/>
        <v>1.1196331259196162</v>
      </c>
      <c r="J145" s="140">
        <f t="shared" si="30"/>
        <v>1.2086424843099355</v>
      </c>
      <c r="K145" s="140">
        <f t="shared" si="30"/>
        <v>1.2770036767270583</v>
      </c>
      <c r="L145" s="140">
        <f t="shared" si="30"/>
        <v>1.3319627693418188</v>
      </c>
      <c r="M145" s="140">
        <f t="shared" si="30"/>
        <v>1.367971950079045</v>
      </c>
      <c r="N145" s="140">
        <f t="shared" si="30"/>
        <v>1.3867200103538524</v>
      </c>
      <c r="O145" s="140">
        <f t="shared" si="30"/>
        <v>1.3899716534365016</v>
      </c>
      <c r="P145" s="140">
        <f t="shared" si="30"/>
        <v>1.3927173250480895</v>
      </c>
      <c r="Q145" s="140">
        <f t="shared" si="30"/>
        <v>1.3949839904682038</v>
      </c>
      <c r="R145" s="140">
        <f t="shared" si="30"/>
        <v>1.4027709405751103</v>
      </c>
      <c r="S145" s="140">
        <f t="shared" si="30"/>
        <v>1.4090288070253969</v>
      </c>
      <c r="T145" s="140">
        <f t="shared" si="30"/>
        <v>1.4140811822093937</v>
      </c>
      <c r="U145" s="140">
        <f t="shared" si="30"/>
        <v>1.4180368117930009</v>
      </c>
      <c r="V145" s="140">
        <f t="shared" si="30"/>
        <v>0</v>
      </c>
      <c r="W145" s="140">
        <f t="shared" si="30"/>
        <v>0</v>
      </c>
      <c r="X145" s="140">
        <f t="shared" si="30"/>
        <v>0</v>
      </c>
      <c r="Y145" s="140">
        <f t="shared" si="30"/>
        <v>0</v>
      </c>
      <c r="Z145" s="140">
        <f t="shared" si="30"/>
        <v>0</v>
      </c>
      <c r="AA145" s="140">
        <f t="shared" si="30"/>
        <v>0</v>
      </c>
      <c r="AB145" s="140">
        <f t="shared" si="30"/>
        <v>0</v>
      </c>
      <c r="AC145" s="140">
        <f t="shared" si="30"/>
        <v>0</v>
      </c>
      <c r="AD145" s="140">
        <f t="shared" si="30"/>
        <v>0</v>
      </c>
      <c r="AE145" s="140">
        <f t="shared" si="30"/>
        <v>0</v>
      </c>
      <c r="AF145" s="140">
        <f t="shared" si="30"/>
        <v>0</v>
      </c>
      <c r="AG145" s="140">
        <f t="shared" si="30"/>
        <v>0</v>
      </c>
      <c r="AH145" s="140">
        <f t="shared" si="30"/>
        <v>0</v>
      </c>
      <c r="AI145" s="140">
        <f t="shared" si="30"/>
        <v>0</v>
      </c>
      <c r="AJ145" s="140">
        <f t="shared" si="30"/>
        <v>0</v>
      </c>
      <c r="AK145" s="140">
        <f t="shared" si="30"/>
        <v>0</v>
      </c>
      <c r="AL145" s="140">
        <f t="shared" si="30"/>
        <v>0</v>
      </c>
      <c r="AM145" s="140">
        <f t="shared" si="30"/>
        <v>0</v>
      </c>
      <c r="AN145" s="140">
        <f t="shared" si="30"/>
        <v>0</v>
      </c>
      <c r="AO145" s="140">
        <f t="shared" si="30"/>
        <v>0</v>
      </c>
      <c r="AP145" s="140">
        <f t="shared" si="30"/>
        <v>0</v>
      </c>
      <c r="AQ145" s="140">
        <f t="shared" si="30"/>
        <v>0</v>
      </c>
      <c r="AR145" s="140">
        <f t="shared" si="30"/>
        <v>0</v>
      </c>
      <c r="AS145" s="140">
        <f t="shared" si="30"/>
        <v>0</v>
      </c>
      <c r="AT145" s="140">
        <f t="shared" si="30"/>
        <v>0</v>
      </c>
      <c r="AU145" s="140">
        <f t="shared" si="30"/>
        <v>0</v>
      </c>
      <c r="AV145" s="140">
        <f t="shared" si="30"/>
        <v>0</v>
      </c>
      <c r="AW145" s="140">
        <f t="shared" si="30"/>
        <v>0</v>
      </c>
      <c r="AX145" s="140">
        <f t="shared" si="30"/>
        <v>0</v>
      </c>
      <c r="AY145" s="140">
        <f t="shared" si="30"/>
        <v>0</v>
      </c>
      <c r="AZ145" s="140">
        <f t="shared" si="30"/>
        <v>0</v>
      </c>
      <c r="BA145" s="140">
        <f t="shared" si="30"/>
        <v>0</v>
      </c>
      <c r="BB145" s="140">
        <f t="shared" si="30"/>
        <v>0</v>
      </c>
      <c r="BC145" s="140">
        <f t="shared" si="30"/>
        <v>0</v>
      </c>
      <c r="BD145" s="140">
        <f t="shared" si="30"/>
        <v>0</v>
      </c>
      <c r="BE145" s="140">
        <f t="shared" si="30"/>
        <v>0</v>
      </c>
      <c r="BF145" s="140">
        <f t="shared" si="30"/>
        <v>0</v>
      </c>
      <c r="BG145" s="140">
        <f t="shared" si="30"/>
        <v>0</v>
      </c>
      <c r="BH145" s="140">
        <f t="shared" si="30"/>
        <v>0</v>
      </c>
      <c r="BI145" s="140">
        <f t="shared" si="30"/>
        <v>0</v>
      </c>
      <c r="BJ145" s="140">
        <f t="shared" si="30"/>
        <v>0</v>
      </c>
      <c r="BK145" s="140">
        <f t="shared" si="30"/>
        <v>0</v>
      </c>
      <c r="BL145" s="140">
        <f t="shared" si="30"/>
        <v>0</v>
      </c>
    </row>
    <row r="146" spans="2:64" s="155" customFormat="1" x14ac:dyDescent="0.15">
      <c r="C146" s="155" t="s">
        <v>404</v>
      </c>
      <c r="E146" s="297">
        <f t="shared" ref="E146:BL146" si="31">-IF(E5&gt;$D$7,0,E145-D145)</f>
        <v>-0.52020895128511402</v>
      </c>
      <c r="F146" s="297">
        <f t="shared" si="31"/>
        <v>-0.19448914903128156</v>
      </c>
      <c r="G146" s="297">
        <f t="shared" si="31"/>
        <v>-0.15933051104981388</v>
      </c>
      <c r="H146" s="297">
        <f t="shared" si="31"/>
        <v>-0.13453790896781026</v>
      </c>
      <c r="I146" s="297">
        <f t="shared" si="31"/>
        <v>-0.11106660558559645</v>
      </c>
      <c r="J146" s="297">
        <f t="shared" si="31"/>
        <v>-8.9009358390319315E-2</v>
      </c>
      <c r="K146" s="297">
        <f t="shared" si="31"/>
        <v>-6.8361192417122796E-2</v>
      </c>
      <c r="L146" s="297">
        <f t="shared" si="31"/>
        <v>-5.4959092614760507E-2</v>
      </c>
      <c r="M146" s="297">
        <f t="shared" si="31"/>
        <v>-3.6009180737226254E-2</v>
      </c>
      <c r="N146" s="297">
        <f t="shared" si="31"/>
        <v>-1.8748060274807354E-2</v>
      </c>
      <c r="O146" s="297">
        <f t="shared" si="31"/>
        <v>-3.2516430826492471E-3</v>
      </c>
      <c r="P146" s="297">
        <f t="shared" si="31"/>
        <v>-2.7456716115878965E-3</v>
      </c>
      <c r="Q146" s="297">
        <f t="shared" si="31"/>
        <v>-2.2666654201142222E-3</v>
      </c>
      <c r="R146" s="297">
        <f t="shared" si="31"/>
        <v>-7.7869501069065539E-3</v>
      </c>
      <c r="S146" s="297">
        <f t="shared" si="31"/>
        <v>-6.2578664502865866E-3</v>
      </c>
      <c r="T146" s="297">
        <f t="shared" si="31"/>
        <v>-5.0523751839968156E-3</v>
      </c>
      <c r="U146" s="297">
        <f t="shared" si="31"/>
        <v>-3.9556295836071786E-3</v>
      </c>
      <c r="V146" s="297">
        <f t="shared" si="31"/>
        <v>0</v>
      </c>
      <c r="W146" s="297">
        <f t="shared" si="31"/>
        <v>0</v>
      </c>
      <c r="X146" s="297">
        <f t="shared" si="31"/>
        <v>0</v>
      </c>
      <c r="Y146" s="297">
        <f t="shared" si="31"/>
        <v>0</v>
      </c>
      <c r="Z146" s="297">
        <f t="shared" si="31"/>
        <v>0</v>
      </c>
      <c r="AA146" s="297">
        <f t="shared" si="31"/>
        <v>0</v>
      </c>
      <c r="AB146" s="297">
        <f t="shared" si="31"/>
        <v>0</v>
      </c>
      <c r="AC146" s="297">
        <f t="shared" si="31"/>
        <v>0</v>
      </c>
      <c r="AD146" s="297">
        <f t="shared" si="31"/>
        <v>0</v>
      </c>
      <c r="AE146" s="297">
        <f t="shared" si="31"/>
        <v>0</v>
      </c>
      <c r="AF146" s="297">
        <f t="shared" si="31"/>
        <v>0</v>
      </c>
      <c r="AG146" s="297">
        <f t="shared" si="31"/>
        <v>0</v>
      </c>
      <c r="AH146" s="297">
        <f t="shared" si="31"/>
        <v>0</v>
      </c>
      <c r="AI146" s="297">
        <f t="shared" si="31"/>
        <v>0</v>
      </c>
      <c r="AJ146" s="297">
        <f t="shared" si="31"/>
        <v>0</v>
      </c>
      <c r="AK146" s="297">
        <f t="shared" si="31"/>
        <v>0</v>
      </c>
      <c r="AL146" s="297">
        <f t="shared" si="31"/>
        <v>0</v>
      </c>
      <c r="AM146" s="297">
        <f t="shared" si="31"/>
        <v>0</v>
      </c>
      <c r="AN146" s="297">
        <f t="shared" si="31"/>
        <v>0</v>
      </c>
      <c r="AO146" s="297">
        <f t="shared" si="31"/>
        <v>0</v>
      </c>
      <c r="AP146" s="297">
        <f t="shared" si="31"/>
        <v>0</v>
      </c>
      <c r="AQ146" s="297">
        <f t="shared" si="31"/>
        <v>0</v>
      </c>
      <c r="AR146" s="297">
        <f t="shared" si="31"/>
        <v>0</v>
      </c>
      <c r="AS146" s="297">
        <f t="shared" si="31"/>
        <v>0</v>
      </c>
      <c r="AT146" s="297">
        <f t="shared" si="31"/>
        <v>0</v>
      </c>
      <c r="AU146" s="297">
        <f t="shared" si="31"/>
        <v>0</v>
      </c>
      <c r="AV146" s="297">
        <f t="shared" si="31"/>
        <v>0</v>
      </c>
      <c r="AW146" s="297">
        <f t="shared" si="31"/>
        <v>0</v>
      </c>
      <c r="AX146" s="297">
        <f t="shared" si="31"/>
        <v>0</v>
      </c>
      <c r="AY146" s="297">
        <f t="shared" si="31"/>
        <v>0</v>
      </c>
      <c r="AZ146" s="297">
        <f t="shared" si="31"/>
        <v>0</v>
      </c>
      <c r="BA146" s="297">
        <f t="shared" si="31"/>
        <v>0</v>
      </c>
      <c r="BB146" s="297">
        <f t="shared" si="31"/>
        <v>0</v>
      </c>
      <c r="BC146" s="297">
        <f t="shared" si="31"/>
        <v>0</v>
      </c>
      <c r="BD146" s="297">
        <f t="shared" si="31"/>
        <v>0</v>
      </c>
      <c r="BE146" s="297">
        <f t="shared" si="31"/>
        <v>0</v>
      </c>
      <c r="BF146" s="297">
        <f t="shared" si="31"/>
        <v>0</v>
      </c>
      <c r="BG146" s="297">
        <f t="shared" si="31"/>
        <v>0</v>
      </c>
      <c r="BH146" s="297">
        <f t="shared" si="31"/>
        <v>0</v>
      </c>
      <c r="BI146" s="297">
        <f t="shared" si="31"/>
        <v>0</v>
      </c>
      <c r="BJ146" s="297">
        <f t="shared" si="31"/>
        <v>0</v>
      </c>
      <c r="BK146" s="297">
        <f t="shared" si="31"/>
        <v>0</v>
      </c>
      <c r="BL146" s="297">
        <f t="shared" si="31"/>
        <v>0</v>
      </c>
    </row>
    <row r="148" spans="2:64" x14ac:dyDescent="0.15">
      <c r="B148" s="155" t="s">
        <v>406</v>
      </c>
      <c r="Y148" s="84" t="s">
        <v>407</v>
      </c>
    </row>
    <row r="149" spans="2:64" s="155" customFormat="1" x14ac:dyDescent="0.15">
      <c r="C149" s="155" t="s">
        <v>404</v>
      </c>
    </row>
    <row r="150" spans="2:64" s="155" customFormat="1" x14ac:dyDescent="0.15">
      <c r="C150" s="84" t="s">
        <v>362</v>
      </c>
      <c r="E150" s="147">
        <f t="shared" ref="E150:BL154" si="32">IF(E$5&gt;$D$7,0,E27*$F112)</f>
        <v>7.9926564712545597E-2</v>
      </c>
      <c r="F150" s="147">
        <f t="shared" si="32"/>
        <v>6.6570728793075393E-2</v>
      </c>
      <c r="G150" s="147">
        <f t="shared" si="32"/>
        <v>5.4536452508480417E-2</v>
      </c>
      <c r="H150" s="147">
        <f t="shared" si="32"/>
        <v>4.6050315376941847E-2</v>
      </c>
      <c r="I150" s="147">
        <f t="shared" si="32"/>
        <v>3.8016439041630046E-2</v>
      </c>
      <c r="J150" s="147">
        <f t="shared" si="32"/>
        <v>3.046657300400113E-2</v>
      </c>
      <c r="K150" s="147">
        <f t="shared" si="32"/>
        <v>2.3399014407942988E-2</v>
      </c>
      <c r="L150" s="147">
        <f t="shared" si="32"/>
        <v>1.6808957917624674E-2</v>
      </c>
      <c r="M150" s="147">
        <f t="shared" si="32"/>
        <v>1.0694249975416526E-2</v>
      </c>
      <c r="N150" s="147">
        <f t="shared" si="32"/>
        <v>5.0585945134152396E-3</v>
      </c>
      <c r="O150" s="147">
        <f t="shared" si="32"/>
        <v>0</v>
      </c>
      <c r="P150" s="147">
        <f t="shared" si="32"/>
        <v>0</v>
      </c>
      <c r="Q150" s="147">
        <f t="shared" si="32"/>
        <v>0</v>
      </c>
      <c r="R150" s="147">
        <f t="shared" si="32"/>
        <v>0</v>
      </c>
      <c r="S150" s="147">
        <f t="shared" si="32"/>
        <v>0</v>
      </c>
      <c r="T150" s="147">
        <f t="shared" si="32"/>
        <v>0</v>
      </c>
      <c r="U150" s="147">
        <f t="shared" si="32"/>
        <v>0</v>
      </c>
      <c r="V150" s="147">
        <f t="shared" si="32"/>
        <v>0</v>
      </c>
      <c r="W150" s="147">
        <f t="shared" si="32"/>
        <v>0</v>
      </c>
      <c r="X150" s="147">
        <f t="shared" si="32"/>
        <v>0</v>
      </c>
      <c r="Y150" s="147">
        <f t="shared" si="32"/>
        <v>0</v>
      </c>
      <c r="Z150" s="147">
        <f t="shared" si="32"/>
        <v>0</v>
      </c>
      <c r="AA150" s="147">
        <f t="shared" si="32"/>
        <v>0</v>
      </c>
      <c r="AB150" s="147">
        <f t="shared" si="32"/>
        <v>0</v>
      </c>
      <c r="AC150" s="147">
        <f t="shared" si="32"/>
        <v>0</v>
      </c>
      <c r="AD150" s="147">
        <f t="shared" si="32"/>
        <v>0</v>
      </c>
      <c r="AE150" s="147">
        <f t="shared" si="32"/>
        <v>0</v>
      </c>
      <c r="AF150" s="147">
        <f t="shared" si="32"/>
        <v>0</v>
      </c>
      <c r="AG150" s="147">
        <f t="shared" si="32"/>
        <v>0</v>
      </c>
      <c r="AH150" s="147">
        <f t="shared" si="32"/>
        <v>0</v>
      </c>
      <c r="AI150" s="147">
        <f t="shared" si="32"/>
        <v>0</v>
      </c>
      <c r="AJ150" s="147">
        <f t="shared" si="32"/>
        <v>0</v>
      </c>
      <c r="AK150" s="147">
        <f t="shared" si="32"/>
        <v>0</v>
      </c>
      <c r="AL150" s="147">
        <f t="shared" si="32"/>
        <v>0</v>
      </c>
      <c r="AM150" s="147">
        <f t="shared" si="32"/>
        <v>0</v>
      </c>
      <c r="AN150" s="147">
        <f t="shared" si="32"/>
        <v>0</v>
      </c>
      <c r="AO150" s="147">
        <f t="shared" si="32"/>
        <v>0</v>
      </c>
      <c r="AP150" s="147">
        <f t="shared" si="32"/>
        <v>0</v>
      </c>
      <c r="AQ150" s="147">
        <f t="shared" si="32"/>
        <v>0</v>
      </c>
      <c r="AR150" s="147">
        <f t="shared" si="32"/>
        <v>0</v>
      </c>
      <c r="AS150" s="147">
        <f t="shared" si="32"/>
        <v>0</v>
      </c>
      <c r="AT150" s="147">
        <f t="shared" si="32"/>
        <v>0</v>
      </c>
      <c r="AU150" s="147">
        <f t="shared" si="32"/>
        <v>0</v>
      </c>
      <c r="AV150" s="147">
        <f t="shared" si="32"/>
        <v>0</v>
      </c>
      <c r="AW150" s="147">
        <f t="shared" si="32"/>
        <v>0</v>
      </c>
      <c r="AX150" s="147">
        <f t="shared" si="32"/>
        <v>0</v>
      </c>
      <c r="AY150" s="147">
        <f t="shared" si="32"/>
        <v>0</v>
      </c>
      <c r="AZ150" s="147">
        <f t="shared" si="32"/>
        <v>0</v>
      </c>
      <c r="BA150" s="147">
        <f t="shared" si="32"/>
        <v>0</v>
      </c>
      <c r="BB150" s="147">
        <f t="shared" si="32"/>
        <v>0</v>
      </c>
      <c r="BC150" s="147">
        <f t="shared" si="32"/>
        <v>0</v>
      </c>
      <c r="BD150" s="147">
        <f t="shared" si="32"/>
        <v>0</v>
      </c>
      <c r="BE150" s="147">
        <f t="shared" si="32"/>
        <v>0</v>
      </c>
      <c r="BF150" s="147">
        <f t="shared" si="32"/>
        <v>0</v>
      </c>
      <c r="BG150" s="147">
        <f t="shared" si="32"/>
        <v>0</v>
      </c>
      <c r="BH150" s="147">
        <f t="shared" si="32"/>
        <v>0</v>
      </c>
      <c r="BI150" s="147">
        <f t="shared" si="32"/>
        <v>0</v>
      </c>
      <c r="BJ150" s="147">
        <f t="shared" si="32"/>
        <v>0</v>
      </c>
      <c r="BK150" s="147">
        <f t="shared" si="32"/>
        <v>0</v>
      </c>
      <c r="BL150" s="147">
        <f t="shared" si="32"/>
        <v>0</v>
      </c>
    </row>
    <row r="151" spans="2:64" s="155" customFormat="1" x14ac:dyDescent="0.15">
      <c r="C151" s="84" t="s">
        <v>364</v>
      </c>
      <c r="E151" s="147">
        <f t="shared" si="32"/>
        <v>2.6332404384239276E-2</v>
      </c>
      <c r="F151" s="147">
        <f t="shared" si="32"/>
        <v>2.1446961531199737E-2</v>
      </c>
      <c r="G151" s="147">
        <f t="shared" si="32"/>
        <v>1.7863145559475234E-2</v>
      </c>
      <c r="H151" s="147">
        <f t="shared" si="32"/>
        <v>1.463394808977558E-2</v>
      </c>
      <c r="I151" s="147">
        <f t="shared" si="32"/>
        <v>1.2356834626146063E-2</v>
      </c>
      <c r="J151" s="147">
        <f t="shared" si="32"/>
        <v>1.0201077809504066E-2</v>
      </c>
      <c r="K151" s="147">
        <f t="shared" si="32"/>
        <v>8.17519708940697E-3</v>
      </c>
      <c r="L151" s="147">
        <f t="shared" si="32"/>
        <v>6.2787355327980363E-3</v>
      </c>
      <c r="M151" s="147">
        <f t="shared" si="32"/>
        <v>4.5104037078959542E-3</v>
      </c>
      <c r="N151" s="147">
        <f t="shared" si="32"/>
        <v>2.8696237434034356E-3</v>
      </c>
      <c r="O151" s="147">
        <f t="shared" si="32"/>
        <v>1.3573895277664231E-3</v>
      </c>
      <c r="P151" s="147">
        <f t="shared" si="32"/>
        <v>0</v>
      </c>
      <c r="Q151" s="147">
        <f t="shared" si="32"/>
        <v>0</v>
      </c>
      <c r="R151" s="147">
        <f t="shared" si="32"/>
        <v>0</v>
      </c>
      <c r="S151" s="147">
        <f t="shared" si="32"/>
        <v>0</v>
      </c>
      <c r="T151" s="147">
        <f t="shared" si="32"/>
        <v>0</v>
      </c>
      <c r="U151" s="147">
        <f t="shared" si="32"/>
        <v>0</v>
      </c>
      <c r="V151" s="147">
        <f t="shared" si="32"/>
        <v>0</v>
      </c>
      <c r="W151" s="147">
        <f t="shared" si="32"/>
        <v>0</v>
      </c>
      <c r="X151" s="147">
        <f t="shared" si="32"/>
        <v>0</v>
      </c>
      <c r="Y151" s="147">
        <f t="shared" si="32"/>
        <v>0</v>
      </c>
      <c r="Z151" s="147">
        <f t="shared" si="32"/>
        <v>0</v>
      </c>
      <c r="AA151" s="147">
        <f t="shared" si="32"/>
        <v>0</v>
      </c>
      <c r="AB151" s="147">
        <f t="shared" si="32"/>
        <v>0</v>
      </c>
      <c r="AC151" s="147">
        <f t="shared" si="32"/>
        <v>0</v>
      </c>
      <c r="AD151" s="147">
        <f t="shared" si="32"/>
        <v>0</v>
      </c>
      <c r="AE151" s="147">
        <f t="shared" si="32"/>
        <v>0</v>
      </c>
      <c r="AF151" s="147">
        <f t="shared" si="32"/>
        <v>0</v>
      </c>
      <c r="AG151" s="147">
        <f t="shared" si="32"/>
        <v>0</v>
      </c>
      <c r="AH151" s="147">
        <f t="shared" si="32"/>
        <v>0</v>
      </c>
      <c r="AI151" s="147">
        <f t="shared" si="32"/>
        <v>0</v>
      </c>
      <c r="AJ151" s="147">
        <f t="shared" si="32"/>
        <v>0</v>
      </c>
      <c r="AK151" s="147">
        <f t="shared" si="32"/>
        <v>0</v>
      </c>
      <c r="AL151" s="147">
        <f t="shared" si="32"/>
        <v>0</v>
      </c>
      <c r="AM151" s="147">
        <f t="shared" si="32"/>
        <v>0</v>
      </c>
      <c r="AN151" s="147">
        <f t="shared" si="32"/>
        <v>0</v>
      </c>
      <c r="AO151" s="147">
        <f t="shared" si="32"/>
        <v>0</v>
      </c>
      <c r="AP151" s="147">
        <f t="shared" si="32"/>
        <v>0</v>
      </c>
      <c r="AQ151" s="147">
        <f t="shared" si="32"/>
        <v>0</v>
      </c>
      <c r="AR151" s="147">
        <f t="shared" si="32"/>
        <v>0</v>
      </c>
      <c r="AS151" s="147">
        <f t="shared" si="32"/>
        <v>0</v>
      </c>
      <c r="AT151" s="147">
        <f t="shared" si="32"/>
        <v>0</v>
      </c>
      <c r="AU151" s="147">
        <f t="shared" si="32"/>
        <v>0</v>
      </c>
      <c r="AV151" s="147">
        <f t="shared" si="32"/>
        <v>0</v>
      </c>
      <c r="AW151" s="147">
        <f t="shared" si="32"/>
        <v>0</v>
      </c>
      <c r="AX151" s="147">
        <f t="shared" si="32"/>
        <v>0</v>
      </c>
      <c r="AY151" s="147">
        <f t="shared" si="32"/>
        <v>0</v>
      </c>
      <c r="AZ151" s="147">
        <f t="shared" si="32"/>
        <v>0</v>
      </c>
      <c r="BA151" s="147">
        <f t="shared" si="32"/>
        <v>0</v>
      </c>
      <c r="BB151" s="147">
        <f t="shared" si="32"/>
        <v>0</v>
      </c>
      <c r="BC151" s="147">
        <f t="shared" si="32"/>
        <v>0</v>
      </c>
      <c r="BD151" s="147">
        <f t="shared" si="32"/>
        <v>0</v>
      </c>
      <c r="BE151" s="147">
        <f t="shared" si="32"/>
        <v>0</v>
      </c>
      <c r="BF151" s="147">
        <f t="shared" si="32"/>
        <v>0</v>
      </c>
      <c r="BG151" s="147">
        <f t="shared" si="32"/>
        <v>0</v>
      </c>
      <c r="BH151" s="147">
        <f t="shared" si="32"/>
        <v>0</v>
      </c>
      <c r="BI151" s="147">
        <f t="shared" si="32"/>
        <v>0</v>
      </c>
      <c r="BJ151" s="147">
        <f t="shared" si="32"/>
        <v>0</v>
      </c>
      <c r="BK151" s="147">
        <f t="shared" si="32"/>
        <v>0</v>
      </c>
      <c r="BL151" s="147">
        <f t="shared" si="32"/>
        <v>0</v>
      </c>
    </row>
    <row r="152" spans="2:64" s="155" customFormat="1" x14ac:dyDescent="0.15">
      <c r="C152" s="84" t="s">
        <v>365</v>
      </c>
      <c r="E152" s="147">
        <f t="shared" si="32"/>
        <v>0</v>
      </c>
      <c r="F152" s="147">
        <f t="shared" si="32"/>
        <v>1.8696007112809887E-2</v>
      </c>
      <c r="G152" s="147">
        <f t="shared" si="32"/>
        <v>1.5227342687151814E-2</v>
      </c>
      <c r="H152" s="147">
        <f t="shared" si="32"/>
        <v>1.2682833347227414E-2</v>
      </c>
      <c r="I152" s="147">
        <f t="shared" si="32"/>
        <v>1.0390103143740661E-2</v>
      </c>
      <c r="J152" s="147">
        <f t="shared" si="32"/>
        <v>8.7733525845637046E-3</v>
      </c>
      <c r="K152" s="147">
        <f t="shared" si="32"/>
        <v>7.242765244747886E-3</v>
      </c>
      <c r="L152" s="147">
        <f t="shared" si="32"/>
        <v>5.8043899334789479E-3</v>
      </c>
      <c r="M152" s="147">
        <f t="shared" si="32"/>
        <v>4.4579022282866055E-3</v>
      </c>
      <c r="N152" s="147">
        <f t="shared" si="32"/>
        <v>3.2023866326061274E-3</v>
      </c>
      <c r="O152" s="147">
        <f t="shared" si="32"/>
        <v>2.037432857816439E-3</v>
      </c>
      <c r="P152" s="147">
        <f t="shared" si="32"/>
        <v>9.6374656471416022E-4</v>
      </c>
      <c r="Q152" s="147">
        <f t="shared" si="32"/>
        <v>0</v>
      </c>
      <c r="R152" s="147">
        <f t="shared" si="32"/>
        <v>0</v>
      </c>
      <c r="S152" s="147">
        <f t="shared" si="32"/>
        <v>0</v>
      </c>
      <c r="T152" s="147">
        <f t="shared" si="32"/>
        <v>0</v>
      </c>
      <c r="U152" s="147">
        <f t="shared" si="32"/>
        <v>0</v>
      </c>
      <c r="V152" s="147">
        <f t="shared" si="32"/>
        <v>0</v>
      </c>
      <c r="W152" s="147">
        <f t="shared" si="32"/>
        <v>0</v>
      </c>
      <c r="X152" s="147">
        <f t="shared" si="32"/>
        <v>0</v>
      </c>
      <c r="Y152" s="147">
        <f t="shared" si="32"/>
        <v>0</v>
      </c>
      <c r="Z152" s="147">
        <f t="shared" si="32"/>
        <v>0</v>
      </c>
      <c r="AA152" s="147">
        <f t="shared" si="32"/>
        <v>0</v>
      </c>
      <c r="AB152" s="147">
        <f t="shared" si="32"/>
        <v>0</v>
      </c>
      <c r="AC152" s="147">
        <f t="shared" si="32"/>
        <v>0</v>
      </c>
      <c r="AD152" s="147">
        <f t="shared" si="32"/>
        <v>0</v>
      </c>
      <c r="AE152" s="147">
        <f t="shared" si="32"/>
        <v>0</v>
      </c>
      <c r="AF152" s="147">
        <f t="shared" si="32"/>
        <v>0</v>
      </c>
      <c r="AG152" s="147">
        <f t="shared" si="32"/>
        <v>0</v>
      </c>
      <c r="AH152" s="147">
        <f t="shared" si="32"/>
        <v>0</v>
      </c>
      <c r="AI152" s="147">
        <f t="shared" si="32"/>
        <v>0</v>
      </c>
      <c r="AJ152" s="147">
        <f t="shared" si="32"/>
        <v>0</v>
      </c>
      <c r="AK152" s="147">
        <f t="shared" si="32"/>
        <v>0</v>
      </c>
      <c r="AL152" s="147">
        <f t="shared" si="32"/>
        <v>0</v>
      </c>
      <c r="AM152" s="147">
        <f t="shared" si="32"/>
        <v>0</v>
      </c>
      <c r="AN152" s="147">
        <f t="shared" si="32"/>
        <v>0</v>
      </c>
      <c r="AO152" s="147">
        <f t="shared" si="32"/>
        <v>0</v>
      </c>
      <c r="AP152" s="147">
        <f t="shared" si="32"/>
        <v>0</v>
      </c>
      <c r="AQ152" s="147">
        <f t="shared" si="32"/>
        <v>0</v>
      </c>
      <c r="AR152" s="147">
        <f t="shared" si="32"/>
        <v>0</v>
      </c>
      <c r="AS152" s="147">
        <f t="shared" si="32"/>
        <v>0</v>
      </c>
      <c r="AT152" s="147">
        <f t="shared" si="32"/>
        <v>0</v>
      </c>
      <c r="AU152" s="147">
        <f t="shared" si="32"/>
        <v>0</v>
      </c>
      <c r="AV152" s="147">
        <f t="shared" si="32"/>
        <v>0</v>
      </c>
      <c r="AW152" s="147">
        <f t="shared" si="32"/>
        <v>0</v>
      </c>
      <c r="AX152" s="147">
        <f t="shared" si="32"/>
        <v>0</v>
      </c>
      <c r="AY152" s="147">
        <f t="shared" si="32"/>
        <v>0</v>
      </c>
      <c r="AZ152" s="147">
        <f t="shared" si="32"/>
        <v>0</v>
      </c>
      <c r="BA152" s="147">
        <f t="shared" si="32"/>
        <v>0</v>
      </c>
      <c r="BB152" s="147">
        <f t="shared" si="32"/>
        <v>0</v>
      </c>
      <c r="BC152" s="147">
        <f t="shared" si="32"/>
        <v>0</v>
      </c>
      <c r="BD152" s="147">
        <f t="shared" si="32"/>
        <v>0</v>
      </c>
      <c r="BE152" s="147">
        <f t="shared" si="32"/>
        <v>0</v>
      </c>
      <c r="BF152" s="147">
        <f t="shared" si="32"/>
        <v>0</v>
      </c>
      <c r="BG152" s="147">
        <f t="shared" si="32"/>
        <v>0</v>
      </c>
      <c r="BH152" s="147">
        <f t="shared" si="32"/>
        <v>0</v>
      </c>
      <c r="BI152" s="147">
        <f t="shared" si="32"/>
        <v>0</v>
      </c>
      <c r="BJ152" s="147">
        <f t="shared" si="32"/>
        <v>0</v>
      </c>
      <c r="BK152" s="147">
        <f t="shared" si="32"/>
        <v>0</v>
      </c>
      <c r="BL152" s="147">
        <f t="shared" si="32"/>
        <v>0</v>
      </c>
    </row>
    <row r="153" spans="2:64" s="155" customFormat="1" x14ac:dyDescent="0.15">
      <c r="C153" s="84" t="s">
        <v>366</v>
      </c>
      <c r="E153" s="147">
        <f t="shared" si="32"/>
        <v>0</v>
      </c>
      <c r="F153" s="147">
        <f t="shared" si="32"/>
        <v>0</v>
      </c>
      <c r="G153" s="147">
        <f t="shared" si="32"/>
        <v>1.7695760880617202E-2</v>
      </c>
      <c r="H153" s="147">
        <f t="shared" si="32"/>
        <v>1.4412671829506785E-2</v>
      </c>
      <c r="I153" s="147">
        <f t="shared" si="32"/>
        <v>1.2004295080069827E-2</v>
      </c>
      <c r="J153" s="147">
        <f t="shared" si="32"/>
        <v>9.8342271505988295E-3</v>
      </c>
      <c r="K153" s="147">
        <f t="shared" si="32"/>
        <v>8.3039735982669404E-3</v>
      </c>
      <c r="L153" s="147">
        <f t="shared" si="32"/>
        <v>6.8552734876575995E-3</v>
      </c>
      <c r="M153" s="147">
        <f t="shared" si="32"/>
        <v>5.4938520134777567E-3</v>
      </c>
      <c r="N153" s="147">
        <f t="shared" si="32"/>
        <v>4.2194021100302381E-3</v>
      </c>
      <c r="O153" s="147">
        <f t="shared" si="32"/>
        <v>3.0310572602989367E-3</v>
      </c>
      <c r="P153" s="147">
        <f t="shared" si="32"/>
        <v>1.9284291263202021E-3</v>
      </c>
      <c r="Q153" s="147">
        <f t="shared" si="32"/>
        <v>9.1218561566619514E-4</v>
      </c>
      <c r="R153" s="147">
        <f t="shared" si="32"/>
        <v>0</v>
      </c>
      <c r="S153" s="147">
        <f t="shared" si="32"/>
        <v>0</v>
      </c>
      <c r="T153" s="147">
        <f t="shared" si="32"/>
        <v>0</v>
      </c>
      <c r="U153" s="147">
        <f t="shared" si="32"/>
        <v>0</v>
      </c>
      <c r="V153" s="147">
        <f t="shared" si="32"/>
        <v>0</v>
      </c>
      <c r="W153" s="147">
        <f t="shared" si="32"/>
        <v>0</v>
      </c>
      <c r="X153" s="147">
        <f t="shared" si="32"/>
        <v>0</v>
      </c>
      <c r="Y153" s="147">
        <f t="shared" si="32"/>
        <v>0</v>
      </c>
      <c r="Z153" s="147">
        <f t="shared" si="32"/>
        <v>0</v>
      </c>
      <c r="AA153" s="147">
        <f t="shared" si="32"/>
        <v>0</v>
      </c>
      <c r="AB153" s="147">
        <f t="shared" si="32"/>
        <v>0</v>
      </c>
      <c r="AC153" s="147">
        <f t="shared" si="32"/>
        <v>0</v>
      </c>
      <c r="AD153" s="147">
        <f t="shared" si="32"/>
        <v>0</v>
      </c>
      <c r="AE153" s="147">
        <f t="shared" si="32"/>
        <v>0</v>
      </c>
      <c r="AF153" s="147">
        <f t="shared" si="32"/>
        <v>0</v>
      </c>
      <c r="AG153" s="147">
        <f t="shared" si="32"/>
        <v>0</v>
      </c>
      <c r="AH153" s="147">
        <f t="shared" si="32"/>
        <v>0</v>
      </c>
      <c r="AI153" s="147">
        <f t="shared" si="32"/>
        <v>0</v>
      </c>
      <c r="AJ153" s="147">
        <f t="shared" si="32"/>
        <v>0</v>
      </c>
      <c r="AK153" s="147">
        <f t="shared" si="32"/>
        <v>0</v>
      </c>
      <c r="AL153" s="147">
        <f t="shared" si="32"/>
        <v>0</v>
      </c>
      <c r="AM153" s="147">
        <f t="shared" si="32"/>
        <v>0</v>
      </c>
      <c r="AN153" s="147">
        <f t="shared" si="32"/>
        <v>0</v>
      </c>
      <c r="AO153" s="147">
        <f t="shared" si="32"/>
        <v>0</v>
      </c>
      <c r="AP153" s="147">
        <f t="shared" si="32"/>
        <v>0</v>
      </c>
      <c r="AQ153" s="147">
        <f t="shared" si="32"/>
        <v>0</v>
      </c>
      <c r="AR153" s="147">
        <f t="shared" si="32"/>
        <v>0</v>
      </c>
      <c r="AS153" s="147">
        <f t="shared" si="32"/>
        <v>0</v>
      </c>
      <c r="AT153" s="147">
        <f t="shared" si="32"/>
        <v>0</v>
      </c>
      <c r="AU153" s="147">
        <f t="shared" si="32"/>
        <v>0</v>
      </c>
      <c r="AV153" s="147">
        <f t="shared" si="32"/>
        <v>0</v>
      </c>
      <c r="AW153" s="147">
        <f t="shared" si="32"/>
        <v>0</v>
      </c>
      <c r="AX153" s="147">
        <f t="shared" si="32"/>
        <v>0</v>
      </c>
      <c r="AY153" s="147">
        <f t="shared" si="32"/>
        <v>0</v>
      </c>
      <c r="AZ153" s="147">
        <f t="shared" si="32"/>
        <v>0</v>
      </c>
      <c r="BA153" s="147">
        <f t="shared" si="32"/>
        <v>0</v>
      </c>
      <c r="BB153" s="147">
        <f t="shared" si="32"/>
        <v>0</v>
      </c>
      <c r="BC153" s="147">
        <f t="shared" si="32"/>
        <v>0</v>
      </c>
      <c r="BD153" s="147">
        <f t="shared" si="32"/>
        <v>0</v>
      </c>
      <c r="BE153" s="147">
        <f t="shared" si="32"/>
        <v>0</v>
      </c>
      <c r="BF153" s="147">
        <f t="shared" si="32"/>
        <v>0</v>
      </c>
      <c r="BG153" s="147">
        <f t="shared" si="32"/>
        <v>0</v>
      </c>
      <c r="BH153" s="147">
        <f t="shared" si="32"/>
        <v>0</v>
      </c>
      <c r="BI153" s="147">
        <f t="shared" si="32"/>
        <v>0</v>
      </c>
      <c r="BJ153" s="147">
        <f t="shared" si="32"/>
        <v>0</v>
      </c>
      <c r="BK153" s="147">
        <f t="shared" si="32"/>
        <v>0</v>
      </c>
      <c r="BL153" s="147">
        <f t="shared" si="32"/>
        <v>0</v>
      </c>
    </row>
    <row r="154" spans="2:64" s="155" customFormat="1" x14ac:dyDescent="0.15">
      <c r="C154" s="84" t="s">
        <v>368</v>
      </c>
      <c r="E154" s="147">
        <f t="shared" si="32"/>
        <v>0</v>
      </c>
      <c r="F154" s="147">
        <f t="shared" si="32"/>
        <v>0</v>
      </c>
      <c r="G154" s="147">
        <f t="shared" si="32"/>
        <v>0</v>
      </c>
      <c r="H154" s="147">
        <f t="shared" si="32"/>
        <v>6.3852229490257331E-2</v>
      </c>
      <c r="I154" s="147">
        <f t="shared" si="32"/>
        <v>5.2005745072733832E-2</v>
      </c>
      <c r="J154" s="147">
        <f t="shared" si="32"/>
        <v>4.3315515478114394E-2</v>
      </c>
      <c r="K154" s="147">
        <f t="shared" si="32"/>
        <v>3.5485183887580561E-2</v>
      </c>
      <c r="L154" s="147">
        <f t="shared" si="32"/>
        <v>2.9963516768490888E-2</v>
      </c>
      <c r="M154" s="147">
        <f t="shared" si="32"/>
        <v>2.4736121769810139E-2</v>
      </c>
      <c r="N154" s="147">
        <f t="shared" si="32"/>
        <v>1.9823657310736605E-2</v>
      </c>
      <c r="O154" s="147">
        <f t="shared" si="32"/>
        <v>1.5225015395434629E-2</v>
      </c>
      <c r="P154" s="147">
        <f t="shared" si="32"/>
        <v>1.0937069340415271E-2</v>
      </c>
      <c r="Q154" s="147">
        <f t="shared" si="32"/>
        <v>6.9584178922968828E-3</v>
      </c>
      <c r="R154" s="147">
        <f t="shared" si="32"/>
        <v>3.2914710852036595E-3</v>
      </c>
      <c r="S154" s="147">
        <f t="shared" si="32"/>
        <v>0</v>
      </c>
      <c r="T154" s="147">
        <f t="shared" ref="T154:BL162" si="33">IF(T$5&gt;$D$7,0,T31*$F116)</f>
        <v>0</v>
      </c>
      <c r="U154" s="147">
        <f t="shared" si="33"/>
        <v>0</v>
      </c>
      <c r="V154" s="147">
        <f t="shared" si="33"/>
        <v>0</v>
      </c>
      <c r="W154" s="147">
        <f t="shared" si="33"/>
        <v>0</v>
      </c>
      <c r="X154" s="147">
        <f t="shared" si="33"/>
        <v>0</v>
      </c>
      <c r="Y154" s="147">
        <f t="shared" si="33"/>
        <v>0</v>
      </c>
      <c r="Z154" s="147">
        <f t="shared" si="33"/>
        <v>0</v>
      </c>
      <c r="AA154" s="147">
        <f t="shared" si="33"/>
        <v>0</v>
      </c>
      <c r="AB154" s="147">
        <f t="shared" si="33"/>
        <v>0</v>
      </c>
      <c r="AC154" s="147">
        <f t="shared" si="33"/>
        <v>0</v>
      </c>
      <c r="AD154" s="147">
        <f t="shared" si="33"/>
        <v>0</v>
      </c>
      <c r="AE154" s="147">
        <f t="shared" si="33"/>
        <v>0</v>
      </c>
      <c r="AF154" s="147">
        <f t="shared" si="33"/>
        <v>0</v>
      </c>
      <c r="AG154" s="147">
        <f t="shared" si="33"/>
        <v>0</v>
      </c>
      <c r="AH154" s="147">
        <f t="shared" si="33"/>
        <v>0</v>
      </c>
      <c r="AI154" s="147">
        <f t="shared" si="33"/>
        <v>0</v>
      </c>
      <c r="AJ154" s="147">
        <f t="shared" si="33"/>
        <v>0</v>
      </c>
      <c r="AK154" s="147">
        <f t="shared" si="33"/>
        <v>0</v>
      </c>
      <c r="AL154" s="147">
        <f t="shared" si="33"/>
        <v>0</v>
      </c>
      <c r="AM154" s="147">
        <f t="shared" si="33"/>
        <v>0</v>
      </c>
      <c r="AN154" s="147">
        <f t="shared" si="33"/>
        <v>0</v>
      </c>
      <c r="AO154" s="147">
        <f t="shared" si="33"/>
        <v>0</v>
      </c>
      <c r="AP154" s="147">
        <f t="shared" si="33"/>
        <v>0</v>
      </c>
      <c r="AQ154" s="147">
        <f t="shared" si="33"/>
        <v>0</v>
      </c>
      <c r="AR154" s="147">
        <f t="shared" si="33"/>
        <v>0</v>
      </c>
      <c r="AS154" s="147">
        <f t="shared" si="33"/>
        <v>0</v>
      </c>
      <c r="AT154" s="147">
        <f t="shared" si="33"/>
        <v>0</v>
      </c>
      <c r="AU154" s="147">
        <f t="shared" si="33"/>
        <v>0</v>
      </c>
      <c r="AV154" s="147">
        <f t="shared" si="33"/>
        <v>0</v>
      </c>
      <c r="AW154" s="147">
        <f t="shared" si="33"/>
        <v>0</v>
      </c>
      <c r="AX154" s="147">
        <f t="shared" si="33"/>
        <v>0</v>
      </c>
      <c r="AY154" s="147">
        <f t="shared" si="33"/>
        <v>0</v>
      </c>
      <c r="AZ154" s="147">
        <f t="shared" si="33"/>
        <v>0</v>
      </c>
      <c r="BA154" s="147">
        <f t="shared" si="33"/>
        <v>0</v>
      </c>
      <c r="BB154" s="147">
        <f t="shared" si="33"/>
        <v>0</v>
      </c>
      <c r="BC154" s="147">
        <f t="shared" si="33"/>
        <v>0</v>
      </c>
      <c r="BD154" s="147">
        <f t="shared" si="33"/>
        <v>0</v>
      </c>
      <c r="BE154" s="147">
        <f t="shared" si="33"/>
        <v>0</v>
      </c>
      <c r="BF154" s="147">
        <f t="shared" si="33"/>
        <v>0</v>
      </c>
      <c r="BG154" s="147">
        <f t="shared" si="33"/>
        <v>0</v>
      </c>
      <c r="BH154" s="147">
        <f t="shared" si="33"/>
        <v>0</v>
      </c>
      <c r="BI154" s="147">
        <f t="shared" si="33"/>
        <v>0</v>
      </c>
      <c r="BJ154" s="147">
        <f t="shared" si="33"/>
        <v>0</v>
      </c>
      <c r="BK154" s="147">
        <f t="shared" si="33"/>
        <v>0</v>
      </c>
      <c r="BL154" s="147">
        <f t="shared" si="33"/>
        <v>0</v>
      </c>
    </row>
    <row r="155" spans="2:64" s="155" customFormat="1" x14ac:dyDescent="0.15">
      <c r="C155" s="84" t="s">
        <v>369</v>
      </c>
      <c r="E155" s="147">
        <f t="shared" ref="E155:AJ162" si="34">IF(E$5&gt;$D$7,0,E32*$F117)</f>
        <v>0</v>
      </c>
      <c r="F155" s="147">
        <f t="shared" si="34"/>
        <v>0</v>
      </c>
      <c r="G155" s="147">
        <f t="shared" si="34"/>
        <v>0</v>
      </c>
      <c r="H155" s="147">
        <f t="shared" si="34"/>
        <v>0</v>
      </c>
      <c r="I155" s="147">
        <f t="shared" si="34"/>
        <v>6.3845844267308299E-2</v>
      </c>
      <c r="J155" s="147">
        <f t="shared" si="34"/>
        <v>5.2000544498226567E-2</v>
      </c>
      <c r="K155" s="147">
        <f t="shared" si="34"/>
        <v>4.3311183926566584E-2</v>
      </c>
      <c r="L155" s="147">
        <f t="shared" si="34"/>
        <v>3.54816353691918E-2</v>
      </c>
      <c r="M155" s="147">
        <f t="shared" si="34"/>
        <v>2.9960520416814036E-2</v>
      </c>
      <c r="N155" s="147">
        <f t="shared" si="34"/>
        <v>2.473364815763316E-2</v>
      </c>
      <c r="O155" s="147">
        <f t="shared" si="34"/>
        <v>1.982167494500553E-2</v>
      </c>
      <c r="P155" s="147">
        <f t="shared" si="34"/>
        <v>1.5223492893895086E-2</v>
      </c>
      <c r="Q155" s="147">
        <f t="shared" si="34"/>
        <v>1.093597563348123E-2</v>
      </c>
      <c r="R155" s="147">
        <f t="shared" si="34"/>
        <v>6.9577220505076531E-3</v>
      </c>
      <c r="S155" s="147">
        <f t="shared" si="34"/>
        <v>3.2911419380951389E-3</v>
      </c>
      <c r="T155" s="147">
        <f t="shared" si="34"/>
        <v>0</v>
      </c>
      <c r="U155" s="147">
        <f t="shared" si="34"/>
        <v>0</v>
      </c>
      <c r="V155" s="147">
        <f t="shared" si="34"/>
        <v>0</v>
      </c>
      <c r="W155" s="147">
        <f t="shared" si="34"/>
        <v>0</v>
      </c>
      <c r="X155" s="147">
        <f t="shared" si="34"/>
        <v>0</v>
      </c>
      <c r="Y155" s="147">
        <f t="shared" si="34"/>
        <v>0</v>
      </c>
      <c r="Z155" s="147">
        <f t="shared" si="34"/>
        <v>0</v>
      </c>
      <c r="AA155" s="147">
        <f t="shared" si="34"/>
        <v>0</v>
      </c>
      <c r="AB155" s="147">
        <f t="shared" si="34"/>
        <v>0</v>
      </c>
      <c r="AC155" s="147">
        <f t="shared" si="34"/>
        <v>0</v>
      </c>
      <c r="AD155" s="147">
        <f t="shared" si="34"/>
        <v>0</v>
      </c>
      <c r="AE155" s="147">
        <f t="shared" si="34"/>
        <v>0</v>
      </c>
      <c r="AF155" s="147">
        <f t="shared" si="34"/>
        <v>0</v>
      </c>
      <c r="AG155" s="147">
        <f t="shared" si="34"/>
        <v>0</v>
      </c>
      <c r="AH155" s="147">
        <f t="shared" si="34"/>
        <v>0</v>
      </c>
      <c r="AI155" s="147">
        <f t="shared" si="34"/>
        <v>0</v>
      </c>
      <c r="AJ155" s="147">
        <f t="shared" si="34"/>
        <v>0</v>
      </c>
      <c r="AK155" s="147">
        <f t="shared" si="33"/>
        <v>0</v>
      </c>
      <c r="AL155" s="147">
        <f t="shared" si="33"/>
        <v>0</v>
      </c>
      <c r="AM155" s="147">
        <f t="shared" si="33"/>
        <v>0</v>
      </c>
      <c r="AN155" s="147">
        <f t="shared" si="33"/>
        <v>0</v>
      </c>
      <c r="AO155" s="147">
        <f t="shared" si="33"/>
        <v>0</v>
      </c>
      <c r="AP155" s="147">
        <f t="shared" si="33"/>
        <v>0</v>
      </c>
      <c r="AQ155" s="147">
        <f t="shared" si="33"/>
        <v>0</v>
      </c>
      <c r="AR155" s="147">
        <f t="shared" si="33"/>
        <v>0</v>
      </c>
      <c r="AS155" s="147">
        <f t="shared" si="33"/>
        <v>0</v>
      </c>
      <c r="AT155" s="147">
        <f t="shared" si="33"/>
        <v>0</v>
      </c>
      <c r="AU155" s="147">
        <f t="shared" si="33"/>
        <v>0</v>
      </c>
      <c r="AV155" s="147">
        <f t="shared" si="33"/>
        <v>0</v>
      </c>
      <c r="AW155" s="147">
        <f t="shared" si="33"/>
        <v>0</v>
      </c>
      <c r="AX155" s="147">
        <f t="shared" si="33"/>
        <v>0</v>
      </c>
      <c r="AY155" s="147">
        <f t="shared" si="33"/>
        <v>0</v>
      </c>
      <c r="AZ155" s="147">
        <f t="shared" si="33"/>
        <v>0</v>
      </c>
      <c r="BA155" s="147">
        <f t="shared" si="33"/>
        <v>0</v>
      </c>
      <c r="BB155" s="147">
        <f t="shared" si="33"/>
        <v>0</v>
      </c>
      <c r="BC155" s="147">
        <f t="shared" si="33"/>
        <v>0</v>
      </c>
      <c r="BD155" s="147">
        <f t="shared" si="33"/>
        <v>0</v>
      </c>
      <c r="BE155" s="147">
        <f t="shared" si="33"/>
        <v>0</v>
      </c>
      <c r="BF155" s="147">
        <f t="shared" si="33"/>
        <v>0</v>
      </c>
      <c r="BG155" s="147">
        <f t="shared" si="33"/>
        <v>0</v>
      </c>
      <c r="BH155" s="147">
        <f t="shared" si="33"/>
        <v>0</v>
      </c>
      <c r="BI155" s="147">
        <f t="shared" si="33"/>
        <v>0</v>
      </c>
      <c r="BJ155" s="147">
        <f t="shared" si="33"/>
        <v>0</v>
      </c>
      <c r="BK155" s="147">
        <f t="shared" si="33"/>
        <v>0</v>
      </c>
      <c r="BL155" s="147">
        <f t="shared" si="33"/>
        <v>0</v>
      </c>
    </row>
    <row r="156" spans="2:64" s="155" customFormat="1" x14ac:dyDescent="0.15">
      <c r="C156" s="84" t="s">
        <v>332</v>
      </c>
      <c r="E156" s="147">
        <f t="shared" si="34"/>
        <v>0</v>
      </c>
      <c r="F156" s="147">
        <f t="shared" si="34"/>
        <v>0</v>
      </c>
      <c r="G156" s="147">
        <f t="shared" si="34"/>
        <v>0</v>
      </c>
      <c r="H156" s="147">
        <f t="shared" si="34"/>
        <v>0</v>
      </c>
      <c r="I156" s="147">
        <f t="shared" si="34"/>
        <v>0</v>
      </c>
      <c r="J156" s="147">
        <f t="shared" si="34"/>
        <v>6.3845844267308299E-2</v>
      </c>
      <c r="K156" s="147">
        <f t="shared" si="34"/>
        <v>5.2000544498226567E-2</v>
      </c>
      <c r="L156" s="147">
        <f t="shared" si="34"/>
        <v>4.3311183926566584E-2</v>
      </c>
      <c r="M156" s="147">
        <f t="shared" si="34"/>
        <v>3.54816353691918E-2</v>
      </c>
      <c r="N156" s="147">
        <f t="shared" si="34"/>
        <v>2.9960520416814036E-2</v>
      </c>
      <c r="O156" s="147">
        <f t="shared" si="34"/>
        <v>2.473364815763316E-2</v>
      </c>
      <c r="P156" s="147">
        <f t="shared" si="34"/>
        <v>1.982167494500553E-2</v>
      </c>
      <c r="Q156" s="147">
        <f t="shared" si="34"/>
        <v>1.5223492893895086E-2</v>
      </c>
      <c r="R156" s="147">
        <f t="shared" si="34"/>
        <v>1.093597563348123E-2</v>
      </c>
      <c r="S156" s="147">
        <f t="shared" si="34"/>
        <v>6.9577220505076531E-3</v>
      </c>
      <c r="T156" s="147">
        <f t="shared" si="34"/>
        <v>3.2911419380951389E-3</v>
      </c>
      <c r="U156" s="147">
        <f t="shared" si="34"/>
        <v>0</v>
      </c>
      <c r="V156" s="147">
        <f t="shared" si="34"/>
        <v>0</v>
      </c>
      <c r="W156" s="147">
        <f t="shared" si="34"/>
        <v>0</v>
      </c>
      <c r="X156" s="147">
        <f t="shared" si="34"/>
        <v>0</v>
      </c>
      <c r="Y156" s="147">
        <f t="shared" si="34"/>
        <v>0</v>
      </c>
      <c r="Z156" s="147">
        <f t="shared" si="34"/>
        <v>0</v>
      </c>
      <c r="AA156" s="147">
        <f t="shared" si="34"/>
        <v>0</v>
      </c>
      <c r="AB156" s="147">
        <f t="shared" si="34"/>
        <v>0</v>
      </c>
      <c r="AC156" s="147">
        <f t="shared" si="34"/>
        <v>0</v>
      </c>
      <c r="AD156" s="147">
        <f t="shared" si="34"/>
        <v>0</v>
      </c>
      <c r="AE156" s="147">
        <f t="shared" si="34"/>
        <v>0</v>
      </c>
      <c r="AF156" s="147">
        <f t="shared" si="34"/>
        <v>0</v>
      </c>
      <c r="AG156" s="147">
        <f t="shared" si="34"/>
        <v>0</v>
      </c>
      <c r="AH156" s="147">
        <f t="shared" si="34"/>
        <v>0</v>
      </c>
      <c r="AI156" s="147">
        <f t="shared" si="34"/>
        <v>0</v>
      </c>
      <c r="AJ156" s="147">
        <f t="shared" si="34"/>
        <v>0</v>
      </c>
      <c r="AK156" s="147">
        <f t="shared" si="33"/>
        <v>0</v>
      </c>
      <c r="AL156" s="147">
        <f t="shared" si="33"/>
        <v>0</v>
      </c>
      <c r="AM156" s="147">
        <f t="shared" si="33"/>
        <v>0</v>
      </c>
      <c r="AN156" s="147">
        <f t="shared" si="33"/>
        <v>0</v>
      </c>
      <c r="AO156" s="147">
        <f t="shared" si="33"/>
        <v>0</v>
      </c>
      <c r="AP156" s="147">
        <f t="shared" si="33"/>
        <v>0</v>
      </c>
      <c r="AQ156" s="147">
        <f t="shared" si="33"/>
        <v>0</v>
      </c>
      <c r="AR156" s="147">
        <f t="shared" si="33"/>
        <v>0</v>
      </c>
      <c r="AS156" s="147">
        <f t="shared" si="33"/>
        <v>0</v>
      </c>
      <c r="AT156" s="147">
        <f t="shared" si="33"/>
        <v>0</v>
      </c>
      <c r="AU156" s="147">
        <f t="shared" si="33"/>
        <v>0</v>
      </c>
      <c r="AV156" s="147">
        <f t="shared" si="33"/>
        <v>0</v>
      </c>
      <c r="AW156" s="147">
        <f t="shared" si="33"/>
        <v>0</v>
      </c>
      <c r="AX156" s="147">
        <f t="shared" si="33"/>
        <v>0</v>
      </c>
      <c r="AY156" s="147">
        <f t="shared" si="33"/>
        <v>0</v>
      </c>
      <c r="AZ156" s="147">
        <f t="shared" si="33"/>
        <v>0</v>
      </c>
      <c r="BA156" s="147">
        <f t="shared" si="33"/>
        <v>0</v>
      </c>
      <c r="BB156" s="147">
        <f t="shared" si="33"/>
        <v>0</v>
      </c>
      <c r="BC156" s="147">
        <f t="shared" si="33"/>
        <v>0</v>
      </c>
      <c r="BD156" s="147">
        <f t="shared" si="33"/>
        <v>0</v>
      </c>
      <c r="BE156" s="147">
        <f t="shared" si="33"/>
        <v>0</v>
      </c>
      <c r="BF156" s="147">
        <f t="shared" si="33"/>
        <v>0</v>
      </c>
      <c r="BG156" s="147">
        <f t="shared" si="33"/>
        <v>0</v>
      </c>
      <c r="BH156" s="147">
        <f t="shared" si="33"/>
        <v>0</v>
      </c>
      <c r="BI156" s="147">
        <f t="shared" si="33"/>
        <v>0</v>
      </c>
      <c r="BJ156" s="147">
        <f t="shared" si="33"/>
        <v>0</v>
      </c>
      <c r="BK156" s="147">
        <f t="shared" si="33"/>
        <v>0</v>
      </c>
      <c r="BL156" s="147">
        <f t="shared" si="33"/>
        <v>0</v>
      </c>
    </row>
    <row r="157" spans="2:64" s="155" customFormat="1" x14ac:dyDescent="0.15">
      <c r="C157" s="84" t="s">
        <v>333</v>
      </c>
      <c r="E157" s="147">
        <f t="shared" si="34"/>
        <v>0</v>
      </c>
      <c r="F157" s="147">
        <f t="shared" si="34"/>
        <v>0</v>
      </c>
      <c r="G157" s="147">
        <f t="shared" si="34"/>
        <v>0</v>
      </c>
      <c r="H157" s="147">
        <f t="shared" si="34"/>
        <v>0</v>
      </c>
      <c r="I157" s="147">
        <f t="shared" si="34"/>
        <v>0</v>
      </c>
      <c r="J157" s="147">
        <f t="shared" si="34"/>
        <v>0</v>
      </c>
      <c r="K157" s="147">
        <f t="shared" si="34"/>
        <v>0.15615308899112751</v>
      </c>
      <c r="L157" s="147">
        <f t="shared" si="34"/>
        <v>0.12718205461614449</v>
      </c>
      <c r="M157" s="147">
        <f t="shared" si="34"/>
        <v>0.10592976309750622</v>
      </c>
      <c r="N157" s="147">
        <f t="shared" si="34"/>
        <v>8.6780385300553431E-2</v>
      </c>
      <c r="O157" s="147">
        <f t="shared" si="34"/>
        <v>7.327693547726806E-2</v>
      </c>
      <c r="P157" s="147">
        <f t="shared" si="34"/>
        <v>6.049313946987387E-2</v>
      </c>
      <c r="Q157" s="147">
        <f t="shared" si="34"/>
        <v>4.8479518238989432E-2</v>
      </c>
      <c r="R157" s="147">
        <f t="shared" si="34"/>
        <v>3.7233362138080754E-2</v>
      </c>
      <c r="S157" s="147">
        <f t="shared" si="34"/>
        <v>2.674702474212879E-2</v>
      </c>
      <c r="T157" s="147">
        <f t="shared" si="34"/>
        <v>1.7017079231964501E-2</v>
      </c>
      <c r="U157" s="147">
        <f t="shared" si="34"/>
        <v>8.0494194389555806E-3</v>
      </c>
      <c r="V157" s="147">
        <f t="shared" si="34"/>
        <v>0</v>
      </c>
      <c r="W157" s="147">
        <f t="shared" si="34"/>
        <v>0</v>
      </c>
      <c r="X157" s="147">
        <f t="shared" si="34"/>
        <v>0</v>
      </c>
      <c r="Y157" s="147">
        <f t="shared" si="34"/>
        <v>0</v>
      </c>
      <c r="Z157" s="147">
        <f t="shared" si="34"/>
        <v>0</v>
      </c>
      <c r="AA157" s="147">
        <f t="shared" si="34"/>
        <v>0</v>
      </c>
      <c r="AB157" s="147">
        <f t="shared" si="34"/>
        <v>0</v>
      </c>
      <c r="AC157" s="147">
        <f t="shared" si="34"/>
        <v>0</v>
      </c>
      <c r="AD157" s="147">
        <f t="shared" si="34"/>
        <v>0</v>
      </c>
      <c r="AE157" s="147">
        <f t="shared" si="34"/>
        <v>0</v>
      </c>
      <c r="AF157" s="147">
        <f t="shared" si="34"/>
        <v>0</v>
      </c>
      <c r="AG157" s="147">
        <f t="shared" si="34"/>
        <v>0</v>
      </c>
      <c r="AH157" s="147">
        <f t="shared" si="34"/>
        <v>0</v>
      </c>
      <c r="AI157" s="147">
        <f t="shared" si="34"/>
        <v>0</v>
      </c>
      <c r="AJ157" s="147">
        <f t="shared" si="34"/>
        <v>0</v>
      </c>
      <c r="AK157" s="147">
        <f t="shared" si="33"/>
        <v>0</v>
      </c>
      <c r="AL157" s="147">
        <f t="shared" si="33"/>
        <v>0</v>
      </c>
      <c r="AM157" s="147">
        <f t="shared" si="33"/>
        <v>0</v>
      </c>
      <c r="AN157" s="147">
        <f t="shared" si="33"/>
        <v>0</v>
      </c>
      <c r="AO157" s="147">
        <f t="shared" si="33"/>
        <v>0</v>
      </c>
      <c r="AP157" s="147">
        <f t="shared" si="33"/>
        <v>0</v>
      </c>
      <c r="AQ157" s="147">
        <f t="shared" si="33"/>
        <v>0</v>
      </c>
      <c r="AR157" s="147">
        <f t="shared" si="33"/>
        <v>0</v>
      </c>
      <c r="AS157" s="147">
        <f t="shared" si="33"/>
        <v>0</v>
      </c>
      <c r="AT157" s="147">
        <f t="shared" si="33"/>
        <v>0</v>
      </c>
      <c r="AU157" s="147">
        <f t="shared" si="33"/>
        <v>0</v>
      </c>
      <c r="AV157" s="147">
        <f t="shared" si="33"/>
        <v>0</v>
      </c>
      <c r="AW157" s="147">
        <f t="shared" si="33"/>
        <v>0</v>
      </c>
      <c r="AX157" s="147">
        <f t="shared" si="33"/>
        <v>0</v>
      </c>
      <c r="AY157" s="147">
        <f t="shared" si="33"/>
        <v>0</v>
      </c>
      <c r="AZ157" s="147">
        <f t="shared" si="33"/>
        <v>0</v>
      </c>
      <c r="BA157" s="147">
        <f t="shared" si="33"/>
        <v>0</v>
      </c>
      <c r="BB157" s="147">
        <f t="shared" si="33"/>
        <v>0</v>
      </c>
      <c r="BC157" s="147">
        <f t="shared" si="33"/>
        <v>0</v>
      </c>
      <c r="BD157" s="147">
        <f t="shared" si="33"/>
        <v>0</v>
      </c>
      <c r="BE157" s="147">
        <f t="shared" si="33"/>
        <v>0</v>
      </c>
      <c r="BF157" s="147">
        <f t="shared" si="33"/>
        <v>0</v>
      </c>
      <c r="BG157" s="147">
        <f t="shared" si="33"/>
        <v>0</v>
      </c>
      <c r="BH157" s="147">
        <f t="shared" si="33"/>
        <v>0</v>
      </c>
      <c r="BI157" s="147">
        <f t="shared" si="33"/>
        <v>0</v>
      </c>
      <c r="BJ157" s="147">
        <f t="shared" si="33"/>
        <v>0</v>
      </c>
      <c r="BK157" s="147">
        <f t="shared" si="33"/>
        <v>0</v>
      </c>
      <c r="BL157" s="147">
        <f t="shared" si="33"/>
        <v>0</v>
      </c>
    </row>
    <row r="158" spans="2:64" s="155" customFormat="1" x14ac:dyDescent="0.15">
      <c r="C158" s="84" t="s">
        <v>371</v>
      </c>
      <c r="E158" s="147">
        <f t="shared" si="34"/>
        <v>0</v>
      </c>
      <c r="F158" s="147">
        <f t="shared" si="34"/>
        <v>0</v>
      </c>
      <c r="G158" s="147">
        <f t="shared" si="34"/>
        <v>0</v>
      </c>
      <c r="H158" s="147">
        <f t="shared" si="34"/>
        <v>0</v>
      </c>
      <c r="I158" s="147">
        <f t="shared" si="34"/>
        <v>0</v>
      </c>
      <c r="J158" s="147">
        <f t="shared" si="34"/>
        <v>0</v>
      </c>
      <c r="K158" s="147">
        <f t="shared" si="34"/>
        <v>0</v>
      </c>
      <c r="L158" s="147">
        <f t="shared" si="34"/>
        <v>0.15615308899112751</v>
      </c>
      <c r="M158" s="147">
        <f t="shared" si="34"/>
        <v>0.12718205461614449</v>
      </c>
      <c r="N158" s="147">
        <f t="shared" si="34"/>
        <v>0.10592976309750622</v>
      </c>
      <c r="O158" s="147">
        <f t="shared" si="34"/>
        <v>8.6780385300553431E-2</v>
      </c>
      <c r="P158" s="147">
        <f t="shared" si="34"/>
        <v>7.327693547726806E-2</v>
      </c>
      <c r="Q158" s="147">
        <f t="shared" si="34"/>
        <v>6.049313946987387E-2</v>
      </c>
      <c r="R158" s="147">
        <f t="shared" si="34"/>
        <v>4.8479518238989432E-2</v>
      </c>
      <c r="S158" s="147">
        <f t="shared" si="34"/>
        <v>3.7233362138080754E-2</v>
      </c>
      <c r="T158" s="147">
        <f t="shared" si="34"/>
        <v>2.674702474212879E-2</v>
      </c>
      <c r="U158" s="147">
        <f t="shared" si="34"/>
        <v>1.7017079231964501E-2</v>
      </c>
      <c r="V158" s="147">
        <f t="shared" si="34"/>
        <v>0</v>
      </c>
      <c r="W158" s="147">
        <f t="shared" si="34"/>
        <v>0</v>
      </c>
      <c r="X158" s="147">
        <f t="shared" si="34"/>
        <v>0</v>
      </c>
      <c r="Y158" s="147">
        <f t="shared" si="34"/>
        <v>0</v>
      </c>
      <c r="Z158" s="147">
        <f t="shared" si="34"/>
        <v>0</v>
      </c>
      <c r="AA158" s="147">
        <f t="shared" si="34"/>
        <v>0</v>
      </c>
      <c r="AB158" s="147">
        <f t="shared" si="34"/>
        <v>0</v>
      </c>
      <c r="AC158" s="147">
        <f t="shared" si="34"/>
        <v>0</v>
      </c>
      <c r="AD158" s="147">
        <f t="shared" si="34"/>
        <v>0</v>
      </c>
      <c r="AE158" s="147">
        <f t="shared" si="34"/>
        <v>0</v>
      </c>
      <c r="AF158" s="147">
        <f t="shared" si="34"/>
        <v>0</v>
      </c>
      <c r="AG158" s="147">
        <f t="shared" si="34"/>
        <v>0</v>
      </c>
      <c r="AH158" s="147">
        <f t="shared" si="34"/>
        <v>0</v>
      </c>
      <c r="AI158" s="147">
        <f t="shared" si="34"/>
        <v>0</v>
      </c>
      <c r="AJ158" s="147">
        <f t="shared" si="34"/>
        <v>0</v>
      </c>
      <c r="AK158" s="147">
        <f t="shared" si="33"/>
        <v>0</v>
      </c>
      <c r="AL158" s="147">
        <f t="shared" si="33"/>
        <v>0</v>
      </c>
      <c r="AM158" s="147">
        <f t="shared" si="33"/>
        <v>0</v>
      </c>
      <c r="AN158" s="147">
        <f t="shared" si="33"/>
        <v>0</v>
      </c>
      <c r="AO158" s="147">
        <f t="shared" si="33"/>
        <v>0</v>
      </c>
      <c r="AP158" s="147">
        <f t="shared" si="33"/>
        <v>0</v>
      </c>
      <c r="AQ158" s="147">
        <f t="shared" si="33"/>
        <v>0</v>
      </c>
      <c r="AR158" s="147">
        <f t="shared" si="33"/>
        <v>0</v>
      </c>
      <c r="AS158" s="147">
        <f t="shared" si="33"/>
        <v>0</v>
      </c>
      <c r="AT158" s="147">
        <f t="shared" si="33"/>
        <v>0</v>
      </c>
      <c r="AU158" s="147">
        <f t="shared" si="33"/>
        <v>0</v>
      </c>
      <c r="AV158" s="147">
        <f t="shared" si="33"/>
        <v>0</v>
      </c>
      <c r="AW158" s="147">
        <f t="shared" si="33"/>
        <v>0</v>
      </c>
      <c r="AX158" s="147">
        <f t="shared" si="33"/>
        <v>0</v>
      </c>
      <c r="AY158" s="147">
        <f t="shared" si="33"/>
        <v>0</v>
      </c>
      <c r="AZ158" s="147">
        <f t="shared" si="33"/>
        <v>0</v>
      </c>
      <c r="BA158" s="147">
        <f t="shared" si="33"/>
        <v>0</v>
      </c>
      <c r="BB158" s="147">
        <f t="shared" si="33"/>
        <v>0</v>
      </c>
      <c r="BC158" s="147">
        <f t="shared" si="33"/>
        <v>0</v>
      </c>
      <c r="BD158" s="147">
        <f t="shared" si="33"/>
        <v>0</v>
      </c>
      <c r="BE158" s="147">
        <f t="shared" si="33"/>
        <v>0</v>
      </c>
      <c r="BF158" s="147">
        <f t="shared" si="33"/>
        <v>0</v>
      </c>
      <c r="BG158" s="147">
        <f t="shared" si="33"/>
        <v>0</v>
      </c>
      <c r="BH158" s="147">
        <f t="shared" si="33"/>
        <v>0</v>
      </c>
      <c r="BI158" s="147">
        <f t="shared" si="33"/>
        <v>0</v>
      </c>
      <c r="BJ158" s="147">
        <f t="shared" si="33"/>
        <v>0</v>
      </c>
      <c r="BK158" s="147">
        <f t="shared" si="33"/>
        <v>0</v>
      </c>
      <c r="BL158" s="147">
        <f t="shared" si="33"/>
        <v>0</v>
      </c>
    </row>
    <row r="159" spans="2:64" s="155" customFormat="1" x14ac:dyDescent="0.15">
      <c r="C159" s="84" t="s">
        <v>372</v>
      </c>
      <c r="E159" s="147">
        <f t="shared" si="34"/>
        <v>0</v>
      </c>
      <c r="F159" s="147">
        <f t="shared" si="34"/>
        <v>0</v>
      </c>
      <c r="G159" s="147">
        <f t="shared" si="34"/>
        <v>0</v>
      </c>
      <c r="H159" s="147">
        <f t="shared" si="34"/>
        <v>0</v>
      </c>
      <c r="I159" s="147">
        <f t="shared" si="34"/>
        <v>0</v>
      </c>
      <c r="J159" s="147">
        <f t="shared" si="34"/>
        <v>0</v>
      </c>
      <c r="K159" s="147">
        <f t="shared" si="34"/>
        <v>0</v>
      </c>
      <c r="L159" s="147">
        <f t="shared" si="34"/>
        <v>0</v>
      </c>
      <c r="M159" s="147">
        <f t="shared" si="34"/>
        <v>0.15615308899112751</v>
      </c>
      <c r="N159" s="147">
        <f t="shared" si="34"/>
        <v>0.12718205461614449</v>
      </c>
      <c r="O159" s="147">
        <f t="shared" si="34"/>
        <v>0.10592976309750622</v>
      </c>
      <c r="P159" s="147">
        <f t="shared" si="34"/>
        <v>8.6780385300553431E-2</v>
      </c>
      <c r="Q159" s="147">
        <f t="shared" si="34"/>
        <v>7.327693547726806E-2</v>
      </c>
      <c r="R159" s="147">
        <f t="shared" si="34"/>
        <v>6.049313946987387E-2</v>
      </c>
      <c r="S159" s="147">
        <f t="shared" si="34"/>
        <v>4.8479518238989432E-2</v>
      </c>
      <c r="T159" s="147">
        <f t="shared" si="34"/>
        <v>3.7233362138080754E-2</v>
      </c>
      <c r="U159" s="147">
        <f t="shared" si="34"/>
        <v>2.674702474212879E-2</v>
      </c>
      <c r="V159" s="147">
        <f t="shared" si="34"/>
        <v>0</v>
      </c>
      <c r="W159" s="147">
        <f t="shared" si="34"/>
        <v>0</v>
      </c>
      <c r="X159" s="147">
        <f t="shared" si="34"/>
        <v>0</v>
      </c>
      <c r="Y159" s="147">
        <f t="shared" si="34"/>
        <v>0</v>
      </c>
      <c r="Z159" s="147">
        <f t="shared" si="34"/>
        <v>0</v>
      </c>
      <c r="AA159" s="147">
        <f t="shared" si="34"/>
        <v>0</v>
      </c>
      <c r="AB159" s="147">
        <f t="shared" si="34"/>
        <v>0</v>
      </c>
      <c r="AC159" s="147">
        <f t="shared" si="34"/>
        <v>0</v>
      </c>
      <c r="AD159" s="147">
        <f t="shared" si="34"/>
        <v>0</v>
      </c>
      <c r="AE159" s="147">
        <f t="shared" si="34"/>
        <v>0</v>
      </c>
      <c r="AF159" s="147">
        <f t="shared" si="34"/>
        <v>0</v>
      </c>
      <c r="AG159" s="147">
        <f t="shared" si="34"/>
        <v>0</v>
      </c>
      <c r="AH159" s="147">
        <f t="shared" si="34"/>
        <v>0</v>
      </c>
      <c r="AI159" s="147">
        <f t="shared" si="34"/>
        <v>0</v>
      </c>
      <c r="AJ159" s="147">
        <f t="shared" si="34"/>
        <v>0</v>
      </c>
      <c r="AK159" s="147">
        <f t="shared" si="33"/>
        <v>0</v>
      </c>
      <c r="AL159" s="147">
        <f t="shared" si="33"/>
        <v>0</v>
      </c>
      <c r="AM159" s="147">
        <f t="shared" si="33"/>
        <v>0</v>
      </c>
      <c r="AN159" s="147">
        <f t="shared" si="33"/>
        <v>0</v>
      </c>
      <c r="AO159" s="147">
        <f t="shared" si="33"/>
        <v>0</v>
      </c>
      <c r="AP159" s="147">
        <f t="shared" si="33"/>
        <v>0</v>
      </c>
      <c r="AQ159" s="147">
        <f t="shared" si="33"/>
        <v>0</v>
      </c>
      <c r="AR159" s="147">
        <f t="shared" si="33"/>
        <v>0</v>
      </c>
      <c r="AS159" s="147">
        <f t="shared" si="33"/>
        <v>0</v>
      </c>
      <c r="AT159" s="147">
        <f t="shared" si="33"/>
        <v>0</v>
      </c>
      <c r="AU159" s="147">
        <f t="shared" si="33"/>
        <v>0</v>
      </c>
      <c r="AV159" s="147">
        <f t="shared" si="33"/>
        <v>0</v>
      </c>
      <c r="AW159" s="147">
        <f t="shared" si="33"/>
        <v>0</v>
      </c>
      <c r="AX159" s="147">
        <f t="shared" si="33"/>
        <v>0</v>
      </c>
      <c r="AY159" s="147">
        <f t="shared" si="33"/>
        <v>0</v>
      </c>
      <c r="AZ159" s="147">
        <f t="shared" si="33"/>
        <v>0</v>
      </c>
      <c r="BA159" s="147">
        <f t="shared" si="33"/>
        <v>0</v>
      </c>
      <c r="BB159" s="147">
        <f t="shared" si="33"/>
        <v>0</v>
      </c>
      <c r="BC159" s="147">
        <f t="shared" si="33"/>
        <v>0</v>
      </c>
      <c r="BD159" s="147">
        <f t="shared" si="33"/>
        <v>0</v>
      </c>
      <c r="BE159" s="147">
        <f t="shared" si="33"/>
        <v>0</v>
      </c>
      <c r="BF159" s="147">
        <f t="shared" si="33"/>
        <v>0</v>
      </c>
      <c r="BG159" s="147">
        <f t="shared" si="33"/>
        <v>0</v>
      </c>
      <c r="BH159" s="147">
        <f t="shared" si="33"/>
        <v>0</v>
      </c>
      <c r="BI159" s="147">
        <f t="shared" si="33"/>
        <v>0</v>
      </c>
      <c r="BJ159" s="147">
        <f t="shared" si="33"/>
        <v>0</v>
      </c>
      <c r="BK159" s="147">
        <f t="shared" si="33"/>
        <v>0</v>
      </c>
      <c r="BL159" s="147">
        <f t="shared" si="33"/>
        <v>0</v>
      </c>
    </row>
    <row r="160" spans="2:64" x14ac:dyDescent="0.15">
      <c r="C160" s="84" t="s">
        <v>373</v>
      </c>
      <c r="E160" s="147">
        <f t="shared" si="34"/>
        <v>0</v>
      </c>
      <c r="F160" s="147">
        <f t="shared" si="34"/>
        <v>0</v>
      </c>
      <c r="G160" s="147">
        <f t="shared" si="34"/>
        <v>0</v>
      </c>
      <c r="H160" s="147">
        <f t="shared" si="34"/>
        <v>0</v>
      </c>
      <c r="I160" s="147">
        <f t="shared" si="34"/>
        <v>0</v>
      </c>
      <c r="J160" s="147">
        <f t="shared" si="34"/>
        <v>0</v>
      </c>
      <c r="K160" s="147">
        <f t="shared" si="34"/>
        <v>0</v>
      </c>
      <c r="L160" s="147">
        <f t="shared" si="34"/>
        <v>0</v>
      </c>
      <c r="M160" s="147">
        <f t="shared" si="34"/>
        <v>0</v>
      </c>
      <c r="N160" s="147">
        <f t="shared" si="34"/>
        <v>0.15615308899112751</v>
      </c>
      <c r="O160" s="147">
        <f t="shared" si="34"/>
        <v>0.12718205461614449</v>
      </c>
      <c r="P160" s="147">
        <f t="shared" si="34"/>
        <v>0.10592976309750622</v>
      </c>
      <c r="Q160" s="147">
        <f t="shared" si="34"/>
        <v>8.6780385300553431E-2</v>
      </c>
      <c r="R160" s="147">
        <f t="shared" si="34"/>
        <v>7.327693547726806E-2</v>
      </c>
      <c r="S160" s="147">
        <f t="shared" si="34"/>
        <v>6.049313946987387E-2</v>
      </c>
      <c r="T160" s="147">
        <f t="shared" si="34"/>
        <v>4.8479518238989432E-2</v>
      </c>
      <c r="U160" s="147">
        <f t="shared" si="34"/>
        <v>3.7233362138080754E-2</v>
      </c>
      <c r="V160" s="147">
        <f t="shared" si="34"/>
        <v>0</v>
      </c>
      <c r="W160" s="147">
        <f t="shared" si="34"/>
        <v>0</v>
      </c>
      <c r="X160" s="147">
        <f t="shared" si="34"/>
        <v>0</v>
      </c>
      <c r="Y160" s="147">
        <f t="shared" si="34"/>
        <v>0</v>
      </c>
      <c r="Z160" s="147">
        <f t="shared" si="34"/>
        <v>0</v>
      </c>
      <c r="AA160" s="147">
        <f t="shared" si="34"/>
        <v>0</v>
      </c>
      <c r="AB160" s="147">
        <f t="shared" si="34"/>
        <v>0</v>
      </c>
      <c r="AC160" s="147">
        <f t="shared" si="34"/>
        <v>0</v>
      </c>
      <c r="AD160" s="147">
        <f t="shared" si="34"/>
        <v>0</v>
      </c>
      <c r="AE160" s="147">
        <f t="shared" si="34"/>
        <v>0</v>
      </c>
      <c r="AF160" s="147">
        <f t="shared" si="34"/>
        <v>0</v>
      </c>
      <c r="AG160" s="147">
        <f t="shared" si="34"/>
        <v>0</v>
      </c>
      <c r="AH160" s="147">
        <f t="shared" si="34"/>
        <v>0</v>
      </c>
      <c r="AI160" s="147">
        <f t="shared" si="34"/>
        <v>0</v>
      </c>
      <c r="AJ160" s="147">
        <f t="shared" si="34"/>
        <v>0</v>
      </c>
      <c r="AK160" s="147">
        <f t="shared" si="33"/>
        <v>0</v>
      </c>
      <c r="AL160" s="147">
        <f t="shared" si="33"/>
        <v>0</v>
      </c>
      <c r="AM160" s="147">
        <f t="shared" si="33"/>
        <v>0</v>
      </c>
      <c r="AN160" s="147">
        <f t="shared" si="33"/>
        <v>0</v>
      </c>
      <c r="AO160" s="147">
        <f t="shared" si="33"/>
        <v>0</v>
      </c>
      <c r="AP160" s="147">
        <f t="shared" si="33"/>
        <v>0</v>
      </c>
      <c r="AQ160" s="147">
        <f t="shared" si="33"/>
        <v>0</v>
      </c>
      <c r="AR160" s="147">
        <f t="shared" si="33"/>
        <v>0</v>
      </c>
      <c r="AS160" s="147">
        <f t="shared" si="33"/>
        <v>0</v>
      </c>
      <c r="AT160" s="147">
        <f t="shared" si="33"/>
        <v>0</v>
      </c>
      <c r="AU160" s="147">
        <f t="shared" si="33"/>
        <v>0</v>
      </c>
      <c r="AV160" s="147">
        <f t="shared" si="33"/>
        <v>0</v>
      </c>
      <c r="AW160" s="147">
        <f t="shared" si="33"/>
        <v>0</v>
      </c>
      <c r="AX160" s="147">
        <f t="shared" si="33"/>
        <v>0</v>
      </c>
      <c r="AY160" s="147">
        <f t="shared" si="33"/>
        <v>0</v>
      </c>
      <c r="AZ160" s="147">
        <f t="shared" si="33"/>
        <v>0</v>
      </c>
      <c r="BA160" s="147">
        <f t="shared" si="33"/>
        <v>0</v>
      </c>
      <c r="BB160" s="147">
        <f t="shared" si="33"/>
        <v>0</v>
      </c>
      <c r="BC160" s="147">
        <f t="shared" si="33"/>
        <v>0</v>
      </c>
      <c r="BD160" s="147">
        <f t="shared" si="33"/>
        <v>0</v>
      </c>
      <c r="BE160" s="147">
        <f t="shared" si="33"/>
        <v>0</v>
      </c>
      <c r="BF160" s="147">
        <f t="shared" si="33"/>
        <v>0</v>
      </c>
      <c r="BG160" s="147">
        <f t="shared" si="33"/>
        <v>0</v>
      </c>
      <c r="BH160" s="147">
        <f t="shared" si="33"/>
        <v>0</v>
      </c>
      <c r="BI160" s="147">
        <f t="shared" si="33"/>
        <v>0</v>
      </c>
      <c r="BJ160" s="147">
        <f t="shared" si="33"/>
        <v>0</v>
      </c>
      <c r="BK160" s="147">
        <f t="shared" si="33"/>
        <v>0</v>
      </c>
      <c r="BL160" s="147">
        <f t="shared" si="33"/>
        <v>0</v>
      </c>
    </row>
    <row r="161" spans="2:64" x14ac:dyDescent="0.15">
      <c r="C161" s="84" t="s">
        <v>374</v>
      </c>
      <c r="E161" s="147">
        <f t="shared" si="34"/>
        <v>0</v>
      </c>
      <c r="F161" s="147">
        <f t="shared" si="34"/>
        <v>0</v>
      </c>
      <c r="G161" s="147">
        <f t="shared" si="34"/>
        <v>0</v>
      </c>
      <c r="H161" s="147">
        <f t="shared" si="34"/>
        <v>0</v>
      </c>
      <c r="I161" s="147">
        <f t="shared" si="34"/>
        <v>0</v>
      </c>
      <c r="J161" s="147">
        <f t="shared" si="34"/>
        <v>0</v>
      </c>
      <c r="K161" s="147">
        <f t="shared" si="34"/>
        <v>0</v>
      </c>
      <c r="L161" s="147">
        <f t="shared" si="34"/>
        <v>0</v>
      </c>
      <c r="M161" s="147">
        <f t="shared" si="34"/>
        <v>0</v>
      </c>
      <c r="N161" s="147">
        <f t="shared" si="34"/>
        <v>0</v>
      </c>
      <c r="O161" s="147">
        <f t="shared" si="34"/>
        <v>0.15615308899112751</v>
      </c>
      <c r="P161" s="147">
        <f t="shared" si="34"/>
        <v>0.12718205461614449</v>
      </c>
      <c r="Q161" s="147">
        <f t="shared" si="34"/>
        <v>0.10592976309750622</v>
      </c>
      <c r="R161" s="147">
        <f t="shared" si="34"/>
        <v>8.6780385300553431E-2</v>
      </c>
      <c r="S161" s="147">
        <f t="shared" si="34"/>
        <v>7.327693547726806E-2</v>
      </c>
      <c r="T161" s="147">
        <f t="shared" si="34"/>
        <v>6.049313946987387E-2</v>
      </c>
      <c r="U161" s="147">
        <f t="shared" si="34"/>
        <v>4.8479518238989432E-2</v>
      </c>
      <c r="V161" s="147">
        <f t="shared" si="34"/>
        <v>0</v>
      </c>
      <c r="W161" s="147">
        <f t="shared" si="34"/>
        <v>0</v>
      </c>
      <c r="X161" s="147">
        <f t="shared" si="34"/>
        <v>0</v>
      </c>
      <c r="Y161" s="147">
        <f t="shared" si="34"/>
        <v>0</v>
      </c>
      <c r="Z161" s="147">
        <f t="shared" si="34"/>
        <v>0</v>
      </c>
      <c r="AA161" s="147">
        <f t="shared" si="34"/>
        <v>0</v>
      </c>
      <c r="AB161" s="147">
        <f t="shared" si="34"/>
        <v>0</v>
      </c>
      <c r="AC161" s="147">
        <f t="shared" si="34"/>
        <v>0</v>
      </c>
      <c r="AD161" s="147">
        <f t="shared" si="34"/>
        <v>0</v>
      </c>
      <c r="AE161" s="147">
        <f t="shared" si="34"/>
        <v>0</v>
      </c>
      <c r="AF161" s="147">
        <f t="shared" si="34"/>
        <v>0</v>
      </c>
      <c r="AG161" s="147">
        <f t="shared" si="34"/>
        <v>0</v>
      </c>
      <c r="AH161" s="147">
        <f t="shared" si="34"/>
        <v>0</v>
      </c>
      <c r="AI161" s="147">
        <f t="shared" si="34"/>
        <v>0</v>
      </c>
      <c r="AJ161" s="147">
        <f t="shared" si="34"/>
        <v>0</v>
      </c>
      <c r="AK161" s="147">
        <f t="shared" si="33"/>
        <v>0</v>
      </c>
      <c r="AL161" s="147">
        <f t="shared" si="33"/>
        <v>0</v>
      </c>
      <c r="AM161" s="147">
        <f t="shared" si="33"/>
        <v>0</v>
      </c>
      <c r="AN161" s="147">
        <f t="shared" si="33"/>
        <v>0</v>
      </c>
      <c r="AO161" s="147">
        <f t="shared" si="33"/>
        <v>0</v>
      </c>
      <c r="AP161" s="147">
        <f t="shared" si="33"/>
        <v>0</v>
      </c>
      <c r="AQ161" s="147">
        <f t="shared" si="33"/>
        <v>0</v>
      </c>
      <c r="AR161" s="147">
        <f t="shared" si="33"/>
        <v>0</v>
      </c>
      <c r="AS161" s="147">
        <f t="shared" si="33"/>
        <v>0</v>
      </c>
      <c r="AT161" s="147">
        <f t="shared" si="33"/>
        <v>0</v>
      </c>
      <c r="AU161" s="147">
        <f t="shared" si="33"/>
        <v>0</v>
      </c>
      <c r="AV161" s="147">
        <f t="shared" si="33"/>
        <v>0</v>
      </c>
      <c r="AW161" s="147">
        <f t="shared" si="33"/>
        <v>0</v>
      </c>
      <c r="AX161" s="147">
        <f t="shared" si="33"/>
        <v>0</v>
      </c>
      <c r="AY161" s="147">
        <f t="shared" si="33"/>
        <v>0</v>
      </c>
      <c r="AZ161" s="147">
        <f t="shared" si="33"/>
        <v>0</v>
      </c>
      <c r="BA161" s="147">
        <f t="shared" si="33"/>
        <v>0</v>
      </c>
      <c r="BB161" s="147">
        <f t="shared" si="33"/>
        <v>0</v>
      </c>
      <c r="BC161" s="147">
        <f t="shared" si="33"/>
        <v>0</v>
      </c>
      <c r="BD161" s="147">
        <f t="shared" si="33"/>
        <v>0</v>
      </c>
      <c r="BE161" s="147">
        <f t="shared" si="33"/>
        <v>0</v>
      </c>
      <c r="BF161" s="147">
        <f t="shared" si="33"/>
        <v>0</v>
      </c>
      <c r="BG161" s="147">
        <f t="shared" si="33"/>
        <v>0</v>
      </c>
      <c r="BH161" s="147">
        <f t="shared" si="33"/>
        <v>0</v>
      </c>
      <c r="BI161" s="147">
        <f t="shared" si="33"/>
        <v>0</v>
      </c>
      <c r="BJ161" s="147">
        <f t="shared" si="33"/>
        <v>0</v>
      </c>
      <c r="BK161" s="147">
        <f t="shared" si="33"/>
        <v>0</v>
      </c>
      <c r="BL161" s="147">
        <f t="shared" si="33"/>
        <v>0</v>
      </c>
    </row>
    <row r="162" spans="2:64" x14ac:dyDescent="0.15">
      <c r="C162" s="84" t="s">
        <v>375</v>
      </c>
      <c r="E162" s="147">
        <f t="shared" si="34"/>
        <v>0</v>
      </c>
      <c r="F162" s="147">
        <f t="shared" si="34"/>
        <v>0</v>
      </c>
      <c r="G162" s="147">
        <f t="shared" si="34"/>
        <v>0</v>
      </c>
      <c r="H162" s="147">
        <f t="shared" si="34"/>
        <v>0</v>
      </c>
      <c r="I162" s="147">
        <f t="shared" si="34"/>
        <v>0</v>
      </c>
      <c r="J162" s="147">
        <f t="shared" si="34"/>
        <v>0</v>
      </c>
      <c r="K162" s="147">
        <f t="shared" si="34"/>
        <v>0</v>
      </c>
      <c r="L162" s="147">
        <f t="shared" si="34"/>
        <v>0</v>
      </c>
      <c r="M162" s="147">
        <f t="shared" si="34"/>
        <v>0</v>
      </c>
      <c r="N162" s="147">
        <f t="shared" si="34"/>
        <v>0</v>
      </c>
      <c r="O162" s="147">
        <f t="shared" si="34"/>
        <v>0</v>
      </c>
      <c r="P162" s="147">
        <f t="shared" si="34"/>
        <v>0.15615308899112751</v>
      </c>
      <c r="Q162" s="147">
        <f t="shared" si="34"/>
        <v>0.12718205461614449</v>
      </c>
      <c r="R162" s="147">
        <f t="shared" si="34"/>
        <v>0.10592976309750622</v>
      </c>
      <c r="S162" s="147">
        <f t="shared" si="34"/>
        <v>8.6780385300553431E-2</v>
      </c>
      <c r="T162" s="147">
        <f t="shared" si="34"/>
        <v>7.327693547726806E-2</v>
      </c>
      <c r="U162" s="147">
        <f t="shared" si="34"/>
        <v>6.049313946987387E-2</v>
      </c>
      <c r="V162" s="147">
        <f t="shared" si="34"/>
        <v>0</v>
      </c>
      <c r="W162" s="147">
        <f t="shared" si="34"/>
        <v>0</v>
      </c>
      <c r="X162" s="147">
        <f t="shared" si="34"/>
        <v>0</v>
      </c>
      <c r="Y162" s="147">
        <f t="shared" si="34"/>
        <v>0</v>
      </c>
      <c r="Z162" s="147">
        <f t="shared" si="34"/>
        <v>0</v>
      </c>
      <c r="AA162" s="147">
        <f t="shared" si="34"/>
        <v>0</v>
      </c>
      <c r="AB162" s="147">
        <f t="shared" si="34"/>
        <v>0</v>
      </c>
      <c r="AC162" s="147">
        <f t="shared" si="34"/>
        <v>0</v>
      </c>
      <c r="AD162" s="147">
        <f t="shared" si="34"/>
        <v>0</v>
      </c>
      <c r="AE162" s="147">
        <f t="shared" si="34"/>
        <v>0</v>
      </c>
      <c r="AF162" s="147">
        <f t="shared" si="34"/>
        <v>0</v>
      </c>
      <c r="AG162" s="147">
        <f t="shared" si="34"/>
        <v>0</v>
      </c>
      <c r="AH162" s="147">
        <f t="shared" si="34"/>
        <v>0</v>
      </c>
      <c r="AI162" s="147">
        <f t="shared" si="34"/>
        <v>0</v>
      </c>
      <c r="AJ162" s="147">
        <f t="shared" ref="AJ162:BO162" si="35">IF(AJ$5&gt;$D$7,0,AJ39*$F124)</f>
        <v>0</v>
      </c>
      <c r="AK162" s="147">
        <f t="shared" si="33"/>
        <v>0</v>
      </c>
      <c r="AL162" s="147">
        <f t="shared" si="33"/>
        <v>0</v>
      </c>
      <c r="AM162" s="147">
        <f t="shared" si="33"/>
        <v>0</v>
      </c>
      <c r="AN162" s="147">
        <f t="shared" si="33"/>
        <v>0</v>
      </c>
      <c r="AO162" s="147">
        <f t="shared" si="33"/>
        <v>0</v>
      </c>
      <c r="AP162" s="147">
        <f t="shared" si="33"/>
        <v>0</v>
      </c>
      <c r="AQ162" s="147">
        <f t="shared" si="33"/>
        <v>0</v>
      </c>
      <c r="AR162" s="147">
        <f t="shared" si="33"/>
        <v>0</v>
      </c>
      <c r="AS162" s="147">
        <f t="shared" si="33"/>
        <v>0</v>
      </c>
      <c r="AT162" s="147">
        <f t="shared" si="33"/>
        <v>0</v>
      </c>
      <c r="AU162" s="147">
        <f t="shared" si="33"/>
        <v>0</v>
      </c>
      <c r="AV162" s="147">
        <f t="shared" si="33"/>
        <v>0</v>
      </c>
      <c r="AW162" s="147">
        <f t="shared" si="33"/>
        <v>0</v>
      </c>
      <c r="AX162" s="147">
        <f t="shared" si="33"/>
        <v>0</v>
      </c>
      <c r="AY162" s="147">
        <f t="shared" ref="AY162:BZ162" si="36">IF(AY$5&gt;$D$7,0,AY39*$F124)</f>
        <v>0</v>
      </c>
      <c r="AZ162" s="147">
        <f t="shared" si="36"/>
        <v>0</v>
      </c>
      <c r="BA162" s="147">
        <f t="shared" si="36"/>
        <v>0</v>
      </c>
      <c r="BB162" s="147">
        <f t="shared" si="36"/>
        <v>0</v>
      </c>
      <c r="BC162" s="147">
        <f t="shared" si="36"/>
        <v>0</v>
      </c>
      <c r="BD162" s="147">
        <f t="shared" si="36"/>
        <v>0</v>
      </c>
      <c r="BE162" s="147">
        <f t="shared" si="36"/>
        <v>0</v>
      </c>
      <c r="BF162" s="147">
        <f t="shared" si="36"/>
        <v>0</v>
      </c>
      <c r="BG162" s="147">
        <f t="shared" si="36"/>
        <v>0</v>
      </c>
      <c r="BH162" s="147">
        <f t="shared" si="36"/>
        <v>0</v>
      </c>
      <c r="BI162" s="147">
        <f t="shared" si="36"/>
        <v>0</v>
      </c>
      <c r="BJ162" s="147">
        <f t="shared" si="36"/>
        <v>0</v>
      </c>
      <c r="BK162" s="147">
        <f t="shared" si="36"/>
        <v>0</v>
      </c>
      <c r="BL162" s="147">
        <f t="shared" si="36"/>
        <v>0</v>
      </c>
    </row>
    <row r="163" spans="2:64" x14ac:dyDescent="0.15">
      <c r="C163" s="84" t="s">
        <v>377</v>
      </c>
      <c r="E163" s="147">
        <f t="shared" ref="E163:BL164" si="37">IF(E$5&gt;$D$7,0,E40*$F125)</f>
        <v>0</v>
      </c>
      <c r="F163" s="147">
        <f t="shared" si="37"/>
        <v>0</v>
      </c>
      <c r="G163" s="147">
        <f t="shared" si="37"/>
        <v>0</v>
      </c>
      <c r="H163" s="147">
        <f t="shared" si="37"/>
        <v>0</v>
      </c>
      <c r="I163" s="147">
        <f t="shared" si="37"/>
        <v>0</v>
      </c>
      <c r="J163" s="147">
        <f t="shared" si="37"/>
        <v>0</v>
      </c>
      <c r="K163" s="147">
        <f t="shared" si="37"/>
        <v>0</v>
      </c>
      <c r="L163" s="147">
        <f t="shared" si="37"/>
        <v>0</v>
      </c>
      <c r="M163" s="147">
        <f t="shared" si="37"/>
        <v>0</v>
      </c>
      <c r="N163" s="147">
        <f t="shared" si="37"/>
        <v>0</v>
      </c>
      <c r="O163" s="147">
        <f t="shared" si="37"/>
        <v>0</v>
      </c>
      <c r="P163" s="147">
        <f t="shared" si="37"/>
        <v>0</v>
      </c>
      <c r="Q163" s="147">
        <f t="shared" si="37"/>
        <v>0.30769081574606411</v>
      </c>
      <c r="R163" s="147">
        <f t="shared" si="37"/>
        <v>0.25060503372639309</v>
      </c>
      <c r="S163" s="147">
        <f t="shared" si="37"/>
        <v>0.20872859723646547</v>
      </c>
      <c r="T163" s="147">
        <f t="shared" si="37"/>
        <v>0.17099583310453881</v>
      </c>
      <c r="U163" s="147">
        <f t="shared" si="37"/>
        <v>0.14438805020151343</v>
      </c>
      <c r="V163" s="147">
        <f t="shared" si="37"/>
        <v>0</v>
      </c>
      <c r="W163" s="147">
        <f t="shared" si="37"/>
        <v>0</v>
      </c>
      <c r="X163" s="147">
        <f t="shared" si="37"/>
        <v>0</v>
      </c>
      <c r="Y163" s="147">
        <f t="shared" si="37"/>
        <v>0</v>
      </c>
      <c r="Z163" s="147">
        <f t="shared" si="37"/>
        <v>0</v>
      </c>
      <c r="AA163" s="147">
        <f t="shared" si="37"/>
        <v>0</v>
      </c>
      <c r="AB163" s="147">
        <f t="shared" si="37"/>
        <v>0</v>
      </c>
      <c r="AC163" s="147">
        <f t="shared" si="37"/>
        <v>0</v>
      </c>
      <c r="AD163" s="147">
        <f t="shared" si="37"/>
        <v>0</v>
      </c>
      <c r="AE163" s="147">
        <f t="shared" si="37"/>
        <v>0</v>
      </c>
      <c r="AF163" s="147">
        <f t="shared" si="37"/>
        <v>0</v>
      </c>
      <c r="AG163" s="147">
        <f t="shared" si="37"/>
        <v>0</v>
      </c>
      <c r="AH163" s="147">
        <f t="shared" si="37"/>
        <v>0</v>
      </c>
      <c r="AI163" s="147">
        <f t="shared" si="37"/>
        <v>0</v>
      </c>
      <c r="AJ163" s="147">
        <f t="shared" si="37"/>
        <v>0</v>
      </c>
      <c r="AK163" s="147">
        <f t="shared" si="37"/>
        <v>0</v>
      </c>
      <c r="AL163" s="147">
        <f t="shared" si="37"/>
        <v>0</v>
      </c>
      <c r="AM163" s="147">
        <f t="shared" si="37"/>
        <v>0</v>
      </c>
      <c r="AN163" s="147">
        <f t="shared" si="37"/>
        <v>0</v>
      </c>
      <c r="AO163" s="147">
        <f t="shared" si="37"/>
        <v>0</v>
      </c>
      <c r="AP163" s="147">
        <f t="shared" si="37"/>
        <v>0</v>
      </c>
      <c r="AQ163" s="147">
        <f t="shared" si="37"/>
        <v>0</v>
      </c>
      <c r="AR163" s="147">
        <f t="shared" si="37"/>
        <v>0</v>
      </c>
      <c r="AS163" s="147">
        <f t="shared" si="37"/>
        <v>0</v>
      </c>
      <c r="AT163" s="147">
        <f t="shared" si="37"/>
        <v>0</v>
      </c>
      <c r="AU163" s="147">
        <f t="shared" si="37"/>
        <v>0</v>
      </c>
      <c r="AV163" s="147">
        <f t="shared" si="37"/>
        <v>0</v>
      </c>
      <c r="AW163" s="147">
        <f t="shared" si="37"/>
        <v>0</v>
      </c>
      <c r="AX163" s="147">
        <f t="shared" si="37"/>
        <v>0</v>
      </c>
      <c r="AY163" s="147">
        <f t="shared" si="37"/>
        <v>0</v>
      </c>
      <c r="AZ163" s="147">
        <f t="shared" si="37"/>
        <v>0</v>
      </c>
      <c r="BA163" s="147">
        <f t="shared" si="37"/>
        <v>0</v>
      </c>
      <c r="BB163" s="147">
        <f t="shared" si="37"/>
        <v>0</v>
      </c>
      <c r="BC163" s="147">
        <f t="shared" si="37"/>
        <v>0</v>
      </c>
      <c r="BD163" s="147">
        <f t="shared" si="37"/>
        <v>0</v>
      </c>
      <c r="BE163" s="147">
        <f t="shared" si="37"/>
        <v>0</v>
      </c>
      <c r="BF163" s="147">
        <f t="shared" si="37"/>
        <v>0</v>
      </c>
      <c r="BG163" s="147">
        <f t="shared" si="37"/>
        <v>0</v>
      </c>
      <c r="BH163" s="147">
        <f t="shared" si="37"/>
        <v>0</v>
      </c>
      <c r="BI163" s="147">
        <f t="shared" si="37"/>
        <v>0</v>
      </c>
      <c r="BJ163" s="147">
        <f t="shared" si="37"/>
        <v>0</v>
      </c>
      <c r="BK163" s="147">
        <f t="shared" si="37"/>
        <v>0</v>
      </c>
      <c r="BL163" s="147">
        <f t="shared" si="37"/>
        <v>0</v>
      </c>
    </row>
    <row r="164" spans="2:64" x14ac:dyDescent="0.15">
      <c r="C164" s="84" t="s">
        <v>379</v>
      </c>
      <c r="E164" s="147">
        <f t="shared" si="37"/>
        <v>0</v>
      </c>
      <c r="F164" s="147">
        <f t="shared" si="37"/>
        <v>0</v>
      </c>
      <c r="G164" s="147">
        <f t="shared" si="37"/>
        <v>0</v>
      </c>
      <c r="H164" s="147">
        <f t="shared" si="37"/>
        <v>0</v>
      </c>
      <c r="I164" s="147">
        <f t="shared" si="37"/>
        <v>0</v>
      </c>
      <c r="J164" s="147">
        <f t="shared" si="37"/>
        <v>0</v>
      </c>
      <c r="K164" s="147">
        <f t="shared" si="37"/>
        <v>0</v>
      </c>
      <c r="L164" s="147">
        <f t="shared" si="37"/>
        <v>0</v>
      </c>
      <c r="M164" s="147">
        <f t="shared" si="37"/>
        <v>0</v>
      </c>
      <c r="N164" s="147">
        <f t="shared" si="37"/>
        <v>0</v>
      </c>
      <c r="O164" s="147">
        <f t="shared" si="37"/>
        <v>0</v>
      </c>
      <c r="P164" s="147">
        <f t="shared" si="37"/>
        <v>0</v>
      </c>
      <c r="Q164" s="147">
        <f t="shared" si="37"/>
        <v>0</v>
      </c>
      <c r="R164" s="147">
        <f t="shared" si="37"/>
        <v>0.30769081574606411</v>
      </c>
      <c r="S164" s="147">
        <f t="shared" si="37"/>
        <v>0.55829584947245725</v>
      </c>
      <c r="T164" s="147">
        <f t="shared" si="37"/>
        <v>0.76702444670892267</v>
      </c>
      <c r="U164" s="147">
        <f t="shared" si="37"/>
        <v>0.93802027981346148</v>
      </c>
      <c r="V164" s="147">
        <f t="shared" si="37"/>
        <v>0</v>
      </c>
      <c r="W164" s="147">
        <f t="shared" si="37"/>
        <v>0</v>
      </c>
      <c r="X164" s="147">
        <f t="shared" si="37"/>
        <v>0</v>
      </c>
      <c r="Y164" s="147">
        <f t="shared" si="37"/>
        <v>0</v>
      </c>
      <c r="Z164" s="147">
        <f t="shared" si="37"/>
        <v>0</v>
      </c>
      <c r="AA164" s="147">
        <f t="shared" si="37"/>
        <v>0</v>
      </c>
      <c r="AB164" s="147">
        <f t="shared" si="37"/>
        <v>0</v>
      </c>
      <c r="AC164" s="147">
        <f t="shared" si="37"/>
        <v>0</v>
      </c>
      <c r="AD164" s="147">
        <f t="shared" si="37"/>
        <v>0</v>
      </c>
      <c r="AE164" s="147">
        <f t="shared" si="37"/>
        <v>0</v>
      </c>
      <c r="AF164" s="147">
        <f t="shared" si="37"/>
        <v>0</v>
      </c>
      <c r="AG164" s="147">
        <f t="shared" si="37"/>
        <v>0</v>
      </c>
      <c r="AH164" s="147">
        <f t="shared" si="37"/>
        <v>0</v>
      </c>
      <c r="AI164" s="147">
        <f t="shared" si="37"/>
        <v>0</v>
      </c>
      <c r="AJ164" s="147">
        <f t="shared" si="37"/>
        <v>0</v>
      </c>
      <c r="AK164" s="147">
        <f t="shared" si="37"/>
        <v>0</v>
      </c>
      <c r="AL164" s="147">
        <f t="shared" si="37"/>
        <v>0</v>
      </c>
      <c r="AM164" s="147">
        <f t="shared" si="37"/>
        <v>0</v>
      </c>
      <c r="AN164" s="147">
        <f t="shared" si="37"/>
        <v>0</v>
      </c>
      <c r="AO164" s="147">
        <f t="shared" si="37"/>
        <v>0</v>
      </c>
      <c r="AP164" s="147">
        <f t="shared" si="37"/>
        <v>0</v>
      </c>
      <c r="AQ164" s="147">
        <f t="shared" si="37"/>
        <v>0</v>
      </c>
      <c r="AR164" s="147">
        <f t="shared" si="37"/>
        <v>0</v>
      </c>
      <c r="AS164" s="147">
        <f t="shared" si="37"/>
        <v>0</v>
      </c>
      <c r="AT164" s="147">
        <f t="shared" si="37"/>
        <v>0</v>
      </c>
      <c r="AU164" s="147">
        <f t="shared" si="37"/>
        <v>0</v>
      </c>
      <c r="AV164" s="147">
        <f t="shared" si="37"/>
        <v>0</v>
      </c>
      <c r="AW164" s="147">
        <f t="shared" si="37"/>
        <v>0</v>
      </c>
      <c r="AX164" s="147">
        <f t="shared" si="37"/>
        <v>0</v>
      </c>
      <c r="AY164" s="147">
        <f t="shared" si="37"/>
        <v>0</v>
      </c>
      <c r="AZ164" s="147">
        <f t="shared" si="37"/>
        <v>0</v>
      </c>
      <c r="BA164" s="147">
        <f t="shared" si="37"/>
        <v>0</v>
      </c>
      <c r="BB164" s="147">
        <f t="shared" si="37"/>
        <v>0</v>
      </c>
      <c r="BC164" s="147">
        <f t="shared" si="37"/>
        <v>0</v>
      </c>
      <c r="BD164" s="147">
        <f t="shared" si="37"/>
        <v>0</v>
      </c>
      <c r="BE164" s="147">
        <f t="shared" si="37"/>
        <v>0</v>
      </c>
      <c r="BF164" s="147">
        <f t="shared" si="37"/>
        <v>0</v>
      </c>
      <c r="BG164" s="147">
        <f t="shared" si="37"/>
        <v>0</v>
      </c>
      <c r="BH164" s="147">
        <f t="shared" si="37"/>
        <v>0</v>
      </c>
      <c r="BI164" s="147">
        <f t="shared" si="37"/>
        <v>0</v>
      </c>
      <c r="BJ164" s="147">
        <f t="shared" si="37"/>
        <v>0</v>
      </c>
      <c r="BK164" s="147">
        <f t="shared" si="37"/>
        <v>0</v>
      </c>
      <c r="BL164" s="147">
        <f t="shared" si="37"/>
        <v>0</v>
      </c>
    </row>
    <row r="165" spans="2:64" x14ac:dyDescent="0.15">
      <c r="C165" s="84" t="s">
        <v>405</v>
      </c>
      <c r="E165" s="140">
        <f t="shared" ref="E165:BL165" si="38">IF(E$5&gt;$D$7,0,IF(E$5=$D$7,E44,SUM(E150:E164)))</f>
        <v>0.10625896909678487</v>
      </c>
      <c r="F165" s="140">
        <f t="shared" si="38"/>
        <v>0.10671369743708502</v>
      </c>
      <c r="G165" s="140">
        <f t="shared" si="38"/>
        <v>0.10532270163572466</v>
      </c>
      <c r="H165" s="140">
        <f t="shared" si="38"/>
        <v>0.15163199813370898</v>
      </c>
      <c r="I165" s="140">
        <f t="shared" si="38"/>
        <v>0.18861926123162873</v>
      </c>
      <c r="J165" s="140">
        <f t="shared" si="38"/>
        <v>0.21843713479231699</v>
      </c>
      <c r="K165" s="140">
        <f t="shared" si="38"/>
        <v>0.33407095164386602</v>
      </c>
      <c r="L165" s="140">
        <f t="shared" si="38"/>
        <v>0.42783883654308053</v>
      </c>
      <c r="M165" s="140">
        <f t="shared" si="38"/>
        <v>0.50459959218567096</v>
      </c>
      <c r="N165" s="140">
        <f t="shared" si="38"/>
        <v>0.56591312488997048</v>
      </c>
      <c r="O165" s="140">
        <f t="shared" si="38"/>
        <v>0.61552844562655484</v>
      </c>
      <c r="P165" s="140">
        <f t="shared" si="38"/>
        <v>0.65868977982282395</v>
      </c>
      <c r="Q165" s="140">
        <f t="shared" si="38"/>
        <v>0.84386268398173891</v>
      </c>
      <c r="R165" s="140">
        <f t="shared" si="38"/>
        <v>0.99167412196392157</v>
      </c>
      <c r="S165" s="140">
        <f t="shared" si="38"/>
        <v>1.1102836760644199</v>
      </c>
      <c r="T165" s="140">
        <f t="shared" si="38"/>
        <v>1.204558481049862</v>
      </c>
      <c r="U165" s="140">
        <f t="shared" si="38"/>
        <v>1.4725946221528921</v>
      </c>
      <c r="V165" s="140">
        <f t="shared" si="38"/>
        <v>0</v>
      </c>
      <c r="W165" s="140">
        <f t="shared" si="38"/>
        <v>0</v>
      </c>
      <c r="X165" s="140">
        <f t="shared" si="38"/>
        <v>0</v>
      </c>
      <c r="Y165" s="140">
        <f t="shared" si="38"/>
        <v>0</v>
      </c>
      <c r="Z165" s="140">
        <f t="shared" si="38"/>
        <v>0</v>
      </c>
      <c r="AA165" s="140">
        <f t="shared" si="38"/>
        <v>0</v>
      </c>
      <c r="AB165" s="140">
        <f t="shared" si="38"/>
        <v>0</v>
      </c>
      <c r="AC165" s="140">
        <f t="shared" si="38"/>
        <v>0</v>
      </c>
      <c r="AD165" s="140">
        <f t="shared" si="38"/>
        <v>0</v>
      </c>
      <c r="AE165" s="140">
        <f t="shared" si="38"/>
        <v>0</v>
      </c>
      <c r="AF165" s="140">
        <f t="shared" si="38"/>
        <v>0</v>
      </c>
      <c r="AG165" s="140">
        <f t="shared" si="38"/>
        <v>0</v>
      </c>
      <c r="AH165" s="140">
        <f t="shared" si="38"/>
        <v>0</v>
      </c>
      <c r="AI165" s="140">
        <f t="shared" si="38"/>
        <v>0</v>
      </c>
      <c r="AJ165" s="140">
        <f t="shared" si="38"/>
        <v>0</v>
      </c>
      <c r="AK165" s="140">
        <f t="shared" si="38"/>
        <v>0</v>
      </c>
      <c r="AL165" s="140">
        <f t="shared" si="38"/>
        <v>0</v>
      </c>
      <c r="AM165" s="140">
        <f t="shared" si="38"/>
        <v>0</v>
      </c>
      <c r="AN165" s="140">
        <f t="shared" si="38"/>
        <v>0</v>
      </c>
      <c r="AO165" s="140">
        <f t="shared" si="38"/>
        <v>0</v>
      </c>
      <c r="AP165" s="140">
        <f t="shared" si="38"/>
        <v>0</v>
      </c>
      <c r="AQ165" s="140">
        <f t="shared" si="38"/>
        <v>0</v>
      </c>
      <c r="AR165" s="140">
        <f t="shared" si="38"/>
        <v>0</v>
      </c>
      <c r="AS165" s="140">
        <f t="shared" si="38"/>
        <v>0</v>
      </c>
      <c r="AT165" s="140">
        <f t="shared" si="38"/>
        <v>0</v>
      </c>
      <c r="AU165" s="140">
        <f t="shared" si="38"/>
        <v>0</v>
      </c>
      <c r="AV165" s="140">
        <f t="shared" si="38"/>
        <v>0</v>
      </c>
      <c r="AW165" s="140">
        <f t="shared" si="38"/>
        <v>0</v>
      </c>
      <c r="AX165" s="140">
        <f t="shared" si="38"/>
        <v>0</v>
      </c>
      <c r="AY165" s="140">
        <f t="shared" si="38"/>
        <v>0</v>
      </c>
      <c r="AZ165" s="140">
        <f t="shared" si="38"/>
        <v>0</v>
      </c>
      <c r="BA165" s="140">
        <f t="shared" si="38"/>
        <v>0</v>
      </c>
      <c r="BB165" s="140">
        <f t="shared" si="38"/>
        <v>0</v>
      </c>
      <c r="BC165" s="140">
        <f t="shared" si="38"/>
        <v>0</v>
      </c>
      <c r="BD165" s="140">
        <f t="shared" si="38"/>
        <v>0</v>
      </c>
      <c r="BE165" s="140">
        <f t="shared" si="38"/>
        <v>0</v>
      </c>
      <c r="BF165" s="140">
        <f t="shared" si="38"/>
        <v>0</v>
      </c>
      <c r="BG165" s="140">
        <f t="shared" si="38"/>
        <v>0</v>
      </c>
      <c r="BH165" s="140">
        <f t="shared" si="38"/>
        <v>0</v>
      </c>
      <c r="BI165" s="140">
        <f t="shared" si="38"/>
        <v>0</v>
      </c>
      <c r="BJ165" s="140">
        <f t="shared" si="38"/>
        <v>0</v>
      </c>
      <c r="BK165" s="140">
        <f t="shared" si="38"/>
        <v>0</v>
      </c>
      <c r="BL165" s="140">
        <f t="shared" si="38"/>
        <v>0</v>
      </c>
    </row>
    <row r="166" spans="2:64" x14ac:dyDescent="0.15">
      <c r="C166" s="155" t="s">
        <v>404</v>
      </c>
      <c r="D166" s="297"/>
      <c r="E166" s="297">
        <f t="shared" ref="E166:BL166" si="39">-IF(E$5&gt;$D$7,0,E165-D165)</f>
        <v>-0.10625896909678487</v>
      </c>
      <c r="F166" s="297">
        <f t="shared" si="39"/>
        <v>-4.5472834030015064E-4</v>
      </c>
      <c r="G166" s="297">
        <f t="shared" si="39"/>
        <v>1.3909958013603591E-3</v>
      </c>
      <c r="H166" s="297">
        <f t="shared" si="39"/>
        <v>-4.630929649798432E-2</v>
      </c>
      <c r="I166" s="297">
        <f t="shared" si="39"/>
        <v>-3.6987263097919748E-2</v>
      </c>
      <c r="J166" s="297">
        <f t="shared" si="39"/>
        <v>-2.9817873560688268E-2</v>
      </c>
      <c r="K166" s="297">
        <f t="shared" si="39"/>
        <v>-0.11563381685154903</v>
      </c>
      <c r="L166" s="297">
        <f t="shared" si="39"/>
        <v>-9.3767884899214504E-2</v>
      </c>
      <c r="M166" s="297">
        <f t="shared" si="39"/>
        <v>-7.6760755642590439E-2</v>
      </c>
      <c r="N166" s="297">
        <f t="shared" si="39"/>
        <v>-6.1313532704299512E-2</v>
      </c>
      <c r="O166" s="297">
        <f t="shared" si="39"/>
        <v>-4.9615320736584367E-2</v>
      </c>
      <c r="P166" s="297">
        <f t="shared" si="39"/>
        <v>-4.3161334196269108E-2</v>
      </c>
      <c r="Q166" s="297">
        <f t="shared" si="39"/>
        <v>-0.18517290415891496</v>
      </c>
      <c r="R166" s="297">
        <f t="shared" si="39"/>
        <v>-0.14781143798218266</v>
      </c>
      <c r="S166" s="297">
        <f t="shared" si="39"/>
        <v>-0.11860955410049834</v>
      </c>
      <c r="T166" s="297">
        <f t="shared" si="39"/>
        <v>-9.4274804985442051E-2</v>
      </c>
      <c r="U166" s="297">
        <f t="shared" si="39"/>
        <v>-0.26803614110303009</v>
      </c>
      <c r="V166" s="297">
        <f t="shared" si="39"/>
        <v>0</v>
      </c>
      <c r="W166" s="297">
        <f t="shared" si="39"/>
        <v>0</v>
      </c>
      <c r="X166" s="297">
        <f t="shared" si="39"/>
        <v>0</v>
      </c>
      <c r="Y166" s="297">
        <f t="shared" si="39"/>
        <v>0</v>
      </c>
      <c r="Z166" s="297">
        <f t="shared" si="39"/>
        <v>0</v>
      </c>
      <c r="AA166" s="297">
        <f t="shared" si="39"/>
        <v>0</v>
      </c>
      <c r="AB166" s="297">
        <f t="shared" si="39"/>
        <v>0</v>
      </c>
      <c r="AC166" s="297">
        <f t="shared" si="39"/>
        <v>0</v>
      </c>
      <c r="AD166" s="297">
        <f t="shared" si="39"/>
        <v>0</v>
      </c>
      <c r="AE166" s="297">
        <f t="shared" si="39"/>
        <v>0</v>
      </c>
      <c r="AF166" s="297">
        <f t="shared" si="39"/>
        <v>0</v>
      </c>
      <c r="AG166" s="297">
        <f t="shared" si="39"/>
        <v>0</v>
      </c>
      <c r="AH166" s="297">
        <f t="shared" si="39"/>
        <v>0</v>
      </c>
      <c r="AI166" s="297">
        <f t="shared" si="39"/>
        <v>0</v>
      </c>
      <c r="AJ166" s="297">
        <f t="shared" si="39"/>
        <v>0</v>
      </c>
      <c r="AK166" s="297">
        <f t="shared" si="39"/>
        <v>0</v>
      </c>
      <c r="AL166" s="297">
        <f t="shared" si="39"/>
        <v>0</v>
      </c>
      <c r="AM166" s="297">
        <f t="shared" si="39"/>
        <v>0</v>
      </c>
      <c r="AN166" s="297">
        <f t="shared" si="39"/>
        <v>0</v>
      </c>
      <c r="AO166" s="297">
        <f t="shared" si="39"/>
        <v>0</v>
      </c>
      <c r="AP166" s="297">
        <f t="shared" si="39"/>
        <v>0</v>
      </c>
      <c r="AQ166" s="297">
        <f t="shared" si="39"/>
        <v>0</v>
      </c>
      <c r="AR166" s="297">
        <f t="shared" si="39"/>
        <v>0</v>
      </c>
      <c r="AS166" s="297">
        <f t="shared" si="39"/>
        <v>0</v>
      </c>
      <c r="AT166" s="297">
        <f t="shared" si="39"/>
        <v>0</v>
      </c>
      <c r="AU166" s="297">
        <f t="shared" si="39"/>
        <v>0</v>
      </c>
      <c r="AV166" s="297">
        <f t="shared" si="39"/>
        <v>0</v>
      </c>
      <c r="AW166" s="297">
        <f t="shared" si="39"/>
        <v>0</v>
      </c>
      <c r="AX166" s="297">
        <f t="shared" si="39"/>
        <v>0</v>
      </c>
      <c r="AY166" s="297">
        <f t="shared" si="39"/>
        <v>0</v>
      </c>
      <c r="AZ166" s="297">
        <f t="shared" si="39"/>
        <v>0</v>
      </c>
      <c r="BA166" s="297">
        <f t="shared" si="39"/>
        <v>0</v>
      </c>
      <c r="BB166" s="297">
        <f t="shared" si="39"/>
        <v>0</v>
      </c>
      <c r="BC166" s="297">
        <f t="shared" si="39"/>
        <v>0</v>
      </c>
      <c r="BD166" s="297">
        <f t="shared" si="39"/>
        <v>0</v>
      </c>
      <c r="BE166" s="297">
        <f t="shared" si="39"/>
        <v>0</v>
      </c>
      <c r="BF166" s="297">
        <f t="shared" si="39"/>
        <v>0</v>
      </c>
      <c r="BG166" s="297">
        <f t="shared" si="39"/>
        <v>0</v>
      </c>
      <c r="BH166" s="297">
        <f t="shared" si="39"/>
        <v>0</v>
      </c>
      <c r="BI166" s="297">
        <f t="shared" si="39"/>
        <v>0</v>
      </c>
      <c r="BJ166" s="297">
        <f t="shared" si="39"/>
        <v>0</v>
      </c>
      <c r="BK166" s="297">
        <f t="shared" si="39"/>
        <v>0</v>
      </c>
      <c r="BL166" s="297">
        <f t="shared" si="39"/>
        <v>0</v>
      </c>
    </row>
    <row r="168" spans="2:64" x14ac:dyDescent="0.15">
      <c r="B168" s="155" t="s">
        <v>408</v>
      </c>
      <c r="Y168" s="84" t="s">
        <v>407</v>
      </c>
    </row>
    <row r="169" spans="2:64" s="155" customFormat="1" x14ac:dyDescent="0.15">
      <c r="C169" s="155" t="s">
        <v>404</v>
      </c>
    </row>
    <row r="170" spans="2:64" s="155" customFormat="1" x14ac:dyDescent="0.15">
      <c r="C170" s="84" t="s">
        <v>362</v>
      </c>
      <c r="E170" s="147">
        <f t="shared" ref="E170:BL174" si="40">IF(E$5&gt;$D$7,0,E27*$G112)</f>
        <v>7.9926564712545597E-2</v>
      </c>
      <c r="F170" s="147">
        <f t="shared" si="40"/>
        <v>6.6570728793075393E-2</v>
      </c>
      <c r="G170" s="147">
        <f t="shared" si="40"/>
        <v>5.4536452508480417E-2</v>
      </c>
      <c r="H170" s="147">
        <f t="shared" si="40"/>
        <v>4.6050315376941847E-2</v>
      </c>
      <c r="I170" s="147">
        <f t="shared" si="40"/>
        <v>3.8016439041630046E-2</v>
      </c>
      <c r="J170" s="147">
        <f t="shared" si="40"/>
        <v>3.046657300400113E-2</v>
      </c>
      <c r="K170" s="147">
        <f t="shared" si="40"/>
        <v>2.3399014407942988E-2</v>
      </c>
      <c r="L170" s="147">
        <f t="shared" si="40"/>
        <v>1.6808957917624674E-2</v>
      </c>
      <c r="M170" s="147">
        <f t="shared" si="40"/>
        <v>1.0694249975416526E-2</v>
      </c>
      <c r="N170" s="147">
        <f t="shared" si="40"/>
        <v>5.0585945134152396E-3</v>
      </c>
      <c r="O170" s="147">
        <f t="shared" si="40"/>
        <v>0</v>
      </c>
      <c r="P170" s="147">
        <f t="shared" si="40"/>
        <v>0</v>
      </c>
      <c r="Q170" s="147">
        <f t="shared" si="40"/>
        <v>0</v>
      </c>
      <c r="R170" s="147">
        <f t="shared" si="40"/>
        <v>0</v>
      </c>
      <c r="S170" s="147">
        <f t="shared" si="40"/>
        <v>0</v>
      </c>
      <c r="T170" s="147">
        <f t="shared" si="40"/>
        <v>0</v>
      </c>
      <c r="U170" s="147">
        <f t="shared" si="40"/>
        <v>0</v>
      </c>
      <c r="V170" s="147">
        <f t="shared" si="40"/>
        <v>0</v>
      </c>
      <c r="W170" s="147">
        <f t="shared" si="40"/>
        <v>0</v>
      </c>
      <c r="X170" s="147">
        <f t="shared" si="40"/>
        <v>0</v>
      </c>
      <c r="Y170" s="147">
        <f t="shared" si="40"/>
        <v>0</v>
      </c>
      <c r="Z170" s="147">
        <f t="shared" si="40"/>
        <v>0</v>
      </c>
      <c r="AA170" s="147">
        <f t="shared" si="40"/>
        <v>0</v>
      </c>
      <c r="AB170" s="147">
        <f t="shared" si="40"/>
        <v>0</v>
      </c>
      <c r="AC170" s="147">
        <f t="shared" si="40"/>
        <v>0</v>
      </c>
      <c r="AD170" s="147">
        <f t="shared" si="40"/>
        <v>0</v>
      </c>
      <c r="AE170" s="147">
        <f t="shared" si="40"/>
        <v>0</v>
      </c>
      <c r="AF170" s="147">
        <f t="shared" si="40"/>
        <v>0</v>
      </c>
      <c r="AG170" s="147">
        <f t="shared" si="40"/>
        <v>0</v>
      </c>
      <c r="AH170" s="147">
        <f t="shared" si="40"/>
        <v>0</v>
      </c>
      <c r="AI170" s="147">
        <f t="shared" si="40"/>
        <v>0</v>
      </c>
      <c r="AJ170" s="147">
        <f t="shared" si="40"/>
        <v>0</v>
      </c>
      <c r="AK170" s="147">
        <f t="shared" si="40"/>
        <v>0</v>
      </c>
      <c r="AL170" s="147">
        <f t="shared" si="40"/>
        <v>0</v>
      </c>
      <c r="AM170" s="147">
        <f t="shared" si="40"/>
        <v>0</v>
      </c>
      <c r="AN170" s="147">
        <f t="shared" si="40"/>
        <v>0</v>
      </c>
      <c r="AO170" s="147">
        <f t="shared" si="40"/>
        <v>0</v>
      </c>
      <c r="AP170" s="147">
        <f t="shared" si="40"/>
        <v>0</v>
      </c>
      <c r="AQ170" s="147">
        <f t="shared" si="40"/>
        <v>0</v>
      </c>
      <c r="AR170" s="147">
        <f t="shared" si="40"/>
        <v>0</v>
      </c>
      <c r="AS170" s="147">
        <f t="shared" si="40"/>
        <v>0</v>
      </c>
      <c r="AT170" s="147">
        <f t="shared" si="40"/>
        <v>0</v>
      </c>
      <c r="AU170" s="147">
        <f t="shared" si="40"/>
        <v>0</v>
      </c>
      <c r="AV170" s="147">
        <f t="shared" si="40"/>
        <v>0</v>
      </c>
      <c r="AW170" s="147">
        <f t="shared" si="40"/>
        <v>0</v>
      </c>
      <c r="AX170" s="147">
        <f t="shared" si="40"/>
        <v>0</v>
      </c>
      <c r="AY170" s="147">
        <f t="shared" si="40"/>
        <v>0</v>
      </c>
      <c r="AZ170" s="147">
        <f t="shared" si="40"/>
        <v>0</v>
      </c>
      <c r="BA170" s="147">
        <f t="shared" si="40"/>
        <v>0</v>
      </c>
      <c r="BB170" s="147">
        <f t="shared" si="40"/>
        <v>0</v>
      </c>
      <c r="BC170" s="147">
        <f t="shared" si="40"/>
        <v>0</v>
      </c>
      <c r="BD170" s="147">
        <f t="shared" si="40"/>
        <v>0</v>
      </c>
      <c r="BE170" s="147">
        <f t="shared" si="40"/>
        <v>0</v>
      </c>
      <c r="BF170" s="147">
        <f t="shared" si="40"/>
        <v>0</v>
      </c>
      <c r="BG170" s="147">
        <f t="shared" si="40"/>
        <v>0</v>
      </c>
      <c r="BH170" s="147">
        <f t="shared" si="40"/>
        <v>0</v>
      </c>
      <c r="BI170" s="147">
        <f t="shared" si="40"/>
        <v>0</v>
      </c>
      <c r="BJ170" s="147">
        <f t="shared" si="40"/>
        <v>0</v>
      </c>
      <c r="BK170" s="147">
        <f t="shared" si="40"/>
        <v>0</v>
      </c>
      <c r="BL170" s="147">
        <f t="shared" si="40"/>
        <v>0</v>
      </c>
    </row>
    <row r="171" spans="2:64" s="155" customFormat="1" x14ac:dyDescent="0.15">
      <c r="C171" s="84" t="s">
        <v>364</v>
      </c>
      <c r="E171" s="147">
        <f t="shared" si="40"/>
        <v>2.6332404384239276E-2</v>
      </c>
      <c r="F171" s="147">
        <f t="shared" si="40"/>
        <v>2.1446961531199737E-2</v>
      </c>
      <c r="G171" s="147">
        <f t="shared" si="40"/>
        <v>1.7863145559475234E-2</v>
      </c>
      <c r="H171" s="147">
        <f t="shared" si="40"/>
        <v>1.463394808977558E-2</v>
      </c>
      <c r="I171" s="147">
        <f t="shared" si="40"/>
        <v>1.2356834626146063E-2</v>
      </c>
      <c r="J171" s="147">
        <f t="shared" si="40"/>
        <v>1.0201077809504066E-2</v>
      </c>
      <c r="K171" s="147">
        <f t="shared" si="40"/>
        <v>8.17519708940697E-3</v>
      </c>
      <c r="L171" s="147">
        <f t="shared" si="40"/>
        <v>6.2787355327980363E-3</v>
      </c>
      <c r="M171" s="147">
        <f t="shared" si="40"/>
        <v>4.5104037078959542E-3</v>
      </c>
      <c r="N171" s="147">
        <f t="shared" si="40"/>
        <v>2.8696237434034356E-3</v>
      </c>
      <c r="O171" s="147">
        <f t="shared" si="40"/>
        <v>1.3573895277664231E-3</v>
      </c>
      <c r="P171" s="147">
        <f t="shared" si="40"/>
        <v>0</v>
      </c>
      <c r="Q171" s="147">
        <f t="shared" si="40"/>
        <v>0</v>
      </c>
      <c r="R171" s="147">
        <f t="shared" si="40"/>
        <v>0</v>
      </c>
      <c r="S171" s="147">
        <f t="shared" si="40"/>
        <v>0</v>
      </c>
      <c r="T171" s="147">
        <f t="shared" si="40"/>
        <v>0</v>
      </c>
      <c r="U171" s="147">
        <f t="shared" si="40"/>
        <v>0</v>
      </c>
      <c r="V171" s="147">
        <f t="shared" si="40"/>
        <v>0</v>
      </c>
      <c r="W171" s="147">
        <f t="shared" si="40"/>
        <v>0</v>
      </c>
      <c r="X171" s="147">
        <f t="shared" si="40"/>
        <v>0</v>
      </c>
      <c r="Y171" s="147">
        <f t="shared" si="40"/>
        <v>0</v>
      </c>
      <c r="Z171" s="147">
        <f t="shared" si="40"/>
        <v>0</v>
      </c>
      <c r="AA171" s="147">
        <f t="shared" si="40"/>
        <v>0</v>
      </c>
      <c r="AB171" s="147">
        <f t="shared" si="40"/>
        <v>0</v>
      </c>
      <c r="AC171" s="147">
        <f t="shared" si="40"/>
        <v>0</v>
      </c>
      <c r="AD171" s="147">
        <f t="shared" si="40"/>
        <v>0</v>
      </c>
      <c r="AE171" s="147">
        <f t="shared" si="40"/>
        <v>0</v>
      </c>
      <c r="AF171" s="147">
        <f t="shared" si="40"/>
        <v>0</v>
      </c>
      <c r="AG171" s="147">
        <f t="shared" si="40"/>
        <v>0</v>
      </c>
      <c r="AH171" s="147">
        <f t="shared" si="40"/>
        <v>0</v>
      </c>
      <c r="AI171" s="147">
        <f t="shared" si="40"/>
        <v>0</v>
      </c>
      <c r="AJ171" s="147">
        <f t="shared" si="40"/>
        <v>0</v>
      </c>
      <c r="AK171" s="147">
        <f t="shared" si="40"/>
        <v>0</v>
      </c>
      <c r="AL171" s="147">
        <f t="shared" si="40"/>
        <v>0</v>
      </c>
      <c r="AM171" s="147">
        <f t="shared" si="40"/>
        <v>0</v>
      </c>
      <c r="AN171" s="147">
        <f t="shared" si="40"/>
        <v>0</v>
      </c>
      <c r="AO171" s="147">
        <f t="shared" si="40"/>
        <v>0</v>
      </c>
      <c r="AP171" s="147">
        <f t="shared" si="40"/>
        <v>0</v>
      </c>
      <c r="AQ171" s="147">
        <f t="shared" si="40"/>
        <v>0</v>
      </c>
      <c r="AR171" s="147">
        <f t="shared" si="40"/>
        <v>0</v>
      </c>
      <c r="AS171" s="147">
        <f t="shared" si="40"/>
        <v>0</v>
      </c>
      <c r="AT171" s="147">
        <f t="shared" si="40"/>
        <v>0</v>
      </c>
      <c r="AU171" s="147">
        <f t="shared" si="40"/>
        <v>0</v>
      </c>
      <c r="AV171" s="147">
        <f t="shared" si="40"/>
        <v>0</v>
      </c>
      <c r="AW171" s="147">
        <f t="shared" si="40"/>
        <v>0</v>
      </c>
      <c r="AX171" s="147">
        <f t="shared" si="40"/>
        <v>0</v>
      </c>
      <c r="AY171" s="147">
        <f t="shared" si="40"/>
        <v>0</v>
      </c>
      <c r="AZ171" s="147">
        <f t="shared" si="40"/>
        <v>0</v>
      </c>
      <c r="BA171" s="147">
        <f t="shared" si="40"/>
        <v>0</v>
      </c>
      <c r="BB171" s="147">
        <f t="shared" si="40"/>
        <v>0</v>
      </c>
      <c r="BC171" s="147">
        <f t="shared" si="40"/>
        <v>0</v>
      </c>
      <c r="BD171" s="147">
        <f t="shared" si="40"/>
        <v>0</v>
      </c>
      <c r="BE171" s="147">
        <f t="shared" si="40"/>
        <v>0</v>
      </c>
      <c r="BF171" s="147">
        <f t="shared" si="40"/>
        <v>0</v>
      </c>
      <c r="BG171" s="147">
        <f t="shared" si="40"/>
        <v>0</v>
      </c>
      <c r="BH171" s="147">
        <f t="shared" si="40"/>
        <v>0</v>
      </c>
      <c r="BI171" s="147">
        <f t="shared" si="40"/>
        <v>0</v>
      </c>
      <c r="BJ171" s="147">
        <f t="shared" si="40"/>
        <v>0</v>
      </c>
      <c r="BK171" s="147">
        <f t="shared" si="40"/>
        <v>0</v>
      </c>
      <c r="BL171" s="147">
        <f t="shared" si="40"/>
        <v>0</v>
      </c>
    </row>
    <row r="172" spans="2:64" s="155" customFormat="1" x14ac:dyDescent="0.15">
      <c r="C172" s="84" t="s">
        <v>365</v>
      </c>
      <c r="E172" s="147">
        <f t="shared" si="40"/>
        <v>0</v>
      </c>
      <c r="F172" s="147">
        <f t="shared" si="40"/>
        <v>1.8696007112809887E-2</v>
      </c>
      <c r="G172" s="147">
        <f t="shared" si="40"/>
        <v>1.5227342687151814E-2</v>
      </c>
      <c r="H172" s="147">
        <f t="shared" si="40"/>
        <v>1.2682833347227414E-2</v>
      </c>
      <c r="I172" s="147">
        <f t="shared" si="40"/>
        <v>1.0390103143740661E-2</v>
      </c>
      <c r="J172" s="147">
        <f t="shared" si="40"/>
        <v>8.7733525845637046E-3</v>
      </c>
      <c r="K172" s="147">
        <f t="shared" si="40"/>
        <v>7.242765244747886E-3</v>
      </c>
      <c r="L172" s="147">
        <f t="shared" si="40"/>
        <v>5.8043899334789479E-3</v>
      </c>
      <c r="M172" s="147">
        <f t="shared" si="40"/>
        <v>4.4579022282866055E-3</v>
      </c>
      <c r="N172" s="147">
        <f t="shared" si="40"/>
        <v>3.2023866326061274E-3</v>
      </c>
      <c r="O172" s="147">
        <f t="shared" si="40"/>
        <v>2.037432857816439E-3</v>
      </c>
      <c r="P172" s="147">
        <f t="shared" si="40"/>
        <v>9.6374656471416022E-4</v>
      </c>
      <c r="Q172" s="147">
        <f t="shared" si="40"/>
        <v>0</v>
      </c>
      <c r="R172" s="147">
        <f t="shared" si="40"/>
        <v>0</v>
      </c>
      <c r="S172" s="147">
        <f t="shared" si="40"/>
        <v>0</v>
      </c>
      <c r="T172" s="147">
        <f t="shared" si="40"/>
        <v>0</v>
      </c>
      <c r="U172" s="147">
        <f t="shared" si="40"/>
        <v>0</v>
      </c>
      <c r="V172" s="147">
        <f t="shared" si="40"/>
        <v>0</v>
      </c>
      <c r="W172" s="147">
        <f t="shared" si="40"/>
        <v>0</v>
      </c>
      <c r="X172" s="147">
        <f t="shared" si="40"/>
        <v>0</v>
      </c>
      <c r="Y172" s="147">
        <f t="shared" si="40"/>
        <v>0</v>
      </c>
      <c r="Z172" s="147">
        <f t="shared" si="40"/>
        <v>0</v>
      </c>
      <c r="AA172" s="147">
        <f t="shared" si="40"/>
        <v>0</v>
      </c>
      <c r="AB172" s="147">
        <f t="shared" si="40"/>
        <v>0</v>
      </c>
      <c r="AC172" s="147">
        <f t="shared" si="40"/>
        <v>0</v>
      </c>
      <c r="AD172" s="147">
        <f t="shared" si="40"/>
        <v>0</v>
      </c>
      <c r="AE172" s="147">
        <f t="shared" si="40"/>
        <v>0</v>
      </c>
      <c r="AF172" s="147">
        <f t="shared" si="40"/>
        <v>0</v>
      </c>
      <c r="AG172" s="147">
        <f t="shared" si="40"/>
        <v>0</v>
      </c>
      <c r="AH172" s="147">
        <f t="shared" si="40"/>
        <v>0</v>
      </c>
      <c r="AI172" s="147">
        <f t="shared" si="40"/>
        <v>0</v>
      </c>
      <c r="AJ172" s="147">
        <f t="shared" si="40"/>
        <v>0</v>
      </c>
      <c r="AK172" s="147">
        <f t="shared" si="40"/>
        <v>0</v>
      </c>
      <c r="AL172" s="147">
        <f t="shared" si="40"/>
        <v>0</v>
      </c>
      <c r="AM172" s="147">
        <f t="shared" si="40"/>
        <v>0</v>
      </c>
      <c r="AN172" s="147">
        <f t="shared" si="40"/>
        <v>0</v>
      </c>
      <c r="AO172" s="147">
        <f t="shared" si="40"/>
        <v>0</v>
      </c>
      <c r="AP172" s="147">
        <f t="shared" si="40"/>
        <v>0</v>
      </c>
      <c r="AQ172" s="147">
        <f t="shared" si="40"/>
        <v>0</v>
      </c>
      <c r="AR172" s="147">
        <f t="shared" si="40"/>
        <v>0</v>
      </c>
      <c r="AS172" s="147">
        <f t="shared" si="40"/>
        <v>0</v>
      </c>
      <c r="AT172" s="147">
        <f t="shared" si="40"/>
        <v>0</v>
      </c>
      <c r="AU172" s="147">
        <f t="shared" si="40"/>
        <v>0</v>
      </c>
      <c r="AV172" s="147">
        <f t="shared" si="40"/>
        <v>0</v>
      </c>
      <c r="AW172" s="147">
        <f t="shared" si="40"/>
        <v>0</v>
      </c>
      <c r="AX172" s="147">
        <f t="shared" si="40"/>
        <v>0</v>
      </c>
      <c r="AY172" s="147">
        <f t="shared" si="40"/>
        <v>0</v>
      </c>
      <c r="AZ172" s="147">
        <f t="shared" si="40"/>
        <v>0</v>
      </c>
      <c r="BA172" s="147">
        <f t="shared" si="40"/>
        <v>0</v>
      </c>
      <c r="BB172" s="147">
        <f t="shared" si="40"/>
        <v>0</v>
      </c>
      <c r="BC172" s="147">
        <f t="shared" si="40"/>
        <v>0</v>
      </c>
      <c r="BD172" s="147">
        <f t="shared" si="40"/>
        <v>0</v>
      </c>
      <c r="BE172" s="147">
        <f t="shared" si="40"/>
        <v>0</v>
      </c>
      <c r="BF172" s="147">
        <f t="shared" si="40"/>
        <v>0</v>
      </c>
      <c r="BG172" s="147">
        <f t="shared" si="40"/>
        <v>0</v>
      </c>
      <c r="BH172" s="147">
        <f t="shared" si="40"/>
        <v>0</v>
      </c>
      <c r="BI172" s="147">
        <f t="shared" si="40"/>
        <v>0</v>
      </c>
      <c r="BJ172" s="147">
        <f t="shared" si="40"/>
        <v>0</v>
      </c>
      <c r="BK172" s="147">
        <f t="shared" si="40"/>
        <v>0</v>
      </c>
      <c r="BL172" s="147">
        <f t="shared" si="40"/>
        <v>0</v>
      </c>
    </row>
    <row r="173" spans="2:64" s="155" customFormat="1" x14ac:dyDescent="0.15">
      <c r="C173" s="84" t="s">
        <v>366</v>
      </c>
      <c r="E173" s="147">
        <f t="shared" si="40"/>
        <v>0</v>
      </c>
      <c r="F173" s="147">
        <f t="shared" si="40"/>
        <v>0</v>
      </c>
      <c r="G173" s="147">
        <f t="shared" si="40"/>
        <v>1.7695760880617202E-2</v>
      </c>
      <c r="H173" s="147">
        <f t="shared" si="40"/>
        <v>1.4412671829506785E-2</v>
      </c>
      <c r="I173" s="147">
        <f t="shared" si="40"/>
        <v>1.2004295080069827E-2</v>
      </c>
      <c r="J173" s="147">
        <f t="shared" si="40"/>
        <v>9.8342271505988295E-3</v>
      </c>
      <c r="K173" s="147">
        <f t="shared" si="40"/>
        <v>8.3039735982669404E-3</v>
      </c>
      <c r="L173" s="147">
        <f t="shared" si="40"/>
        <v>6.8552734876575995E-3</v>
      </c>
      <c r="M173" s="147">
        <f t="shared" si="40"/>
        <v>5.4938520134777567E-3</v>
      </c>
      <c r="N173" s="147">
        <f t="shared" si="40"/>
        <v>4.2194021100302381E-3</v>
      </c>
      <c r="O173" s="147">
        <f t="shared" si="40"/>
        <v>3.0310572602989367E-3</v>
      </c>
      <c r="P173" s="147">
        <f t="shared" si="40"/>
        <v>1.9284291263202021E-3</v>
      </c>
      <c r="Q173" s="147">
        <f t="shared" si="40"/>
        <v>9.1218561566619514E-4</v>
      </c>
      <c r="R173" s="147">
        <f t="shared" si="40"/>
        <v>0</v>
      </c>
      <c r="S173" s="147">
        <f t="shared" si="40"/>
        <v>0</v>
      </c>
      <c r="T173" s="147">
        <f t="shared" si="40"/>
        <v>0</v>
      </c>
      <c r="U173" s="147">
        <f t="shared" si="40"/>
        <v>0</v>
      </c>
      <c r="V173" s="147">
        <f t="shared" si="40"/>
        <v>0</v>
      </c>
      <c r="W173" s="147">
        <f t="shared" si="40"/>
        <v>0</v>
      </c>
      <c r="X173" s="147">
        <f t="shared" si="40"/>
        <v>0</v>
      </c>
      <c r="Y173" s="147">
        <f t="shared" si="40"/>
        <v>0</v>
      </c>
      <c r="Z173" s="147">
        <f t="shared" si="40"/>
        <v>0</v>
      </c>
      <c r="AA173" s="147">
        <f t="shared" si="40"/>
        <v>0</v>
      </c>
      <c r="AB173" s="147">
        <f t="shared" si="40"/>
        <v>0</v>
      </c>
      <c r="AC173" s="147">
        <f t="shared" si="40"/>
        <v>0</v>
      </c>
      <c r="AD173" s="147">
        <f t="shared" si="40"/>
        <v>0</v>
      </c>
      <c r="AE173" s="147">
        <f t="shared" si="40"/>
        <v>0</v>
      </c>
      <c r="AF173" s="147">
        <f t="shared" si="40"/>
        <v>0</v>
      </c>
      <c r="AG173" s="147">
        <f t="shared" si="40"/>
        <v>0</v>
      </c>
      <c r="AH173" s="147">
        <f t="shared" si="40"/>
        <v>0</v>
      </c>
      <c r="AI173" s="147">
        <f t="shared" si="40"/>
        <v>0</v>
      </c>
      <c r="AJ173" s="147">
        <f t="shared" si="40"/>
        <v>0</v>
      </c>
      <c r="AK173" s="147">
        <f t="shared" si="40"/>
        <v>0</v>
      </c>
      <c r="AL173" s="147">
        <f t="shared" si="40"/>
        <v>0</v>
      </c>
      <c r="AM173" s="147">
        <f t="shared" si="40"/>
        <v>0</v>
      </c>
      <c r="AN173" s="147">
        <f t="shared" si="40"/>
        <v>0</v>
      </c>
      <c r="AO173" s="147">
        <f t="shared" si="40"/>
        <v>0</v>
      </c>
      <c r="AP173" s="147">
        <f t="shared" si="40"/>
        <v>0</v>
      </c>
      <c r="AQ173" s="147">
        <f t="shared" si="40"/>
        <v>0</v>
      </c>
      <c r="AR173" s="147">
        <f t="shared" si="40"/>
        <v>0</v>
      </c>
      <c r="AS173" s="147">
        <f t="shared" si="40"/>
        <v>0</v>
      </c>
      <c r="AT173" s="147">
        <f t="shared" si="40"/>
        <v>0</v>
      </c>
      <c r="AU173" s="147">
        <f t="shared" si="40"/>
        <v>0</v>
      </c>
      <c r="AV173" s="147">
        <f t="shared" si="40"/>
        <v>0</v>
      </c>
      <c r="AW173" s="147">
        <f t="shared" si="40"/>
        <v>0</v>
      </c>
      <c r="AX173" s="147">
        <f t="shared" si="40"/>
        <v>0</v>
      </c>
      <c r="AY173" s="147">
        <f t="shared" si="40"/>
        <v>0</v>
      </c>
      <c r="AZ173" s="147">
        <f t="shared" si="40"/>
        <v>0</v>
      </c>
      <c r="BA173" s="147">
        <f t="shared" si="40"/>
        <v>0</v>
      </c>
      <c r="BB173" s="147">
        <f t="shared" si="40"/>
        <v>0</v>
      </c>
      <c r="BC173" s="147">
        <f t="shared" si="40"/>
        <v>0</v>
      </c>
      <c r="BD173" s="147">
        <f t="shared" si="40"/>
        <v>0</v>
      </c>
      <c r="BE173" s="147">
        <f t="shared" si="40"/>
        <v>0</v>
      </c>
      <c r="BF173" s="147">
        <f t="shared" si="40"/>
        <v>0</v>
      </c>
      <c r="BG173" s="147">
        <f t="shared" si="40"/>
        <v>0</v>
      </c>
      <c r="BH173" s="147">
        <f t="shared" si="40"/>
        <v>0</v>
      </c>
      <c r="BI173" s="147">
        <f t="shared" si="40"/>
        <v>0</v>
      </c>
      <c r="BJ173" s="147">
        <f t="shared" si="40"/>
        <v>0</v>
      </c>
      <c r="BK173" s="147">
        <f t="shared" si="40"/>
        <v>0</v>
      </c>
      <c r="BL173" s="147">
        <f t="shared" si="40"/>
        <v>0</v>
      </c>
    </row>
    <row r="174" spans="2:64" s="155" customFormat="1" x14ac:dyDescent="0.15">
      <c r="C174" s="84" t="s">
        <v>368</v>
      </c>
      <c r="E174" s="147">
        <f t="shared" si="40"/>
        <v>0</v>
      </c>
      <c r="F174" s="147">
        <f t="shared" si="40"/>
        <v>0</v>
      </c>
      <c r="G174" s="147">
        <f t="shared" si="40"/>
        <v>0</v>
      </c>
      <c r="H174" s="147">
        <f t="shared" si="40"/>
        <v>6.3852229490257331E-2</v>
      </c>
      <c r="I174" s="147">
        <f t="shared" si="40"/>
        <v>5.2005745072733832E-2</v>
      </c>
      <c r="J174" s="147">
        <f t="shared" si="40"/>
        <v>4.3315515478114394E-2</v>
      </c>
      <c r="K174" s="147">
        <f t="shared" si="40"/>
        <v>3.5485183887580561E-2</v>
      </c>
      <c r="L174" s="147">
        <f t="shared" si="40"/>
        <v>2.9963516768490888E-2</v>
      </c>
      <c r="M174" s="147">
        <f t="shared" si="40"/>
        <v>2.4736121769810139E-2</v>
      </c>
      <c r="N174" s="147">
        <f t="shared" si="40"/>
        <v>1.9823657310736605E-2</v>
      </c>
      <c r="O174" s="147">
        <f t="shared" si="40"/>
        <v>1.5225015395434629E-2</v>
      </c>
      <c r="P174" s="147">
        <f t="shared" si="40"/>
        <v>1.0937069340415271E-2</v>
      </c>
      <c r="Q174" s="147">
        <f t="shared" si="40"/>
        <v>6.9584178922968828E-3</v>
      </c>
      <c r="R174" s="147">
        <f t="shared" si="40"/>
        <v>3.2914710852036595E-3</v>
      </c>
      <c r="S174" s="147">
        <f t="shared" si="40"/>
        <v>0</v>
      </c>
      <c r="T174" s="147">
        <f t="shared" ref="T174:BL178" si="41">IF(T$5&gt;$D$7,0,T31*$G116)</f>
        <v>0</v>
      </c>
      <c r="U174" s="147">
        <f t="shared" si="41"/>
        <v>0</v>
      </c>
      <c r="V174" s="147">
        <f t="shared" si="41"/>
        <v>0</v>
      </c>
      <c r="W174" s="147">
        <f t="shared" si="41"/>
        <v>0</v>
      </c>
      <c r="X174" s="147">
        <f t="shared" si="41"/>
        <v>0</v>
      </c>
      <c r="Y174" s="147">
        <f t="shared" si="41"/>
        <v>0</v>
      </c>
      <c r="Z174" s="147">
        <f t="shared" si="41"/>
        <v>0</v>
      </c>
      <c r="AA174" s="147">
        <f t="shared" si="41"/>
        <v>0</v>
      </c>
      <c r="AB174" s="147">
        <f t="shared" si="41"/>
        <v>0</v>
      </c>
      <c r="AC174" s="147">
        <f t="shared" si="41"/>
        <v>0</v>
      </c>
      <c r="AD174" s="147">
        <f t="shared" si="41"/>
        <v>0</v>
      </c>
      <c r="AE174" s="147">
        <f t="shared" si="41"/>
        <v>0</v>
      </c>
      <c r="AF174" s="147">
        <f t="shared" si="41"/>
        <v>0</v>
      </c>
      <c r="AG174" s="147">
        <f t="shared" si="41"/>
        <v>0</v>
      </c>
      <c r="AH174" s="147">
        <f t="shared" si="41"/>
        <v>0</v>
      </c>
      <c r="AI174" s="147">
        <f t="shared" si="41"/>
        <v>0</v>
      </c>
      <c r="AJ174" s="147">
        <f t="shared" si="41"/>
        <v>0</v>
      </c>
      <c r="AK174" s="147">
        <f t="shared" si="41"/>
        <v>0</v>
      </c>
      <c r="AL174" s="147">
        <f t="shared" si="41"/>
        <v>0</v>
      </c>
      <c r="AM174" s="147">
        <f t="shared" si="41"/>
        <v>0</v>
      </c>
      <c r="AN174" s="147">
        <f t="shared" si="41"/>
        <v>0</v>
      </c>
      <c r="AO174" s="147">
        <f t="shared" si="41"/>
        <v>0</v>
      </c>
      <c r="AP174" s="147">
        <f t="shared" si="41"/>
        <v>0</v>
      </c>
      <c r="AQ174" s="147">
        <f t="shared" si="41"/>
        <v>0</v>
      </c>
      <c r="AR174" s="147">
        <f t="shared" si="41"/>
        <v>0</v>
      </c>
      <c r="AS174" s="147">
        <f t="shared" si="41"/>
        <v>0</v>
      </c>
      <c r="AT174" s="147">
        <f t="shared" si="41"/>
        <v>0</v>
      </c>
      <c r="AU174" s="147">
        <f t="shared" si="41"/>
        <v>0</v>
      </c>
      <c r="AV174" s="147">
        <f t="shared" si="41"/>
        <v>0</v>
      </c>
      <c r="AW174" s="147">
        <f t="shared" si="41"/>
        <v>0</v>
      </c>
      <c r="AX174" s="147">
        <f t="shared" si="41"/>
        <v>0</v>
      </c>
      <c r="AY174" s="147">
        <f t="shared" si="41"/>
        <v>0</v>
      </c>
      <c r="AZ174" s="147">
        <f t="shared" si="41"/>
        <v>0</v>
      </c>
      <c r="BA174" s="147">
        <f t="shared" si="41"/>
        <v>0</v>
      </c>
      <c r="BB174" s="147">
        <f t="shared" si="41"/>
        <v>0</v>
      </c>
      <c r="BC174" s="147">
        <f t="shared" si="41"/>
        <v>0</v>
      </c>
      <c r="BD174" s="147">
        <f t="shared" si="41"/>
        <v>0</v>
      </c>
      <c r="BE174" s="147">
        <f t="shared" si="41"/>
        <v>0</v>
      </c>
      <c r="BF174" s="147">
        <f t="shared" si="41"/>
        <v>0</v>
      </c>
      <c r="BG174" s="147">
        <f t="shared" si="41"/>
        <v>0</v>
      </c>
      <c r="BH174" s="147">
        <f t="shared" si="41"/>
        <v>0</v>
      </c>
      <c r="BI174" s="147">
        <f t="shared" si="41"/>
        <v>0</v>
      </c>
      <c r="BJ174" s="147">
        <f t="shared" si="41"/>
        <v>0</v>
      </c>
      <c r="BK174" s="147">
        <f t="shared" si="41"/>
        <v>0</v>
      </c>
      <c r="BL174" s="147">
        <f t="shared" si="41"/>
        <v>0</v>
      </c>
    </row>
    <row r="175" spans="2:64" s="155" customFormat="1" x14ac:dyDescent="0.15">
      <c r="C175" s="84" t="s">
        <v>369</v>
      </c>
      <c r="E175" s="147">
        <f t="shared" ref="E175:AJ178" si="42">IF(E$5&gt;$D$7,0,E32*$G117)</f>
        <v>0</v>
      </c>
      <c r="F175" s="147">
        <f t="shared" si="42"/>
        <v>0</v>
      </c>
      <c r="G175" s="147">
        <f t="shared" si="42"/>
        <v>0</v>
      </c>
      <c r="H175" s="147">
        <f t="shared" si="42"/>
        <v>0</v>
      </c>
      <c r="I175" s="147">
        <f t="shared" si="42"/>
        <v>6.3845844267308299E-2</v>
      </c>
      <c r="J175" s="147">
        <f t="shared" si="42"/>
        <v>5.2000544498226567E-2</v>
      </c>
      <c r="K175" s="147">
        <f t="shared" si="42"/>
        <v>4.3311183926566584E-2</v>
      </c>
      <c r="L175" s="147">
        <f t="shared" si="42"/>
        <v>3.54816353691918E-2</v>
      </c>
      <c r="M175" s="147">
        <f t="shared" si="42"/>
        <v>2.9960520416814036E-2</v>
      </c>
      <c r="N175" s="147">
        <f t="shared" si="42"/>
        <v>2.473364815763316E-2</v>
      </c>
      <c r="O175" s="147">
        <f t="shared" si="42"/>
        <v>1.982167494500553E-2</v>
      </c>
      <c r="P175" s="147">
        <f t="shared" si="42"/>
        <v>1.5223492893895086E-2</v>
      </c>
      <c r="Q175" s="147">
        <f t="shared" si="42"/>
        <v>1.093597563348123E-2</v>
      </c>
      <c r="R175" s="147">
        <f t="shared" si="42"/>
        <v>6.9577220505076531E-3</v>
      </c>
      <c r="S175" s="147">
        <f t="shared" si="42"/>
        <v>3.2911419380951389E-3</v>
      </c>
      <c r="T175" s="147">
        <f t="shared" si="42"/>
        <v>0</v>
      </c>
      <c r="U175" s="147">
        <f t="shared" si="42"/>
        <v>0</v>
      </c>
      <c r="V175" s="147">
        <f t="shared" si="42"/>
        <v>0</v>
      </c>
      <c r="W175" s="147">
        <f t="shared" si="42"/>
        <v>0</v>
      </c>
      <c r="X175" s="147">
        <f t="shared" si="42"/>
        <v>0</v>
      </c>
      <c r="Y175" s="147">
        <f t="shared" si="42"/>
        <v>0</v>
      </c>
      <c r="Z175" s="147">
        <f t="shared" si="42"/>
        <v>0</v>
      </c>
      <c r="AA175" s="147">
        <f t="shared" si="42"/>
        <v>0</v>
      </c>
      <c r="AB175" s="147">
        <f t="shared" si="42"/>
        <v>0</v>
      </c>
      <c r="AC175" s="147">
        <f t="shared" si="42"/>
        <v>0</v>
      </c>
      <c r="AD175" s="147">
        <f t="shared" si="42"/>
        <v>0</v>
      </c>
      <c r="AE175" s="147">
        <f t="shared" si="42"/>
        <v>0</v>
      </c>
      <c r="AF175" s="147">
        <f t="shared" si="42"/>
        <v>0</v>
      </c>
      <c r="AG175" s="147">
        <f t="shared" si="42"/>
        <v>0</v>
      </c>
      <c r="AH175" s="147">
        <f t="shared" si="42"/>
        <v>0</v>
      </c>
      <c r="AI175" s="147">
        <f t="shared" si="42"/>
        <v>0</v>
      </c>
      <c r="AJ175" s="147">
        <f t="shared" si="42"/>
        <v>0</v>
      </c>
      <c r="AK175" s="147">
        <f t="shared" si="41"/>
        <v>0</v>
      </c>
      <c r="AL175" s="147">
        <f t="shared" si="41"/>
        <v>0</v>
      </c>
      <c r="AM175" s="147">
        <f t="shared" si="41"/>
        <v>0</v>
      </c>
      <c r="AN175" s="147">
        <f t="shared" si="41"/>
        <v>0</v>
      </c>
      <c r="AO175" s="147">
        <f t="shared" si="41"/>
        <v>0</v>
      </c>
      <c r="AP175" s="147">
        <f t="shared" si="41"/>
        <v>0</v>
      </c>
      <c r="AQ175" s="147">
        <f t="shared" si="41"/>
        <v>0</v>
      </c>
      <c r="AR175" s="147">
        <f t="shared" si="41"/>
        <v>0</v>
      </c>
      <c r="AS175" s="147">
        <f t="shared" si="41"/>
        <v>0</v>
      </c>
      <c r="AT175" s="147">
        <f t="shared" si="41"/>
        <v>0</v>
      </c>
      <c r="AU175" s="147">
        <f t="shared" si="41"/>
        <v>0</v>
      </c>
      <c r="AV175" s="147">
        <f t="shared" si="41"/>
        <v>0</v>
      </c>
      <c r="AW175" s="147">
        <f t="shared" si="41"/>
        <v>0</v>
      </c>
      <c r="AX175" s="147">
        <f t="shared" si="41"/>
        <v>0</v>
      </c>
      <c r="AY175" s="147">
        <f t="shared" si="41"/>
        <v>0</v>
      </c>
      <c r="AZ175" s="147">
        <f t="shared" si="41"/>
        <v>0</v>
      </c>
      <c r="BA175" s="147">
        <f t="shared" si="41"/>
        <v>0</v>
      </c>
      <c r="BB175" s="147">
        <f t="shared" si="41"/>
        <v>0</v>
      </c>
      <c r="BC175" s="147">
        <f t="shared" si="41"/>
        <v>0</v>
      </c>
      <c r="BD175" s="147">
        <f t="shared" si="41"/>
        <v>0</v>
      </c>
      <c r="BE175" s="147">
        <f t="shared" si="41"/>
        <v>0</v>
      </c>
      <c r="BF175" s="147">
        <f t="shared" si="41"/>
        <v>0</v>
      </c>
      <c r="BG175" s="147">
        <f t="shared" si="41"/>
        <v>0</v>
      </c>
      <c r="BH175" s="147">
        <f t="shared" si="41"/>
        <v>0</v>
      </c>
      <c r="BI175" s="147">
        <f t="shared" si="41"/>
        <v>0</v>
      </c>
      <c r="BJ175" s="147">
        <f t="shared" si="41"/>
        <v>0</v>
      </c>
      <c r="BK175" s="147">
        <f t="shared" si="41"/>
        <v>0</v>
      </c>
      <c r="BL175" s="147">
        <f t="shared" si="41"/>
        <v>0</v>
      </c>
    </row>
    <row r="176" spans="2:64" s="155" customFormat="1" x14ac:dyDescent="0.15">
      <c r="C176" s="84" t="s">
        <v>332</v>
      </c>
      <c r="E176" s="147">
        <f t="shared" si="42"/>
        <v>0</v>
      </c>
      <c r="F176" s="147">
        <f t="shared" si="42"/>
        <v>0</v>
      </c>
      <c r="G176" s="147">
        <f t="shared" si="42"/>
        <v>0</v>
      </c>
      <c r="H176" s="147">
        <f t="shared" si="42"/>
        <v>0</v>
      </c>
      <c r="I176" s="147">
        <f t="shared" si="42"/>
        <v>0</v>
      </c>
      <c r="J176" s="147">
        <f t="shared" si="42"/>
        <v>6.3845844267308299E-2</v>
      </c>
      <c r="K176" s="147">
        <f t="shared" si="42"/>
        <v>5.2000544498226567E-2</v>
      </c>
      <c r="L176" s="147">
        <f t="shared" si="42"/>
        <v>4.3311183926566584E-2</v>
      </c>
      <c r="M176" s="147">
        <f t="shared" si="42"/>
        <v>3.54816353691918E-2</v>
      </c>
      <c r="N176" s="147">
        <f t="shared" si="42"/>
        <v>2.9960520416814036E-2</v>
      </c>
      <c r="O176" s="147">
        <f t="shared" si="42"/>
        <v>2.473364815763316E-2</v>
      </c>
      <c r="P176" s="147">
        <f t="shared" si="42"/>
        <v>1.982167494500553E-2</v>
      </c>
      <c r="Q176" s="147">
        <f t="shared" si="42"/>
        <v>1.5223492893895086E-2</v>
      </c>
      <c r="R176" s="147">
        <f t="shared" si="42"/>
        <v>1.093597563348123E-2</v>
      </c>
      <c r="S176" s="147">
        <f t="shared" si="42"/>
        <v>6.9577220505076531E-3</v>
      </c>
      <c r="T176" s="147">
        <f t="shared" si="42"/>
        <v>3.2911419380951389E-3</v>
      </c>
      <c r="U176" s="147">
        <f t="shared" si="42"/>
        <v>0</v>
      </c>
      <c r="V176" s="147">
        <f t="shared" si="42"/>
        <v>0</v>
      </c>
      <c r="W176" s="147">
        <f t="shared" si="42"/>
        <v>0</v>
      </c>
      <c r="X176" s="147">
        <f t="shared" si="42"/>
        <v>0</v>
      </c>
      <c r="Y176" s="147">
        <f t="shared" si="42"/>
        <v>0</v>
      </c>
      <c r="Z176" s="147">
        <f t="shared" si="42"/>
        <v>0</v>
      </c>
      <c r="AA176" s="147">
        <f t="shared" si="42"/>
        <v>0</v>
      </c>
      <c r="AB176" s="147">
        <f t="shared" si="42"/>
        <v>0</v>
      </c>
      <c r="AC176" s="147">
        <f t="shared" si="42"/>
        <v>0</v>
      </c>
      <c r="AD176" s="147">
        <f t="shared" si="42"/>
        <v>0</v>
      </c>
      <c r="AE176" s="147">
        <f t="shared" si="42"/>
        <v>0</v>
      </c>
      <c r="AF176" s="147">
        <f t="shared" si="42"/>
        <v>0</v>
      </c>
      <c r="AG176" s="147">
        <f t="shared" si="42"/>
        <v>0</v>
      </c>
      <c r="AH176" s="147">
        <f t="shared" si="42"/>
        <v>0</v>
      </c>
      <c r="AI176" s="147">
        <f t="shared" si="42"/>
        <v>0</v>
      </c>
      <c r="AJ176" s="147">
        <f t="shared" si="42"/>
        <v>0</v>
      </c>
      <c r="AK176" s="147">
        <f t="shared" si="41"/>
        <v>0</v>
      </c>
      <c r="AL176" s="147">
        <f t="shared" si="41"/>
        <v>0</v>
      </c>
      <c r="AM176" s="147">
        <f t="shared" si="41"/>
        <v>0</v>
      </c>
      <c r="AN176" s="147">
        <f t="shared" si="41"/>
        <v>0</v>
      </c>
      <c r="AO176" s="147">
        <f t="shared" si="41"/>
        <v>0</v>
      </c>
      <c r="AP176" s="147">
        <f t="shared" si="41"/>
        <v>0</v>
      </c>
      <c r="AQ176" s="147">
        <f t="shared" si="41"/>
        <v>0</v>
      </c>
      <c r="AR176" s="147">
        <f t="shared" si="41"/>
        <v>0</v>
      </c>
      <c r="AS176" s="147">
        <f t="shared" si="41"/>
        <v>0</v>
      </c>
      <c r="AT176" s="147">
        <f t="shared" si="41"/>
        <v>0</v>
      </c>
      <c r="AU176" s="147">
        <f t="shared" si="41"/>
        <v>0</v>
      </c>
      <c r="AV176" s="147">
        <f t="shared" si="41"/>
        <v>0</v>
      </c>
      <c r="AW176" s="147">
        <f t="shared" si="41"/>
        <v>0</v>
      </c>
      <c r="AX176" s="147">
        <f t="shared" si="41"/>
        <v>0</v>
      </c>
      <c r="AY176" s="147">
        <f t="shared" si="41"/>
        <v>0</v>
      </c>
      <c r="AZ176" s="147">
        <f t="shared" si="41"/>
        <v>0</v>
      </c>
      <c r="BA176" s="147">
        <f t="shared" si="41"/>
        <v>0</v>
      </c>
      <c r="BB176" s="147">
        <f t="shared" si="41"/>
        <v>0</v>
      </c>
      <c r="BC176" s="147">
        <f t="shared" si="41"/>
        <v>0</v>
      </c>
      <c r="BD176" s="147">
        <f t="shared" si="41"/>
        <v>0</v>
      </c>
      <c r="BE176" s="147">
        <f t="shared" si="41"/>
        <v>0</v>
      </c>
      <c r="BF176" s="147">
        <f t="shared" si="41"/>
        <v>0</v>
      </c>
      <c r="BG176" s="147">
        <f t="shared" si="41"/>
        <v>0</v>
      </c>
      <c r="BH176" s="147">
        <f t="shared" si="41"/>
        <v>0</v>
      </c>
      <c r="BI176" s="147">
        <f t="shared" si="41"/>
        <v>0</v>
      </c>
      <c r="BJ176" s="147">
        <f t="shared" si="41"/>
        <v>0</v>
      </c>
      <c r="BK176" s="147">
        <f t="shared" si="41"/>
        <v>0</v>
      </c>
      <c r="BL176" s="147">
        <f t="shared" si="41"/>
        <v>0</v>
      </c>
    </row>
    <row r="177" spans="1:64" s="155" customFormat="1" x14ac:dyDescent="0.15">
      <c r="C177" s="84" t="s">
        <v>333</v>
      </c>
      <c r="E177" s="147">
        <f t="shared" si="42"/>
        <v>0</v>
      </c>
      <c r="F177" s="147">
        <f t="shared" si="42"/>
        <v>0</v>
      </c>
      <c r="G177" s="147">
        <f t="shared" si="42"/>
        <v>0</v>
      </c>
      <c r="H177" s="147">
        <f t="shared" si="42"/>
        <v>0</v>
      </c>
      <c r="I177" s="147">
        <f t="shared" si="42"/>
        <v>0</v>
      </c>
      <c r="J177" s="147">
        <f t="shared" si="42"/>
        <v>0</v>
      </c>
      <c r="K177" s="147">
        <f t="shared" si="42"/>
        <v>0.15615308899112751</v>
      </c>
      <c r="L177" s="147">
        <f t="shared" si="42"/>
        <v>0.12718205461614449</v>
      </c>
      <c r="M177" s="147">
        <f t="shared" si="42"/>
        <v>0.10592976309750622</v>
      </c>
      <c r="N177" s="147">
        <f t="shared" si="42"/>
        <v>8.6780385300553431E-2</v>
      </c>
      <c r="O177" s="147">
        <f t="shared" si="42"/>
        <v>7.327693547726806E-2</v>
      </c>
      <c r="P177" s="147">
        <f t="shared" si="42"/>
        <v>6.049313946987387E-2</v>
      </c>
      <c r="Q177" s="147">
        <f t="shared" si="42"/>
        <v>4.8479518238989432E-2</v>
      </c>
      <c r="R177" s="147">
        <f t="shared" si="42"/>
        <v>3.7233362138080754E-2</v>
      </c>
      <c r="S177" s="147">
        <f t="shared" si="42"/>
        <v>2.674702474212879E-2</v>
      </c>
      <c r="T177" s="147">
        <f t="shared" si="42"/>
        <v>1.7017079231964501E-2</v>
      </c>
      <c r="U177" s="147">
        <f t="shared" si="42"/>
        <v>8.0494194389555806E-3</v>
      </c>
      <c r="V177" s="147">
        <f t="shared" si="42"/>
        <v>0</v>
      </c>
      <c r="W177" s="147">
        <f t="shared" si="42"/>
        <v>0</v>
      </c>
      <c r="X177" s="147">
        <f t="shared" si="42"/>
        <v>0</v>
      </c>
      <c r="Y177" s="147">
        <f t="shared" si="42"/>
        <v>0</v>
      </c>
      <c r="Z177" s="147">
        <f t="shared" si="42"/>
        <v>0</v>
      </c>
      <c r="AA177" s="147">
        <f t="shared" si="42"/>
        <v>0</v>
      </c>
      <c r="AB177" s="147">
        <f t="shared" si="42"/>
        <v>0</v>
      </c>
      <c r="AC177" s="147">
        <f t="shared" si="42"/>
        <v>0</v>
      </c>
      <c r="AD177" s="147">
        <f t="shared" si="42"/>
        <v>0</v>
      </c>
      <c r="AE177" s="147">
        <f t="shared" si="42"/>
        <v>0</v>
      </c>
      <c r="AF177" s="147">
        <f t="shared" si="42"/>
        <v>0</v>
      </c>
      <c r="AG177" s="147">
        <f t="shared" si="42"/>
        <v>0</v>
      </c>
      <c r="AH177" s="147">
        <f t="shared" si="42"/>
        <v>0</v>
      </c>
      <c r="AI177" s="147">
        <f t="shared" si="42"/>
        <v>0</v>
      </c>
      <c r="AJ177" s="147">
        <f t="shared" si="42"/>
        <v>0</v>
      </c>
      <c r="AK177" s="147">
        <f t="shared" si="41"/>
        <v>0</v>
      </c>
      <c r="AL177" s="147">
        <f t="shared" si="41"/>
        <v>0</v>
      </c>
      <c r="AM177" s="147">
        <f t="shared" si="41"/>
        <v>0</v>
      </c>
      <c r="AN177" s="147">
        <f t="shared" si="41"/>
        <v>0</v>
      </c>
      <c r="AO177" s="147">
        <f t="shared" si="41"/>
        <v>0</v>
      </c>
      <c r="AP177" s="147">
        <f t="shared" si="41"/>
        <v>0</v>
      </c>
      <c r="AQ177" s="147">
        <f t="shared" si="41"/>
        <v>0</v>
      </c>
      <c r="AR177" s="147">
        <f t="shared" si="41"/>
        <v>0</v>
      </c>
      <c r="AS177" s="147">
        <f t="shared" si="41"/>
        <v>0</v>
      </c>
      <c r="AT177" s="147">
        <f t="shared" si="41"/>
        <v>0</v>
      </c>
      <c r="AU177" s="147">
        <f t="shared" si="41"/>
        <v>0</v>
      </c>
      <c r="AV177" s="147">
        <f t="shared" si="41"/>
        <v>0</v>
      </c>
      <c r="AW177" s="147">
        <f t="shared" si="41"/>
        <v>0</v>
      </c>
      <c r="AX177" s="147">
        <f t="shared" si="41"/>
        <v>0</v>
      </c>
      <c r="AY177" s="147">
        <f t="shared" si="41"/>
        <v>0</v>
      </c>
      <c r="AZ177" s="147">
        <f t="shared" si="41"/>
        <v>0</v>
      </c>
      <c r="BA177" s="147">
        <f t="shared" si="41"/>
        <v>0</v>
      </c>
      <c r="BB177" s="147">
        <f t="shared" si="41"/>
        <v>0</v>
      </c>
      <c r="BC177" s="147">
        <f t="shared" si="41"/>
        <v>0</v>
      </c>
      <c r="BD177" s="147">
        <f t="shared" si="41"/>
        <v>0</v>
      </c>
      <c r="BE177" s="147">
        <f t="shared" si="41"/>
        <v>0</v>
      </c>
      <c r="BF177" s="147">
        <f t="shared" si="41"/>
        <v>0</v>
      </c>
      <c r="BG177" s="147">
        <f t="shared" si="41"/>
        <v>0</v>
      </c>
      <c r="BH177" s="147">
        <f t="shared" si="41"/>
        <v>0</v>
      </c>
      <c r="BI177" s="147">
        <f t="shared" si="41"/>
        <v>0</v>
      </c>
      <c r="BJ177" s="147">
        <f t="shared" si="41"/>
        <v>0</v>
      </c>
      <c r="BK177" s="147">
        <f t="shared" si="41"/>
        <v>0</v>
      </c>
      <c r="BL177" s="147">
        <f t="shared" si="41"/>
        <v>0</v>
      </c>
    </row>
    <row r="178" spans="1:64" s="155" customFormat="1" x14ac:dyDescent="0.15">
      <c r="C178" s="84" t="s">
        <v>371</v>
      </c>
      <c r="E178" s="147">
        <f t="shared" si="42"/>
        <v>0</v>
      </c>
      <c r="F178" s="147">
        <f t="shared" si="42"/>
        <v>0</v>
      </c>
      <c r="G178" s="147">
        <f t="shared" si="42"/>
        <v>0</v>
      </c>
      <c r="H178" s="147">
        <f t="shared" si="42"/>
        <v>0</v>
      </c>
      <c r="I178" s="147">
        <f t="shared" si="42"/>
        <v>0</v>
      </c>
      <c r="J178" s="147">
        <f t="shared" si="42"/>
        <v>0</v>
      </c>
      <c r="K178" s="147">
        <f t="shared" si="42"/>
        <v>0</v>
      </c>
      <c r="L178" s="147">
        <f t="shared" si="42"/>
        <v>0.30769081574606411</v>
      </c>
      <c r="M178" s="147">
        <f t="shared" si="42"/>
        <v>0.25060503372639309</v>
      </c>
      <c r="N178" s="147">
        <f t="shared" si="42"/>
        <v>0.20872859723646547</v>
      </c>
      <c r="O178" s="147">
        <f t="shared" si="42"/>
        <v>0.17099583310453881</v>
      </c>
      <c r="P178" s="147">
        <f t="shared" si="42"/>
        <v>0.14438805020151343</v>
      </c>
      <c r="Q178" s="147">
        <f t="shared" si="42"/>
        <v>0.11919830437413571</v>
      </c>
      <c r="R178" s="147">
        <f t="shared" si="42"/>
        <v>9.5526144313279673E-2</v>
      </c>
      <c r="S178" s="147">
        <f t="shared" si="42"/>
        <v>7.336623081395223E-2</v>
      </c>
      <c r="T178" s="147">
        <f t="shared" si="42"/>
        <v>5.2703497028825208E-2</v>
      </c>
      <c r="U178" s="147">
        <f t="shared" si="42"/>
        <v>3.3531190604856161E-2</v>
      </c>
      <c r="V178" s="147">
        <f t="shared" si="42"/>
        <v>0</v>
      </c>
      <c r="W178" s="147">
        <f t="shared" si="42"/>
        <v>0</v>
      </c>
      <c r="X178" s="147">
        <f t="shared" si="42"/>
        <v>0</v>
      </c>
      <c r="Y178" s="147">
        <f t="shared" si="42"/>
        <v>0</v>
      </c>
      <c r="Z178" s="147">
        <f t="shared" si="42"/>
        <v>0</v>
      </c>
      <c r="AA178" s="147">
        <f t="shared" si="42"/>
        <v>0</v>
      </c>
      <c r="AB178" s="147">
        <f t="shared" si="42"/>
        <v>0</v>
      </c>
      <c r="AC178" s="147">
        <f t="shared" si="42"/>
        <v>0</v>
      </c>
      <c r="AD178" s="147">
        <f t="shared" si="42"/>
        <v>0</v>
      </c>
      <c r="AE178" s="147">
        <f t="shared" si="42"/>
        <v>0</v>
      </c>
      <c r="AF178" s="147">
        <f t="shared" si="42"/>
        <v>0</v>
      </c>
      <c r="AG178" s="147">
        <f t="shared" si="42"/>
        <v>0</v>
      </c>
      <c r="AH178" s="147">
        <f t="shared" si="42"/>
        <v>0</v>
      </c>
      <c r="AI178" s="147">
        <f t="shared" si="42"/>
        <v>0</v>
      </c>
      <c r="AJ178" s="147">
        <f t="shared" si="42"/>
        <v>0</v>
      </c>
      <c r="AK178" s="147">
        <f t="shared" si="41"/>
        <v>0</v>
      </c>
      <c r="AL178" s="147">
        <f t="shared" si="41"/>
        <v>0</v>
      </c>
      <c r="AM178" s="147">
        <f t="shared" si="41"/>
        <v>0</v>
      </c>
      <c r="AN178" s="147">
        <f t="shared" si="41"/>
        <v>0</v>
      </c>
      <c r="AO178" s="147">
        <f t="shared" si="41"/>
        <v>0</v>
      </c>
      <c r="AP178" s="147">
        <f t="shared" si="41"/>
        <v>0</v>
      </c>
      <c r="AQ178" s="147">
        <f t="shared" si="41"/>
        <v>0</v>
      </c>
      <c r="AR178" s="147">
        <f t="shared" si="41"/>
        <v>0</v>
      </c>
      <c r="AS178" s="147">
        <f t="shared" si="41"/>
        <v>0</v>
      </c>
      <c r="AT178" s="147">
        <f t="shared" si="41"/>
        <v>0</v>
      </c>
      <c r="AU178" s="147">
        <f t="shared" si="41"/>
        <v>0</v>
      </c>
      <c r="AV178" s="147">
        <f t="shared" si="41"/>
        <v>0</v>
      </c>
      <c r="AW178" s="147">
        <f t="shared" si="41"/>
        <v>0</v>
      </c>
      <c r="AX178" s="147">
        <f t="shared" si="41"/>
        <v>0</v>
      </c>
      <c r="AY178" s="147">
        <f t="shared" si="41"/>
        <v>0</v>
      </c>
      <c r="AZ178" s="147">
        <f t="shared" si="41"/>
        <v>0</v>
      </c>
      <c r="BA178" s="147">
        <f t="shared" si="41"/>
        <v>0</v>
      </c>
      <c r="BB178" s="147">
        <f t="shared" si="41"/>
        <v>0</v>
      </c>
      <c r="BC178" s="147">
        <f t="shared" si="41"/>
        <v>0</v>
      </c>
      <c r="BD178" s="147">
        <f t="shared" si="41"/>
        <v>0</v>
      </c>
      <c r="BE178" s="147">
        <f t="shared" si="41"/>
        <v>0</v>
      </c>
      <c r="BF178" s="147">
        <f t="shared" si="41"/>
        <v>0</v>
      </c>
      <c r="BG178" s="147">
        <f t="shared" si="41"/>
        <v>0</v>
      </c>
      <c r="BH178" s="147">
        <f t="shared" si="41"/>
        <v>0</v>
      </c>
      <c r="BI178" s="147">
        <f t="shared" si="41"/>
        <v>0</v>
      </c>
      <c r="BJ178" s="147">
        <f t="shared" si="41"/>
        <v>0</v>
      </c>
      <c r="BK178" s="147">
        <f t="shared" si="41"/>
        <v>0</v>
      </c>
      <c r="BL178" s="147">
        <f t="shared" si="41"/>
        <v>0</v>
      </c>
    </row>
    <row r="179" spans="1:64" s="155" customFormat="1" x14ac:dyDescent="0.15">
      <c r="C179" s="84" t="s">
        <v>409</v>
      </c>
      <c r="E179" s="147">
        <f t="shared" ref="E179:BL179" si="43">IF(E5&gt;$D$7,0,D179+D178)</f>
        <v>0</v>
      </c>
      <c r="F179" s="147">
        <f t="shared" si="43"/>
        <v>0</v>
      </c>
      <c r="G179" s="147">
        <f t="shared" si="43"/>
        <v>0</v>
      </c>
      <c r="H179" s="147">
        <f t="shared" si="43"/>
        <v>0</v>
      </c>
      <c r="I179" s="147">
        <f t="shared" si="43"/>
        <v>0</v>
      </c>
      <c r="J179" s="147">
        <f t="shared" si="43"/>
        <v>0</v>
      </c>
      <c r="K179" s="147">
        <f t="shared" si="43"/>
        <v>0</v>
      </c>
      <c r="L179" s="147">
        <f t="shared" si="43"/>
        <v>0</v>
      </c>
      <c r="M179" s="147">
        <f t="shared" si="43"/>
        <v>0.30769081574606411</v>
      </c>
      <c r="N179" s="147">
        <f t="shared" si="43"/>
        <v>0.55829584947245725</v>
      </c>
      <c r="O179" s="147">
        <f t="shared" si="43"/>
        <v>0.76702444670892267</v>
      </c>
      <c r="P179" s="147">
        <f t="shared" si="43"/>
        <v>0.93802027981346148</v>
      </c>
      <c r="Q179" s="147">
        <f t="shared" si="43"/>
        <v>1.0824083300149749</v>
      </c>
      <c r="R179" s="147">
        <f t="shared" si="43"/>
        <v>1.2016066343891108</v>
      </c>
      <c r="S179" s="147">
        <f t="shared" si="43"/>
        <v>1.2971327787023905</v>
      </c>
      <c r="T179" s="147">
        <f t="shared" si="43"/>
        <v>1.3704990095163427</v>
      </c>
      <c r="U179" s="147">
        <f t="shared" si="43"/>
        <v>1.4232025065451679</v>
      </c>
      <c r="V179" s="147">
        <f t="shared" si="43"/>
        <v>0</v>
      </c>
      <c r="W179" s="147">
        <f t="shared" si="43"/>
        <v>0</v>
      </c>
      <c r="X179" s="147">
        <f t="shared" si="43"/>
        <v>0</v>
      </c>
      <c r="Y179" s="147">
        <f t="shared" si="43"/>
        <v>0</v>
      </c>
      <c r="Z179" s="147">
        <f t="shared" si="43"/>
        <v>0</v>
      </c>
      <c r="AA179" s="147">
        <f t="shared" si="43"/>
        <v>0</v>
      </c>
      <c r="AB179" s="147">
        <f t="shared" si="43"/>
        <v>0</v>
      </c>
      <c r="AC179" s="147">
        <f t="shared" si="43"/>
        <v>0</v>
      </c>
      <c r="AD179" s="147">
        <f t="shared" si="43"/>
        <v>0</v>
      </c>
      <c r="AE179" s="147">
        <f t="shared" si="43"/>
        <v>0</v>
      </c>
      <c r="AF179" s="147">
        <f t="shared" si="43"/>
        <v>0</v>
      </c>
      <c r="AG179" s="147">
        <f t="shared" si="43"/>
        <v>0</v>
      </c>
      <c r="AH179" s="147">
        <f t="shared" si="43"/>
        <v>0</v>
      </c>
      <c r="AI179" s="147">
        <f t="shared" si="43"/>
        <v>0</v>
      </c>
      <c r="AJ179" s="147">
        <f t="shared" si="43"/>
        <v>0</v>
      </c>
      <c r="AK179" s="147">
        <f t="shared" si="43"/>
        <v>0</v>
      </c>
      <c r="AL179" s="147">
        <f t="shared" si="43"/>
        <v>0</v>
      </c>
      <c r="AM179" s="147">
        <f t="shared" si="43"/>
        <v>0</v>
      </c>
      <c r="AN179" s="147">
        <f t="shared" si="43"/>
        <v>0</v>
      </c>
      <c r="AO179" s="147">
        <f t="shared" si="43"/>
        <v>0</v>
      </c>
      <c r="AP179" s="147">
        <f t="shared" si="43"/>
        <v>0</v>
      </c>
      <c r="AQ179" s="147">
        <f t="shared" si="43"/>
        <v>0</v>
      </c>
      <c r="AR179" s="147">
        <f t="shared" si="43"/>
        <v>0</v>
      </c>
      <c r="AS179" s="147">
        <f t="shared" si="43"/>
        <v>0</v>
      </c>
      <c r="AT179" s="147">
        <f t="shared" si="43"/>
        <v>0</v>
      </c>
      <c r="AU179" s="147">
        <f t="shared" si="43"/>
        <v>0</v>
      </c>
      <c r="AV179" s="147">
        <f t="shared" si="43"/>
        <v>0</v>
      </c>
      <c r="AW179" s="147">
        <f t="shared" si="43"/>
        <v>0</v>
      </c>
      <c r="AX179" s="147">
        <f t="shared" si="43"/>
        <v>0</v>
      </c>
      <c r="AY179" s="147">
        <f t="shared" si="43"/>
        <v>0</v>
      </c>
      <c r="AZ179" s="147">
        <f t="shared" si="43"/>
        <v>0</v>
      </c>
      <c r="BA179" s="147">
        <f t="shared" si="43"/>
        <v>0</v>
      </c>
      <c r="BB179" s="147">
        <f t="shared" si="43"/>
        <v>0</v>
      </c>
      <c r="BC179" s="147">
        <f t="shared" si="43"/>
        <v>0</v>
      </c>
      <c r="BD179" s="147">
        <f t="shared" si="43"/>
        <v>0</v>
      </c>
      <c r="BE179" s="147">
        <f t="shared" si="43"/>
        <v>0</v>
      </c>
      <c r="BF179" s="147">
        <f t="shared" si="43"/>
        <v>0</v>
      </c>
      <c r="BG179" s="147">
        <f t="shared" si="43"/>
        <v>0</v>
      </c>
      <c r="BH179" s="147">
        <f t="shared" si="43"/>
        <v>0</v>
      </c>
      <c r="BI179" s="147">
        <f t="shared" si="43"/>
        <v>0</v>
      </c>
      <c r="BJ179" s="147">
        <f t="shared" si="43"/>
        <v>0</v>
      </c>
      <c r="BK179" s="147">
        <f t="shared" si="43"/>
        <v>0</v>
      </c>
      <c r="BL179" s="147">
        <f t="shared" si="43"/>
        <v>0</v>
      </c>
    </row>
    <row r="180" spans="1:64" x14ac:dyDescent="0.15">
      <c r="C180" s="84" t="s">
        <v>405</v>
      </c>
      <c r="E180" s="140">
        <f t="shared" ref="E180:BL180" si="44">IF(E$5&gt;$D$7,0,IF(E$5=$D$7,E44,SUM(E170:E179)))</f>
        <v>0.10625896909678487</v>
      </c>
      <c r="F180" s="140">
        <f t="shared" si="44"/>
        <v>0.10671369743708502</v>
      </c>
      <c r="G180" s="140">
        <f t="shared" si="44"/>
        <v>0.10532270163572466</v>
      </c>
      <c r="H180" s="140">
        <f t="shared" si="44"/>
        <v>0.15163199813370898</v>
      </c>
      <c r="I180" s="140">
        <f t="shared" si="44"/>
        <v>0.18861926123162873</v>
      </c>
      <c r="J180" s="140">
        <f t="shared" si="44"/>
        <v>0.21843713479231699</v>
      </c>
      <c r="K180" s="140">
        <f t="shared" si="44"/>
        <v>0.33407095164386602</v>
      </c>
      <c r="L180" s="140">
        <f t="shared" si="44"/>
        <v>0.57937656329801712</v>
      </c>
      <c r="M180" s="140">
        <f t="shared" si="44"/>
        <v>0.77956029805085625</v>
      </c>
      <c r="N180" s="140">
        <f t="shared" si="44"/>
        <v>0.94367266489411494</v>
      </c>
      <c r="O180" s="140">
        <f t="shared" si="44"/>
        <v>1.0775034334346847</v>
      </c>
      <c r="P180" s="140">
        <f t="shared" si="44"/>
        <v>1.1917758823551989</v>
      </c>
      <c r="Q180" s="140">
        <f t="shared" si="44"/>
        <v>1.2841162246634394</v>
      </c>
      <c r="R180" s="140">
        <f t="shared" si="44"/>
        <v>1.3555513096096636</v>
      </c>
      <c r="S180" s="140">
        <f t="shared" si="44"/>
        <v>1.4074948982470743</v>
      </c>
      <c r="T180" s="140">
        <f t="shared" si="44"/>
        <v>1.4435107277152275</v>
      </c>
      <c r="U180" s="140">
        <f t="shared" si="44"/>
        <v>1.4725946221528921</v>
      </c>
      <c r="V180" s="140">
        <f t="shared" si="44"/>
        <v>0</v>
      </c>
      <c r="W180" s="140">
        <f t="shared" si="44"/>
        <v>0</v>
      </c>
      <c r="X180" s="140">
        <f t="shared" si="44"/>
        <v>0</v>
      </c>
      <c r="Y180" s="140">
        <f t="shared" si="44"/>
        <v>0</v>
      </c>
      <c r="Z180" s="140">
        <f t="shared" si="44"/>
        <v>0</v>
      </c>
      <c r="AA180" s="140">
        <f t="shared" si="44"/>
        <v>0</v>
      </c>
      <c r="AB180" s="140">
        <f t="shared" si="44"/>
        <v>0</v>
      </c>
      <c r="AC180" s="140">
        <f t="shared" si="44"/>
        <v>0</v>
      </c>
      <c r="AD180" s="140">
        <f t="shared" si="44"/>
        <v>0</v>
      </c>
      <c r="AE180" s="140">
        <f t="shared" si="44"/>
        <v>0</v>
      </c>
      <c r="AF180" s="140">
        <f t="shared" si="44"/>
        <v>0</v>
      </c>
      <c r="AG180" s="140">
        <f t="shared" si="44"/>
        <v>0</v>
      </c>
      <c r="AH180" s="140">
        <f t="shared" si="44"/>
        <v>0</v>
      </c>
      <c r="AI180" s="140">
        <f t="shared" si="44"/>
        <v>0</v>
      </c>
      <c r="AJ180" s="140">
        <f t="shared" si="44"/>
        <v>0</v>
      </c>
      <c r="AK180" s="140">
        <f t="shared" si="44"/>
        <v>0</v>
      </c>
      <c r="AL180" s="140">
        <f t="shared" si="44"/>
        <v>0</v>
      </c>
      <c r="AM180" s="140">
        <f t="shared" si="44"/>
        <v>0</v>
      </c>
      <c r="AN180" s="140">
        <f t="shared" si="44"/>
        <v>0</v>
      </c>
      <c r="AO180" s="140">
        <f t="shared" si="44"/>
        <v>0</v>
      </c>
      <c r="AP180" s="140">
        <f t="shared" si="44"/>
        <v>0</v>
      </c>
      <c r="AQ180" s="140">
        <f t="shared" si="44"/>
        <v>0</v>
      </c>
      <c r="AR180" s="140">
        <f t="shared" si="44"/>
        <v>0</v>
      </c>
      <c r="AS180" s="140">
        <f t="shared" si="44"/>
        <v>0</v>
      </c>
      <c r="AT180" s="140">
        <f t="shared" si="44"/>
        <v>0</v>
      </c>
      <c r="AU180" s="140">
        <f t="shared" si="44"/>
        <v>0</v>
      </c>
      <c r="AV180" s="140">
        <f t="shared" si="44"/>
        <v>0</v>
      </c>
      <c r="AW180" s="140">
        <f t="shared" si="44"/>
        <v>0</v>
      </c>
      <c r="AX180" s="140">
        <f t="shared" si="44"/>
        <v>0</v>
      </c>
      <c r="AY180" s="140">
        <f t="shared" si="44"/>
        <v>0</v>
      </c>
      <c r="AZ180" s="140">
        <f t="shared" si="44"/>
        <v>0</v>
      </c>
      <c r="BA180" s="140">
        <f t="shared" si="44"/>
        <v>0</v>
      </c>
      <c r="BB180" s="140">
        <f t="shared" si="44"/>
        <v>0</v>
      </c>
      <c r="BC180" s="140">
        <f t="shared" si="44"/>
        <v>0</v>
      </c>
      <c r="BD180" s="140">
        <f t="shared" si="44"/>
        <v>0</v>
      </c>
      <c r="BE180" s="140">
        <f t="shared" si="44"/>
        <v>0</v>
      </c>
      <c r="BF180" s="140">
        <f t="shared" si="44"/>
        <v>0</v>
      </c>
      <c r="BG180" s="140">
        <f t="shared" si="44"/>
        <v>0</v>
      </c>
      <c r="BH180" s="140">
        <f t="shared" si="44"/>
        <v>0</v>
      </c>
      <c r="BI180" s="140">
        <f t="shared" si="44"/>
        <v>0</v>
      </c>
      <c r="BJ180" s="140">
        <f t="shared" si="44"/>
        <v>0</v>
      </c>
      <c r="BK180" s="140">
        <f t="shared" si="44"/>
        <v>0</v>
      </c>
      <c r="BL180" s="140">
        <f t="shared" si="44"/>
        <v>0</v>
      </c>
    </row>
    <row r="181" spans="1:64" x14ac:dyDescent="0.15">
      <c r="C181" s="155" t="s">
        <v>404</v>
      </c>
      <c r="D181" s="297"/>
      <c r="E181" s="297">
        <f t="shared" ref="E181:BL181" si="45">-IF(E$5&gt;$D$7,0,E180-D180)</f>
        <v>-0.10625896909678487</v>
      </c>
      <c r="F181" s="297">
        <f t="shared" si="45"/>
        <v>-4.5472834030015064E-4</v>
      </c>
      <c r="G181" s="297">
        <f t="shared" si="45"/>
        <v>1.3909958013603591E-3</v>
      </c>
      <c r="H181" s="297">
        <f t="shared" si="45"/>
        <v>-4.630929649798432E-2</v>
      </c>
      <c r="I181" s="297">
        <f t="shared" si="45"/>
        <v>-3.6987263097919748E-2</v>
      </c>
      <c r="J181" s="297">
        <f t="shared" si="45"/>
        <v>-2.9817873560688268E-2</v>
      </c>
      <c r="K181" s="297">
        <f t="shared" si="45"/>
        <v>-0.11563381685154903</v>
      </c>
      <c r="L181" s="297">
        <f t="shared" si="45"/>
        <v>-0.2453056116541511</v>
      </c>
      <c r="M181" s="297">
        <f t="shared" si="45"/>
        <v>-0.20018373475283913</v>
      </c>
      <c r="N181" s="297">
        <f t="shared" si="45"/>
        <v>-0.16411236684325869</v>
      </c>
      <c r="O181" s="297">
        <f t="shared" si="45"/>
        <v>-0.13383076854056974</v>
      </c>
      <c r="P181" s="297">
        <f t="shared" si="45"/>
        <v>-0.11427244892051425</v>
      </c>
      <c r="Q181" s="297">
        <f t="shared" si="45"/>
        <v>-9.2340342308240508E-2</v>
      </c>
      <c r="R181" s="297">
        <f t="shared" si="45"/>
        <v>-7.1435084946224192E-2</v>
      </c>
      <c r="S181" s="297">
        <f t="shared" si="45"/>
        <v>-5.1943588637410665E-2</v>
      </c>
      <c r="T181" s="297">
        <f t="shared" si="45"/>
        <v>-3.6015829468153182E-2</v>
      </c>
      <c r="U181" s="297">
        <f t="shared" si="45"/>
        <v>-2.908389443766457E-2</v>
      </c>
      <c r="V181" s="297">
        <f t="shared" si="45"/>
        <v>0</v>
      </c>
      <c r="W181" s="297">
        <f t="shared" si="45"/>
        <v>0</v>
      </c>
      <c r="X181" s="297">
        <f t="shared" si="45"/>
        <v>0</v>
      </c>
      <c r="Y181" s="297">
        <f t="shared" si="45"/>
        <v>0</v>
      </c>
      <c r="Z181" s="297">
        <f t="shared" si="45"/>
        <v>0</v>
      </c>
      <c r="AA181" s="297">
        <f t="shared" si="45"/>
        <v>0</v>
      </c>
      <c r="AB181" s="297">
        <f t="shared" si="45"/>
        <v>0</v>
      </c>
      <c r="AC181" s="297">
        <f t="shared" si="45"/>
        <v>0</v>
      </c>
      <c r="AD181" s="297">
        <f t="shared" si="45"/>
        <v>0</v>
      </c>
      <c r="AE181" s="297">
        <f t="shared" si="45"/>
        <v>0</v>
      </c>
      <c r="AF181" s="297">
        <f t="shared" si="45"/>
        <v>0</v>
      </c>
      <c r="AG181" s="297">
        <f t="shared" si="45"/>
        <v>0</v>
      </c>
      <c r="AH181" s="297">
        <f t="shared" si="45"/>
        <v>0</v>
      </c>
      <c r="AI181" s="297">
        <f t="shared" si="45"/>
        <v>0</v>
      </c>
      <c r="AJ181" s="297">
        <f t="shared" si="45"/>
        <v>0</v>
      </c>
      <c r="AK181" s="297">
        <f t="shared" si="45"/>
        <v>0</v>
      </c>
      <c r="AL181" s="297">
        <f t="shared" si="45"/>
        <v>0</v>
      </c>
      <c r="AM181" s="297">
        <f t="shared" si="45"/>
        <v>0</v>
      </c>
      <c r="AN181" s="297">
        <f t="shared" si="45"/>
        <v>0</v>
      </c>
      <c r="AO181" s="297">
        <f t="shared" si="45"/>
        <v>0</v>
      </c>
      <c r="AP181" s="297">
        <f t="shared" si="45"/>
        <v>0</v>
      </c>
      <c r="AQ181" s="297">
        <f t="shared" si="45"/>
        <v>0</v>
      </c>
      <c r="AR181" s="297">
        <f t="shared" si="45"/>
        <v>0</v>
      </c>
      <c r="AS181" s="297">
        <f t="shared" si="45"/>
        <v>0</v>
      </c>
      <c r="AT181" s="297">
        <f t="shared" si="45"/>
        <v>0</v>
      </c>
      <c r="AU181" s="297">
        <f t="shared" si="45"/>
        <v>0</v>
      </c>
      <c r="AV181" s="297">
        <f t="shared" si="45"/>
        <v>0</v>
      </c>
      <c r="AW181" s="297">
        <f t="shared" si="45"/>
        <v>0</v>
      </c>
      <c r="AX181" s="297">
        <f t="shared" si="45"/>
        <v>0</v>
      </c>
      <c r="AY181" s="297">
        <f t="shared" si="45"/>
        <v>0</v>
      </c>
      <c r="AZ181" s="297">
        <f t="shared" si="45"/>
        <v>0</v>
      </c>
      <c r="BA181" s="297">
        <f t="shared" si="45"/>
        <v>0</v>
      </c>
      <c r="BB181" s="297">
        <f t="shared" si="45"/>
        <v>0</v>
      </c>
      <c r="BC181" s="297">
        <f t="shared" si="45"/>
        <v>0</v>
      </c>
      <c r="BD181" s="297">
        <f t="shared" si="45"/>
        <v>0</v>
      </c>
      <c r="BE181" s="297">
        <f t="shared" si="45"/>
        <v>0</v>
      </c>
      <c r="BF181" s="297">
        <f t="shared" si="45"/>
        <v>0</v>
      </c>
      <c r="BG181" s="297">
        <f t="shared" si="45"/>
        <v>0</v>
      </c>
      <c r="BH181" s="297">
        <f t="shared" si="45"/>
        <v>0</v>
      </c>
      <c r="BI181" s="297">
        <f t="shared" si="45"/>
        <v>0</v>
      </c>
      <c r="BJ181" s="297">
        <f t="shared" si="45"/>
        <v>0</v>
      </c>
      <c r="BK181" s="297">
        <f t="shared" si="45"/>
        <v>0</v>
      </c>
      <c r="BL181" s="297">
        <f t="shared" si="45"/>
        <v>0</v>
      </c>
    </row>
    <row r="183" spans="1:64" x14ac:dyDescent="0.15">
      <c r="B183" s="155" t="s">
        <v>404</v>
      </c>
      <c r="C183" s="155"/>
      <c r="D183" s="147"/>
      <c r="E183" s="297" cm="1">
        <f t="array" ref="E183">_xlfn.IFS(Leadsheet!$G$4="IFRS",SAP_Speadsheet!E146,AND(Leadsheet!$G$4="VAS",Leadsheet!$G$5="DPD360+"),SAP_Speadsheet!E166,AND(Leadsheet!$G$4="VAS",Leadsheet!$G$5="DPD180+"),SAP_Speadsheet!E181)</f>
        <v>-0.52020895128511402</v>
      </c>
      <c r="F183" s="297" cm="1">
        <f t="array" ref="F183">_xlfn.IFS(Leadsheet!$G$4="IFRS",SAP_Speadsheet!F146,AND(Leadsheet!$G$4="VAS",Leadsheet!$G$5="DPD360+"),SAP_Speadsheet!F166,AND(Leadsheet!$G$4="VAS",Leadsheet!$G$5="DPD180+"),SAP_Speadsheet!F181)</f>
        <v>-0.19448914903128156</v>
      </c>
      <c r="G183" s="297" cm="1">
        <f t="array" ref="G183">_xlfn.IFS(Leadsheet!$G$4="IFRS",SAP_Speadsheet!G146,AND(Leadsheet!$G$4="VAS",Leadsheet!$G$5="DPD360+"),SAP_Speadsheet!G166,AND(Leadsheet!$G$4="VAS",Leadsheet!$G$5="DPD180+"),SAP_Speadsheet!G181)</f>
        <v>-0.15933051104981388</v>
      </c>
      <c r="H183" s="297" cm="1">
        <f t="array" ref="H183">_xlfn.IFS(Leadsheet!$G$4="IFRS",SAP_Speadsheet!H146,AND(Leadsheet!$G$4="VAS",Leadsheet!$G$5="DPD360+"),SAP_Speadsheet!H166,AND(Leadsheet!$G$4="VAS",Leadsheet!$G$5="DPD180+"),SAP_Speadsheet!H181)</f>
        <v>-0.13453790896781026</v>
      </c>
      <c r="I183" s="297" cm="1">
        <f t="array" ref="I183">_xlfn.IFS(Leadsheet!$G$4="IFRS",SAP_Speadsheet!I146,AND(Leadsheet!$G$4="VAS",Leadsheet!$G$5="DPD360+"),SAP_Speadsheet!I166,AND(Leadsheet!$G$4="VAS",Leadsheet!$G$5="DPD180+"),SAP_Speadsheet!I181)</f>
        <v>-0.11106660558559645</v>
      </c>
      <c r="J183" s="297" cm="1">
        <f t="array" ref="J183">_xlfn.IFS(Leadsheet!$G$4="IFRS",SAP_Speadsheet!J146,AND(Leadsheet!$G$4="VAS",Leadsheet!$G$5="DPD360+"),SAP_Speadsheet!J166,AND(Leadsheet!$G$4="VAS",Leadsheet!$G$5="DPD180+"),SAP_Speadsheet!J181)</f>
        <v>-8.9009358390319315E-2</v>
      </c>
      <c r="K183" s="297" cm="1">
        <f t="array" ref="K183">_xlfn.IFS(Leadsheet!$G$4="IFRS",SAP_Speadsheet!K146,AND(Leadsheet!$G$4="VAS",Leadsheet!$G$5="DPD360+"),SAP_Speadsheet!K166,AND(Leadsheet!$G$4="VAS",Leadsheet!$G$5="DPD180+"),SAP_Speadsheet!K181)</f>
        <v>-6.8361192417122796E-2</v>
      </c>
      <c r="L183" s="297" cm="1">
        <f t="array" ref="L183">_xlfn.IFS(Leadsheet!$G$4="IFRS",SAP_Speadsheet!L146,AND(Leadsheet!$G$4="VAS",Leadsheet!$G$5="DPD360+"),SAP_Speadsheet!L166,AND(Leadsheet!$G$4="VAS",Leadsheet!$G$5="DPD180+"),SAP_Speadsheet!L181)</f>
        <v>-5.4959092614760507E-2</v>
      </c>
      <c r="M183" s="297" cm="1">
        <f t="array" ref="M183">_xlfn.IFS(Leadsheet!$G$4="IFRS",SAP_Speadsheet!M146,AND(Leadsheet!$G$4="VAS",Leadsheet!$G$5="DPD360+"),SAP_Speadsheet!M166,AND(Leadsheet!$G$4="VAS",Leadsheet!$G$5="DPD180+"),SAP_Speadsheet!M181)</f>
        <v>-3.6009180737226254E-2</v>
      </c>
      <c r="N183" s="297" cm="1">
        <f t="array" ref="N183">_xlfn.IFS(Leadsheet!$G$4="IFRS",SAP_Speadsheet!N146,AND(Leadsheet!$G$4="VAS",Leadsheet!$G$5="DPD360+"),SAP_Speadsheet!N166,AND(Leadsheet!$G$4="VAS",Leadsheet!$G$5="DPD180+"),SAP_Speadsheet!N181)</f>
        <v>-1.8748060274807354E-2</v>
      </c>
      <c r="O183" s="297" cm="1">
        <f t="array" ref="O183">_xlfn.IFS(Leadsheet!$G$4="IFRS",SAP_Speadsheet!O146,AND(Leadsheet!$G$4="VAS",Leadsheet!$G$5="DPD360+"),SAP_Speadsheet!O166,AND(Leadsheet!$G$4="VAS",Leadsheet!$G$5="DPD180+"),SAP_Speadsheet!O181)</f>
        <v>-3.2516430826492471E-3</v>
      </c>
      <c r="P183" s="297" cm="1">
        <f t="array" ref="P183">_xlfn.IFS(Leadsheet!$G$4="IFRS",SAP_Speadsheet!P146,AND(Leadsheet!$G$4="VAS",Leadsheet!$G$5="DPD360+"),SAP_Speadsheet!P166,AND(Leadsheet!$G$4="VAS",Leadsheet!$G$5="DPD180+"),SAP_Speadsheet!P181)</f>
        <v>-2.7456716115878965E-3</v>
      </c>
      <c r="Q183" s="297" cm="1">
        <f t="array" ref="Q183">_xlfn.IFS(Leadsheet!$G$4="IFRS",SAP_Speadsheet!Q146,AND(Leadsheet!$G$4="VAS",Leadsheet!$G$5="DPD360+"),SAP_Speadsheet!Q166,AND(Leadsheet!$G$4="VAS",Leadsheet!$G$5="DPD180+"),SAP_Speadsheet!Q181)</f>
        <v>-2.2666654201142222E-3</v>
      </c>
      <c r="R183" s="297" cm="1">
        <f t="array" ref="R183">_xlfn.IFS(Leadsheet!$G$4="IFRS",SAP_Speadsheet!R146,AND(Leadsheet!$G$4="VAS",Leadsheet!$G$5="DPD360+"),SAP_Speadsheet!R166,AND(Leadsheet!$G$4="VAS",Leadsheet!$G$5="DPD180+"),SAP_Speadsheet!R181)</f>
        <v>-7.7869501069065539E-3</v>
      </c>
      <c r="S183" s="297" cm="1">
        <f t="array" ref="S183">_xlfn.IFS(Leadsheet!$G$4="IFRS",SAP_Speadsheet!S146,AND(Leadsheet!$G$4="VAS",Leadsheet!$G$5="DPD360+"),SAP_Speadsheet!S166,AND(Leadsheet!$G$4="VAS",Leadsheet!$G$5="DPD180+"),SAP_Speadsheet!S181)</f>
        <v>-6.2578664502865866E-3</v>
      </c>
      <c r="T183" s="297" cm="1">
        <f t="array" ref="T183">_xlfn.IFS(Leadsheet!$G$4="IFRS",SAP_Speadsheet!T146,AND(Leadsheet!$G$4="VAS",Leadsheet!$G$5="DPD360+"),SAP_Speadsheet!T166,AND(Leadsheet!$G$4="VAS",Leadsheet!$G$5="DPD180+"),SAP_Speadsheet!T181)</f>
        <v>-5.0523751839968156E-3</v>
      </c>
      <c r="U183" s="297" cm="1">
        <f t="array" ref="U183">_xlfn.IFS(Leadsheet!$G$4="IFRS",SAP_Speadsheet!U146,AND(Leadsheet!$G$4="VAS",Leadsheet!$G$5="DPD360+"),SAP_Speadsheet!U166,AND(Leadsheet!$G$4="VAS",Leadsheet!$G$5="DPD180+"),SAP_Speadsheet!U181)</f>
        <v>-3.9556295836071786E-3</v>
      </c>
      <c r="V183" s="297" cm="1">
        <f t="array" ref="V183">_xlfn.IFS(Leadsheet!$G$4="IFRS",SAP_Speadsheet!V146,AND(Leadsheet!$G$4="VAS",Leadsheet!$G$5="DPD360+"),SAP_Speadsheet!V166,AND(Leadsheet!$G$4="VAS",Leadsheet!$G$5="DPD180+"),SAP_Speadsheet!V181)</f>
        <v>0</v>
      </c>
      <c r="W183" s="297" cm="1">
        <f t="array" ref="W183">_xlfn.IFS(Leadsheet!$G$4="IFRS",SAP_Speadsheet!W146,AND(Leadsheet!$G$4="VAS",Leadsheet!$G$5="DPD360+"),SAP_Speadsheet!W166,AND(Leadsheet!$G$4="VAS",Leadsheet!$G$5="DPD180+"),SAP_Speadsheet!W181)</f>
        <v>0</v>
      </c>
      <c r="X183" s="297" cm="1">
        <f t="array" ref="X183">_xlfn.IFS(Leadsheet!$G$4="IFRS",SAP_Speadsheet!X146,AND(Leadsheet!$G$4="VAS",Leadsheet!$G$5="DPD360+"),SAP_Speadsheet!X166,AND(Leadsheet!$G$4="VAS",Leadsheet!$G$5="DPD180+"),SAP_Speadsheet!X181)</f>
        <v>0</v>
      </c>
      <c r="Y183" s="297" cm="1">
        <f t="array" ref="Y183">_xlfn.IFS(Leadsheet!$G$4="IFRS",SAP_Speadsheet!Y146,AND(Leadsheet!$G$4="VAS",Leadsheet!$G$5="DPD360+"),SAP_Speadsheet!Y166,AND(Leadsheet!$G$4="VAS",Leadsheet!$G$5="DPD180+"),SAP_Speadsheet!Y181)</f>
        <v>0</v>
      </c>
      <c r="Z183" s="297" cm="1">
        <f t="array" ref="Z183">_xlfn.IFS(Leadsheet!$G$4="IFRS",SAP_Speadsheet!Z146,AND(Leadsheet!$G$4="VAS",Leadsheet!$G$5="DPD360+"),SAP_Speadsheet!Z166,AND(Leadsheet!$G$4="VAS",Leadsheet!$G$5="DPD180+"),SAP_Speadsheet!Z181)</f>
        <v>0</v>
      </c>
      <c r="AA183" s="297" cm="1">
        <f t="array" ref="AA183">_xlfn.IFS(Leadsheet!$G$4="IFRS",SAP_Speadsheet!AA146,AND(Leadsheet!$G$4="VAS",Leadsheet!$G$5="DPD360+"),SAP_Speadsheet!AA166,AND(Leadsheet!$G$4="VAS",Leadsheet!$G$5="DPD180+"),SAP_Speadsheet!AA181)</f>
        <v>0</v>
      </c>
      <c r="AB183" s="297" cm="1">
        <f t="array" ref="AB183">_xlfn.IFS(Leadsheet!$G$4="IFRS",SAP_Speadsheet!AB146,AND(Leadsheet!$G$4="VAS",Leadsheet!$G$5="DPD360+"),SAP_Speadsheet!AB166,AND(Leadsheet!$G$4="VAS",Leadsheet!$G$5="DPD180+"),SAP_Speadsheet!AB181)</f>
        <v>0</v>
      </c>
      <c r="AC183" s="297" cm="1">
        <f t="array" ref="AC183">_xlfn.IFS(Leadsheet!$G$4="IFRS",SAP_Speadsheet!AC146,AND(Leadsheet!$G$4="VAS",Leadsheet!$G$5="DPD360+"),SAP_Speadsheet!AC166,AND(Leadsheet!$G$4="VAS",Leadsheet!$G$5="DPD180+"),SAP_Speadsheet!AC181)</f>
        <v>0</v>
      </c>
      <c r="AD183" s="297" cm="1">
        <f t="array" ref="AD183">_xlfn.IFS(Leadsheet!$G$4="IFRS",SAP_Speadsheet!AD146,AND(Leadsheet!$G$4="VAS",Leadsheet!$G$5="DPD360+"),SAP_Speadsheet!AD166,AND(Leadsheet!$G$4="VAS",Leadsheet!$G$5="DPD180+"),SAP_Speadsheet!AD181)</f>
        <v>0</v>
      </c>
      <c r="AE183" s="297" cm="1">
        <f t="array" ref="AE183">_xlfn.IFS(Leadsheet!$G$4="IFRS",SAP_Speadsheet!AE146,AND(Leadsheet!$G$4="VAS",Leadsheet!$G$5="DPD360+"),SAP_Speadsheet!AE166,AND(Leadsheet!$G$4="VAS",Leadsheet!$G$5="DPD180+"),SAP_Speadsheet!AE181)</f>
        <v>0</v>
      </c>
      <c r="AF183" s="297" cm="1">
        <f t="array" ref="AF183">_xlfn.IFS(Leadsheet!$G$4="IFRS",SAP_Speadsheet!AF146,AND(Leadsheet!$G$4="VAS",Leadsheet!$G$5="DPD360+"),SAP_Speadsheet!AF166,AND(Leadsheet!$G$4="VAS",Leadsheet!$G$5="DPD180+"),SAP_Speadsheet!AF181)</f>
        <v>0</v>
      </c>
      <c r="AG183" s="297" cm="1">
        <f t="array" ref="AG183">_xlfn.IFS(Leadsheet!$G$4="IFRS",SAP_Speadsheet!AG146,AND(Leadsheet!$G$4="VAS",Leadsheet!$G$5="DPD360+"),SAP_Speadsheet!AG166,AND(Leadsheet!$G$4="VAS",Leadsheet!$G$5="DPD180+"),SAP_Speadsheet!AG181)</f>
        <v>0</v>
      </c>
      <c r="AH183" s="297" cm="1">
        <f t="array" ref="AH183">_xlfn.IFS(Leadsheet!$G$4="IFRS",SAP_Speadsheet!AH146,AND(Leadsheet!$G$4="VAS",Leadsheet!$G$5="DPD360+"),SAP_Speadsheet!AH166,AND(Leadsheet!$G$4="VAS",Leadsheet!$G$5="DPD180+"),SAP_Speadsheet!AH181)</f>
        <v>0</v>
      </c>
      <c r="AI183" s="297" cm="1">
        <f t="array" ref="AI183">_xlfn.IFS(Leadsheet!$G$4="IFRS",SAP_Speadsheet!AI146,AND(Leadsheet!$G$4="VAS",Leadsheet!$G$5="DPD360+"),SAP_Speadsheet!AI166,AND(Leadsheet!$G$4="VAS",Leadsheet!$G$5="DPD180+"),SAP_Speadsheet!AI181)</f>
        <v>0</v>
      </c>
      <c r="AJ183" s="297" cm="1">
        <f t="array" ref="AJ183">_xlfn.IFS(Leadsheet!$G$4="IFRS",SAP_Speadsheet!AJ146,AND(Leadsheet!$G$4="VAS",Leadsheet!$G$5="DPD360+"),SAP_Speadsheet!AJ166,AND(Leadsheet!$G$4="VAS",Leadsheet!$G$5="DPD180+"),SAP_Speadsheet!AJ181)</f>
        <v>0</v>
      </c>
      <c r="AK183" s="297" cm="1">
        <f t="array" ref="AK183">_xlfn.IFS(Leadsheet!$G$4="IFRS",SAP_Speadsheet!AK146,AND(Leadsheet!$G$4="VAS",Leadsheet!$G$5="DPD360+"),SAP_Speadsheet!AK166,AND(Leadsheet!$G$4="VAS",Leadsheet!$G$5="DPD180+"),SAP_Speadsheet!AK181)</f>
        <v>0</v>
      </c>
      <c r="AL183" s="297" cm="1">
        <f t="array" ref="AL183">_xlfn.IFS(Leadsheet!$G$4="IFRS",SAP_Speadsheet!AL146,AND(Leadsheet!$G$4="VAS",Leadsheet!$G$5="DPD360+"),SAP_Speadsheet!AL166,AND(Leadsheet!$G$4="VAS",Leadsheet!$G$5="DPD180+"),SAP_Speadsheet!AL181)</f>
        <v>0</v>
      </c>
      <c r="AM183" s="297" cm="1">
        <f t="array" ref="AM183">_xlfn.IFS(Leadsheet!$G$4="IFRS",SAP_Speadsheet!AM146,AND(Leadsheet!$G$4="VAS",Leadsheet!$G$5="DPD360+"),SAP_Speadsheet!AM166,AND(Leadsheet!$G$4="VAS",Leadsheet!$G$5="DPD180+"),SAP_Speadsheet!AM181)</f>
        <v>0</v>
      </c>
      <c r="AN183" s="297" cm="1">
        <f t="array" ref="AN183">_xlfn.IFS(Leadsheet!$G$4="IFRS",SAP_Speadsheet!AN146,AND(Leadsheet!$G$4="VAS",Leadsheet!$G$5="DPD360+"),SAP_Speadsheet!AN166,AND(Leadsheet!$G$4="VAS",Leadsheet!$G$5="DPD180+"),SAP_Speadsheet!AN181)</f>
        <v>0</v>
      </c>
      <c r="AO183" s="297" cm="1">
        <f t="array" ref="AO183">_xlfn.IFS(Leadsheet!$G$4="IFRS",SAP_Speadsheet!AO146,AND(Leadsheet!$G$4="VAS",Leadsheet!$G$5="DPD360+"),SAP_Speadsheet!AO166,AND(Leadsheet!$G$4="VAS",Leadsheet!$G$5="DPD180+"),SAP_Speadsheet!AO181)</f>
        <v>0</v>
      </c>
      <c r="AP183" s="297" cm="1">
        <f t="array" ref="AP183">_xlfn.IFS(Leadsheet!$G$4="IFRS",SAP_Speadsheet!AP146,AND(Leadsheet!$G$4="VAS",Leadsheet!$G$5="DPD360+"),SAP_Speadsheet!AP166,AND(Leadsheet!$G$4="VAS",Leadsheet!$G$5="DPD180+"),SAP_Speadsheet!AP181)</f>
        <v>0</v>
      </c>
      <c r="AQ183" s="297" cm="1">
        <f t="array" ref="AQ183">_xlfn.IFS(Leadsheet!$G$4="IFRS",SAP_Speadsheet!AQ146,AND(Leadsheet!$G$4="VAS",Leadsheet!$G$5="DPD360+"),SAP_Speadsheet!AQ166,AND(Leadsheet!$G$4="VAS",Leadsheet!$G$5="DPD180+"),SAP_Speadsheet!AQ181)</f>
        <v>0</v>
      </c>
      <c r="AR183" s="297" cm="1">
        <f t="array" ref="AR183">_xlfn.IFS(Leadsheet!$G$4="IFRS",SAP_Speadsheet!AR146,AND(Leadsheet!$G$4="VAS",Leadsheet!$G$5="DPD360+"),SAP_Speadsheet!AR166,AND(Leadsheet!$G$4="VAS",Leadsheet!$G$5="DPD180+"),SAP_Speadsheet!AR181)</f>
        <v>0</v>
      </c>
      <c r="AS183" s="297" cm="1">
        <f t="array" ref="AS183">_xlfn.IFS(Leadsheet!$G$4="IFRS",SAP_Speadsheet!AS146,AND(Leadsheet!$G$4="VAS",Leadsheet!$G$5="DPD360+"),SAP_Speadsheet!AS166,AND(Leadsheet!$G$4="VAS",Leadsheet!$G$5="DPD180+"),SAP_Speadsheet!AS181)</f>
        <v>0</v>
      </c>
      <c r="AT183" s="297" cm="1">
        <f t="array" ref="AT183">_xlfn.IFS(Leadsheet!$G$4="IFRS",SAP_Speadsheet!AT146,AND(Leadsheet!$G$4="VAS",Leadsheet!$G$5="DPD360+"),SAP_Speadsheet!AT166,AND(Leadsheet!$G$4="VAS",Leadsheet!$G$5="DPD180+"),SAP_Speadsheet!AT181)</f>
        <v>0</v>
      </c>
      <c r="AU183" s="297" cm="1">
        <f t="array" ref="AU183">_xlfn.IFS(Leadsheet!$G$4="IFRS",SAP_Speadsheet!AU146,AND(Leadsheet!$G$4="VAS",Leadsheet!$G$5="DPD360+"),SAP_Speadsheet!AU166,AND(Leadsheet!$G$4="VAS",Leadsheet!$G$5="DPD180+"),SAP_Speadsheet!AU181)</f>
        <v>0</v>
      </c>
      <c r="AV183" s="297" cm="1">
        <f t="array" ref="AV183">_xlfn.IFS(Leadsheet!$G$4="IFRS",SAP_Speadsheet!AV146,AND(Leadsheet!$G$4="VAS",Leadsheet!$G$5="DPD360+"),SAP_Speadsheet!AV166,AND(Leadsheet!$G$4="VAS",Leadsheet!$G$5="DPD180+"),SAP_Speadsheet!AV181)</f>
        <v>0</v>
      </c>
      <c r="AW183" s="297" cm="1">
        <f t="array" ref="AW183">_xlfn.IFS(Leadsheet!$G$4="IFRS",SAP_Speadsheet!AW146,AND(Leadsheet!$G$4="VAS",Leadsheet!$G$5="DPD360+"),SAP_Speadsheet!AW166,AND(Leadsheet!$G$4="VAS",Leadsheet!$G$5="DPD180+"),SAP_Speadsheet!AW181)</f>
        <v>0</v>
      </c>
      <c r="AX183" s="297" cm="1">
        <f t="array" ref="AX183">_xlfn.IFS(Leadsheet!$G$4="IFRS",SAP_Speadsheet!AX146,AND(Leadsheet!$G$4="VAS",Leadsheet!$G$5="DPD360+"),SAP_Speadsheet!AX166,AND(Leadsheet!$G$4="VAS",Leadsheet!$G$5="DPD180+"),SAP_Speadsheet!AX181)</f>
        <v>0</v>
      </c>
      <c r="AY183" s="297" cm="1">
        <f t="array" ref="AY183">_xlfn.IFS(Leadsheet!$G$4="IFRS",SAP_Speadsheet!AY146,AND(Leadsheet!$G$4="VAS",Leadsheet!$G$5="DPD360+"),SAP_Speadsheet!AY166,AND(Leadsheet!$G$4="VAS",Leadsheet!$G$5="DPD180+"),SAP_Speadsheet!AY181)</f>
        <v>0</v>
      </c>
      <c r="AZ183" s="297" cm="1">
        <f t="array" ref="AZ183">_xlfn.IFS(Leadsheet!$G$4="IFRS",SAP_Speadsheet!AZ146,AND(Leadsheet!$G$4="VAS",Leadsheet!$G$5="DPD360+"),SAP_Speadsheet!AZ166,AND(Leadsheet!$G$4="VAS",Leadsheet!$G$5="DPD180+"),SAP_Speadsheet!AZ181)</f>
        <v>0</v>
      </c>
      <c r="BA183" s="297" cm="1">
        <f t="array" ref="BA183">_xlfn.IFS(Leadsheet!$G$4="IFRS",SAP_Speadsheet!BA146,AND(Leadsheet!$G$4="VAS",Leadsheet!$G$5="DPD360+"),SAP_Speadsheet!BA166,AND(Leadsheet!$G$4="VAS",Leadsheet!$G$5="DPD180+"),SAP_Speadsheet!BA181)</f>
        <v>0</v>
      </c>
      <c r="BB183" s="297" cm="1">
        <f t="array" ref="BB183">_xlfn.IFS(Leadsheet!$G$4="IFRS",SAP_Speadsheet!BB146,AND(Leadsheet!$G$4="VAS",Leadsheet!$G$5="DPD360+"),SAP_Speadsheet!BB166,AND(Leadsheet!$G$4="VAS",Leadsheet!$G$5="DPD180+"),SAP_Speadsheet!BB181)</f>
        <v>0</v>
      </c>
      <c r="BC183" s="297" cm="1">
        <f t="array" ref="BC183">_xlfn.IFS(Leadsheet!$G$4="IFRS",SAP_Speadsheet!BC146,AND(Leadsheet!$G$4="VAS",Leadsheet!$G$5="DPD360+"),SAP_Speadsheet!BC166,AND(Leadsheet!$G$4="VAS",Leadsheet!$G$5="DPD180+"),SAP_Speadsheet!BC181)</f>
        <v>0</v>
      </c>
      <c r="BD183" s="297" cm="1">
        <f t="array" ref="BD183">_xlfn.IFS(Leadsheet!$G$4="IFRS",SAP_Speadsheet!BD146,AND(Leadsheet!$G$4="VAS",Leadsheet!$G$5="DPD360+"),SAP_Speadsheet!BD166,AND(Leadsheet!$G$4="VAS",Leadsheet!$G$5="DPD180+"),SAP_Speadsheet!BD181)</f>
        <v>0</v>
      </c>
      <c r="BE183" s="297" cm="1">
        <f t="array" ref="BE183">_xlfn.IFS(Leadsheet!$G$4="IFRS",SAP_Speadsheet!BE146,AND(Leadsheet!$G$4="VAS",Leadsheet!$G$5="DPD360+"),SAP_Speadsheet!BE166,AND(Leadsheet!$G$4="VAS",Leadsheet!$G$5="DPD180+"),SAP_Speadsheet!BE181)</f>
        <v>0</v>
      </c>
      <c r="BF183" s="297" cm="1">
        <f t="array" ref="BF183">_xlfn.IFS(Leadsheet!$G$4="IFRS",SAP_Speadsheet!BF146,AND(Leadsheet!$G$4="VAS",Leadsheet!$G$5="DPD360+"),SAP_Speadsheet!BF166,AND(Leadsheet!$G$4="VAS",Leadsheet!$G$5="DPD180+"),SAP_Speadsheet!BF181)</f>
        <v>0</v>
      </c>
      <c r="BG183" s="297" cm="1">
        <f t="array" ref="BG183">_xlfn.IFS(Leadsheet!$G$4="IFRS",SAP_Speadsheet!BG146,AND(Leadsheet!$G$4="VAS",Leadsheet!$G$5="DPD360+"),SAP_Speadsheet!BG166,AND(Leadsheet!$G$4="VAS",Leadsheet!$G$5="DPD180+"),SAP_Speadsheet!BG181)</f>
        <v>0</v>
      </c>
      <c r="BH183" s="297" cm="1">
        <f t="array" ref="BH183">_xlfn.IFS(Leadsheet!$G$4="IFRS",SAP_Speadsheet!BH146,AND(Leadsheet!$G$4="VAS",Leadsheet!$G$5="DPD360+"),SAP_Speadsheet!BH166,AND(Leadsheet!$G$4="VAS",Leadsheet!$G$5="DPD180+"),SAP_Speadsheet!BH181)</f>
        <v>0</v>
      </c>
      <c r="BI183" s="297" cm="1">
        <f t="array" ref="BI183">_xlfn.IFS(Leadsheet!$G$4="IFRS",SAP_Speadsheet!BI146,AND(Leadsheet!$G$4="VAS",Leadsheet!$G$5="DPD360+"),SAP_Speadsheet!BI166,AND(Leadsheet!$G$4="VAS",Leadsheet!$G$5="DPD180+"),SAP_Speadsheet!BI181)</f>
        <v>0</v>
      </c>
      <c r="BJ183" s="297" cm="1">
        <f t="array" ref="BJ183">_xlfn.IFS(Leadsheet!$G$4="IFRS",SAP_Speadsheet!BJ146,AND(Leadsheet!$G$4="VAS",Leadsheet!$G$5="DPD360+"),SAP_Speadsheet!BJ166,AND(Leadsheet!$G$4="VAS",Leadsheet!$G$5="DPD180+"),SAP_Speadsheet!BJ181)</f>
        <v>0</v>
      </c>
      <c r="BK183" s="297" cm="1">
        <f t="array" ref="BK183">_xlfn.IFS(Leadsheet!$G$4="IFRS",SAP_Speadsheet!BK146,AND(Leadsheet!$G$4="VAS",Leadsheet!$G$5="DPD360+"),SAP_Speadsheet!BK166,AND(Leadsheet!$G$4="VAS",Leadsheet!$G$5="DPD180+"),SAP_Speadsheet!BK181)</f>
        <v>0</v>
      </c>
      <c r="BL183" s="297" cm="1">
        <f t="array" ref="BL183">_xlfn.IFS(Leadsheet!$G$4="IFRS",SAP_Speadsheet!BL146,AND(Leadsheet!$G$4="VAS",Leadsheet!$G$5="DPD360+"),SAP_Speadsheet!BL166,AND(Leadsheet!$G$4="VAS",Leadsheet!$G$5="DPD180+"),SAP_Speadsheet!BL181)</f>
        <v>0</v>
      </c>
    </row>
    <row r="185" spans="1:64" ht="13" thickBot="1" x14ac:dyDescent="0.2">
      <c r="A185" s="155"/>
      <c r="B185" s="272" t="s">
        <v>410</v>
      </c>
      <c r="C185" s="273"/>
      <c r="D185" s="274"/>
      <c r="E185" s="275"/>
      <c r="F185" s="274"/>
      <c r="G185" s="274"/>
      <c r="H185" s="274"/>
      <c r="I185" s="274"/>
      <c r="J185" s="274"/>
      <c r="K185" s="274"/>
      <c r="L185" s="274"/>
      <c r="M185" s="274"/>
      <c r="N185" s="274"/>
      <c r="O185" s="274"/>
      <c r="P185" s="274"/>
      <c r="Q185" s="274"/>
      <c r="R185" s="274"/>
      <c r="S185" s="274"/>
      <c r="T185" s="274"/>
      <c r="U185" s="274"/>
      <c r="V185" s="274"/>
      <c r="W185" s="274"/>
      <c r="X185" s="274"/>
      <c r="Y185" s="274"/>
      <c r="Z185" s="274"/>
      <c r="AA185" s="274"/>
      <c r="AB185" s="274"/>
      <c r="AC185" s="274"/>
      <c r="AD185" s="274"/>
      <c r="AE185" s="274"/>
      <c r="AF185" s="274"/>
      <c r="AG185" s="274"/>
      <c r="AH185" s="274"/>
      <c r="AI185" s="274"/>
      <c r="AJ185" s="274"/>
      <c r="AK185" s="274"/>
      <c r="AL185" s="274"/>
      <c r="AM185" s="274"/>
      <c r="AN185" s="274"/>
      <c r="AO185" s="274"/>
      <c r="AP185" s="274"/>
      <c r="AQ185" s="274"/>
      <c r="AR185" s="274"/>
      <c r="AS185" s="274"/>
      <c r="AT185" s="274"/>
      <c r="AU185" s="274"/>
      <c r="AV185" s="274"/>
      <c r="AW185" s="274"/>
      <c r="AX185" s="274"/>
      <c r="AY185" s="274"/>
      <c r="AZ185" s="274"/>
      <c r="BA185" s="274"/>
      <c r="BB185" s="274"/>
      <c r="BC185" s="274"/>
      <c r="BD185" s="274"/>
      <c r="BE185" s="274"/>
      <c r="BF185" s="274"/>
      <c r="BG185" s="274"/>
      <c r="BH185" s="274"/>
      <c r="BI185" s="274"/>
      <c r="BJ185" s="274"/>
      <c r="BK185" s="274"/>
      <c r="BL185" s="274"/>
    </row>
    <row r="186" spans="1:64" ht="12" thickTop="1" x14ac:dyDescent="0.15"/>
    <row r="187" spans="1:64" x14ac:dyDescent="0.15">
      <c r="C187" s="84" t="s">
        <v>411</v>
      </c>
      <c r="D187" s="147"/>
      <c r="E187" s="147">
        <f t="shared" ref="E187:BL187" si="46">E55+E71</f>
        <v>0.60580267516908859</v>
      </c>
      <c r="F187" s="147">
        <f t="shared" si="46"/>
        <v>0.39582044624853485</v>
      </c>
      <c r="G187" s="147">
        <f t="shared" si="46"/>
        <v>0.32848965927985802</v>
      </c>
      <c r="H187" s="147">
        <f t="shared" si="46"/>
        <v>0.25751005937938432</v>
      </c>
      <c r="I187" s="147">
        <f t="shared" si="46"/>
        <v>0.21528955693829135</v>
      </c>
      <c r="J187" s="147">
        <f t="shared" si="46"/>
        <v>0.17552238754495048</v>
      </c>
      <c r="K187" s="147">
        <f t="shared" si="46"/>
        <v>0.1382021736151661</v>
      </c>
      <c r="L187" s="147">
        <f t="shared" si="46"/>
        <v>0.10425267603047936</v>
      </c>
      <c r="M187" s="147">
        <f t="shared" si="46"/>
        <v>7.3467466715037039E-2</v>
      </c>
      <c r="N187" s="147">
        <f t="shared" si="46"/>
        <v>4.476195410807262E-2</v>
      </c>
      <c r="O187" s="147">
        <f t="shared" si="46"/>
        <v>1.7346978915319899E-2</v>
      </c>
      <c r="P187" s="147">
        <f t="shared" si="46"/>
        <v>-3.4845864990315986E-3</v>
      </c>
      <c r="Q187" s="147">
        <f t="shared" si="46"/>
        <v>-2.9457470332420787E-3</v>
      </c>
      <c r="R187" s="147">
        <f t="shared" si="46"/>
        <v>-2.2898549508789897E-3</v>
      </c>
      <c r="S187" s="147">
        <f t="shared" si="46"/>
        <v>-1.7761197891318949E-3</v>
      </c>
      <c r="T187" s="147">
        <f t="shared" si="46"/>
        <v>-1.3926528754296071E-3</v>
      </c>
      <c r="U187" s="147">
        <f t="shared" si="46"/>
        <v>-1.0821120536601025E-3</v>
      </c>
      <c r="V187" s="147">
        <f t="shared" si="46"/>
        <v>0</v>
      </c>
      <c r="W187" s="147">
        <f t="shared" si="46"/>
        <v>0</v>
      </c>
      <c r="X187" s="147">
        <f t="shared" si="46"/>
        <v>0</v>
      </c>
      <c r="Y187" s="147">
        <f t="shared" si="46"/>
        <v>0</v>
      </c>
      <c r="Z187" s="147">
        <f t="shared" si="46"/>
        <v>0</v>
      </c>
      <c r="AA187" s="147">
        <f t="shared" si="46"/>
        <v>0</v>
      </c>
      <c r="AB187" s="147">
        <f t="shared" si="46"/>
        <v>0</v>
      </c>
      <c r="AC187" s="147">
        <f t="shared" si="46"/>
        <v>0</v>
      </c>
      <c r="AD187" s="147">
        <f t="shared" si="46"/>
        <v>0</v>
      </c>
      <c r="AE187" s="147">
        <f t="shared" si="46"/>
        <v>0</v>
      </c>
      <c r="AF187" s="147">
        <f t="shared" si="46"/>
        <v>0</v>
      </c>
      <c r="AG187" s="147">
        <f t="shared" si="46"/>
        <v>0</v>
      </c>
      <c r="AH187" s="147">
        <f t="shared" si="46"/>
        <v>0</v>
      </c>
      <c r="AI187" s="147">
        <f t="shared" si="46"/>
        <v>0</v>
      </c>
      <c r="AJ187" s="147">
        <f t="shared" si="46"/>
        <v>0</v>
      </c>
      <c r="AK187" s="147">
        <f t="shared" si="46"/>
        <v>0</v>
      </c>
      <c r="AL187" s="147">
        <f t="shared" si="46"/>
        <v>0</v>
      </c>
      <c r="AM187" s="147">
        <f t="shared" si="46"/>
        <v>0</v>
      </c>
      <c r="AN187" s="147">
        <f t="shared" si="46"/>
        <v>0</v>
      </c>
      <c r="AO187" s="147">
        <f t="shared" si="46"/>
        <v>0</v>
      </c>
      <c r="AP187" s="147">
        <f t="shared" si="46"/>
        <v>0</v>
      </c>
      <c r="AQ187" s="147">
        <f t="shared" si="46"/>
        <v>0</v>
      </c>
      <c r="AR187" s="147">
        <f t="shared" si="46"/>
        <v>0</v>
      </c>
      <c r="AS187" s="147">
        <f t="shared" si="46"/>
        <v>0</v>
      </c>
      <c r="AT187" s="147">
        <f t="shared" si="46"/>
        <v>0</v>
      </c>
      <c r="AU187" s="147">
        <f t="shared" si="46"/>
        <v>0</v>
      </c>
      <c r="AV187" s="147">
        <f t="shared" si="46"/>
        <v>0</v>
      </c>
      <c r="AW187" s="147">
        <f t="shared" si="46"/>
        <v>0</v>
      </c>
      <c r="AX187" s="147">
        <f t="shared" si="46"/>
        <v>0</v>
      </c>
      <c r="AY187" s="147">
        <f t="shared" si="46"/>
        <v>0</v>
      </c>
      <c r="AZ187" s="147">
        <f t="shared" si="46"/>
        <v>0</v>
      </c>
      <c r="BA187" s="147">
        <f t="shared" si="46"/>
        <v>0</v>
      </c>
      <c r="BB187" s="147">
        <f t="shared" si="46"/>
        <v>0</v>
      </c>
      <c r="BC187" s="147">
        <f t="shared" si="46"/>
        <v>0</v>
      </c>
      <c r="BD187" s="147">
        <f t="shared" si="46"/>
        <v>0</v>
      </c>
      <c r="BE187" s="147">
        <f t="shared" si="46"/>
        <v>0</v>
      </c>
      <c r="BF187" s="147">
        <f t="shared" si="46"/>
        <v>0</v>
      </c>
      <c r="BG187" s="147">
        <f t="shared" si="46"/>
        <v>0</v>
      </c>
      <c r="BH187" s="147">
        <f t="shared" si="46"/>
        <v>0</v>
      </c>
      <c r="BI187" s="147">
        <f t="shared" si="46"/>
        <v>0</v>
      </c>
      <c r="BJ187" s="147">
        <f t="shared" si="46"/>
        <v>0</v>
      </c>
      <c r="BK187" s="147">
        <f t="shared" si="46"/>
        <v>0</v>
      </c>
      <c r="BL187" s="147">
        <f t="shared" si="46"/>
        <v>0</v>
      </c>
    </row>
    <row r="188" spans="1:64" x14ac:dyDescent="0.15">
      <c r="C188" s="84" t="s">
        <v>412</v>
      </c>
      <c r="D188" s="147"/>
      <c r="E188" s="147">
        <f t="shared" ref="E188:BL188" si="47">E55+E71+E183</f>
        <v>8.5593723883974571E-2</v>
      </c>
      <c r="F188" s="147">
        <f t="shared" si="47"/>
        <v>0.20133129721725329</v>
      </c>
      <c r="G188" s="147">
        <f t="shared" si="47"/>
        <v>0.16915914823004413</v>
      </c>
      <c r="H188" s="147">
        <f t="shared" si="47"/>
        <v>0.12297215041157405</v>
      </c>
      <c r="I188" s="147">
        <f t="shared" si="47"/>
        <v>0.10422295135269491</v>
      </c>
      <c r="J188" s="147">
        <f t="shared" si="47"/>
        <v>8.651302915463116E-2</v>
      </c>
      <c r="K188" s="147">
        <f t="shared" si="47"/>
        <v>6.98409811980433E-2</v>
      </c>
      <c r="L188" s="147">
        <f t="shared" si="47"/>
        <v>4.929358341571885E-2</v>
      </c>
      <c r="M188" s="147">
        <f t="shared" si="47"/>
        <v>3.7458285977810785E-2</v>
      </c>
      <c r="N188" s="147">
        <f t="shared" si="47"/>
        <v>2.6013893833265266E-2</v>
      </c>
      <c r="O188" s="147">
        <f t="shared" si="47"/>
        <v>1.4095335832670652E-2</v>
      </c>
      <c r="P188" s="147">
        <f t="shared" si="47"/>
        <v>-6.2302581106194951E-3</v>
      </c>
      <c r="Q188" s="147">
        <f t="shared" si="47"/>
        <v>-5.2124124533563009E-3</v>
      </c>
      <c r="R188" s="147">
        <f t="shared" si="47"/>
        <v>-1.0076805057785543E-2</v>
      </c>
      <c r="S188" s="147">
        <f t="shared" si="47"/>
        <v>-8.0339862394184815E-3</v>
      </c>
      <c r="T188" s="147">
        <f t="shared" si="47"/>
        <v>-6.4450280594264223E-3</v>
      </c>
      <c r="U188" s="147">
        <f t="shared" si="47"/>
        <v>-5.0377416372672807E-3</v>
      </c>
      <c r="V188" s="147">
        <f t="shared" si="47"/>
        <v>0</v>
      </c>
      <c r="W188" s="147">
        <f t="shared" si="47"/>
        <v>0</v>
      </c>
      <c r="X188" s="147">
        <f t="shared" si="47"/>
        <v>0</v>
      </c>
      <c r="Y188" s="147">
        <f t="shared" si="47"/>
        <v>0</v>
      </c>
      <c r="Z188" s="147">
        <f t="shared" si="47"/>
        <v>0</v>
      </c>
      <c r="AA188" s="147">
        <f t="shared" si="47"/>
        <v>0</v>
      </c>
      <c r="AB188" s="147">
        <f t="shared" si="47"/>
        <v>0</v>
      </c>
      <c r="AC188" s="147">
        <f t="shared" si="47"/>
        <v>0</v>
      </c>
      <c r="AD188" s="147">
        <f t="shared" si="47"/>
        <v>0</v>
      </c>
      <c r="AE188" s="147">
        <f t="shared" si="47"/>
        <v>0</v>
      </c>
      <c r="AF188" s="147">
        <f t="shared" si="47"/>
        <v>0</v>
      </c>
      <c r="AG188" s="147">
        <f t="shared" si="47"/>
        <v>0</v>
      </c>
      <c r="AH188" s="147">
        <f t="shared" si="47"/>
        <v>0</v>
      </c>
      <c r="AI188" s="147">
        <f t="shared" si="47"/>
        <v>0</v>
      </c>
      <c r="AJ188" s="147">
        <f t="shared" si="47"/>
        <v>0</v>
      </c>
      <c r="AK188" s="147">
        <f t="shared" si="47"/>
        <v>0</v>
      </c>
      <c r="AL188" s="147">
        <f t="shared" si="47"/>
        <v>0</v>
      </c>
      <c r="AM188" s="147">
        <f t="shared" si="47"/>
        <v>0</v>
      </c>
      <c r="AN188" s="147">
        <f t="shared" si="47"/>
        <v>0</v>
      </c>
      <c r="AO188" s="147">
        <f t="shared" si="47"/>
        <v>0</v>
      </c>
      <c r="AP188" s="147">
        <f t="shared" si="47"/>
        <v>0</v>
      </c>
      <c r="AQ188" s="147">
        <f t="shared" si="47"/>
        <v>0</v>
      </c>
      <c r="AR188" s="147">
        <f t="shared" si="47"/>
        <v>0</v>
      </c>
      <c r="AS188" s="147">
        <f t="shared" si="47"/>
        <v>0</v>
      </c>
      <c r="AT188" s="147">
        <f t="shared" si="47"/>
        <v>0</v>
      </c>
      <c r="AU188" s="147">
        <f t="shared" si="47"/>
        <v>0</v>
      </c>
      <c r="AV188" s="147">
        <f t="shared" si="47"/>
        <v>0</v>
      </c>
      <c r="AW188" s="147">
        <f t="shared" si="47"/>
        <v>0</v>
      </c>
      <c r="AX188" s="147">
        <f t="shared" si="47"/>
        <v>0</v>
      </c>
      <c r="AY188" s="147">
        <f t="shared" si="47"/>
        <v>0</v>
      </c>
      <c r="AZ188" s="147">
        <f t="shared" si="47"/>
        <v>0</v>
      </c>
      <c r="BA188" s="147">
        <f t="shared" si="47"/>
        <v>0</v>
      </c>
      <c r="BB188" s="147">
        <f t="shared" si="47"/>
        <v>0</v>
      </c>
      <c r="BC188" s="147">
        <f t="shared" si="47"/>
        <v>0</v>
      </c>
      <c r="BD188" s="147">
        <f t="shared" si="47"/>
        <v>0</v>
      </c>
      <c r="BE188" s="147">
        <f t="shared" si="47"/>
        <v>0</v>
      </c>
      <c r="BF188" s="147">
        <f t="shared" si="47"/>
        <v>0</v>
      </c>
      <c r="BG188" s="147">
        <f t="shared" si="47"/>
        <v>0</v>
      </c>
      <c r="BH188" s="147">
        <f t="shared" si="47"/>
        <v>0</v>
      </c>
      <c r="BI188" s="147">
        <f t="shared" si="47"/>
        <v>0</v>
      </c>
      <c r="BJ188" s="147">
        <f t="shared" si="47"/>
        <v>0</v>
      </c>
      <c r="BK188" s="147">
        <f t="shared" si="47"/>
        <v>0</v>
      </c>
      <c r="BL188" s="147">
        <f t="shared" si="47"/>
        <v>0</v>
      </c>
    </row>
    <row r="189" spans="1:64" s="155" customFormat="1" x14ac:dyDescent="0.15">
      <c r="C189" s="155" t="s">
        <v>203</v>
      </c>
      <c r="D189" s="297"/>
      <c r="E189" s="297">
        <f t="shared" ref="E189:BL189" si="48">E55+E71+E103+E183</f>
        <v>2.880199148844298E-2</v>
      </c>
      <c r="F189" s="297">
        <f t="shared" si="48"/>
        <v>0.14908290341336417</v>
      </c>
      <c r="G189" s="297">
        <f t="shared" si="48"/>
        <v>0.12031825836988691</v>
      </c>
      <c r="H189" s="297">
        <f t="shared" si="48"/>
        <v>7.7538764495148738E-2</v>
      </c>
      <c r="I189" s="297">
        <f t="shared" si="48"/>
        <v>6.0209358746157904E-2</v>
      </c>
      <c r="J189" s="297">
        <f t="shared" si="48"/>
        <v>4.3919229857982439E-2</v>
      </c>
      <c r="K189" s="297">
        <f t="shared" si="48"/>
        <v>2.8666975211282864E-2</v>
      </c>
      <c r="L189" s="297">
        <f t="shared" si="48"/>
        <v>9.5393707388467114E-3</v>
      </c>
      <c r="M189" s="297">
        <f t="shared" si="48"/>
        <v>-8.7613338917306299E-4</v>
      </c>
      <c r="N189" s="297">
        <f t="shared" si="48"/>
        <v>-1.0900732223830284E-2</v>
      </c>
      <c r="O189" s="297">
        <f t="shared" si="48"/>
        <v>-2.1399496914536614E-2</v>
      </c>
      <c r="P189" s="297">
        <f t="shared" si="48"/>
        <v>-6.2302581106194951E-3</v>
      </c>
      <c r="Q189" s="297">
        <f t="shared" si="48"/>
        <v>-5.2124124533563009E-3</v>
      </c>
      <c r="R189" s="297">
        <f t="shared" si="48"/>
        <v>-1.0076805057785543E-2</v>
      </c>
      <c r="S189" s="297">
        <f t="shared" si="48"/>
        <v>-8.0339862394184815E-3</v>
      </c>
      <c r="T189" s="297">
        <f t="shared" si="48"/>
        <v>-6.4450280594264223E-3</v>
      </c>
      <c r="U189" s="297">
        <f t="shared" si="48"/>
        <v>-5.0377416372672807E-3</v>
      </c>
      <c r="V189" s="297">
        <f t="shared" si="48"/>
        <v>0</v>
      </c>
      <c r="W189" s="297">
        <f t="shared" si="48"/>
        <v>0</v>
      </c>
      <c r="X189" s="297">
        <f t="shared" si="48"/>
        <v>0</v>
      </c>
      <c r="Y189" s="297">
        <f t="shared" si="48"/>
        <v>0</v>
      </c>
      <c r="Z189" s="297">
        <f t="shared" si="48"/>
        <v>0</v>
      </c>
      <c r="AA189" s="297">
        <f t="shared" si="48"/>
        <v>0</v>
      </c>
      <c r="AB189" s="297">
        <f t="shared" si="48"/>
        <v>0</v>
      </c>
      <c r="AC189" s="297">
        <f t="shared" si="48"/>
        <v>0</v>
      </c>
      <c r="AD189" s="297">
        <f t="shared" si="48"/>
        <v>0</v>
      </c>
      <c r="AE189" s="297">
        <f t="shared" si="48"/>
        <v>0</v>
      </c>
      <c r="AF189" s="297">
        <f t="shared" si="48"/>
        <v>0</v>
      </c>
      <c r="AG189" s="297">
        <f t="shared" si="48"/>
        <v>0</v>
      </c>
      <c r="AH189" s="297">
        <f t="shared" si="48"/>
        <v>0</v>
      </c>
      <c r="AI189" s="297">
        <f t="shared" si="48"/>
        <v>0</v>
      </c>
      <c r="AJ189" s="297">
        <f t="shared" si="48"/>
        <v>0</v>
      </c>
      <c r="AK189" s="297">
        <f t="shared" si="48"/>
        <v>0</v>
      </c>
      <c r="AL189" s="297">
        <f t="shared" si="48"/>
        <v>0</v>
      </c>
      <c r="AM189" s="297">
        <f t="shared" si="48"/>
        <v>0</v>
      </c>
      <c r="AN189" s="297">
        <f t="shared" si="48"/>
        <v>0</v>
      </c>
      <c r="AO189" s="297">
        <f t="shared" si="48"/>
        <v>0</v>
      </c>
      <c r="AP189" s="297">
        <f t="shared" si="48"/>
        <v>0</v>
      </c>
      <c r="AQ189" s="297">
        <f t="shared" si="48"/>
        <v>0</v>
      </c>
      <c r="AR189" s="297">
        <f t="shared" si="48"/>
        <v>0</v>
      </c>
      <c r="AS189" s="297">
        <f t="shared" si="48"/>
        <v>0</v>
      </c>
      <c r="AT189" s="297">
        <f t="shared" si="48"/>
        <v>0</v>
      </c>
      <c r="AU189" s="297">
        <f t="shared" si="48"/>
        <v>0</v>
      </c>
      <c r="AV189" s="297">
        <f t="shared" si="48"/>
        <v>0</v>
      </c>
      <c r="AW189" s="297">
        <f t="shared" si="48"/>
        <v>0</v>
      </c>
      <c r="AX189" s="297">
        <f t="shared" si="48"/>
        <v>0</v>
      </c>
      <c r="AY189" s="297">
        <f t="shared" si="48"/>
        <v>0</v>
      </c>
      <c r="AZ189" s="297">
        <f t="shared" si="48"/>
        <v>0</v>
      </c>
      <c r="BA189" s="297">
        <f t="shared" si="48"/>
        <v>0</v>
      </c>
      <c r="BB189" s="297">
        <f t="shared" si="48"/>
        <v>0</v>
      </c>
      <c r="BC189" s="297">
        <f t="shared" si="48"/>
        <v>0</v>
      </c>
      <c r="BD189" s="297">
        <f t="shared" si="48"/>
        <v>0</v>
      </c>
      <c r="BE189" s="297">
        <f t="shared" si="48"/>
        <v>0</v>
      </c>
      <c r="BF189" s="297">
        <f t="shared" si="48"/>
        <v>0</v>
      </c>
      <c r="BG189" s="297">
        <f t="shared" si="48"/>
        <v>0</v>
      </c>
      <c r="BH189" s="297">
        <f t="shared" si="48"/>
        <v>0</v>
      </c>
      <c r="BI189" s="297">
        <f t="shared" si="48"/>
        <v>0</v>
      </c>
      <c r="BJ189" s="297">
        <f t="shared" si="48"/>
        <v>0</v>
      </c>
      <c r="BK189" s="297">
        <f t="shared" si="48"/>
        <v>0</v>
      </c>
      <c r="BL189" s="297">
        <f t="shared" si="48"/>
        <v>0</v>
      </c>
    </row>
    <row r="190" spans="1:64" x14ac:dyDescent="0.15">
      <c r="E190" s="147"/>
      <c r="F190" s="147"/>
      <c r="G190" s="147"/>
      <c r="H190" s="147"/>
      <c r="I190" s="147"/>
      <c r="J190" s="147"/>
      <c r="K190" s="147"/>
      <c r="L190" s="147"/>
      <c r="M190" s="147"/>
      <c r="N190" s="147"/>
      <c r="O190" s="147"/>
      <c r="P190" s="147"/>
      <c r="Q190" s="147"/>
      <c r="R190" s="147"/>
      <c r="S190" s="147"/>
      <c r="T190" s="147"/>
      <c r="U190" s="147"/>
      <c r="V190" s="147"/>
      <c r="W190" s="147"/>
      <c r="X190" s="147"/>
      <c r="Y190" s="147"/>
      <c r="Z190" s="147"/>
      <c r="AA190" s="147"/>
      <c r="AB190" s="147"/>
      <c r="AC190" s="147"/>
      <c r="AD190" s="147"/>
      <c r="AE190" s="147"/>
      <c r="AF190" s="147"/>
      <c r="AG190" s="147"/>
      <c r="AH190" s="147"/>
      <c r="AI190" s="147"/>
      <c r="AJ190" s="147"/>
      <c r="AK190" s="147"/>
      <c r="AL190" s="147"/>
      <c r="AM190" s="147"/>
      <c r="AN190" s="147"/>
      <c r="AO190" s="147"/>
      <c r="AP190" s="147"/>
      <c r="AQ190" s="147"/>
      <c r="AR190" s="147"/>
      <c r="AS190" s="147"/>
      <c r="AT190" s="147"/>
      <c r="AU190" s="147"/>
      <c r="AV190" s="147"/>
      <c r="AW190" s="147"/>
      <c r="AX190" s="147"/>
      <c r="AY190" s="147"/>
      <c r="AZ190" s="147"/>
      <c r="BA190" s="147"/>
      <c r="BB190" s="147"/>
      <c r="BC190" s="147"/>
    </row>
    <row r="191" spans="1:64" x14ac:dyDescent="0.15">
      <c r="D191" s="276"/>
      <c r="F191" s="310"/>
      <c r="G191" s="310"/>
      <c r="H191" s="310"/>
      <c r="I191" s="310"/>
      <c r="J191" s="310"/>
      <c r="K191" s="310"/>
      <c r="L191" s="310"/>
      <c r="M191" s="310"/>
      <c r="N191" s="310"/>
      <c r="O191" s="310"/>
      <c r="P191" s="310"/>
      <c r="Q191" s="310"/>
      <c r="R191" s="310"/>
      <c r="S191" s="310"/>
      <c r="T191" s="310"/>
      <c r="U191" s="310"/>
      <c r="V191" s="310"/>
      <c r="W191" s="310"/>
      <c r="X191" s="310"/>
      <c r="Y191" s="310"/>
      <c r="Z191" s="310"/>
      <c r="AA191" s="310"/>
      <c r="AB191" s="310"/>
      <c r="AC191" s="310"/>
      <c r="AD191" s="310"/>
      <c r="AE191" s="310"/>
      <c r="AF191" s="310"/>
      <c r="AG191" s="310"/>
      <c r="AH191" s="310"/>
      <c r="AI191" s="310"/>
      <c r="AJ191" s="310"/>
      <c r="AK191" s="310"/>
      <c r="AL191" s="310"/>
      <c r="AM191" s="310"/>
      <c r="AN191" s="310"/>
      <c r="AO191" s="310"/>
      <c r="AP191" s="310"/>
      <c r="AQ191" s="310"/>
      <c r="AR191" s="310"/>
      <c r="AS191" s="310"/>
      <c r="AT191" s="310"/>
      <c r="AU191" s="310"/>
      <c r="AV191" s="310"/>
      <c r="AW191" s="310"/>
      <c r="AX191" s="310"/>
      <c r="AY191" s="310"/>
      <c r="AZ191" s="310"/>
      <c r="BA191" s="310"/>
      <c r="BB191" s="310"/>
      <c r="BC191" s="310"/>
      <c r="BD191" s="310"/>
      <c r="BE191" s="310"/>
      <c r="BF191" s="310"/>
      <c r="BG191" s="310"/>
      <c r="BH191" s="310"/>
      <c r="BI191" s="310"/>
      <c r="BJ191" s="310"/>
      <c r="BK191" s="310"/>
      <c r="BL191" s="310"/>
    </row>
    <row r="192" spans="1:64" x14ac:dyDescent="0.15">
      <c r="F192" s="310"/>
      <c r="G192" s="310"/>
      <c r="H192" s="310"/>
      <c r="I192" s="310"/>
      <c r="J192" s="310"/>
      <c r="K192" s="310"/>
      <c r="L192" s="310"/>
      <c r="M192" s="310"/>
      <c r="N192" s="310"/>
      <c r="O192" s="310"/>
      <c r="P192" s="310"/>
      <c r="Q192" s="310"/>
      <c r="R192" s="310"/>
      <c r="S192" s="310"/>
      <c r="T192" s="310"/>
      <c r="U192" s="310"/>
      <c r="V192" s="310"/>
      <c r="W192" s="310"/>
      <c r="X192" s="310"/>
      <c r="Y192" s="310"/>
      <c r="Z192" s="310"/>
      <c r="AA192" s="310"/>
      <c r="AB192" s="310"/>
      <c r="AC192" s="310"/>
      <c r="AD192" s="310"/>
      <c r="AE192" s="310"/>
      <c r="AF192" s="310"/>
      <c r="AG192" s="310"/>
      <c r="AH192" s="310"/>
      <c r="AI192" s="310"/>
      <c r="AJ192" s="310"/>
      <c r="AK192" s="310"/>
      <c r="AL192" s="310"/>
      <c r="AM192" s="310"/>
      <c r="AN192" s="310"/>
      <c r="AO192" s="310"/>
      <c r="AP192" s="310"/>
      <c r="AQ192" s="310"/>
      <c r="AR192" s="310"/>
      <c r="AS192" s="310"/>
      <c r="AT192" s="310"/>
      <c r="AU192" s="310"/>
      <c r="AV192" s="310"/>
      <c r="AW192" s="310"/>
      <c r="AX192" s="310"/>
      <c r="AY192" s="310"/>
      <c r="AZ192" s="310"/>
      <c r="BA192" s="310"/>
      <c r="BB192" s="310"/>
      <c r="BC192" s="310"/>
      <c r="BD192" s="310"/>
      <c r="BE192" s="310"/>
      <c r="BF192" s="310"/>
      <c r="BG192" s="310"/>
      <c r="BH192" s="310"/>
      <c r="BI192" s="310"/>
      <c r="BJ192" s="310"/>
      <c r="BK192" s="310"/>
      <c r="BL192" s="310"/>
    </row>
    <row r="193" spans="3:64" hidden="1" x14ac:dyDescent="0.15">
      <c r="C193" s="84" t="s">
        <v>413</v>
      </c>
      <c r="D193" s="140"/>
      <c r="E193" s="140">
        <f t="shared" ref="E193:BF193" si="49">D197</f>
        <v>0</v>
      </c>
      <c r="F193" s="140" t="e">
        <f t="shared" si="49"/>
        <v>#REF!</v>
      </c>
      <c r="G193" s="140" t="e">
        <f t="shared" si="49"/>
        <v>#REF!</v>
      </c>
      <c r="H193" s="140" t="e">
        <f t="shared" si="49"/>
        <v>#REF!</v>
      </c>
      <c r="I193" s="140" t="e">
        <f t="shared" si="49"/>
        <v>#REF!</v>
      </c>
      <c r="J193" s="140" t="e">
        <f t="shared" si="49"/>
        <v>#REF!</v>
      </c>
      <c r="K193" s="140" t="e">
        <f t="shared" si="49"/>
        <v>#REF!</v>
      </c>
      <c r="L193" s="140" t="e">
        <f t="shared" si="49"/>
        <v>#REF!</v>
      </c>
      <c r="M193" s="140" t="e">
        <f t="shared" si="49"/>
        <v>#REF!</v>
      </c>
      <c r="N193" s="140" t="e">
        <f t="shared" si="49"/>
        <v>#REF!</v>
      </c>
      <c r="O193" s="140" t="e">
        <f t="shared" si="49"/>
        <v>#REF!</v>
      </c>
      <c r="P193" s="140" t="e">
        <f t="shared" si="49"/>
        <v>#REF!</v>
      </c>
      <c r="Q193" s="140" t="e">
        <f t="shared" si="49"/>
        <v>#REF!</v>
      </c>
      <c r="R193" s="140" t="e">
        <f t="shared" si="49"/>
        <v>#REF!</v>
      </c>
      <c r="S193" s="140" t="e">
        <f t="shared" si="49"/>
        <v>#REF!</v>
      </c>
      <c r="T193" s="140" t="e">
        <f t="shared" si="49"/>
        <v>#REF!</v>
      </c>
      <c r="U193" s="140" t="e">
        <f t="shared" si="49"/>
        <v>#REF!</v>
      </c>
      <c r="V193" s="140" t="e">
        <f t="shared" si="49"/>
        <v>#REF!</v>
      </c>
      <c r="W193" s="140">
        <f t="shared" si="49"/>
        <v>0</v>
      </c>
      <c r="X193" s="140">
        <f t="shared" si="49"/>
        <v>0</v>
      </c>
      <c r="Y193" s="140">
        <f t="shared" si="49"/>
        <v>0</v>
      </c>
      <c r="Z193" s="140">
        <f t="shared" si="49"/>
        <v>0</v>
      </c>
      <c r="AA193" s="140">
        <f t="shared" si="49"/>
        <v>0</v>
      </c>
      <c r="AB193" s="140">
        <f t="shared" si="49"/>
        <v>0</v>
      </c>
      <c r="AC193" s="140">
        <f t="shared" si="49"/>
        <v>0</v>
      </c>
      <c r="AD193" s="140">
        <f t="shared" si="49"/>
        <v>0</v>
      </c>
      <c r="AE193" s="140">
        <f t="shared" si="49"/>
        <v>0</v>
      </c>
      <c r="AF193" s="140">
        <f t="shared" si="49"/>
        <v>0</v>
      </c>
      <c r="AG193" s="140">
        <f t="shared" si="49"/>
        <v>0</v>
      </c>
      <c r="AH193" s="140">
        <f t="shared" si="49"/>
        <v>0</v>
      </c>
      <c r="AI193" s="140">
        <f t="shared" si="49"/>
        <v>0</v>
      </c>
      <c r="AJ193" s="140">
        <f t="shared" si="49"/>
        <v>0</v>
      </c>
      <c r="AK193" s="140">
        <f t="shared" si="49"/>
        <v>0</v>
      </c>
      <c r="AL193" s="140">
        <f t="shared" si="49"/>
        <v>0</v>
      </c>
      <c r="AM193" s="140">
        <f t="shared" si="49"/>
        <v>0</v>
      </c>
      <c r="AN193" s="140">
        <f t="shared" si="49"/>
        <v>0</v>
      </c>
      <c r="AO193" s="140">
        <f t="shared" si="49"/>
        <v>0</v>
      </c>
      <c r="AP193" s="140">
        <f t="shared" si="49"/>
        <v>0</v>
      </c>
      <c r="AQ193" s="140">
        <f t="shared" si="49"/>
        <v>0</v>
      </c>
      <c r="AR193" s="140">
        <f t="shared" si="49"/>
        <v>0</v>
      </c>
      <c r="AS193" s="140">
        <f t="shared" si="49"/>
        <v>0</v>
      </c>
      <c r="AT193" s="140">
        <f t="shared" si="49"/>
        <v>0</v>
      </c>
      <c r="AU193" s="140">
        <f t="shared" si="49"/>
        <v>0</v>
      </c>
      <c r="AV193" s="140">
        <f t="shared" si="49"/>
        <v>0</v>
      </c>
      <c r="AW193" s="140">
        <f t="shared" si="49"/>
        <v>0</v>
      </c>
      <c r="AX193" s="140">
        <f t="shared" si="49"/>
        <v>0</v>
      </c>
      <c r="AY193" s="140">
        <f t="shared" si="49"/>
        <v>0</v>
      </c>
      <c r="AZ193" s="140">
        <f t="shared" si="49"/>
        <v>0</v>
      </c>
      <c r="BA193" s="140">
        <f t="shared" si="49"/>
        <v>0</v>
      </c>
      <c r="BB193" s="140">
        <f t="shared" si="49"/>
        <v>0</v>
      </c>
      <c r="BC193" s="140">
        <f t="shared" si="49"/>
        <v>0</v>
      </c>
      <c r="BD193" s="140">
        <f t="shared" si="49"/>
        <v>0</v>
      </c>
      <c r="BE193" s="140">
        <f t="shared" si="49"/>
        <v>0</v>
      </c>
      <c r="BF193" s="140">
        <f t="shared" si="49"/>
        <v>0</v>
      </c>
      <c r="BG193" s="140"/>
      <c r="BH193" s="140"/>
      <c r="BI193" s="140"/>
      <c r="BJ193" s="140"/>
      <c r="BK193" s="140"/>
      <c r="BL193" s="140"/>
    </row>
    <row r="194" spans="3:64" hidden="1" x14ac:dyDescent="0.15">
      <c r="C194" s="84" t="s">
        <v>414</v>
      </c>
      <c r="D194" s="140"/>
      <c r="E194" s="140" t="e">
        <f>-#REF!</f>
        <v>#REF!</v>
      </c>
      <c r="F194" s="140" t="e">
        <f>-#REF!</f>
        <v>#REF!</v>
      </c>
      <c r="G194" s="140" t="e">
        <f>-#REF!</f>
        <v>#REF!</v>
      </c>
      <c r="H194" s="140" t="e">
        <f>-#REF!</f>
        <v>#REF!</v>
      </c>
      <c r="I194" s="140" t="e">
        <f>-#REF!</f>
        <v>#REF!</v>
      </c>
      <c r="J194" s="140" t="e">
        <f>-#REF!</f>
        <v>#REF!</v>
      </c>
      <c r="K194" s="140" t="e">
        <f>-#REF!</f>
        <v>#REF!</v>
      </c>
      <c r="L194" s="140" t="e">
        <f>-#REF!</f>
        <v>#REF!</v>
      </c>
      <c r="M194" s="140" t="e">
        <f>-#REF!</f>
        <v>#REF!</v>
      </c>
      <c r="N194" s="140" t="e">
        <f>-#REF!</f>
        <v>#REF!</v>
      </c>
      <c r="O194" s="140" t="e">
        <f>-#REF!</f>
        <v>#REF!</v>
      </c>
      <c r="P194" s="140" t="e">
        <f>-#REF!</f>
        <v>#REF!</v>
      </c>
      <c r="Q194" s="140" t="e">
        <f>-#REF!</f>
        <v>#REF!</v>
      </c>
      <c r="R194" s="140" t="e">
        <f>-#REF!</f>
        <v>#REF!</v>
      </c>
      <c r="S194" s="140" t="e">
        <f>-#REF!</f>
        <v>#REF!</v>
      </c>
      <c r="T194" s="140" t="e">
        <f>-#REF!</f>
        <v>#REF!</v>
      </c>
      <c r="U194" s="140" t="e">
        <f>-#REF!</f>
        <v>#REF!</v>
      </c>
      <c r="V194" s="140" t="e">
        <f>-#REF!</f>
        <v>#REF!</v>
      </c>
      <c r="W194" s="140" t="e">
        <f>-#REF!</f>
        <v>#REF!</v>
      </c>
      <c r="X194" s="140" t="e">
        <f>-#REF!</f>
        <v>#REF!</v>
      </c>
      <c r="Y194" s="140" t="e">
        <f>-#REF!</f>
        <v>#REF!</v>
      </c>
      <c r="Z194" s="140" t="e">
        <f>-#REF!</f>
        <v>#REF!</v>
      </c>
      <c r="AA194" s="140" t="e">
        <f>-#REF!</f>
        <v>#REF!</v>
      </c>
      <c r="AB194" s="140" t="e">
        <f>-#REF!</f>
        <v>#REF!</v>
      </c>
      <c r="AC194" s="140" t="e">
        <f>-#REF!</f>
        <v>#REF!</v>
      </c>
      <c r="AD194" s="140" t="e">
        <f>-#REF!</f>
        <v>#REF!</v>
      </c>
      <c r="AE194" s="140" t="e">
        <f>-#REF!</f>
        <v>#REF!</v>
      </c>
      <c r="AF194" s="140" t="e">
        <f>-#REF!</f>
        <v>#REF!</v>
      </c>
      <c r="AG194" s="140" t="e">
        <f>-#REF!</f>
        <v>#REF!</v>
      </c>
      <c r="AH194" s="140" t="e">
        <f>-#REF!</f>
        <v>#REF!</v>
      </c>
      <c r="AI194" s="140" t="e">
        <f>-#REF!</f>
        <v>#REF!</v>
      </c>
      <c r="AJ194" s="140" t="e">
        <f>-#REF!</f>
        <v>#REF!</v>
      </c>
      <c r="AK194" s="140" t="e">
        <f>-#REF!</f>
        <v>#REF!</v>
      </c>
      <c r="AL194" s="140" t="e">
        <f>-#REF!</f>
        <v>#REF!</v>
      </c>
      <c r="AM194" s="140" t="e">
        <f>-#REF!</f>
        <v>#REF!</v>
      </c>
      <c r="AN194" s="140" t="e">
        <f>-#REF!</f>
        <v>#REF!</v>
      </c>
      <c r="AO194" s="140" t="e">
        <f>-#REF!</f>
        <v>#REF!</v>
      </c>
      <c r="AP194" s="140" t="e">
        <f>-#REF!</f>
        <v>#REF!</v>
      </c>
      <c r="AQ194" s="140" t="e">
        <f>-#REF!</f>
        <v>#REF!</v>
      </c>
      <c r="AR194" s="140" t="e">
        <f>-#REF!</f>
        <v>#REF!</v>
      </c>
      <c r="AS194" s="140" t="e">
        <f>-#REF!</f>
        <v>#REF!</v>
      </c>
      <c r="AT194" s="140" t="e">
        <f>-#REF!</f>
        <v>#REF!</v>
      </c>
      <c r="AU194" s="140" t="e">
        <f>-#REF!</f>
        <v>#REF!</v>
      </c>
      <c r="AV194" s="140" t="e">
        <f>-#REF!</f>
        <v>#REF!</v>
      </c>
      <c r="AW194" s="140" t="e">
        <f>-#REF!</f>
        <v>#REF!</v>
      </c>
      <c r="AX194" s="140" t="e">
        <f>-#REF!</f>
        <v>#REF!</v>
      </c>
      <c r="AY194" s="140" t="e">
        <f>-#REF!</f>
        <v>#REF!</v>
      </c>
      <c r="AZ194" s="140" t="e">
        <f>-#REF!</f>
        <v>#REF!</v>
      </c>
      <c r="BA194" s="140" t="e">
        <f>-#REF!</f>
        <v>#REF!</v>
      </c>
      <c r="BB194" s="140" t="e">
        <f>-#REF!</f>
        <v>#REF!</v>
      </c>
      <c r="BC194" s="140" t="e">
        <f>-#REF!</f>
        <v>#REF!</v>
      </c>
      <c r="BD194" s="140" t="e">
        <f>-#REF!</f>
        <v>#REF!</v>
      </c>
      <c r="BE194" s="140" t="e">
        <f>-#REF!</f>
        <v>#REF!</v>
      </c>
      <c r="BF194" s="140" t="e">
        <f>-#REF!</f>
        <v>#REF!</v>
      </c>
      <c r="BG194" s="140"/>
      <c r="BH194" s="140"/>
      <c r="BI194" s="140"/>
      <c r="BJ194" s="140"/>
      <c r="BK194" s="140"/>
      <c r="BL194" s="140"/>
    </row>
    <row r="195" spans="3:64" hidden="1" x14ac:dyDescent="0.15">
      <c r="C195" s="84" t="s">
        <v>415</v>
      </c>
      <c r="D195" s="140"/>
      <c r="E195" s="140">
        <f>IFERROR((#REF!/#REF!)*E193,0)</f>
        <v>0</v>
      </c>
      <c r="F195" s="140">
        <f>IFERROR((#REF!/#REF!)*F193,0)</f>
        <v>0</v>
      </c>
      <c r="G195" s="140">
        <f>IFERROR((#REF!/#REF!)*G193,0)</f>
        <v>0</v>
      </c>
      <c r="H195" s="140">
        <f>IFERROR((#REF!/#REF!)*H193,0)</f>
        <v>0</v>
      </c>
      <c r="I195" s="140">
        <f>IFERROR((#REF!/#REF!)*I193,0)</f>
        <v>0</v>
      </c>
      <c r="J195" s="140">
        <f>IFERROR((#REF!/#REF!)*J193,0)</f>
        <v>0</v>
      </c>
      <c r="K195" s="140">
        <f>IFERROR((#REF!/#REF!)*K193,0)</f>
        <v>0</v>
      </c>
      <c r="L195" s="140">
        <f>IFERROR((#REF!/#REF!)*L193,0)</f>
        <v>0</v>
      </c>
      <c r="M195" s="140">
        <f>IFERROR((#REF!/#REF!)*M193,0)</f>
        <v>0</v>
      </c>
      <c r="N195" s="140">
        <f>IFERROR((#REF!/#REF!)*N193,0)</f>
        <v>0</v>
      </c>
      <c r="O195" s="140">
        <f>IFERROR((#REF!/#REF!)*O193,0)</f>
        <v>0</v>
      </c>
      <c r="P195" s="140">
        <f>IFERROR((#REF!/#REF!)*P193,0)</f>
        <v>0</v>
      </c>
      <c r="Q195" s="140">
        <f>IFERROR((#REF!/#REF!)*Q193,0)</f>
        <v>0</v>
      </c>
      <c r="R195" s="140">
        <f>IFERROR((#REF!/#REF!)*R193,0)</f>
        <v>0</v>
      </c>
      <c r="S195" s="140">
        <f>IFERROR((#REF!/#REF!)*S193,0)</f>
        <v>0</v>
      </c>
      <c r="T195" s="140">
        <f>IFERROR((#REF!/#REF!)*T193,0)</f>
        <v>0</v>
      </c>
      <c r="U195" s="140">
        <f>IFERROR((#REF!/#REF!)*U193,0)</f>
        <v>0</v>
      </c>
      <c r="V195" s="140">
        <f>IFERROR((#REF!/#REF!)*V193,0)</f>
        <v>0</v>
      </c>
      <c r="W195" s="140">
        <f>IFERROR((#REF!/#REF!)*W193,0)</f>
        <v>0</v>
      </c>
      <c r="X195" s="140">
        <f>IFERROR((#REF!/#REF!)*X193,0)</f>
        <v>0</v>
      </c>
      <c r="Y195" s="140">
        <f>IFERROR((#REF!/#REF!)*Y193,0)</f>
        <v>0</v>
      </c>
      <c r="Z195" s="140">
        <f>IFERROR((#REF!/#REF!)*Z193,0)</f>
        <v>0</v>
      </c>
      <c r="AA195" s="140">
        <f>IFERROR((#REF!/#REF!)*AA193,0)</f>
        <v>0</v>
      </c>
      <c r="AB195" s="140">
        <f>IFERROR((#REF!/#REF!)*AB193,0)</f>
        <v>0</v>
      </c>
      <c r="AC195" s="140">
        <f>IFERROR((#REF!/#REF!)*AC193,0)</f>
        <v>0</v>
      </c>
      <c r="AD195" s="140">
        <f>IFERROR((#REF!/#REF!)*AD193,0)</f>
        <v>0</v>
      </c>
      <c r="AE195" s="140">
        <f>IFERROR((#REF!/#REF!)*AE193,0)</f>
        <v>0</v>
      </c>
      <c r="AF195" s="140">
        <f>IFERROR((#REF!/#REF!)*AF193,0)</f>
        <v>0</v>
      </c>
      <c r="AG195" s="140">
        <f>IFERROR((#REF!/#REF!)*AG193,0)</f>
        <v>0</v>
      </c>
      <c r="AH195" s="140">
        <f>IFERROR((#REF!/#REF!)*AH193,0)</f>
        <v>0</v>
      </c>
      <c r="AI195" s="140">
        <f>IFERROR((#REF!/#REF!)*AI193,0)</f>
        <v>0</v>
      </c>
      <c r="AJ195" s="140">
        <f>IFERROR((#REF!/#REF!)*AJ193,0)</f>
        <v>0</v>
      </c>
      <c r="AK195" s="140">
        <f>IFERROR((#REF!/#REF!)*AK193,0)</f>
        <v>0</v>
      </c>
      <c r="AL195" s="140">
        <f>IFERROR((#REF!/#REF!)*AL193,0)</f>
        <v>0</v>
      </c>
      <c r="AM195" s="140">
        <f>IFERROR((#REF!/#REF!)*AM193,0)</f>
        <v>0</v>
      </c>
      <c r="AN195" s="140">
        <f>IFERROR((#REF!/#REF!)*AN193,0)</f>
        <v>0</v>
      </c>
      <c r="AO195" s="140">
        <f>IFERROR((#REF!/#REF!)*AO193,0)</f>
        <v>0</v>
      </c>
      <c r="AP195" s="140">
        <f>IFERROR((#REF!/#REF!)*AP193,0)</f>
        <v>0</v>
      </c>
      <c r="AQ195" s="140">
        <f>IFERROR((#REF!/#REF!)*AQ193,0)</f>
        <v>0</v>
      </c>
      <c r="AR195" s="140">
        <f>IFERROR((#REF!/#REF!)*AR193,0)</f>
        <v>0</v>
      </c>
      <c r="AS195" s="140">
        <f>IFERROR((#REF!/#REF!)*AS193,0)</f>
        <v>0</v>
      </c>
      <c r="AT195" s="140">
        <f>IFERROR((#REF!/#REF!)*AT193,0)</f>
        <v>0</v>
      </c>
      <c r="AU195" s="140">
        <f>IFERROR((#REF!/#REF!)*AU193,0)</f>
        <v>0</v>
      </c>
      <c r="AV195" s="140">
        <f>IFERROR((#REF!/#REF!)*AV193,0)</f>
        <v>0</v>
      </c>
      <c r="AW195" s="140">
        <f>IFERROR((#REF!/#REF!)*AW193,0)</f>
        <v>0</v>
      </c>
      <c r="AX195" s="140">
        <f>IFERROR((#REF!/#REF!)*AX193,0)</f>
        <v>0</v>
      </c>
      <c r="AY195" s="140">
        <f>IFERROR((#REF!/#REF!)*AY193,0)</f>
        <v>0</v>
      </c>
      <c r="AZ195" s="140">
        <f>IFERROR((#REF!/#REF!)*AZ193,0)</f>
        <v>0</v>
      </c>
      <c r="BA195" s="140">
        <f>IFERROR((#REF!/#REF!)*BA193,0)</f>
        <v>0</v>
      </c>
      <c r="BB195" s="140">
        <f>IFERROR((#REF!/#REF!)*BB193,0)</f>
        <v>0</v>
      </c>
      <c r="BC195" s="140">
        <f>IFERROR((#REF!/#REF!)*BC193,0)</f>
        <v>0</v>
      </c>
      <c r="BD195" s="140">
        <f>IFERROR((#REF!/#REF!)*BD193,0)</f>
        <v>0</v>
      </c>
      <c r="BE195" s="140">
        <f>IFERROR((#REF!/#REF!)*BE193,0)</f>
        <v>0</v>
      </c>
      <c r="BF195" s="140">
        <f>IFERROR((#REF!/#REF!)*BF193,0)</f>
        <v>0</v>
      </c>
      <c r="BG195" s="140"/>
      <c r="BH195" s="140"/>
      <c r="BI195" s="140"/>
      <c r="BJ195" s="140"/>
      <c r="BK195" s="140"/>
      <c r="BL195" s="140"/>
    </row>
    <row r="196" spans="3:64" hidden="1" x14ac:dyDescent="0.15">
      <c r="C196" s="84" t="s">
        <v>416</v>
      </c>
      <c r="D196" s="140"/>
      <c r="E196" s="140">
        <f>IFERROR((#REF!/#REF!)*E193,0)</f>
        <v>0</v>
      </c>
      <c r="F196" s="140">
        <f>IFERROR((#REF!/#REF!)*F193,0)</f>
        <v>0</v>
      </c>
      <c r="G196" s="140">
        <f>IFERROR((#REF!/#REF!)*G193,0)</f>
        <v>0</v>
      </c>
      <c r="H196" s="140">
        <f>IFERROR((#REF!/#REF!)*H193,0)</f>
        <v>0</v>
      </c>
      <c r="I196" s="140">
        <f>IFERROR((#REF!/#REF!)*I193,0)</f>
        <v>0</v>
      </c>
      <c r="J196" s="140">
        <f>IFERROR((#REF!/#REF!)*J193,0)</f>
        <v>0</v>
      </c>
      <c r="K196" s="140">
        <f>IFERROR((#REF!/#REF!)*K193,0)</f>
        <v>0</v>
      </c>
      <c r="L196" s="140">
        <f>IFERROR((#REF!/#REF!)*L193,0)</f>
        <v>0</v>
      </c>
      <c r="M196" s="140">
        <f>IFERROR((#REF!/#REF!)*M193,0)</f>
        <v>0</v>
      </c>
      <c r="N196" s="140">
        <f>IFERROR((#REF!/#REF!)*N193,0)</f>
        <v>0</v>
      </c>
      <c r="O196" s="140">
        <f>IFERROR((#REF!/#REF!)*O193,0)</f>
        <v>0</v>
      </c>
      <c r="P196" s="140">
        <f>IFERROR((#REF!/#REF!)*P193,0)</f>
        <v>0</v>
      </c>
      <c r="Q196" s="140">
        <f>IFERROR((#REF!/#REF!)*Q193,0)</f>
        <v>0</v>
      </c>
      <c r="R196" s="140">
        <f>IFERROR((#REF!/#REF!)*R193,0)</f>
        <v>0</v>
      </c>
      <c r="S196" s="140">
        <f>IFERROR((#REF!/#REF!)*S193,0)</f>
        <v>0</v>
      </c>
      <c r="T196" s="140">
        <f>IFERROR((#REF!/#REF!)*T193,0)</f>
        <v>0</v>
      </c>
      <c r="U196" s="140">
        <f>IFERROR((#REF!/#REF!)*U193,0)</f>
        <v>0</v>
      </c>
      <c r="V196" s="140">
        <f>IFERROR((#REF!/#REF!)*V193,0)</f>
        <v>0</v>
      </c>
      <c r="W196" s="140">
        <f>IFERROR((#REF!/#REF!)*W193,0)</f>
        <v>0</v>
      </c>
      <c r="X196" s="140">
        <f>IFERROR((#REF!/#REF!)*X193,0)</f>
        <v>0</v>
      </c>
      <c r="Y196" s="140">
        <f>IFERROR((#REF!/#REF!)*Y193,0)</f>
        <v>0</v>
      </c>
      <c r="Z196" s="140">
        <f>IFERROR((#REF!/#REF!)*Z193,0)</f>
        <v>0</v>
      </c>
      <c r="AA196" s="140">
        <f>IFERROR((#REF!/#REF!)*AA193,0)</f>
        <v>0</v>
      </c>
      <c r="AB196" s="140">
        <f>IFERROR((#REF!/#REF!)*AB193,0)</f>
        <v>0</v>
      </c>
      <c r="AC196" s="140">
        <f>IFERROR((#REF!/#REF!)*AC193,0)</f>
        <v>0</v>
      </c>
      <c r="AD196" s="140">
        <f>IFERROR((#REF!/#REF!)*AD193,0)</f>
        <v>0</v>
      </c>
      <c r="AE196" s="140">
        <f>IFERROR((#REF!/#REF!)*AE193,0)</f>
        <v>0</v>
      </c>
      <c r="AF196" s="140">
        <f>IFERROR((#REF!/#REF!)*AF193,0)</f>
        <v>0</v>
      </c>
      <c r="AG196" s="140">
        <f>IFERROR((#REF!/#REF!)*AG193,0)</f>
        <v>0</v>
      </c>
      <c r="AH196" s="140">
        <f>IFERROR((#REF!/#REF!)*AH193,0)</f>
        <v>0</v>
      </c>
      <c r="AI196" s="140">
        <f>IFERROR((#REF!/#REF!)*AI193,0)</f>
        <v>0</v>
      </c>
      <c r="AJ196" s="140">
        <f>IFERROR((#REF!/#REF!)*AJ193,0)</f>
        <v>0</v>
      </c>
      <c r="AK196" s="140">
        <f>IFERROR((#REF!/#REF!)*AK193,0)</f>
        <v>0</v>
      </c>
      <c r="AL196" s="140">
        <f>IFERROR((#REF!/#REF!)*AL193,0)</f>
        <v>0</v>
      </c>
      <c r="AM196" s="140">
        <f>IFERROR((#REF!/#REF!)*AM193,0)</f>
        <v>0</v>
      </c>
      <c r="AN196" s="140">
        <f>IFERROR((#REF!/#REF!)*AN193,0)</f>
        <v>0</v>
      </c>
      <c r="AO196" s="140">
        <f>IFERROR((#REF!/#REF!)*AO193,0)</f>
        <v>0</v>
      </c>
      <c r="AP196" s="140">
        <f>IFERROR((#REF!/#REF!)*AP193,0)</f>
        <v>0</v>
      </c>
      <c r="AQ196" s="140">
        <f>IFERROR((#REF!/#REF!)*AQ193,0)</f>
        <v>0</v>
      </c>
      <c r="AR196" s="140">
        <f>IFERROR((#REF!/#REF!)*AR193,0)</f>
        <v>0</v>
      </c>
      <c r="AS196" s="140">
        <f>IFERROR((#REF!/#REF!)*AS193,0)</f>
        <v>0</v>
      </c>
      <c r="AT196" s="140">
        <f>IFERROR((#REF!/#REF!)*AT193,0)</f>
        <v>0</v>
      </c>
      <c r="AU196" s="140">
        <f>IFERROR((#REF!/#REF!)*AU193,0)</f>
        <v>0</v>
      </c>
      <c r="AV196" s="140">
        <f>IFERROR((#REF!/#REF!)*AV193,0)</f>
        <v>0</v>
      </c>
      <c r="AW196" s="140">
        <f>IFERROR((#REF!/#REF!)*AW193,0)</f>
        <v>0</v>
      </c>
      <c r="AX196" s="140">
        <f>IFERROR((#REF!/#REF!)*AX193,0)</f>
        <v>0</v>
      </c>
      <c r="AY196" s="140">
        <f>IFERROR((#REF!/#REF!)*AY193,0)</f>
        <v>0</v>
      </c>
      <c r="AZ196" s="140">
        <f>IFERROR((#REF!/#REF!)*AZ193,0)</f>
        <v>0</v>
      </c>
      <c r="BA196" s="140">
        <f>IFERROR((#REF!/#REF!)*BA193,0)</f>
        <v>0</v>
      </c>
      <c r="BB196" s="140">
        <f>IFERROR((#REF!/#REF!)*BB193,0)</f>
        <v>0</v>
      </c>
      <c r="BC196" s="140">
        <f>IFERROR((#REF!/#REF!)*BC193,0)</f>
        <v>0</v>
      </c>
      <c r="BD196" s="140">
        <f>IFERROR((#REF!/#REF!)*BD193,0)</f>
        <v>0</v>
      </c>
      <c r="BE196" s="140">
        <f>IFERROR((#REF!/#REF!)*BE193,0)</f>
        <v>0</v>
      </c>
      <c r="BF196" s="140">
        <f>IFERROR((#REF!/#REF!)*BF193,0)</f>
        <v>0</v>
      </c>
      <c r="BG196" s="140"/>
      <c r="BH196" s="140"/>
      <c r="BI196" s="140"/>
      <c r="BJ196" s="140"/>
      <c r="BK196" s="140"/>
      <c r="BL196" s="140"/>
    </row>
    <row r="197" spans="3:64" hidden="1" x14ac:dyDescent="0.15">
      <c r="C197" s="84" t="s">
        <v>417</v>
      </c>
      <c r="D197" s="140"/>
      <c r="E197" s="140" t="e">
        <f>IF(E5&gt;Leadsheet!$E$14,0,SUM(E193:E196))</f>
        <v>#REF!</v>
      </c>
      <c r="F197" s="140" t="e">
        <f>IF(F5&gt;Leadsheet!$E$14,0,SUM(F193:F196))</f>
        <v>#REF!</v>
      </c>
      <c r="G197" s="140" t="e">
        <f>IF(G5&gt;Leadsheet!$E$14,0,SUM(G193:G196))</f>
        <v>#REF!</v>
      </c>
      <c r="H197" s="140" t="e">
        <f>IF(H5&gt;Leadsheet!$E$14,0,SUM(H193:H196))</f>
        <v>#REF!</v>
      </c>
      <c r="I197" s="140" t="e">
        <f>IF(I5&gt;Leadsheet!$E$14,0,SUM(I193:I196))</f>
        <v>#REF!</v>
      </c>
      <c r="J197" s="140" t="e">
        <f>IF(J5&gt;Leadsheet!$E$14,0,SUM(J193:J196))</f>
        <v>#REF!</v>
      </c>
      <c r="K197" s="140" t="e">
        <f>IF(K5&gt;Leadsheet!$E$14,0,SUM(K193:K196))</f>
        <v>#REF!</v>
      </c>
      <c r="L197" s="140" t="e">
        <f>IF(L5&gt;Leadsheet!$E$14,0,SUM(L193:L196))</f>
        <v>#REF!</v>
      </c>
      <c r="M197" s="140" t="e">
        <f>IF(M5&gt;Leadsheet!$E$14,0,SUM(M193:M196))</f>
        <v>#REF!</v>
      </c>
      <c r="N197" s="140" t="e">
        <f>IF(N5&gt;Leadsheet!$E$14,0,SUM(N193:N196))</f>
        <v>#REF!</v>
      </c>
      <c r="O197" s="140" t="e">
        <f>IF(O5&gt;Leadsheet!$E$14,0,SUM(O193:O196))</f>
        <v>#REF!</v>
      </c>
      <c r="P197" s="140" t="e">
        <f>IF(P5&gt;Leadsheet!$E$14,0,SUM(P193:P196))</f>
        <v>#REF!</v>
      </c>
      <c r="Q197" s="140" t="e">
        <f>IF(Q5&gt;Leadsheet!$E$14,0,SUM(Q193:Q196))</f>
        <v>#REF!</v>
      </c>
      <c r="R197" s="140" t="e">
        <f>IF(R5&gt;Leadsheet!$E$14,0,SUM(R193:R196))</f>
        <v>#REF!</v>
      </c>
      <c r="S197" s="140" t="e">
        <f>IF(S5&gt;Leadsheet!$E$14,0,SUM(S193:S196))</f>
        <v>#REF!</v>
      </c>
      <c r="T197" s="140" t="e">
        <f>IF(T5&gt;Leadsheet!$E$14,0,SUM(T193:T196))</f>
        <v>#REF!</v>
      </c>
      <c r="U197" s="140" t="e">
        <f>IF(U5&gt;Leadsheet!$E$14,0,SUM(U193:U196))</f>
        <v>#REF!</v>
      </c>
      <c r="V197" s="140">
        <f>IF(V5&gt;Leadsheet!$E$14,0,SUM(V193:V196))</f>
        <v>0</v>
      </c>
      <c r="W197" s="140">
        <f>IF(W5&gt;Leadsheet!$E$14,0,SUM(W193:W196))</f>
        <v>0</v>
      </c>
      <c r="X197" s="140">
        <f>IF(X5&gt;Leadsheet!$E$14,0,SUM(X193:X196))</f>
        <v>0</v>
      </c>
      <c r="Y197" s="140">
        <f>IF(Y5&gt;Leadsheet!$E$14,0,SUM(Y193:Y196))</f>
        <v>0</v>
      </c>
      <c r="Z197" s="140">
        <f>IF(Z5&gt;Leadsheet!$E$14,0,SUM(Z193:Z196))</f>
        <v>0</v>
      </c>
      <c r="AA197" s="140">
        <f>IF(AA5&gt;Leadsheet!$E$14,0,SUM(AA193:AA196))</f>
        <v>0</v>
      </c>
      <c r="AB197" s="140">
        <f>IF(AB5&gt;Leadsheet!$E$14,0,SUM(AB193:AB196))</f>
        <v>0</v>
      </c>
      <c r="AC197" s="140">
        <f>IF(AC5&gt;Leadsheet!$E$14,0,SUM(AC193:AC196))</f>
        <v>0</v>
      </c>
      <c r="AD197" s="140">
        <f>IF(AD5&gt;Leadsheet!$E$14,0,SUM(AD193:AD196))</f>
        <v>0</v>
      </c>
      <c r="AE197" s="140">
        <f>IF(AE5&gt;Leadsheet!$E$14,0,SUM(AE193:AE196))</f>
        <v>0</v>
      </c>
      <c r="AF197" s="140">
        <f>IF(AF5&gt;Leadsheet!$E$14,0,SUM(AF193:AF196))</f>
        <v>0</v>
      </c>
      <c r="AG197" s="140">
        <f>IF(AG5&gt;Leadsheet!$E$14,0,SUM(AG193:AG196))</f>
        <v>0</v>
      </c>
      <c r="AH197" s="140">
        <f>IF(AH5&gt;Leadsheet!$E$14,0,SUM(AH193:AH196))</f>
        <v>0</v>
      </c>
      <c r="AI197" s="140">
        <f>IF(AI5&gt;Leadsheet!$E$14,0,SUM(AI193:AI196))</f>
        <v>0</v>
      </c>
      <c r="AJ197" s="140">
        <f>IF(AJ5&gt;Leadsheet!$E$14,0,SUM(AJ193:AJ196))</f>
        <v>0</v>
      </c>
      <c r="AK197" s="140">
        <f>IF(AK5&gt;Leadsheet!$E$14,0,SUM(AK193:AK196))</f>
        <v>0</v>
      </c>
      <c r="AL197" s="140">
        <f>IF(AL5&gt;Leadsheet!$E$14,0,SUM(AL193:AL196))</f>
        <v>0</v>
      </c>
      <c r="AM197" s="140">
        <f>IF(AM5&gt;Leadsheet!$E$14,0,SUM(AM193:AM196))</f>
        <v>0</v>
      </c>
      <c r="AN197" s="140">
        <f>IF(AN5&gt;Leadsheet!$E$14,0,SUM(AN193:AN196))</f>
        <v>0</v>
      </c>
      <c r="AO197" s="140">
        <f>IF(AO5&gt;Leadsheet!$E$14,0,SUM(AO193:AO196))</f>
        <v>0</v>
      </c>
      <c r="AP197" s="140">
        <f>IF(AP5&gt;Leadsheet!$E$14,0,SUM(AP193:AP196))</f>
        <v>0</v>
      </c>
      <c r="AQ197" s="140">
        <f>IF(AQ5&gt;Leadsheet!$E$14,0,SUM(AQ193:AQ196))</f>
        <v>0</v>
      </c>
      <c r="AR197" s="140">
        <f>IF(AR5&gt;Leadsheet!$E$14,0,SUM(AR193:AR196))</f>
        <v>0</v>
      </c>
      <c r="AS197" s="140">
        <f>IF(AS5&gt;Leadsheet!$E$14,0,SUM(AS193:AS196))</f>
        <v>0</v>
      </c>
      <c r="AT197" s="140">
        <f>IF(AT5&gt;Leadsheet!$E$14,0,SUM(AT193:AT196))</f>
        <v>0</v>
      </c>
      <c r="AU197" s="140">
        <f>IF(AU5&gt;Leadsheet!$E$14,0,SUM(AU193:AU196))</f>
        <v>0</v>
      </c>
      <c r="AV197" s="140">
        <f>IF(AV5&gt;Leadsheet!$E$14,0,SUM(AV193:AV196))</f>
        <v>0</v>
      </c>
      <c r="AW197" s="140">
        <f>IF(AW5&gt;Leadsheet!$E$14,0,SUM(AW193:AW196))</f>
        <v>0</v>
      </c>
      <c r="AX197" s="140">
        <f>IF(AX5&gt;Leadsheet!$E$14,0,SUM(AX193:AX196))</f>
        <v>0</v>
      </c>
      <c r="AY197" s="140">
        <f>IF(AY5&gt;Leadsheet!$E$14,0,SUM(AY193:AY196))</f>
        <v>0</v>
      </c>
      <c r="AZ197" s="140">
        <f>IF(AZ5&gt;Leadsheet!$E$14,0,SUM(AZ193:AZ196))</f>
        <v>0</v>
      </c>
      <c r="BA197" s="140">
        <f>IF(BA5&gt;Leadsheet!$E$14,0,SUM(BA193:BA196))</f>
        <v>0</v>
      </c>
      <c r="BB197" s="140">
        <f>IF(BB5&gt;Leadsheet!$E$14,0,SUM(BB193:BB196))</f>
        <v>0</v>
      </c>
      <c r="BC197" s="140">
        <f>IF(BC5&gt;Leadsheet!$E$14,0,SUM(BC193:BC196))</f>
        <v>0</v>
      </c>
      <c r="BD197" s="140">
        <f>IF(BD5&gt;Leadsheet!$E$14,0,SUM(BD193:BD196))</f>
        <v>0</v>
      </c>
      <c r="BE197" s="140">
        <f>IF(BE5&gt;Leadsheet!$E$14,0,SUM(BE193:BE196))</f>
        <v>0</v>
      </c>
      <c r="BF197" s="140">
        <f>IF(BF5&gt;Leadsheet!$E$14,0,SUM(BF193:BF196))</f>
        <v>0</v>
      </c>
      <c r="BG197" s="140"/>
      <c r="BH197" s="140"/>
      <c r="BI197" s="140"/>
      <c r="BJ197" s="140"/>
      <c r="BK197" s="140"/>
      <c r="BL197" s="140"/>
    </row>
    <row r="198" spans="3:64" hidden="1" x14ac:dyDescent="0.15"/>
    <row r="199" spans="3:64" hidden="1" x14ac:dyDescent="0.15"/>
    <row r="200" spans="3:64" hidden="1" x14ac:dyDescent="0.15">
      <c r="C200" s="155" t="s">
        <v>418</v>
      </c>
    </row>
    <row r="201" spans="3:64" hidden="1" x14ac:dyDescent="0.15">
      <c r="C201" s="311" t="s">
        <v>419</v>
      </c>
      <c r="E201" s="147" t="e">
        <f>+#REF!</f>
        <v>#REF!</v>
      </c>
      <c r="F201" s="147" t="e">
        <f>+#REF!</f>
        <v>#REF!</v>
      </c>
      <c r="G201" s="147" t="e">
        <f>+#REF!</f>
        <v>#REF!</v>
      </c>
      <c r="H201" s="147" t="e">
        <f>+#REF!</f>
        <v>#REF!</v>
      </c>
      <c r="I201" s="147" t="e">
        <f>+#REF!</f>
        <v>#REF!</v>
      </c>
      <c r="J201" s="147" t="e">
        <f>+#REF!</f>
        <v>#REF!</v>
      </c>
      <c r="K201" s="147" t="e">
        <f>+#REF!</f>
        <v>#REF!</v>
      </c>
      <c r="L201" s="147" t="e">
        <f>+#REF!</f>
        <v>#REF!</v>
      </c>
      <c r="M201" s="147" t="e">
        <f>+#REF!</f>
        <v>#REF!</v>
      </c>
      <c r="N201" s="147" t="e">
        <f>+#REF!</f>
        <v>#REF!</v>
      </c>
      <c r="O201" s="147" t="e">
        <f>+#REF!</f>
        <v>#REF!</v>
      </c>
      <c r="P201" s="147" t="e">
        <f>+#REF!</f>
        <v>#REF!</v>
      </c>
      <c r="Q201" s="147" t="e">
        <f>+#REF!</f>
        <v>#REF!</v>
      </c>
      <c r="R201" s="147" t="e">
        <f>+#REF!</f>
        <v>#REF!</v>
      </c>
      <c r="S201" s="147" t="e">
        <f>+#REF!</f>
        <v>#REF!</v>
      </c>
      <c r="T201" s="147" t="e">
        <f>+#REF!</f>
        <v>#REF!</v>
      </c>
      <c r="U201" s="147" t="e">
        <f>+#REF!</f>
        <v>#REF!</v>
      </c>
      <c r="V201" s="147" t="e">
        <f>+#REF!</f>
        <v>#REF!</v>
      </c>
      <c r="W201" s="147" t="e">
        <f>+#REF!</f>
        <v>#REF!</v>
      </c>
      <c r="X201" s="147" t="e">
        <f>+#REF!</f>
        <v>#REF!</v>
      </c>
      <c r="Y201" s="147" t="e">
        <f>+#REF!</f>
        <v>#REF!</v>
      </c>
      <c r="Z201" s="147" t="e">
        <f>+#REF!</f>
        <v>#REF!</v>
      </c>
      <c r="AA201" s="147" t="e">
        <f>+#REF!</f>
        <v>#REF!</v>
      </c>
      <c r="AB201" s="147" t="e">
        <f>+#REF!</f>
        <v>#REF!</v>
      </c>
      <c r="AC201" s="147" t="e">
        <f>+#REF!</f>
        <v>#REF!</v>
      </c>
      <c r="AD201" s="147" t="e">
        <f>+#REF!</f>
        <v>#REF!</v>
      </c>
      <c r="AE201" s="147" t="e">
        <f>+#REF!</f>
        <v>#REF!</v>
      </c>
      <c r="AF201" s="147" t="e">
        <f>+#REF!</f>
        <v>#REF!</v>
      </c>
      <c r="AG201" s="147" t="e">
        <f>+#REF!</f>
        <v>#REF!</v>
      </c>
      <c r="AH201" s="147" t="e">
        <f>+#REF!</f>
        <v>#REF!</v>
      </c>
      <c r="AI201" s="147" t="e">
        <f>+#REF!</f>
        <v>#REF!</v>
      </c>
      <c r="AJ201" s="147" t="e">
        <f>+#REF!</f>
        <v>#REF!</v>
      </c>
      <c r="AK201" s="147" t="e">
        <f>+#REF!</f>
        <v>#REF!</v>
      </c>
      <c r="AL201" s="147" t="e">
        <f>+#REF!</f>
        <v>#REF!</v>
      </c>
      <c r="AM201" s="147" t="e">
        <f>+#REF!</f>
        <v>#REF!</v>
      </c>
      <c r="AN201" s="147" t="e">
        <f>+#REF!</f>
        <v>#REF!</v>
      </c>
      <c r="AO201" s="147" t="e">
        <f>+#REF!</f>
        <v>#REF!</v>
      </c>
      <c r="AP201" s="147" t="e">
        <f>+#REF!</f>
        <v>#REF!</v>
      </c>
      <c r="AQ201" s="147" t="e">
        <f>+#REF!</f>
        <v>#REF!</v>
      </c>
      <c r="AR201" s="147" t="e">
        <f>+#REF!</f>
        <v>#REF!</v>
      </c>
      <c r="AS201" s="147" t="e">
        <f>+#REF!</f>
        <v>#REF!</v>
      </c>
      <c r="AT201" s="147" t="e">
        <f>+#REF!</f>
        <v>#REF!</v>
      </c>
      <c r="AU201" s="147" t="e">
        <f>+#REF!</f>
        <v>#REF!</v>
      </c>
      <c r="AV201" s="147" t="e">
        <f>+#REF!</f>
        <v>#REF!</v>
      </c>
      <c r="AW201" s="147" t="e">
        <f>+#REF!</f>
        <v>#REF!</v>
      </c>
      <c r="AX201" s="147" t="e">
        <f>+#REF!</f>
        <v>#REF!</v>
      </c>
      <c r="AY201" s="147" t="e">
        <f>+#REF!</f>
        <v>#REF!</v>
      </c>
      <c r="AZ201" s="147" t="e">
        <f>+#REF!</f>
        <v>#REF!</v>
      </c>
      <c r="BA201" s="147" t="e">
        <f>+#REF!</f>
        <v>#REF!</v>
      </c>
      <c r="BB201" s="147" t="e">
        <f>+#REF!</f>
        <v>#REF!</v>
      </c>
      <c r="BC201" s="147" t="e">
        <f>+#REF!</f>
        <v>#REF!</v>
      </c>
      <c r="BD201" s="147" t="e">
        <f>+#REF!</f>
        <v>#REF!</v>
      </c>
      <c r="BE201" s="147" t="e">
        <f>+#REF!</f>
        <v>#REF!</v>
      </c>
      <c r="BF201" s="147" t="e">
        <f>+#REF!</f>
        <v>#REF!</v>
      </c>
      <c r="BG201" s="147"/>
      <c r="BH201" s="147"/>
      <c r="BI201" s="147"/>
      <c r="BJ201" s="147"/>
      <c r="BK201" s="147"/>
      <c r="BL201" s="147"/>
    </row>
    <row r="202" spans="3:64" hidden="1" x14ac:dyDescent="0.15">
      <c r="C202" s="311" t="s">
        <v>420</v>
      </c>
      <c r="E202" s="140" t="e">
        <f>-D27*(E$13+#REF!*(1+#REF!))</f>
        <v>#REF!</v>
      </c>
      <c r="F202" s="140" t="e">
        <f>-#REF!*(F$13+#REF!*(1+#REF!))</f>
        <v>#REF!</v>
      </c>
      <c r="G202" s="140" t="e">
        <f>-#REF!*(G$13+#REF!*(1+#REF!))</f>
        <v>#REF!</v>
      </c>
      <c r="H202" s="140" t="e">
        <f>-#REF!*(H$13+#REF!*(1+#REF!))</f>
        <v>#REF!</v>
      </c>
      <c r="I202" s="140" t="e">
        <f>-#REF!*(I$13+#REF!*(1+#REF!))</f>
        <v>#REF!</v>
      </c>
      <c r="J202" s="140" t="e">
        <f>-#REF!*(J$13+#REF!*(1+#REF!))</f>
        <v>#REF!</v>
      </c>
      <c r="K202" s="140" t="e">
        <f>-#REF!*(K$13+#REF!*(1+#REF!))</f>
        <v>#REF!</v>
      </c>
      <c r="L202" s="140" t="e">
        <f>-#REF!*(L$13+#REF!*(1+#REF!))</f>
        <v>#REF!</v>
      </c>
      <c r="M202" s="140" t="e">
        <f>-#REF!*(M$13+#REF!*(1+#REF!))</f>
        <v>#REF!</v>
      </c>
      <c r="N202" s="140" t="e">
        <f>-#REF!*(N$13+#REF!*(1+#REF!))</f>
        <v>#REF!</v>
      </c>
      <c r="O202" s="140" t="e">
        <f>-#REF!*(O$13+#REF!*(1+#REF!))</f>
        <v>#REF!</v>
      </c>
      <c r="P202" s="140" t="e">
        <f>-#REF!*(P$13+#REF!*(1+#REF!))</f>
        <v>#REF!</v>
      </c>
      <c r="Q202" s="140" t="e">
        <f>-#REF!*(Q$13+#REF!*(1+#REF!))</f>
        <v>#REF!</v>
      </c>
      <c r="R202" s="140" t="e">
        <f>-#REF!*(R$13+#REF!*(1+#REF!))</f>
        <v>#REF!</v>
      </c>
      <c r="S202" s="140" t="e">
        <f>-#REF!*(S$13+#REF!*(1+#REF!))</f>
        <v>#REF!</v>
      </c>
      <c r="T202" s="140" t="e">
        <f>-#REF!*(T$13+#REF!*(1+#REF!))</f>
        <v>#REF!</v>
      </c>
      <c r="U202" s="140" t="e">
        <f>-#REF!*(U$13+#REF!*(1+#REF!))</f>
        <v>#REF!</v>
      </c>
      <c r="V202" s="140" t="e">
        <f>-#REF!*(V$13+#REF!*(1+#REF!))</f>
        <v>#REF!</v>
      </c>
      <c r="W202" s="140" t="e">
        <f>-#REF!*(W$13+#REF!*(1+#REF!))</f>
        <v>#REF!</v>
      </c>
      <c r="X202" s="140" t="e">
        <f>-#REF!*(X$13+#REF!*(1+#REF!))</f>
        <v>#REF!</v>
      </c>
      <c r="Y202" s="140" t="e">
        <f>-#REF!*(Y$13+#REF!*(1+#REF!))</f>
        <v>#REF!</v>
      </c>
      <c r="Z202" s="140" t="e">
        <f>-#REF!*(Z$13+#REF!*(1+#REF!))</f>
        <v>#REF!</v>
      </c>
      <c r="AA202" s="140" t="e">
        <f>-#REF!*(AA$13+#REF!*(1+#REF!))</f>
        <v>#REF!</v>
      </c>
      <c r="AB202" s="140" t="e">
        <f>-#REF!*(AB$13+#REF!*(1+#REF!))</f>
        <v>#REF!</v>
      </c>
      <c r="AC202" s="140" t="e">
        <f>-#REF!*(AC$13+#REF!*(1+#REF!))</f>
        <v>#REF!</v>
      </c>
      <c r="AD202" s="140" t="e">
        <f>-#REF!*(AD$13+#REF!*(1+#REF!))</f>
        <v>#REF!</v>
      </c>
      <c r="AE202" s="140" t="e">
        <f>-#REF!*(AE$13+#REF!*(1+#REF!))</f>
        <v>#REF!</v>
      </c>
      <c r="AF202" s="140" t="e">
        <f>-#REF!*(AF$13+#REF!*(1+#REF!))</f>
        <v>#REF!</v>
      </c>
      <c r="AG202" s="140" t="e">
        <f>-#REF!*(AG$13+#REF!*(1+#REF!))</f>
        <v>#REF!</v>
      </c>
      <c r="AH202" s="140" t="e">
        <f>-#REF!*(AH$13+#REF!*(1+#REF!))</f>
        <v>#REF!</v>
      </c>
      <c r="AI202" s="140" t="e">
        <f>-#REF!*(AI$13+#REF!*(1+#REF!))</f>
        <v>#REF!</v>
      </c>
      <c r="AJ202" s="140" t="e">
        <f>-#REF!*(AJ$13+#REF!*(1+#REF!))</f>
        <v>#REF!</v>
      </c>
      <c r="AK202" s="140" t="e">
        <f>-#REF!*(AK$13+#REF!*(1+#REF!))</f>
        <v>#REF!</v>
      </c>
      <c r="AL202" s="140" t="e">
        <f>-#REF!*(AL$13+#REF!*(1+#REF!))</f>
        <v>#REF!</v>
      </c>
      <c r="AM202" s="140" t="e">
        <f>-#REF!*(AM$13+#REF!*(1+#REF!))</f>
        <v>#REF!</v>
      </c>
      <c r="AN202" s="140" t="e">
        <f>-#REF!*(AN$13+#REF!*(1+#REF!))</f>
        <v>#REF!</v>
      </c>
      <c r="AO202" s="140" t="e">
        <f>-#REF!*(AO$13+#REF!*(1+#REF!))</f>
        <v>#REF!</v>
      </c>
      <c r="AP202" s="140" t="e">
        <f>-#REF!*(AP$13+#REF!*(1+#REF!))</f>
        <v>#REF!</v>
      </c>
      <c r="AQ202" s="140" t="e">
        <f>-#REF!*(AQ$13+#REF!*(1+#REF!))</f>
        <v>#REF!</v>
      </c>
      <c r="AR202" s="140" t="e">
        <f>-#REF!*(AR$13+#REF!*(1+#REF!))</f>
        <v>#REF!</v>
      </c>
      <c r="AS202" s="140" t="e">
        <f>-#REF!*(AS$13+#REF!*(1+#REF!))</f>
        <v>#REF!</v>
      </c>
      <c r="AT202" s="140" t="e">
        <f>-#REF!*(AT$13+#REF!*(1+#REF!))</f>
        <v>#REF!</v>
      </c>
      <c r="AU202" s="140" t="e">
        <f>-#REF!*(AU$13+#REF!*(1+#REF!))</f>
        <v>#REF!</v>
      </c>
      <c r="AV202" s="140" t="e">
        <f>-#REF!*(AV$13+#REF!*(1+#REF!))</f>
        <v>#REF!</v>
      </c>
      <c r="AW202" s="140" t="e">
        <f>-#REF!*(AW$13+#REF!*(1+#REF!))</f>
        <v>#REF!</v>
      </c>
      <c r="AX202" s="140" t="e">
        <f>-#REF!*(AX$13+#REF!*(1+#REF!))</f>
        <v>#REF!</v>
      </c>
      <c r="AY202" s="140" t="e">
        <f>-#REF!*(AY$13+#REF!*(1+#REF!))</f>
        <v>#REF!</v>
      </c>
      <c r="AZ202" s="140" t="e">
        <f>-#REF!*(AZ$13+#REF!*(1+#REF!))</f>
        <v>#REF!</v>
      </c>
      <c r="BA202" s="140" t="e">
        <f>-#REF!*(BA$13+#REF!*(1+#REF!))</f>
        <v>#REF!</v>
      </c>
      <c r="BB202" s="140" t="e">
        <f>-#REF!*(BB$13+#REF!*(1+#REF!))</f>
        <v>#REF!</v>
      </c>
      <c r="BC202" s="140" t="e">
        <f>-#REF!*(BC$13+#REF!*(1+#REF!))</f>
        <v>#REF!</v>
      </c>
      <c r="BD202" s="140" t="e">
        <f>-#REF!*(BD$13+#REF!*(1+#REF!))</f>
        <v>#REF!</v>
      </c>
      <c r="BE202" s="140" t="e">
        <f>-#REF!*(BE$13+#REF!*(1+#REF!))</f>
        <v>#REF!</v>
      </c>
      <c r="BF202" s="140" t="e">
        <f>-#REF!*(BF$13+#REF!*(1+#REF!))</f>
        <v>#REF!</v>
      </c>
      <c r="BG202" s="140"/>
      <c r="BH202" s="140"/>
      <c r="BI202" s="140"/>
      <c r="BJ202" s="140"/>
      <c r="BK202" s="140"/>
      <c r="BL202" s="140"/>
    </row>
    <row r="203" spans="3:64" hidden="1" x14ac:dyDescent="0.15">
      <c r="C203" s="311" t="s">
        <v>421</v>
      </c>
      <c r="E203" s="140" t="e">
        <v>#REF!</v>
      </c>
      <c r="F203" s="140" t="e">
        <v>#REF!</v>
      </c>
      <c r="G203" s="140" t="e">
        <v>#REF!</v>
      </c>
      <c r="H203" s="140" t="e">
        <v>#REF!</v>
      </c>
      <c r="I203" s="140" t="e">
        <v>#REF!</v>
      </c>
      <c r="J203" s="140" t="e">
        <v>#REF!</v>
      </c>
      <c r="K203" s="140" t="e">
        <v>#REF!</v>
      </c>
      <c r="L203" s="140" t="e">
        <v>#REF!</v>
      </c>
      <c r="M203" s="140" t="e">
        <v>#REF!</v>
      </c>
      <c r="N203" s="140" t="e">
        <v>#REF!</v>
      </c>
      <c r="O203" s="140" t="e">
        <v>#REF!</v>
      </c>
      <c r="P203" s="140" t="e">
        <v>#REF!</v>
      </c>
      <c r="Q203" s="140" t="e">
        <v>#REF!</v>
      </c>
      <c r="R203" s="140" t="e">
        <v>#REF!</v>
      </c>
      <c r="S203" s="140" t="e">
        <v>#REF!</v>
      </c>
      <c r="T203" s="140" t="e">
        <v>#REF!</v>
      </c>
      <c r="U203" s="140" t="e">
        <v>#REF!</v>
      </c>
      <c r="V203" s="140" t="e">
        <v>#REF!</v>
      </c>
      <c r="W203" s="140" t="e">
        <v>#REF!</v>
      </c>
      <c r="X203" s="140" t="e">
        <v>#REF!</v>
      </c>
      <c r="Y203" s="140" t="e">
        <v>#REF!</v>
      </c>
      <c r="Z203" s="140" t="e">
        <v>#REF!</v>
      </c>
      <c r="AA203" s="140" t="e">
        <v>#REF!</v>
      </c>
      <c r="AB203" s="140" t="e">
        <v>#REF!</v>
      </c>
      <c r="AC203" s="140" t="e">
        <v>#REF!</v>
      </c>
      <c r="AD203" s="140" t="e">
        <v>#REF!</v>
      </c>
      <c r="AE203" s="140" t="e">
        <v>#REF!</v>
      </c>
      <c r="AF203" s="140" t="e">
        <v>#REF!</v>
      </c>
      <c r="AG203" s="140" t="e">
        <v>#REF!</v>
      </c>
      <c r="AH203" s="140" t="e">
        <v>#REF!</v>
      </c>
      <c r="AI203" s="140" t="e">
        <v>#REF!</v>
      </c>
      <c r="AJ203" s="140" t="e">
        <v>#REF!</v>
      </c>
      <c r="AK203" s="140" t="e">
        <v>#REF!</v>
      </c>
      <c r="AL203" s="140" t="e">
        <v>#REF!</v>
      </c>
      <c r="AM203" s="140" t="e">
        <v>#REF!</v>
      </c>
      <c r="AN203" s="140" t="e">
        <v>#REF!</v>
      </c>
      <c r="AO203" s="140" t="e">
        <v>#REF!</v>
      </c>
      <c r="AP203" s="140" t="e">
        <v>#REF!</v>
      </c>
      <c r="AQ203" s="140" t="e">
        <v>#REF!</v>
      </c>
      <c r="AR203" s="140" t="e">
        <v>#REF!</v>
      </c>
      <c r="AS203" s="140" t="e">
        <v>#REF!</v>
      </c>
      <c r="AT203" s="140" t="e">
        <v>#REF!</v>
      </c>
      <c r="AU203" s="140" t="e">
        <v>#REF!</v>
      </c>
      <c r="AV203" s="140" t="e">
        <v>#REF!</v>
      </c>
      <c r="AW203" s="140" t="e">
        <v>#REF!</v>
      </c>
      <c r="AX203" s="140" t="e">
        <v>#REF!</v>
      </c>
      <c r="AY203" s="140" t="e">
        <v>#REF!</v>
      </c>
      <c r="AZ203" s="140" t="e">
        <v>#REF!</v>
      </c>
      <c r="BA203" s="140" t="e">
        <v>#REF!</v>
      </c>
      <c r="BB203" s="140" t="e">
        <v>#REF!</v>
      </c>
      <c r="BC203" s="140" t="e">
        <v>#REF!</v>
      </c>
      <c r="BD203" s="140" t="e">
        <v>#REF!</v>
      </c>
      <c r="BE203" s="140" t="e">
        <v>#REF!</v>
      </c>
      <c r="BF203" s="140" t="e">
        <v>#REF!</v>
      </c>
      <c r="BG203" s="140"/>
      <c r="BH203" s="140"/>
      <c r="BI203" s="140"/>
      <c r="BJ203" s="140"/>
      <c r="BK203" s="140"/>
      <c r="BL203" s="140"/>
    </row>
    <row r="204" spans="3:64" hidden="1" x14ac:dyDescent="0.15">
      <c r="C204" s="311" t="s">
        <v>422</v>
      </c>
      <c r="E204" s="140" t="e">
        <v>#REF!</v>
      </c>
      <c r="F204" s="140" t="e">
        <v>#REF!</v>
      </c>
      <c r="G204" s="140" t="e">
        <v>#REF!</v>
      </c>
      <c r="H204" s="140" t="e">
        <v>#REF!</v>
      </c>
      <c r="I204" s="140" t="e">
        <v>#REF!</v>
      </c>
      <c r="J204" s="140" t="e">
        <v>#REF!</v>
      </c>
      <c r="K204" s="140" t="e">
        <v>#REF!</v>
      </c>
      <c r="L204" s="140" t="e">
        <v>#REF!</v>
      </c>
      <c r="M204" s="140" t="e">
        <v>#REF!</v>
      </c>
      <c r="N204" s="140" t="e">
        <v>#REF!</v>
      </c>
      <c r="O204" s="140" t="e">
        <v>#REF!</v>
      </c>
      <c r="P204" s="140" t="e">
        <v>#REF!</v>
      </c>
      <c r="Q204" s="140" t="e">
        <v>#REF!</v>
      </c>
      <c r="R204" s="140" t="e">
        <v>#REF!</v>
      </c>
      <c r="S204" s="140" t="e">
        <v>#REF!</v>
      </c>
      <c r="T204" s="140" t="e">
        <v>#REF!</v>
      </c>
      <c r="U204" s="140" t="e">
        <v>#REF!</v>
      </c>
      <c r="V204" s="140" t="e">
        <v>#REF!</v>
      </c>
      <c r="W204" s="140" t="e">
        <v>#REF!</v>
      </c>
      <c r="X204" s="140" t="e">
        <v>#REF!</v>
      </c>
      <c r="Y204" s="140" t="e">
        <v>#REF!</v>
      </c>
      <c r="Z204" s="140" t="e">
        <v>#REF!</v>
      </c>
      <c r="AA204" s="140" t="e">
        <v>#REF!</v>
      </c>
      <c r="AB204" s="140" t="e">
        <v>#REF!</v>
      </c>
      <c r="AC204" s="140" t="e">
        <v>#REF!</v>
      </c>
      <c r="AD204" s="140" t="e">
        <v>#REF!</v>
      </c>
      <c r="AE204" s="140" t="e">
        <v>#REF!</v>
      </c>
      <c r="AF204" s="140" t="e">
        <v>#REF!</v>
      </c>
      <c r="AG204" s="140" t="e">
        <v>#REF!</v>
      </c>
      <c r="AH204" s="140" t="e">
        <v>#REF!</v>
      </c>
      <c r="AI204" s="140" t="e">
        <v>#REF!</v>
      </c>
      <c r="AJ204" s="140" t="e">
        <v>#REF!</v>
      </c>
      <c r="AK204" s="140" t="e">
        <v>#REF!</v>
      </c>
      <c r="AL204" s="140" t="e">
        <v>#REF!</v>
      </c>
      <c r="AM204" s="140" t="e">
        <v>#REF!</v>
      </c>
      <c r="AN204" s="140" t="e">
        <v>#REF!</v>
      </c>
      <c r="AO204" s="140" t="e">
        <v>#REF!</v>
      </c>
      <c r="AP204" s="140" t="e">
        <v>#REF!</v>
      </c>
      <c r="AQ204" s="140" t="e">
        <v>#REF!</v>
      </c>
      <c r="AR204" s="140" t="e">
        <v>#REF!</v>
      </c>
      <c r="AS204" s="140" t="e">
        <v>#REF!</v>
      </c>
      <c r="AT204" s="140" t="e">
        <v>#REF!</v>
      </c>
      <c r="AU204" s="140" t="e">
        <v>#REF!</v>
      </c>
      <c r="AV204" s="140" t="e">
        <v>#REF!</v>
      </c>
      <c r="AW204" s="140" t="e">
        <v>#REF!</v>
      </c>
      <c r="AX204" s="140" t="e">
        <v>#REF!</v>
      </c>
      <c r="AY204" s="140" t="e">
        <v>#REF!</v>
      </c>
      <c r="AZ204" s="140" t="e">
        <v>#REF!</v>
      </c>
      <c r="BA204" s="140" t="e">
        <v>#REF!</v>
      </c>
      <c r="BB204" s="140" t="e">
        <v>#REF!</v>
      </c>
      <c r="BC204" s="140" t="e">
        <v>#REF!</v>
      </c>
      <c r="BD204" s="140" t="e">
        <v>#REF!</v>
      </c>
      <c r="BE204" s="140" t="e">
        <v>#REF!</v>
      </c>
      <c r="BF204" s="140" t="e">
        <v>#REF!</v>
      </c>
      <c r="BG204" s="140"/>
      <c r="BH204" s="140"/>
      <c r="BI204" s="140"/>
      <c r="BJ204" s="140"/>
      <c r="BK204" s="140"/>
      <c r="BL204" s="140"/>
    </row>
    <row r="205" spans="3:64" hidden="1" x14ac:dyDescent="0.15">
      <c r="C205" s="311" t="s">
        <v>423</v>
      </c>
      <c r="E205" s="140" t="e">
        <f t="shared" ref="E205:BF205" si="50">SUM(E201:E204)</f>
        <v>#REF!</v>
      </c>
      <c r="F205" s="140" t="e">
        <f t="shared" si="50"/>
        <v>#REF!</v>
      </c>
      <c r="G205" s="140" t="e">
        <f t="shared" si="50"/>
        <v>#REF!</v>
      </c>
      <c r="H205" s="140" t="e">
        <f t="shared" si="50"/>
        <v>#REF!</v>
      </c>
      <c r="I205" s="140" t="e">
        <f t="shared" si="50"/>
        <v>#REF!</v>
      </c>
      <c r="J205" s="140" t="e">
        <f t="shared" si="50"/>
        <v>#REF!</v>
      </c>
      <c r="K205" s="140" t="e">
        <f t="shared" si="50"/>
        <v>#REF!</v>
      </c>
      <c r="L205" s="140" t="e">
        <f t="shared" si="50"/>
        <v>#REF!</v>
      </c>
      <c r="M205" s="140" t="e">
        <f t="shared" si="50"/>
        <v>#REF!</v>
      </c>
      <c r="N205" s="140" t="e">
        <f t="shared" si="50"/>
        <v>#REF!</v>
      </c>
      <c r="O205" s="140" t="e">
        <f t="shared" si="50"/>
        <v>#REF!</v>
      </c>
      <c r="P205" s="140" t="e">
        <f t="shared" si="50"/>
        <v>#REF!</v>
      </c>
      <c r="Q205" s="140" t="e">
        <f t="shared" si="50"/>
        <v>#REF!</v>
      </c>
      <c r="R205" s="140" t="e">
        <f t="shared" si="50"/>
        <v>#REF!</v>
      </c>
      <c r="S205" s="140" t="e">
        <f t="shared" si="50"/>
        <v>#REF!</v>
      </c>
      <c r="T205" s="140" t="e">
        <f t="shared" si="50"/>
        <v>#REF!</v>
      </c>
      <c r="U205" s="140" t="e">
        <f t="shared" si="50"/>
        <v>#REF!</v>
      </c>
      <c r="V205" s="140" t="e">
        <f t="shared" si="50"/>
        <v>#REF!</v>
      </c>
      <c r="W205" s="140" t="e">
        <f t="shared" si="50"/>
        <v>#REF!</v>
      </c>
      <c r="X205" s="140" t="e">
        <f t="shared" si="50"/>
        <v>#REF!</v>
      </c>
      <c r="Y205" s="140" t="e">
        <f t="shared" si="50"/>
        <v>#REF!</v>
      </c>
      <c r="Z205" s="140" t="e">
        <f t="shared" si="50"/>
        <v>#REF!</v>
      </c>
      <c r="AA205" s="140" t="e">
        <f t="shared" si="50"/>
        <v>#REF!</v>
      </c>
      <c r="AB205" s="140" t="e">
        <f t="shared" si="50"/>
        <v>#REF!</v>
      </c>
      <c r="AC205" s="140" t="e">
        <f t="shared" si="50"/>
        <v>#REF!</v>
      </c>
      <c r="AD205" s="140" t="e">
        <f t="shared" si="50"/>
        <v>#REF!</v>
      </c>
      <c r="AE205" s="140" t="e">
        <f t="shared" si="50"/>
        <v>#REF!</v>
      </c>
      <c r="AF205" s="140" t="e">
        <f t="shared" si="50"/>
        <v>#REF!</v>
      </c>
      <c r="AG205" s="140" t="e">
        <f t="shared" si="50"/>
        <v>#REF!</v>
      </c>
      <c r="AH205" s="140" t="e">
        <f t="shared" si="50"/>
        <v>#REF!</v>
      </c>
      <c r="AI205" s="140" t="e">
        <f t="shared" si="50"/>
        <v>#REF!</v>
      </c>
      <c r="AJ205" s="140" t="e">
        <f t="shared" si="50"/>
        <v>#REF!</v>
      </c>
      <c r="AK205" s="140" t="e">
        <f t="shared" si="50"/>
        <v>#REF!</v>
      </c>
      <c r="AL205" s="140" t="e">
        <f t="shared" si="50"/>
        <v>#REF!</v>
      </c>
      <c r="AM205" s="140" t="e">
        <f t="shared" si="50"/>
        <v>#REF!</v>
      </c>
      <c r="AN205" s="140" t="e">
        <f t="shared" si="50"/>
        <v>#REF!</v>
      </c>
      <c r="AO205" s="140" t="e">
        <f t="shared" si="50"/>
        <v>#REF!</v>
      </c>
      <c r="AP205" s="140" t="e">
        <f t="shared" si="50"/>
        <v>#REF!</v>
      </c>
      <c r="AQ205" s="140" t="e">
        <f t="shared" si="50"/>
        <v>#REF!</v>
      </c>
      <c r="AR205" s="140" t="e">
        <f t="shared" si="50"/>
        <v>#REF!</v>
      </c>
      <c r="AS205" s="140" t="e">
        <f t="shared" si="50"/>
        <v>#REF!</v>
      </c>
      <c r="AT205" s="140" t="e">
        <f t="shared" si="50"/>
        <v>#REF!</v>
      </c>
      <c r="AU205" s="140" t="e">
        <f t="shared" si="50"/>
        <v>#REF!</v>
      </c>
      <c r="AV205" s="140" t="e">
        <f t="shared" si="50"/>
        <v>#REF!</v>
      </c>
      <c r="AW205" s="140" t="e">
        <f t="shared" si="50"/>
        <v>#REF!</v>
      </c>
      <c r="AX205" s="140" t="e">
        <f t="shared" si="50"/>
        <v>#REF!</v>
      </c>
      <c r="AY205" s="140" t="e">
        <f t="shared" si="50"/>
        <v>#REF!</v>
      </c>
      <c r="AZ205" s="140" t="e">
        <f t="shared" si="50"/>
        <v>#REF!</v>
      </c>
      <c r="BA205" s="140" t="e">
        <f t="shared" si="50"/>
        <v>#REF!</v>
      </c>
      <c r="BB205" s="140" t="e">
        <f t="shared" si="50"/>
        <v>#REF!</v>
      </c>
      <c r="BC205" s="140" t="e">
        <f t="shared" si="50"/>
        <v>#REF!</v>
      </c>
      <c r="BD205" s="140" t="e">
        <f t="shared" si="50"/>
        <v>#REF!</v>
      </c>
      <c r="BE205" s="140" t="e">
        <f t="shared" si="50"/>
        <v>#REF!</v>
      </c>
      <c r="BF205" s="140" t="e">
        <f t="shared" si="50"/>
        <v>#REF!</v>
      </c>
      <c r="BG205" s="140"/>
      <c r="BH205" s="140"/>
      <c r="BI205" s="140"/>
      <c r="BJ205" s="140"/>
      <c r="BK205" s="140"/>
      <c r="BL205" s="140"/>
    </row>
    <row r="206" spans="3:64" hidden="1" x14ac:dyDescent="0.15"/>
    <row r="207" spans="3:64" hidden="1" x14ac:dyDescent="0.15"/>
    <row r="208" spans="3:64" hidden="1" x14ac:dyDescent="0.15">
      <c r="C208" s="155" t="s">
        <v>424</v>
      </c>
    </row>
    <row r="209" spans="3:64" hidden="1" x14ac:dyDescent="0.15">
      <c r="C209" s="311" t="s">
        <v>419</v>
      </c>
      <c r="E209" s="147">
        <f>+SUM(D28:D30)</f>
        <v>0</v>
      </c>
      <c r="F209" s="147">
        <f t="shared" ref="F209:BF209" si="51">+SUM(E43:E48)</f>
        <v>23.229660307724828</v>
      </c>
      <c r="G209" s="147">
        <f t="shared" si="51"/>
        <v>20.148471515046527</v>
      </c>
      <c r="H209" s="147">
        <f t="shared" si="51"/>
        <v>17.309532232774288</v>
      </c>
      <c r="I209" s="147">
        <f t="shared" si="51"/>
        <v>15.34698652038005</v>
      </c>
      <c r="J209" s="147">
        <f t="shared" si="51"/>
        <v>13.463097436643807</v>
      </c>
      <c r="K209" s="147">
        <f t="shared" si="51"/>
        <v>11.660550373469105</v>
      </c>
      <c r="L209" s="147">
        <f t="shared" si="51"/>
        <v>9.940922752706026</v>
      </c>
      <c r="M209" s="147">
        <f t="shared" si="51"/>
        <v>8.2217311680220764</v>
      </c>
      <c r="N209" s="147">
        <f t="shared" si="51"/>
        <v>6.564150939435943</v>
      </c>
      <c r="O209" s="147">
        <f t="shared" si="51"/>
        <v>4.944549795872982</v>
      </c>
      <c r="P209" s="147">
        <f t="shared" si="51"/>
        <v>3.33169074597033</v>
      </c>
      <c r="Q209" s="147">
        <f t="shared" si="51"/>
        <v>3.2124330134850325</v>
      </c>
      <c r="R209" s="147">
        <f t="shared" si="51"/>
        <v>3.1292266769314203</v>
      </c>
      <c r="S209" s="147">
        <f t="shared" si="51"/>
        <v>3.0643448556777453</v>
      </c>
      <c r="T209" s="147">
        <f t="shared" si="51"/>
        <v>3.0145196704126569</v>
      </c>
      <c r="U209" s="147">
        <f t="shared" si="51"/>
        <v>2.9787301216556648</v>
      </c>
      <c r="V209" s="147">
        <f t="shared" si="51"/>
        <v>2.9451892443057841</v>
      </c>
      <c r="W209" s="147">
        <f t="shared" si="51"/>
        <v>0</v>
      </c>
      <c r="X209" s="147">
        <f t="shared" si="51"/>
        <v>0</v>
      </c>
      <c r="Y209" s="147">
        <f t="shared" si="51"/>
        <v>0</v>
      </c>
      <c r="Z209" s="147">
        <f t="shared" si="51"/>
        <v>0</v>
      </c>
      <c r="AA209" s="147">
        <f t="shared" si="51"/>
        <v>0</v>
      </c>
      <c r="AB209" s="147">
        <f t="shared" si="51"/>
        <v>0</v>
      </c>
      <c r="AC209" s="147">
        <f t="shared" si="51"/>
        <v>0</v>
      </c>
      <c r="AD209" s="147">
        <f t="shared" si="51"/>
        <v>0</v>
      </c>
      <c r="AE209" s="147">
        <f t="shared" si="51"/>
        <v>0</v>
      </c>
      <c r="AF209" s="147">
        <f t="shared" si="51"/>
        <v>0</v>
      </c>
      <c r="AG209" s="147">
        <f t="shared" si="51"/>
        <v>0</v>
      </c>
      <c r="AH209" s="147">
        <f t="shared" si="51"/>
        <v>0</v>
      </c>
      <c r="AI209" s="147">
        <f t="shared" si="51"/>
        <v>0</v>
      </c>
      <c r="AJ209" s="147">
        <f t="shared" si="51"/>
        <v>0</v>
      </c>
      <c r="AK209" s="147">
        <f t="shared" si="51"/>
        <v>0</v>
      </c>
      <c r="AL209" s="147">
        <f t="shared" si="51"/>
        <v>0</v>
      </c>
      <c r="AM209" s="147">
        <f t="shared" si="51"/>
        <v>0</v>
      </c>
      <c r="AN209" s="147">
        <f t="shared" si="51"/>
        <v>0</v>
      </c>
      <c r="AO209" s="147">
        <f t="shared" si="51"/>
        <v>0</v>
      </c>
      <c r="AP209" s="147">
        <f t="shared" si="51"/>
        <v>0</v>
      </c>
      <c r="AQ209" s="147">
        <f t="shared" si="51"/>
        <v>0</v>
      </c>
      <c r="AR209" s="147">
        <f t="shared" si="51"/>
        <v>0</v>
      </c>
      <c r="AS209" s="147">
        <f t="shared" si="51"/>
        <v>0</v>
      </c>
      <c r="AT209" s="147">
        <f t="shared" si="51"/>
        <v>0</v>
      </c>
      <c r="AU209" s="147">
        <f t="shared" si="51"/>
        <v>0</v>
      </c>
      <c r="AV209" s="147">
        <f t="shared" si="51"/>
        <v>0</v>
      </c>
      <c r="AW209" s="147">
        <f t="shared" si="51"/>
        <v>0</v>
      </c>
      <c r="AX209" s="147">
        <f t="shared" si="51"/>
        <v>0</v>
      </c>
      <c r="AY209" s="147">
        <f t="shared" si="51"/>
        <v>0</v>
      </c>
      <c r="AZ209" s="147">
        <f t="shared" si="51"/>
        <v>0</v>
      </c>
      <c r="BA209" s="147">
        <f t="shared" si="51"/>
        <v>0</v>
      </c>
      <c r="BB209" s="147">
        <f t="shared" si="51"/>
        <v>0</v>
      </c>
      <c r="BC209" s="147">
        <f t="shared" si="51"/>
        <v>0</v>
      </c>
      <c r="BD209" s="147">
        <f t="shared" si="51"/>
        <v>0</v>
      </c>
      <c r="BE209" s="147">
        <f t="shared" si="51"/>
        <v>0</v>
      </c>
      <c r="BF209" s="147">
        <f t="shared" si="51"/>
        <v>0</v>
      </c>
      <c r="BG209" s="147"/>
      <c r="BH209" s="147"/>
      <c r="BI209" s="147"/>
      <c r="BJ209" s="147"/>
      <c r="BK209" s="147"/>
      <c r="BL209" s="147"/>
    </row>
    <row r="210" spans="3:64" hidden="1" x14ac:dyDescent="0.15">
      <c r="C210" s="311" t="s">
        <v>420</v>
      </c>
      <c r="E210" s="140" t="e">
        <v>#REF!</v>
      </c>
      <c r="F210" s="140" t="e">
        <v>#REF!</v>
      </c>
      <c r="G210" s="140" t="e">
        <v>#REF!</v>
      </c>
      <c r="H210" s="140" t="e">
        <v>#REF!</v>
      </c>
      <c r="I210" s="140" t="e">
        <v>#REF!</v>
      </c>
      <c r="J210" s="140" t="e">
        <v>#REF!</v>
      </c>
      <c r="K210" s="140" t="e">
        <v>#REF!</v>
      </c>
      <c r="L210" s="140" t="e">
        <v>#REF!</v>
      </c>
      <c r="M210" s="140" t="e">
        <v>#REF!</v>
      </c>
      <c r="N210" s="140" t="e">
        <v>#REF!</v>
      </c>
      <c r="O210" s="140" t="e">
        <v>#REF!</v>
      </c>
      <c r="P210" s="140" t="e">
        <v>#REF!</v>
      </c>
      <c r="Q210" s="140" t="e">
        <v>#REF!</v>
      </c>
      <c r="R210" s="140" t="e">
        <v>#REF!</v>
      </c>
      <c r="S210" s="140" t="e">
        <v>#REF!</v>
      </c>
      <c r="T210" s="140" t="e">
        <v>#REF!</v>
      </c>
      <c r="U210" s="140" t="e">
        <v>#REF!</v>
      </c>
      <c r="V210" s="140" t="e">
        <v>#REF!</v>
      </c>
      <c r="W210" s="140" t="e">
        <v>#REF!</v>
      </c>
      <c r="X210" s="140" t="e">
        <v>#REF!</v>
      </c>
      <c r="Y210" s="140" t="e">
        <v>#REF!</v>
      </c>
      <c r="Z210" s="140" t="e">
        <v>#REF!</v>
      </c>
      <c r="AA210" s="140" t="e">
        <v>#REF!</v>
      </c>
      <c r="AB210" s="140" t="e">
        <v>#REF!</v>
      </c>
      <c r="AC210" s="140" t="e">
        <v>#REF!</v>
      </c>
      <c r="AD210" s="140" t="e">
        <v>#REF!</v>
      </c>
      <c r="AE210" s="140" t="e">
        <v>#REF!</v>
      </c>
      <c r="AF210" s="140" t="e">
        <v>#REF!</v>
      </c>
      <c r="AG210" s="140" t="e">
        <v>#REF!</v>
      </c>
      <c r="AH210" s="140" t="e">
        <v>#REF!</v>
      </c>
      <c r="AI210" s="140" t="e">
        <v>#REF!</v>
      </c>
      <c r="AJ210" s="140" t="e">
        <v>#REF!</v>
      </c>
      <c r="AK210" s="140" t="e">
        <v>#REF!</v>
      </c>
      <c r="AL210" s="140" t="e">
        <v>#REF!</v>
      </c>
      <c r="AM210" s="140" t="e">
        <v>#REF!</v>
      </c>
      <c r="AN210" s="140" t="e">
        <v>#REF!</v>
      </c>
      <c r="AO210" s="140" t="e">
        <v>#REF!</v>
      </c>
      <c r="AP210" s="140" t="e">
        <v>#REF!</v>
      </c>
      <c r="AQ210" s="140" t="e">
        <v>#REF!</v>
      </c>
      <c r="AR210" s="140" t="e">
        <v>#REF!</v>
      </c>
      <c r="AS210" s="140" t="e">
        <v>#REF!</v>
      </c>
      <c r="AT210" s="140" t="e">
        <v>#REF!</v>
      </c>
      <c r="AU210" s="140" t="e">
        <v>#REF!</v>
      </c>
      <c r="AV210" s="140" t="e">
        <v>#REF!</v>
      </c>
      <c r="AW210" s="140" t="e">
        <v>#REF!</v>
      </c>
      <c r="AX210" s="140" t="e">
        <v>#REF!</v>
      </c>
      <c r="AY210" s="140" t="e">
        <v>#REF!</v>
      </c>
      <c r="AZ210" s="140" t="e">
        <v>#REF!</v>
      </c>
      <c r="BA210" s="140" t="e">
        <v>#REF!</v>
      </c>
      <c r="BB210" s="140" t="e">
        <v>#REF!</v>
      </c>
      <c r="BC210" s="140" t="e">
        <v>#REF!</v>
      </c>
      <c r="BD210" s="140" t="e">
        <v>#REF!</v>
      </c>
      <c r="BE210" s="140" t="e">
        <v>#REF!</v>
      </c>
      <c r="BF210" s="140" t="e">
        <v>#REF!</v>
      </c>
      <c r="BG210" s="140"/>
      <c r="BH210" s="140"/>
      <c r="BI210" s="140"/>
      <c r="BJ210" s="140"/>
      <c r="BK210" s="140"/>
      <c r="BL210" s="140"/>
    </row>
    <row r="211" spans="3:64" hidden="1" x14ac:dyDescent="0.15">
      <c r="C211" s="311" t="s">
        <v>421</v>
      </c>
      <c r="E211" s="140" t="e">
        <v>#REF!</v>
      </c>
      <c r="F211" s="140" t="e">
        <v>#REF!</v>
      </c>
      <c r="G211" s="140" t="e">
        <v>#REF!</v>
      </c>
      <c r="H211" s="140" t="e">
        <v>#REF!</v>
      </c>
      <c r="I211" s="140" t="e">
        <v>#REF!</v>
      </c>
      <c r="J211" s="140" t="e">
        <v>#REF!</v>
      </c>
      <c r="K211" s="140" t="e">
        <v>#REF!</v>
      </c>
      <c r="L211" s="140" t="e">
        <v>#REF!</v>
      </c>
      <c r="M211" s="140" t="e">
        <v>#REF!</v>
      </c>
      <c r="N211" s="140" t="e">
        <v>#REF!</v>
      </c>
      <c r="O211" s="140" t="e">
        <v>#REF!</v>
      </c>
      <c r="P211" s="140" t="e">
        <v>#REF!</v>
      </c>
      <c r="Q211" s="140" t="e">
        <v>#REF!</v>
      </c>
      <c r="R211" s="140" t="e">
        <v>#REF!</v>
      </c>
      <c r="S211" s="140" t="e">
        <v>#REF!</v>
      </c>
      <c r="T211" s="140" t="e">
        <v>#REF!</v>
      </c>
      <c r="U211" s="140" t="e">
        <v>#REF!</v>
      </c>
      <c r="V211" s="140" t="e">
        <v>#REF!</v>
      </c>
      <c r="W211" s="140" t="e">
        <v>#REF!</v>
      </c>
      <c r="X211" s="140" t="e">
        <v>#REF!</v>
      </c>
      <c r="Y211" s="140" t="e">
        <v>#REF!</v>
      </c>
      <c r="Z211" s="140" t="e">
        <v>#REF!</v>
      </c>
      <c r="AA211" s="140" t="e">
        <v>#REF!</v>
      </c>
      <c r="AB211" s="140" t="e">
        <v>#REF!</v>
      </c>
      <c r="AC211" s="140" t="e">
        <v>#REF!</v>
      </c>
      <c r="AD211" s="140" t="e">
        <v>#REF!</v>
      </c>
      <c r="AE211" s="140" t="e">
        <v>#REF!</v>
      </c>
      <c r="AF211" s="140" t="e">
        <v>#REF!</v>
      </c>
      <c r="AG211" s="140" t="e">
        <v>#REF!</v>
      </c>
      <c r="AH211" s="140" t="e">
        <v>#REF!</v>
      </c>
      <c r="AI211" s="140" t="e">
        <v>#REF!</v>
      </c>
      <c r="AJ211" s="140" t="e">
        <v>#REF!</v>
      </c>
      <c r="AK211" s="140" t="e">
        <v>#REF!</v>
      </c>
      <c r="AL211" s="140" t="e">
        <v>#REF!</v>
      </c>
      <c r="AM211" s="140" t="e">
        <v>#REF!</v>
      </c>
      <c r="AN211" s="140" t="e">
        <v>#REF!</v>
      </c>
      <c r="AO211" s="140" t="e">
        <v>#REF!</v>
      </c>
      <c r="AP211" s="140" t="e">
        <v>#REF!</v>
      </c>
      <c r="AQ211" s="140" t="e">
        <v>#REF!</v>
      </c>
      <c r="AR211" s="140" t="e">
        <v>#REF!</v>
      </c>
      <c r="AS211" s="140" t="e">
        <v>#REF!</v>
      </c>
      <c r="AT211" s="140" t="e">
        <v>#REF!</v>
      </c>
      <c r="AU211" s="140" t="e">
        <v>#REF!</v>
      </c>
      <c r="AV211" s="140" t="e">
        <v>#REF!</v>
      </c>
      <c r="AW211" s="140" t="e">
        <v>#REF!</v>
      </c>
      <c r="AX211" s="140" t="e">
        <v>#REF!</v>
      </c>
      <c r="AY211" s="140" t="e">
        <v>#REF!</v>
      </c>
      <c r="AZ211" s="140" t="e">
        <v>#REF!</v>
      </c>
      <c r="BA211" s="140" t="e">
        <v>#REF!</v>
      </c>
      <c r="BB211" s="140" t="e">
        <v>#REF!</v>
      </c>
      <c r="BC211" s="140" t="e">
        <v>#REF!</v>
      </c>
      <c r="BD211" s="140" t="e">
        <v>#REF!</v>
      </c>
      <c r="BE211" s="140" t="e">
        <v>#REF!</v>
      </c>
      <c r="BF211" s="140" t="e">
        <v>#REF!</v>
      </c>
      <c r="BG211" s="140"/>
      <c r="BH211" s="140"/>
      <c r="BI211" s="140"/>
      <c r="BJ211" s="140"/>
      <c r="BK211" s="140"/>
      <c r="BL211" s="140"/>
    </row>
    <row r="212" spans="3:64" hidden="1" x14ac:dyDescent="0.15">
      <c r="C212" s="311" t="s">
        <v>422</v>
      </c>
      <c r="E212" s="140" t="e">
        <v>#REF!</v>
      </c>
      <c r="F212" s="140" t="e">
        <v>#REF!</v>
      </c>
      <c r="G212" s="140" t="e">
        <v>#REF!</v>
      </c>
      <c r="H212" s="140" t="e">
        <v>#REF!</v>
      </c>
      <c r="I212" s="140" t="e">
        <v>#REF!</v>
      </c>
      <c r="J212" s="140" t="e">
        <v>#REF!</v>
      </c>
      <c r="K212" s="140" t="e">
        <v>#REF!</v>
      </c>
      <c r="L212" s="140" t="e">
        <v>#REF!</v>
      </c>
      <c r="M212" s="140" t="e">
        <v>#REF!</v>
      </c>
      <c r="N212" s="140" t="e">
        <v>#REF!</v>
      </c>
      <c r="O212" s="140" t="e">
        <v>#REF!</v>
      </c>
      <c r="P212" s="140" t="e">
        <v>#REF!</v>
      </c>
      <c r="Q212" s="140" t="e">
        <v>#REF!</v>
      </c>
      <c r="R212" s="140" t="e">
        <v>#REF!</v>
      </c>
      <c r="S212" s="140" t="e">
        <v>#REF!</v>
      </c>
      <c r="T212" s="140" t="e">
        <v>#REF!</v>
      </c>
      <c r="U212" s="140" t="e">
        <v>#REF!</v>
      </c>
      <c r="V212" s="140" t="e">
        <v>#REF!</v>
      </c>
      <c r="W212" s="140" t="e">
        <v>#REF!</v>
      </c>
      <c r="X212" s="140" t="e">
        <v>#REF!</v>
      </c>
      <c r="Y212" s="140" t="e">
        <v>#REF!</v>
      </c>
      <c r="Z212" s="140" t="e">
        <v>#REF!</v>
      </c>
      <c r="AA212" s="140" t="e">
        <v>#REF!</v>
      </c>
      <c r="AB212" s="140" t="e">
        <v>#REF!</v>
      </c>
      <c r="AC212" s="140" t="e">
        <v>#REF!</v>
      </c>
      <c r="AD212" s="140" t="e">
        <v>#REF!</v>
      </c>
      <c r="AE212" s="140" t="e">
        <v>#REF!</v>
      </c>
      <c r="AF212" s="140" t="e">
        <v>#REF!</v>
      </c>
      <c r="AG212" s="140" t="e">
        <v>#REF!</v>
      </c>
      <c r="AH212" s="140" t="e">
        <v>#REF!</v>
      </c>
      <c r="AI212" s="140" t="e">
        <v>#REF!</v>
      </c>
      <c r="AJ212" s="140" t="e">
        <v>#REF!</v>
      </c>
      <c r="AK212" s="140" t="e">
        <v>#REF!</v>
      </c>
      <c r="AL212" s="140" t="e">
        <v>#REF!</v>
      </c>
      <c r="AM212" s="140" t="e">
        <v>#REF!</v>
      </c>
      <c r="AN212" s="140" t="e">
        <v>#REF!</v>
      </c>
      <c r="AO212" s="140" t="e">
        <v>#REF!</v>
      </c>
      <c r="AP212" s="140" t="e">
        <v>#REF!</v>
      </c>
      <c r="AQ212" s="140" t="e">
        <v>#REF!</v>
      </c>
      <c r="AR212" s="140" t="e">
        <v>#REF!</v>
      </c>
      <c r="AS212" s="140" t="e">
        <v>#REF!</v>
      </c>
      <c r="AT212" s="140" t="e">
        <v>#REF!</v>
      </c>
      <c r="AU212" s="140" t="e">
        <v>#REF!</v>
      </c>
      <c r="AV212" s="140" t="e">
        <v>#REF!</v>
      </c>
      <c r="AW212" s="140" t="e">
        <v>#REF!</v>
      </c>
      <c r="AX212" s="140" t="e">
        <v>#REF!</v>
      </c>
      <c r="AY212" s="140" t="e">
        <v>#REF!</v>
      </c>
      <c r="AZ212" s="140" t="e">
        <v>#REF!</v>
      </c>
      <c r="BA212" s="140" t="e">
        <v>#REF!</v>
      </c>
      <c r="BB212" s="140" t="e">
        <v>#REF!</v>
      </c>
      <c r="BC212" s="140" t="e">
        <v>#REF!</v>
      </c>
      <c r="BD212" s="140" t="e">
        <v>#REF!</v>
      </c>
      <c r="BE212" s="140" t="e">
        <v>#REF!</v>
      </c>
      <c r="BF212" s="140" t="e">
        <v>#REF!</v>
      </c>
      <c r="BG212" s="140"/>
      <c r="BH212" s="140"/>
      <c r="BI212" s="140"/>
      <c r="BJ212" s="140"/>
      <c r="BK212" s="140"/>
      <c r="BL212" s="140"/>
    </row>
    <row r="213" spans="3:64" hidden="1" x14ac:dyDescent="0.15">
      <c r="C213" s="311" t="s">
        <v>423</v>
      </c>
      <c r="E213" s="140" t="e">
        <f t="shared" ref="E213:BF213" si="52">SUM(E209:E212)</f>
        <v>#REF!</v>
      </c>
      <c r="F213" s="140" t="e">
        <f t="shared" si="52"/>
        <v>#REF!</v>
      </c>
      <c r="G213" s="140" t="e">
        <f t="shared" si="52"/>
        <v>#REF!</v>
      </c>
      <c r="H213" s="140" t="e">
        <f t="shared" si="52"/>
        <v>#REF!</v>
      </c>
      <c r="I213" s="140" t="e">
        <f t="shared" si="52"/>
        <v>#REF!</v>
      </c>
      <c r="J213" s="140" t="e">
        <f t="shared" si="52"/>
        <v>#REF!</v>
      </c>
      <c r="K213" s="140" t="e">
        <f t="shared" si="52"/>
        <v>#REF!</v>
      </c>
      <c r="L213" s="140" t="e">
        <f t="shared" si="52"/>
        <v>#REF!</v>
      </c>
      <c r="M213" s="140" t="e">
        <f t="shared" si="52"/>
        <v>#REF!</v>
      </c>
      <c r="N213" s="140" t="e">
        <f t="shared" si="52"/>
        <v>#REF!</v>
      </c>
      <c r="O213" s="140" t="e">
        <f t="shared" si="52"/>
        <v>#REF!</v>
      </c>
      <c r="P213" s="140" t="e">
        <f t="shared" si="52"/>
        <v>#REF!</v>
      </c>
      <c r="Q213" s="140" t="e">
        <f t="shared" si="52"/>
        <v>#REF!</v>
      </c>
      <c r="R213" s="140" t="e">
        <f t="shared" si="52"/>
        <v>#REF!</v>
      </c>
      <c r="S213" s="140" t="e">
        <f t="shared" si="52"/>
        <v>#REF!</v>
      </c>
      <c r="T213" s="140" t="e">
        <f t="shared" si="52"/>
        <v>#REF!</v>
      </c>
      <c r="U213" s="140" t="e">
        <f t="shared" si="52"/>
        <v>#REF!</v>
      </c>
      <c r="V213" s="140" t="e">
        <f t="shared" si="52"/>
        <v>#REF!</v>
      </c>
      <c r="W213" s="140" t="e">
        <f t="shared" si="52"/>
        <v>#REF!</v>
      </c>
      <c r="X213" s="140" t="e">
        <f t="shared" si="52"/>
        <v>#REF!</v>
      </c>
      <c r="Y213" s="140" t="e">
        <f t="shared" si="52"/>
        <v>#REF!</v>
      </c>
      <c r="Z213" s="140" t="e">
        <f t="shared" si="52"/>
        <v>#REF!</v>
      </c>
      <c r="AA213" s="140" t="e">
        <f t="shared" si="52"/>
        <v>#REF!</v>
      </c>
      <c r="AB213" s="140" t="e">
        <f t="shared" si="52"/>
        <v>#REF!</v>
      </c>
      <c r="AC213" s="140" t="e">
        <f t="shared" si="52"/>
        <v>#REF!</v>
      </c>
      <c r="AD213" s="140" t="e">
        <f t="shared" si="52"/>
        <v>#REF!</v>
      </c>
      <c r="AE213" s="140" t="e">
        <f t="shared" si="52"/>
        <v>#REF!</v>
      </c>
      <c r="AF213" s="140" t="e">
        <f t="shared" si="52"/>
        <v>#REF!</v>
      </c>
      <c r="AG213" s="140" t="e">
        <f t="shared" si="52"/>
        <v>#REF!</v>
      </c>
      <c r="AH213" s="140" t="e">
        <f t="shared" si="52"/>
        <v>#REF!</v>
      </c>
      <c r="AI213" s="140" t="e">
        <f t="shared" si="52"/>
        <v>#REF!</v>
      </c>
      <c r="AJ213" s="140" t="e">
        <f t="shared" si="52"/>
        <v>#REF!</v>
      </c>
      <c r="AK213" s="140" t="e">
        <f t="shared" si="52"/>
        <v>#REF!</v>
      </c>
      <c r="AL213" s="140" t="e">
        <f t="shared" si="52"/>
        <v>#REF!</v>
      </c>
      <c r="AM213" s="140" t="e">
        <f t="shared" si="52"/>
        <v>#REF!</v>
      </c>
      <c r="AN213" s="140" t="e">
        <f t="shared" si="52"/>
        <v>#REF!</v>
      </c>
      <c r="AO213" s="140" t="e">
        <f t="shared" si="52"/>
        <v>#REF!</v>
      </c>
      <c r="AP213" s="140" t="e">
        <f t="shared" si="52"/>
        <v>#REF!</v>
      </c>
      <c r="AQ213" s="140" t="e">
        <f t="shared" si="52"/>
        <v>#REF!</v>
      </c>
      <c r="AR213" s="140" t="e">
        <f t="shared" si="52"/>
        <v>#REF!</v>
      </c>
      <c r="AS213" s="140" t="e">
        <f t="shared" si="52"/>
        <v>#REF!</v>
      </c>
      <c r="AT213" s="140" t="e">
        <f t="shared" si="52"/>
        <v>#REF!</v>
      </c>
      <c r="AU213" s="140" t="e">
        <f t="shared" si="52"/>
        <v>#REF!</v>
      </c>
      <c r="AV213" s="140" t="e">
        <f t="shared" si="52"/>
        <v>#REF!</v>
      </c>
      <c r="AW213" s="140" t="e">
        <f t="shared" si="52"/>
        <v>#REF!</v>
      </c>
      <c r="AX213" s="140" t="e">
        <f t="shared" si="52"/>
        <v>#REF!</v>
      </c>
      <c r="AY213" s="140" t="e">
        <f t="shared" si="52"/>
        <v>#REF!</v>
      </c>
      <c r="AZ213" s="140" t="e">
        <f t="shared" si="52"/>
        <v>#REF!</v>
      </c>
      <c r="BA213" s="140" t="e">
        <f t="shared" si="52"/>
        <v>#REF!</v>
      </c>
      <c r="BB213" s="140" t="e">
        <f t="shared" si="52"/>
        <v>#REF!</v>
      </c>
      <c r="BC213" s="140" t="e">
        <f t="shared" si="52"/>
        <v>#REF!</v>
      </c>
      <c r="BD213" s="140" t="e">
        <f t="shared" si="52"/>
        <v>#REF!</v>
      </c>
      <c r="BE213" s="140" t="e">
        <f t="shared" si="52"/>
        <v>#REF!</v>
      </c>
      <c r="BF213" s="140" t="e">
        <f t="shared" si="52"/>
        <v>#REF!</v>
      </c>
      <c r="BG213" s="140"/>
      <c r="BH213" s="140"/>
      <c r="BI213" s="140"/>
      <c r="BJ213" s="140"/>
      <c r="BK213" s="140"/>
      <c r="BL213" s="140"/>
    </row>
    <row r="214" spans="3:64" hidden="1" x14ac:dyDescent="0.15">
      <c r="C214" s="311" t="s">
        <v>425</v>
      </c>
      <c r="E214" s="147" t="e">
        <f>E213+E205-#REF!</f>
        <v>#REF!</v>
      </c>
      <c r="F214" s="147" t="e">
        <f>F213+F205-#REF!</f>
        <v>#REF!</v>
      </c>
      <c r="G214" s="147" t="e">
        <f>G213+G205-#REF!</f>
        <v>#REF!</v>
      </c>
      <c r="H214" s="147" t="e">
        <f>H213+H205-#REF!</f>
        <v>#REF!</v>
      </c>
      <c r="I214" s="147" t="e">
        <f>I213+I205-#REF!</f>
        <v>#REF!</v>
      </c>
      <c r="J214" s="147" t="e">
        <f>J213+J205-#REF!</f>
        <v>#REF!</v>
      </c>
      <c r="K214" s="147" t="e">
        <f>K213+K205-#REF!</f>
        <v>#REF!</v>
      </c>
      <c r="L214" s="147" t="e">
        <f>L213+L205-#REF!</f>
        <v>#REF!</v>
      </c>
      <c r="M214" s="147" t="e">
        <f>M213+M205-#REF!</f>
        <v>#REF!</v>
      </c>
      <c r="N214" s="147" t="e">
        <f>N213+N205-#REF!</f>
        <v>#REF!</v>
      </c>
      <c r="O214" s="147" t="e">
        <f>O213+O205-#REF!</f>
        <v>#REF!</v>
      </c>
      <c r="P214" s="147" t="e">
        <f>P213+P205-#REF!</f>
        <v>#REF!</v>
      </c>
      <c r="Q214" s="147" t="e">
        <f>Q213+Q205-#REF!</f>
        <v>#REF!</v>
      </c>
      <c r="R214" s="147" t="e">
        <f>R213+R205-#REF!</f>
        <v>#REF!</v>
      </c>
      <c r="S214" s="147" t="e">
        <f>S213+S205-#REF!</f>
        <v>#REF!</v>
      </c>
      <c r="T214" s="147" t="e">
        <f>T213+T205-#REF!</f>
        <v>#REF!</v>
      </c>
      <c r="U214" s="147" t="e">
        <f>U213+U205-#REF!</f>
        <v>#REF!</v>
      </c>
      <c r="V214" s="147" t="e">
        <f>V213+V205-#REF!</f>
        <v>#REF!</v>
      </c>
      <c r="W214" s="147" t="e">
        <f>W213+W205-#REF!</f>
        <v>#REF!</v>
      </c>
      <c r="X214" s="147" t="e">
        <f>X213+X205-#REF!</f>
        <v>#REF!</v>
      </c>
      <c r="Y214" s="147" t="e">
        <f>Y213+Y205-#REF!</f>
        <v>#REF!</v>
      </c>
      <c r="Z214" s="147" t="e">
        <f>Z213+Z205-#REF!</f>
        <v>#REF!</v>
      </c>
      <c r="AA214" s="147" t="e">
        <f>AA213+AA205-#REF!</f>
        <v>#REF!</v>
      </c>
      <c r="AB214" s="147" t="e">
        <f>AB213+AB205-#REF!</f>
        <v>#REF!</v>
      </c>
      <c r="AC214" s="147" t="e">
        <f>AC213+AC205-#REF!</f>
        <v>#REF!</v>
      </c>
      <c r="AD214" s="147" t="e">
        <f>AD213+AD205-#REF!</f>
        <v>#REF!</v>
      </c>
      <c r="AE214" s="147" t="e">
        <f>AE213+AE205-#REF!</f>
        <v>#REF!</v>
      </c>
      <c r="AF214" s="147" t="e">
        <f>AF213+AF205-#REF!</f>
        <v>#REF!</v>
      </c>
      <c r="AG214" s="147" t="e">
        <f>AG213+AG205-#REF!</f>
        <v>#REF!</v>
      </c>
      <c r="AH214" s="147" t="e">
        <f>AH213+AH205-#REF!</f>
        <v>#REF!</v>
      </c>
      <c r="AI214" s="147" t="e">
        <f>AI213+AI205-#REF!</f>
        <v>#REF!</v>
      </c>
      <c r="AJ214" s="147" t="e">
        <f>AJ213+AJ205-#REF!</f>
        <v>#REF!</v>
      </c>
      <c r="AK214" s="147" t="e">
        <f>AK213+AK205-#REF!</f>
        <v>#REF!</v>
      </c>
      <c r="AL214" s="147" t="e">
        <f>AL213+AL205-#REF!</f>
        <v>#REF!</v>
      </c>
      <c r="AM214" s="147" t="e">
        <f>AM213+AM205-#REF!</f>
        <v>#REF!</v>
      </c>
      <c r="AN214" s="147" t="e">
        <f>AN213+AN205-#REF!</f>
        <v>#REF!</v>
      </c>
      <c r="AO214" s="147" t="e">
        <f>AO213+AO205-#REF!</f>
        <v>#REF!</v>
      </c>
      <c r="AP214" s="147" t="e">
        <f>AP213+AP205-#REF!</f>
        <v>#REF!</v>
      </c>
      <c r="AQ214" s="147" t="e">
        <f>AQ213+AQ205-#REF!</f>
        <v>#REF!</v>
      </c>
      <c r="AR214" s="147" t="e">
        <f>AR213+AR205-#REF!</f>
        <v>#REF!</v>
      </c>
      <c r="AS214" s="147" t="e">
        <f>AS213+AS205-#REF!</f>
        <v>#REF!</v>
      </c>
      <c r="AT214" s="147" t="e">
        <f>AT213+AT205-#REF!</f>
        <v>#REF!</v>
      </c>
      <c r="AU214" s="147" t="e">
        <f>AU213+AU205-#REF!</f>
        <v>#REF!</v>
      </c>
      <c r="AV214" s="147" t="e">
        <f>AV213+AV205-#REF!</f>
        <v>#REF!</v>
      </c>
      <c r="AW214" s="147" t="e">
        <f>AW213+AW205-#REF!</f>
        <v>#REF!</v>
      </c>
      <c r="AX214" s="147" t="e">
        <f>AX213+AX205-#REF!</f>
        <v>#REF!</v>
      </c>
      <c r="AY214" s="147" t="e">
        <f>AY213+AY205-#REF!</f>
        <v>#REF!</v>
      </c>
      <c r="AZ214" s="147" t="e">
        <f>AZ213+AZ205-#REF!</f>
        <v>#REF!</v>
      </c>
      <c r="BA214" s="147" t="e">
        <f>BA213+BA205-#REF!</f>
        <v>#REF!</v>
      </c>
      <c r="BB214" s="147" t="e">
        <f>BB213+BB205-#REF!</f>
        <v>#REF!</v>
      </c>
      <c r="BC214" s="147" t="e">
        <f>BC213+BC205-#REF!</f>
        <v>#REF!</v>
      </c>
      <c r="BD214" s="147" t="e">
        <f>BD213+BD205-#REF!</f>
        <v>#REF!</v>
      </c>
      <c r="BE214" s="147" t="e">
        <f>BE213+BE205-#REF!</f>
        <v>#REF!</v>
      </c>
      <c r="BF214" s="147" t="e">
        <f>BF213+BF205-#REF!</f>
        <v>#REF!</v>
      </c>
      <c r="BG214" s="147"/>
      <c r="BH214" s="147"/>
      <c r="BI214" s="147"/>
      <c r="BJ214" s="147"/>
      <c r="BK214" s="147"/>
      <c r="BL214" s="147"/>
    </row>
    <row r="215" spans="3:64" hidden="1" x14ac:dyDescent="0.15"/>
    <row r="216" spans="3:64" hidden="1" x14ac:dyDescent="0.15">
      <c r="C216" s="155" t="s">
        <v>418</v>
      </c>
    </row>
    <row r="217" spans="3:64" hidden="1" x14ac:dyDescent="0.15">
      <c r="C217" s="311" t="s">
        <v>426</v>
      </c>
      <c r="D217" s="140"/>
      <c r="E217" s="140">
        <f t="shared" ref="E217:BF217" si="53">D218</f>
        <v>0</v>
      </c>
      <c r="F217" s="140">
        <f t="shared" si="53"/>
        <v>0</v>
      </c>
      <c r="G217" s="140">
        <f t="shared" si="53"/>
        <v>0</v>
      </c>
      <c r="H217" s="140">
        <f t="shared" si="53"/>
        <v>0</v>
      </c>
      <c r="I217" s="140">
        <f t="shared" si="53"/>
        <v>0</v>
      </c>
      <c r="J217" s="140">
        <f t="shared" si="53"/>
        <v>0</v>
      </c>
      <c r="K217" s="140">
        <f t="shared" si="53"/>
        <v>0</v>
      </c>
      <c r="L217" s="140">
        <f t="shared" si="53"/>
        <v>0</v>
      </c>
      <c r="M217" s="140">
        <f t="shared" si="53"/>
        <v>0</v>
      </c>
      <c r="N217" s="140">
        <f t="shared" si="53"/>
        <v>0</v>
      </c>
      <c r="O217" s="140">
        <f t="shared" si="53"/>
        <v>0</v>
      </c>
      <c r="P217" s="140">
        <f t="shared" si="53"/>
        <v>0</v>
      </c>
      <c r="Q217" s="140">
        <f t="shared" si="53"/>
        <v>0</v>
      </c>
      <c r="R217" s="140">
        <f t="shared" si="53"/>
        <v>0</v>
      </c>
      <c r="S217" s="140">
        <f t="shared" si="53"/>
        <v>0</v>
      </c>
      <c r="T217" s="140">
        <f t="shared" si="53"/>
        <v>0</v>
      </c>
      <c r="U217" s="140">
        <f t="shared" si="53"/>
        <v>0</v>
      </c>
      <c r="V217" s="140">
        <f t="shared" si="53"/>
        <v>0</v>
      </c>
      <c r="W217" s="140">
        <f t="shared" si="53"/>
        <v>0</v>
      </c>
      <c r="X217" s="140">
        <f t="shared" si="53"/>
        <v>0</v>
      </c>
      <c r="Y217" s="140">
        <f t="shared" si="53"/>
        <v>0</v>
      </c>
      <c r="Z217" s="140">
        <f t="shared" si="53"/>
        <v>0</v>
      </c>
      <c r="AA217" s="140">
        <f t="shared" si="53"/>
        <v>0</v>
      </c>
      <c r="AB217" s="140">
        <f t="shared" si="53"/>
        <v>0</v>
      </c>
      <c r="AC217" s="140">
        <f t="shared" si="53"/>
        <v>0</v>
      </c>
      <c r="AD217" s="140">
        <f t="shared" si="53"/>
        <v>0</v>
      </c>
      <c r="AE217" s="140">
        <f t="shared" si="53"/>
        <v>0</v>
      </c>
      <c r="AF217" s="140">
        <f t="shared" si="53"/>
        <v>0</v>
      </c>
      <c r="AG217" s="140">
        <f t="shared" si="53"/>
        <v>0</v>
      </c>
      <c r="AH217" s="140">
        <f t="shared" si="53"/>
        <v>0</v>
      </c>
      <c r="AI217" s="140">
        <f t="shared" si="53"/>
        <v>0</v>
      </c>
      <c r="AJ217" s="140">
        <f t="shared" si="53"/>
        <v>0</v>
      </c>
      <c r="AK217" s="140">
        <f t="shared" si="53"/>
        <v>0</v>
      </c>
      <c r="AL217" s="140">
        <f t="shared" si="53"/>
        <v>0</v>
      </c>
      <c r="AM217" s="140">
        <f t="shared" si="53"/>
        <v>0</v>
      </c>
      <c r="AN217" s="140">
        <f t="shared" si="53"/>
        <v>0</v>
      </c>
      <c r="AO217" s="140">
        <f t="shared" si="53"/>
        <v>0</v>
      </c>
      <c r="AP217" s="140">
        <f t="shared" si="53"/>
        <v>0</v>
      </c>
      <c r="AQ217" s="140">
        <f t="shared" si="53"/>
        <v>0</v>
      </c>
      <c r="AR217" s="140">
        <f t="shared" si="53"/>
        <v>0</v>
      </c>
      <c r="AS217" s="140">
        <f t="shared" si="53"/>
        <v>0</v>
      </c>
      <c r="AT217" s="140">
        <f t="shared" si="53"/>
        <v>0</v>
      </c>
      <c r="AU217" s="140">
        <f t="shared" si="53"/>
        <v>0</v>
      </c>
      <c r="AV217" s="140">
        <f t="shared" si="53"/>
        <v>0</v>
      </c>
      <c r="AW217" s="140">
        <f t="shared" si="53"/>
        <v>0</v>
      </c>
      <c r="AX217" s="140">
        <f t="shared" si="53"/>
        <v>0</v>
      </c>
      <c r="AY217" s="140">
        <f t="shared" si="53"/>
        <v>0</v>
      </c>
      <c r="AZ217" s="140">
        <f t="shared" si="53"/>
        <v>0</v>
      </c>
      <c r="BA217" s="140">
        <f t="shared" si="53"/>
        <v>0</v>
      </c>
      <c r="BB217" s="140">
        <f t="shared" si="53"/>
        <v>0</v>
      </c>
      <c r="BC217" s="140">
        <f t="shared" si="53"/>
        <v>0</v>
      </c>
      <c r="BD217" s="140">
        <f t="shared" si="53"/>
        <v>0</v>
      </c>
      <c r="BE217" s="140">
        <f t="shared" si="53"/>
        <v>0</v>
      </c>
      <c r="BF217" s="140">
        <f t="shared" si="53"/>
        <v>0</v>
      </c>
      <c r="BG217" s="140"/>
      <c r="BH217" s="140"/>
      <c r="BI217" s="140"/>
      <c r="BJ217" s="140"/>
      <c r="BK217" s="140"/>
      <c r="BL217" s="140"/>
    </row>
    <row r="218" spans="3:64" hidden="1" x14ac:dyDescent="0.15">
      <c r="C218" s="311" t="s">
        <v>427</v>
      </c>
      <c r="D218" s="140"/>
      <c r="E218" s="140">
        <f>IFERROR(#REF!*E205/SUM(E205,E213),0)</f>
        <v>0</v>
      </c>
      <c r="F218" s="140">
        <f>IFERROR(#REF!*F205/SUM(F205,F213),0)</f>
        <v>0</v>
      </c>
      <c r="G218" s="140">
        <f>IFERROR(#REF!*G205/SUM(G205,G213),0)</f>
        <v>0</v>
      </c>
      <c r="H218" s="140">
        <f>IFERROR(#REF!*H205/SUM(H205,H213),0)</f>
        <v>0</v>
      </c>
      <c r="I218" s="140">
        <f>IFERROR(#REF!*I205/SUM(I205,I213),0)</f>
        <v>0</v>
      </c>
      <c r="J218" s="140">
        <f>IFERROR(#REF!*J205/SUM(J205,J213),0)</f>
        <v>0</v>
      </c>
      <c r="K218" s="140">
        <f>IFERROR(#REF!*K205/SUM(K205,K213),0)</f>
        <v>0</v>
      </c>
      <c r="L218" s="140">
        <f>IFERROR(#REF!*L205/SUM(L205,L213),0)</f>
        <v>0</v>
      </c>
      <c r="M218" s="140">
        <f>IFERROR(#REF!*M205/SUM(M205,M213),0)</f>
        <v>0</v>
      </c>
      <c r="N218" s="140">
        <f>IFERROR(#REF!*N205/SUM(N205,N213),0)</f>
        <v>0</v>
      </c>
      <c r="O218" s="140">
        <f>IFERROR(#REF!*O205/SUM(O205,O213),0)</f>
        <v>0</v>
      </c>
      <c r="P218" s="140">
        <f>IFERROR(#REF!*P205/SUM(P205,P213),0)</f>
        <v>0</v>
      </c>
      <c r="Q218" s="140">
        <f>IFERROR(#REF!*Q205/SUM(Q205,Q213),0)</f>
        <v>0</v>
      </c>
      <c r="R218" s="140">
        <f>IFERROR(#REF!*R205/SUM(R205,R213),0)</f>
        <v>0</v>
      </c>
      <c r="S218" s="140">
        <f>IFERROR(#REF!*S205/SUM(S205,S213),0)</f>
        <v>0</v>
      </c>
      <c r="T218" s="140">
        <f>IFERROR(#REF!*T205/SUM(T205,T213),0)</f>
        <v>0</v>
      </c>
      <c r="U218" s="140">
        <f>IFERROR(#REF!*U205/SUM(U205,U213),0)</f>
        <v>0</v>
      </c>
      <c r="V218" s="140">
        <f>IFERROR(#REF!*V205/SUM(V205,V213),0)</f>
        <v>0</v>
      </c>
      <c r="W218" s="140">
        <f>IFERROR(#REF!*W205/SUM(W205,W213),0)</f>
        <v>0</v>
      </c>
      <c r="X218" s="140">
        <f>IFERROR(#REF!*X205/SUM(X205,X213),0)</f>
        <v>0</v>
      </c>
      <c r="Y218" s="140">
        <f>IFERROR(#REF!*Y205/SUM(Y205,Y213),0)</f>
        <v>0</v>
      </c>
      <c r="Z218" s="140">
        <f>IFERROR(#REF!*Z205/SUM(Z205,Z213),0)</f>
        <v>0</v>
      </c>
      <c r="AA218" s="140">
        <f>IFERROR(#REF!*AA205/SUM(AA205,AA213),0)</f>
        <v>0</v>
      </c>
      <c r="AB218" s="140">
        <f>IFERROR(#REF!*AB205/SUM(AB205,AB213),0)</f>
        <v>0</v>
      </c>
      <c r="AC218" s="140">
        <f>IFERROR(#REF!*AC205/SUM(AC205,AC213),0)</f>
        <v>0</v>
      </c>
      <c r="AD218" s="140">
        <f>IFERROR(#REF!*AD205/SUM(AD205,AD213),0)</f>
        <v>0</v>
      </c>
      <c r="AE218" s="140">
        <f>IFERROR(#REF!*AE205/SUM(AE205,AE213),0)</f>
        <v>0</v>
      </c>
      <c r="AF218" s="140">
        <f>IFERROR(#REF!*AF205/SUM(AF205,AF213),0)</f>
        <v>0</v>
      </c>
      <c r="AG218" s="140">
        <f>IFERROR(#REF!*AG205/SUM(AG205,AG213),0)</f>
        <v>0</v>
      </c>
      <c r="AH218" s="140">
        <f>IFERROR(#REF!*AH205/SUM(AH205,AH213),0)</f>
        <v>0</v>
      </c>
      <c r="AI218" s="140">
        <f>IFERROR(#REF!*AI205/SUM(AI205,AI213),0)</f>
        <v>0</v>
      </c>
      <c r="AJ218" s="140">
        <f>IFERROR(#REF!*AJ205/SUM(AJ205,AJ213),0)</f>
        <v>0</v>
      </c>
      <c r="AK218" s="140">
        <f>IFERROR(#REF!*AK205/SUM(AK205,AK213),0)</f>
        <v>0</v>
      </c>
      <c r="AL218" s="140">
        <f>IFERROR(#REF!*AL205/SUM(AL205,AL213),0)</f>
        <v>0</v>
      </c>
      <c r="AM218" s="140">
        <f>IFERROR(#REF!*AM205/SUM(AM205,AM213),0)</f>
        <v>0</v>
      </c>
      <c r="AN218" s="140">
        <f>IFERROR(#REF!*AN205/SUM(AN205,AN213),0)</f>
        <v>0</v>
      </c>
      <c r="AO218" s="140">
        <f>IFERROR(#REF!*AO205/SUM(AO205,AO213),0)</f>
        <v>0</v>
      </c>
      <c r="AP218" s="140">
        <f>IFERROR(#REF!*AP205/SUM(AP205,AP213),0)</f>
        <v>0</v>
      </c>
      <c r="AQ218" s="140">
        <f>IFERROR(#REF!*AQ205/SUM(AQ205,AQ213),0)</f>
        <v>0</v>
      </c>
      <c r="AR218" s="140">
        <f>IFERROR(#REF!*AR205/SUM(AR205,AR213),0)</f>
        <v>0</v>
      </c>
      <c r="AS218" s="140">
        <f>IFERROR(#REF!*AS205/SUM(AS205,AS213),0)</f>
        <v>0</v>
      </c>
      <c r="AT218" s="140">
        <f>IFERROR(#REF!*AT205/SUM(AT205,AT213),0)</f>
        <v>0</v>
      </c>
      <c r="AU218" s="140">
        <f>IFERROR(#REF!*AU205/SUM(AU205,AU213),0)</f>
        <v>0</v>
      </c>
      <c r="AV218" s="140">
        <f>IFERROR(#REF!*AV205/SUM(AV205,AV213),0)</f>
        <v>0</v>
      </c>
      <c r="AW218" s="140">
        <f>IFERROR(#REF!*AW205/SUM(AW205,AW213),0)</f>
        <v>0</v>
      </c>
      <c r="AX218" s="140">
        <f>IFERROR(#REF!*AX205/SUM(AX205,AX213),0)</f>
        <v>0</v>
      </c>
      <c r="AY218" s="140">
        <f>IFERROR(#REF!*AY205/SUM(AY205,AY213),0)</f>
        <v>0</v>
      </c>
      <c r="AZ218" s="140">
        <f>IFERROR(#REF!*AZ205/SUM(AZ205,AZ213),0)</f>
        <v>0</v>
      </c>
      <c r="BA218" s="140">
        <f>IFERROR(#REF!*BA205/SUM(BA205,BA213),0)</f>
        <v>0</v>
      </c>
      <c r="BB218" s="140">
        <f>IFERROR(#REF!*BB205/SUM(BB205,BB213),0)</f>
        <v>0</v>
      </c>
      <c r="BC218" s="140">
        <f>IFERROR(#REF!*BC205/SUM(BC205,BC213),0)</f>
        <v>0</v>
      </c>
      <c r="BD218" s="140">
        <f>IFERROR(#REF!*BD205/SUM(BD205,BD213),0)</f>
        <v>0</v>
      </c>
      <c r="BE218" s="140">
        <f>IFERROR(#REF!*BE205/SUM(BE205,BE213),0)</f>
        <v>0</v>
      </c>
      <c r="BF218" s="140">
        <f>IFERROR(#REF!*BF205/SUM(BF205,BF213),0)</f>
        <v>0</v>
      </c>
      <c r="BG218" s="140"/>
      <c r="BH218" s="140"/>
      <c r="BI218" s="140"/>
      <c r="BJ218" s="140"/>
      <c r="BK218" s="140"/>
      <c r="BL218" s="140"/>
    </row>
    <row r="219" spans="3:64" hidden="1" x14ac:dyDescent="0.15"/>
    <row r="220" spans="3:64" hidden="1" x14ac:dyDescent="0.15">
      <c r="C220" s="155" t="s">
        <v>424</v>
      </c>
    </row>
    <row r="221" spans="3:64" hidden="1" x14ac:dyDescent="0.15">
      <c r="C221" s="311" t="s">
        <v>426</v>
      </c>
      <c r="E221" s="140">
        <f t="shared" ref="E221:BF221" si="54">D222</f>
        <v>0</v>
      </c>
      <c r="F221" s="140">
        <f t="shared" si="54"/>
        <v>0</v>
      </c>
      <c r="G221" s="140">
        <f t="shared" si="54"/>
        <v>0</v>
      </c>
      <c r="H221" s="140">
        <f t="shared" si="54"/>
        <v>0</v>
      </c>
      <c r="I221" s="140">
        <f t="shared" si="54"/>
        <v>0</v>
      </c>
      <c r="J221" s="140">
        <f t="shared" si="54"/>
        <v>0</v>
      </c>
      <c r="K221" s="140">
        <f t="shared" si="54"/>
        <v>0</v>
      </c>
      <c r="L221" s="140">
        <f t="shared" si="54"/>
        <v>0</v>
      </c>
      <c r="M221" s="140">
        <f t="shared" si="54"/>
        <v>0</v>
      </c>
      <c r="N221" s="140">
        <f t="shared" si="54"/>
        <v>0</v>
      </c>
      <c r="O221" s="140">
        <f t="shared" si="54"/>
        <v>0</v>
      </c>
      <c r="P221" s="140">
        <f t="shared" si="54"/>
        <v>0</v>
      </c>
      <c r="Q221" s="140">
        <f t="shared" si="54"/>
        <v>0</v>
      </c>
      <c r="R221" s="140">
        <f t="shared" si="54"/>
        <v>0</v>
      </c>
      <c r="S221" s="140">
        <f t="shared" si="54"/>
        <v>0</v>
      </c>
      <c r="T221" s="140">
        <f t="shared" si="54"/>
        <v>0</v>
      </c>
      <c r="U221" s="140">
        <f t="shared" si="54"/>
        <v>0</v>
      </c>
      <c r="V221" s="140">
        <f t="shared" si="54"/>
        <v>0</v>
      </c>
      <c r="W221" s="140">
        <f t="shared" si="54"/>
        <v>0</v>
      </c>
      <c r="X221" s="140">
        <f t="shared" si="54"/>
        <v>0</v>
      </c>
      <c r="Y221" s="140">
        <f t="shared" si="54"/>
        <v>0</v>
      </c>
      <c r="Z221" s="140">
        <f t="shared" si="54"/>
        <v>0</v>
      </c>
      <c r="AA221" s="140">
        <f t="shared" si="54"/>
        <v>0</v>
      </c>
      <c r="AB221" s="140">
        <f t="shared" si="54"/>
        <v>0</v>
      </c>
      <c r="AC221" s="140">
        <f t="shared" si="54"/>
        <v>0</v>
      </c>
      <c r="AD221" s="140">
        <f t="shared" si="54"/>
        <v>0</v>
      </c>
      <c r="AE221" s="140">
        <f t="shared" si="54"/>
        <v>0</v>
      </c>
      <c r="AF221" s="140">
        <f t="shared" si="54"/>
        <v>0</v>
      </c>
      <c r="AG221" s="140">
        <f t="shared" si="54"/>
        <v>0</v>
      </c>
      <c r="AH221" s="140">
        <f t="shared" si="54"/>
        <v>0</v>
      </c>
      <c r="AI221" s="140">
        <f t="shared" si="54"/>
        <v>0</v>
      </c>
      <c r="AJ221" s="140">
        <f t="shared" si="54"/>
        <v>0</v>
      </c>
      <c r="AK221" s="140">
        <f t="shared" si="54"/>
        <v>0</v>
      </c>
      <c r="AL221" s="140">
        <f t="shared" si="54"/>
        <v>0</v>
      </c>
      <c r="AM221" s="140">
        <f t="shared" si="54"/>
        <v>0</v>
      </c>
      <c r="AN221" s="140">
        <f t="shared" si="54"/>
        <v>0</v>
      </c>
      <c r="AO221" s="140">
        <f t="shared" si="54"/>
        <v>0</v>
      </c>
      <c r="AP221" s="140">
        <f t="shared" si="54"/>
        <v>0</v>
      </c>
      <c r="AQ221" s="140">
        <f t="shared" si="54"/>
        <v>0</v>
      </c>
      <c r="AR221" s="140">
        <f t="shared" si="54"/>
        <v>0</v>
      </c>
      <c r="AS221" s="140">
        <f t="shared" si="54"/>
        <v>0</v>
      </c>
      <c r="AT221" s="140">
        <f t="shared" si="54"/>
        <v>0</v>
      </c>
      <c r="AU221" s="140">
        <f t="shared" si="54"/>
        <v>0</v>
      </c>
      <c r="AV221" s="140">
        <f t="shared" si="54"/>
        <v>0</v>
      </c>
      <c r="AW221" s="140">
        <f t="shared" si="54"/>
        <v>0</v>
      </c>
      <c r="AX221" s="140">
        <f t="shared" si="54"/>
        <v>0</v>
      </c>
      <c r="AY221" s="140">
        <f t="shared" si="54"/>
        <v>0</v>
      </c>
      <c r="AZ221" s="140">
        <f t="shared" si="54"/>
        <v>0</v>
      </c>
      <c r="BA221" s="140">
        <f t="shared" si="54"/>
        <v>0</v>
      </c>
      <c r="BB221" s="140">
        <f t="shared" si="54"/>
        <v>0</v>
      </c>
      <c r="BC221" s="140">
        <f t="shared" si="54"/>
        <v>0</v>
      </c>
      <c r="BD221" s="140">
        <f t="shared" si="54"/>
        <v>0</v>
      </c>
      <c r="BE221" s="140">
        <f t="shared" si="54"/>
        <v>0</v>
      </c>
      <c r="BF221" s="140">
        <f t="shared" si="54"/>
        <v>0</v>
      </c>
      <c r="BG221" s="140"/>
      <c r="BH221" s="140"/>
      <c r="BI221" s="140"/>
      <c r="BJ221" s="140"/>
      <c r="BK221" s="140"/>
      <c r="BL221" s="140"/>
    </row>
    <row r="222" spans="3:64" hidden="1" x14ac:dyDescent="0.15">
      <c r="C222" s="311" t="s">
        <v>427</v>
      </c>
      <c r="E222" s="140">
        <f>IFERROR(#REF!*E213/SUM(E205,E213),0)</f>
        <v>0</v>
      </c>
      <c r="F222" s="140">
        <f>IFERROR(#REF!*F213/SUM(F205,F213),0)</f>
        <v>0</v>
      </c>
      <c r="G222" s="140">
        <f>IFERROR(#REF!*G213/SUM(G205,G213),0)</f>
        <v>0</v>
      </c>
      <c r="H222" s="140">
        <f>IFERROR(#REF!*H213/SUM(H205,H213),0)</f>
        <v>0</v>
      </c>
      <c r="I222" s="140">
        <f>IFERROR(#REF!*I213/SUM(I205,I213),0)</f>
        <v>0</v>
      </c>
      <c r="J222" s="140">
        <f>IFERROR(#REF!*J213/SUM(J205,J213),0)</f>
        <v>0</v>
      </c>
      <c r="K222" s="140">
        <f>IFERROR(#REF!*K213/SUM(K205,K213),0)</f>
        <v>0</v>
      </c>
      <c r="L222" s="140">
        <f>IFERROR(#REF!*L213/SUM(L205,L213),0)</f>
        <v>0</v>
      </c>
      <c r="M222" s="140">
        <f>IFERROR(#REF!*M213/SUM(M205,M213),0)</f>
        <v>0</v>
      </c>
      <c r="N222" s="140">
        <f>IFERROR(#REF!*N213/SUM(N205,N213),0)</f>
        <v>0</v>
      </c>
      <c r="O222" s="140">
        <f>IFERROR(#REF!*O213/SUM(O205,O213),0)</f>
        <v>0</v>
      </c>
      <c r="P222" s="140">
        <f>IFERROR(#REF!*P213/SUM(P205,P213),0)</f>
        <v>0</v>
      </c>
      <c r="Q222" s="140">
        <f>IFERROR(#REF!*Q213/SUM(Q205,Q213),0)</f>
        <v>0</v>
      </c>
      <c r="R222" s="140">
        <f>IFERROR(#REF!*R213/SUM(R205,R213),0)</f>
        <v>0</v>
      </c>
      <c r="S222" s="140">
        <f>IFERROR(#REF!*S213/SUM(S205,S213),0)</f>
        <v>0</v>
      </c>
      <c r="T222" s="140">
        <f>IFERROR(#REF!*T213/SUM(T205,T213),0)</f>
        <v>0</v>
      </c>
      <c r="U222" s="140">
        <f>IFERROR(#REF!*U213/SUM(U205,U213),0)</f>
        <v>0</v>
      </c>
      <c r="V222" s="140">
        <f>IFERROR(#REF!*V213/SUM(V205,V213),0)</f>
        <v>0</v>
      </c>
      <c r="W222" s="140">
        <f>IFERROR(#REF!*W213/SUM(W205,W213),0)</f>
        <v>0</v>
      </c>
      <c r="X222" s="140">
        <f>IFERROR(#REF!*X213/SUM(X205,X213),0)</f>
        <v>0</v>
      </c>
      <c r="Y222" s="140">
        <f>IFERROR(#REF!*Y213/SUM(Y205,Y213),0)</f>
        <v>0</v>
      </c>
      <c r="Z222" s="140">
        <f>IFERROR(#REF!*Z213/SUM(Z205,Z213),0)</f>
        <v>0</v>
      </c>
      <c r="AA222" s="140">
        <f>IFERROR(#REF!*AA213/SUM(AA205,AA213),0)</f>
        <v>0</v>
      </c>
      <c r="AB222" s="140">
        <f>IFERROR(#REF!*AB213/SUM(AB205,AB213),0)</f>
        <v>0</v>
      </c>
      <c r="AC222" s="140">
        <f>IFERROR(#REF!*AC213/SUM(AC205,AC213),0)</f>
        <v>0</v>
      </c>
      <c r="AD222" s="140">
        <f>IFERROR(#REF!*AD213/SUM(AD205,AD213),0)</f>
        <v>0</v>
      </c>
      <c r="AE222" s="140">
        <f>IFERROR(#REF!*AE213/SUM(AE205,AE213),0)</f>
        <v>0</v>
      </c>
      <c r="AF222" s="140">
        <f>IFERROR(#REF!*AF213/SUM(AF205,AF213),0)</f>
        <v>0</v>
      </c>
      <c r="AG222" s="140">
        <f>IFERROR(#REF!*AG213/SUM(AG205,AG213),0)</f>
        <v>0</v>
      </c>
      <c r="AH222" s="140">
        <f>IFERROR(#REF!*AH213/SUM(AH205,AH213),0)</f>
        <v>0</v>
      </c>
      <c r="AI222" s="140">
        <f>IFERROR(#REF!*AI213/SUM(AI205,AI213),0)</f>
        <v>0</v>
      </c>
      <c r="AJ222" s="140">
        <f>IFERROR(#REF!*AJ213/SUM(AJ205,AJ213),0)</f>
        <v>0</v>
      </c>
      <c r="AK222" s="140">
        <f>IFERROR(#REF!*AK213/SUM(AK205,AK213),0)</f>
        <v>0</v>
      </c>
      <c r="AL222" s="140">
        <f>IFERROR(#REF!*AL213/SUM(AL205,AL213),0)</f>
        <v>0</v>
      </c>
      <c r="AM222" s="140">
        <f>IFERROR(#REF!*AM213/SUM(AM205,AM213),0)</f>
        <v>0</v>
      </c>
      <c r="AN222" s="140">
        <f>IFERROR(#REF!*AN213/SUM(AN205,AN213),0)</f>
        <v>0</v>
      </c>
      <c r="AO222" s="140">
        <f>IFERROR(#REF!*AO213/SUM(AO205,AO213),0)</f>
        <v>0</v>
      </c>
      <c r="AP222" s="140">
        <f>IFERROR(#REF!*AP213/SUM(AP205,AP213),0)</f>
        <v>0</v>
      </c>
      <c r="AQ222" s="140">
        <f>IFERROR(#REF!*AQ213/SUM(AQ205,AQ213),0)</f>
        <v>0</v>
      </c>
      <c r="AR222" s="140">
        <f>IFERROR(#REF!*AR213/SUM(AR205,AR213),0)</f>
        <v>0</v>
      </c>
      <c r="AS222" s="140">
        <f>IFERROR(#REF!*AS213/SUM(AS205,AS213),0)</f>
        <v>0</v>
      </c>
      <c r="AT222" s="140">
        <f>IFERROR(#REF!*AT213/SUM(AT205,AT213),0)</f>
        <v>0</v>
      </c>
      <c r="AU222" s="140">
        <f>IFERROR(#REF!*AU213/SUM(AU205,AU213),0)</f>
        <v>0</v>
      </c>
      <c r="AV222" s="140">
        <f>IFERROR(#REF!*AV213/SUM(AV205,AV213),0)</f>
        <v>0</v>
      </c>
      <c r="AW222" s="140">
        <f>IFERROR(#REF!*AW213/SUM(AW205,AW213),0)</f>
        <v>0</v>
      </c>
      <c r="AX222" s="140">
        <f>IFERROR(#REF!*AX213/SUM(AX205,AX213),0)</f>
        <v>0</v>
      </c>
      <c r="AY222" s="140">
        <f>IFERROR(#REF!*AY213/SUM(AY205,AY213),0)</f>
        <v>0</v>
      </c>
      <c r="AZ222" s="140">
        <f>IFERROR(#REF!*AZ213/SUM(AZ205,AZ213),0)</f>
        <v>0</v>
      </c>
      <c r="BA222" s="140">
        <f>IFERROR(#REF!*BA213/SUM(BA205,BA213),0)</f>
        <v>0</v>
      </c>
      <c r="BB222" s="140">
        <f>IFERROR(#REF!*BB213/SUM(BB205,BB213),0)</f>
        <v>0</v>
      </c>
      <c r="BC222" s="140">
        <f>IFERROR(#REF!*BC213/SUM(BC205,BC213),0)</f>
        <v>0</v>
      </c>
      <c r="BD222" s="140">
        <f>IFERROR(#REF!*BD213/SUM(BD205,BD213),0)</f>
        <v>0</v>
      </c>
      <c r="BE222" s="140">
        <f>IFERROR(#REF!*BE213/SUM(BE205,BE213),0)</f>
        <v>0</v>
      </c>
      <c r="BF222" s="140">
        <f>IFERROR(#REF!*BF213/SUM(BF205,BF213),0)</f>
        <v>0</v>
      </c>
      <c r="BG222" s="140"/>
      <c r="BH222" s="140"/>
      <c r="BI222" s="140"/>
      <c r="BJ222" s="140"/>
      <c r="BK222" s="140"/>
      <c r="BL222" s="140"/>
    </row>
    <row r="223" spans="3:64" hidden="1" x14ac:dyDescent="0.15">
      <c r="C223" s="311" t="s">
        <v>425</v>
      </c>
      <c r="E223" s="147" t="e">
        <f>E222+E218-#REF!</f>
        <v>#REF!</v>
      </c>
      <c r="F223" s="147" t="e">
        <f>F222+F218-#REF!</f>
        <v>#REF!</v>
      </c>
      <c r="G223" s="147" t="e">
        <f>G222+G218-#REF!</f>
        <v>#REF!</v>
      </c>
      <c r="H223" s="147" t="e">
        <f>H222+H218-#REF!</f>
        <v>#REF!</v>
      </c>
      <c r="I223" s="147" t="e">
        <f>I222+I218-#REF!</f>
        <v>#REF!</v>
      </c>
      <c r="J223" s="147" t="e">
        <f>J222+J218-#REF!</f>
        <v>#REF!</v>
      </c>
      <c r="K223" s="147" t="e">
        <f>K222+K218-#REF!</f>
        <v>#REF!</v>
      </c>
      <c r="L223" s="147" t="e">
        <f>L222+L218-#REF!</f>
        <v>#REF!</v>
      </c>
      <c r="M223" s="147" t="e">
        <f>M222+M218-#REF!</f>
        <v>#REF!</v>
      </c>
      <c r="N223" s="147" t="e">
        <f>N222+N218-#REF!</f>
        <v>#REF!</v>
      </c>
      <c r="O223" s="147" t="e">
        <f>O222+O218-#REF!</f>
        <v>#REF!</v>
      </c>
      <c r="P223" s="147" t="e">
        <f>P222+P218-#REF!</f>
        <v>#REF!</v>
      </c>
      <c r="Q223" s="147" t="e">
        <f>Q222+Q218-#REF!</f>
        <v>#REF!</v>
      </c>
      <c r="R223" s="147" t="e">
        <f>R222+R218-#REF!</f>
        <v>#REF!</v>
      </c>
      <c r="S223" s="147" t="e">
        <f>S222+S218-#REF!</f>
        <v>#REF!</v>
      </c>
      <c r="T223" s="147" t="e">
        <f>T222+T218-#REF!</f>
        <v>#REF!</v>
      </c>
      <c r="U223" s="147" t="e">
        <f>U222+U218-#REF!</f>
        <v>#REF!</v>
      </c>
      <c r="V223" s="147" t="e">
        <f>V222+V218-#REF!</f>
        <v>#REF!</v>
      </c>
      <c r="W223" s="147" t="e">
        <f>W222+W218-#REF!</f>
        <v>#REF!</v>
      </c>
      <c r="X223" s="147" t="e">
        <f>X222+X218-#REF!</f>
        <v>#REF!</v>
      </c>
      <c r="Y223" s="147" t="e">
        <f>Y222+Y218-#REF!</f>
        <v>#REF!</v>
      </c>
      <c r="Z223" s="147" t="e">
        <f>Z222+Z218-#REF!</f>
        <v>#REF!</v>
      </c>
      <c r="AA223" s="147" t="e">
        <f>AA222+AA218-#REF!</f>
        <v>#REF!</v>
      </c>
      <c r="AB223" s="147" t="e">
        <f>AB222+AB218-#REF!</f>
        <v>#REF!</v>
      </c>
      <c r="AC223" s="147" t="e">
        <f>AC222+AC218-#REF!</f>
        <v>#REF!</v>
      </c>
      <c r="AD223" s="147" t="e">
        <f>AD222+AD218-#REF!</f>
        <v>#REF!</v>
      </c>
      <c r="AE223" s="147" t="e">
        <f>AE222+AE218-#REF!</f>
        <v>#REF!</v>
      </c>
      <c r="AF223" s="147" t="e">
        <f>AF222+AF218-#REF!</f>
        <v>#REF!</v>
      </c>
      <c r="AG223" s="147" t="e">
        <f>AG222+AG218-#REF!</f>
        <v>#REF!</v>
      </c>
      <c r="AH223" s="147" t="e">
        <f>AH222+AH218-#REF!</f>
        <v>#REF!</v>
      </c>
      <c r="AI223" s="147" t="e">
        <f>AI222+AI218-#REF!</f>
        <v>#REF!</v>
      </c>
      <c r="AJ223" s="147" t="e">
        <f>AJ222+AJ218-#REF!</f>
        <v>#REF!</v>
      </c>
      <c r="AK223" s="147" t="e">
        <f>AK222+AK218-#REF!</f>
        <v>#REF!</v>
      </c>
      <c r="AL223" s="147" t="e">
        <f>AL222+AL218-#REF!</f>
        <v>#REF!</v>
      </c>
      <c r="AM223" s="147" t="e">
        <f>AM222+AM218-#REF!</f>
        <v>#REF!</v>
      </c>
      <c r="AN223" s="147" t="e">
        <f>AN222+AN218-#REF!</f>
        <v>#REF!</v>
      </c>
      <c r="AO223" s="147" t="e">
        <f>AO222+AO218-#REF!</f>
        <v>#REF!</v>
      </c>
      <c r="AP223" s="147" t="e">
        <f>AP222+AP218-#REF!</f>
        <v>#REF!</v>
      </c>
      <c r="AQ223" s="147" t="e">
        <f>AQ222+AQ218-#REF!</f>
        <v>#REF!</v>
      </c>
      <c r="AR223" s="147" t="e">
        <f>AR222+AR218-#REF!</f>
        <v>#REF!</v>
      </c>
      <c r="AS223" s="147" t="e">
        <f>AS222+AS218-#REF!</f>
        <v>#REF!</v>
      </c>
      <c r="AT223" s="147" t="e">
        <f>AT222+AT218-#REF!</f>
        <v>#REF!</v>
      </c>
      <c r="AU223" s="147" t="e">
        <f>AU222+AU218-#REF!</f>
        <v>#REF!</v>
      </c>
      <c r="AV223" s="147" t="e">
        <f>AV222+AV218-#REF!</f>
        <v>#REF!</v>
      </c>
      <c r="AW223" s="147" t="e">
        <f>AW222+AW218-#REF!</f>
        <v>#REF!</v>
      </c>
      <c r="AX223" s="147" t="e">
        <f>AX222+AX218-#REF!</f>
        <v>#REF!</v>
      </c>
      <c r="AY223" s="147" t="e">
        <f>AY222+AY218-#REF!</f>
        <v>#REF!</v>
      </c>
      <c r="AZ223" s="147" t="e">
        <f>AZ222+AZ218-#REF!</f>
        <v>#REF!</v>
      </c>
      <c r="BA223" s="147" t="e">
        <f>BA222+BA218-#REF!</f>
        <v>#REF!</v>
      </c>
      <c r="BB223" s="147" t="e">
        <f>BB222+BB218-#REF!</f>
        <v>#REF!</v>
      </c>
      <c r="BC223" s="147" t="e">
        <f>BC222+BC218-#REF!</f>
        <v>#REF!</v>
      </c>
      <c r="BD223" s="147" t="e">
        <f>BD222+BD218-#REF!</f>
        <v>#REF!</v>
      </c>
      <c r="BE223" s="147" t="e">
        <f>BE222+BE218-#REF!</f>
        <v>#REF!</v>
      </c>
      <c r="BF223" s="147" t="e">
        <f>BF222+BF218-#REF!</f>
        <v>#REF!</v>
      </c>
      <c r="BG223" s="147"/>
      <c r="BH223" s="147"/>
      <c r="BI223" s="147"/>
      <c r="BJ223" s="147"/>
      <c r="BK223" s="147"/>
      <c r="BL223" s="147"/>
    </row>
  </sheetData>
  <sheetProtection algorithmName="SHA-512" hashValue="7KbecvKTK5BptwlVSEwPUlb2bGGvLJ7L8Cy0TeGmnPT1AvjUafsix17poadg9yibNsnrUGWXaXHRj48O+QJCYw==" saltValue="8vuFuc/YIKiR9JHBYNY+Rg==" spinCount="100000" sheet="1"/>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EA8C63-3D35-1745-8E40-E13C4D6C9EBA}">
  <sheetPr>
    <tabColor rgb="FFFFFF00"/>
  </sheetPr>
  <dimension ref="A1:BQ34"/>
  <sheetViews>
    <sheetView showGridLines="0" topLeftCell="A16" zoomScale="120" zoomScaleNormal="120" zoomScaleSheetLayoutView="70" workbookViewId="0">
      <selection activeCell="G124" sqref="G124"/>
    </sheetView>
  </sheetViews>
  <sheetFormatPr baseColWidth="10" defaultColWidth="10.1640625" defaultRowHeight="11" x14ac:dyDescent="0.15"/>
  <cols>
    <col min="1" max="1" width="2.5" style="280" customWidth="1"/>
    <col min="2" max="2" width="3.33203125" style="173" customWidth="1"/>
    <col min="3" max="3" width="28" style="173" customWidth="1"/>
    <col min="4" max="39" width="10.5" style="173" customWidth="1"/>
    <col min="40" max="16384" width="10.1640625" style="173"/>
  </cols>
  <sheetData>
    <row r="1" spans="1:69" ht="23" x14ac:dyDescent="0.25">
      <c r="C1" s="312" t="s">
        <v>428</v>
      </c>
      <c r="D1" s="313"/>
    </row>
    <row r="2" spans="1:69" s="67" customFormat="1" ht="14" thickBot="1" x14ac:dyDescent="0.2">
      <c r="A2" s="314"/>
      <c r="C2" s="315" t="s">
        <v>429</v>
      </c>
      <c r="D2" s="316" t="s">
        <v>430</v>
      </c>
      <c r="E2" s="316"/>
      <c r="F2" s="316"/>
      <c r="G2" s="316"/>
      <c r="H2" s="316"/>
      <c r="I2" s="316"/>
      <c r="J2" s="316"/>
      <c r="K2" s="316"/>
      <c r="L2" s="316"/>
      <c r="M2" s="316"/>
      <c r="N2" s="316"/>
      <c r="O2" s="316"/>
      <c r="P2" s="316"/>
    </row>
    <row r="3" spans="1:69" s="67" customFormat="1" ht="13" x14ac:dyDescent="0.15">
      <c r="A3" s="317"/>
      <c r="B3" s="48"/>
      <c r="P3" s="318"/>
      <c r="Q3" s="318"/>
    </row>
    <row r="4" spans="1:69" s="67" customFormat="1" ht="13" x14ac:dyDescent="0.15">
      <c r="A4" s="314"/>
      <c r="B4" s="319"/>
      <c r="C4" s="320" t="s">
        <v>431</v>
      </c>
      <c r="D4" s="321">
        <v>45658</v>
      </c>
      <c r="E4" s="322">
        <f t="shared" ref="E4:BL4" si="0">EOMONTH(D4,1)</f>
        <v>45716</v>
      </c>
      <c r="F4" s="322">
        <f t="shared" si="0"/>
        <v>45747</v>
      </c>
      <c r="G4" s="322">
        <f t="shared" si="0"/>
        <v>45777</v>
      </c>
      <c r="H4" s="322">
        <f t="shared" si="0"/>
        <v>45808</v>
      </c>
      <c r="I4" s="322">
        <f t="shared" si="0"/>
        <v>45838</v>
      </c>
      <c r="J4" s="322">
        <f t="shared" si="0"/>
        <v>45869</v>
      </c>
      <c r="K4" s="322">
        <f t="shared" si="0"/>
        <v>45900</v>
      </c>
      <c r="L4" s="322">
        <f t="shared" si="0"/>
        <v>45930</v>
      </c>
      <c r="M4" s="322">
        <f t="shared" si="0"/>
        <v>45961</v>
      </c>
      <c r="N4" s="322">
        <f t="shared" si="0"/>
        <v>45991</v>
      </c>
      <c r="O4" s="322">
        <f t="shared" si="0"/>
        <v>46022</v>
      </c>
      <c r="P4" s="322">
        <f t="shared" si="0"/>
        <v>46053</v>
      </c>
      <c r="Q4" s="322">
        <f t="shared" si="0"/>
        <v>46081</v>
      </c>
      <c r="R4" s="322">
        <f t="shared" si="0"/>
        <v>46112</v>
      </c>
      <c r="S4" s="322">
        <f t="shared" si="0"/>
        <v>46142</v>
      </c>
      <c r="T4" s="322">
        <f t="shared" si="0"/>
        <v>46173</v>
      </c>
      <c r="U4" s="322">
        <f t="shared" si="0"/>
        <v>46203</v>
      </c>
      <c r="V4" s="322">
        <f t="shared" si="0"/>
        <v>46234</v>
      </c>
      <c r="W4" s="322">
        <f t="shared" si="0"/>
        <v>46265</v>
      </c>
      <c r="X4" s="322">
        <f t="shared" si="0"/>
        <v>46295</v>
      </c>
      <c r="Y4" s="322">
        <f t="shared" si="0"/>
        <v>46326</v>
      </c>
      <c r="Z4" s="322">
        <f t="shared" si="0"/>
        <v>46356</v>
      </c>
      <c r="AA4" s="322">
        <f t="shared" si="0"/>
        <v>46387</v>
      </c>
      <c r="AB4" s="322">
        <f t="shared" si="0"/>
        <v>46418</v>
      </c>
      <c r="AC4" s="322">
        <f t="shared" si="0"/>
        <v>46446</v>
      </c>
      <c r="AD4" s="322">
        <f t="shared" si="0"/>
        <v>46477</v>
      </c>
      <c r="AE4" s="322">
        <f t="shared" si="0"/>
        <v>46507</v>
      </c>
      <c r="AF4" s="322">
        <f t="shared" si="0"/>
        <v>46538</v>
      </c>
      <c r="AG4" s="322">
        <f t="shared" si="0"/>
        <v>46568</v>
      </c>
      <c r="AH4" s="322">
        <f t="shared" si="0"/>
        <v>46599</v>
      </c>
      <c r="AI4" s="322">
        <f t="shared" si="0"/>
        <v>46630</v>
      </c>
      <c r="AJ4" s="322">
        <f t="shared" si="0"/>
        <v>46660</v>
      </c>
      <c r="AK4" s="322">
        <f t="shared" si="0"/>
        <v>46691</v>
      </c>
      <c r="AL4" s="322">
        <f t="shared" si="0"/>
        <v>46721</v>
      </c>
      <c r="AM4" s="322">
        <f t="shared" si="0"/>
        <v>46752</v>
      </c>
      <c r="AN4" s="322">
        <f t="shared" si="0"/>
        <v>46783</v>
      </c>
      <c r="AO4" s="322">
        <f t="shared" si="0"/>
        <v>46812</v>
      </c>
      <c r="AP4" s="322">
        <f t="shared" si="0"/>
        <v>46843</v>
      </c>
      <c r="AQ4" s="322">
        <f t="shared" si="0"/>
        <v>46873</v>
      </c>
      <c r="AR4" s="322">
        <f t="shared" si="0"/>
        <v>46904</v>
      </c>
      <c r="AS4" s="322">
        <f t="shared" si="0"/>
        <v>46934</v>
      </c>
      <c r="AT4" s="322">
        <f t="shared" si="0"/>
        <v>46965</v>
      </c>
      <c r="AU4" s="322">
        <f t="shared" si="0"/>
        <v>46996</v>
      </c>
      <c r="AV4" s="322">
        <f t="shared" si="0"/>
        <v>47026</v>
      </c>
      <c r="AW4" s="322">
        <f t="shared" si="0"/>
        <v>47057</v>
      </c>
      <c r="AX4" s="322">
        <f t="shared" si="0"/>
        <v>47087</v>
      </c>
      <c r="AY4" s="322">
        <f t="shared" si="0"/>
        <v>47118</v>
      </c>
      <c r="AZ4" s="322">
        <f t="shared" si="0"/>
        <v>47149</v>
      </c>
      <c r="BA4" s="322">
        <f t="shared" si="0"/>
        <v>47177</v>
      </c>
      <c r="BB4" s="322">
        <f t="shared" si="0"/>
        <v>47208</v>
      </c>
      <c r="BC4" s="322">
        <f t="shared" si="0"/>
        <v>47238</v>
      </c>
      <c r="BD4" s="322">
        <f t="shared" si="0"/>
        <v>47269</v>
      </c>
      <c r="BE4" s="322">
        <f t="shared" si="0"/>
        <v>47299</v>
      </c>
      <c r="BF4" s="322">
        <f t="shared" si="0"/>
        <v>47330</v>
      </c>
      <c r="BG4" s="322">
        <f t="shared" si="0"/>
        <v>47361</v>
      </c>
      <c r="BH4" s="322">
        <f t="shared" si="0"/>
        <v>47391</v>
      </c>
      <c r="BI4" s="322">
        <f t="shared" si="0"/>
        <v>47422</v>
      </c>
      <c r="BJ4" s="322">
        <f t="shared" si="0"/>
        <v>47452</v>
      </c>
      <c r="BK4" s="322">
        <f t="shared" si="0"/>
        <v>47483</v>
      </c>
      <c r="BL4" s="322">
        <f t="shared" si="0"/>
        <v>47514</v>
      </c>
      <c r="BM4" s="318"/>
      <c r="BN4" s="318"/>
      <c r="BO4" s="318"/>
      <c r="BP4" s="318"/>
      <c r="BQ4" s="318"/>
    </row>
    <row r="5" spans="1:69" s="70" customFormat="1" ht="13" x14ac:dyDescent="0.15">
      <c r="A5" s="323"/>
      <c r="C5" s="324" t="s">
        <v>432</v>
      </c>
      <c r="D5" s="325">
        <f t="shared" ref="D5:BL5" si="1">YEAR(D4)</f>
        <v>2025</v>
      </c>
      <c r="E5" s="325">
        <f t="shared" si="1"/>
        <v>2025</v>
      </c>
      <c r="F5" s="325">
        <f t="shared" si="1"/>
        <v>2025</v>
      </c>
      <c r="G5" s="325">
        <f t="shared" si="1"/>
        <v>2025</v>
      </c>
      <c r="H5" s="325">
        <f t="shared" si="1"/>
        <v>2025</v>
      </c>
      <c r="I5" s="325">
        <f t="shared" si="1"/>
        <v>2025</v>
      </c>
      <c r="J5" s="325">
        <f t="shared" si="1"/>
        <v>2025</v>
      </c>
      <c r="K5" s="325">
        <f t="shared" si="1"/>
        <v>2025</v>
      </c>
      <c r="L5" s="325">
        <f t="shared" si="1"/>
        <v>2025</v>
      </c>
      <c r="M5" s="325">
        <f t="shared" si="1"/>
        <v>2025</v>
      </c>
      <c r="N5" s="325">
        <f t="shared" si="1"/>
        <v>2025</v>
      </c>
      <c r="O5" s="325">
        <f t="shared" si="1"/>
        <v>2025</v>
      </c>
      <c r="P5" s="325">
        <f t="shared" si="1"/>
        <v>2026</v>
      </c>
      <c r="Q5" s="325">
        <f t="shared" si="1"/>
        <v>2026</v>
      </c>
      <c r="R5" s="325">
        <f t="shared" si="1"/>
        <v>2026</v>
      </c>
      <c r="S5" s="325">
        <f t="shared" si="1"/>
        <v>2026</v>
      </c>
      <c r="T5" s="325">
        <f t="shared" si="1"/>
        <v>2026</v>
      </c>
      <c r="U5" s="325">
        <f t="shared" si="1"/>
        <v>2026</v>
      </c>
      <c r="V5" s="325">
        <f t="shared" si="1"/>
        <v>2026</v>
      </c>
      <c r="W5" s="325">
        <f t="shared" si="1"/>
        <v>2026</v>
      </c>
      <c r="X5" s="325">
        <f t="shared" si="1"/>
        <v>2026</v>
      </c>
      <c r="Y5" s="325">
        <f t="shared" si="1"/>
        <v>2026</v>
      </c>
      <c r="Z5" s="325">
        <f t="shared" si="1"/>
        <v>2026</v>
      </c>
      <c r="AA5" s="325">
        <f t="shared" si="1"/>
        <v>2026</v>
      </c>
      <c r="AB5" s="325">
        <f t="shared" si="1"/>
        <v>2027</v>
      </c>
      <c r="AC5" s="325">
        <f t="shared" si="1"/>
        <v>2027</v>
      </c>
      <c r="AD5" s="325">
        <f t="shared" si="1"/>
        <v>2027</v>
      </c>
      <c r="AE5" s="325">
        <f t="shared" si="1"/>
        <v>2027</v>
      </c>
      <c r="AF5" s="325">
        <f t="shared" si="1"/>
        <v>2027</v>
      </c>
      <c r="AG5" s="325">
        <f t="shared" si="1"/>
        <v>2027</v>
      </c>
      <c r="AH5" s="325">
        <f t="shared" si="1"/>
        <v>2027</v>
      </c>
      <c r="AI5" s="325">
        <f t="shared" si="1"/>
        <v>2027</v>
      </c>
      <c r="AJ5" s="325">
        <f t="shared" si="1"/>
        <v>2027</v>
      </c>
      <c r="AK5" s="325">
        <f t="shared" si="1"/>
        <v>2027</v>
      </c>
      <c r="AL5" s="325">
        <f t="shared" si="1"/>
        <v>2027</v>
      </c>
      <c r="AM5" s="325">
        <f t="shared" si="1"/>
        <v>2027</v>
      </c>
      <c r="AN5" s="325">
        <f t="shared" si="1"/>
        <v>2028</v>
      </c>
      <c r="AO5" s="325">
        <f t="shared" si="1"/>
        <v>2028</v>
      </c>
      <c r="AP5" s="325">
        <f t="shared" si="1"/>
        <v>2028</v>
      </c>
      <c r="AQ5" s="325">
        <f t="shared" si="1"/>
        <v>2028</v>
      </c>
      <c r="AR5" s="325">
        <f t="shared" si="1"/>
        <v>2028</v>
      </c>
      <c r="AS5" s="325">
        <f t="shared" si="1"/>
        <v>2028</v>
      </c>
      <c r="AT5" s="325">
        <f t="shared" si="1"/>
        <v>2028</v>
      </c>
      <c r="AU5" s="325">
        <f t="shared" si="1"/>
        <v>2028</v>
      </c>
      <c r="AV5" s="325">
        <f t="shared" si="1"/>
        <v>2028</v>
      </c>
      <c r="AW5" s="325">
        <f t="shared" si="1"/>
        <v>2028</v>
      </c>
      <c r="AX5" s="325">
        <f t="shared" si="1"/>
        <v>2028</v>
      </c>
      <c r="AY5" s="325">
        <f t="shared" si="1"/>
        <v>2028</v>
      </c>
      <c r="AZ5" s="325">
        <f t="shared" si="1"/>
        <v>2029</v>
      </c>
      <c r="BA5" s="325">
        <f t="shared" si="1"/>
        <v>2029</v>
      </c>
      <c r="BB5" s="325">
        <f t="shared" si="1"/>
        <v>2029</v>
      </c>
      <c r="BC5" s="325">
        <f t="shared" si="1"/>
        <v>2029</v>
      </c>
      <c r="BD5" s="325">
        <f t="shared" si="1"/>
        <v>2029</v>
      </c>
      <c r="BE5" s="325">
        <f t="shared" si="1"/>
        <v>2029</v>
      </c>
      <c r="BF5" s="325">
        <f t="shared" si="1"/>
        <v>2029</v>
      </c>
      <c r="BG5" s="325">
        <f t="shared" si="1"/>
        <v>2029</v>
      </c>
      <c r="BH5" s="325">
        <f t="shared" si="1"/>
        <v>2029</v>
      </c>
      <c r="BI5" s="325">
        <f t="shared" si="1"/>
        <v>2029</v>
      </c>
      <c r="BJ5" s="325">
        <f t="shared" si="1"/>
        <v>2029</v>
      </c>
      <c r="BK5" s="325">
        <f t="shared" si="1"/>
        <v>2029</v>
      </c>
      <c r="BL5" s="325">
        <f t="shared" si="1"/>
        <v>2030</v>
      </c>
      <c r="BM5" s="326"/>
      <c r="BN5" s="326"/>
      <c r="BO5" s="326"/>
      <c r="BP5" s="326"/>
      <c r="BQ5" s="326"/>
    </row>
    <row r="6" spans="1:69" s="67" customFormat="1" ht="13" x14ac:dyDescent="0.15">
      <c r="A6" s="314"/>
      <c r="C6" s="67" t="s">
        <v>433</v>
      </c>
      <c r="D6" s="327"/>
      <c r="E6" s="327"/>
      <c r="F6" s="327"/>
      <c r="G6" s="327"/>
      <c r="H6" s="327"/>
      <c r="I6" s="327"/>
      <c r="J6" s="327" t="e">
        <f>DATA!#REF!/10^9</f>
        <v>#REF!</v>
      </c>
      <c r="K6" s="327" t="e">
        <f>DATA!#REF!/10^9</f>
        <v>#REF!</v>
      </c>
      <c r="L6" s="327" t="e">
        <f>DATA!#REF!/10^9</f>
        <v>#REF!</v>
      </c>
      <c r="M6" s="327"/>
      <c r="N6" s="327"/>
      <c r="O6" s="327"/>
      <c r="P6" s="327"/>
      <c r="Q6" s="327"/>
      <c r="R6" s="327"/>
      <c r="S6" s="327"/>
      <c r="T6" s="327"/>
      <c r="U6" s="327"/>
      <c r="V6" s="327"/>
      <c r="W6" s="327"/>
      <c r="X6" s="327"/>
      <c r="Y6" s="327"/>
      <c r="Z6" s="327"/>
      <c r="AA6" s="327"/>
      <c r="AB6" s="327"/>
      <c r="AC6" s="327"/>
      <c r="AD6" s="327"/>
      <c r="AE6" s="327"/>
      <c r="AF6" s="327"/>
      <c r="AG6" s="327"/>
      <c r="AH6" s="327"/>
      <c r="AI6" s="327"/>
      <c r="AJ6" s="327"/>
      <c r="AK6" s="327"/>
      <c r="AL6" s="327"/>
      <c r="AM6" s="327"/>
      <c r="AN6" s="328"/>
      <c r="AO6" s="328"/>
      <c r="AP6" s="328"/>
      <c r="AQ6" s="328"/>
      <c r="AR6" s="328"/>
      <c r="AS6" s="328"/>
      <c r="AT6" s="328"/>
      <c r="AU6" s="328"/>
      <c r="AV6" s="328"/>
      <c r="AW6" s="328"/>
      <c r="AX6" s="328"/>
      <c r="AY6" s="328"/>
      <c r="AZ6" s="328"/>
      <c r="BA6" s="328"/>
      <c r="BB6" s="328"/>
      <c r="BC6" s="328"/>
      <c r="BD6" s="328"/>
      <c r="BE6" s="328"/>
      <c r="BF6" s="328"/>
      <c r="BG6" s="328"/>
      <c r="BH6" s="328"/>
      <c r="BI6" s="328"/>
      <c r="BJ6" s="328"/>
      <c r="BK6" s="328"/>
      <c r="BL6" s="328"/>
    </row>
    <row r="7" spans="1:69" s="67" customFormat="1" ht="13" x14ac:dyDescent="0.15">
      <c r="A7" s="314"/>
      <c r="D7" s="319"/>
      <c r="E7" s="319"/>
      <c r="F7" s="319"/>
      <c r="G7" s="319"/>
      <c r="H7" s="319"/>
      <c r="I7" s="319"/>
      <c r="J7" s="319"/>
      <c r="K7" s="319"/>
      <c r="L7" s="319"/>
      <c r="M7" s="319"/>
      <c r="N7" s="319"/>
      <c r="O7" s="319"/>
      <c r="P7" s="319"/>
      <c r="Q7" s="319"/>
      <c r="R7" s="319"/>
      <c r="S7" s="319"/>
      <c r="T7" s="319"/>
      <c r="U7" s="319"/>
      <c r="V7" s="319"/>
      <c r="W7" s="319"/>
      <c r="X7" s="319"/>
      <c r="Y7" s="319"/>
      <c r="Z7" s="319"/>
      <c r="AA7" s="319"/>
      <c r="AB7" s="319"/>
      <c r="AC7" s="319"/>
      <c r="AD7" s="319"/>
      <c r="AE7" s="319"/>
      <c r="AF7" s="319"/>
      <c r="AG7" s="319"/>
      <c r="AH7" s="319"/>
      <c r="AI7" s="319"/>
      <c r="AJ7" s="319"/>
      <c r="AK7" s="319"/>
      <c r="AL7" s="319"/>
      <c r="AM7" s="319"/>
      <c r="AN7" s="319"/>
      <c r="AO7" s="319"/>
      <c r="AP7" s="319"/>
      <c r="AQ7" s="319"/>
      <c r="AR7" s="319"/>
      <c r="AS7" s="319"/>
      <c r="AT7" s="319"/>
      <c r="AU7" s="319"/>
      <c r="AV7" s="319"/>
      <c r="AW7" s="319"/>
      <c r="AX7" s="319"/>
      <c r="AY7" s="319"/>
      <c r="AZ7" s="319"/>
      <c r="BA7" s="319"/>
      <c r="BB7" s="319"/>
      <c r="BC7" s="319"/>
      <c r="BD7" s="319"/>
      <c r="BE7" s="319"/>
      <c r="BF7" s="319"/>
      <c r="BG7" s="319"/>
      <c r="BH7" s="319"/>
      <c r="BI7" s="319"/>
      <c r="BJ7" s="319"/>
      <c r="BK7" s="319"/>
      <c r="BL7" s="319"/>
    </row>
    <row r="8" spans="1:69" s="67" customFormat="1" ht="14" thickBot="1" x14ac:dyDescent="0.2">
      <c r="A8" s="314"/>
      <c r="C8" s="315" t="s">
        <v>434</v>
      </c>
      <c r="D8" s="316" t="s">
        <v>435</v>
      </c>
      <c r="E8" s="329"/>
      <c r="F8" s="329"/>
      <c r="G8" s="330"/>
      <c r="H8" s="330"/>
      <c r="I8" s="330"/>
      <c r="J8" s="330"/>
      <c r="K8" s="330"/>
      <c r="L8" s="330"/>
      <c r="M8" s="330"/>
      <c r="N8" s="330"/>
      <c r="O8" s="330"/>
      <c r="P8" s="330"/>
      <c r="Q8" s="318"/>
      <c r="R8" s="318"/>
      <c r="S8" s="318"/>
      <c r="T8" s="318"/>
    </row>
    <row r="9" spans="1:69" s="67" customFormat="1" ht="13" x14ac:dyDescent="0.15">
      <c r="A9" s="317"/>
      <c r="B9" s="48"/>
      <c r="G9" s="318"/>
      <c r="H9" s="318"/>
      <c r="I9" s="318"/>
      <c r="J9" s="318"/>
      <c r="K9" s="318"/>
      <c r="L9" s="318"/>
      <c r="M9" s="318"/>
      <c r="N9" s="318"/>
      <c r="O9" s="318"/>
      <c r="P9" s="318"/>
      <c r="Q9" s="318"/>
      <c r="R9" s="318"/>
      <c r="S9" s="318"/>
      <c r="T9" s="318"/>
    </row>
    <row r="10" spans="1:69" s="67" customFormat="1" ht="13" x14ac:dyDescent="0.15">
      <c r="A10" s="317"/>
      <c r="B10" s="48"/>
      <c r="C10" s="48" t="s">
        <v>436</v>
      </c>
      <c r="E10" s="331" t="s">
        <v>437</v>
      </c>
      <c r="F10" s="331">
        <f>YEAR(D4)</f>
        <v>2025</v>
      </c>
      <c r="G10" s="331">
        <f>F10+1</f>
        <v>2026</v>
      </c>
      <c r="H10" s="331">
        <f>G10+1</f>
        <v>2027</v>
      </c>
      <c r="I10" s="331">
        <f>H10+1</f>
        <v>2028</v>
      </c>
      <c r="J10" s="331">
        <f>I10+1</f>
        <v>2029</v>
      </c>
      <c r="K10" s="331">
        <f>J10+1</f>
        <v>2030</v>
      </c>
      <c r="M10" s="318"/>
      <c r="O10" s="318"/>
      <c r="Q10" s="318"/>
      <c r="R10" s="318"/>
      <c r="S10" s="318"/>
      <c r="T10" s="318"/>
    </row>
    <row r="11" spans="1:69" s="67" customFormat="1" ht="13" x14ac:dyDescent="0.15">
      <c r="A11" s="317"/>
      <c r="B11" s="48"/>
      <c r="C11" s="66"/>
      <c r="E11" s="332" t="s">
        <v>438</v>
      </c>
      <c r="F11" s="332" t="s">
        <v>438</v>
      </c>
      <c r="G11" s="332" t="s">
        <v>438</v>
      </c>
      <c r="H11" s="332" t="s">
        <v>438</v>
      </c>
      <c r="I11" s="332" t="s">
        <v>438</v>
      </c>
      <c r="J11" s="332" t="s">
        <v>438</v>
      </c>
      <c r="K11" s="332" t="s">
        <v>438</v>
      </c>
      <c r="M11" s="318"/>
      <c r="O11" s="318"/>
      <c r="Q11" s="318"/>
      <c r="R11" s="318"/>
      <c r="S11" s="318"/>
      <c r="T11" s="318"/>
    </row>
    <row r="12" spans="1:69" s="67" customFormat="1" ht="13" x14ac:dyDescent="0.15">
      <c r="A12" s="317"/>
      <c r="B12" s="48"/>
      <c r="H12" s="318"/>
      <c r="I12" s="318"/>
      <c r="J12" s="318"/>
      <c r="K12" s="318"/>
      <c r="M12" s="318"/>
      <c r="O12" s="318"/>
      <c r="Q12" s="318"/>
      <c r="R12" s="318"/>
      <c r="S12" s="318"/>
      <c r="T12" s="318"/>
    </row>
    <row r="13" spans="1:69" s="67" customFormat="1" ht="13" x14ac:dyDescent="0.15">
      <c r="A13" s="314"/>
      <c r="C13" s="48" t="s">
        <v>439</v>
      </c>
      <c r="E13" s="333" t="e">
        <f>SUM(F13:O13)</f>
        <v>#REF!</v>
      </c>
      <c r="F13" s="334" t="e">
        <f t="shared" ref="F13:K13" si="2">SUMIF($D$5:$BL$5,F$10,$D$6:$BL$6)</f>
        <v>#REF!</v>
      </c>
      <c r="G13" s="334">
        <f t="shared" si="2"/>
        <v>0</v>
      </c>
      <c r="H13" s="334">
        <f t="shared" si="2"/>
        <v>0</v>
      </c>
      <c r="I13" s="334">
        <f t="shared" si="2"/>
        <v>0</v>
      </c>
      <c r="J13" s="334">
        <f t="shared" si="2"/>
        <v>0</v>
      </c>
      <c r="K13" s="334">
        <f t="shared" si="2"/>
        <v>0</v>
      </c>
      <c r="M13" s="335"/>
      <c r="O13" s="335"/>
      <c r="Q13" s="336"/>
      <c r="R13" s="336"/>
      <c r="S13" s="336"/>
      <c r="T13" s="336"/>
      <c r="U13" s="336"/>
      <c r="V13" s="336"/>
      <c r="W13" s="336"/>
      <c r="X13" s="336"/>
      <c r="Y13" s="336"/>
      <c r="Z13" s="336"/>
      <c r="AA13" s="336"/>
      <c r="AB13" s="336"/>
      <c r="AC13" s="336"/>
      <c r="AD13" s="336"/>
      <c r="AE13" s="336"/>
      <c r="AF13" s="336"/>
    </row>
    <row r="14" spans="1:69" s="67" customFormat="1" ht="13" x14ac:dyDescent="0.15">
      <c r="A14" s="314"/>
      <c r="C14" s="67" t="s">
        <v>440</v>
      </c>
      <c r="E14" s="337" t="e">
        <f>AVERAGE(D6:AM6)</f>
        <v>#REF!</v>
      </c>
      <c r="F14" s="338">
        <f t="shared" ref="F14:K14" si="3">IFERROR(F13/COUNTIFS($D$5:$BL$5,F10,$D$6:$BL$6,"&lt;&gt;"&amp;""),0)</f>
        <v>0</v>
      </c>
      <c r="G14" s="338">
        <f t="shared" si="3"/>
        <v>0</v>
      </c>
      <c r="H14" s="338">
        <f t="shared" si="3"/>
        <v>0</v>
      </c>
      <c r="I14" s="338">
        <f t="shared" si="3"/>
        <v>0</v>
      </c>
      <c r="J14" s="338">
        <f t="shared" si="3"/>
        <v>0</v>
      </c>
      <c r="K14" s="338">
        <f t="shared" si="3"/>
        <v>0</v>
      </c>
      <c r="M14" s="339"/>
      <c r="O14" s="339"/>
      <c r="Q14" s="336"/>
      <c r="R14" s="336"/>
      <c r="S14" s="336"/>
      <c r="T14" s="336"/>
      <c r="U14" s="336"/>
      <c r="V14" s="336"/>
      <c r="W14" s="336"/>
      <c r="X14" s="336"/>
      <c r="Y14" s="336"/>
      <c r="Z14" s="336"/>
      <c r="AA14" s="336"/>
      <c r="AB14" s="336"/>
      <c r="AC14" s="336"/>
      <c r="AD14" s="336"/>
      <c r="AE14" s="336"/>
      <c r="AF14" s="336"/>
    </row>
    <row r="15" spans="1:69" s="67" customFormat="1" ht="13" x14ac:dyDescent="0.15">
      <c r="A15" s="314"/>
      <c r="C15" s="48"/>
      <c r="E15" s="340"/>
      <c r="F15" s="336"/>
      <c r="G15" s="336"/>
      <c r="H15" s="336"/>
      <c r="I15" s="336"/>
      <c r="J15" s="336"/>
      <c r="K15" s="336"/>
      <c r="M15" s="339"/>
      <c r="O15" s="339"/>
      <c r="Q15" s="336"/>
      <c r="R15" s="336"/>
      <c r="S15" s="336"/>
      <c r="T15" s="336"/>
      <c r="U15" s="336"/>
      <c r="V15" s="336"/>
      <c r="W15" s="336"/>
      <c r="X15" s="336"/>
      <c r="Y15" s="336"/>
      <c r="Z15" s="336"/>
      <c r="AA15" s="336"/>
      <c r="AB15" s="336"/>
      <c r="AC15" s="336"/>
      <c r="AD15" s="336"/>
      <c r="AE15" s="336"/>
      <c r="AF15" s="336"/>
    </row>
    <row r="16" spans="1:69" s="67" customFormat="1" ht="13" x14ac:dyDescent="0.15">
      <c r="A16" s="314"/>
      <c r="C16" s="48" t="s">
        <v>441</v>
      </c>
      <c r="E16" s="341"/>
      <c r="F16" s="341" t="e">
        <f ca="1">OFFSET(PnL_Speadsheet!$A$7,0,MATCH(DATE('Saleplan&amp;PnL'!F$10,12,31),PnL_Speadsheet!$B$4:$BI$4,0))/1000</f>
        <v>#REF!</v>
      </c>
      <c r="G16" s="341" t="e">
        <f ca="1">OFFSET(PnL_Speadsheet!$A$7,0,MATCH(DATE('Saleplan&amp;PnL'!G$10,12,31),PnL_Speadsheet!$B$4:$BI$4,0))/1000</f>
        <v>#REF!</v>
      </c>
      <c r="H16" s="341" t="e">
        <f ca="1">OFFSET(PnL_Speadsheet!$A$7,0,MATCH(DATE('Saleplan&amp;PnL'!H$10,12,31),PnL_Speadsheet!$B$4:$BI$4,0))/1000</f>
        <v>#REF!</v>
      </c>
      <c r="I16" s="341" t="e">
        <f ca="1">OFFSET(PnL_Speadsheet!$A$7,0,MATCH(DATE('Saleplan&amp;PnL'!I$10,12,31),PnL_Speadsheet!$B$4:$BI$4,0))/1000</f>
        <v>#REF!</v>
      </c>
      <c r="J16" s="341" t="e">
        <f ca="1">OFFSET(PnL_Speadsheet!$A$7,0,MATCH(DATE('Saleplan&amp;PnL'!J$10,12,31),PnL_Speadsheet!$B$4:$BI$4,0))/1000</f>
        <v>#REF!</v>
      </c>
      <c r="K16" s="341">
        <f ca="1">IFERROR(OFFSET(PnL_Speadsheet!$A$7,0,MATCH(DATE('Saleplan&amp;PnL'!K$10,12,31),PnL_Speadsheet!$B$4:$BI$4,0))/1000,0)</f>
        <v>0</v>
      </c>
      <c r="M16" s="333"/>
      <c r="O16" s="333"/>
      <c r="Q16" s="336"/>
      <c r="R16" s="336"/>
      <c r="S16" s="336"/>
      <c r="T16" s="336"/>
      <c r="U16" s="336"/>
      <c r="V16" s="336"/>
      <c r="W16" s="336"/>
      <c r="X16" s="336"/>
      <c r="Y16" s="336"/>
      <c r="Z16" s="336"/>
      <c r="AA16" s="336"/>
      <c r="AB16" s="336"/>
      <c r="AC16" s="336"/>
      <c r="AD16" s="336"/>
      <c r="AE16" s="336"/>
      <c r="AF16" s="336"/>
    </row>
    <row r="17" spans="1:32" s="67" customFormat="1" ht="13" x14ac:dyDescent="0.15">
      <c r="A17" s="314"/>
      <c r="C17" s="48" t="s">
        <v>442</v>
      </c>
      <c r="E17" s="342">
        <f ca="1">IFERROR(SUM(PnL_Speadsheet!B8:AK8)/1000/COUNTIF(PnL_Speadsheet!B8:BI8,"&lt;&gt;0"),0)</f>
        <v>0</v>
      </c>
      <c r="F17" s="342">
        <f ca="1">IFERROR(SUMIF(PnL_Speadsheet!$B$3:$BI$3,F$10,PnL_Speadsheet!$B8:$BI8)/1000/COUNTIFS(PnL_Speadsheet!$B$3:$BI$3,'Saleplan&amp;PnL'!F$10,PnL_Speadsheet!$B$8:$BI$8,"&lt;&gt;0"),0)</f>
        <v>0</v>
      </c>
      <c r="G17" s="342">
        <f ca="1">IFERROR(SUMIF(PnL_Speadsheet!$B$3:$BI$3,G$10,PnL_Speadsheet!$B8:$BI8)/1000/COUNTIFS(PnL_Speadsheet!$B$3:$BI$3,'Saleplan&amp;PnL'!G$10,PnL_Speadsheet!$B$8:$BI$8,"&lt;&gt;0"),0)</f>
        <v>0</v>
      </c>
      <c r="H17" s="342">
        <f ca="1">IFERROR(SUMIF(PnL_Speadsheet!$B$3:$BI$3,H$10,PnL_Speadsheet!$B8:$BI8)/1000/COUNTIFS(PnL_Speadsheet!$B$3:$BI$3,'Saleplan&amp;PnL'!H$10,PnL_Speadsheet!$B$8:$BI$8,"&lt;&gt;0"),0)</f>
        <v>0</v>
      </c>
      <c r="I17" s="342">
        <f ca="1">IFERROR(SUMIF(PnL_Speadsheet!$B$3:$BI$3,I$10,PnL_Speadsheet!$B8:$BI8)/1000/COUNTIFS(PnL_Speadsheet!$B$3:$BI$3,'Saleplan&amp;PnL'!I$10,PnL_Speadsheet!$B$8:$BI$8,"&lt;&gt;0"),0)</f>
        <v>0</v>
      </c>
      <c r="J17" s="342">
        <f ca="1">IFERROR(SUMIF(PnL_Speadsheet!$B$3:$BI$3,J$10,PnL_Speadsheet!$B8:$BI8)/1000/COUNTIFS(PnL_Speadsheet!$B$3:$BI$3,'Saleplan&amp;PnL'!J$10,PnL_Speadsheet!$B$8:$BI$8,"&lt;&gt;0"),0)</f>
        <v>0</v>
      </c>
      <c r="K17" s="342">
        <f>IFERROR(SUMIF(PnL_Speadsheet!$B$3:$BI$3,K$10,PnL_Speadsheet!$B8:$BI8)/1000/COUNTIFS(PnL_Speadsheet!$B$3:$BI$3,'Saleplan&amp;PnL'!K$10,PnL_Speadsheet!$B$8:$BI$8,"&lt;&gt;0"),0)</f>
        <v>0</v>
      </c>
      <c r="M17" s="333"/>
      <c r="O17" s="333"/>
      <c r="Q17" s="336"/>
      <c r="R17" s="343"/>
      <c r="S17" s="343"/>
      <c r="T17" s="343"/>
      <c r="U17" s="343"/>
      <c r="V17" s="343"/>
      <c r="W17" s="343"/>
      <c r="X17" s="343"/>
      <c r="Y17" s="343"/>
      <c r="Z17" s="343"/>
      <c r="AA17" s="343"/>
      <c r="AB17" s="343"/>
      <c r="AC17" s="343"/>
      <c r="AD17" s="343"/>
      <c r="AE17" s="343"/>
      <c r="AF17" s="343"/>
    </row>
    <row r="18" spans="1:32" s="67" customFormat="1" ht="13" x14ac:dyDescent="0.15">
      <c r="A18" s="314"/>
      <c r="E18" s="344"/>
      <c r="F18" s="344"/>
      <c r="G18" s="344"/>
      <c r="H18" s="344"/>
      <c r="I18" s="344"/>
      <c r="J18" s="344"/>
      <c r="K18" s="344"/>
      <c r="M18" s="340"/>
      <c r="O18" s="340"/>
      <c r="Q18" s="336"/>
      <c r="R18" s="343"/>
      <c r="S18" s="343"/>
      <c r="T18" s="343"/>
      <c r="U18" s="343"/>
      <c r="V18" s="343"/>
      <c r="W18" s="343"/>
      <c r="X18" s="343"/>
      <c r="Y18" s="343"/>
      <c r="Z18" s="343"/>
      <c r="AA18" s="343"/>
      <c r="AB18" s="343"/>
      <c r="AC18" s="343"/>
      <c r="AD18" s="343"/>
      <c r="AE18" s="343"/>
      <c r="AF18" s="343"/>
    </row>
    <row r="19" spans="1:32" s="48" customFormat="1" ht="13" x14ac:dyDescent="0.15">
      <c r="A19" s="317"/>
      <c r="C19" s="48" t="s">
        <v>192</v>
      </c>
      <c r="E19" s="345" t="e">
        <f t="shared" ref="E19:E31" ca="1" si="4">SUM(F19:O19)</f>
        <v>#REF!</v>
      </c>
      <c r="F19" s="341" t="e">
        <f ca="1">SUMIF(PnL_Speadsheet!$B$3:$BI$3,F$10,PnL_Speadsheet!$B9:$BI9)/1000</f>
        <v>#REF!</v>
      </c>
      <c r="G19" s="341" t="e">
        <f ca="1">SUMIF(PnL_Speadsheet!$B$3:$BI$3,G$10,PnL_Speadsheet!$B9:$BI9)/1000</f>
        <v>#REF!</v>
      </c>
      <c r="H19" s="341" t="e">
        <f ca="1">SUMIF(PnL_Speadsheet!$B$3:$BI$3,H$10,PnL_Speadsheet!$B9:$BI9)/1000</f>
        <v>#REF!</v>
      </c>
      <c r="I19" s="341" t="e">
        <f ca="1">SUMIF(PnL_Speadsheet!$B$3:$BI$3,I$10,PnL_Speadsheet!$B9:$BI9)/1000</f>
        <v>#REF!</v>
      </c>
      <c r="J19" s="341" t="e">
        <f ca="1">SUMIF(PnL_Speadsheet!$B$3:$BI$3,J$10,PnL_Speadsheet!$B9:$BI9)/1000</f>
        <v>#REF!</v>
      </c>
      <c r="K19" s="341">
        <f>SUMIF(PnL_Speadsheet!$B$3:$BI$3,K$10,PnL_Speadsheet!$B9:$BI9)/1000</f>
        <v>0</v>
      </c>
      <c r="M19" s="335"/>
      <c r="O19" s="335"/>
      <c r="Q19" s="336"/>
      <c r="R19" s="346"/>
      <c r="S19" s="346"/>
      <c r="T19" s="346"/>
      <c r="U19" s="346"/>
      <c r="V19" s="346"/>
      <c r="W19" s="346"/>
      <c r="X19" s="346"/>
      <c r="Y19" s="346"/>
      <c r="Z19" s="346"/>
      <c r="AA19" s="346"/>
      <c r="AB19" s="346"/>
      <c r="AC19" s="346"/>
      <c r="AD19" s="346"/>
      <c r="AE19" s="346"/>
      <c r="AF19" s="346"/>
    </row>
    <row r="20" spans="1:32" s="67" customFormat="1" ht="13" x14ac:dyDescent="0.15">
      <c r="A20" s="314"/>
      <c r="C20" s="347" t="s">
        <v>443</v>
      </c>
      <c r="E20" s="344" t="e">
        <f t="shared" ca="1" si="4"/>
        <v>#REF!</v>
      </c>
      <c r="F20" s="348" t="e">
        <f ca="1">SUMIF(PnL_Speadsheet!$B$3:$BI$3,F$10,PnL_Speadsheet!$B11:$BI11)/1000</f>
        <v>#REF!</v>
      </c>
      <c r="G20" s="348" t="e">
        <f ca="1">SUMIF(PnL_Speadsheet!$B$3:$BI$3,G$10,PnL_Speadsheet!$B11:$BI11)/1000</f>
        <v>#REF!</v>
      </c>
      <c r="H20" s="348" t="e">
        <f ca="1">SUMIF(PnL_Speadsheet!$B$3:$BI$3,H$10,PnL_Speadsheet!$B11:$BI11)/1000</f>
        <v>#REF!</v>
      </c>
      <c r="I20" s="348" t="e">
        <f ca="1">SUMIF(PnL_Speadsheet!$B$3:$BI$3,I$10,PnL_Speadsheet!$B11:$BI11)/1000</f>
        <v>#REF!</v>
      </c>
      <c r="J20" s="348" t="e">
        <f ca="1">SUMIF(PnL_Speadsheet!$B$3:$BI$3,J$10,PnL_Speadsheet!$B11:$BI11)/1000</f>
        <v>#REF!</v>
      </c>
      <c r="K20" s="348">
        <f>SUMIF(PnL_Speadsheet!$B$3:$BI$3,K$10,PnL_Speadsheet!$B11:$BI11)/1000</f>
        <v>0</v>
      </c>
      <c r="M20" s="339"/>
      <c r="O20" s="339"/>
      <c r="Q20" s="336"/>
    </row>
    <row r="21" spans="1:32" s="67" customFormat="1" ht="13" x14ac:dyDescent="0.15">
      <c r="A21" s="314"/>
      <c r="C21" s="347" t="s">
        <v>444</v>
      </c>
      <c r="E21" s="344" t="e">
        <f t="shared" ca="1" si="4"/>
        <v>#REF!</v>
      </c>
      <c r="F21" s="348" t="e">
        <f ca="1">SUMIF(PnL_Speadsheet!$B$3:$BI$3,F$10,PnL_Speadsheet!$B14:$BI14)/1000</f>
        <v>#REF!</v>
      </c>
      <c r="G21" s="348" t="e">
        <f ca="1">SUMIF(PnL_Speadsheet!$B$3:$BI$3,G$10,PnL_Speadsheet!$B14:$BI14)/1000</f>
        <v>#REF!</v>
      </c>
      <c r="H21" s="348" t="e">
        <f ca="1">SUMIF(PnL_Speadsheet!$B$3:$BI$3,H$10,PnL_Speadsheet!$B14:$BI14)/1000</f>
        <v>#REF!</v>
      </c>
      <c r="I21" s="348" t="e">
        <f ca="1">SUMIF(PnL_Speadsheet!$B$3:$BI$3,I$10,PnL_Speadsheet!$B14:$BI14)/1000</f>
        <v>#REF!</v>
      </c>
      <c r="J21" s="348" t="e">
        <f ca="1">SUMIF(PnL_Speadsheet!$B$3:$BI$3,J$10,PnL_Speadsheet!$B14:$BI14)/1000</f>
        <v>#REF!</v>
      </c>
      <c r="K21" s="348">
        <f>SUMIF(PnL_Speadsheet!$B$3:$BI$3,K$10,PnL_Speadsheet!$B14:$BI14)/1000</f>
        <v>0</v>
      </c>
      <c r="M21" s="339"/>
      <c r="O21" s="339"/>
      <c r="Q21" s="336"/>
    </row>
    <row r="22" spans="1:32" s="67" customFormat="1" ht="13" x14ac:dyDescent="0.15">
      <c r="A22" s="314"/>
      <c r="C22" s="347" t="s">
        <v>445</v>
      </c>
      <c r="E22" s="344" t="e">
        <f t="shared" ca="1" si="4"/>
        <v>#REF!</v>
      </c>
      <c r="F22" s="348" t="e">
        <f ca="1">SUMIF(PnL_Speadsheet!$B$3:$BI$3,F$10,PnL_Speadsheet!$B18:$BI18)/1000</f>
        <v>#REF!</v>
      </c>
      <c r="G22" s="348" t="e">
        <f ca="1">SUMIF(PnL_Speadsheet!$B$3:$BI$3,G$10,PnL_Speadsheet!$B18:$BI18)/1000</f>
        <v>#REF!</v>
      </c>
      <c r="H22" s="348" t="e">
        <f ca="1">SUMIF(PnL_Speadsheet!$B$3:$BI$3,H$10,PnL_Speadsheet!$B18:$BI18)/1000</f>
        <v>#REF!</v>
      </c>
      <c r="I22" s="348" t="e">
        <f ca="1">SUMIF(PnL_Speadsheet!$B$3:$BI$3,I$10,PnL_Speadsheet!$B18:$BI18)/1000</f>
        <v>#REF!</v>
      </c>
      <c r="J22" s="348" t="e">
        <f ca="1">SUMIF(PnL_Speadsheet!$B$3:$BI$3,J$10,PnL_Speadsheet!$B18:$BI18)/1000</f>
        <v>#REF!</v>
      </c>
      <c r="K22" s="348">
        <f>SUMIF(PnL_Speadsheet!$B$3:$BI$3,K$10,PnL_Speadsheet!$B18:$BI18)/1000</f>
        <v>0</v>
      </c>
      <c r="M22" s="339"/>
      <c r="O22" s="339"/>
      <c r="Q22" s="336"/>
    </row>
    <row r="23" spans="1:32" s="48" customFormat="1" ht="13" x14ac:dyDescent="0.15">
      <c r="A23" s="317"/>
      <c r="C23" s="48" t="s">
        <v>196</v>
      </c>
      <c r="E23" s="345" t="e">
        <f ca="1">SUM(F23:O23)</f>
        <v>#REF!</v>
      </c>
      <c r="F23" s="341" t="e">
        <f ca="1">SUMIF(PnL_Speadsheet!$B$3:$BI$3,F$10,PnL_Speadsheet!$B31:$BI31)/1000</f>
        <v>#REF!</v>
      </c>
      <c r="G23" s="341" t="e">
        <f ca="1">SUMIF(PnL_Speadsheet!$B$3:$BI$3,G$10,PnL_Speadsheet!$B31:$BI31)/1000</f>
        <v>#REF!</v>
      </c>
      <c r="H23" s="341" t="e">
        <f ca="1">SUMIF(PnL_Speadsheet!$B$3:$BI$3,H$10,PnL_Speadsheet!$B31:$BI31)/1000</f>
        <v>#REF!</v>
      </c>
      <c r="I23" s="341" t="e">
        <f ca="1">SUMIF(PnL_Speadsheet!$B$3:$BI$3,I$10,PnL_Speadsheet!$B31:$BI31)/1000</f>
        <v>#REF!</v>
      </c>
      <c r="J23" s="341" t="e">
        <f ca="1">SUMIF(PnL_Speadsheet!$B$3:$BI$3,J$10,PnL_Speadsheet!$B31:$BI31)/1000</f>
        <v>#REF!</v>
      </c>
      <c r="K23" s="341">
        <f>SUMIF(PnL_Speadsheet!$B$3:$BI$3,K$10,PnL_Speadsheet!$B31:$BI31)/1000</f>
        <v>0</v>
      </c>
      <c r="M23" s="335"/>
      <c r="O23" s="335"/>
      <c r="Q23" s="336"/>
    </row>
    <row r="24" spans="1:32" s="48" customFormat="1" ht="13" x14ac:dyDescent="0.15">
      <c r="A24" s="317"/>
      <c r="C24" s="48" t="s">
        <v>199</v>
      </c>
      <c r="E24" s="345" t="e">
        <f t="shared" ca="1" si="4"/>
        <v>#REF!</v>
      </c>
      <c r="F24" s="341" t="e">
        <f ca="1">SUMIF(PnL_Speadsheet!$B$3:$BI$3,F$10,PnL_Speadsheet!$B19:$BI19)/1000</f>
        <v>#REF!</v>
      </c>
      <c r="G24" s="341" t="e">
        <f ca="1">SUMIF(PnL_Speadsheet!$B$3:$BI$3,G$10,PnL_Speadsheet!$B19:$BI19)/1000</f>
        <v>#REF!</v>
      </c>
      <c r="H24" s="341" t="e">
        <f ca="1">SUMIF(PnL_Speadsheet!$B$3:$BI$3,H$10,PnL_Speadsheet!$B19:$BI19)/1000</f>
        <v>#REF!</v>
      </c>
      <c r="I24" s="341" t="e">
        <f ca="1">SUMIF(PnL_Speadsheet!$B$3:$BI$3,I$10,PnL_Speadsheet!$B19:$BI19)/1000</f>
        <v>#REF!</v>
      </c>
      <c r="J24" s="341" t="e">
        <f ca="1">SUMIF(PnL_Speadsheet!$B$3:$BI$3,J$10,PnL_Speadsheet!$B19:$BI19)/1000</f>
        <v>#REF!</v>
      </c>
      <c r="K24" s="341">
        <f>SUMIF(PnL_Speadsheet!$B$3:$BI$3,K$10,PnL_Speadsheet!$B19:$BI19)/1000</f>
        <v>0</v>
      </c>
      <c r="M24" s="335"/>
      <c r="O24" s="335"/>
      <c r="Q24" s="336"/>
    </row>
    <row r="25" spans="1:32" s="67" customFormat="1" ht="13" x14ac:dyDescent="0.15">
      <c r="A25" s="314"/>
      <c r="C25" s="347" t="s">
        <v>446</v>
      </c>
      <c r="E25" s="344" t="e">
        <f ca="1">SUM(F25:O25)</f>
        <v>#REF!</v>
      </c>
      <c r="F25" s="348" t="e">
        <f ca="1">(SUMIF(PnL_Speadsheet!$B$3:$BI$3,F$10,PnL_Speadsheet!$B21:$BI22)/1000+SUMIF(PnL_Speadsheet!$B$3:$BI$3,F$10,PnL_Speadsheet!$B22:$BI22)/1000)</f>
        <v>#REF!</v>
      </c>
      <c r="G25" s="348" t="e">
        <f ca="1">(SUMIF(PnL_Speadsheet!$B$3:$BI$3,G$10,PnL_Speadsheet!$B21:$BI22)/1000+SUMIF(PnL_Speadsheet!$B$3:$BI$3,G$10,PnL_Speadsheet!$B22:$BI22)/1000)</f>
        <v>#REF!</v>
      </c>
      <c r="H25" s="348" t="e">
        <f ca="1">(SUMIF(PnL_Speadsheet!$B$3:$BI$3,H$10,PnL_Speadsheet!$B21:$BI22)/1000+SUMIF(PnL_Speadsheet!$B$3:$BI$3,H$10,PnL_Speadsheet!$B22:$BI22)/1000)</f>
        <v>#REF!</v>
      </c>
      <c r="I25" s="348" t="e">
        <f ca="1">(SUMIF(PnL_Speadsheet!$B$3:$BI$3,I$10,PnL_Speadsheet!$B21:$BI22)/1000+SUMIF(PnL_Speadsheet!$B$3:$BI$3,I$10,PnL_Speadsheet!$B22:$BI22)/1000)</f>
        <v>#REF!</v>
      </c>
      <c r="J25" s="348" t="e">
        <f ca="1">(SUMIF(PnL_Speadsheet!$B$3:$BI$3,J$10,PnL_Speadsheet!$B21:$BI22)/1000+SUMIF(PnL_Speadsheet!$B$3:$BI$3,J$10,PnL_Speadsheet!$B22:$BI22)/1000)</f>
        <v>#REF!</v>
      </c>
      <c r="K25" s="348">
        <f>(SUMIF(PnL_Speadsheet!$B$3:$BI$3,K$10,PnL_Speadsheet!$B21:$BI22)/1000+SUMIF(PnL_Speadsheet!$B$3:$BI$3,K$10,PnL_Speadsheet!$B22:$BI22)/1000)</f>
        <v>0</v>
      </c>
      <c r="M25" s="339"/>
      <c r="O25" s="339"/>
      <c r="Q25" s="336"/>
    </row>
    <row r="26" spans="1:32" s="67" customFormat="1" ht="13" x14ac:dyDescent="0.15">
      <c r="A26" s="314"/>
      <c r="C26" s="347" t="s">
        <v>221</v>
      </c>
      <c r="E26" s="344" t="e">
        <f t="shared" ca="1" si="4"/>
        <v>#REF!</v>
      </c>
      <c r="F26" s="348" t="e">
        <f ca="1">SUMIF(PnL_Speadsheet!$B$3:$BI$3,F$10,PnL_Speadsheet!$B23:$BI23)/1000</f>
        <v>#REF!</v>
      </c>
      <c r="G26" s="348" t="e">
        <f ca="1">SUMIF(PnL_Speadsheet!$B$3:$BI$3,G$10,PnL_Speadsheet!$B23:$BI23)/1000</f>
        <v>#REF!</v>
      </c>
      <c r="H26" s="348" t="e">
        <f ca="1">SUMIF(PnL_Speadsheet!$B$3:$BI$3,H$10,PnL_Speadsheet!$B23:$BI23)/1000</f>
        <v>#REF!</v>
      </c>
      <c r="I26" s="348" t="e">
        <f ca="1">SUMIF(PnL_Speadsheet!$B$3:$BI$3,I$10,PnL_Speadsheet!$B23:$BI23)/1000</f>
        <v>#REF!</v>
      </c>
      <c r="J26" s="348" t="e">
        <f ca="1">SUMIF(PnL_Speadsheet!$B$3:$BI$3,J$10,PnL_Speadsheet!$B23:$BI23)/1000</f>
        <v>#REF!</v>
      </c>
      <c r="K26" s="348">
        <f>SUMIF(PnL_Speadsheet!$B$3:$BI$3,K$10,PnL_Speadsheet!$B23:$BI23)/1000</f>
        <v>0</v>
      </c>
      <c r="M26" s="339"/>
      <c r="O26" s="339"/>
      <c r="Q26" s="336"/>
    </row>
    <row r="27" spans="1:32" s="67" customFormat="1" ht="13" x14ac:dyDescent="0.15">
      <c r="A27" s="314"/>
      <c r="C27" s="347" t="s">
        <v>200</v>
      </c>
      <c r="E27" s="344" t="e">
        <f t="shared" ca="1" si="4"/>
        <v>#REF!</v>
      </c>
      <c r="F27" s="348" t="e">
        <f ca="1">SUMIF(PnL_Speadsheet!$B$3:$BI$3,F$10,PnL_Speadsheet!$B24:$BI24)/1000</f>
        <v>#REF!</v>
      </c>
      <c r="G27" s="348" t="e">
        <f ca="1">SUMIF(PnL_Speadsheet!$B$3:$BI$3,G$10,PnL_Speadsheet!$B24:$BI24)/1000</f>
        <v>#REF!</v>
      </c>
      <c r="H27" s="348" t="e">
        <f ca="1">SUMIF(PnL_Speadsheet!$B$3:$BI$3,H$10,PnL_Speadsheet!$B24:$BI24)/1000</f>
        <v>#REF!</v>
      </c>
      <c r="I27" s="348" t="e">
        <f ca="1">SUMIF(PnL_Speadsheet!$B$3:$BI$3,I$10,PnL_Speadsheet!$B24:$BI24)/1000</f>
        <v>#REF!</v>
      </c>
      <c r="J27" s="348" t="e">
        <f ca="1">SUMIF(PnL_Speadsheet!$B$3:$BI$3,J$10,PnL_Speadsheet!$B24:$BI24)/1000</f>
        <v>#REF!</v>
      </c>
      <c r="K27" s="348">
        <f>SUMIF(PnL_Speadsheet!$B$3:$BI$3,K$10,PnL_Speadsheet!$B24:$BI24)/1000</f>
        <v>0</v>
      </c>
      <c r="M27" s="339"/>
      <c r="O27" s="339"/>
      <c r="Q27" s="336"/>
    </row>
    <row r="28" spans="1:32" s="67" customFormat="1" ht="13" x14ac:dyDescent="0.15">
      <c r="A28" s="314"/>
      <c r="C28" s="347" t="s">
        <v>131</v>
      </c>
      <c r="E28" s="344" t="e">
        <f t="shared" ca="1" si="4"/>
        <v>#REF!</v>
      </c>
      <c r="F28" s="348" t="e">
        <f ca="1">SUMIF(PnL_Speadsheet!$B$3:$BI$3,F$10,PnL_Speadsheet!$B28:$BI28)/1000</f>
        <v>#REF!</v>
      </c>
      <c r="G28" s="348" t="e">
        <f ca="1">SUMIF(PnL_Speadsheet!$B$3:$BI$3,G$10,PnL_Speadsheet!$B28:$BI28)/1000</f>
        <v>#REF!</v>
      </c>
      <c r="H28" s="348" t="e">
        <f ca="1">SUMIF(PnL_Speadsheet!$B$3:$BI$3,H$10,PnL_Speadsheet!$B28:$BI28)/1000</f>
        <v>#REF!</v>
      </c>
      <c r="I28" s="348" t="e">
        <f ca="1">SUMIF(PnL_Speadsheet!$B$3:$BI$3,I$10,PnL_Speadsheet!$B28:$BI28)/1000</f>
        <v>#REF!</v>
      </c>
      <c r="J28" s="348" t="e">
        <f ca="1">SUMIF(PnL_Speadsheet!$B$3:$BI$3,J$10,PnL_Speadsheet!$B28:$BI28)/1000</f>
        <v>#REF!</v>
      </c>
      <c r="K28" s="348">
        <f>SUMIF(PnL_Speadsheet!$B$3:$BI$3,K$10,PnL_Speadsheet!$B28:$BI28)/1000</f>
        <v>0</v>
      </c>
      <c r="M28" s="339"/>
      <c r="O28" s="339"/>
      <c r="Q28" s="336"/>
    </row>
    <row r="29" spans="1:32" s="67" customFormat="1" ht="13" x14ac:dyDescent="0.15">
      <c r="A29" s="314"/>
      <c r="C29" s="347" t="s">
        <v>447</v>
      </c>
      <c r="E29" s="344" t="e">
        <f t="shared" ca="1" si="4"/>
        <v>#REF!</v>
      </c>
      <c r="F29" s="348" t="e">
        <f ca="1">SUMIF(PnL_Speadsheet!$B$3:$BI$3,F$10,PnL_Speadsheet!$B29:$BI29)/1000</f>
        <v>#REF!</v>
      </c>
      <c r="G29" s="348" t="e">
        <f ca="1">SUMIF(PnL_Speadsheet!$B$3:$BI$3,G$10,PnL_Speadsheet!$B29:$BI29)/1000</f>
        <v>#REF!</v>
      </c>
      <c r="H29" s="348" t="e">
        <f ca="1">SUMIF(PnL_Speadsheet!$B$3:$BI$3,H$10,PnL_Speadsheet!$B29:$BI29)/1000</f>
        <v>#REF!</v>
      </c>
      <c r="I29" s="348" t="e">
        <f ca="1">SUMIF(PnL_Speadsheet!$B$3:$BI$3,I$10,PnL_Speadsheet!$B29:$BI29)/1000</f>
        <v>#REF!</v>
      </c>
      <c r="J29" s="348" t="e">
        <f ca="1">SUMIF(PnL_Speadsheet!$B$3:$BI$3,J$10,PnL_Speadsheet!$B29:$BI29)/1000</f>
        <v>#REF!</v>
      </c>
      <c r="K29" s="348">
        <f>SUMIF(PnL_Speadsheet!$B$3:$BI$3,K$10,PnL_Speadsheet!$B29:$BI29)/1000</f>
        <v>0</v>
      </c>
      <c r="M29" s="339"/>
      <c r="O29" s="339"/>
      <c r="Q29" s="336"/>
    </row>
    <row r="30" spans="1:32" s="67" customFormat="1" ht="13" x14ac:dyDescent="0.15">
      <c r="A30" s="314"/>
      <c r="C30" s="347" t="s">
        <v>235</v>
      </c>
      <c r="E30" s="344" t="e">
        <f t="shared" ca="1" si="4"/>
        <v>#REF!</v>
      </c>
      <c r="F30" s="348" t="e">
        <f ca="1">SUMIF(PnL_Speadsheet!$B$3:$BI$3,F$10,PnL_Speadsheet!$B30:$BI30)/1000</f>
        <v>#REF!</v>
      </c>
      <c r="G30" s="348" t="e">
        <f ca="1">SUMIF(PnL_Speadsheet!$B$3:$BI$3,G$10,PnL_Speadsheet!$B30:$BI30)/1000</f>
        <v>#REF!</v>
      </c>
      <c r="H30" s="348" t="e">
        <f ca="1">SUMIF(PnL_Speadsheet!$B$3:$BI$3,H$10,PnL_Speadsheet!$B30:$BI30)/1000</f>
        <v>#REF!</v>
      </c>
      <c r="I30" s="348" t="e">
        <f ca="1">SUMIF(PnL_Speadsheet!$B$3:$BI$3,I$10,PnL_Speadsheet!$B30:$BI30)/1000</f>
        <v>#REF!</v>
      </c>
      <c r="J30" s="348" t="e">
        <f ca="1">SUMIF(PnL_Speadsheet!$B$3:$BI$3,J$10,PnL_Speadsheet!$B30:$BI30)/1000</f>
        <v>#REF!</v>
      </c>
      <c r="K30" s="348">
        <f>SUMIF(PnL_Speadsheet!$B$3:$BI$3,K$10,PnL_Speadsheet!$B30:$BI30)/1000</f>
        <v>0</v>
      </c>
      <c r="M30" s="339"/>
      <c r="O30" s="339"/>
      <c r="Q30" s="336"/>
    </row>
    <row r="31" spans="1:32" s="48" customFormat="1" ht="13" x14ac:dyDescent="0.15">
      <c r="A31" s="317"/>
      <c r="C31" s="48" t="s">
        <v>203</v>
      </c>
      <c r="E31" s="342" t="e">
        <f t="shared" ca="1" si="4"/>
        <v>#REF!</v>
      </c>
      <c r="F31" s="342" t="e">
        <f ca="1">SUMIF(PnL_Speadsheet!$B$3:$BI$3,F$10,PnL_Speadsheet!$B32:$BI32)/1000</f>
        <v>#REF!</v>
      </c>
      <c r="G31" s="342" t="e">
        <f ca="1">SUMIF(PnL_Speadsheet!$B$3:$BI$3,G$10,PnL_Speadsheet!$B32:$BI32)/1000</f>
        <v>#REF!</v>
      </c>
      <c r="H31" s="342" t="e">
        <f ca="1">SUMIF(PnL_Speadsheet!$B$3:$BI$3,H$10,PnL_Speadsheet!$B32:$BI32)/1000</f>
        <v>#REF!</v>
      </c>
      <c r="I31" s="342" t="e">
        <f ca="1">SUMIF(PnL_Speadsheet!$B$3:$BI$3,I$10,PnL_Speadsheet!$B32:$BI32)/1000</f>
        <v>#REF!</v>
      </c>
      <c r="J31" s="342" t="e">
        <f ca="1">SUMIF(PnL_Speadsheet!$B$3:$BI$3,J$10,PnL_Speadsheet!$B32:$BI32)/1000</f>
        <v>#REF!</v>
      </c>
      <c r="K31" s="342">
        <f>SUMIF(PnL_Speadsheet!$B$3:$BI$3,K$10,PnL_Speadsheet!$B32:$BI32)/1000</f>
        <v>0</v>
      </c>
      <c r="M31" s="335"/>
      <c r="O31" s="335"/>
      <c r="Q31" s="336"/>
    </row>
    <row r="32" spans="1:32" s="67" customFormat="1" ht="13" x14ac:dyDescent="0.15">
      <c r="A32" s="314"/>
      <c r="C32" s="67" t="s">
        <v>448</v>
      </c>
      <c r="E32" s="349" t="e">
        <f t="shared" ref="E32:K32" ca="1" si="5">E19+E23+SUM(E25:E29)</f>
        <v>#REF!</v>
      </c>
      <c r="F32" s="349" t="e">
        <f t="shared" ca="1" si="5"/>
        <v>#REF!</v>
      </c>
      <c r="G32" s="349" t="e">
        <f ca="1">G19+G23+SUM(G25:G29)</f>
        <v>#REF!</v>
      </c>
      <c r="H32" s="349" t="e">
        <f t="shared" ca="1" si="5"/>
        <v>#REF!</v>
      </c>
      <c r="I32" s="349" t="e">
        <f t="shared" ca="1" si="5"/>
        <v>#REF!</v>
      </c>
      <c r="J32" s="349" t="e">
        <f t="shared" ca="1" si="5"/>
        <v>#REF!</v>
      </c>
      <c r="K32" s="349">
        <f t="shared" si="5"/>
        <v>0</v>
      </c>
      <c r="M32" s="339"/>
      <c r="O32" s="339"/>
      <c r="Q32" s="336"/>
    </row>
    <row r="33" spans="3:17" x14ac:dyDescent="0.15">
      <c r="C33" s="350"/>
      <c r="D33" s="351"/>
      <c r="F33" s="351"/>
      <c r="H33" s="351"/>
      <c r="J33" s="351"/>
      <c r="L33" s="351"/>
      <c r="N33" s="351"/>
      <c r="P33" s="351"/>
      <c r="Q33" s="352"/>
    </row>
    <row r="34" spans="3:17" x14ac:dyDescent="0.15">
      <c r="D34" s="351"/>
    </row>
  </sheetData>
  <pageMargins left="0.7" right="0.7" top="0.75" bottom="0.75" header="0.3" footer="0.3"/>
  <pageSetup orientation="landscape"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8D5D74-74AD-8645-9CCA-106B52F4C776}">
  <sheetPr>
    <tabColor theme="4" tint="0.59999389629810485"/>
  </sheetPr>
  <dimension ref="A1:BJ136"/>
  <sheetViews>
    <sheetView showGridLines="0" zoomScale="170" zoomScaleNormal="170" workbookViewId="0">
      <pane xSplit="1" ySplit="6" topLeftCell="C16" activePane="bottomRight" state="frozen"/>
      <selection activeCell="G124" sqref="G124"/>
      <selection pane="topRight" activeCell="G124" sqref="G124"/>
      <selection pane="bottomLeft" activeCell="G124" sqref="G124"/>
      <selection pane="bottomRight" activeCell="G124" sqref="G124"/>
    </sheetView>
  </sheetViews>
  <sheetFormatPr baseColWidth="10" defaultColWidth="9" defaultRowHeight="11" outlineLevelRow="1" x14ac:dyDescent="0.15"/>
  <cols>
    <col min="1" max="1" width="19.33203125" style="353" bestFit="1" customWidth="1"/>
    <col min="2" max="2" width="7.6640625" style="354" bestFit="1" customWidth="1"/>
    <col min="3" max="10" width="8.83203125" style="354" bestFit="1" customWidth="1"/>
    <col min="11" max="11" width="9.83203125" style="354" bestFit="1" customWidth="1"/>
    <col min="12" max="23" width="8.83203125" style="354" bestFit="1" customWidth="1"/>
    <col min="24" max="26" width="11.5" style="354" customWidth="1"/>
    <col min="27" max="30" width="8.83203125" style="354" bestFit="1" customWidth="1"/>
    <col min="31" max="36" width="8.33203125" style="354" bestFit="1" customWidth="1"/>
    <col min="37" max="37" width="8.33203125" style="354" customWidth="1"/>
    <col min="38" max="16384" width="9" style="354"/>
  </cols>
  <sheetData>
    <row r="1" spans="1:61" x14ac:dyDescent="0.15">
      <c r="A1" s="353" t="s">
        <v>449</v>
      </c>
      <c r="K1" s="355"/>
    </row>
    <row r="2" spans="1:61" x14ac:dyDescent="0.15">
      <c r="A2" s="353" t="s">
        <v>450</v>
      </c>
    </row>
    <row r="3" spans="1:61" x14ac:dyDescent="0.15">
      <c r="B3" s="356">
        <f t="shared" ref="B3:BI3" si="0">YEAR(B4)</f>
        <v>2025</v>
      </c>
      <c r="C3" s="356">
        <f t="shared" si="0"/>
        <v>2025</v>
      </c>
      <c r="D3" s="356">
        <f t="shared" si="0"/>
        <v>2025</v>
      </c>
      <c r="E3" s="356">
        <f t="shared" si="0"/>
        <v>2025</v>
      </c>
      <c r="F3" s="356">
        <f t="shared" si="0"/>
        <v>2025</v>
      </c>
      <c r="G3" s="356">
        <f t="shared" si="0"/>
        <v>2025</v>
      </c>
      <c r="H3" s="356">
        <f t="shared" si="0"/>
        <v>2025</v>
      </c>
      <c r="I3" s="356">
        <f t="shared" si="0"/>
        <v>2025</v>
      </c>
      <c r="J3" s="356">
        <f t="shared" si="0"/>
        <v>2025</v>
      </c>
      <c r="K3" s="356">
        <f t="shared" si="0"/>
        <v>2025</v>
      </c>
      <c r="L3" s="356">
        <f t="shared" si="0"/>
        <v>2025</v>
      </c>
      <c r="M3" s="356">
        <f t="shared" si="0"/>
        <v>2025</v>
      </c>
      <c r="N3" s="356">
        <f t="shared" si="0"/>
        <v>2026</v>
      </c>
      <c r="O3" s="356">
        <f t="shared" si="0"/>
        <v>2026</v>
      </c>
      <c r="P3" s="356">
        <f t="shared" si="0"/>
        <v>2026</v>
      </c>
      <c r="Q3" s="356">
        <f t="shared" si="0"/>
        <v>2026</v>
      </c>
      <c r="R3" s="356">
        <f t="shared" si="0"/>
        <v>2026</v>
      </c>
      <c r="S3" s="356">
        <f t="shared" si="0"/>
        <v>2026</v>
      </c>
      <c r="T3" s="356">
        <f t="shared" si="0"/>
        <v>2026</v>
      </c>
      <c r="U3" s="356">
        <f t="shared" si="0"/>
        <v>2026</v>
      </c>
      <c r="V3" s="356">
        <f t="shared" si="0"/>
        <v>2026</v>
      </c>
      <c r="W3" s="356">
        <f t="shared" si="0"/>
        <v>2026</v>
      </c>
      <c r="X3" s="356">
        <f t="shared" si="0"/>
        <v>2026</v>
      </c>
      <c r="Y3" s="356">
        <f t="shared" si="0"/>
        <v>2026</v>
      </c>
      <c r="Z3" s="356">
        <f t="shared" si="0"/>
        <v>2027</v>
      </c>
      <c r="AA3" s="356">
        <f t="shared" si="0"/>
        <v>2027</v>
      </c>
      <c r="AB3" s="356">
        <f t="shared" si="0"/>
        <v>2027</v>
      </c>
      <c r="AC3" s="356">
        <f t="shared" si="0"/>
        <v>2027</v>
      </c>
      <c r="AD3" s="356">
        <f t="shared" si="0"/>
        <v>2027</v>
      </c>
      <c r="AE3" s="356">
        <f t="shared" si="0"/>
        <v>2027</v>
      </c>
      <c r="AF3" s="356">
        <f t="shared" si="0"/>
        <v>2027</v>
      </c>
      <c r="AG3" s="356">
        <f t="shared" si="0"/>
        <v>2027</v>
      </c>
      <c r="AH3" s="356">
        <f t="shared" si="0"/>
        <v>2027</v>
      </c>
      <c r="AI3" s="356">
        <f t="shared" si="0"/>
        <v>2027</v>
      </c>
      <c r="AJ3" s="356">
        <f t="shared" si="0"/>
        <v>2027</v>
      </c>
      <c r="AK3" s="356">
        <f t="shared" si="0"/>
        <v>2027</v>
      </c>
      <c r="AL3" s="356">
        <f t="shared" si="0"/>
        <v>2028</v>
      </c>
      <c r="AM3" s="356">
        <f t="shared" si="0"/>
        <v>2028</v>
      </c>
      <c r="AN3" s="356">
        <f t="shared" si="0"/>
        <v>2028</v>
      </c>
      <c r="AO3" s="356">
        <f t="shared" si="0"/>
        <v>2028</v>
      </c>
      <c r="AP3" s="356">
        <f t="shared" si="0"/>
        <v>2028</v>
      </c>
      <c r="AQ3" s="356">
        <f t="shared" si="0"/>
        <v>2028</v>
      </c>
      <c r="AR3" s="356">
        <f t="shared" si="0"/>
        <v>2028</v>
      </c>
      <c r="AS3" s="356">
        <f t="shared" si="0"/>
        <v>2028</v>
      </c>
      <c r="AT3" s="356">
        <f t="shared" si="0"/>
        <v>2028</v>
      </c>
      <c r="AU3" s="356">
        <f t="shared" si="0"/>
        <v>2028</v>
      </c>
      <c r="AV3" s="356">
        <f t="shared" si="0"/>
        <v>2028</v>
      </c>
      <c r="AW3" s="356">
        <f t="shared" si="0"/>
        <v>2028</v>
      </c>
      <c r="AX3" s="356">
        <f t="shared" si="0"/>
        <v>2029</v>
      </c>
      <c r="AY3" s="356">
        <f t="shared" si="0"/>
        <v>2029</v>
      </c>
      <c r="AZ3" s="356">
        <f t="shared" si="0"/>
        <v>2029</v>
      </c>
      <c r="BA3" s="356">
        <f t="shared" si="0"/>
        <v>2029</v>
      </c>
      <c r="BB3" s="356">
        <f t="shared" si="0"/>
        <v>2029</v>
      </c>
      <c r="BC3" s="356">
        <f t="shared" si="0"/>
        <v>2029</v>
      </c>
      <c r="BD3" s="356">
        <f t="shared" si="0"/>
        <v>2029</v>
      </c>
      <c r="BE3" s="356">
        <f t="shared" si="0"/>
        <v>2029</v>
      </c>
      <c r="BF3" s="356">
        <f t="shared" si="0"/>
        <v>2029</v>
      </c>
      <c r="BG3" s="356">
        <f t="shared" si="0"/>
        <v>2029</v>
      </c>
      <c r="BH3" s="356">
        <f t="shared" si="0"/>
        <v>2029</v>
      </c>
      <c r="BI3" s="356">
        <f t="shared" si="0"/>
        <v>2029</v>
      </c>
    </row>
    <row r="4" spans="1:61" x14ac:dyDescent="0.15">
      <c r="A4" s="357" t="s">
        <v>431</v>
      </c>
      <c r="B4" s="358">
        <f>'Saleplan&amp;PnL'!D4</f>
        <v>45658</v>
      </c>
      <c r="C4" s="358">
        <f>'Saleplan&amp;PnL'!E4</f>
        <v>45716</v>
      </c>
      <c r="D4" s="358">
        <f>'Saleplan&amp;PnL'!F4</f>
        <v>45747</v>
      </c>
      <c r="E4" s="358">
        <f>'Saleplan&amp;PnL'!G4</f>
        <v>45777</v>
      </c>
      <c r="F4" s="358">
        <f>'Saleplan&amp;PnL'!H4</f>
        <v>45808</v>
      </c>
      <c r="G4" s="358">
        <f>'Saleplan&amp;PnL'!I4</f>
        <v>45838</v>
      </c>
      <c r="H4" s="358">
        <f>'Saleplan&amp;PnL'!J4</f>
        <v>45869</v>
      </c>
      <c r="I4" s="358">
        <f>'Saleplan&amp;PnL'!K4</f>
        <v>45900</v>
      </c>
      <c r="J4" s="358">
        <f>'Saleplan&amp;PnL'!L4</f>
        <v>45930</v>
      </c>
      <c r="K4" s="358">
        <f>'Saleplan&amp;PnL'!M4</f>
        <v>45961</v>
      </c>
      <c r="L4" s="358">
        <f>'Saleplan&amp;PnL'!N4</f>
        <v>45991</v>
      </c>
      <c r="M4" s="358">
        <f>'Saleplan&amp;PnL'!O4</f>
        <v>46022</v>
      </c>
      <c r="N4" s="358">
        <f>'Saleplan&amp;PnL'!P4</f>
        <v>46053</v>
      </c>
      <c r="O4" s="358">
        <f>'Saleplan&amp;PnL'!Q4</f>
        <v>46081</v>
      </c>
      <c r="P4" s="358">
        <f>'Saleplan&amp;PnL'!R4</f>
        <v>46112</v>
      </c>
      <c r="Q4" s="358">
        <f>'Saleplan&amp;PnL'!S4</f>
        <v>46142</v>
      </c>
      <c r="R4" s="358">
        <f>'Saleplan&amp;PnL'!T4</f>
        <v>46173</v>
      </c>
      <c r="S4" s="358">
        <f>'Saleplan&amp;PnL'!U4</f>
        <v>46203</v>
      </c>
      <c r="T4" s="358">
        <f>'Saleplan&amp;PnL'!V4</f>
        <v>46234</v>
      </c>
      <c r="U4" s="358">
        <f>'Saleplan&amp;PnL'!W4</f>
        <v>46265</v>
      </c>
      <c r="V4" s="358">
        <f>'Saleplan&amp;PnL'!X4</f>
        <v>46295</v>
      </c>
      <c r="W4" s="358">
        <f>'Saleplan&amp;PnL'!Y4</f>
        <v>46326</v>
      </c>
      <c r="X4" s="358">
        <f>'Saleplan&amp;PnL'!Z4</f>
        <v>46356</v>
      </c>
      <c r="Y4" s="358">
        <f>'Saleplan&amp;PnL'!AA4</f>
        <v>46387</v>
      </c>
      <c r="Z4" s="358">
        <f>'Saleplan&amp;PnL'!AB4</f>
        <v>46418</v>
      </c>
      <c r="AA4" s="358">
        <f>'Saleplan&amp;PnL'!AC4</f>
        <v>46446</v>
      </c>
      <c r="AB4" s="358">
        <f>'Saleplan&amp;PnL'!AD4</f>
        <v>46477</v>
      </c>
      <c r="AC4" s="358">
        <f>'Saleplan&amp;PnL'!AE4</f>
        <v>46507</v>
      </c>
      <c r="AD4" s="358">
        <f>'Saleplan&amp;PnL'!AF4</f>
        <v>46538</v>
      </c>
      <c r="AE4" s="358">
        <f>'Saleplan&amp;PnL'!AG4</f>
        <v>46568</v>
      </c>
      <c r="AF4" s="358">
        <f>'Saleplan&amp;PnL'!AH4</f>
        <v>46599</v>
      </c>
      <c r="AG4" s="358">
        <f>'Saleplan&amp;PnL'!AI4</f>
        <v>46630</v>
      </c>
      <c r="AH4" s="358">
        <f>'Saleplan&amp;PnL'!AJ4</f>
        <v>46660</v>
      </c>
      <c r="AI4" s="358">
        <f>'Saleplan&amp;PnL'!AK4</f>
        <v>46691</v>
      </c>
      <c r="AJ4" s="358">
        <f>'Saleplan&amp;PnL'!AL4</f>
        <v>46721</v>
      </c>
      <c r="AK4" s="358">
        <f>'Saleplan&amp;PnL'!AM4</f>
        <v>46752</v>
      </c>
      <c r="AL4" s="358">
        <f>'Saleplan&amp;PnL'!AN4</f>
        <v>46783</v>
      </c>
      <c r="AM4" s="358">
        <f>'Saleplan&amp;PnL'!AO4</f>
        <v>46812</v>
      </c>
      <c r="AN4" s="358">
        <f>'Saleplan&amp;PnL'!AP4</f>
        <v>46843</v>
      </c>
      <c r="AO4" s="358">
        <f>'Saleplan&amp;PnL'!AQ4</f>
        <v>46873</v>
      </c>
      <c r="AP4" s="358">
        <f>'Saleplan&amp;PnL'!AR4</f>
        <v>46904</v>
      </c>
      <c r="AQ4" s="358">
        <f>'Saleplan&amp;PnL'!AS4</f>
        <v>46934</v>
      </c>
      <c r="AR4" s="358">
        <f>'Saleplan&amp;PnL'!AT4</f>
        <v>46965</v>
      </c>
      <c r="AS4" s="358">
        <f>'Saleplan&amp;PnL'!AU4</f>
        <v>46996</v>
      </c>
      <c r="AT4" s="358">
        <f>'Saleplan&amp;PnL'!AV4</f>
        <v>47026</v>
      </c>
      <c r="AU4" s="358">
        <f>'Saleplan&amp;PnL'!AW4</f>
        <v>47057</v>
      </c>
      <c r="AV4" s="358">
        <f>'Saleplan&amp;PnL'!AX4</f>
        <v>47087</v>
      </c>
      <c r="AW4" s="358">
        <f>'Saleplan&amp;PnL'!AY4</f>
        <v>47118</v>
      </c>
      <c r="AX4" s="358">
        <f>'Saleplan&amp;PnL'!AZ4</f>
        <v>47149</v>
      </c>
      <c r="AY4" s="358">
        <f>'Saleplan&amp;PnL'!BA4</f>
        <v>47177</v>
      </c>
      <c r="AZ4" s="358">
        <f>'Saleplan&amp;PnL'!BB4</f>
        <v>47208</v>
      </c>
      <c r="BA4" s="358">
        <f>'Saleplan&amp;PnL'!BC4</f>
        <v>47238</v>
      </c>
      <c r="BB4" s="358">
        <f>'Saleplan&amp;PnL'!BD4</f>
        <v>47269</v>
      </c>
      <c r="BC4" s="358">
        <f>'Saleplan&amp;PnL'!BE4</f>
        <v>47299</v>
      </c>
      <c r="BD4" s="358">
        <f>'Saleplan&amp;PnL'!BF4</f>
        <v>47330</v>
      </c>
      <c r="BE4" s="358">
        <f>'Saleplan&amp;PnL'!BG4</f>
        <v>47361</v>
      </c>
      <c r="BF4" s="358">
        <f>'Saleplan&amp;PnL'!BH4</f>
        <v>47391</v>
      </c>
      <c r="BG4" s="358">
        <f>'Saleplan&amp;PnL'!BI4</f>
        <v>47422</v>
      </c>
      <c r="BH4" s="358">
        <f>'Saleplan&amp;PnL'!BJ4</f>
        <v>47452</v>
      </c>
      <c r="BI4" s="358">
        <f>'Saleplan&amp;PnL'!BK4</f>
        <v>47483</v>
      </c>
    </row>
    <row r="5" spans="1:61" s="353" customFormat="1" outlineLevel="1" x14ac:dyDescent="0.15">
      <c r="A5" s="359" t="s">
        <v>451</v>
      </c>
      <c r="B5" s="359">
        <v>1</v>
      </c>
      <c r="C5" s="359">
        <v>2</v>
      </c>
      <c r="D5" s="359">
        <v>3</v>
      </c>
      <c r="E5" s="359">
        <v>4</v>
      </c>
      <c r="F5" s="359">
        <v>5</v>
      </c>
      <c r="G5" s="359">
        <v>6</v>
      </c>
      <c r="H5" s="359">
        <v>7</v>
      </c>
      <c r="I5" s="359">
        <v>8</v>
      </c>
      <c r="J5" s="359">
        <v>9</v>
      </c>
      <c r="K5" s="359">
        <v>10</v>
      </c>
      <c r="L5" s="359">
        <v>11</v>
      </c>
      <c r="M5" s="359">
        <v>12</v>
      </c>
      <c r="N5" s="359">
        <v>13</v>
      </c>
      <c r="O5" s="359">
        <v>14</v>
      </c>
      <c r="P5" s="359">
        <v>15</v>
      </c>
      <c r="Q5" s="359">
        <v>16</v>
      </c>
      <c r="R5" s="359">
        <v>17</v>
      </c>
      <c r="S5" s="359">
        <v>18</v>
      </c>
      <c r="T5" s="359">
        <v>19</v>
      </c>
      <c r="U5" s="359">
        <v>20</v>
      </c>
      <c r="V5" s="359">
        <v>21</v>
      </c>
      <c r="W5" s="359">
        <v>22</v>
      </c>
      <c r="X5" s="359">
        <v>23</v>
      </c>
      <c r="Y5" s="359">
        <v>24</v>
      </c>
      <c r="Z5" s="359">
        <v>25</v>
      </c>
      <c r="AA5" s="359">
        <v>26</v>
      </c>
      <c r="AB5" s="359">
        <v>27</v>
      </c>
      <c r="AC5" s="359">
        <v>28</v>
      </c>
      <c r="AD5" s="359">
        <v>29</v>
      </c>
      <c r="AE5" s="359">
        <v>30</v>
      </c>
      <c r="AF5" s="359">
        <v>31</v>
      </c>
      <c r="AG5" s="359">
        <v>32</v>
      </c>
      <c r="AH5" s="359">
        <v>33</v>
      </c>
      <c r="AI5" s="359">
        <v>34</v>
      </c>
      <c r="AJ5" s="359">
        <v>35</v>
      </c>
      <c r="AK5" s="359">
        <v>36</v>
      </c>
      <c r="AL5" s="359">
        <f t="shared" ref="AL5:BI5" si="1">AK5+1</f>
        <v>37</v>
      </c>
      <c r="AM5" s="359">
        <f t="shared" si="1"/>
        <v>38</v>
      </c>
      <c r="AN5" s="359">
        <f t="shared" si="1"/>
        <v>39</v>
      </c>
      <c r="AO5" s="359">
        <f t="shared" si="1"/>
        <v>40</v>
      </c>
      <c r="AP5" s="359">
        <f t="shared" si="1"/>
        <v>41</v>
      </c>
      <c r="AQ5" s="359">
        <f t="shared" si="1"/>
        <v>42</v>
      </c>
      <c r="AR5" s="359">
        <f t="shared" si="1"/>
        <v>43</v>
      </c>
      <c r="AS5" s="359">
        <f t="shared" si="1"/>
        <v>44</v>
      </c>
      <c r="AT5" s="359">
        <f t="shared" si="1"/>
        <v>45</v>
      </c>
      <c r="AU5" s="359">
        <f t="shared" si="1"/>
        <v>46</v>
      </c>
      <c r="AV5" s="359">
        <f t="shared" si="1"/>
        <v>47</v>
      </c>
      <c r="AW5" s="359">
        <f t="shared" si="1"/>
        <v>48</v>
      </c>
      <c r="AX5" s="359">
        <f t="shared" si="1"/>
        <v>49</v>
      </c>
      <c r="AY5" s="359">
        <f t="shared" si="1"/>
        <v>50</v>
      </c>
      <c r="AZ5" s="359">
        <f t="shared" si="1"/>
        <v>51</v>
      </c>
      <c r="BA5" s="359">
        <f t="shared" si="1"/>
        <v>52</v>
      </c>
      <c r="BB5" s="359">
        <f t="shared" si="1"/>
        <v>53</v>
      </c>
      <c r="BC5" s="359">
        <f t="shared" si="1"/>
        <v>54</v>
      </c>
      <c r="BD5" s="359">
        <f t="shared" si="1"/>
        <v>55</v>
      </c>
      <c r="BE5" s="359">
        <f t="shared" si="1"/>
        <v>56</v>
      </c>
      <c r="BF5" s="359">
        <f t="shared" si="1"/>
        <v>57</v>
      </c>
      <c r="BG5" s="359">
        <f t="shared" si="1"/>
        <v>58</v>
      </c>
      <c r="BH5" s="359">
        <f t="shared" si="1"/>
        <v>59</v>
      </c>
      <c r="BI5" s="359">
        <f t="shared" si="1"/>
        <v>60</v>
      </c>
    </row>
    <row r="6" spans="1:61" x14ac:dyDescent="0.15">
      <c r="A6" s="354" t="s">
        <v>452</v>
      </c>
      <c r="K6" s="355"/>
    </row>
    <row r="7" spans="1:61" s="353" customFormat="1" x14ac:dyDescent="0.15">
      <c r="A7" s="353" t="s">
        <v>297</v>
      </c>
      <c r="B7" s="360" cm="1">
        <f t="array" aca="1" ref="B7" ca="1">SUMPRODUCT(B$55:B$114,TRANSPOSE(SAP_Speadsheet!$E$44:$BL$44))</f>
        <v>0</v>
      </c>
      <c r="C7" s="360" cm="1">
        <f t="array" aca="1" ref="C7" ca="1">SUMPRODUCT(C$55:C$114,TRANSPOSE(SAP_Speadsheet!$E$44:$BL$44))</f>
        <v>0</v>
      </c>
      <c r="D7" s="360" cm="1">
        <f t="array" aca="1" ref="D7" ca="1">SUMPRODUCT(D$55:D$114,TRANSPOSE(SAP_Speadsheet!$E$44:$BL$44))</f>
        <v>0</v>
      </c>
      <c r="E7" s="360" cm="1">
        <f t="array" aca="1" ref="E7" ca="1">SUMPRODUCT(E$55:E$114,TRANSPOSE(SAP_Speadsheet!$E$44:$BL$44))</f>
        <v>0</v>
      </c>
      <c r="F7" s="360" cm="1">
        <f t="array" aca="1" ref="F7" ca="1">SUMPRODUCT(F$55:F$114,TRANSPOSE(SAP_Speadsheet!$E$44:$BL$44))</f>
        <v>0</v>
      </c>
      <c r="G7" s="360" cm="1">
        <f t="array" aca="1" ref="G7" ca="1">SUMPRODUCT(G$55:G$114,TRANSPOSE(SAP_Speadsheet!$E$44:$BL$44))</f>
        <v>0</v>
      </c>
      <c r="H7" s="360" t="e" cm="1">
        <f t="array" aca="1" ref="H7" ca="1">SUMPRODUCT(H$55:H$114,TRANSPOSE(SAP_Speadsheet!$E$44:$BL$44))</f>
        <v>#REF!</v>
      </c>
      <c r="I7" s="360" t="e" cm="1">
        <f t="array" aca="1" ref="I7" ca="1">SUMPRODUCT(I$55:I$114,TRANSPOSE(SAP_Speadsheet!$E$44:$BL$44))</f>
        <v>#REF!</v>
      </c>
      <c r="J7" s="360" t="e" cm="1">
        <f t="array" aca="1" ref="J7" ca="1">SUMPRODUCT(J$55:J$114,TRANSPOSE(SAP_Speadsheet!$E$44:$BL$44))</f>
        <v>#REF!</v>
      </c>
      <c r="K7" s="360" t="e" cm="1">
        <f t="array" aca="1" ref="K7" ca="1">SUMPRODUCT(K$55:K$114,TRANSPOSE(SAP_Speadsheet!$E$44:$BL$44))</f>
        <v>#REF!</v>
      </c>
      <c r="L7" s="360" t="e" cm="1">
        <f t="array" aca="1" ref="L7" ca="1">SUMPRODUCT(L$55:L$114,TRANSPOSE(SAP_Speadsheet!$E$44:$BL$44))</f>
        <v>#REF!</v>
      </c>
      <c r="M7" s="360" t="e" cm="1">
        <f t="array" aca="1" ref="M7" ca="1">SUMPRODUCT(M$55:M$114,TRANSPOSE(SAP_Speadsheet!$E$44:$BL$44))</f>
        <v>#REF!</v>
      </c>
      <c r="N7" s="360" t="e" cm="1">
        <f t="array" aca="1" ref="N7" ca="1">SUMPRODUCT(N$55:N$114,TRANSPOSE(SAP_Speadsheet!$E$44:$BL$44))</f>
        <v>#REF!</v>
      </c>
      <c r="O7" s="360" t="e" cm="1">
        <f t="array" aca="1" ref="O7" ca="1">SUMPRODUCT(O$55:O$114,TRANSPOSE(SAP_Speadsheet!$E$44:$BL$44))</f>
        <v>#REF!</v>
      </c>
      <c r="P7" s="360" t="e" cm="1">
        <f t="array" aca="1" ref="P7" ca="1">SUMPRODUCT(P$55:P$114,TRANSPOSE(SAP_Speadsheet!$E$44:$BL$44))</f>
        <v>#REF!</v>
      </c>
      <c r="Q7" s="360" t="e" cm="1">
        <f t="array" aca="1" ref="Q7" ca="1">SUMPRODUCT(Q$55:Q$114,TRANSPOSE(SAP_Speadsheet!$E$44:$BL$44))</f>
        <v>#REF!</v>
      </c>
      <c r="R7" s="360" t="e" cm="1">
        <f t="array" aca="1" ref="R7" ca="1">SUMPRODUCT(R$55:R$114,TRANSPOSE(SAP_Speadsheet!$E$44:$BL$44))</f>
        <v>#REF!</v>
      </c>
      <c r="S7" s="360" t="e" cm="1">
        <f t="array" aca="1" ref="S7" ca="1">SUMPRODUCT(S$55:S$114,TRANSPOSE(SAP_Speadsheet!$E$44:$BL$44))</f>
        <v>#REF!</v>
      </c>
      <c r="T7" s="360" t="e" cm="1">
        <f t="array" aca="1" ref="T7" ca="1">SUMPRODUCT(T$55:T$114,TRANSPOSE(SAP_Speadsheet!$E$44:$BL$44))</f>
        <v>#REF!</v>
      </c>
      <c r="U7" s="360" t="e" cm="1">
        <f t="array" aca="1" ref="U7" ca="1">SUMPRODUCT(U$55:U$114,TRANSPOSE(SAP_Speadsheet!$E$44:$BL$44))</f>
        <v>#REF!</v>
      </c>
      <c r="V7" s="360" t="e" cm="1">
        <f t="array" aca="1" ref="V7" ca="1">SUMPRODUCT(V$55:V$114,TRANSPOSE(SAP_Speadsheet!$E$44:$BL$44))</f>
        <v>#REF!</v>
      </c>
      <c r="W7" s="360" t="e" cm="1">
        <f t="array" aca="1" ref="W7" ca="1">SUMPRODUCT(W$55:W$114,TRANSPOSE(SAP_Speadsheet!$E$44:$BL$44))</f>
        <v>#REF!</v>
      </c>
      <c r="X7" s="360" t="e" cm="1">
        <f t="array" aca="1" ref="X7" ca="1">SUMPRODUCT(X$55:X$114,TRANSPOSE(SAP_Speadsheet!$E$44:$BL$44))</f>
        <v>#REF!</v>
      </c>
      <c r="Y7" s="360" t="e" cm="1">
        <f t="array" aca="1" ref="Y7" ca="1">SUMPRODUCT(Y$55:Y$114,TRANSPOSE(SAP_Speadsheet!$E$44:$BL$44))</f>
        <v>#REF!</v>
      </c>
      <c r="Z7" s="360" t="e" cm="1">
        <f t="array" aca="1" ref="Z7" ca="1">SUMPRODUCT(Z$55:Z$114,TRANSPOSE(SAP_Speadsheet!$E$44:$BL$44))</f>
        <v>#REF!</v>
      </c>
      <c r="AA7" s="360" t="e" cm="1">
        <f t="array" aca="1" ref="AA7" ca="1">SUMPRODUCT(AA$55:AA$114,TRANSPOSE(SAP_Speadsheet!$E$44:$BL$44))</f>
        <v>#REF!</v>
      </c>
      <c r="AB7" s="360" t="e" cm="1">
        <f t="array" aca="1" ref="AB7" ca="1">SUMPRODUCT(AB$55:AB$114,TRANSPOSE(SAP_Speadsheet!$E$44:$BL$44))</f>
        <v>#REF!</v>
      </c>
      <c r="AC7" s="360" t="e" cm="1">
        <f t="array" aca="1" ref="AC7" ca="1">SUMPRODUCT(AC$55:AC$114,TRANSPOSE(SAP_Speadsheet!$E$44:$BL$44))</f>
        <v>#REF!</v>
      </c>
      <c r="AD7" s="360" t="e" cm="1">
        <f t="array" aca="1" ref="AD7" ca="1">SUMPRODUCT(AD$55:AD$114,TRANSPOSE(SAP_Speadsheet!$E$44:$BL$44))</f>
        <v>#REF!</v>
      </c>
      <c r="AE7" s="360" t="e" cm="1">
        <f t="array" aca="1" ref="AE7" ca="1">SUMPRODUCT(AE$55:AE$114,TRANSPOSE(SAP_Speadsheet!$E$44:$BL$44))</f>
        <v>#REF!</v>
      </c>
      <c r="AF7" s="360" t="e" cm="1">
        <f t="array" aca="1" ref="AF7" ca="1">SUMPRODUCT(AF$55:AF$114,TRANSPOSE(SAP_Speadsheet!$E$44:$BL$44))</f>
        <v>#REF!</v>
      </c>
      <c r="AG7" s="360" t="e" cm="1">
        <f t="array" aca="1" ref="AG7" ca="1">SUMPRODUCT(AG$55:AG$114,TRANSPOSE(SAP_Speadsheet!$E$44:$BL$44))</f>
        <v>#REF!</v>
      </c>
      <c r="AH7" s="360" t="e" cm="1">
        <f t="array" aca="1" ref="AH7" ca="1">SUMPRODUCT(AH$55:AH$114,TRANSPOSE(SAP_Speadsheet!$E$44:$BL$44))</f>
        <v>#REF!</v>
      </c>
      <c r="AI7" s="360" t="e" cm="1">
        <f t="array" aca="1" ref="AI7" ca="1">SUMPRODUCT(AI$55:AI$114,TRANSPOSE(SAP_Speadsheet!$E$44:$BL$44))</f>
        <v>#REF!</v>
      </c>
      <c r="AJ7" s="360" t="e" cm="1">
        <f t="array" aca="1" ref="AJ7" ca="1">SUMPRODUCT(AJ$55:AJ$114,TRANSPOSE(SAP_Speadsheet!$E$44:$BL$44))</f>
        <v>#REF!</v>
      </c>
      <c r="AK7" s="360" t="e" cm="1">
        <f t="array" aca="1" ref="AK7" ca="1">SUMPRODUCT(AK$55:AK$114,TRANSPOSE(SAP_Speadsheet!$E$44:$BL$44))</f>
        <v>#REF!</v>
      </c>
      <c r="AL7" s="360" t="e" cm="1">
        <f t="array" aca="1" ref="AL7" ca="1">SUMPRODUCT(AL$55:AL$114,TRANSPOSE(SAP_Speadsheet!$E$44:$BL$44))</f>
        <v>#REF!</v>
      </c>
      <c r="AM7" s="360" t="e" cm="1">
        <f t="array" aca="1" ref="AM7" ca="1">SUMPRODUCT(AM$55:AM$114,TRANSPOSE(SAP_Speadsheet!$E$44:$BL$44))</f>
        <v>#REF!</v>
      </c>
      <c r="AN7" s="360" t="e" cm="1">
        <f t="array" aca="1" ref="AN7" ca="1">SUMPRODUCT(AN$55:AN$114,TRANSPOSE(SAP_Speadsheet!$E$44:$BL$44))</f>
        <v>#REF!</v>
      </c>
      <c r="AO7" s="360" t="e" cm="1">
        <f t="array" aca="1" ref="AO7" ca="1">SUMPRODUCT(AO$55:AO$114,TRANSPOSE(SAP_Speadsheet!$E$44:$BL$44))</f>
        <v>#REF!</v>
      </c>
      <c r="AP7" s="360" t="e" cm="1">
        <f t="array" aca="1" ref="AP7" ca="1">SUMPRODUCT(AP$55:AP$114,TRANSPOSE(SAP_Speadsheet!$E$44:$BL$44))</f>
        <v>#REF!</v>
      </c>
      <c r="AQ7" s="360" t="e" cm="1">
        <f t="array" aca="1" ref="AQ7" ca="1">SUMPRODUCT(AQ$55:AQ$114,TRANSPOSE(SAP_Speadsheet!$E$44:$BL$44))</f>
        <v>#REF!</v>
      </c>
      <c r="AR7" s="360" t="e" cm="1">
        <f t="array" aca="1" ref="AR7" ca="1">SUMPRODUCT(AR$55:AR$114,TRANSPOSE(SAP_Speadsheet!$E$44:$BL$44))</f>
        <v>#REF!</v>
      </c>
      <c r="AS7" s="360" t="e" cm="1">
        <f t="array" aca="1" ref="AS7" ca="1">SUMPRODUCT(AS$55:AS$114,TRANSPOSE(SAP_Speadsheet!$E$44:$BL$44))</f>
        <v>#REF!</v>
      </c>
      <c r="AT7" s="360" t="e" cm="1">
        <f t="array" aca="1" ref="AT7" ca="1">SUMPRODUCT(AT$55:AT$114,TRANSPOSE(SAP_Speadsheet!$E$44:$BL$44))</f>
        <v>#REF!</v>
      </c>
      <c r="AU7" s="360" t="e" cm="1">
        <f t="array" aca="1" ref="AU7" ca="1">SUMPRODUCT(AU$55:AU$114,TRANSPOSE(SAP_Speadsheet!$E$44:$BL$44))</f>
        <v>#REF!</v>
      </c>
      <c r="AV7" s="360" t="e" cm="1">
        <f t="array" aca="1" ref="AV7" ca="1">SUMPRODUCT(AV$55:AV$114,TRANSPOSE(SAP_Speadsheet!$E$44:$BL$44))</f>
        <v>#REF!</v>
      </c>
      <c r="AW7" s="360" t="e" cm="1">
        <f t="array" aca="1" ref="AW7" ca="1">SUMPRODUCT(AW$55:AW$114,TRANSPOSE(SAP_Speadsheet!$E$44:$BL$44))</f>
        <v>#REF!</v>
      </c>
      <c r="AX7" s="360" t="e" cm="1">
        <f t="array" aca="1" ref="AX7" ca="1">SUMPRODUCT(AX$55:AX$114,TRANSPOSE(SAP_Speadsheet!$E$44:$BL$44))</f>
        <v>#REF!</v>
      </c>
      <c r="AY7" s="360" t="e" cm="1">
        <f t="array" aca="1" ref="AY7" ca="1">SUMPRODUCT(AY$55:AY$114,TRANSPOSE(SAP_Speadsheet!$E$44:$BL$44))</f>
        <v>#REF!</v>
      </c>
      <c r="AZ7" s="360" t="e" cm="1">
        <f t="array" aca="1" ref="AZ7" ca="1">SUMPRODUCT(AZ$55:AZ$114,TRANSPOSE(SAP_Speadsheet!$E$44:$BL$44))</f>
        <v>#REF!</v>
      </c>
      <c r="BA7" s="360" t="e" cm="1">
        <f t="array" aca="1" ref="BA7" ca="1">SUMPRODUCT(BA$55:BA$114,TRANSPOSE(SAP_Speadsheet!$E$44:$BL$44))</f>
        <v>#REF!</v>
      </c>
      <c r="BB7" s="360" t="e" cm="1">
        <f t="array" aca="1" ref="BB7" ca="1">SUMPRODUCT(BB$55:BB$114,TRANSPOSE(SAP_Speadsheet!$E$44:$BL$44))</f>
        <v>#REF!</v>
      </c>
      <c r="BC7" s="360" t="e" cm="1">
        <f t="array" aca="1" ref="BC7" ca="1">SUMPRODUCT(BC$55:BC$114,TRANSPOSE(SAP_Speadsheet!$E$44:$BL$44))</f>
        <v>#REF!</v>
      </c>
      <c r="BD7" s="360" t="e" cm="1">
        <f t="array" aca="1" ref="BD7" ca="1">SUMPRODUCT(BD$55:BD$114,TRANSPOSE(SAP_Speadsheet!$E$44:$BL$44))</f>
        <v>#REF!</v>
      </c>
      <c r="BE7" s="360" t="e" cm="1">
        <f t="array" aca="1" ref="BE7" ca="1">SUMPRODUCT(BE$55:BE$114,TRANSPOSE(SAP_Speadsheet!$E$44:$BL$44))</f>
        <v>#REF!</v>
      </c>
      <c r="BF7" s="360" t="e" cm="1">
        <f t="array" aca="1" ref="BF7" ca="1">SUMPRODUCT(BF$55:BF$114,TRANSPOSE(SAP_Speadsheet!$E$44:$BL$44))</f>
        <v>#REF!</v>
      </c>
      <c r="BG7" s="360" t="e" cm="1">
        <f t="array" aca="1" ref="BG7" ca="1">SUMPRODUCT(BG$55:BG$114,TRANSPOSE(SAP_Speadsheet!$E$44:$BL$44))</f>
        <v>#REF!</v>
      </c>
      <c r="BH7" s="360" t="e" cm="1">
        <f t="array" aca="1" ref="BH7" ca="1">SUMPRODUCT(BH$55:BH$114,TRANSPOSE(SAP_Speadsheet!$E$44:$BL$44))</f>
        <v>#REF!</v>
      </c>
      <c r="BI7" s="360" t="e" cm="1">
        <f t="array" aca="1" ref="BI7" ca="1">SUMPRODUCT(BI$55:BI$114,TRANSPOSE(SAP_Speadsheet!$E$44:$BL$44))</f>
        <v>#REF!</v>
      </c>
    </row>
    <row r="8" spans="1:61" s="353" customFormat="1" x14ac:dyDescent="0.15">
      <c r="A8" s="353" t="s">
        <v>191</v>
      </c>
      <c r="B8" s="360" cm="1">
        <f t="array" aca="1" ref="B8" ca="1">SUMPRODUCT(B$55:B$114,TRANSPOSE(SAP_Speadsheet!$E$50:$BL$50))</f>
        <v>0</v>
      </c>
      <c r="C8" s="360" cm="1">
        <f t="array" aca="1" ref="C8" ca="1">SUMPRODUCT(C$55:C$114,TRANSPOSE(SAP_Speadsheet!$E$50:$BL$50))</f>
        <v>0</v>
      </c>
      <c r="D8" s="360" cm="1">
        <f t="array" aca="1" ref="D8" ca="1">SUMPRODUCT(D$55:D$114,TRANSPOSE(SAP_Speadsheet!$E$50:$BL$50))</f>
        <v>0</v>
      </c>
      <c r="E8" s="360" cm="1">
        <f t="array" aca="1" ref="E8" ca="1">SUMPRODUCT(E$55:E$114,TRANSPOSE(SAP_Speadsheet!$E$50:$BL$50))</f>
        <v>0</v>
      </c>
      <c r="F8" s="360" cm="1">
        <f t="array" aca="1" ref="F8" ca="1">SUMPRODUCT(F$55:F$114,TRANSPOSE(SAP_Speadsheet!$E$50:$BL$50))</f>
        <v>0</v>
      </c>
      <c r="G8" s="360" cm="1">
        <f t="array" aca="1" ref="G8" ca="1">SUMPRODUCT(G$55:G$114,TRANSPOSE(SAP_Speadsheet!$E$50:$BL$50))</f>
        <v>0</v>
      </c>
      <c r="H8" s="360" t="e" cm="1">
        <f t="array" aca="1" ref="H8" ca="1">SUMPRODUCT(H$55:H$114,TRANSPOSE(SAP_Speadsheet!$E$50:$BL$50))</f>
        <v>#REF!</v>
      </c>
      <c r="I8" s="360" t="e" cm="1">
        <f t="array" aca="1" ref="I8" ca="1">SUMPRODUCT(I$55:I$114,TRANSPOSE(SAP_Speadsheet!$E$50:$BL$50))</f>
        <v>#REF!</v>
      </c>
      <c r="J8" s="360" t="e" cm="1">
        <f t="array" aca="1" ref="J8" ca="1">SUMPRODUCT(J$55:J$114,TRANSPOSE(SAP_Speadsheet!$E$50:$BL$50))</f>
        <v>#REF!</v>
      </c>
      <c r="K8" s="360" t="e" cm="1">
        <f t="array" aca="1" ref="K8" ca="1">SUMPRODUCT(K$55:K$114,TRANSPOSE(SAP_Speadsheet!$E$50:$BL$50))</f>
        <v>#REF!</v>
      </c>
      <c r="L8" s="360" t="e" cm="1">
        <f t="array" aca="1" ref="L8" ca="1">SUMPRODUCT(L$55:L$114,TRANSPOSE(SAP_Speadsheet!$E$50:$BL$50))</f>
        <v>#REF!</v>
      </c>
      <c r="M8" s="360" t="e" cm="1">
        <f t="array" aca="1" ref="M8" ca="1">SUMPRODUCT(M$55:M$114,TRANSPOSE(SAP_Speadsheet!$E$50:$BL$50))</f>
        <v>#REF!</v>
      </c>
      <c r="N8" s="360" t="e" cm="1">
        <f t="array" aca="1" ref="N8" ca="1">SUMPRODUCT(N$55:N$114,TRANSPOSE(SAP_Speadsheet!$E$50:$BL$50))</f>
        <v>#REF!</v>
      </c>
      <c r="O8" s="360" t="e" cm="1">
        <f t="array" aca="1" ref="O8" ca="1">SUMPRODUCT(O$55:O$114,TRANSPOSE(SAP_Speadsheet!$E$50:$BL$50))</f>
        <v>#REF!</v>
      </c>
      <c r="P8" s="360" t="e" cm="1">
        <f t="array" aca="1" ref="P8" ca="1">SUMPRODUCT(P$55:P$114,TRANSPOSE(SAP_Speadsheet!$E$50:$BL$50))</f>
        <v>#REF!</v>
      </c>
      <c r="Q8" s="360" t="e" cm="1">
        <f t="array" aca="1" ref="Q8" ca="1">SUMPRODUCT(Q$55:Q$114,TRANSPOSE(SAP_Speadsheet!$E$50:$BL$50))</f>
        <v>#REF!</v>
      </c>
      <c r="R8" s="360" t="e" cm="1">
        <f t="array" aca="1" ref="R8" ca="1">SUMPRODUCT(R$55:R$114,TRANSPOSE(SAP_Speadsheet!$E$50:$BL$50))</f>
        <v>#REF!</v>
      </c>
      <c r="S8" s="360" t="e" cm="1">
        <f t="array" aca="1" ref="S8" ca="1">SUMPRODUCT(S$55:S$114,TRANSPOSE(SAP_Speadsheet!$E$50:$BL$50))</f>
        <v>#REF!</v>
      </c>
      <c r="T8" s="360" t="e" cm="1">
        <f t="array" aca="1" ref="T8" ca="1">SUMPRODUCT(T$55:T$114,TRANSPOSE(SAP_Speadsheet!$E$50:$BL$50))</f>
        <v>#REF!</v>
      </c>
      <c r="U8" s="360" t="e" cm="1">
        <f t="array" aca="1" ref="U8" ca="1">SUMPRODUCT(U$55:U$114,TRANSPOSE(SAP_Speadsheet!$E$50:$BL$50))</f>
        <v>#REF!</v>
      </c>
      <c r="V8" s="360" t="e" cm="1">
        <f t="array" aca="1" ref="V8" ca="1">SUMPRODUCT(V$55:V$114,TRANSPOSE(SAP_Speadsheet!$E$50:$BL$50))</f>
        <v>#REF!</v>
      </c>
      <c r="W8" s="360" t="e" cm="1">
        <f t="array" aca="1" ref="W8" ca="1">SUMPRODUCT(W$55:W$114,TRANSPOSE(SAP_Speadsheet!$E$50:$BL$50))</f>
        <v>#REF!</v>
      </c>
      <c r="X8" s="360" t="e" cm="1">
        <f t="array" aca="1" ref="X8" ca="1">SUMPRODUCT(X$55:X$114,TRANSPOSE(SAP_Speadsheet!$E$50:$BL$50))</f>
        <v>#REF!</v>
      </c>
      <c r="Y8" s="360" t="e" cm="1">
        <f t="array" aca="1" ref="Y8" ca="1">SUMPRODUCT(Y$55:Y$114,TRANSPOSE(SAP_Speadsheet!$E$50:$BL$50))</f>
        <v>#REF!</v>
      </c>
      <c r="Z8" s="360" t="e" cm="1">
        <f t="array" aca="1" ref="Z8" ca="1">SUMPRODUCT(Z$55:Z$114,TRANSPOSE(SAP_Speadsheet!$E$50:$BL$50))</f>
        <v>#REF!</v>
      </c>
      <c r="AA8" s="360" t="e" cm="1">
        <f t="array" aca="1" ref="AA8" ca="1">SUMPRODUCT(AA$55:AA$114,TRANSPOSE(SAP_Speadsheet!$E$50:$BL$50))</f>
        <v>#REF!</v>
      </c>
      <c r="AB8" s="360" t="e" cm="1">
        <f t="array" aca="1" ref="AB8" ca="1">SUMPRODUCT(AB$55:AB$114,TRANSPOSE(SAP_Speadsheet!$E$50:$BL$50))</f>
        <v>#REF!</v>
      </c>
      <c r="AC8" s="360" t="e" cm="1">
        <f t="array" aca="1" ref="AC8" ca="1">SUMPRODUCT(AC$55:AC$114,TRANSPOSE(SAP_Speadsheet!$E$50:$BL$50))</f>
        <v>#REF!</v>
      </c>
      <c r="AD8" s="360" t="e" cm="1">
        <f t="array" aca="1" ref="AD8" ca="1">SUMPRODUCT(AD$55:AD$114,TRANSPOSE(SAP_Speadsheet!$E$50:$BL$50))</f>
        <v>#REF!</v>
      </c>
      <c r="AE8" s="360" t="e" cm="1">
        <f t="array" aca="1" ref="AE8" ca="1">SUMPRODUCT(AE$55:AE$114,TRANSPOSE(SAP_Speadsheet!$E$50:$BL$50))</f>
        <v>#REF!</v>
      </c>
      <c r="AF8" s="360" t="e" cm="1">
        <f t="array" aca="1" ref="AF8" ca="1">SUMPRODUCT(AF$55:AF$114,TRANSPOSE(SAP_Speadsheet!$E$50:$BL$50))</f>
        <v>#REF!</v>
      </c>
      <c r="AG8" s="360" t="e" cm="1">
        <f t="array" aca="1" ref="AG8" ca="1">SUMPRODUCT(AG$55:AG$114,TRANSPOSE(SAP_Speadsheet!$E$50:$BL$50))</f>
        <v>#REF!</v>
      </c>
      <c r="AH8" s="360" t="e" cm="1">
        <f t="array" aca="1" ref="AH8" ca="1">SUMPRODUCT(AH$55:AH$114,TRANSPOSE(SAP_Speadsheet!$E$50:$BL$50))</f>
        <v>#REF!</v>
      </c>
      <c r="AI8" s="360" t="e" cm="1">
        <f t="array" aca="1" ref="AI8" ca="1">SUMPRODUCT(AI$55:AI$114,TRANSPOSE(SAP_Speadsheet!$E$50:$BL$50))</f>
        <v>#REF!</v>
      </c>
      <c r="AJ8" s="360" t="e" cm="1">
        <f t="array" aca="1" ref="AJ8" ca="1">SUMPRODUCT(AJ$55:AJ$114,TRANSPOSE(SAP_Speadsheet!$E$50:$BL$50))</f>
        <v>#REF!</v>
      </c>
      <c r="AK8" s="360" t="e" cm="1">
        <f t="array" aca="1" ref="AK8" ca="1">SUMPRODUCT(AK$55:AK$114,TRANSPOSE(SAP_Speadsheet!$E$50:$BL$50))</f>
        <v>#REF!</v>
      </c>
      <c r="AL8" s="360" t="e" cm="1">
        <f t="array" aca="1" ref="AL8" ca="1">SUMPRODUCT(AL$55:AL$114,TRANSPOSE(SAP_Speadsheet!$E$50:$BL$50))</f>
        <v>#REF!</v>
      </c>
      <c r="AM8" s="360" t="e" cm="1">
        <f t="array" aca="1" ref="AM8" ca="1">SUMPRODUCT(AM$55:AM$114,TRANSPOSE(SAP_Speadsheet!$E$50:$BL$50))</f>
        <v>#REF!</v>
      </c>
      <c r="AN8" s="360" t="e" cm="1">
        <f t="array" aca="1" ref="AN8" ca="1">SUMPRODUCT(AN$55:AN$114,TRANSPOSE(SAP_Speadsheet!$E$50:$BL$50))</f>
        <v>#REF!</v>
      </c>
      <c r="AO8" s="360" t="e" cm="1">
        <f t="array" aca="1" ref="AO8" ca="1">SUMPRODUCT(AO$55:AO$114,TRANSPOSE(SAP_Speadsheet!$E$50:$BL$50))</f>
        <v>#REF!</v>
      </c>
      <c r="AP8" s="360" t="e" cm="1">
        <f t="array" aca="1" ref="AP8" ca="1">SUMPRODUCT(AP$55:AP$114,TRANSPOSE(SAP_Speadsheet!$E$50:$BL$50))</f>
        <v>#REF!</v>
      </c>
      <c r="AQ8" s="360" t="e" cm="1">
        <f t="array" aca="1" ref="AQ8" ca="1">SUMPRODUCT(AQ$55:AQ$114,TRANSPOSE(SAP_Speadsheet!$E$50:$BL$50))</f>
        <v>#REF!</v>
      </c>
      <c r="AR8" s="360" t="e" cm="1">
        <f t="array" aca="1" ref="AR8" ca="1">SUMPRODUCT(AR$55:AR$114,TRANSPOSE(SAP_Speadsheet!$E$50:$BL$50))</f>
        <v>#REF!</v>
      </c>
      <c r="AS8" s="360" t="e" cm="1">
        <f t="array" aca="1" ref="AS8" ca="1">SUMPRODUCT(AS$55:AS$114,TRANSPOSE(SAP_Speadsheet!$E$50:$BL$50))</f>
        <v>#REF!</v>
      </c>
      <c r="AT8" s="360" t="e" cm="1">
        <f t="array" aca="1" ref="AT8" ca="1">SUMPRODUCT(AT$55:AT$114,TRANSPOSE(SAP_Speadsheet!$E$50:$BL$50))</f>
        <v>#REF!</v>
      </c>
      <c r="AU8" s="360" t="e" cm="1">
        <f t="array" aca="1" ref="AU8" ca="1">SUMPRODUCT(AU$55:AU$114,TRANSPOSE(SAP_Speadsheet!$E$50:$BL$50))</f>
        <v>#REF!</v>
      </c>
      <c r="AV8" s="360" t="e" cm="1">
        <f t="array" aca="1" ref="AV8" ca="1">SUMPRODUCT(AV$55:AV$114,TRANSPOSE(SAP_Speadsheet!$E$50:$BL$50))</f>
        <v>#REF!</v>
      </c>
      <c r="AW8" s="360" t="e" cm="1">
        <f t="array" aca="1" ref="AW8" ca="1">SUMPRODUCT(AW$55:AW$114,TRANSPOSE(SAP_Speadsheet!$E$50:$BL$50))</f>
        <v>#REF!</v>
      </c>
      <c r="AX8" s="360" t="e" cm="1">
        <f t="array" aca="1" ref="AX8" ca="1">SUMPRODUCT(AX$55:AX$114,TRANSPOSE(SAP_Speadsheet!$E$50:$BL$50))</f>
        <v>#REF!</v>
      </c>
      <c r="AY8" s="360" t="e" cm="1">
        <f t="array" aca="1" ref="AY8" ca="1">SUMPRODUCT(AY$55:AY$114,TRANSPOSE(SAP_Speadsheet!$E$50:$BL$50))</f>
        <v>#REF!</v>
      </c>
      <c r="AZ8" s="360" t="e" cm="1">
        <f t="array" aca="1" ref="AZ8" ca="1">SUMPRODUCT(AZ$55:AZ$114,TRANSPOSE(SAP_Speadsheet!$E$50:$BL$50))</f>
        <v>#REF!</v>
      </c>
      <c r="BA8" s="360" t="e" cm="1">
        <f t="array" aca="1" ref="BA8" ca="1">SUMPRODUCT(BA$55:BA$114,TRANSPOSE(SAP_Speadsheet!$E$50:$BL$50))</f>
        <v>#REF!</v>
      </c>
      <c r="BB8" s="360" t="e" cm="1">
        <f t="array" aca="1" ref="BB8" ca="1">SUMPRODUCT(BB$55:BB$114,TRANSPOSE(SAP_Speadsheet!$E$50:$BL$50))</f>
        <v>#REF!</v>
      </c>
      <c r="BC8" s="360" t="e" cm="1">
        <f t="array" aca="1" ref="BC8" ca="1">SUMPRODUCT(BC$55:BC$114,TRANSPOSE(SAP_Speadsheet!$E$50:$BL$50))</f>
        <v>#REF!</v>
      </c>
      <c r="BD8" s="360" t="e" cm="1">
        <f t="array" aca="1" ref="BD8" ca="1">SUMPRODUCT(BD$55:BD$114,TRANSPOSE(SAP_Speadsheet!$E$50:$BL$50))</f>
        <v>#REF!</v>
      </c>
      <c r="BE8" s="360" t="e" cm="1">
        <f t="array" aca="1" ref="BE8" ca="1">SUMPRODUCT(BE$55:BE$114,TRANSPOSE(SAP_Speadsheet!$E$50:$BL$50))</f>
        <v>#REF!</v>
      </c>
      <c r="BF8" s="360" t="e" cm="1">
        <f t="array" aca="1" ref="BF8" ca="1">SUMPRODUCT(BF$55:BF$114,TRANSPOSE(SAP_Speadsheet!$E$50:$BL$50))</f>
        <v>#REF!</v>
      </c>
      <c r="BG8" s="360" t="e" cm="1">
        <f t="array" aca="1" ref="BG8" ca="1">SUMPRODUCT(BG$55:BG$114,TRANSPOSE(SAP_Speadsheet!$E$50:$BL$50))</f>
        <v>#REF!</v>
      </c>
      <c r="BH8" s="360" t="e" cm="1">
        <f t="array" aca="1" ref="BH8" ca="1">SUMPRODUCT(BH$55:BH$114,TRANSPOSE(SAP_Speadsheet!$E$50:$BL$50))</f>
        <v>#REF!</v>
      </c>
      <c r="BI8" s="360" t="e" cm="1">
        <f t="array" aca="1" ref="BI8" ca="1">SUMPRODUCT(BI$55:BI$114,TRANSPOSE(SAP_Speadsheet!$E$50:$BL$50))</f>
        <v>#REF!</v>
      </c>
    </row>
    <row r="9" spans="1:61" s="353" customFormat="1" x14ac:dyDescent="0.15">
      <c r="A9" s="353" t="s">
        <v>192</v>
      </c>
      <c r="B9" s="360" cm="1">
        <f t="array" aca="1" ref="B9" ca="1">SUMPRODUCT(B$55:B$114,TRANSPOSE(SAP_Speadsheet!$E$55:$BL$55))</f>
        <v>0</v>
      </c>
      <c r="C9" s="360" cm="1">
        <f t="array" aca="1" ref="C9" ca="1">SUMPRODUCT(C$55:C$114,TRANSPOSE(SAP_Speadsheet!$E$55:$BL$55))</f>
        <v>0</v>
      </c>
      <c r="D9" s="360" cm="1">
        <f t="array" aca="1" ref="D9" ca="1">SUMPRODUCT(D$55:D$114,TRANSPOSE(SAP_Speadsheet!$E$55:$BL$55))</f>
        <v>0</v>
      </c>
      <c r="E9" s="360" cm="1">
        <f t="array" aca="1" ref="E9" ca="1">SUMPRODUCT(E$55:E$114,TRANSPOSE(SAP_Speadsheet!$E$55:$BL$55))</f>
        <v>0</v>
      </c>
      <c r="F9" s="360" cm="1">
        <f t="array" aca="1" ref="F9" ca="1">SUMPRODUCT(F$55:F$114,TRANSPOSE(SAP_Speadsheet!$E$55:$BL$55))</f>
        <v>0</v>
      </c>
      <c r="G9" s="360" cm="1">
        <f t="array" aca="1" ref="G9" ca="1">SUMPRODUCT(G$55:G$114,TRANSPOSE(SAP_Speadsheet!$E$55:$BL$55))</f>
        <v>0</v>
      </c>
      <c r="H9" s="360" t="e" cm="1">
        <f t="array" aca="1" ref="H9" ca="1">SUMPRODUCT(H$55:H$114,TRANSPOSE(SAP_Speadsheet!$E$55:$BL$55))</f>
        <v>#REF!</v>
      </c>
      <c r="I9" s="360" t="e" cm="1">
        <f t="array" aca="1" ref="I9" ca="1">SUMPRODUCT(I$55:I$114,TRANSPOSE(SAP_Speadsheet!$E$55:$BL$55))</f>
        <v>#REF!</v>
      </c>
      <c r="J9" s="360" t="e" cm="1">
        <f t="array" aca="1" ref="J9" ca="1">SUMPRODUCT(J$55:J$114,TRANSPOSE(SAP_Speadsheet!$E$55:$BL$55))</f>
        <v>#REF!</v>
      </c>
      <c r="K9" s="360" t="e" cm="1">
        <f t="array" aca="1" ref="K9" ca="1">SUMPRODUCT(K$55:K$114,TRANSPOSE(SAP_Speadsheet!$E$55:$BL$55))</f>
        <v>#REF!</v>
      </c>
      <c r="L9" s="360" t="e" cm="1">
        <f t="array" aca="1" ref="L9" ca="1">SUMPRODUCT(L$55:L$114,TRANSPOSE(SAP_Speadsheet!$E$55:$BL$55))</f>
        <v>#REF!</v>
      </c>
      <c r="M9" s="360" t="e" cm="1">
        <f t="array" aca="1" ref="M9" ca="1">SUMPRODUCT(M$55:M$114,TRANSPOSE(SAP_Speadsheet!$E$55:$BL$55))</f>
        <v>#REF!</v>
      </c>
      <c r="N9" s="360" t="e" cm="1">
        <f t="array" aca="1" ref="N9" ca="1">SUMPRODUCT(N$55:N$114,TRANSPOSE(SAP_Speadsheet!$E$55:$BL$55))</f>
        <v>#REF!</v>
      </c>
      <c r="O9" s="360" t="e" cm="1">
        <f t="array" aca="1" ref="O9" ca="1">SUMPRODUCT(O$55:O$114,TRANSPOSE(SAP_Speadsheet!$E$55:$BL$55))</f>
        <v>#REF!</v>
      </c>
      <c r="P9" s="360" t="e" cm="1">
        <f t="array" aca="1" ref="P9" ca="1">SUMPRODUCT(P$55:P$114,TRANSPOSE(SAP_Speadsheet!$E$55:$BL$55))</f>
        <v>#REF!</v>
      </c>
      <c r="Q9" s="360" t="e" cm="1">
        <f t="array" aca="1" ref="Q9" ca="1">SUMPRODUCT(Q$55:Q$114,TRANSPOSE(SAP_Speadsheet!$E$55:$BL$55))</f>
        <v>#REF!</v>
      </c>
      <c r="R9" s="360" t="e" cm="1">
        <f t="array" aca="1" ref="R9" ca="1">SUMPRODUCT(R$55:R$114,TRANSPOSE(SAP_Speadsheet!$E$55:$BL$55))</f>
        <v>#REF!</v>
      </c>
      <c r="S9" s="360" t="e" cm="1">
        <f t="array" aca="1" ref="S9" ca="1">SUMPRODUCT(S$55:S$114,TRANSPOSE(SAP_Speadsheet!$E$55:$BL$55))</f>
        <v>#REF!</v>
      </c>
      <c r="T9" s="360" t="e" cm="1">
        <f t="array" aca="1" ref="T9" ca="1">SUMPRODUCT(T$55:T$114,TRANSPOSE(SAP_Speadsheet!$E$55:$BL$55))</f>
        <v>#REF!</v>
      </c>
      <c r="U9" s="360" t="e" cm="1">
        <f t="array" aca="1" ref="U9" ca="1">SUMPRODUCT(U$55:U$114,TRANSPOSE(SAP_Speadsheet!$E$55:$BL$55))</f>
        <v>#REF!</v>
      </c>
      <c r="V9" s="360" t="e" cm="1">
        <f t="array" aca="1" ref="V9" ca="1">SUMPRODUCT(V$55:V$114,TRANSPOSE(SAP_Speadsheet!$E$55:$BL$55))</f>
        <v>#REF!</v>
      </c>
      <c r="W9" s="360" t="e" cm="1">
        <f t="array" aca="1" ref="W9" ca="1">SUMPRODUCT(W$55:W$114,TRANSPOSE(SAP_Speadsheet!$E$55:$BL$55))</f>
        <v>#REF!</v>
      </c>
      <c r="X9" s="360" t="e" cm="1">
        <f t="array" aca="1" ref="X9" ca="1">SUMPRODUCT(X$55:X$114,TRANSPOSE(SAP_Speadsheet!$E$55:$BL$55))</f>
        <v>#REF!</v>
      </c>
      <c r="Y9" s="360" t="e" cm="1">
        <f t="array" aca="1" ref="Y9" ca="1">SUMPRODUCT(Y$55:Y$114,TRANSPOSE(SAP_Speadsheet!$E$55:$BL$55))</f>
        <v>#REF!</v>
      </c>
      <c r="Z9" s="360" t="e" cm="1">
        <f t="array" aca="1" ref="Z9" ca="1">SUMPRODUCT(Z$55:Z$114,TRANSPOSE(SAP_Speadsheet!$E$55:$BL$55))</f>
        <v>#REF!</v>
      </c>
      <c r="AA9" s="360" t="e" cm="1">
        <f t="array" aca="1" ref="AA9" ca="1">SUMPRODUCT(AA$55:AA$114,TRANSPOSE(SAP_Speadsheet!$E$55:$BL$55))</f>
        <v>#REF!</v>
      </c>
      <c r="AB9" s="360" t="e" cm="1">
        <f t="array" aca="1" ref="AB9" ca="1">SUMPRODUCT(AB$55:AB$114,TRANSPOSE(SAP_Speadsheet!$E$55:$BL$55))</f>
        <v>#REF!</v>
      </c>
      <c r="AC9" s="360" t="e" cm="1">
        <f t="array" aca="1" ref="AC9" ca="1">SUMPRODUCT(AC$55:AC$114,TRANSPOSE(SAP_Speadsheet!$E$55:$BL$55))</f>
        <v>#REF!</v>
      </c>
      <c r="AD9" s="360" t="e" cm="1">
        <f t="array" aca="1" ref="AD9" ca="1">SUMPRODUCT(AD$55:AD$114,TRANSPOSE(SAP_Speadsheet!$E$55:$BL$55))</f>
        <v>#REF!</v>
      </c>
      <c r="AE9" s="360" t="e" cm="1">
        <f t="array" aca="1" ref="AE9" ca="1">SUMPRODUCT(AE$55:AE$114,TRANSPOSE(SAP_Speadsheet!$E$55:$BL$55))</f>
        <v>#REF!</v>
      </c>
      <c r="AF9" s="360" t="e" cm="1">
        <f t="array" aca="1" ref="AF9" ca="1">SUMPRODUCT(AF$55:AF$114,TRANSPOSE(SAP_Speadsheet!$E$55:$BL$55))</f>
        <v>#REF!</v>
      </c>
      <c r="AG9" s="360" t="e" cm="1">
        <f t="array" aca="1" ref="AG9" ca="1">SUMPRODUCT(AG$55:AG$114,TRANSPOSE(SAP_Speadsheet!$E$55:$BL$55))</f>
        <v>#REF!</v>
      </c>
      <c r="AH9" s="360" t="e" cm="1">
        <f t="array" aca="1" ref="AH9" ca="1">SUMPRODUCT(AH$55:AH$114,TRANSPOSE(SAP_Speadsheet!$E$55:$BL$55))</f>
        <v>#REF!</v>
      </c>
      <c r="AI9" s="360" t="e" cm="1">
        <f t="array" aca="1" ref="AI9" ca="1">SUMPRODUCT(AI$55:AI$114,TRANSPOSE(SAP_Speadsheet!$E$55:$BL$55))</f>
        <v>#REF!</v>
      </c>
      <c r="AJ9" s="360" t="e" cm="1">
        <f t="array" aca="1" ref="AJ9" ca="1">SUMPRODUCT(AJ$55:AJ$114,TRANSPOSE(SAP_Speadsheet!$E$55:$BL$55))</f>
        <v>#REF!</v>
      </c>
      <c r="AK9" s="360" t="e" cm="1">
        <f t="array" aca="1" ref="AK9" ca="1">SUMPRODUCT(AK$55:AK$114,TRANSPOSE(SAP_Speadsheet!$E$55:$BL$55))</f>
        <v>#REF!</v>
      </c>
      <c r="AL9" s="360" t="e" cm="1">
        <f t="array" aca="1" ref="AL9" ca="1">SUMPRODUCT(AL$55:AL$114,TRANSPOSE(SAP_Speadsheet!$E$55:$BL$55))</f>
        <v>#REF!</v>
      </c>
      <c r="AM9" s="360" t="e" cm="1">
        <f t="array" aca="1" ref="AM9" ca="1">SUMPRODUCT(AM$55:AM$114,TRANSPOSE(SAP_Speadsheet!$E$55:$BL$55))</f>
        <v>#REF!</v>
      </c>
      <c r="AN9" s="360" t="e" cm="1">
        <f t="array" aca="1" ref="AN9" ca="1">SUMPRODUCT(AN$55:AN$114,TRANSPOSE(SAP_Speadsheet!$E$55:$BL$55))</f>
        <v>#REF!</v>
      </c>
      <c r="AO9" s="360" t="e" cm="1">
        <f t="array" aca="1" ref="AO9" ca="1">SUMPRODUCT(AO$55:AO$114,TRANSPOSE(SAP_Speadsheet!$E$55:$BL$55))</f>
        <v>#REF!</v>
      </c>
      <c r="AP9" s="360" t="e" cm="1">
        <f t="array" aca="1" ref="AP9" ca="1">SUMPRODUCT(AP$55:AP$114,TRANSPOSE(SAP_Speadsheet!$E$55:$BL$55))</f>
        <v>#REF!</v>
      </c>
      <c r="AQ9" s="360" t="e" cm="1">
        <f t="array" aca="1" ref="AQ9" ca="1">SUMPRODUCT(AQ$55:AQ$114,TRANSPOSE(SAP_Speadsheet!$E$55:$BL$55))</f>
        <v>#REF!</v>
      </c>
      <c r="AR9" s="360" t="e" cm="1">
        <f t="array" aca="1" ref="AR9" ca="1">SUMPRODUCT(AR$55:AR$114,TRANSPOSE(SAP_Speadsheet!$E$55:$BL$55))</f>
        <v>#REF!</v>
      </c>
      <c r="AS9" s="360" t="e" cm="1">
        <f t="array" aca="1" ref="AS9" ca="1">SUMPRODUCT(AS$55:AS$114,TRANSPOSE(SAP_Speadsheet!$E$55:$BL$55))</f>
        <v>#REF!</v>
      </c>
      <c r="AT9" s="360" t="e" cm="1">
        <f t="array" aca="1" ref="AT9" ca="1">SUMPRODUCT(AT$55:AT$114,TRANSPOSE(SAP_Speadsheet!$E$55:$BL$55))</f>
        <v>#REF!</v>
      </c>
      <c r="AU9" s="360" t="e" cm="1">
        <f t="array" aca="1" ref="AU9" ca="1">SUMPRODUCT(AU$55:AU$114,TRANSPOSE(SAP_Speadsheet!$E$55:$BL$55))</f>
        <v>#REF!</v>
      </c>
      <c r="AV9" s="360" t="e" cm="1">
        <f t="array" aca="1" ref="AV9" ca="1">SUMPRODUCT(AV$55:AV$114,TRANSPOSE(SAP_Speadsheet!$E$55:$BL$55))</f>
        <v>#REF!</v>
      </c>
      <c r="AW9" s="360" t="e" cm="1">
        <f t="array" aca="1" ref="AW9" ca="1">SUMPRODUCT(AW$55:AW$114,TRANSPOSE(SAP_Speadsheet!$E$55:$BL$55))</f>
        <v>#REF!</v>
      </c>
      <c r="AX9" s="360" t="e" cm="1">
        <f t="array" aca="1" ref="AX9" ca="1">SUMPRODUCT(AX$55:AX$114,TRANSPOSE(SAP_Speadsheet!$E$55:$BL$55))</f>
        <v>#REF!</v>
      </c>
      <c r="AY9" s="360" t="e" cm="1">
        <f t="array" aca="1" ref="AY9" ca="1">SUMPRODUCT(AY$55:AY$114,TRANSPOSE(SAP_Speadsheet!$E$55:$BL$55))</f>
        <v>#REF!</v>
      </c>
      <c r="AZ9" s="360" t="e" cm="1">
        <f t="array" aca="1" ref="AZ9" ca="1">SUMPRODUCT(AZ$55:AZ$114,TRANSPOSE(SAP_Speadsheet!$E$55:$BL$55))</f>
        <v>#REF!</v>
      </c>
      <c r="BA9" s="360" t="e" cm="1">
        <f t="array" aca="1" ref="BA9" ca="1">SUMPRODUCT(BA$55:BA$114,TRANSPOSE(SAP_Speadsheet!$E$55:$BL$55))</f>
        <v>#REF!</v>
      </c>
      <c r="BB9" s="360" t="e" cm="1">
        <f t="array" aca="1" ref="BB9" ca="1">SUMPRODUCT(BB$55:BB$114,TRANSPOSE(SAP_Speadsheet!$E$55:$BL$55))</f>
        <v>#REF!</v>
      </c>
      <c r="BC9" s="360" t="e" cm="1">
        <f t="array" aca="1" ref="BC9" ca="1">SUMPRODUCT(BC$55:BC$114,TRANSPOSE(SAP_Speadsheet!$E$55:$BL$55))</f>
        <v>#REF!</v>
      </c>
      <c r="BD9" s="360" t="e" cm="1">
        <f t="array" aca="1" ref="BD9" ca="1">SUMPRODUCT(BD$55:BD$114,TRANSPOSE(SAP_Speadsheet!$E$55:$BL$55))</f>
        <v>#REF!</v>
      </c>
      <c r="BE9" s="360" t="e" cm="1">
        <f t="array" aca="1" ref="BE9" ca="1">SUMPRODUCT(BE$55:BE$114,TRANSPOSE(SAP_Speadsheet!$E$55:$BL$55))</f>
        <v>#REF!</v>
      </c>
      <c r="BF9" s="360" t="e" cm="1">
        <f t="array" aca="1" ref="BF9" ca="1">SUMPRODUCT(BF$55:BF$114,TRANSPOSE(SAP_Speadsheet!$E$55:$BL$55))</f>
        <v>#REF!</v>
      </c>
      <c r="BG9" s="360" t="e" cm="1">
        <f t="array" aca="1" ref="BG9" ca="1">SUMPRODUCT(BG$55:BG$114,TRANSPOSE(SAP_Speadsheet!$E$55:$BL$55))</f>
        <v>#REF!</v>
      </c>
      <c r="BH9" s="360" t="e" cm="1">
        <f t="array" aca="1" ref="BH9" ca="1">SUMPRODUCT(BH$55:BH$114,TRANSPOSE(SAP_Speadsheet!$E$55:$BL$55))</f>
        <v>#REF!</v>
      </c>
      <c r="BI9" s="360" t="e" cm="1">
        <f t="array" aca="1" ref="BI9" ca="1">SUMPRODUCT(BI$55:BI$114,TRANSPOSE(SAP_Speadsheet!$E$55:$BL$55))</f>
        <v>#REF!</v>
      </c>
    </row>
    <row r="10" spans="1:61" s="363" customFormat="1" x14ac:dyDescent="0.15">
      <c r="A10" s="361" t="s">
        <v>425</v>
      </c>
      <c r="B10" s="362">
        <f t="shared" ref="B10:BI10" ca="1" si="2">B9-B11-B14</f>
        <v>0</v>
      </c>
      <c r="C10" s="362">
        <f t="shared" ca="1" si="2"/>
        <v>0</v>
      </c>
      <c r="D10" s="362">
        <f t="shared" ca="1" si="2"/>
        <v>0</v>
      </c>
      <c r="E10" s="362">
        <f t="shared" ca="1" si="2"/>
        <v>0</v>
      </c>
      <c r="F10" s="362">
        <f t="shared" ca="1" si="2"/>
        <v>0</v>
      </c>
      <c r="G10" s="362">
        <f t="shared" ca="1" si="2"/>
        <v>0</v>
      </c>
      <c r="H10" s="362" t="e">
        <f t="shared" ca="1" si="2"/>
        <v>#REF!</v>
      </c>
      <c r="I10" s="362" t="e">
        <f t="shared" ca="1" si="2"/>
        <v>#REF!</v>
      </c>
      <c r="J10" s="362" t="e">
        <f t="shared" ca="1" si="2"/>
        <v>#REF!</v>
      </c>
      <c r="K10" s="362" t="e">
        <f t="shared" ca="1" si="2"/>
        <v>#REF!</v>
      </c>
      <c r="L10" s="362" t="e">
        <f t="shared" ca="1" si="2"/>
        <v>#REF!</v>
      </c>
      <c r="M10" s="362" t="e">
        <f t="shared" ca="1" si="2"/>
        <v>#REF!</v>
      </c>
      <c r="N10" s="362" t="e">
        <f t="shared" ca="1" si="2"/>
        <v>#REF!</v>
      </c>
      <c r="O10" s="362" t="e">
        <f t="shared" ca="1" si="2"/>
        <v>#REF!</v>
      </c>
      <c r="P10" s="362" t="e">
        <f t="shared" ca="1" si="2"/>
        <v>#REF!</v>
      </c>
      <c r="Q10" s="362" t="e">
        <f t="shared" ca="1" si="2"/>
        <v>#REF!</v>
      </c>
      <c r="R10" s="362" t="e">
        <f t="shared" ca="1" si="2"/>
        <v>#REF!</v>
      </c>
      <c r="S10" s="362" t="e">
        <f t="shared" ca="1" si="2"/>
        <v>#REF!</v>
      </c>
      <c r="T10" s="362" t="e">
        <f t="shared" ca="1" si="2"/>
        <v>#REF!</v>
      </c>
      <c r="U10" s="362" t="e">
        <f t="shared" ca="1" si="2"/>
        <v>#REF!</v>
      </c>
      <c r="V10" s="362" t="e">
        <f t="shared" ca="1" si="2"/>
        <v>#REF!</v>
      </c>
      <c r="W10" s="362" t="e">
        <f t="shared" ca="1" si="2"/>
        <v>#REF!</v>
      </c>
      <c r="X10" s="362" t="e">
        <f t="shared" ca="1" si="2"/>
        <v>#REF!</v>
      </c>
      <c r="Y10" s="362" t="e">
        <f t="shared" ca="1" si="2"/>
        <v>#REF!</v>
      </c>
      <c r="Z10" s="362" t="e">
        <f t="shared" ca="1" si="2"/>
        <v>#REF!</v>
      </c>
      <c r="AA10" s="362" t="e">
        <f t="shared" ca="1" si="2"/>
        <v>#REF!</v>
      </c>
      <c r="AB10" s="362" t="e">
        <f t="shared" ca="1" si="2"/>
        <v>#REF!</v>
      </c>
      <c r="AC10" s="362" t="e">
        <f t="shared" ca="1" si="2"/>
        <v>#REF!</v>
      </c>
      <c r="AD10" s="362" t="e">
        <f t="shared" ca="1" si="2"/>
        <v>#REF!</v>
      </c>
      <c r="AE10" s="362" t="e">
        <f t="shared" ca="1" si="2"/>
        <v>#REF!</v>
      </c>
      <c r="AF10" s="362" t="e">
        <f t="shared" ca="1" si="2"/>
        <v>#REF!</v>
      </c>
      <c r="AG10" s="362" t="e">
        <f t="shared" ca="1" si="2"/>
        <v>#REF!</v>
      </c>
      <c r="AH10" s="362" t="e">
        <f t="shared" ca="1" si="2"/>
        <v>#REF!</v>
      </c>
      <c r="AI10" s="362" t="e">
        <f t="shared" ca="1" si="2"/>
        <v>#REF!</v>
      </c>
      <c r="AJ10" s="362" t="e">
        <f t="shared" ca="1" si="2"/>
        <v>#REF!</v>
      </c>
      <c r="AK10" s="362" t="e">
        <f t="shared" ca="1" si="2"/>
        <v>#REF!</v>
      </c>
      <c r="AL10" s="362" t="e">
        <f t="shared" ca="1" si="2"/>
        <v>#REF!</v>
      </c>
      <c r="AM10" s="362" t="e">
        <f t="shared" ca="1" si="2"/>
        <v>#REF!</v>
      </c>
      <c r="AN10" s="362" t="e">
        <f t="shared" ca="1" si="2"/>
        <v>#REF!</v>
      </c>
      <c r="AO10" s="362" t="e">
        <f t="shared" ca="1" si="2"/>
        <v>#REF!</v>
      </c>
      <c r="AP10" s="362" t="e">
        <f t="shared" ca="1" si="2"/>
        <v>#REF!</v>
      </c>
      <c r="AQ10" s="362" t="e">
        <f t="shared" ca="1" si="2"/>
        <v>#REF!</v>
      </c>
      <c r="AR10" s="362" t="e">
        <f t="shared" ca="1" si="2"/>
        <v>#REF!</v>
      </c>
      <c r="AS10" s="362" t="e">
        <f t="shared" ca="1" si="2"/>
        <v>#REF!</v>
      </c>
      <c r="AT10" s="362" t="e">
        <f t="shared" ca="1" si="2"/>
        <v>#REF!</v>
      </c>
      <c r="AU10" s="362" t="e">
        <f t="shared" ca="1" si="2"/>
        <v>#REF!</v>
      </c>
      <c r="AV10" s="362" t="e">
        <f t="shared" ca="1" si="2"/>
        <v>#REF!</v>
      </c>
      <c r="AW10" s="362" t="e">
        <f t="shared" ca="1" si="2"/>
        <v>#REF!</v>
      </c>
      <c r="AX10" s="362" t="e">
        <f t="shared" ca="1" si="2"/>
        <v>#REF!</v>
      </c>
      <c r="AY10" s="362" t="e">
        <f t="shared" ca="1" si="2"/>
        <v>#REF!</v>
      </c>
      <c r="AZ10" s="362" t="e">
        <f t="shared" ca="1" si="2"/>
        <v>#REF!</v>
      </c>
      <c r="BA10" s="362" t="e">
        <f t="shared" ca="1" si="2"/>
        <v>#REF!</v>
      </c>
      <c r="BB10" s="362" t="e">
        <f t="shared" ca="1" si="2"/>
        <v>#REF!</v>
      </c>
      <c r="BC10" s="362" t="e">
        <f t="shared" ca="1" si="2"/>
        <v>#REF!</v>
      </c>
      <c r="BD10" s="362" t="e">
        <f t="shared" ca="1" si="2"/>
        <v>#REF!</v>
      </c>
      <c r="BE10" s="362" t="e">
        <f t="shared" ca="1" si="2"/>
        <v>#REF!</v>
      </c>
      <c r="BF10" s="362" t="e">
        <f t="shared" ca="1" si="2"/>
        <v>#REF!</v>
      </c>
      <c r="BG10" s="362" t="e">
        <f t="shared" ca="1" si="2"/>
        <v>#REF!</v>
      </c>
      <c r="BH10" s="362" t="e">
        <f t="shared" ca="1" si="2"/>
        <v>#REF!</v>
      </c>
      <c r="BI10" s="362" t="e">
        <f t="shared" ca="1" si="2"/>
        <v>#REF!</v>
      </c>
    </row>
    <row r="11" spans="1:61" s="353" customFormat="1" x14ac:dyDescent="0.15">
      <c r="A11" s="353" t="s">
        <v>193</v>
      </c>
      <c r="B11" s="360" cm="1">
        <f t="array" aca="1" ref="B11" ca="1">SUMPRODUCT(B$55:B$114,TRANSPOSE(SAP_Speadsheet!$E$57:$BL$57))</f>
        <v>0</v>
      </c>
      <c r="C11" s="360" cm="1">
        <f t="array" aca="1" ref="C11" ca="1">SUMPRODUCT(C$55:C$114,TRANSPOSE(SAP_Speadsheet!$E$57:$BL$57))</f>
        <v>0</v>
      </c>
      <c r="D11" s="360" cm="1">
        <f t="array" aca="1" ref="D11" ca="1">SUMPRODUCT(D$55:D$114,TRANSPOSE(SAP_Speadsheet!$E$57:$BL$57))</f>
        <v>0</v>
      </c>
      <c r="E11" s="360" cm="1">
        <f t="array" aca="1" ref="E11" ca="1">SUMPRODUCT(E$55:E$114,TRANSPOSE(SAP_Speadsheet!$E$57:$BL$57))</f>
        <v>0</v>
      </c>
      <c r="F11" s="360" cm="1">
        <f t="array" aca="1" ref="F11" ca="1">SUMPRODUCT(F$55:F$114,TRANSPOSE(SAP_Speadsheet!$E$57:$BL$57))</f>
        <v>0</v>
      </c>
      <c r="G11" s="360" cm="1">
        <f t="array" aca="1" ref="G11" ca="1">SUMPRODUCT(G$55:G$114,TRANSPOSE(SAP_Speadsheet!$E$57:$BL$57))</f>
        <v>0</v>
      </c>
      <c r="H11" s="360" t="e" cm="1">
        <f t="array" aca="1" ref="H11" ca="1">SUMPRODUCT(H$55:H$114,TRANSPOSE(SAP_Speadsheet!$E$57:$BL$57))</f>
        <v>#REF!</v>
      </c>
      <c r="I11" s="360" t="e" cm="1">
        <f t="array" aca="1" ref="I11" ca="1">SUMPRODUCT(I$55:I$114,TRANSPOSE(SAP_Speadsheet!$E$57:$BL$57))</f>
        <v>#REF!</v>
      </c>
      <c r="J11" s="360" t="e" cm="1">
        <f t="array" aca="1" ref="J11" ca="1">SUMPRODUCT(J$55:J$114,TRANSPOSE(SAP_Speadsheet!$E$57:$BL$57))</f>
        <v>#REF!</v>
      </c>
      <c r="K11" s="360" t="e" cm="1">
        <f t="array" aca="1" ref="K11" ca="1">SUMPRODUCT(K$55:K$114,TRANSPOSE(SAP_Speadsheet!$E$57:$BL$57))</f>
        <v>#REF!</v>
      </c>
      <c r="L11" s="360" t="e" cm="1">
        <f t="array" aca="1" ref="L11" ca="1">SUMPRODUCT(L$55:L$114,TRANSPOSE(SAP_Speadsheet!$E$57:$BL$57))</f>
        <v>#REF!</v>
      </c>
      <c r="M11" s="360" t="e" cm="1">
        <f t="array" aca="1" ref="M11" ca="1">SUMPRODUCT(M$55:M$114,TRANSPOSE(SAP_Speadsheet!$E$57:$BL$57))</f>
        <v>#REF!</v>
      </c>
      <c r="N11" s="360" t="e" cm="1">
        <f t="array" aca="1" ref="N11" ca="1">SUMPRODUCT(N$55:N$114,TRANSPOSE(SAP_Speadsheet!$E$57:$BL$57))</f>
        <v>#REF!</v>
      </c>
      <c r="O11" s="360" t="e" cm="1">
        <f t="array" aca="1" ref="O11" ca="1">SUMPRODUCT(O$55:O$114,TRANSPOSE(SAP_Speadsheet!$E$57:$BL$57))</f>
        <v>#REF!</v>
      </c>
      <c r="P11" s="360" t="e" cm="1">
        <f t="array" aca="1" ref="P11" ca="1">SUMPRODUCT(P$55:P$114,TRANSPOSE(SAP_Speadsheet!$E$57:$BL$57))</f>
        <v>#REF!</v>
      </c>
      <c r="Q11" s="360" t="e" cm="1">
        <f t="array" aca="1" ref="Q11" ca="1">SUMPRODUCT(Q$55:Q$114,TRANSPOSE(SAP_Speadsheet!$E$57:$BL$57))</f>
        <v>#REF!</v>
      </c>
      <c r="R11" s="360" t="e" cm="1">
        <f t="array" aca="1" ref="R11" ca="1">SUMPRODUCT(R$55:R$114,TRANSPOSE(SAP_Speadsheet!$E$57:$BL$57))</f>
        <v>#REF!</v>
      </c>
      <c r="S11" s="360" t="e" cm="1">
        <f t="array" aca="1" ref="S11" ca="1">SUMPRODUCT(S$55:S$114,TRANSPOSE(SAP_Speadsheet!$E$57:$BL$57))</f>
        <v>#REF!</v>
      </c>
      <c r="T11" s="360" t="e" cm="1">
        <f t="array" aca="1" ref="T11" ca="1">SUMPRODUCT(T$55:T$114,TRANSPOSE(SAP_Speadsheet!$E$57:$BL$57))</f>
        <v>#REF!</v>
      </c>
      <c r="U11" s="360" t="e" cm="1">
        <f t="array" aca="1" ref="U11" ca="1">SUMPRODUCT(U$55:U$114,TRANSPOSE(SAP_Speadsheet!$E$57:$BL$57))</f>
        <v>#REF!</v>
      </c>
      <c r="V11" s="360" t="e" cm="1">
        <f t="array" aca="1" ref="V11" ca="1">SUMPRODUCT(V$55:V$114,TRANSPOSE(SAP_Speadsheet!$E$57:$BL$57))</f>
        <v>#REF!</v>
      </c>
      <c r="W11" s="360" t="e" cm="1">
        <f t="array" aca="1" ref="W11" ca="1">SUMPRODUCT(W$55:W$114,TRANSPOSE(SAP_Speadsheet!$E$57:$BL$57))</f>
        <v>#REF!</v>
      </c>
      <c r="X11" s="360" t="e" cm="1">
        <f t="array" aca="1" ref="X11" ca="1">SUMPRODUCT(X$55:X$114,TRANSPOSE(SAP_Speadsheet!$E$57:$BL$57))</f>
        <v>#REF!</v>
      </c>
      <c r="Y11" s="360" t="e" cm="1">
        <f t="array" aca="1" ref="Y11" ca="1">SUMPRODUCT(Y$55:Y$114,TRANSPOSE(SAP_Speadsheet!$E$57:$BL$57))</f>
        <v>#REF!</v>
      </c>
      <c r="Z11" s="360" t="e" cm="1">
        <f t="array" aca="1" ref="Z11" ca="1">SUMPRODUCT(Z$55:Z$114,TRANSPOSE(SAP_Speadsheet!$E$57:$BL$57))</f>
        <v>#REF!</v>
      </c>
      <c r="AA11" s="360" t="e" cm="1">
        <f t="array" aca="1" ref="AA11" ca="1">SUMPRODUCT(AA$55:AA$114,TRANSPOSE(SAP_Speadsheet!$E$57:$BL$57))</f>
        <v>#REF!</v>
      </c>
      <c r="AB11" s="360" t="e" cm="1">
        <f t="array" aca="1" ref="AB11" ca="1">SUMPRODUCT(AB$55:AB$114,TRANSPOSE(SAP_Speadsheet!$E$57:$BL$57))</f>
        <v>#REF!</v>
      </c>
      <c r="AC11" s="360" t="e" cm="1">
        <f t="array" aca="1" ref="AC11" ca="1">SUMPRODUCT(AC$55:AC$114,TRANSPOSE(SAP_Speadsheet!$E$57:$BL$57))</f>
        <v>#REF!</v>
      </c>
      <c r="AD11" s="360" t="e" cm="1">
        <f t="array" aca="1" ref="AD11" ca="1">SUMPRODUCT(AD$55:AD$114,TRANSPOSE(SAP_Speadsheet!$E$57:$BL$57))</f>
        <v>#REF!</v>
      </c>
      <c r="AE11" s="360" t="e" cm="1">
        <f t="array" aca="1" ref="AE11" ca="1">SUMPRODUCT(AE$55:AE$114,TRANSPOSE(SAP_Speadsheet!$E$57:$BL$57))</f>
        <v>#REF!</v>
      </c>
      <c r="AF11" s="360" t="e" cm="1">
        <f t="array" aca="1" ref="AF11" ca="1">SUMPRODUCT(AF$55:AF$114,TRANSPOSE(SAP_Speadsheet!$E$57:$BL$57))</f>
        <v>#REF!</v>
      </c>
      <c r="AG11" s="360" t="e" cm="1">
        <f t="array" aca="1" ref="AG11" ca="1">SUMPRODUCT(AG$55:AG$114,TRANSPOSE(SAP_Speadsheet!$E$57:$BL$57))</f>
        <v>#REF!</v>
      </c>
      <c r="AH11" s="360" t="e" cm="1">
        <f t="array" aca="1" ref="AH11" ca="1">SUMPRODUCT(AH$55:AH$114,TRANSPOSE(SAP_Speadsheet!$E$57:$BL$57))</f>
        <v>#REF!</v>
      </c>
      <c r="AI11" s="360" t="e" cm="1">
        <f t="array" aca="1" ref="AI11" ca="1">SUMPRODUCT(AI$55:AI$114,TRANSPOSE(SAP_Speadsheet!$E$57:$BL$57))</f>
        <v>#REF!</v>
      </c>
      <c r="AJ11" s="360" t="e" cm="1">
        <f t="array" aca="1" ref="AJ11" ca="1">SUMPRODUCT(AJ$55:AJ$114,TRANSPOSE(SAP_Speadsheet!$E$57:$BL$57))</f>
        <v>#REF!</v>
      </c>
      <c r="AK11" s="360" t="e" cm="1">
        <f t="array" aca="1" ref="AK11" ca="1">SUMPRODUCT(AK$55:AK$114,TRANSPOSE(SAP_Speadsheet!$E$57:$BL$57))</f>
        <v>#REF!</v>
      </c>
      <c r="AL11" s="360" t="e" cm="1">
        <f t="array" aca="1" ref="AL11" ca="1">SUMPRODUCT(AL$55:AL$114,TRANSPOSE(SAP_Speadsheet!$E$57:$BL$57))</f>
        <v>#REF!</v>
      </c>
      <c r="AM11" s="360" t="e" cm="1">
        <f t="array" aca="1" ref="AM11" ca="1">SUMPRODUCT(AM$55:AM$114,TRANSPOSE(SAP_Speadsheet!$E$57:$BL$57))</f>
        <v>#REF!</v>
      </c>
      <c r="AN11" s="360" t="e" cm="1">
        <f t="array" aca="1" ref="AN11" ca="1">SUMPRODUCT(AN$55:AN$114,TRANSPOSE(SAP_Speadsheet!$E$57:$BL$57))</f>
        <v>#REF!</v>
      </c>
      <c r="AO11" s="360" t="e" cm="1">
        <f t="array" aca="1" ref="AO11" ca="1">SUMPRODUCT(AO$55:AO$114,TRANSPOSE(SAP_Speadsheet!$E$57:$BL$57))</f>
        <v>#REF!</v>
      </c>
      <c r="AP11" s="360" t="e" cm="1">
        <f t="array" aca="1" ref="AP11" ca="1">SUMPRODUCT(AP$55:AP$114,TRANSPOSE(SAP_Speadsheet!$E$57:$BL$57))</f>
        <v>#REF!</v>
      </c>
      <c r="AQ11" s="360" t="e" cm="1">
        <f t="array" aca="1" ref="AQ11" ca="1">SUMPRODUCT(AQ$55:AQ$114,TRANSPOSE(SAP_Speadsheet!$E$57:$BL$57))</f>
        <v>#REF!</v>
      </c>
      <c r="AR11" s="360" t="e" cm="1">
        <f t="array" aca="1" ref="AR11" ca="1">SUMPRODUCT(AR$55:AR$114,TRANSPOSE(SAP_Speadsheet!$E$57:$BL$57))</f>
        <v>#REF!</v>
      </c>
      <c r="AS11" s="360" t="e" cm="1">
        <f t="array" aca="1" ref="AS11" ca="1">SUMPRODUCT(AS$55:AS$114,TRANSPOSE(SAP_Speadsheet!$E$57:$BL$57))</f>
        <v>#REF!</v>
      </c>
      <c r="AT11" s="360" t="e" cm="1">
        <f t="array" aca="1" ref="AT11" ca="1">SUMPRODUCT(AT$55:AT$114,TRANSPOSE(SAP_Speadsheet!$E$57:$BL$57))</f>
        <v>#REF!</v>
      </c>
      <c r="AU11" s="360" t="e" cm="1">
        <f t="array" aca="1" ref="AU11" ca="1">SUMPRODUCT(AU$55:AU$114,TRANSPOSE(SAP_Speadsheet!$E$57:$BL$57))</f>
        <v>#REF!</v>
      </c>
      <c r="AV11" s="360" t="e" cm="1">
        <f t="array" aca="1" ref="AV11" ca="1">SUMPRODUCT(AV$55:AV$114,TRANSPOSE(SAP_Speadsheet!$E$57:$BL$57))</f>
        <v>#REF!</v>
      </c>
      <c r="AW11" s="360" t="e" cm="1">
        <f t="array" aca="1" ref="AW11" ca="1">SUMPRODUCT(AW$55:AW$114,TRANSPOSE(SAP_Speadsheet!$E$57:$BL$57))</f>
        <v>#REF!</v>
      </c>
      <c r="AX11" s="360" t="e" cm="1">
        <f t="array" aca="1" ref="AX11" ca="1">SUMPRODUCT(AX$55:AX$114,TRANSPOSE(SAP_Speadsheet!$E$57:$BL$57))</f>
        <v>#REF!</v>
      </c>
      <c r="AY11" s="360" t="e" cm="1">
        <f t="array" aca="1" ref="AY11" ca="1">SUMPRODUCT(AY$55:AY$114,TRANSPOSE(SAP_Speadsheet!$E$57:$BL$57))</f>
        <v>#REF!</v>
      </c>
      <c r="AZ11" s="360" t="e" cm="1">
        <f t="array" aca="1" ref="AZ11" ca="1">SUMPRODUCT(AZ$55:AZ$114,TRANSPOSE(SAP_Speadsheet!$E$57:$BL$57))</f>
        <v>#REF!</v>
      </c>
      <c r="BA11" s="360" t="e" cm="1">
        <f t="array" aca="1" ref="BA11" ca="1">SUMPRODUCT(BA$55:BA$114,TRANSPOSE(SAP_Speadsheet!$E$57:$BL$57))</f>
        <v>#REF!</v>
      </c>
      <c r="BB11" s="360" t="e" cm="1">
        <f t="array" aca="1" ref="BB11" ca="1">SUMPRODUCT(BB$55:BB$114,TRANSPOSE(SAP_Speadsheet!$E$57:$BL$57))</f>
        <v>#REF!</v>
      </c>
      <c r="BC11" s="360" t="e" cm="1">
        <f t="array" aca="1" ref="BC11" ca="1">SUMPRODUCT(BC$55:BC$114,TRANSPOSE(SAP_Speadsheet!$E$57:$BL$57))</f>
        <v>#REF!</v>
      </c>
      <c r="BD11" s="360" t="e" cm="1">
        <f t="array" aca="1" ref="BD11" ca="1">SUMPRODUCT(BD$55:BD$114,TRANSPOSE(SAP_Speadsheet!$E$57:$BL$57))</f>
        <v>#REF!</v>
      </c>
      <c r="BE11" s="360" t="e" cm="1">
        <f t="array" aca="1" ref="BE11" ca="1">SUMPRODUCT(BE$55:BE$114,TRANSPOSE(SAP_Speadsheet!$E$57:$BL$57))</f>
        <v>#REF!</v>
      </c>
      <c r="BF11" s="360" t="e" cm="1">
        <f t="array" aca="1" ref="BF11" ca="1">SUMPRODUCT(BF$55:BF$114,TRANSPOSE(SAP_Speadsheet!$E$57:$BL$57))</f>
        <v>#REF!</v>
      </c>
      <c r="BG11" s="360" t="e" cm="1">
        <f t="array" aca="1" ref="BG11" ca="1">SUMPRODUCT(BG$55:BG$114,TRANSPOSE(SAP_Speadsheet!$E$57:$BL$57))</f>
        <v>#REF!</v>
      </c>
      <c r="BH11" s="360" t="e" cm="1">
        <f t="array" aca="1" ref="BH11" ca="1">SUMPRODUCT(BH$55:BH$114,TRANSPOSE(SAP_Speadsheet!$E$57:$BL$57))</f>
        <v>#REF!</v>
      </c>
      <c r="BI11" s="360" t="e" cm="1">
        <f t="array" aca="1" ref="BI11" ca="1">SUMPRODUCT(BI$55:BI$114,TRANSPOSE(SAP_Speadsheet!$E$57:$BL$57))</f>
        <v>#REF!</v>
      </c>
    </row>
    <row r="12" spans="1:61" x14ac:dyDescent="0.15">
      <c r="A12" s="364" t="s">
        <v>207</v>
      </c>
      <c r="B12" s="365" cm="1">
        <f t="array" aca="1" ref="B12" ca="1">SUMPRODUCT(B$55:B$114,TRANSPOSE(SAP_Speadsheet!$E$58:$BL$58))</f>
        <v>0</v>
      </c>
      <c r="C12" s="365" cm="1">
        <f t="array" aca="1" ref="C12" ca="1">SUMPRODUCT(C$55:C$114,TRANSPOSE(SAP_Speadsheet!$E$58:$BL$58))</f>
        <v>0</v>
      </c>
      <c r="D12" s="365" cm="1">
        <f t="array" aca="1" ref="D12" ca="1">SUMPRODUCT(D$55:D$114,TRANSPOSE(SAP_Speadsheet!$E$58:$BL$58))</f>
        <v>0</v>
      </c>
      <c r="E12" s="365" cm="1">
        <f t="array" aca="1" ref="E12" ca="1">SUMPRODUCT(E$55:E$114,TRANSPOSE(SAP_Speadsheet!$E$58:$BL$58))</f>
        <v>0</v>
      </c>
      <c r="F12" s="365" cm="1">
        <f t="array" aca="1" ref="F12" ca="1">SUMPRODUCT(F$55:F$114,TRANSPOSE(SAP_Speadsheet!$E$58:$BL$58))</f>
        <v>0</v>
      </c>
      <c r="G12" s="365" cm="1">
        <f t="array" aca="1" ref="G12" ca="1">SUMPRODUCT(G$55:G$114,TRANSPOSE(SAP_Speadsheet!$E$58:$BL$58))</f>
        <v>0</v>
      </c>
      <c r="H12" s="365" t="e" cm="1">
        <f t="array" aca="1" ref="H12" ca="1">SUMPRODUCT(H$55:H$114,TRANSPOSE(SAP_Speadsheet!$E$58:$BL$58))</f>
        <v>#REF!</v>
      </c>
      <c r="I12" s="365" t="e" cm="1">
        <f t="array" aca="1" ref="I12" ca="1">SUMPRODUCT(I$55:I$114,TRANSPOSE(SAP_Speadsheet!$E$58:$BL$58))</f>
        <v>#REF!</v>
      </c>
      <c r="J12" s="365" t="e" cm="1">
        <f t="array" aca="1" ref="J12" ca="1">SUMPRODUCT(J$55:J$114,TRANSPOSE(SAP_Speadsheet!$E$58:$BL$58))</f>
        <v>#REF!</v>
      </c>
      <c r="K12" s="365" t="e" cm="1">
        <f t="array" aca="1" ref="K12" ca="1">SUMPRODUCT(K$55:K$114,TRANSPOSE(SAP_Speadsheet!$E$58:$BL$58))</f>
        <v>#REF!</v>
      </c>
      <c r="L12" s="365" t="e" cm="1">
        <f t="array" aca="1" ref="L12" ca="1">SUMPRODUCT(L$55:L$114,TRANSPOSE(SAP_Speadsheet!$E$58:$BL$58))</f>
        <v>#REF!</v>
      </c>
      <c r="M12" s="365" t="e" cm="1">
        <f t="array" aca="1" ref="M12" ca="1">SUMPRODUCT(M$55:M$114,TRANSPOSE(SAP_Speadsheet!$E$58:$BL$58))</f>
        <v>#REF!</v>
      </c>
      <c r="N12" s="365" t="e" cm="1">
        <f t="array" aca="1" ref="N12" ca="1">SUMPRODUCT(N$55:N$114,TRANSPOSE(SAP_Speadsheet!$E$58:$BL$58))</f>
        <v>#REF!</v>
      </c>
      <c r="O12" s="365" t="e" cm="1">
        <f t="array" aca="1" ref="O12" ca="1">SUMPRODUCT(O$55:O$114,TRANSPOSE(SAP_Speadsheet!$E$58:$BL$58))</f>
        <v>#REF!</v>
      </c>
      <c r="P12" s="365" t="e" cm="1">
        <f t="array" aca="1" ref="P12" ca="1">SUMPRODUCT(P$55:P$114,TRANSPOSE(SAP_Speadsheet!$E$58:$BL$58))</f>
        <v>#REF!</v>
      </c>
      <c r="Q12" s="365" t="e" cm="1">
        <f t="array" aca="1" ref="Q12" ca="1">SUMPRODUCT(Q$55:Q$114,TRANSPOSE(SAP_Speadsheet!$E$58:$BL$58))</f>
        <v>#REF!</v>
      </c>
      <c r="R12" s="365" t="e" cm="1">
        <f t="array" aca="1" ref="R12" ca="1">SUMPRODUCT(R$55:R$114,TRANSPOSE(SAP_Speadsheet!$E$58:$BL$58))</f>
        <v>#REF!</v>
      </c>
      <c r="S12" s="365" t="e" cm="1">
        <f t="array" aca="1" ref="S12" ca="1">SUMPRODUCT(S$55:S$114,TRANSPOSE(SAP_Speadsheet!$E$58:$BL$58))</f>
        <v>#REF!</v>
      </c>
      <c r="T12" s="365" t="e" cm="1">
        <f t="array" aca="1" ref="T12" ca="1">SUMPRODUCT(T$55:T$114,TRANSPOSE(SAP_Speadsheet!$E$58:$BL$58))</f>
        <v>#REF!</v>
      </c>
      <c r="U12" s="365" t="e" cm="1">
        <f t="array" aca="1" ref="U12" ca="1">SUMPRODUCT(U$55:U$114,TRANSPOSE(SAP_Speadsheet!$E$58:$BL$58))</f>
        <v>#REF!</v>
      </c>
      <c r="V12" s="365" t="e" cm="1">
        <f t="array" aca="1" ref="V12" ca="1">SUMPRODUCT(V$55:V$114,TRANSPOSE(SAP_Speadsheet!$E$58:$BL$58))</f>
        <v>#REF!</v>
      </c>
      <c r="W12" s="365" t="e" cm="1">
        <f t="array" aca="1" ref="W12" ca="1">SUMPRODUCT(W$55:W$114,TRANSPOSE(SAP_Speadsheet!$E$58:$BL$58))</f>
        <v>#REF!</v>
      </c>
      <c r="X12" s="365" t="e" cm="1">
        <f t="array" aca="1" ref="X12" ca="1">SUMPRODUCT(X$55:X$114,TRANSPOSE(SAP_Speadsheet!$E$58:$BL$58))</f>
        <v>#REF!</v>
      </c>
      <c r="Y12" s="365" t="e" cm="1">
        <f t="array" aca="1" ref="Y12" ca="1">SUMPRODUCT(Y$55:Y$114,TRANSPOSE(SAP_Speadsheet!$E$58:$BL$58))</f>
        <v>#REF!</v>
      </c>
      <c r="Z12" s="365" t="e" cm="1">
        <f t="array" aca="1" ref="Z12" ca="1">SUMPRODUCT(Z$55:Z$114,TRANSPOSE(SAP_Speadsheet!$E$58:$BL$58))</f>
        <v>#REF!</v>
      </c>
      <c r="AA12" s="365" t="e" cm="1">
        <f t="array" aca="1" ref="AA12" ca="1">SUMPRODUCT(AA$55:AA$114,TRANSPOSE(SAP_Speadsheet!$E$58:$BL$58))</f>
        <v>#REF!</v>
      </c>
      <c r="AB12" s="365" t="e" cm="1">
        <f t="array" aca="1" ref="AB12" ca="1">SUMPRODUCT(AB$55:AB$114,TRANSPOSE(SAP_Speadsheet!$E$58:$BL$58))</f>
        <v>#REF!</v>
      </c>
      <c r="AC12" s="365" t="e" cm="1">
        <f t="array" aca="1" ref="AC12" ca="1">SUMPRODUCT(AC$55:AC$114,TRANSPOSE(SAP_Speadsheet!$E$58:$BL$58))</f>
        <v>#REF!</v>
      </c>
      <c r="AD12" s="365" t="e" cm="1">
        <f t="array" aca="1" ref="AD12" ca="1">SUMPRODUCT(AD$55:AD$114,TRANSPOSE(SAP_Speadsheet!$E$58:$BL$58))</f>
        <v>#REF!</v>
      </c>
      <c r="AE12" s="365" t="e" cm="1">
        <f t="array" aca="1" ref="AE12" ca="1">SUMPRODUCT(AE$55:AE$114,TRANSPOSE(SAP_Speadsheet!$E$58:$BL$58))</f>
        <v>#REF!</v>
      </c>
      <c r="AF12" s="365" t="e" cm="1">
        <f t="array" aca="1" ref="AF12" ca="1">SUMPRODUCT(AF$55:AF$114,TRANSPOSE(SAP_Speadsheet!$E$58:$BL$58))</f>
        <v>#REF!</v>
      </c>
      <c r="AG12" s="365" t="e" cm="1">
        <f t="array" aca="1" ref="AG12" ca="1">SUMPRODUCT(AG$55:AG$114,TRANSPOSE(SAP_Speadsheet!$E$58:$BL$58))</f>
        <v>#REF!</v>
      </c>
      <c r="AH12" s="365" t="e" cm="1">
        <f t="array" aca="1" ref="AH12" ca="1">SUMPRODUCT(AH$55:AH$114,TRANSPOSE(SAP_Speadsheet!$E$58:$BL$58))</f>
        <v>#REF!</v>
      </c>
      <c r="AI12" s="365" t="e" cm="1">
        <f t="array" aca="1" ref="AI12" ca="1">SUMPRODUCT(AI$55:AI$114,TRANSPOSE(SAP_Speadsheet!$E$58:$BL$58))</f>
        <v>#REF!</v>
      </c>
      <c r="AJ12" s="365" t="e" cm="1">
        <f t="array" aca="1" ref="AJ12" ca="1">SUMPRODUCT(AJ$55:AJ$114,TRANSPOSE(SAP_Speadsheet!$E$58:$BL$58))</f>
        <v>#REF!</v>
      </c>
      <c r="AK12" s="365" t="e" cm="1">
        <f t="array" aca="1" ref="AK12" ca="1">SUMPRODUCT(AK$55:AK$114,TRANSPOSE(SAP_Speadsheet!$E$58:$BL$58))</f>
        <v>#REF!</v>
      </c>
      <c r="AL12" s="365" t="e" cm="1">
        <f t="array" aca="1" ref="AL12" ca="1">SUMPRODUCT(AL$55:AL$114,TRANSPOSE(SAP_Speadsheet!$E$58:$BL$58))</f>
        <v>#REF!</v>
      </c>
      <c r="AM12" s="365" t="e" cm="1">
        <f t="array" aca="1" ref="AM12" ca="1">SUMPRODUCT(AM$55:AM$114,TRANSPOSE(SAP_Speadsheet!$E$58:$BL$58))</f>
        <v>#REF!</v>
      </c>
      <c r="AN12" s="365" t="e" cm="1">
        <f t="array" aca="1" ref="AN12" ca="1">SUMPRODUCT(AN$55:AN$114,TRANSPOSE(SAP_Speadsheet!$E$58:$BL$58))</f>
        <v>#REF!</v>
      </c>
      <c r="AO12" s="365" t="e" cm="1">
        <f t="array" aca="1" ref="AO12" ca="1">SUMPRODUCT(AO$55:AO$114,TRANSPOSE(SAP_Speadsheet!$E$58:$BL$58))</f>
        <v>#REF!</v>
      </c>
      <c r="AP12" s="365" t="e" cm="1">
        <f t="array" aca="1" ref="AP12" ca="1">SUMPRODUCT(AP$55:AP$114,TRANSPOSE(SAP_Speadsheet!$E$58:$BL$58))</f>
        <v>#REF!</v>
      </c>
      <c r="AQ12" s="365" t="e" cm="1">
        <f t="array" aca="1" ref="AQ12" ca="1">SUMPRODUCT(AQ$55:AQ$114,TRANSPOSE(SAP_Speadsheet!$E$58:$BL$58))</f>
        <v>#REF!</v>
      </c>
      <c r="AR12" s="365" t="e" cm="1">
        <f t="array" aca="1" ref="AR12" ca="1">SUMPRODUCT(AR$55:AR$114,TRANSPOSE(SAP_Speadsheet!$E$58:$BL$58))</f>
        <v>#REF!</v>
      </c>
      <c r="AS12" s="365" t="e" cm="1">
        <f t="array" aca="1" ref="AS12" ca="1">SUMPRODUCT(AS$55:AS$114,TRANSPOSE(SAP_Speadsheet!$E$58:$BL$58))</f>
        <v>#REF!</v>
      </c>
      <c r="AT12" s="365" t="e" cm="1">
        <f t="array" aca="1" ref="AT12" ca="1">SUMPRODUCT(AT$55:AT$114,TRANSPOSE(SAP_Speadsheet!$E$58:$BL$58))</f>
        <v>#REF!</v>
      </c>
      <c r="AU12" s="365" t="e" cm="1">
        <f t="array" aca="1" ref="AU12" ca="1">SUMPRODUCT(AU$55:AU$114,TRANSPOSE(SAP_Speadsheet!$E$58:$BL$58))</f>
        <v>#REF!</v>
      </c>
      <c r="AV12" s="365" t="e" cm="1">
        <f t="array" aca="1" ref="AV12" ca="1">SUMPRODUCT(AV$55:AV$114,TRANSPOSE(SAP_Speadsheet!$E$58:$BL$58))</f>
        <v>#REF!</v>
      </c>
      <c r="AW12" s="365" t="e" cm="1">
        <f t="array" aca="1" ref="AW12" ca="1">SUMPRODUCT(AW$55:AW$114,TRANSPOSE(SAP_Speadsheet!$E$58:$BL$58))</f>
        <v>#REF!</v>
      </c>
      <c r="AX12" s="365" t="e" cm="1">
        <f t="array" aca="1" ref="AX12" ca="1">SUMPRODUCT(AX$55:AX$114,TRANSPOSE(SAP_Speadsheet!$E$58:$BL$58))</f>
        <v>#REF!</v>
      </c>
      <c r="AY12" s="365" t="e" cm="1">
        <f t="array" aca="1" ref="AY12" ca="1">SUMPRODUCT(AY$55:AY$114,TRANSPOSE(SAP_Speadsheet!$E$58:$BL$58))</f>
        <v>#REF!</v>
      </c>
      <c r="AZ12" s="365" t="e" cm="1">
        <f t="array" aca="1" ref="AZ12" ca="1">SUMPRODUCT(AZ$55:AZ$114,TRANSPOSE(SAP_Speadsheet!$E$58:$BL$58))</f>
        <v>#REF!</v>
      </c>
      <c r="BA12" s="365" t="e" cm="1">
        <f t="array" aca="1" ref="BA12" ca="1">SUMPRODUCT(BA$55:BA$114,TRANSPOSE(SAP_Speadsheet!$E$58:$BL$58))</f>
        <v>#REF!</v>
      </c>
      <c r="BB12" s="365" t="e" cm="1">
        <f t="array" aca="1" ref="BB12" ca="1">SUMPRODUCT(BB$55:BB$114,TRANSPOSE(SAP_Speadsheet!$E$58:$BL$58))</f>
        <v>#REF!</v>
      </c>
      <c r="BC12" s="365" t="e" cm="1">
        <f t="array" aca="1" ref="BC12" ca="1">SUMPRODUCT(BC$55:BC$114,TRANSPOSE(SAP_Speadsheet!$E$58:$BL$58))</f>
        <v>#REF!</v>
      </c>
      <c r="BD12" s="365" t="e" cm="1">
        <f t="array" aca="1" ref="BD12" ca="1">SUMPRODUCT(BD$55:BD$114,TRANSPOSE(SAP_Speadsheet!$E$58:$BL$58))</f>
        <v>#REF!</v>
      </c>
      <c r="BE12" s="365" t="e" cm="1">
        <f t="array" aca="1" ref="BE12" ca="1">SUMPRODUCT(BE$55:BE$114,TRANSPOSE(SAP_Speadsheet!$E$58:$BL$58))</f>
        <v>#REF!</v>
      </c>
      <c r="BF12" s="365" t="e" cm="1">
        <f t="array" aca="1" ref="BF12" ca="1">SUMPRODUCT(BF$55:BF$114,TRANSPOSE(SAP_Speadsheet!$E$58:$BL$58))</f>
        <v>#REF!</v>
      </c>
      <c r="BG12" s="365" t="e" cm="1">
        <f t="array" aca="1" ref="BG12" ca="1">SUMPRODUCT(BG$55:BG$114,TRANSPOSE(SAP_Speadsheet!$E$58:$BL$58))</f>
        <v>#REF!</v>
      </c>
      <c r="BH12" s="365" t="e" cm="1">
        <f t="array" aca="1" ref="BH12" ca="1">SUMPRODUCT(BH$55:BH$114,TRANSPOSE(SAP_Speadsheet!$E$58:$BL$58))</f>
        <v>#REF!</v>
      </c>
      <c r="BI12" s="365" t="e" cm="1">
        <f t="array" aca="1" ref="BI12" ca="1">SUMPRODUCT(BI$55:BI$114,TRANSPOSE(SAP_Speadsheet!$E$58:$BL$58))</f>
        <v>#REF!</v>
      </c>
    </row>
    <row r="13" spans="1:61" x14ac:dyDescent="0.15">
      <c r="A13" s="364" t="s">
        <v>209</v>
      </c>
      <c r="B13" s="365" cm="1">
        <f t="array" aca="1" ref="B13" ca="1">SUMPRODUCT(B$55:B$114,TRANSPOSE(SAP_Speadsheet!$E$59:$BL$59))</f>
        <v>0</v>
      </c>
      <c r="C13" s="365" cm="1">
        <f t="array" aca="1" ref="C13" ca="1">SUMPRODUCT(C$55:C$114,TRANSPOSE(SAP_Speadsheet!$E$59:$BL$59))</f>
        <v>0</v>
      </c>
      <c r="D13" s="365" cm="1">
        <f t="array" aca="1" ref="D13" ca="1">SUMPRODUCT(D$55:D$114,TRANSPOSE(SAP_Speadsheet!$E$59:$BL$59))</f>
        <v>0</v>
      </c>
      <c r="E13" s="365" cm="1">
        <f t="array" aca="1" ref="E13" ca="1">SUMPRODUCT(E$55:E$114,TRANSPOSE(SAP_Speadsheet!$E$59:$BL$59))</f>
        <v>0</v>
      </c>
      <c r="F13" s="365" cm="1">
        <f t="array" aca="1" ref="F13" ca="1">SUMPRODUCT(F$55:F$114,TRANSPOSE(SAP_Speadsheet!$E$59:$BL$59))</f>
        <v>0</v>
      </c>
      <c r="G13" s="365" cm="1">
        <f t="array" aca="1" ref="G13" ca="1">SUMPRODUCT(G$55:G$114,TRANSPOSE(SAP_Speadsheet!$E$59:$BL$59))</f>
        <v>0</v>
      </c>
      <c r="H13" s="365" t="e" cm="1">
        <f t="array" aca="1" ref="H13" ca="1">SUMPRODUCT(H$55:H$114,TRANSPOSE(SAP_Speadsheet!$E$59:$BL$59))</f>
        <v>#REF!</v>
      </c>
      <c r="I13" s="365" t="e" cm="1">
        <f t="array" aca="1" ref="I13" ca="1">SUMPRODUCT(I$55:I$114,TRANSPOSE(SAP_Speadsheet!$E$59:$BL$59))</f>
        <v>#REF!</v>
      </c>
      <c r="J13" s="365" t="e" cm="1">
        <f t="array" aca="1" ref="J13" ca="1">SUMPRODUCT(J$55:J$114,TRANSPOSE(SAP_Speadsheet!$E$59:$BL$59))</f>
        <v>#REF!</v>
      </c>
      <c r="K13" s="365" t="e" cm="1">
        <f t="array" aca="1" ref="K13" ca="1">SUMPRODUCT(K$55:K$114,TRANSPOSE(SAP_Speadsheet!$E$59:$BL$59))</f>
        <v>#REF!</v>
      </c>
      <c r="L13" s="365" t="e" cm="1">
        <f t="array" aca="1" ref="L13" ca="1">SUMPRODUCT(L$55:L$114,TRANSPOSE(SAP_Speadsheet!$E$59:$BL$59))</f>
        <v>#REF!</v>
      </c>
      <c r="M13" s="365" t="e" cm="1">
        <f t="array" aca="1" ref="M13" ca="1">SUMPRODUCT(M$55:M$114,TRANSPOSE(SAP_Speadsheet!$E$59:$BL$59))</f>
        <v>#REF!</v>
      </c>
      <c r="N13" s="365" t="e" cm="1">
        <f t="array" aca="1" ref="N13" ca="1">SUMPRODUCT(N$55:N$114,TRANSPOSE(SAP_Speadsheet!$E$59:$BL$59))</f>
        <v>#REF!</v>
      </c>
      <c r="O13" s="365" t="e" cm="1">
        <f t="array" aca="1" ref="O13" ca="1">SUMPRODUCT(O$55:O$114,TRANSPOSE(SAP_Speadsheet!$E$59:$BL$59))</f>
        <v>#REF!</v>
      </c>
      <c r="P13" s="365" t="e" cm="1">
        <f t="array" aca="1" ref="P13" ca="1">SUMPRODUCT(P$55:P$114,TRANSPOSE(SAP_Speadsheet!$E$59:$BL$59))</f>
        <v>#REF!</v>
      </c>
      <c r="Q13" s="365" t="e" cm="1">
        <f t="array" aca="1" ref="Q13" ca="1">SUMPRODUCT(Q$55:Q$114,TRANSPOSE(SAP_Speadsheet!$E$59:$BL$59))</f>
        <v>#REF!</v>
      </c>
      <c r="R13" s="365" t="e" cm="1">
        <f t="array" aca="1" ref="R13" ca="1">SUMPRODUCT(R$55:R$114,TRANSPOSE(SAP_Speadsheet!$E$59:$BL$59))</f>
        <v>#REF!</v>
      </c>
      <c r="S13" s="365" t="e" cm="1">
        <f t="array" aca="1" ref="S13" ca="1">SUMPRODUCT(S$55:S$114,TRANSPOSE(SAP_Speadsheet!$E$59:$BL$59))</f>
        <v>#REF!</v>
      </c>
      <c r="T13" s="365" t="e" cm="1">
        <f t="array" aca="1" ref="T13" ca="1">SUMPRODUCT(T$55:T$114,TRANSPOSE(SAP_Speadsheet!$E$59:$BL$59))</f>
        <v>#REF!</v>
      </c>
      <c r="U13" s="365" t="e" cm="1">
        <f t="array" aca="1" ref="U13" ca="1">SUMPRODUCT(U$55:U$114,TRANSPOSE(SAP_Speadsheet!$E$59:$BL$59))</f>
        <v>#REF!</v>
      </c>
      <c r="V13" s="365" t="e" cm="1">
        <f t="array" aca="1" ref="V13" ca="1">SUMPRODUCT(V$55:V$114,TRANSPOSE(SAP_Speadsheet!$E$59:$BL$59))</f>
        <v>#REF!</v>
      </c>
      <c r="W13" s="365" t="e" cm="1">
        <f t="array" aca="1" ref="W13" ca="1">SUMPRODUCT(W$55:W$114,TRANSPOSE(SAP_Speadsheet!$E$59:$BL$59))</f>
        <v>#REF!</v>
      </c>
      <c r="X13" s="365" t="e" cm="1">
        <f t="array" aca="1" ref="X13" ca="1">SUMPRODUCT(X$55:X$114,TRANSPOSE(SAP_Speadsheet!$E$59:$BL$59))</f>
        <v>#REF!</v>
      </c>
      <c r="Y13" s="365" t="e" cm="1">
        <f t="array" aca="1" ref="Y13" ca="1">SUMPRODUCT(Y$55:Y$114,TRANSPOSE(SAP_Speadsheet!$E$59:$BL$59))</f>
        <v>#REF!</v>
      </c>
      <c r="Z13" s="365" t="e" cm="1">
        <f t="array" aca="1" ref="Z13" ca="1">SUMPRODUCT(Z$55:Z$114,TRANSPOSE(SAP_Speadsheet!$E$59:$BL$59))</f>
        <v>#REF!</v>
      </c>
      <c r="AA13" s="365" t="e" cm="1">
        <f t="array" aca="1" ref="AA13" ca="1">SUMPRODUCT(AA$55:AA$114,TRANSPOSE(SAP_Speadsheet!$E$59:$BL$59))</f>
        <v>#REF!</v>
      </c>
      <c r="AB13" s="365" t="e" cm="1">
        <f t="array" aca="1" ref="AB13" ca="1">SUMPRODUCT(AB$55:AB$114,TRANSPOSE(SAP_Speadsheet!$E$59:$BL$59))</f>
        <v>#REF!</v>
      </c>
      <c r="AC13" s="365" t="e" cm="1">
        <f t="array" aca="1" ref="AC13" ca="1">SUMPRODUCT(AC$55:AC$114,TRANSPOSE(SAP_Speadsheet!$E$59:$BL$59))</f>
        <v>#REF!</v>
      </c>
      <c r="AD13" s="365" t="e" cm="1">
        <f t="array" aca="1" ref="AD13" ca="1">SUMPRODUCT(AD$55:AD$114,TRANSPOSE(SAP_Speadsheet!$E$59:$BL$59))</f>
        <v>#REF!</v>
      </c>
      <c r="AE13" s="365" t="e" cm="1">
        <f t="array" aca="1" ref="AE13" ca="1">SUMPRODUCT(AE$55:AE$114,TRANSPOSE(SAP_Speadsheet!$E$59:$BL$59))</f>
        <v>#REF!</v>
      </c>
      <c r="AF13" s="365" t="e" cm="1">
        <f t="array" aca="1" ref="AF13" ca="1">SUMPRODUCT(AF$55:AF$114,TRANSPOSE(SAP_Speadsheet!$E$59:$BL$59))</f>
        <v>#REF!</v>
      </c>
      <c r="AG13" s="365" t="e" cm="1">
        <f t="array" aca="1" ref="AG13" ca="1">SUMPRODUCT(AG$55:AG$114,TRANSPOSE(SAP_Speadsheet!$E$59:$BL$59))</f>
        <v>#REF!</v>
      </c>
      <c r="AH13" s="365" t="e" cm="1">
        <f t="array" aca="1" ref="AH13" ca="1">SUMPRODUCT(AH$55:AH$114,TRANSPOSE(SAP_Speadsheet!$E$59:$BL$59))</f>
        <v>#REF!</v>
      </c>
      <c r="AI13" s="365" t="e" cm="1">
        <f t="array" aca="1" ref="AI13" ca="1">SUMPRODUCT(AI$55:AI$114,TRANSPOSE(SAP_Speadsheet!$E$59:$BL$59))</f>
        <v>#REF!</v>
      </c>
      <c r="AJ13" s="365" t="e" cm="1">
        <f t="array" aca="1" ref="AJ13" ca="1">SUMPRODUCT(AJ$55:AJ$114,TRANSPOSE(SAP_Speadsheet!$E$59:$BL$59))</f>
        <v>#REF!</v>
      </c>
      <c r="AK13" s="365" t="e" cm="1">
        <f t="array" aca="1" ref="AK13" ca="1">SUMPRODUCT(AK$55:AK$114,TRANSPOSE(SAP_Speadsheet!$E$59:$BL$59))</f>
        <v>#REF!</v>
      </c>
      <c r="AL13" s="365" t="e" cm="1">
        <f t="array" aca="1" ref="AL13" ca="1">SUMPRODUCT(AL$55:AL$114,TRANSPOSE(SAP_Speadsheet!$E$59:$BL$59))</f>
        <v>#REF!</v>
      </c>
      <c r="AM13" s="365" t="e" cm="1">
        <f t="array" aca="1" ref="AM13" ca="1">SUMPRODUCT(AM$55:AM$114,TRANSPOSE(SAP_Speadsheet!$E$59:$BL$59))</f>
        <v>#REF!</v>
      </c>
      <c r="AN13" s="365" t="e" cm="1">
        <f t="array" aca="1" ref="AN13" ca="1">SUMPRODUCT(AN$55:AN$114,TRANSPOSE(SAP_Speadsheet!$E$59:$BL$59))</f>
        <v>#REF!</v>
      </c>
      <c r="AO13" s="365" t="e" cm="1">
        <f t="array" aca="1" ref="AO13" ca="1">SUMPRODUCT(AO$55:AO$114,TRANSPOSE(SAP_Speadsheet!$E$59:$BL$59))</f>
        <v>#REF!</v>
      </c>
      <c r="AP13" s="365" t="e" cm="1">
        <f t="array" aca="1" ref="AP13" ca="1">SUMPRODUCT(AP$55:AP$114,TRANSPOSE(SAP_Speadsheet!$E$59:$BL$59))</f>
        <v>#REF!</v>
      </c>
      <c r="AQ13" s="365" t="e" cm="1">
        <f t="array" aca="1" ref="AQ13" ca="1">SUMPRODUCT(AQ$55:AQ$114,TRANSPOSE(SAP_Speadsheet!$E$59:$BL$59))</f>
        <v>#REF!</v>
      </c>
      <c r="AR13" s="365" t="e" cm="1">
        <f t="array" aca="1" ref="AR13" ca="1">SUMPRODUCT(AR$55:AR$114,TRANSPOSE(SAP_Speadsheet!$E$59:$BL$59))</f>
        <v>#REF!</v>
      </c>
      <c r="AS13" s="365" t="e" cm="1">
        <f t="array" aca="1" ref="AS13" ca="1">SUMPRODUCT(AS$55:AS$114,TRANSPOSE(SAP_Speadsheet!$E$59:$BL$59))</f>
        <v>#REF!</v>
      </c>
      <c r="AT13" s="365" t="e" cm="1">
        <f t="array" aca="1" ref="AT13" ca="1">SUMPRODUCT(AT$55:AT$114,TRANSPOSE(SAP_Speadsheet!$E$59:$BL$59))</f>
        <v>#REF!</v>
      </c>
      <c r="AU13" s="365" t="e" cm="1">
        <f t="array" aca="1" ref="AU13" ca="1">SUMPRODUCT(AU$55:AU$114,TRANSPOSE(SAP_Speadsheet!$E$59:$BL$59))</f>
        <v>#REF!</v>
      </c>
      <c r="AV13" s="365" t="e" cm="1">
        <f t="array" aca="1" ref="AV13" ca="1">SUMPRODUCT(AV$55:AV$114,TRANSPOSE(SAP_Speadsheet!$E$59:$BL$59))</f>
        <v>#REF!</v>
      </c>
      <c r="AW13" s="365" t="e" cm="1">
        <f t="array" aca="1" ref="AW13" ca="1">SUMPRODUCT(AW$55:AW$114,TRANSPOSE(SAP_Speadsheet!$E$59:$BL$59))</f>
        <v>#REF!</v>
      </c>
      <c r="AX13" s="365" t="e" cm="1">
        <f t="array" aca="1" ref="AX13" ca="1">SUMPRODUCT(AX$55:AX$114,TRANSPOSE(SAP_Speadsheet!$E$59:$BL$59))</f>
        <v>#REF!</v>
      </c>
      <c r="AY13" s="365" t="e" cm="1">
        <f t="array" aca="1" ref="AY13" ca="1">SUMPRODUCT(AY$55:AY$114,TRANSPOSE(SAP_Speadsheet!$E$59:$BL$59))</f>
        <v>#REF!</v>
      </c>
      <c r="AZ13" s="365" t="e" cm="1">
        <f t="array" aca="1" ref="AZ13" ca="1">SUMPRODUCT(AZ$55:AZ$114,TRANSPOSE(SAP_Speadsheet!$E$59:$BL$59))</f>
        <v>#REF!</v>
      </c>
      <c r="BA13" s="365" t="e" cm="1">
        <f t="array" aca="1" ref="BA13" ca="1">SUMPRODUCT(BA$55:BA$114,TRANSPOSE(SAP_Speadsheet!$E$59:$BL$59))</f>
        <v>#REF!</v>
      </c>
      <c r="BB13" s="365" t="e" cm="1">
        <f t="array" aca="1" ref="BB13" ca="1">SUMPRODUCT(BB$55:BB$114,TRANSPOSE(SAP_Speadsheet!$E$59:$BL$59))</f>
        <v>#REF!</v>
      </c>
      <c r="BC13" s="365" t="e" cm="1">
        <f t="array" aca="1" ref="BC13" ca="1">SUMPRODUCT(BC$55:BC$114,TRANSPOSE(SAP_Speadsheet!$E$59:$BL$59))</f>
        <v>#REF!</v>
      </c>
      <c r="BD13" s="365" t="e" cm="1">
        <f t="array" aca="1" ref="BD13" ca="1">SUMPRODUCT(BD$55:BD$114,TRANSPOSE(SAP_Speadsheet!$E$59:$BL$59))</f>
        <v>#REF!</v>
      </c>
      <c r="BE13" s="365" t="e" cm="1">
        <f t="array" aca="1" ref="BE13" ca="1">SUMPRODUCT(BE$55:BE$114,TRANSPOSE(SAP_Speadsheet!$E$59:$BL$59))</f>
        <v>#REF!</v>
      </c>
      <c r="BF13" s="365" t="e" cm="1">
        <f t="array" aca="1" ref="BF13" ca="1">SUMPRODUCT(BF$55:BF$114,TRANSPOSE(SAP_Speadsheet!$E$59:$BL$59))</f>
        <v>#REF!</v>
      </c>
      <c r="BG13" s="365" t="e" cm="1">
        <f t="array" aca="1" ref="BG13" ca="1">SUMPRODUCT(BG$55:BG$114,TRANSPOSE(SAP_Speadsheet!$E$59:$BL$59))</f>
        <v>#REF!</v>
      </c>
      <c r="BH13" s="365" t="e" cm="1">
        <f t="array" aca="1" ref="BH13" ca="1">SUMPRODUCT(BH$55:BH$114,TRANSPOSE(SAP_Speadsheet!$E$59:$BL$59))</f>
        <v>#REF!</v>
      </c>
      <c r="BI13" s="365" t="e" cm="1">
        <f t="array" aca="1" ref="BI13" ca="1">SUMPRODUCT(BI$55:BI$114,TRANSPOSE(SAP_Speadsheet!$E$59:$BL$59))</f>
        <v>#REF!</v>
      </c>
    </row>
    <row r="14" spans="1:61" x14ac:dyDescent="0.15">
      <c r="A14" s="353" t="s">
        <v>194</v>
      </c>
      <c r="B14" s="360" cm="1">
        <f t="array" aca="1" ref="B14" ca="1">SUMPRODUCT(B$55:B$114,TRANSPOSE(SAP_Speadsheet!$E$61:$BL$61))</f>
        <v>0</v>
      </c>
      <c r="C14" s="360" cm="1">
        <f t="array" aca="1" ref="C14" ca="1">SUMPRODUCT(C$55:C$114,TRANSPOSE(SAP_Speadsheet!$E$61:$BL$61))</f>
        <v>0</v>
      </c>
      <c r="D14" s="360" cm="1">
        <f t="array" aca="1" ref="D14" ca="1">SUMPRODUCT(D$55:D$114,TRANSPOSE(SAP_Speadsheet!$E$61:$BL$61))</f>
        <v>0</v>
      </c>
      <c r="E14" s="360" cm="1">
        <f t="array" aca="1" ref="E14" ca="1">SUMPRODUCT(E$55:E$114,TRANSPOSE(SAP_Speadsheet!$E$61:$BL$61))</f>
        <v>0</v>
      </c>
      <c r="F14" s="360" cm="1">
        <f t="array" aca="1" ref="F14" ca="1">SUMPRODUCT(F$55:F$114,TRANSPOSE(SAP_Speadsheet!$E$61:$BL$61))</f>
        <v>0</v>
      </c>
      <c r="G14" s="360" cm="1">
        <f t="array" aca="1" ref="G14" ca="1">SUMPRODUCT(G$55:G$114,TRANSPOSE(SAP_Speadsheet!$E$61:$BL$61))</f>
        <v>0</v>
      </c>
      <c r="H14" s="360" t="e" cm="1">
        <f t="array" aca="1" ref="H14" ca="1">SUMPRODUCT(H$55:H$114,TRANSPOSE(SAP_Speadsheet!$E$61:$BL$61))</f>
        <v>#REF!</v>
      </c>
      <c r="I14" s="360" t="e" cm="1">
        <f t="array" aca="1" ref="I14" ca="1">SUMPRODUCT(I$55:I$114,TRANSPOSE(SAP_Speadsheet!$E$61:$BL$61))</f>
        <v>#REF!</v>
      </c>
      <c r="J14" s="360" t="e" cm="1">
        <f t="array" aca="1" ref="J14" ca="1">SUMPRODUCT(J$55:J$114,TRANSPOSE(SAP_Speadsheet!$E$61:$BL$61))</f>
        <v>#REF!</v>
      </c>
      <c r="K14" s="360" t="e" cm="1">
        <f t="array" aca="1" ref="K14" ca="1">SUMPRODUCT(K$55:K$114,TRANSPOSE(SAP_Speadsheet!$E$61:$BL$61))</f>
        <v>#REF!</v>
      </c>
      <c r="L14" s="360" t="e" cm="1">
        <f t="array" aca="1" ref="L14" ca="1">SUMPRODUCT(L$55:L$114,TRANSPOSE(SAP_Speadsheet!$E$61:$BL$61))</f>
        <v>#REF!</v>
      </c>
      <c r="M14" s="360" t="e" cm="1">
        <f t="array" aca="1" ref="M14" ca="1">SUMPRODUCT(M$55:M$114,TRANSPOSE(SAP_Speadsheet!$E$61:$BL$61))</f>
        <v>#REF!</v>
      </c>
      <c r="N14" s="360" t="e" cm="1">
        <f t="array" aca="1" ref="N14" ca="1">SUMPRODUCT(N$55:N$114,TRANSPOSE(SAP_Speadsheet!$E$61:$BL$61))</f>
        <v>#REF!</v>
      </c>
      <c r="O14" s="360" t="e" cm="1">
        <f t="array" aca="1" ref="O14" ca="1">SUMPRODUCT(O$55:O$114,TRANSPOSE(SAP_Speadsheet!$E$61:$BL$61))</f>
        <v>#REF!</v>
      </c>
      <c r="P14" s="360" t="e" cm="1">
        <f t="array" aca="1" ref="P14" ca="1">SUMPRODUCT(P$55:P$114,TRANSPOSE(SAP_Speadsheet!$E$61:$BL$61))</f>
        <v>#REF!</v>
      </c>
      <c r="Q14" s="360" t="e" cm="1">
        <f t="array" aca="1" ref="Q14" ca="1">SUMPRODUCT(Q$55:Q$114,TRANSPOSE(SAP_Speadsheet!$E$61:$BL$61))</f>
        <v>#REF!</v>
      </c>
      <c r="R14" s="360" t="e" cm="1">
        <f t="array" aca="1" ref="R14" ca="1">SUMPRODUCT(R$55:R$114,TRANSPOSE(SAP_Speadsheet!$E$61:$BL$61))</f>
        <v>#REF!</v>
      </c>
      <c r="S14" s="360" t="e" cm="1">
        <f t="array" aca="1" ref="S14" ca="1">SUMPRODUCT(S$55:S$114,TRANSPOSE(SAP_Speadsheet!$E$61:$BL$61))</f>
        <v>#REF!</v>
      </c>
      <c r="T14" s="360" t="e" cm="1">
        <f t="array" aca="1" ref="T14" ca="1">SUMPRODUCT(T$55:T$114,TRANSPOSE(SAP_Speadsheet!$E$61:$BL$61))</f>
        <v>#REF!</v>
      </c>
      <c r="U14" s="360" t="e" cm="1">
        <f t="array" aca="1" ref="U14" ca="1">SUMPRODUCT(U$55:U$114,TRANSPOSE(SAP_Speadsheet!$E$61:$BL$61))</f>
        <v>#REF!</v>
      </c>
      <c r="V14" s="360" t="e" cm="1">
        <f t="array" aca="1" ref="V14" ca="1">SUMPRODUCT(V$55:V$114,TRANSPOSE(SAP_Speadsheet!$E$61:$BL$61))</f>
        <v>#REF!</v>
      </c>
      <c r="W14" s="360" t="e" cm="1">
        <f t="array" aca="1" ref="W14" ca="1">SUMPRODUCT(W$55:W$114,TRANSPOSE(SAP_Speadsheet!$E$61:$BL$61))</f>
        <v>#REF!</v>
      </c>
      <c r="X14" s="360" t="e" cm="1">
        <f t="array" aca="1" ref="X14" ca="1">SUMPRODUCT(X$55:X$114,TRANSPOSE(SAP_Speadsheet!$E$61:$BL$61))</f>
        <v>#REF!</v>
      </c>
      <c r="Y14" s="360" t="e" cm="1">
        <f t="array" aca="1" ref="Y14" ca="1">SUMPRODUCT(Y$55:Y$114,TRANSPOSE(SAP_Speadsheet!$E$61:$BL$61))</f>
        <v>#REF!</v>
      </c>
      <c r="Z14" s="360" t="e" cm="1">
        <f t="array" aca="1" ref="Z14" ca="1">SUMPRODUCT(Z$55:Z$114,TRANSPOSE(SAP_Speadsheet!$E$61:$BL$61))</f>
        <v>#REF!</v>
      </c>
      <c r="AA14" s="360" t="e" cm="1">
        <f t="array" aca="1" ref="AA14" ca="1">SUMPRODUCT(AA$55:AA$114,TRANSPOSE(SAP_Speadsheet!$E$61:$BL$61))</f>
        <v>#REF!</v>
      </c>
      <c r="AB14" s="360" t="e" cm="1">
        <f t="array" aca="1" ref="AB14" ca="1">SUMPRODUCT(AB$55:AB$114,TRANSPOSE(SAP_Speadsheet!$E$61:$BL$61))</f>
        <v>#REF!</v>
      </c>
      <c r="AC14" s="360" t="e" cm="1">
        <f t="array" aca="1" ref="AC14" ca="1">SUMPRODUCT(AC$55:AC$114,TRANSPOSE(SAP_Speadsheet!$E$61:$BL$61))</f>
        <v>#REF!</v>
      </c>
      <c r="AD14" s="360" t="e" cm="1">
        <f t="array" aca="1" ref="AD14" ca="1">SUMPRODUCT(AD$55:AD$114,TRANSPOSE(SAP_Speadsheet!$E$61:$BL$61))</f>
        <v>#REF!</v>
      </c>
      <c r="AE14" s="360" t="e" cm="1">
        <f t="array" aca="1" ref="AE14" ca="1">SUMPRODUCT(AE$55:AE$114,TRANSPOSE(SAP_Speadsheet!$E$61:$BL$61))</f>
        <v>#REF!</v>
      </c>
      <c r="AF14" s="360" t="e" cm="1">
        <f t="array" aca="1" ref="AF14" ca="1">SUMPRODUCT(AF$55:AF$114,TRANSPOSE(SAP_Speadsheet!$E$61:$BL$61))</f>
        <v>#REF!</v>
      </c>
      <c r="AG14" s="360" t="e" cm="1">
        <f t="array" aca="1" ref="AG14" ca="1">SUMPRODUCT(AG$55:AG$114,TRANSPOSE(SAP_Speadsheet!$E$61:$BL$61))</f>
        <v>#REF!</v>
      </c>
      <c r="AH14" s="360" t="e" cm="1">
        <f t="array" aca="1" ref="AH14" ca="1">SUMPRODUCT(AH$55:AH$114,TRANSPOSE(SAP_Speadsheet!$E$61:$BL$61))</f>
        <v>#REF!</v>
      </c>
      <c r="AI14" s="360" t="e" cm="1">
        <f t="array" aca="1" ref="AI14" ca="1">SUMPRODUCT(AI$55:AI$114,TRANSPOSE(SAP_Speadsheet!$E$61:$BL$61))</f>
        <v>#REF!</v>
      </c>
      <c r="AJ14" s="360" t="e" cm="1">
        <f t="array" aca="1" ref="AJ14" ca="1">SUMPRODUCT(AJ$55:AJ$114,TRANSPOSE(SAP_Speadsheet!$E$61:$BL$61))</f>
        <v>#REF!</v>
      </c>
      <c r="AK14" s="360" t="e" cm="1">
        <f t="array" aca="1" ref="AK14" ca="1">SUMPRODUCT(AK$55:AK$114,TRANSPOSE(SAP_Speadsheet!$E$61:$BL$61))</f>
        <v>#REF!</v>
      </c>
      <c r="AL14" s="360" t="e" cm="1">
        <f t="array" aca="1" ref="AL14" ca="1">SUMPRODUCT(AL$55:AL$114,TRANSPOSE(SAP_Speadsheet!$E$61:$BL$61))</f>
        <v>#REF!</v>
      </c>
      <c r="AM14" s="360" t="e" cm="1">
        <f t="array" aca="1" ref="AM14" ca="1">SUMPRODUCT(AM$55:AM$114,TRANSPOSE(SAP_Speadsheet!$E$61:$BL$61))</f>
        <v>#REF!</v>
      </c>
      <c r="AN14" s="360" t="e" cm="1">
        <f t="array" aca="1" ref="AN14" ca="1">SUMPRODUCT(AN$55:AN$114,TRANSPOSE(SAP_Speadsheet!$E$61:$BL$61))</f>
        <v>#REF!</v>
      </c>
      <c r="AO14" s="360" t="e" cm="1">
        <f t="array" aca="1" ref="AO14" ca="1">SUMPRODUCT(AO$55:AO$114,TRANSPOSE(SAP_Speadsheet!$E$61:$BL$61))</f>
        <v>#REF!</v>
      </c>
      <c r="AP14" s="360" t="e" cm="1">
        <f t="array" aca="1" ref="AP14" ca="1">SUMPRODUCT(AP$55:AP$114,TRANSPOSE(SAP_Speadsheet!$E$61:$BL$61))</f>
        <v>#REF!</v>
      </c>
      <c r="AQ14" s="360" t="e" cm="1">
        <f t="array" aca="1" ref="AQ14" ca="1">SUMPRODUCT(AQ$55:AQ$114,TRANSPOSE(SAP_Speadsheet!$E$61:$BL$61))</f>
        <v>#REF!</v>
      </c>
      <c r="AR14" s="360" t="e" cm="1">
        <f t="array" aca="1" ref="AR14" ca="1">SUMPRODUCT(AR$55:AR$114,TRANSPOSE(SAP_Speadsheet!$E$61:$BL$61))</f>
        <v>#REF!</v>
      </c>
      <c r="AS14" s="360" t="e" cm="1">
        <f t="array" aca="1" ref="AS14" ca="1">SUMPRODUCT(AS$55:AS$114,TRANSPOSE(SAP_Speadsheet!$E$61:$BL$61))</f>
        <v>#REF!</v>
      </c>
      <c r="AT14" s="360" t="e" cm="1">
        <f t="array" aca="1" ref="AT14" ca="1">SUMPRODUCT(AT$55:AT$114,TRANSPOSE(SAP_Speadsheet!$E$61:$BL$61))</f>
        <v>#REF!</v>
      </c>
      <c r="AU14" s="360" t="e" cm="1">
        <f t="array" aca="1" ref="AU14" ca="1">SUMPRODUCT(AU$55:AU$114,TRANSPOSE(SAP_Speadsheet!$E$61:$BL$61))</f>
        <v>#REF!</v>
      </c>
      <c r="AV14" s="360" t="e" cm="1">
        <f t="array" aca="1" ref="AV14" ca="1">SUMPRODUCT(AV$55:AV$114,TRANSPOSE(SAP_Speadsheet!$E$61:$BL$61))</f>
        <v>#REF!</v>
      </c>
      <c r="AW14" s="360" t="e" cm="1">
        <f t="array" aca="1" ref="AW14" ca="1">SUMPRODUCT(AW$55:AW$114,TRANSPOSE(SAP_Speadsheet!$E$61:$BL$61))</f>
        <v>#REF!</v>
      </c>
      <c r="AX14" s="360" t="e" cm="1">
        <f t="array" aca="1" ref="AX14" ca="1">SUMPRODUCT(AX$55:AX$114,TRANSPOSE(SAP_Speadsheet!$E$61:$BL$61))</f>
        <v>#REF!</v>
      </c>
      <c r="AY14" s="360" t="e" cm="1">
        <f t="array" aca="1" ref="AY14" ca="1">SUMPRODUCT(AY$55:AY$114,TRANSPOSE(SAP_Speadsheet!$E$61:$BL$61))</f>
        <v>#REF!</v>
      </c>
      <c r="AZ14" s="360" t="e" cm="1">
        <f t="array" aca="1" ref="AZ14" ca="1">SUMPRODUCT(AZ$55:AZ$114,TRANSPOSE(SAP_Speadsheet!$E$61:$BL$61))</f>
        <v>#REF!</v>
      </c>
      <c r="BA14" s="360" t="e" cm="1">
        <f t="array" aca="1" ref="BA14" ca="1">SUMPRODUCT(BA$55:BA$114,TRANSPOSE(SAP_Speadsheet!$E$61:$BL$61))</f>
        <v>#REF!</v>
      </c>
      <c r="BB14" s="360" t="e" cm="1">
        <f t="array" aca="1" ref="BB14" ca="1">SUMPRODUCT(BB$55:BB$114,TRANSPOSE(SAP_Speadsheet!$E$61:$BL$61))</f>
        <v>#REF!</v>
      </c>
      <c r="BC14" s="360" t="e" cm="1">
        <f t="array" aca="1" ref="BC14" ca="1">SUMPRODUCT(BC$55:BC$114,TRANSPOSE(SAP_Speadsheet!$E$61:$BL$61))</f>
        <v>#REF!</v>
      </c>
      <c r="BD14" s="360" t="e" cm="1">
        <f t="array" aca="1" ref="BD14" ca="1">SUMPRODUCT(BD$55:BD$114,TRANSPOSE(SAP_Speadsheet!$E$61:$BL$61))</f>
        <v>#REF!</v>
      </c>
      <c r="BE14" s="360" t="e" cm="1">
        <f t="array" aca="1" ref="BE14" ca="1">SUMPRODUCT(BE$55:BE$114,TRANSPOSE(SAP_Speadsheet!$E$61:$BL$61))</f>
        <v>#REF!</v>
      </c>
      <c r="BF14" s="360" t="e" cm="1">
        <f t="array" aca="1" ref="BF14" ca="1">SUMPRODUCT(BF$55:BF$114,TRANSPOSE(SAP_Speadsheet!$E$61:$BL$61))</f>
        <v>#REF!</v>
      </c>
      <c r="BG14" s="360" t="e" cm="1">
        <f t="array" aca="1" ref="BG14" ca="1">SUMPRODUCT(BG$55:BG$114,TRANSPOSE(SAP_Speadsheet!$E$61:$BL$61))</f>
        <v>#REF!</v>
      </c>
      <c r="BH14" s="360" t="e" cm="1">
        <f t="array" aca="1" ref="BH14" ca="1">SUMPRODUCT(BH$55:BH$114,TRANSPOSE(SAP_Speadsheet!$E$61:$BL$61))</f>
        <v>#REF!</v>
      </c>
      <c r="BI14" s="360" t="e" cm="1">
        <f t="array" aca="1" ref="BI14" ca="1">SUMPRODUCT(BI$55:BI$114,TRANSPOSE(SAP_Speadsheet!$E$61:$BL$61))</f>
        <v>#REF!</v>
      </c>
    </row>
    <row r="15" spans="1:61" x14ac:dyDescent="0.15">
      <c r="A15" s="364" t="s">
        <v>453</v>
      </c>
      <c r="B15" s="365" cm="1">
        <f t="array" aca="1" ref="B15" ca="1">SUMPRODUCT(B$55:B$114,TRANSPOSE(SAP_Speadsheet!$E$62:$BL$62))</f>
        <v>0</v>
      </c>
      <c r="C15" s="365" cm="1">
        <f t="array" aca="1" ref="C15" ca="1">SUMPRODUCT(C$55:C$114,TRANSPOSE(SAP_Speadsheet!$E$62:$BL$62))</f>
        <v>0</v>
      </c>
      <c r="D15" s="365" cm="1">
        <f t="array" aca="1" ref="D15" ca="1">SUMPRODUCT(D$55:D$114,TRANSPOSE(SAP_Speadsheet!$E$62:$BL$62))</f>
        <v>0</v>
      </c>
      <c r="E15" s="365" cm="1">
        <f t="array" aca="1" ref="E15" ca="1">SUMPRODUCT(E$55:E$114,TRANSPOSE(SAP_Speadsheet!$E$62:$BL$62))</f>
        <v>0</v>
      </c>
      <c r="F15" s="365" cm="1">
        <f t="array" aca="1" ref="F15" ca="1">SUMPRODUCT(F$55:F$114,TRANSPOSE(SAP_Speadsheet!$E$62:$BL$62))</f>
        <v>0</v>
      </c>
      <c r="G15" s="365" cm="1">
        <f t="array" aca="1" ref="G15" ca="1">SUMPRODUCT(G$55:G$114,TRANSPOSE(SAP_Speadsheet!$E$62:$BL$62))</f>
        <v>0</v>
      </c>
      <c r="H15" s="365" t="e" cm="1">
        <f t="array" aca="1" ref="H15" ca="1">SUMPRODUCT(H$55:H$114,TRANSPOSE(SAP_Speadsheet!$E$62:$BL$62))</f>
        <v>#REF!</v>
      </c>
      <c r="I15" s="365" t="e" cm="1">
        <f t="array" aca="1" ref="I15" ca="1">SUMPRODUCT(I$55:I$114,TRANSPOSE(SAP_Speadsheet!$E$62:$BL$62))</f>
        <v>#REF!</v>
      </c>
      <c r="J15" s="365" t="e" cm="1">
        <f t="array" aca="1" ref="J15" ca="1">SUMPRODUCT(J$55:J$114,TRANSPOSE(SAP_Speadsheet!$E$62:$BL$62))</f>
        <v>#REF!</v>
      </c>
      <c r="K15" s="365" t="e" cm="1">
        <f t="array" aca="1" ref="K15" ca="1">SUMPRODUCT(K$55:K$114,TRANSPOSE(SAP_Speadsheet!$E$62:$BL$62))</f>
        <v>#REF!</v>
      </c>
      <c r="L15" s="365" t="e" cm="1">
        <f t="array" aca="1" ref="L15" ca="1">SUMPRODUCT(L$55:L$114,TRANSPOSE(SAP_Speadsheet!$E$62:$BL$62))</f>
        <v>#REF!</v>
      </c>
      <c r="M15" s="365" t="e" cm="1">
        <f t="array" aca="1" ref="M15" ca="1">SUMPRODUCT(M$55:M$114,TRANSPOSE(SAP_Speadsheet!$E$62:$BL$62))</f>
        <v>#REF!</v>
      </c>
      <c r="N15" s="365" t="e" cm="1">
        <f t="array" aca="1" ref="N15" ca="1">SUMPRODUCT(N$55:N$114,TRANSPOSE(SAP_Speadsheet!$E$62:$BL$62))</f>
        <v>#REF!</v>
      </c>
      <c r="O15" s="365" t="e" cm="1">
        <f t="array" aca="1" ref="O15" ca="1">SUMPRODUCT(O$55:O$114,TRANSPOSE(SAP_Speadsheet!$E$62:$BL$62))</f>
        <v>#REF!</v>
      </c>
      <c r="P15" s="365" t="e" cm="1">
        <f t="array" aca="1" ref="P15" ca="1">SUMPRODUCT(P$55:P$114,TRANSPOSE(SAP_Speadsheet!$E$62:$BL$62))</f>
        <v>#REF!</v>
      </c>
      <c r="Q15" s="365" t="e" cm="1">
        <f t="array" aca="1" ref="Q15" ca="1">SUMPRODUCT(Q$55:Q$114,TRANSPOSE(SAP_Speadsheet!$E$62:$BL$62))</f>
        <v>#REF!</v>
      </c>
      <c r="R15" s="365" t="e" cm="1">
        <f t="array" aca="1" ref="R15" ca="1">SUMPRODUCT(R$55:R$114,TRANSPOSE(SAP_Speadsheet!$E$62:$BL$62))</f>
        <v>#REF!</v>
      </c>
      <c r="S15" s="365" t="e" cm="1">
        <f t="array" aca="1" ref="S15" ca="1">SUMPRODUCT(S$55:S$114,TRANSPOSE(SAP_Speadsheet!$E$62:$BL$62))</f>
        <v>#REF!</v>
      </c>
      <c r="T15" s="365" t="e" cm="1">
        <f t="array" aca="1" ref="T15" ca="1">SUMPRODUCT(T$55:T$114,TRANSPOSE(SAP_Speadsheet!$E$62:$BL$62))</f>
        <v>#REF!</v>
      </c>
      <c r="U15" s="365" t="e" cm="1">
        <f t="array" aca="1" ref="U15" ca="1">SUMPRODUCT(U$55:U$114,TRANSPOSE(SAP_Speadsheet!$E$62:$BL$62))</f>
        <v>#REF!</v>
      </c>
      <c r="V15" s="365" t="e" cm="1">
        <f t="array" aca="1" ref="V15" ca="1">SUMPRODUCT(V$55:V$114,TRANSPOSE(SAP_Speadsheet!$E$62:$BL$62))</f>
        <v>#REF!</v>
      </c>
      <c r="W15" s="365" t="e" cm="1">
        <f t="array" aca="1" ref="W15" ca="1">SUMPRODUCT(W$55:W$114,TRANSPOSE(SAP_Speadsheet!$E$62:$BL$62))</f>
        <v>#REF!</v>
      </c>
      <c r="X15" s="365" t="e" cm="1">
        <f t="array" aca="1" ref="X15" ca="1">SUMPRODUCT(X$55:X$114,TRANSPOSE(SAP_Speadsheet!$E$62:$BL$62))</f>
        <v>#REF!</v>
      </c>
      <c r="Y15" s="365" t="e" cm="1">
        <f t="array" aca="1" ref="Y15" ca="1">SUMPRODUCT(Y$55:Y$114,TRANSPOSE(SAP_Speadsheet!$E$62:$BL$62))</f>
        <v>#REF!</v>
      </c>
      <c r="Z15" s="365" t="e" cm="1">
        <f t="array" aca="1" ref="Z15" ca="1">SUMPRODUCT(Z$55:Z$114,TRANSPOSE(SAP_Speadsheet!$E$62:$BL$62))</f>
        <v>#REF!</v>
      </c>
      <c r="AA15" s="365" t="e" cm="1">
        <f t="array" aca="1" ref="AA15" ca="1">SUMPRODUCT(AA$55:AA$114,TRANSPOSE(SAP_Speadsheet!$E$62:$BL$62))</f>
        <v>#REF!</v>
      </c>
      <c r="AB15" s="365" t="e" cm="1">
        <f t="array" aca="1" ref="AB15" ca="1">SUMPRODUCT(AB$55:AB$114,TRANSPOSE(SAP_Speadsheet!$E$62:$BL$62))</f>
        <v>#REF!</v>
      </c>
      <c r="AC15" s="365" t="e" cm="1">
        <f t="array" aca="1" ref="AC15" ca="1">SUMPRODUCT(AC$55:AC$114,TRANSPOSE(SAP_Speadsheet!$E$62:$BL$62))</f>
        <v>#REF!</v>
      </c>
      <c r="AD15" s="365" t="e" cm="1">
        <f t="array" aca="1" ref="AD15" ca="1">SUMPRODUCT(AD$55:AD$114,TRANSPOSE(SAP_Speadsheet!$E$62:$BL$62))</f>
        <v>#REF!</v>
      </c>
      <c r="AE15" s="365" t="e" cm="1">
        <f t="array" aca="1" ref="AE15" ca="1">SUMPRODUCT(AE$55:AE$114,TRANSPOSE(SAP_Speadsheet!$E$62:$BL$62))</f>
        <v>#REF!</v>
      </c>
      <c r="AF15" s="365" t="e" cm="1">
        <f t="array" aca="1" ref="AF15" ca="1">SUMPRODUCT(AF$55:AF$114,TRANSPOSE(SAP_Speadsheet!$E$62:$BL$62))</f>
        <v>#REF!</v>
      </c>
      <c r="AG15" s="365" t="e" cm="1">
        <f t="array" aca="1" ref="AG15" ca="1">SUMPRODUCT(AG$55:AG$114,TRANSPOSE(SAP_Speadsheet!$E$62:$BL$62))</f>
        <v>#REF!</v>
      </c>
      <c r="AH15" s="365" t="e" cm="1">
        <f t="array" aca="1" ref="AH15" ca="1">SUMPRODUCT(AH$55:AH$114,TRANSPOSE(SAP_Speadsheet!$E$62:$BL$62))</f>
        <v>#REF!</v>
      </c>
      <c r="AI15" s="365" t="e" cm="1">
        <f t="array" aca="1" ref="AI15" ca="1">SUMPRODUCT(AI$55:AI$114,TRANSPOSE(SAP_Speadsheet!$E$62:$BL$62))</f>
        <v>#REF!</v>
      </c>
      <c r="AJ15" s="365" t="e" cm="1">
        <f t="array" aca="1" ref="AJ15" ca="1">SUMPRODUCT(AJ$55:AJ$114,TRANSPOSE(SAP_Speadsheet!$E$62:$BL$62))</f>
        <v>#REF!</v>
      </c>
      <c r="AK15" s="365" t="e" cm="1">
        <f t="array" aca="1" ref="AK15" ca="1">SUMPRODUCT(AK$55:AK$114,TRANSPOSE(SAP_Speadsheet!$E$62:$BL$62))</f>
        <v>#REF!</v>
      </c>
      <c r="AL15" s="365" t="e" cm="1">
        <f t="array" aca="1" ref="AL15" ca="1">SUMPRODUCT(AL$55:AL$114,TRANSPOSE(SAP_Speadsheet!$E$62:$BL$62))</f>
        <v>#REF!</v>
      </c>
      <c r="AM15" s="365" t="e" cm="1">
        <f t="array" aca="1" ref="AM15" ca="1">SUMPRODUCT(AM$55:AM$114,TRANSPOSE(SAP_Speadsheet!$E$62:$BL$62))</f>
        <v>#REF!</v>
      </c>
      <c r="AN15" s="365" t="e" cm="1">
        <f t="array" aca="1" ref="AN15" ca="1">SUMPRODUCT(AN$55:AN$114,TRANSPOSE(SAP_Speadsheet!$E$62:$BL$62))</f>
        <v>#REF!</v>
      </c>
      <c r="AO15" s="365" t="e" cm="1">
        <f t="array" aca="1" ref="AO15" ca="1">SUMPRODUCT(AO$55:AO$114,TRANSPOSE(SAP_Speadsheet!$E$62:$BL$62))</f>
        <v>#REF!</v>
      </c>
      <c r="AP15" s="365" t="e" cm="1">
        <f t="array" aca="1" ref="AP15" ca="1">SUMPRODUCT(AP$55:AP$114,TRANSPOSE(SAP_Speadsheet!$E$62:$BL$62))</f>
        <v>#REF!</v>
      </c>
      <c r="AQ15" s="365" t="e" cm="1">
        <f t="array" aca="1" ref="AQ15" ca="1">SUMPRODUCT(AQ$55:AQ$114,TRANSPOSE(SAP_Speadsheet!$E$62:$BL$62))</f>
        <v>#REF!</v>
      </c>
      <c r="AR15" s="365" t="e" cm="1">
        <f t="array" aca="1" ref="AR15" ca="1">SUMPRODUCT(AR$55:AR$114,TRANSPOSE(SAP_Speadsheet!$E$62:$BL$62))</f>
        <v>#REF!</v>
      </c>
      <c r="AS15" s="365" t="e" cm="1">
        <f t="array" aca="1" ref="AS15" ca="1">SUMPRODUCT(AS$55:AS$114,TRANSPOSE(SAP_Speadsheet!$E$62:$BL$62))</f>
        <v>#REF!</v>
      </c>
      <c r="AT15" s="365" t="e" cm="1">
        <f t="array" aca="1" ref="AT15" ca="1">SUMPRODUCT(AT$55:AT$114,TRANSPOSE(SAP_Speadsheet!$E$62:$BL$62))</f>
        <v>#REF!</v>
      </c>
      <c r="AU15" s="365" t="e" cm="1">
        <f t="array" aca="1" ref="AU15" ca="1">SUMPRODUCT(AU$55:AU$114,TRANSPOSE(SAP_Speadsheet!$E$62:$BL$62))</f>
        <v>#REF!</v>
      </c>
      <c r="AV15" s="365" t="e" cm="1">
        <f t="array" aca="1" ref="AV15" ca="1">SUMPRODUCT(AV$55:AV$114,TRANSPOSE(SAP_Speadsheet!$E$62:$BL$62))</f>
        <v>#REF!</v>
      </c>
      <c r="AW15" s="365" t="e" cm="1">
        <f t="array" aca="1" ref="AW15" ca="1">SUMPRODUCT(AW$55:AW$114,TRANSPOSE(SAP_Speadsheet!$E$62:$BL$62))</f>
        <v>#REF!</v>
      </c>
      <c r="AX15" s="365" t="e" cm="1">
        <f t="array" aca="1" ref="AX15" ca="1">SUMPRODUCT(AX$55:AX$114,TRANSPOSE(SAP_Speadsheet!$E$62:$BL$62))</f>
        <v>#REF!</v>
      </c>
      <c r="AY15" s="365" t="e" cm="1">
        <f t="array" aca="1" ref="AY15" ca="1">SUMPRODUCT(AY$55:AY$114,TRANSPOSE(SAP_Speadsheet!$E$62:$BL$62))</f>
        <v>#REF!</v>
      </c>
      <c r="AZ15" s="365" t="e" cm="1">
        <f t="array" aca="1" ref="AZ15" ca="1">SUMPRODUCT(AZ$55:AZ$114,TRANSPOSE(SAP_Speadsheet!$E$62:$BL$62))</f>
        <v>#REF!</v>
      </c>
      <c r="BA15" s="365" t="e" cm="1">
        <f t="array" aca="1" ref="BA15" ca="1">SUMPRODUCT(BA$55:BA$114,TRANSPOSE(SAP_Speadsheet!$E$62:$BL$62))</f>
        <v>#REF!</v>
      </c>
      <c r="BB15" s="365" t="e" cm="1">
        <f t="array" aca="1" ref="BB15" ca="1">SUMPRODUCT(BB$55:BB$114,TRANSPOSE(SAP_Speadsheet!$E$62:$BL$62))</f>
        <v>#REF!</v>
      </c>
      <c r="BC15" s="365" t="e" cm="1">
        <f t="array" aca="1" ref="BC15" ca="1">SUMPRODUCT(BC$55:BC$114,TRANSPOSE(SAP_Speadsheet!$E$62:$BL$62))</f>
        <v>#REF!</v>
      </c>
      <c r="BD15" s="365" t="e" cm="1">
        <f t="array" aca="1" ref="BD15" ca="1">SUMPRODUCT(BD$55:BD$114,TRANSPOSE(SAP_Speadsheet!$E$62:$BL$62))</f>
        <v>#REF!</v>
      </c>
      <c r="BE15" s="365" t="e" cm="1">
        <f t="array" aca="1" ref="BE15" ca="1">SUMPRODUCT(BE$55:BE$114,TRANSPOSE(SAP_Speadsheet!$E$62:$BL$62))</f>
        <v>#REF!</v>
      </c>
      <c r="BF15" s="365" t="e" cm="1">
        <f t="array" aca="1" ref="BF15" ca="1">SUMPRODUCT(BF$55:BF$114,TRANSPOSE(SAP_Speadsheet!$E$62:$BL$62))</f>
        <v>#REF!</v>
      </c>
      <c r="BG15" s="365" t="e" cm="1">
        <f t="array" aca="1" ref="BG15" ca="1">SUMPRODUCT(BG$55:BG$114,TRANSPOSE(SAP_Speadsheet!$E$62:$BL$62))</f>
        <v>#REF!</v>
      </c>
      <c r="BH15" s="365" t="e" cm="1">
        <f t="array" aca="1" ref="BH15" ca="1">SUMPRODUCT(BH$55:BH$114,TRANSPOSE(SAP_Speadsheet!$E$62:$BL$62))</f>
        <v>#REF!</v>
      </c>
      <c r="BI15" s="365" t="e" cm="1">
        <f t="array" aca="1" ref="BI15" ca="1">SUMPRODUCT(BI$55:BI$114,TRANSPOSE(SAP_Speadsheet!$E$62:$BL$62))</f>
        <v>#REF!</v>
      </c>
    </row>
    <row r="16" spans="1:61" x14ac:dyDescent="0.15">
      <c r="A16" s="364" t="s">
        <v>454</v>
      </c>
      <c r="B16" s="365" cm="1">
        <f t="array" aca="1" ref="B16" ca="1">SUMPRODUCT(B$55:B$114,TRANSPOSE(SAP_Speadsheet!$E$63:$BL$63))</f>
        <v>0</v>
      </c>
      <c r="C16" s="365" cm="1">
        <f t="array" aca="1" ref="C16" ca="1">SUMPRODUCT(C$55:C$114,TRANSPOSE(SAP_Speadsheet!$E$63:$BL$63))</f>
        <v>0</v>
      </c>
      <c r="D16" s="365" cm="1">
        <f t="array" aca="1" ref="D16" ca="1">SUMPRODUCT(D$55:D$114,TRANSPOSE(SAP_Speadsheet!$E$63:$BL$63))</f>
        <v>0</v>
      </c>
      <c r="E16" s="365" cm="1">
        <f t="array" aca="1" ref="E16" ca="1">SUMPRODUCT(E$55:E$114,TRANSPOSE(SAP_Speadsheet!$E$63:$BL$63))</f>
        <v>0</v>
      </c>
      <c r="F16" s="365" cm="1">
        <f t="array" aca="1" ref="F16" ca="1">SUMPRODUCT(F$55:F$114,TRANSPOSE(SAP_Speadsheet!$E$63:$BL$63))</f>
        <v>0</v>
      </c>
      <c r="G16" s="365" cm="1">
        <f t="array" aca="1" ref="G16" ca="1">SUMPRODUCT(G$55:G$114,TRANSPOSE(SAP_Speadsheet!$E$63:$BL$63))</f>
        <v>0</v>
      </c>
      <c r="H16" s="365" t="e" cm="1">
        <f t="array" aca="1" ref="H16" ca="1">SUMPRODUCT(H$55:H$114,TRANSPOSE(SAP_Speadsheet!$E$63:$BL$63))</f>
        <v>#REF!</v>
      </c>
      <c r="I16" s="365" t="e" cm="1">
        <f t="array" aca="1" ref="I16" ca="1">SUMPRODUCT(I$55:I$114,TRANSPOSE(SAP_Speadsheet!$E$63:$BL$63))</f>
        <v>#REF!</v>
      </c>
      <c r="J16" s="365" t="e" cm="1">
        <f t="array" aca="1" ref="J16" ca="1">SUMPRODUCT(J$55:J$114,TRANSPOSE(SAP_Speadsheet!$E$63:$BL$63))</f>
        <v>#REF!</v>
      </c>
      <c r="K16" s="365" t="e" cm="1">
        <f t="array" aca="1" ref="K16" ca="1">SUMPRODUCT(K$55:K$114,TRANSPOSE(SAP_Speadsheet!$E$63:$BL$63))</f>
        <v>#REF!</v>
      </c>
      <c r="L16" s="365" t="e" cm="1">
        <f t="array" aca="1" ref="L16" ca="1">SUMPRODUCT(L$55:L$114,TRANSPOSE(SAP_Speadsheet!$E$63:$BL$63))</f>
        <v>#REF!</v>
      </c>
      <c r="M16" s="365" t="e" cm="1">
        <f t="array" aca="1" ref="M16" ca="1">SUMPRODUCT(M$55:M$114,TRANSPOSE(SAP_Speadsheet!$E$63:$BL$63))</f>
        <v>#REF!</v>
      </c>
      <c r="N16" s="365" t="e" cm="1">
        <f t="array" aca="1" ref="N16" ca="1">SUMPRODUCT(N$55:N$114,TRANSPOSE(SAP_Speadsheet!$E$63:$BL$63))</f>
        <v>#REF!</v>
      </c>
      <c r="O16" s="365" t="e" cm="1">
        <f t="array" aca="1" ref="O16" ca="1">SUMPRODUCT(O$55:O$114,TRANSPOSE(SAP_Speadsheet!$E$63:$BL$63))</f>
        <v>#REF!</v>
      </c>
      <c r="P16" s="365" t="e" cm="1">
        <f t="array" aca="1" ref="P16" ca="1">SUMPRODUCT(P$55:P$114,TRANSPOSE(SAP_Speadsheet!$E$63:$BL$63))</f>
        <v>#REF!</v>
      </c>
      <c r="Q16" s="365" t="e" cm="1">
        <f t="array" aca="1" ref="Q16" ca="1">SUMPRODUCT(Q$55:Q$114,TRANSPOSE(SAP_Speadsheet!$E$63:$BL$63))</f>
        <v>#REF!</v>
      </c>
      <c r="R16" s="365" t="e" cm="1">
        <f t="array" aca="1" ref="R16" ca="1">SUMPRODUCT(R$55:R$114,TRANSPOSE(SAP_Speadsheet!$E$63:$BL$63))</f>
        <v>#REF!</v>
      </c>
      <c r="S16" s="365" t="e" cm="1">
        <f t="array" aca="1" ref="S16" ca="1">SUMPRODUCT(S$55:S$114,TRANSPOSE(SAP_Speadsheet!$E$63:$BL$63))</f>
        <v>#REF!</v>
      </c>
      <c r="T16" s="365" t="e" cm="1">
        <f t="array" aca="1" ref="T16" ca="1">SUMPRODUCT(T$55:T$114,TRANSPOSE(SAP_Speadsheet!$E$63:$BL$63))</f>
        <v>#REF!</v>
      </c>
      <c r="U16" s="365" t="e" cm="1">
        <f t="array" aca="1" ref="U16" ca="1">SUMPRODUCT(U$55:U$114,TRANSPOSE(SAP_Speadsheet!$E$63:$BL$63))</f>
        <v>#REF!</v>
      </c>
      <c r="V16" s="365" t="e" cm="1">
        <f t="array" aca="1" ref="V16" ca="1">SUMPRODUCT(V$55:V$114,TRANSPOSE(SAP_Speadsheet!$E$63:$BL$63))</f>
        <v>#REF!</v>
      </c>
      <c r="W16" s="365" t="e" cm="1">
        <f t="array" aca="1" ref="W16" ca="1">SUMPRODUCT(W$55:W$114,TRANSPOSE(SAP_Speadsheet!$E$63:$BL$63))</f>
        <v>#REF!</v>
      </c>
      <c r="X16" s="365" t="e" cm="1">
        <f t="array" aca="1" ref="X16" ca="1">SUMPRODUCT(X$55:X$114,TRANSPOSE(SAP_Speadsheet!$E$63:$BL$63))</f>
        <v>#REF!</v>
      </c>
      <c r="Y16" s="365" t="e" cm="1">
        <f t="array" aca="1" ref="Y16" ca="1">SUMPRODUCT(Y$55:Y$114,TRANSPOSE(SAP_Speadsheet!$E$63:$BL$63))</f>
        <v>#REF!</v>
      </c>
      <c r="Z16" s="365" t="e" cm="1">
        <f t="array" aca="1" ref="Z16" ca="1">SUMPRODUCT(Z$55:Z$114,TRANSPOSE(SAP_Speadsheet!$E$63:$BL$63))</f>
        <v>#REF!</v>
      </c>
      <c r="AA16" s="365" t="e" cm="1">
        <f t="array" aca="1" ref="AA16" ca="1">SUMPRODUCT(AA$55:AA$114,TRANSPOSE(SAP_Speadsheet!$E$63:$BL$63))</f>
        <v>#REF!</v>
      </c>
      <c r="AB16" s="365" t="e" cm="1">
        <f t="array" aca="1" ref="AB16" ca="1">SUMPRODUCT(AB$55:AB$114,TRANSPOSE(SAP_Speadsheet!$E$63:$BL$63))</f>
        <v>#REF!</v>
      </c>
      <c r="AC16" s="365" t="e" cm="1">
        <f t="array" aca="1" ref="AC16" ca="1">SUMPRODUCT(AC$55:AC$114,TRANSPOSE(SAP_Speadsheet!$E$63:$BL$63))</f>
        <v>#REF!</v>
      </c>
      <c r="AD16" s="365" t="e" cm="1">
        <f t="array" aca="1" ref="AD16" ca="1">SUMPRODUCT(AD$55:AD$114,TRANSPOSE(SAP_Speadsheet!$E$63:$BL$63))</f>
        <v>#REF!</v>
      </c>
      <c r="AE16" s="365" t="e" cm="1">
        <f t="array" aca="1" ref="AE16" ca="1">SUMPRODUCT(AE$55:AE$114,TRANSPOSE(SAP_Speadsheet!$E$63:$BL$63))</f>
        <v>#REF!</v>
      </c>
      <c r="AF16" s="365" t="e" cm="1">
        <f t="array" aca="1" ref="AF16" ca="1">SUMPRODUCT(AF$55:AF$114,TRANSPOSE(SAP_Speadsheet!$E$63:$BL$63))</f>
        <v>#REF!</v>
      </c>
      <c r="AG16" s="365" t="e" cm="1">
        <f t="array" aca="1" ref="AG16" ca="1">SUMPRODUCT(AG$55:AG$114,TRANSPOSE(SAP_Speadsheet!$E$63:$BL$63))</f>
        <v>#REF!</v>
      </c>
      <c r="AH16" s="365" t="e" cm="1">
        <f t="array" aca="1" ref="AH16" ca="1">SUMPRODUCT(AH$55:AH$114,TRANSPOSE(SAP_Speadsheet!$E$63:$BL$63))</f>
        <v>#REF!</v>
      </c>
      <c r="AI16" s="365" t="e" cm="1">
        <f t="array" aca="1" ref="AI16" ca="1">SUMPRODUCT(AI$55:AI$114,TRANSPOSE(SAP_Speadsheet!$E$63:$BL$63))</f>
        <v>#REF!</v>
      </c>
      <c r="AJ16" s="365" t="e" cm="1">
        <f t="array" aca="1" ref="AJ16" ca="1">SUMPRODUCT(AJ$55:AJ$114,TRANSPOSE(SAP_Speadsheet!$E$63:$BL$63))</f>
        <v>#REF!</v>
      </c>
      <c r="AK16" s="365" t="e" cm="1">
        <f t="array" aca="1" ref="AK16" ca="1">SUMPRODUCT(AK$55:AK$114,TRANSPOSE(SAP_Speadsheet!$E$63:$BL$63))</f>
        <v>#REF!</v>
      </c>
      <c r="AL16" s="365" t="e" cm="1">
        <f t="array" aca="1" ref="AL16" ca="1">SUMPRODUCT(AL$55:AL$114,TRANSPOSE(SAP_Speadsheet!$E$63:$BL$63))</f>
        <v>#REF!</v>
      </c>
      <c r="AM16" s="365" t="e" cm="1">
        <f t="array" aca="1" ref="AM16" ca="1">SUMPRODUCT(AM$55:AM$114,TRANSPOSE(SAP_Speadsheet!$E$63:$BL$63))</f>
        <v>#REF!</v>
      </c>
      <c r="AN16" s="365" t="e" cm="1">
        <f t="array" aca="1" ref="AN16" ca="1">SUMPRODUCT(AN$55:AN$114,TRANSPOSE(SAP_Speadsheet!$E$63:$BL$63))</f>
        <v>#REF!</v>
      </c>
      <c r="AO16" s="365" t="e" cm="1">
        <f t="array" aca="1" ref="AO16" ca="1">SUMPRODUCT(AO$55:AO$114,TRANSPOSE(SAP_Speadsheet!$E$63:$BL$63))</f>
        <v>#REF!</v>
      </c>
      <c r="AP16" s="365" t="e" cm="1">
        <f t="array" aca="1" ref="AP16" ca="1">SUMPRODUCT(AP$55:AP$114,TRANSPOSE(SAP_Speadsheet!$E$63:$BL$63))</f>
        <v>#REF!</v>
      </c>
      <c r="AQ16" s="365" t="e" cm="1">
        <f t="array" aca="1" ref="AQ16" ca="1">SUMPRODUCT(AQ$55:AQ$114,TRANSPOSE(SAP_Speadsheet!$E$63:$BL$63))</f>
        <v>#REF!</v>
      </c>
      <c r="AR16" s="365" t="e" cm="1">
        <f t="array" aca="1" ref="AR16" ca="1">SUMPRODUCT(AR$55:AR$114,TRANSPOSE(SAP_Speadsheet!$E$63:$BL$63))</f>
        <v>#REF!</v>
      </c>
      <c r="AS16" s="365" t="e" cm="1">
        <f t="array" aca="1" ref="AS16" ca="1">SUMPRODUCT(AS$55:AS$114,TRANSPOSE(SAP_Speadsheet!$E$63:$BL$63))</f>
        <v>#REF!</v>
      </c>
      <c r="AT16" s="365" t="e" cm="1">
        <f t="array" aca="1" ref="AT16" ca="1">SUMPRODUCT(AT$55:AT$114,TRANSPOSE(SAP_Speadsheet!$E$63:$BL$63))</f>
        <v>#REF!</v>
      </c>
      <c r="AU16" s="365" t="e" cm="1">
        <f t="array" aca="1" ref="AU16" ca="1">SUMPRODUCT(AU$55:AU$114,TRANSPOSE(SAP_Speadsheet!$E$63:$BL$63))</f>
        <v>#REF!</v>
      </c>
      <c r="AV16" s="365" t="e" cm="1">
        <f t="array" aca="1" ref="AV16" ca="1">SUMPRODUCT(AV$55:AV$114,TRANSPOSE(SAP_Speadsheet!$E$63:$BL$63))</f>
        <v>#REF!</v>
      </c>
      <c r="AW16" s="365" t="e" cm="1">
        <f t="array" aca="1" ref="AW16" ca="1">SUMPRODUCT(AW$55:AW$114,TRANSPOSE(SAP_Speadsheet!$E$63:$BL$63))</f>
        <v>#REF!</v>
      </c>
      <c r="AX16" s="365" t="e" cm="1">
        <f t="array" aca="1" ref="AX16" ca="1">SUMPRODUCT(AX$55:AX$114,TRANSPOSE(SAP_Speadsheet!$E$63:$BL$63))</f>
        <v>#REF!</v>
      </c>
      <c r="AY16" s="365" t="e" cm="1">
        <f t="array" aca="1" ref="AY16" ca="1">SUMPRODUCT(AY$55:AY$114,TRANSPOSE(SAP_Speadsheet!$E$63:$BL$63))</f>
        <v>#REF!</v>
      </c>
      <c r="AZ16" s="365" t="e" cm="1">
        <f t="array" aca="1" ref="AZ16" ca="1">SUMPRODUCT(AZ$55:AZ$114,TRANSPOSE(SAP_Speadsheet!$E$63:$BL$63))</f>
        <v>#REF!</v>
      </c>
      <c r="BA16" s="365" t="e" cm="1">
        <f t="array" aca="1" ref="BA16" ca="1">SUMPRODUCT(BA$55:BA$114,TRANSPOSE(SAP_Speadsheet!$E$63:$BL$63))</f>
        <v>#REF!</v>
      </c>
      <c r="BB16" s="365" t="e" cm="1">
        <f t="array" aca="1" ref="BB16" ca="1">SUMPRODUCT(BB$55:BB$114,TRANSPOSE(SAP_Speadsheet!$E$63:$BL$63))</f>
        <v>#REF!</v>
      </c>
      <c r="BC16" s="365" t="e" cm="1">
        <f t="array" aca="1" ref="BC16" ca="1">SUMPRODUCT(BC$55:BC$114,TRANSPOSE(SAP_Speadsheet!$E$63:$BL$63))</f>
        <v>#REF!</v>
      </c>
      <c r="BD16" s="365" t="e" cm="1">
        <f t="array" aca="1" ref="BD16" ca="1">SUMPRODUCT(BD$55:BD$114,TRANSPOSE(SAP_Speadsheet!$E$63:$BL$63))</f>
        <v>#REF!</v>
      </c>
      <c r="BE16" s="365" t="e" cm="1">
        <f t="array" aca="1" ref="BE16" ca="1">SUMPRODUCT(BE$55:BE$114,TRANSPOSE(SAP_Speadsheet!$E$63:$BL$63))</f>
        <v>#REF!</v>
      </c>
      <c r="BF16" s="365" t="e" cm="1">
        <f t="array" aca="1" ref="BF16" ca="1">SUMPRODUCT(BF$55:BF$114,TRANSPOSE(SAP_Speadsheet!$E$63:$BL$63))</f>
        <v>#REF!</v>
      </c>
      <c r="BG16" s="365" t="e" cm="1">
        <f t="array" aca="1" ref="BG16" ca="1">SUMPRODUCT(BG$55:BG$114,TRANSPOSE(SAP_Speadsheet!$E$63:$BL$63))</f>
        <v>#REF!</v>
      </c>
      <c r="BH16" s="365" t="e" cm="1">
        <f t="array" aca="1" ref="BH16" ca="1">SUMPRODUCT(BH$55:BH$114,TRANSPOSE(SAP_Speadsheet!$E$63:$BL$63))</f>
        <v>#REF!</v>
      </c>
      <c r="BI16" s="365" t="e" cm="1">
        <f t="array" aca="1" ref="BI16" ca="1">SUMPRODUCT(BI$55:BI$114,TRANSPOSE(SAP_Speadsheet!$E$63:$BL$63))</f>
        <v>#REF!</v>
      </c>
    </row>
    <row r="17" spans="1:61" x14ac:dyDescent="0.15">
      <c r="A17" s="364" t="s">
        <v>86</v>
      </c>
      <c r="B17" s="365" cm="1">
        <f t="array" aca="1" ref="B17" ca="1">SUMPRODUCT(B$55:B$114,TRANSPOSE(SAP_Speadsheet!$E$64:$BL$64))</f>
        <v>0</v>
      </c>
      <c r="C17" s="365" cm="1">
        <f t="array" aca="1" ref="C17" ca="1">SUMPRODUCT(C$55:C$114,TRANSPOSE(SAP_Speadsheet!$E$64:$BL$64))</f>
        <v>0</v>
      </c>
      <c r="D17" s="365" cm="1">
        <f t="array" aca="1" ref="D17" ca="1">SUMPRODUCT(D$55:D$114,TRANSPOSE(SAP_Speadsheet!$E$64:$BL$64))</f>
        <v>0</v>
      </c>
      <c r="E17" s="365" cm="1">
        <f t="array" aca="1" ref="E17" ca="1">SUMPRODUCT(E$55:E$114,TRANSPOSE(SAP_Speadsheet!$E$64:$BL$64))</f>
        <v>0</v>
      </c>
      <c r="F17" s="365" cm="1">
        <f t="array" aca="1" ref="F17" ca="1">SUMPRODUCT(F$55:F$114,TRANSPOSE(SAP_Speadsheet!$E$64:$BL$64))</f>
        <v>0</v>
      </c>
      <c r="G17" s="365" cm="1">
        <f t="array" aca="1" ref="G17" ca="1">SUMPRODUCT(G$55:G$114,TRANSPOSE(SAP_Speadsheet!$E$64:$BL$64))</f>
        <v>0</v>
      </c>
      <c r="H17" s="365" t="e" cm="1">
        <f t="array" aca="1" ref="H17" ca="1">SUMPRODUCT(H$55:H$114,TRANSPOSE(SAP_Speadsheet!$E$64:$BL$64))</f>
        <v>#REF!</v>
      </c>
      <c r="I17" s="365" t="e" cm="1">
        <f t="array" aca="1" ref="I17" ca="1">SUMPRODUCT(I$55:I$114,TRANSPOSE(SAP_Speadsheet!$E$64:$BL$64))</f>
        <v>#REF!</v>
      </c>
      <c r="J17" s="365" t="e" cm="1">
        <f t="array" aca="1" ref="J17" ca="1">SUMPRODUCT(J$55:J$114,TRANSPOSE(SAP_Speadsheet!$E$64:$BL$64))</f>
        <v>#REF!</v>
      </c>
      <c r="K17" s="365" t="e" cm="1">
        <f t="array" aca="1" ref="K17" ca="1">SUMPRODUCT(K$55:K$114,TRANSPOSE(SAP_Speadsheet!$E$64:$BL$64))</f>
        <v>#REF!</v>
      </c>
      <c r="L17" s="365" t="e" cm="1">
        <f t="array" aca="1" ref="L17" ca="1">SUMPRODUCT(L$55:L$114,TRANSPOSE(SAP_Speadsheet!$E$64:$BL$64))</f>
        <v>#REF!</v>
      </c>
      <c r="M17" s="365" t="e" cm="1">
        <f t="array" aca="1" ref="M17" ca="1">SUMPRODUCT(M$55:M$114,TRANSPOSE(SAP_Speadsheet!$E$64:$BL$64))</f>
        <v>#REF!</v>
      </c>
      <c r="N17" s="365" t="e" cm="1">
        <f t="array" aca="1" ref="N17" ca="1">SUMPRODUCT(N$55:N$114,TRANSPOSE(SAP_Speadsheet!$E$64:$BL$64))</f>
        <v>#REF!</v>
      </c>
      <c r="O17" s="365" t="e" cm="1">
        <f t="array" aca="1" ref="O17" ca="1">SUMPRODUCT(O$55:O$114,TRANSPOSE(SAP_Speadsheet!$E$64:$BL$64))</f>
        <v>#REF!</v>
      </c>
      <c r="P17" s="365" t="e" cm="1">
        <f t="array" aca="1" ref="P17" ca="1">SUMPRODUCT(P$55:P$114,TRANSPOSE(SAP_Speadsheet!$E$64:$BL$64))</f>
        <v>#REF!</v>
      </c>
      <c r="Q17" s="365" t="e" cm="1">
        <f t="array" aca="1" ref="Q17" ca="1">SUMPRODUCT(Q$55:Q$114,TRANSPOSE(SAP_Speadsheet!$E$64:$BL$64))</f>
        <v>#REF!</v>
      </c>
      <c r="R17" s="365" t="e" cm="1">
        <f t="array" aca="1" ref="R17" ca="1">SUMPRODUCT(R$55:R$114,TRANSPOSE(SAP_Speadsheet!$E$64:$BL$64))</f>
        <v>#REF!</v>
      </c>
      <c r="S17" s="365" t="e" cm="1">
        <f t="array" aca="1" ref="S17" ca="1">SUMPRODUCT(S$55:S$114,TRANSPOSE(SAP_Speadsheet!$E$64:$BL$64))</f>
        <v>#REF!</v>
      </c>
      <c r="T17" s="365" t="e" cm="1">
        <f t="array" aca="1" ref="T17" ca="1">SUMPRODUCT(T$55:T$114,TRANSPOSE(SAP_Speadsheet!$E$64:$BL$64))</f>
        <v>#REF!</v>
      </c>
      <c r="U17" s="365" t="e" cm="1">
        <f t="array" aca="1" ref="U17" ca="1">SUMPRODUCT(U$55:U$114,TRANSPOSE(SAP_Speadsheet!$E$64:$BL$64))</f>
        <v>#REF!</v>
      </c>
      <c r="V17" s="365" t="e" cm="1">
        <f t="array" aca="1" ref="V17" ca="1">SUMPRODUCT(V$55:V$114,TRANSPOSE(SAP_Speadsheet!$E$64:$BL$64))</f>
        <v>#REF!</v>
      </c>
      <c r="W17" s="365" t="e" cm="1">
        <f t="array" aca="1" ref="W17" ca="1">SUMPRODUCT(W$55:W$114,TRANSPOSE(SAP_Speadsheet!$E$64:$BL$64))</f>
        <v>#REF!</v>
      </c>
      <c r="X17" s="365" t="e" cm="1">
        <f t="array" aca="1" ref="X17" ca="1">SUMPRODUCT(X$55:X$114,TRANSPOSE(SAP_Speadsheet!$E$64:$BL$64))</f>
        <v>#REF!</v>
      </c>
      <c r="Y17" s="365" t="e" cm="1">
        <f t="array" aca="1" ref="Y17" ca="1">SUMPRODUCT(Y$55:Y$114,TRANSPOSE(SAP_Speadsheet!$E$64:$BL$64))</f>
        <v>#REF!</v>
      </c>
      <c r="Z17" s="365" t="e" cm="1">
        <f t="array" aca="1" ref="Z17" ca="1">SUMPRODUCT(Z$55:Z$114,TRANSPOSE(SAP_Speadsheet!$E$64:$BL$64))</f>
        <v>#REF!</v>
      </c>
      <c r="AA17" s="365" t="e" cm="1">
        <f t="array" aca="1" ref="AA17" ca="1">SUMPRODUCT(AA$55:AA$114,TRANSPOSE(SAP_Speadsheet!$E$64:$BL$64))</f>
        <v>#REF!</v>
      </c>
      <c r="AB17" s="365" t="e" cm="1">
        <f t="array" aca="1" ref="AB17" ca="1">SUMPRODUCT(AB$55:AB$114,TRANSPOSE(SAP_Speadsheet!$E$64:$BL$64))</f>
        <v>#REF!</v>
      </c>
      <c r="AC17" s="365" t="e" cm="1">
        <f t="array" aca="1" ref="AC17" ca="1">SUMPRODUCT(AC$55:AC$114,TRANSPOSE(SAP_Speadsheet!$E$64:$BL$64))</f>
        <v>#REF!</v>
      </c>
      <c r="AD17" s="365" t="e" cm="1">
        <f t="array" aca="1" ref="AD17" ca="1">SUMPRODUCT(AD$55:AD$114,TRANSPOSE(SAP_Speadsheet!$E$64:$BL$64))</f>
        <v>#REF!</v>
      </c>
      <c r="AE17" s="365" t="e" cm="1">
        <f t="array" aca="1" ref="AE17" ca="1">SUMPRODUCT(AE$55:AE$114,TRANSPOSE(SAP_Speadsheet!$E$64:$BL$64))</f>
        <v>#REF!</v>
      </c>
      <c r="AF17" s="365" t="e" cm="1">
        <f t="array" aca="1" ref="AF17" ca="1">SUMPRODUCT(AF$55:AF$114,TRANSPOSE(SAP_Speadsheet!$E$64:$BL$64))</f>
        <v>#REF!</v>
      </c>
      <c r="AG17" s="365" t="e" cm="1">
        <f t="array" aca="1" ref="AG17" ca="1">SUMPRODUCT(AG$55:AG$114,TRANSPOSE(SAP_Speadsheet!$E$64:$BL$64))</f>
        <v>#REF!</v>
      </c>
      <c r="AH17" s="365" t="e" cm="1">
        <f t="array" aca="1" ref="AH17" ca="1">SUMPRODUCT(AH$55:AH$114,TRANSPOSE(SAP_Speadsheet!$E$64:$BL$64))</f>
        <v>#REF!</v>
      </c>
      <c r="AI17" s="365" t="e" cm="1">
        <f t="array" aca="1" ref="AI17" ca="1">SUMPRODUCT(AI$55:AI$114,TRANSPOSE(SAP_Speadsheet!$E$64:$BL$64))</f>
        <v>#REF!</v>
      </c>
      <c r="AJ17" s="365" t="e" cm="1">
        <f t="array" aca="1" ref="AJ17" ca="1">SUMPRODUCT(AJ$55:AJ$114,TRANSPOSE(SAP_Speadsheet!$E$64:$BL$64))</f>
        <v>#REF!</v>
      </c>
      <c r="AK17" s="365" t="e" cm="1">
        <f t="array" aca="1" ref="AK17" ca="1">SUMPRODUCT(AK$55:AK$114,TRANSPOSE(SAP_Speadsheet!$E$64:$BL$64))</f>
        <v>#REF!</v>
      </c>
      <c r="AL17" s="365" t="e" cm="1">
        <f t="array" aca="1" ref="AL17" ca="1">SUMPRODUCT(AL$55:AL$114,TRANSPOSE(SAP_Speadsheet!$E$64:$BL$64))</f>
        <v>#REF!</v>
      </c>
      <c r="AM17" s="365" t="e" cm="1">
        <f t="array" aca="1" ref="AM17" ca="1">SUMPRODUCT(AM$55:AM$114,TRANSPOSE(SAP_Speadsheet!$E$64:$BL$64))</f>
        <v>#REF!</v>
      </c>
      <c r="AN17" s="365" t="e" cm="1">
        <f t="array" aca="1" ref="AN17" ca="1">SUMPRODUCT(AN$55:AN$114,TRANSPOSE(SAP_Speadsheet!$E$64:$BL$64))</f>
        <v>#REF!</v>
      </c>
      <c r="AO17" s="365" t="e" cm="1">
        <f t="array" aca="1" ref="AO17" ca="1">SUMPRODUCT(AO$55:AO$114,TRANSPOSE(SAP_Speadsheet!$E$64:$BL$64))</f>
        <v>#REF!</v>
      </c>
      <c r="AP17" s="365" t="e" cm="1">
        <f t="array" aca="1" ref="AP17" ca="1">SUMPRODUCT(AP$55:AP$114,TRANSPOSE(SAP_Speadsheet!$E$64:$BL$64))</f>
        <v>#REF!</v>
      </c>
      <c r="AQ17" s="365" t="e" cm="1">
        <f t="array" aca="1" ref="AQ17" ca="1">SUMPRODUCT(AQ$55:AQ$114,TRANSPOSE(SAP_Speadsheet!$E$64:$BL$64))</f>
        <v>#REF!</v>
      </c>
      <c r="AR17" s="365" t="e" cm="1">
        <f t="array" aca="1" ref="AR17" ca="1">SUMPRODUCT(AR$55:AR$114,TRANSPOSE(SAP_Speadsheet!$E$64:$BL$64))</f>
        <v>#REF!</v>
      </c>
      <c r="AS17" s="365" t="e" cm="1">
        <f t="array" aca="1" ref="AS17" ca="1">SUMPRODUCT(AS$55:AS$114,TRANSPOSE(SAP_Speadsheet!$E$64:$BL$64))</f>
        <v>#REF!</v>
      </c>
      <c r="AT17" s="365" t="e" cm="1">
        <f t="array" aca="1" ref="AT17" ca="1">SUMPRODUCT(AT$55:AT$114,TRANSPOSE(SAP_Speadsheet!$E$64:$BL$64))</f>
        <v>#REF!</v>
      </c>
      <c r="AU17" s="365" t="e" cm="1">
        <f t="array" aca="1" ref="AU17" ca="1">SUMPRODUCT(AU$55:AU$114,TRANSPOSE(SAP_Speadsheet!$E$64:$BL$64))</f>
        <v>#REF!</v>
      </c>
      <c r="AV17" s="365" t="e" cm="1">
        <f t="array" aca="1" ref="AV17" ca="1">SUMPRODUCT(AV$55:AV$114,TRANSPOSE(SAP_Speadsheet!$E$64:$BL$64))</f>
        <v>#REF!</v>
      </c>
      <c r="AW17" s="365" t="e" cm="1">
        <f t="array" aca="1" ref="AW17" ca="1">SUMPRODUCT(AW$55:AW$114,TRANSPOSE(SAP_Speadsheet!$E$64:$BL$64))</f>
        <v>#REF!</v>
      </c>
      <c r="AX17" s="365" t="e" cm="1">
        <f t="array" aca="1" ref="AX17" ca="1">SUMPRODUCT(AX$55:AX$114,TRANSPOSE(SAP_Speadsheet!$E$64:$BL$64))</f>
        <v>#REF!</v>
      </c>
      <c r="AY17" s="365" t="e" cm="1">
        <f t="array" aca="1" ref="AY17" ca="1">SUMPRODUCT(AY$55:AY$114,TRANSPOSE(SAP_Speadsheet!$E$64:$BL$64))</f>
        <v>#REF!</v>
      </c>
      <c r="AZ17" s="365" t="e" cm="1">
        <f t="array" aca="1" ref="AZ17" ca="1">SUMPRODUCT(AZ$55:AZ$114,TRANSPOSE(SAP_Speadsheet!$E$64:$BL$64))</f>
        <v>#REF!</v>
      </c>
      <c r="BA17" s="365" t="e" cm="1">
        <f t="array" aca="1" ref="BA17" ca="1">SUMPRODUCT(BA$55:BA$114,TRANSPOSE(SAP_Speadsheet!$E$64:$BL$64))</f>
        <v>#REF!</v>
      </c>
      <c r="BB17" s="365" t="e" cm="1">
        <f t="array" aca="1" ref="BB17" ca="1">SUMPRODUCT(BB$55:BB$114,TRANSPOSE(SAP_Speadsheet!$E$64:$BL$64))</f>
        <v>#REF!</v>
      </c>
      <c r="BC17" s="365" t="e" cm="1">
        <f t="array" aca="1" ref="BC17" ca="1">SUMPRODUCT(BC$55:BC$114,TRANSPOSE(SAP_Speadsheet!$E$64:$BL$64))</f>
        <v>#REF!</v>
      </c>
      <c r="BD17" s="365" t="e" cm="1">
        <f t="array" aca="1" ref="BD17" ca="1">SUMPRODUCT(BD$55:BD$114,TRANSPOSE(SAP_Speadsheet!$E$64:$BL$64))</f>
        <v>#REF!</v>
      </c>
      <c r="BE17" s="365" t="e" cm="1">
        <f t="array" aca="1" ref="BE17" ca="1">SUMPRODUCT(BE$55:BE$114,TRANSPOSE(SAP_Speadsheet!$E$64:$BL$64))</f>
        <v>#REF!</v>
      </c>
      <c r="BF17" s="365" t="e" cm="1">
        <f t="array" aca="1" ref="BF17" ca="1">SUMPRODUCT(BF$55:BF$114,TRANSPOSE(SAP_Speadsheet!$E$64:$BL$64))</f>
        <v>#REF!</v>
      </c>
      <c r="BG17" s="365" t="e" cm="1">
        <f t="array" aca="1" ref="BG17" ca="1">SUMPRODUCT(BG$55:BG$114,TRANSPOSE(SAP_Speadsheet!$E$64:$BL$64))</f>
        <v>#REF!</v>
      </c>
      <c r="BH17" s="365" t="e" cm="1">
        <f t="array" aca="1" ref="BH17" ca="1">SUMPRODUCT(BH$55:BH$114,TRANSPOSE(SAP_Speadsheet!$E$64:$BL$64))</f>
        <v>#REF!</v>
      </c>
      <c r="BI17" s="365" t="e" cm="1">
        <f t="array" aca="1" ref="BI17" ca="1">SUMPRODUCT(BI$55:BI$114,TRANSPOSE(SAP_Speadsheet!$E$64:$BL$64))</f>
        <v>#REF!</v>
      </c>
    </row>
    <row r="18" spans="1:61" x14ac:dyDescent="0.15">
      <c r="A18" s="353" t="s">
        <v>195</v>
      </c>
      <c r="B18" s="365" cm="1">
        <f t="array" aca="1" ref="B18" ca="1">SUMPRODUCT(B$55:B$114,TRANSPOSE(SAP_Speadsheet!$E$68:$BL$68))</f>
        <v>0</v>
      </c>
      <c r="C18" s="365" cm="1">
        <f t="array" aca="1" ref="C18" ca="1">SUMPRODUCT(C$55:C$114,TRANSPOSE(SAP_Speadsheet!$E$68:$BL$68))</f>
        <v>0</v>
      </c>
      <c r="D18" s="365" cm="1">
        <f t="array" aca="1" ref="D18" ca="1">SUMPRODUCT(D$55:D$114,TRANSPOSE(SAP_Speadsheet!$E$68:$BL$68))</f>
        <v>0</v>
      </c>
      <c r="E18" s="365" cm="1">
        <f t="array" aca="1" ref="E18" ca="1">SUMPRODUCT(E$55:E$114,TRANSPOSE(SAP_Speadsheet!$E$68:$BL$68))</f>
        <v>0</v>
      </c>
      <c r="F18" s="365" cm="1">
        <f t="array" aca="1" ref="F18" ca="1">SUMPRODUCT(F$55:F$114,TRANSPOSE(SAP_Speadsheet!$E$68:$BL$68))</f>
        <v>0</v>
      </c>
      <c r="G18" s="365" cm="1">
        <f t="array" aca="1" ref="G18" ca="1">SUMPRODUCT(G$55:G$114,TRANSPOSE(SAP_Speadsheet!$E$68:$BL$68))</f>
        <v>0</v>
      </c>
      <c r="H18" s="365" t="e" cm="1">
        <f t="array" aca="1" ref="H18" ca="1">SUMPRODUCT(H$55:H$114,TRANSPOSE(SAP_Speadsheet!$E$68:$BL$68))</f>
        <v>#REF!</v>
      </c>
      <c r="I18" s="365" t="e" cm="1">
        <f t="array" aca="1" ref="I18" ca="1">SUMPRODUCT(I$55:I$114,TRANSPOSE(SAP_Speadsheet!$E$68:$BL$68))</f>
        <v>#REF!</v>
      </c>
      <c r="J18" s="365" t="e" cm="1">
        <f t="array" aca="1" ref="J18" ca="1">SUMPRODUCT(J$55:J$114,TRANSPOSE(SAP_Speadsheet!$E$68:$BL$68))</f>
        <v>#REF!</v>
      </c>
      <c r="K18" s="365" t="e" cm="1">
        <f t="array" aca="1" ref="K18" ca="1">SUMPRODUCT(K$55:K$114,TRANSPOSE(SAP_Speadsheet!$E$68:$BL$68))</f>
        <v>#REF!</v>
      </c>
      <c r="L18" s="365" t="e" cm="1">
        <f t="array" aca="1" ref="L18" ca="1">SUMPRODUCT(L$55:L$114,TRANSPOSE(SAP_Speadsheet!$E$68:$BL$68))</f>
        <v>#REF!</v>
      </c>
      <c r="M18" s="365" t="e" cm="1">
        <f t="array" aca="1" ref="M18" ca="1">SUMPRODUCT(M$55:M$114,TRANSPOSE(SAP_Speadsheet!$E$68:$BL$68))</f>
        <v>#REF!</v>
      </c>
      <c r="N18" s="365" t="e" cm="1">
        <f t="array" aca="1" ref="N18" ca="1">SUMPRODUCT(N$55:N$114,TRANSPOSE(SAP_Speadsheet!$E$68:$BL$68))</f>
        <v>#REF!</v>
      </c>
      <c r="O18" s="365" t="e" cm="1">
        <f t="array" aca="1" ref="O18" ca="1">SUMPRODUCT(O$55:O$114,TRANSPOSE(SAP_Speadsheet!$E$68:$BL$68))</f>
        <v>#REF!</v>
      </c>
      <c r="P18" s="365" t="e" cm="1">
        <f t="array" aca="1" ref="P18" ca="1">SUMPRODUCT(P$55:P$114,TRANSPOSE(SAP_Speadsheet!$E$68:$BL$68))</f>
        <v>#REF!</v>
      </c>
      <c r="Q18" s="365" t="e" cm="1">
        <f t="array" aca="1" ref="Q18" ca="1">SUMPRODUCT(Q$55:Q$114,TRANSPOSE(SAP_Speadsheet!$E$68:$BL$68))</f>
        <v>#REF!</v>
      </c>
      <c r="R18" s="365" t="e" cm="1">
        <f t="array" aca="1" ref="R18" ca="1">SUMPRODUCT(R$55:R$114,TRANSPOSE(SAP_Speadsheet!$E$68:$BL$68))</f>
        <v>#REF!</v>
      </c>
      <c r="S18" s="365" t="e" cm="1">
        <f t="array" aca="1" ref="S18" ca="1">SUMPRODUCT(S$55:S$114,TRANSPOSE(SAP_Speadsheet!$E$68:$BL$68))</f>
        <v>#REF!</v>
      </c>
      <c r="T18" s="365" t="e" cm="1">
        <f t="array" aca="1" ref="T18" ca="1">SUMPRODUCT(T$55:T$114,TRANSPOSE(SAP_Speadsheet!$E$68:$BL$68))</f>
        <v>#REF!</v>
      </c>
      <c r="U18" s="365" t="e" cm="1">
        <f t="array" aca="1" ref="U18" ca="1">SUMPRODUCT(U$55:U$114,TRANSPOSE(SAP_Speadsheet!$E$68:$BL$68))</f>
        <v>#REF!</v>
      </c>
      <c r="V18" s="365" t="e" cm="1">
        <f t="array" aca="1" ref="V18" ca="1">SUMPRODUCT(V$55:V$114,TRANSPOSE(SAP_Speadsheet!$E$68:$BL$68))</f>
        <v>#REF!</v>
      </c>
      <c r="W18" s="365" t="e" cm="1">
        <f t="array" aca="1" ref="W18" ca="1">SUMPRODUCT(W$55:W$114,TRANSPOSE(SAP_Speadsheet!$E$68:$BL$68))</f>
        <v>#REF!</v>
      </c>
      <c r="X18" s="365" t="e" cm="1">
        <f t="array" aca="1" ref="X18" ca="1">SUMPRODUCT(X$55:X$114,TRANSPOSE(SAP_Speadsheet!$E$68:$BL$68))</f>
        <v>#REF!</v>
      </c>
      <c r="Y18" s="365" t="e" cm="1">
        <f t="array" aca="1" ref="Y18" ca="1">SUMPRODUCT(Y$55:Y$114,TRANSPOSE(SAP_Speadsheet!$E$68:$BL$68))</f>
        <v>#REF!</v>
      </c>
      <c r="Z18" s="365" t="e" cm="1">
        <f t="array" aca="1" ref="Z18" ca="1">SUMPRODUCT(Z$55:Z$114,TRANSPOSE(SAP_Speadsheet!$E$68:$BL$68))</f>
        <v>#REF!</v>
      </c>
      <c r="AA18" s="365" t="e" cm="1">
        <f t="array" aca="1" ref="AA18" ca="1">SUMPRODUCT(AA$55:AA$114,TRANSPOSE(SAP_Speadsheet!$E$68:$BL$68))</f>
        <v>#REF!</v>
      </c>
      <c r="AB18" s="365" t="e" cm="1">
        <f t="array" aca="1" ref="AB18" ca="1">SUMPRODUCT(AB$55:AB$114,TRANSPOSE(SAP_Speadsheet!$E$68:$BL$68))</f>
        <v>#REF!</v>
      </c>
      <c r="AC18" s="365" t="e" cm="1">
        <f t="array" aca="1" ref="AC18" ca="1">SUMPRODUCT(AC$55:AC$114,TRANSPOSE(SAP_Speadsheet!$E$68:$BL$68))</f>
        <v>#REF!</v>
      </c>
      <c r="AD18" s="365" t="e" cm="1">
        <f t="array" aca="1" ref="AD18" ca="1">SUMPRODUCT(AD$55:AD$114,TRANSPOSE(SAP_Speadsheet!$E$68:$BL$68))</f>
        <v>#REF!</v>
      </c>
      <c r="AE18" s="365" t="e" cm="1">
        <f t="array" aca="1" ref="AE18" ca="1">SUMPRODUCT(AE$55:AE$114,TRANSPOSE(SAP_Speadsheet!$E$68:$BL$68))</f>
        <v>#REF!</v>
      </c>
      <c r="AF18" s="365" t="e" cm="1">
        <f t="array" aca="1" ref="AF18" ca="1">SUMPRODUCT(AF$55:AF$114,TRANSPOSE(SAP_Speadsheet!$E$68:$BL$68))</f>
        <v>#REF!</v>
      </c>
      <c r="AG18" s="365" t="e" cm="1">
        <f t="array" aca="1" ref="AG18" ca="1">SUMPRODUCT(AG$55:AG$114,TRANSPOSE(SAP_Speadsheet!$E$68:$BL$68))</f>
        <v>#REF!</v>
      </c>
      <c r="AH18" s="365" t="e" cm="1">
        <f t="array" aca="1" ref="AH18" ca="1">SUMPRODUCT(AH$55:AH$114,TRANSPOSE(SAP_Speadsheet!$E$68:$BL$68))</f>
        <v>#REF!</v>
      </c>
      <c r="AI18" s="365" t="e" cm="1">
        <f t="array" aca="1" ref="AI18" ca="1">SUMPRODUCT(AI$55:AI$114,TRANSPOSE(SAP_Speadsheet!$E$68:$BL$68))</f>
        <v>#REF!</v>
      </c>
      <c r="AJ18" s="365" t="e" cm="1">
        <f t="array" aca="1" ref="AJ18" ca="1">SUMPRODUCT(AJ$55:AJ$114,TRANSPOSE(SAP_Speadsheet!$E$68:$BL$68))</f>
        <v>#REF!</v>
      </c>
      <c r="AK18" s="365" t="e" cm="1">
        <f t="array" aca="1" ref="AK18" ca="1">SUMPRODUCT(AK$55:AK$114,TRANSPOSE(SAP_Speadsheet!$E$68:$BL$68))</f>
        <v>#REF!</v>
      </c>
      <c r="AL18" s="365" t="e" cm="1">
        <f t="array" aca="1" ref="AL18" ca="1">SUMPRODUCT(AL$55:AL$114,TRANSPOSE(SAP_Speadsheet!$E$68:$BL$68))</f>
        <v>#REF!</v>
      </c>
      <c r="AM18" s="365" t="e" cm="1">
        <f t="array" aca="1" ref="AM18" ca="1">SUMPRODUCT(AM$55:AM$114,TRANSPOSE(SAP_Speadsheet!$E$68:$BL$68))</f>
        <v>#REF!</v>
      </c>
      <c r="AN18" s="365" t="e" cm="1">
        <f t="array" aca="1" ref="AN18" ca="1">SUMPRODUCT(AN$55:AN$114,TRANSPOSE(SAP_Speadsheet!$E$68:$BL$68))</f>
        <v>#REF!</v>
      </c>
      <c r="AO18" s="365" t="e" cm="1">
        <f t="array" aca="1" ref="AO18" ca="1">SUMPRODUCT(AO$55:AO$114,TRANSPOSE(SAP_Speadsheet!$E$68:$BL$68))</f>
        <v>#REF!</v>
      </c>
      <c r="AP18" s="365" t="e" cm="1">
        <f t="array" aca="1" ref="AP18" ca="1">SUMPRODUCT(AP$55:AP$114,TRANSPOSE(SAP_Speadsheet!$E$68:$BL$68))</f>
        <v>#REF!</v>
      </c>
      <c r="AQ18" s="365" t="e" cm="1">
        <f t="array" aca="1" ref="AQ18" ca="1">SUMPRODUCT(AQ$55:AQ$114,TRANSPOSE(SAP_Speadsheet!$E$68:$BL$68))</f>
        <v>#REF!</v>
      </c>
      <c r="AR18" s="365" t="e" cm="1">
        <f t="array" aca="1" ref="AR18" ca="1">SUMPRODUCT(AR$55:AR$114,TRANSPOSE(SAP_Speadsheet!$E$68:$BL$68))</f>
        <v>#REF!</v>
      </c>
      <c r="AS18" s="365" t="e" cm="1">
        <f t="array" aca="1" ref="AS18" ca="1">SUMPRODUCT(AS$55:AS$114,TRANSPOSE(SAP_Speadsheet!$E$68:$BL$68))</f>
        <v>#REF!</v>
      </c>
      <c r="AT18" s="365" t="e" cm="1">
        <f t="array" aca="1" ref="AT18" ca="1">SUMPRODUCT(AT$55:AT$114,TRANSPOSE(SAP_Speadsheet!$E$68:$BL$68))</f>
        <v>#REF!</v>
      </c>
      <c r="AU18" s="365" t="e" cm="1">
        <f t="array" aca="1" ref="AU18" ca="1">SUMPRODUCT(AU$55:AU$114,TRANSPOSE(SAP_Speadsheet!$E$68:$BL$68))</f>
        <v>#REF!</v>
      </c>
      <c r="AV18" s="365" t="e" cm="1">
        <f t="array" aca="1" ref="AV18" ca="1">SUMPRODUCT(AV$55:AV$114,TRANSPOSE(SAP_Speadsheet!$E$68:$BL$68))</f>
        <v>#REF!</v>
      </c>
      <c r="AW18" s="365" t="e" cm="1">
        <f t="array" aca="1" ref="AW18" ca="1">SUMPRODUCT(AW$55:AW$114,TRANSPOSE(SAP_Speadsheet!$E$68:$BL$68))</f>
        <v>#REF!</v>
      </c>
      <c r="AX18" s="365" t="e" cm="1">
        <f t="array" aca="1" ref="AX18" ca="1">SUMPRODUCT(AX$55:AX$114,TRANSPOSE(SAP_Speadsheet!$E$68:$BL$68))</f>
        <v>#REF!</v>
      </c>
      <c r="AY18" s="365" t="e" cm="1">
        <f t="array" aca="1" ref="AY18" ca="1">SUMPRODUCT(AY$55:AY$114,TRANSPOSE(SAP_Speadsheet!$E$68:$BL$68))</f>
        <v>#REF!</v>
      </c>
      <c r="AZ18" s="365" t="e" cm="1">
        <f t="array" aca="1" ref="AZ18" ca="1">SUMPRODUCT(AZ$55:AZ$114,TRANSPOSE(SAP_Speadsheet!$E$68:$BL$68))</f>
        <v>#REF!</v>
      </c>
      <c r="BA18" s="365" t="e" cm="1">
        <f t="array" aca="1" ref="BA18" ca="1">SUMPRODUCT(BA$55:BA$114,TRANSPOSE(SAP_Speadsheet!$E$68:$BL$68))</f>
        <v>#REF!</v>
      </c>
      <c r="BB18" s="365" t="e" cm="1">
        <f t="array" aca="1" ref="BB18" ca="1">SUMPRODUCT(BB$55:BB$114,TRANSPOSE(SAP_Speadsheet!$E$68:$BL$68))</f>
        <v>#REF!</v>
      </c>
      <c r="BC18" s="365" t="e" cm="1">
        <f t="array" aca="1" ref="BC18" ca="1">SUMPRODUCT(BC$55:BC$114,TRANSPOSE(SAP_Speadsheet!$E$68:$BL$68))</f>
        <v>#REF!</v>
      </c>
      <c r="BD18" s="365" t="e" cm="1">
        <f t="array" aca="1" ref="BD18" ca="1">SUMPRODUCT(BD$55:BD$114,TRANSPOSE(SAP_Speadsheet!$E$68:$BL$68))</f>
        <v>#REF!</v>
      </c>
      <c r="BE18" s="365" t="e" cm="1">
        <f t="array" aca="1" ref="BE18" ca="1">SUMPRODUCT(BE$55:BE$114,TRANSPOSE(SAP_Speadsheet!$E$68:$BL$68))</f>
        <v>#REF!</v>
      </c>
      <c r="BF18" s="365" t="e" cm="1">
        <f t="array" aca="1" ref="BF18" ca="1">SUMPRODUCT(BF$55:BF$114,TRANSPOSE(SAP_Speadsheet!$E$68:$BL$68))</f>
        <v>#REF!</v>
      </c>
      <c r="BG18" s="365" t="e" cm="1">
        <f t="array" aca="1" ref="BG18" ca="1">SUMPRODUCT(BG$55:BG$114,TRANSPOSE(SAP_Speadsheet!$E$68:$BL$68))</f>
        <v>#REF!</v>
      </c>
      <c r="BH18" s="365" t="e" cm="1">
        <f t="array" aca="1" ref="BH18" ca="1">SUMPRODUCT(BH$55:BH$114,TRANSPOSE(SAP_Speadsheet!$E$68:$BL$68))</f>
        <v>#REF!</v>
      </c>
      <c r="BI18" s="365" t="e" cm="1">
        <f t="array" aca="1" ref="BI18" ca="1">SUMPRODUCT(BI$55:BI$114,TRANSPOSE(SAP_Speadsheet!$E$68:$BL$68))</f>
        <v>#REF!</v>
      </c>
    </row>
    <row r="19" spans="1:61" s="353" customFormat="1" x14ac:dyDescent="0.15">
      <c r="A19" s="353" t="s">
        <v>199</v>
      </c>
      <c r="B19" s="360">
        <f t="shared" ref="B19:BI19" ca="1" si="3">B20+B24+B28+B29+B30</f>
        <v>0</v>
      </c>
      <c r="C19" s="360">
        <f t="shared" ca="1" si="3"/>
        <v>0</v>
      </c>
      <c r="D19" s="360">
        <f t="shared" ca="1" si="3"/>
        <v>0</v>
      </c>
      <c r="E19" s="360">
        <f t="shared" ca="1" si="3"/>
        <v>0</v>
      </c>
      <c r="F19" s="360">
        <f t="shared" ca="1" si="3"/>
        <v>0</v>
      </c>
      <c r="G19" s="360">
        <f t="shared" ca="1" si="3"/>
        <v>0</v>
      </c>
      <c r="H19" s="360" t="e">
        <f t="shared" ca="1" si="3"/>
        <v>#REF!</v>
      </c>
      <c r="I19" s="360" t="e">
        <f t="shared" ca="1" si="3"/>
        <v>#REF!</v>
      </c>
      <c r="J19" s="360" t="e">
        <f t="shared" ca="1" si="3"/>
        <v>#REF!</v>
      </c>
      <c r="K19" s="360" t="e">
        <f t="shared" ca="1" si="3"/>
        <v>#REF!</v>
      </c>
      <c r="L19" s="360" t="e">
        <f t="shared" ca="1" si="3"/>
        <v>#REF!</v>
      </c>
      <c r="M19" s="360" t="e">
        <f t="shared" ca="1" si="3"/>
        <v>#REF!</v>
      </c>
      <c r="N19" s="360" t="e">
        <f t="shared" ca="1" si="3"/>
        <v>#REF!</v>
      </c>
      <c r="O19" s="360" t="e">
        <f t="shared" ca="1" si="3"/>
        <v>#REF!</v>
      </c>
      <c r="P19" s="360" t="e">
        <f t="shared" ca="1" si="3"/>
        <v>#REF!</v>
      </c>
      <c r="Q19" s="360" t="e">
        <f t="shared" ca="1" si="3"/>
        <v>#REF!</v>
      </c>
      <c r="R19" s="360" t="e">
        <f t="shared" ca="1" si="3"/>
        <v>#REF!</v>
      </c>
      <c r="S19" s="360" t="e">
        <f t="shared" ca="1" si="3"/>
        <v>#REF!</v>
      </c>
      <c r="T19" s="360" t="e">
        <f t="shared" ca="1" si="3"/>
        <v>#REF!</v>
      </c>
      <c r="U19" s="360" t="e">
        <f t="shared" ca="1" si="3"/>
        <v>#REF!</v>
      </c>
      <c r="V19" s="360" t="e">
        <f t="shared" ca="1" si="3"/>
        <v>#REF!</v>
      </c>
      <c r="W19" s="360" t="e">
        <f t="shared" ca="1" si="3"/>
        <v>#REF!</v>
      </c>
      <c r="X19" s="360" t="e">
        <f t="shared" ca="1" si="3"/>
        <v>#REF!</v>
      </c>
      <c r="Y19" s="360" t="e">
        <f t="shared" ca="1" si="3"/>
        <v>#REF!</v>
      </c>
      <c r="Z19" s="360" t="e">
        <f t="shared" ca="1" si="3"/>
        <v>#REF!</v>
      </c>
      <c r="AA19" s="360" t="e">
        <f t="shared" ca="1" si="3"/>
        <v>#REF!</v>
      </c>
      <c r="AB19" s="360" t="e">
        <f t="shared" ca="1" si="3"/>
        <v>#REF!</v>
      </c>
      <c r="AC19" s="360" t="e">
        <f t="shared" ca="1" si="3"/>
        <v>#REF!</v>
      </c>
      <c r="AD19" s="360" t="e">
        <f t="shared" ca="1" si="3"/>
        <v>#REF!</v>
      </c>
      <c r="AE19" s="360" t="e">
        <f t="shared" ca="1" si="3"/>
        <v>#REF!</v>
      </c>
      <c r="AF19" s="360" t="e">
        <f t="shared" ca="1" si="3"/>
        <v>#REF!</v>
      </c>
      <c r="AG19" s="360" t="e">
        <f t="shared" ca="1" si="3"/>
        <v>#REF!</v>
      </c>
      <c r="AH19" s="360" t="e">
        <f t="shared" ca="1" si="3"/>
        <v>#REF!</v>
      </c>
      <c r="AI19" s="360" t="e">
        <f t="shared" ca="1" si="3"/>
        <v>#REF!</v>
      </c>
      <c r="AJ19" s="360" t="e">
        <f t="shared" ca="1" si="3"/>
        <v>#REF!</v>
      </c>
      <c r="AK19" s="360" t="e">
        <f t="shared" ca="1" si="3"/>
        <v>#REF!</v>
      </c>
      <c r="AL19" s="360" t="e">
        <f t="shared" ca="1" si="3"/>
        <v>#REF!</v>
      </c>
      <c r="AM19" s="360" t="e">
        <f t="shared" ca="1" si="3"/>
        <v>#REF!</v>
      </c>
      <c r="AN19" s="360" t="e">
        <f t="shared" ca="1" si="3"/>
        <v>#REF!</v>
      </c>
      <c r="AO19" s="360" t="e">
        <f t="shared" ca="1" si="3"/>
        <v>#REF!</v>
      </c>
      <c r="AP19" s="360" t="e">
        <f t="shared" ca="1" si="3"/>
        <v>#REF!</v>
      </c>
      <c r="AQ19" s="360" t="e">
        <f t="shared" ca="1" si="3"/>
        <v>#REF!</v>
      </c>
      <c r="AR19" s="360" t="e">
        <f t="shared" ca="1" si="3"/>
        <v>#REF!</v>
      </c>
      <c r="AS19" s="360" t="e">
        <f t="shared" ca="1" si="3"/>
        <v>#REF!</v>
      </c>
      <c r="AT19" s="360" t="e">
        <f t="shared" ca="1" si="3"/>
        <v>#REF!</v>
      </c>
      <c r="AU19" s="360" t="e">
        <f t="shared" ca="1" si="3"/>
        <v>#REF!</v>
      </c>
      <c r="AV19" s="360" t="e">
        <f t="shared" ca="1" si="3"/>
        <v>#REF!</v>
      </c>
      <c r="AW19" s="360" t="e">
        <f t="shared" ca="1" si="3"/>
        <v>#REF!</v>
      </c>
      <c r="AX19" s="360" t="e">
        <f t="shared" ca="1" si="3"/>
        <v>#REF!</v>
      </c>
      <c r="AY19" s="360" t="e">
        <f t="shared" ca="1" si="3"/>
        <v>#REF!</v>
      </c>
      <c r="AZ19" s="360" t="e">
        <f t="shared" ca="1" si="3"/>
        <v>#REF!</v>
      </c>
      <c r="BA19" s="360" t="e">
        <f t="shared" ca="1" si="3"/>
        <v>#REF!</v>
      </c>
      <c r="BB19" s="360" t="e">
        <f t="shared" ca="1" si="3"/>
        <v>#REF!</v>
      </c>
      <c r="BC19" s="360" t="e">
        <f t="shared" ca="1" si="3"/>
        <v>#REF!</v>
      </c>
      <c r="BD19" s="360" t="e">
        <f t="shared" ca="1" si="3"/>
        <v>#REF!</v>
      </c>
      <c r="BE19" s="360" t="e">
        <f t="shared" ca="1" si="3"/>
        <v>#REF!</v>
      </c>
      <c r="BF19" s="360" t="e">
        <f t="shared" ca="1" si="3"/>
        <v>#REF!</v>
      </c>
      <c r="BG19" s="360" t="e">
        <f t="shared" ca="1" si="3"/>
        <v>#REF!</v>
      </c>
      <c r="BH19" s="360" t="e">
        <f t="shared" ca="1" si="3"/>
        <v>#REF!</v>
      </c>
      <c r="BI19" s="360" t="e">
        <f t="shared" ca="1" si="3"/>
        <v>#REF!</v>
      </c>
    </row>
    <row r="20" spans="1:61" x14ac:dyDescent="0.15">
      <c r="A20" s="366" t="s">
        <v>455</v>
      </c>
      <c r="B20" s="360">
        <f ca="1">SUM(B21:B23)</f>
        <v>0</v>
      </c>
      <c r="C20" s="360">
        <f t="shared" ref="C20:BI20" ca="1" si="4">SUM(C21:C23)</f>
        <v>0</v>
      </c>
      <c r="D20" s="360">
        <f t="shared" ca="1" si="4"/>
        <v>0</v>
      </c>
      <c r="E20" s="360">
        <f t="shared" ca="1" si="4"/>
        <v>0</v>
      </c>
      <c r="F20" s="360">
        <f t="shared" ca="1" si="4"/>
        <v>0</v>
      </c>
      <c r="G20" s="360">
        <f t="shared" ca="1" si="4"/>
        <v>0</v>
      </c>
      <c r="H20" s="360" t="e">
        <f t="shared" ca="1" si="4"/>
        <v>#REF!</v>
      </c>
      <c r="I20" s="360" t="e">
        <f t="shared" ca="1" si="4"/>
        <v>#REF!</v>
      </c>
      <c r="J20" s="360" t="e">
        <f t="shared" ca="1" si="4"/>
        <v>#REF!</v>
      </c>
      <c r="K20" s="360" t="e">
        <f t="shared" ca="1" si="4"/>
        <v>#REF!</v>
      </c>
      <c r="L20" s="360" t="e">
        <f t="shared" ca="1" si="4"/>
        <v>#REF!</v>
      </c>
      <c r="M20" s="360" t="e">
        <f t="shared" ca="1" si="4"/>
        <v>#REF!</v>
      </c>
      <c r="N20" s="360" t="e">
        <f t="shared" ca="1" si="4"/>
        <v>#REF!</v>
      </c>
      <c r="O20" s="360" t="e">
        <f t="shared" ca="1" si="4"/>
        <v>#REF!</v>
      </c>
      <c r="P20" s="360" t="e">
        <f t="shared" ca="1" si="4"/>
        <v>#REF!</v>
      </c>
      <c r="Q20" s="360" t="e">
        <f t="shared" ca="1" si="4"/>
        <v>#REF!</v>
      </c>
      <c r="R20" s="360" t="e">
        <f t="shared" ca="1" si="4"/>
        <v>#REF!</v>
      </c>
      <c r="S20" s="360" t="e">
        <f t="shared" ca="1" si="4"/>
        <v>#REF!</v>
      </c>
      <c r="T20" s="360" t="e">
        <f t="shared" ca="1" si="4"/>
        <v>#REF!</v>
      </c>
      <c r="U20" s="360" t="e">
        <f t="shared" ca="1" si="4"/>
        <v>#REF!</v>
      </c>
      <c r="V20" s="360" t="e">
        <f t="shared" ca="1" si="4"/>
        <v>#REF!</v>
      </c>
      <c r="W20" s="360" t="e">
        <f t="shared" ca="1" si="4"/>
        <v>#REF!</v>
      </c>
      <c r="X20" s="360" t="e">
        <f t="shared" ca="1" si="4"/>
        <v>#REF!</v>
      </c>
      <c r="Y20" s="360" t="e">
        <f t="shared" ca="1" si="4"/>
        <v>#REF!</v>
      </c>
      <c r="Z20" s="360" t="e">
        <f t="shared" ca="1" si="4"/>
        <v>#REF!</v>
      </c>
      <c r="AA20" s="360" t="e">
        <f t="shared" ca="1" si="4"/>
        <v>#REF!</v>
      </c>
      <c r="AB20" s="360" t="e">
        <f t="shared" ca="1" si="4"/>
        <v>#REF!</v>
      </c>
      <c r="AC20" s="360" t="e">
        <f t="shared" ca="1" si="4"/>
        <v>#REF!</v>
      </c>
      <c r="AD20" s="360" t="e">
        <f t="shared" ca="1" si="4"/>
        <v>#REF!</v>
      </c>
      <c r="AE20" s="360" t="e">
        <f t="shared" ca="1" si="4"/>
        <v>#REF!</v>
      </c>
      <c r="AF20" s="360" t="e">
        <f t="shared" ca="1" si="4"/>
        <v>#REF!</v>
      </c>
      <c r="AG20" s="360" t="e">
        <f t="shared" ca="1" si="4"/>
        <v>#REF!</v>
      </c>
      <c r="AH20" s="360" t="e">
        <f t="shared" ca="1" si="4"/>
        <v>#REF!</v>
      </c>
      <c r="AI20" s="360" t="e">
        <f t="shared" ca="1" si="4"/>
        <v>#REF!</v>
      </c>
      <c r="AJ20" s="360" t="e">
        <f t="shared" ca="1" si="4"/>
        <v>#REF!</v>
      </c>
      <c r="AK20" s="360" t="e">
        <f t="shared" ca="1" si="4"/>
        <v>#REF!</v>
      </c>
      <c r="AL20" s="360" t="e">
        <f t="shared" ca="1" si="4"/>
        <v>#REF!</v>
      </c>
      <c r="AM20" s="360" t="e">
        <f t="shared" ca="1" si="4"/>
        <v>#REF!</v>
      </c>
      <c r="AN20" s="360" t="e">
        <f t="shared" ca="1" si="4"/>
        <v>#REF!</v>
      </c>
      <c r="AO20" s="360" t="e">
        <f t="shared" ca="1" si="4"/>
        <v>#REF!</v>
      </c>
      <c r="AP20" s="360" t="e">
        <f t="shared" ca="1" si="4"/>
        <v>#REF!</v>
      </c>
      <c r="AQ20" s="360" t="e">
        <f t="shared" ca="1" si="4"/>
        <v>#REF!</v>
      </c>
      <c r="AR20" s="360" t="e">
        <f t="shared" ca="1" si="4"/>
        <v>#REF!</v>
      </c>
      <c r="AS20" s="360" t="e">
        <f t="shared" ca="1" si="4"/>
        <v>#REF!</v>
      </c>
      <c r="AT20" s="360" t="e">
        <f t="shared" ca="1" si="4"/>
        <v>#REF!</v>
      </c>
      <c r="AU20" s="360" t="e">
        <f t="shared" ca="1" si="4"/>
        <v>#REF!</v>
      </c>
      <c r="AV20" s="360" t="e">
        <f t="shared" ca="1" si="4"/>
        <v>#REF!</v>
      </c>
      <c r="AW20" s="360" t="e">
        <f t="shared" ca="1" si="4"/>
        <v>#REF!</v>
      </c>
      <c r="AX20" s="360" t="e">
        <f t="shared" ca="1" si="4"/>
        <v>#REF!</v>
      </c>
      <c r="AY20" s="360" t="e">
        <f t="shared" ca="1" si="4"/>
        <v>#REF!</v>
      </c>
      <c r="AZ20" s="360" t="e">
        <f t="shared" ca="1" si="4"/>
        <v>#REF!</v>
      </c>
      <c r="BA20" s="360" t="e">
        <f t="shared" ca="1" si="4"/>
        <v>#REF!</v>
      </c>
      <c r="BB20" s="360" t="e">
        <f t="shared" ca="1" si="4"/>
        <v>#REF!</v>
      </c>
      <c r="BC20" s="360" t="e">
        <f t="shared" ca="1" si="4"/>
        <v>#REF!</v>
      </c>
      <c r="BD20" s="360" t="e">
        <f t="shared" ca="1" si="4"/>
        <v>#REF!</v>
      </c>
      <c r="BE20" s="360" t="e">
        <f t="shared" ca="1" si="4"/>
        <v>#REF!</v>
      </c>
      <c r="BF20" s="360" t="e">
        <f t="shared" ca="1" si="4"/>
        <v>#REF!</v>
      </c>
      <c r="BG20" s="360" t="e">
        <f t="shared" ca="1" si="4"/>
        <v>#REF!</v>
      </c>
      <c r="BH20" s="360" t="e">
        <f t="shared" ca="1" si="4"/>
        <v>#REF!</v>
      </c>
      <c r="BI20" s="360" t="e">
        <f t="shared" ca="1" si="4"/>
        <v>#REF!</v>
      </c>
    </row>
    <row r="21" spans="1:61" x14ac:dyDescent="0.15">
      <c r="A21" s="354" t="s">
        <v>218</v>
      </c>
      <c r="B21" s="365" cm="1">
        <f t="array" aca="1" ref="B21" ca="1">SUMPRODUCT(B$55:B$114,TRANSPOSE(SAP_Speadsheet!$E$73:$BL$73))</f>
        <v>0</v>
      </c>
      <c r="C21" s="365" cm="1">
        <f t="array" aca="1" ref="C21" ca="1">SUMPRODUCT(C$55:C$114,TRANSPOSE(SAP_Speadsheet!$E$73:$BL$73))</f>
        <v>0</v>
      </c>
      <c r="D21" s="365" cm="1">
        <f t="array" aca="1" ref="D21" ca="1">SUMPRODUCT(D$55:D$114,TRANSPOSE(SAP_Speadsheet!$E$73:$BL$73))</f>
        <v>0</v>
      </c>
      <c r="E21" s="365" cm="1">
        <f t="array" aca="1" ref="E21" ca="1">SUMPRODUCT(E$55:E$114,TRANSPOSE(SAP_Speadsheet!$E$73:$BL$73))</f>
        <v>0</v>
      </c>
      <c r="F21" s="365" cm="1">
        <f t="array" aca="1" ref="F21" ca="1">SUMPRODUCT(F$55:F$114,TRANSPOSE(SAP_Speadsheet!$E$73:$BL$73))</f>
        <v>0</v>
      </c>
      <c r="G21" s="365" cm="1">
        <f t="array" aca="1" ref="G21" ca="1">SUMPRODUCT(G$55:G$114,TRANSPOSE(SAP_Speadsheet!$E$73:$BL$73))</f>
        <v>0</v>
      </c>
      <c r="H21" s="365" t="e" cm="1">
        <f t="array" aca="1" ref="H21" ca="1">SUMPRODUCT(H$55:H$114,TRANSPOSE(SAP_Speadsheet!$E$73:$BL$73))</f>
        <v>#REF!</v>
      </c>
      <c r="I21" s="365" t="e" cm="1">
        <f t="array" aca="1" ref="I21" ca="1">SUMPRODUCT(I$55:I$114,TRANSPOSE(SAP_Speadsheet!$E$73:$BL$73))</f>
        <v>#REF!</v>
      </c>
      <c r="J21" s="365" t="e" cm="1">
        <f t="array" aca="1" ref="J21" ca="1">SUMPRODUCT(J$55:J$114,TRANSPOSE(SAP_Speadsheet!$E$73:$BL$73))</f>
        <v>#REF!</v>
      </c>
      <c r="K21" s="365" t="e" cm="1">
        <f t="array" aca="1" ref="K21" ca="1">SUMPRODUCT(K$55:K$114,TRANSPOSE(SAP_Speadsheet!$E$73:$BL$73))</f>
        <v>#REF!</v>
      </c>
      <c r="L21" s="365" t="e" cm="1">
        <f t="array" aca="1" ref="L21" ca="1">SUMPRODUCT(L$55:L$114,TRANSPOSE(SAP_Speadsheet!$E$73:$BL$73))</f>
        <v>#REF!</v>
      </c>
      <c r="M21" s="365" t="e" cm="1">
        <f t="array" aca="1" ref="M21" ca="1">SUMPRODUCT(M$55:M$114,TRANSPOSE(SAP_Speadsheet!$E$73:$BL$73))</f>
        <v>#REF!</v>
      </c>
      <c r="N21" s="365" t="e" cm="1">
        <f t="array" aca="1" ref="N21" ca="1">SUMPRODUCT(N$55:N$114,TRANSPOSE(SAP_Speadsheet!$E$73:$BL$73))</f>
        <v>#REF!</v>
      </c>
      <c r="O21" s="365" t="e" cm="1">
        <f t="array" aca="1" ref="O21" ca="1">SUMPRODUCT(O$55:O$114,TRANSPOSE(SAP_Speadsheet!$E$73:$BL$73))</f>
        <v>#REF!</v>
      </c>
      <c r="P21" s="365" t="e" cm="1">
        <f t="array" aca="1" ref="P21" ca="1">SUMPRODUCT(P$55:P$114,TRANSPOSE(SAP_Speadsheet!$E$73:$BL$73))</f>
        <v>#REF!</v>
      </c>
      <c r="Q21" s="365" t="e" cm="1">
        <f t="array" aca="1" ref="Q21" ca="1">SUMPRODUCT(Q$55:Q$114,TRANSPOSE(SAP_Speadsheet!$E$73:$BL$73))</f>
        <v>#REF!</v>
      </c>
      <c r="R21" s="365" t="e" cm="1">
        <f t="array" aca="1" ref="R21" ca="1">SUMPRODUCT(R$55:R$114,TRANSPOSE(SAP_Speadsheet!$E$73:$BL$73))</f>
        <v>#REF!</v>
      </c>
      <c r="S21" s="365" t="e" cm="1">
        <f t="array" aca="1" ref="S21" ca="1">SUMPRODUCT(S$55:S$114,TRANSPOSE(SAP_Speadsheet!$E$73:$BL$73))</f>
        <v>#REF!</v>
      </c>
      <c r="T21" s="365" t="e" cm="1">
        <f t="array" aca="1" ref="T21" ca="1">SUMPRODUCT(T$55:T$114,TRANSPOSE(SAP_Speadsheet!$E$73:$BL$73))</f>
        <v>#REF!</v>
      </c>
      <c r="U21" s="365" t="e" cm="1">
        <f t="array" aca="1" ref="U21" ca="1">SUMPRODUCT(U$55:U$114,TRANSPOSE(SAP_Speadsheet!$E$73:$BL$73))</f>
        <v>#REF!</v>
      </c>
      <c r="V21" s="365" t="e" cm="1">
        <f t="array" aca="1" ref="V21" ca="1">SUMPRODUCT(V$55:V$114,TRANSPOSE(SAP_Speadsheet!$E$73:$BL$73))</f>
        <v>#REF!</v>
      </c>
      <c r="W21" s="365" t="e" cm="1">
        <f t="array" aca="1" ref="W21" ca="1">SUMPRODUCT(W$55:W$114,TRANSPOSE(SAP_Speadsheet!$E$73:$BL$73))</f>
        <v>#REF!</v>
      </c>
      <c r="X21" s="365" t="e" cm="1">
        <f t="array" aca="1" ref="X21" ca="1">SUMPRODUCT(X$55:X$114,TRANSPOSE(SAP_Speadsheet!$E$73:$BL$73))</f>
        <v>#REF!</v>
      </c>
      <c r="Y21" s="365" t="e" cm="1">
        <f t="array" aca="1" ref="Y21" ca="1">SUMPRODUCT(Y$55:Y$114,TRANSPOSE(SAP_Speadsheet!$E$73:$BL$73))</f>
        <v>#REF!</v>
      </c>
      <c r="Z21" s="365" t="e" cm="1">
        <f t="array" aca="1" ref="Z21" ca="1">SUMPRODUCT(Z$55:Z$114,TRANSPOSE(SAP_Speadsheet!$E$73:$BL$73))</f>
        <v>#REF!</v>
      </c>
      <c r="AA21" s="365" t="e" cm="1">
        <f t="array" aca="1" ref="AA21" ca="1">SUMPRODUCT(AA$55:AA$114,TRANSPOSE(SAP_Speadsheet!$E$73:$BL$73))</f>
        <v>#REF!</v>
      </c>
      <c r="AB21" s="365" t="e" cm="1">
        <f t="array" aca="1" ref="AB21" ca="1">SUMPRODUCT(AB$55:AB$114,TRANSPOSE(SAP_Speadsheet!$E$73:$BL$73))</f>
        <v>#REF!</v>
      </c>
      <c r="AC21" s="365" t="e" cm="1">
        <f t="array" aca="1" ref="AC21" ca="1">SUMPRODUCT(AC$55:AC$114,TRANSPOSE(SAP_Speadsheet!$E$73:$BL$73))</f>
        <v>#REF!</v>
      </c>
      <c r="AD21" s="365" t="e" cm="1">
        <f t="array" aca="1" ref="AD21" ca="1">SUMPRODUCT(AD$55:AD$114,TRANSPOSE(SAP_Speadsheet!$E$73:$BL$73))</f>
        <v>#REF!</v>
      </c>
      <c r="AE21" s="365" t="e" cm="1">
        <f t="array" aca="1" ref="AE21" ca="1">SUMPRODUCT(AE$55:AE$114,TRANSPOSE(SAP_Speadsheet!$E$73:$BL$73))</f>
        <v>#REF!</v>
      </c>
      <c r="AF21" s="365" t="e" cm="1">
        <f t="array" aca="1" ref="AF21" ca="1">SUMPRODUCT(AF$55:AF$114,TRANSPOSE(SAP_Speadsheet!$E$73:$BL$73))</f>
        <v>#REF!</v>
      </c>
      <c r="AG21" s="365" t="e" cm="1">
        <f t="array" aca="1" ref="AG21" ca="1">SUMPRODUCT(AG$55:AG$114,TRANSPOSE(SAP_Speadsheet!$E$73:$BL$73))</f>
        <v>#REF!</v>
      </c>
      <c r="AH21" s="365" t="e" cm="1">
        <f t="array" aca="1" ref="AH21" ca="1">SUMPRODUCT(AH$55:AH$114,TRANSPOSE(SAP_Speadsheet!$E$73:$BL$73))</f>
        <v>#REF!</v>
      </c>
      <c r="AI21" s="365" t="e" cm="1">
        <f t="array" aca="1" ref="AI21" ca="1">SUMPRODUCT(AI$55:AI$114,TRANSPOSE(SAP_Speadsheet!$E$73:$BL$73))</f>
        <v>#REF!</v>
      </c>
      <c r="AJ21" s="365" t="e" cm="1">
        <f t="array" aca="1" ref="AJ21" ca="1">SUMPRODUCT(AJ$55:AJ$114,TRANSPOSE(SAP_Speadsheet!$E$73:$BL$73))</f>
        <v>#REF!</v>
      </c>
      <c r="AK21" s="365" t="e" cm="1">
        <f t="array" aca="1" ref="AK21" ca="1">SUMPRODUCT(AK$55:AK$114,TRANSPOSE(SAP_Speadsheet!$E$73:$BL$73))</f>
        <v>#REF!</v>
      </c>
      <c r="AL21" s="365" t="e" cm="1">
        <f t="array" aca="1" ref="AL21" ca="1">SUMPRODUCT(AL$55:AL$114,TRANSPOSE(SAP_Speadsheet!$E$73:$BL$73))</f>
        <v>#REF!</v>
      </c>
      <c r="AM21" s="365" t="e" cm="1">
        <f t="array" aca="1" ref="AM21" ca="1">SUMPRODUCT(AM$55:AM$114,TRANSPOSE(SAP_Speadsheet!$E$73:$BL$73))</f>
        <v>#REF!</v>
      </c>
      <c r="AN21" s="365" t="e" cm="1">
        <f t="array" aca="1" ref="AN21" ca="1">SUMPRODUCT(AN$55:AN$114,TRANSPOSE(SAP_Speadsheet!$E$73:$BL$73))</f>
        <v>#REF!</v>
      </c>
      <c r="AO21" s="365" t="e" cm="1">
        <f t="array" aca="1" ref="AO21" ca="1">SUMPRODUCT(AO$55:AO$114,TRANSPOSE(SAP_Speadsheet!$E$73:$BL$73))</f>
        <v>#REF!</v>
      </c>
      <c r="AP21" s="365" t="e" cm="1">
        <f t="array" aca="1" ref="AP21" ca="1">SUMPRODUCT(AP$55:AP$114,TRANSPOSE(SAP_Speadsheet!$E$73:$BL$73))</f>
        <v>#REF!</v>
      </c>
      <c r="AQ21" s="365" t="e" cm="1">
        <f t="array" aca="1" ref="AQ21" ca="1">SUMPRODUCT(AQ$55:AQ$114,TRANSPOSE(SAP_Speadsheet!$E$73:$BL$73))</f>
        <v>#REF!</v>
      </c>
      <c r="AR21" s="365" t="e" cm="1">
        <f t="array" aca="1" ref="AR21" ca="1">SUMPRODUCT(AR$55:AR$114,TRANSPOSE(SAP_Speadsheet!$E$73:$BL$73))</f>
        <v>#REF!</v>
      </c>
      <c r="AS21" s="365" t="e" cm="1">
        <f t="array" aca="1" ref="AS21" ca="1">SUMPRODUCT(AS$55:AS$114,TRANSPOSE(SAP_Speadsheet!$E$73:$BL$73))</f>
        <v>#REF!</v>
      </c>
      <c r="AT21" s="365" t="e" cm="1">
        <f t="array" aca="1" ref="AT21" ca="1">SUMPRODUCT(AT$55:AT$114,TRANSPOSE(SAP_Speadsheet!$E$73:$BL$73))</f>
        <v>#REF!</v>
      </c>
      <c r="AU21" s="365" t="e" cm="1">
        <f t="array" aca="1" ref="AU21" ca="1">SUMPRODUCT(AU$55:AU$114,TRANSPOSE(SAP_Speadsheet!$E$73:$BL$73))</f>
        <v>#REF!</v>
      </c>
      <c r="AV21" s="365" t="e" cm="1">
        <f t="array" aca="1" ref="AV21" ca="1">SUMPRODUCT(AV$55:AV$114,TRANSPOSE(SAP_Speadsheet!$E$73:$BL$73))</f>
        <v>#REF!</v>
      </c>
      <c r="AW21" s="365" t="e" cm="1">
        <f t="array" aca="1" ref="AW21" ca="1">SUMPRODUCT(AW$55:AW$114,TRANSPOSE(SAP_Speadsheet!$E$73:$BL$73))</f>
        <v>#REF!</v>
      </c>
      <c r="AX21" s="365" t="e" cm="1">
        <f t="array" aca="1" ref="AX21" ca="1">SUMPRODUCT(AX$55:AX$114,TRANSPOSE(SAP_Speadsheet!$E$73:$BL$73))</f>
        <v>#REF!</v>
      </c>
      <c r="AY21" s="365" t="e" cm="1">
        <f t="array" aca="1" ref="AY21" ca="1">SUMPRODUCT(AY$55:AY$114,TRANSPOSE(SAP_Speadsheet!$E$73:$BL$73))</f>
        <v>#REF!</v>
      </c>
      <c r="AZ21" s="365" t="e" cm="1">
        <f t="array" aca="1" ref="AZ21" ca="1">SUMPRODUCT(AZ$55:AZ$114,TRANSPOSE(SAP_Speadsheet!$E$73:$BL$73))</f>
        <v>#REF!</v>
      </c>
      <c r="BA21" s="365" t="e" cm="1">
        <f t="array" aca="1" ref="BA21" ca="1">SUMPRODUCT(BA$55:BA$114,TRANSPOSE(SAP_Speadsheet!$E$73:$BL$73))</f>
        <v>#REF!</v>
      </c>
      <c r="BB21" s="365" t="e" cm="1">
        <f t="array" aca="1" ref="BB21" ca="1">SUMPRODUCT(BB$55:BB$114,TRANSPOSE(SAP_Speadsheet!$E$73:$BL$73))</f>
        <v>#REF!</v>
      </c>
      <c r="BC21" s="365" t="e" cm="1">
        <f t="array" aca="1" ref="BC21" ca="1">SUMPRODUCT(BC$55:BC$114,TRANSPOSE(SAP_Speadsheet!$E$73:$BL$73))</f>
        <v>#REF!</v>
      </c>
      <c r="BD21" s="365" t="e" cm="1">
        <f t="array" aca="1" ref="BD21" ca="1">SUMPRODUCT(BD$55:BD$114,TRANSPOSE(SAP_Speadsheet!$E$73:$BL$73))</f>
        <v>#REF!</v>
      </c>
      <c r="BE21" s="365" t="e" cm="1">
        <f t="array" aca="1" ref="BE21" ca="1">SUMPRODUCT(BE$55:BE$114,TRANSPOSE(SAP_Speadsheet!$E$73:$BL$73))</f>
        <v>#REF!</v>
      </c>
      <c r="BF21" s="365" t="e" cm="1">
        <f t="array" aca="1" ref="BF21" ca="1">SUMPRODUCT(BF$55:BF$114,TRANSPOSE(SAP_Speadsheet!$E$73:$BL$73))</f>
        <v>#REF!</v>
      </c>
      <c r="BG21" s="365" t="e" cm="1">
        <f t="array" aca="1" ref="BG21" ca="1">SUMPRODUCT(BG$55:BG$114,TRANSPOSE(SAP_Speadsheet!$E$73:$BL$73))</f>
        <v>#REF!</v>
      </c>
      <c r="BH21" s="365" t="e" cm="1">
        <f t="array" aca="1" ref="BH21" ca="1">SUMPRODUCT(BH$55:BH$114,TRANSPOSE(SAP_Speadsheet!$E$73:$BL$73))</f>
        <v>#REF!</v>
      </c>
      <c r="BI21" s="365" t="e" cm="1">
        <f t="array" aca="1" ref="BI21" ca="1">SUMPRODUCT(BI$55:BI$114,TRANSPOSE(SAP_Speadsheet!$E$73:$BL$73))</f>
        <v>#REF!</v>
      </c>
    </row>
    <row r="22" spans="1:61" x14ac:dyDescent="0.15">
      <c r="A22" s="354" t="s">
        <v>220</v>
      </c>
      <c r="B22" s="365" cm="1">
        <f t="array" aca="1" ref="B22" ca="1">SUMPRODUCT(B$55:B$114,TRANSPOSE(SAP_Speadsheet!$E$74:$BL$74))</f>
        <v>0</v>
      </c>
      <c r="C22" s="365" cm="1">
        <f t="array" aca="1" ref="C22" ca="1">SUMPRODUCT(C$55:C$114,TRANSPOSE(SAP_Speadsheet!$E$74:$BL$74))</f>
        <v>0</v>
      </c>
      <c r="D22" s="365" cm="1">
        <f t="array" aca="1" ref="D22" ca="1">SUMPRODUCT(D$55:D$114,TRANSPOSE(SAP_Speadsheet!$E$74:$BL$74))</f>
        <v>0</v>
      </c>
      <c r="E22" s="365" cm="1">
        <f t="array" aca="1" ref="E22" ca="1">SUMPRODUCT(E$55:E$114,TRANSPOSE(SAP_Speadsheet!$E$74:$BL$74))</f>
        <v>0</v>
      </c>
      <c r="F22" s="365" cm="1">
        <f t="array" aca="1" ref="F22" ca="1">SUMPRODUCT(F$55:F$114,TRANSPOSE(SAP_Speadsheet!$E$74:$BL$74))</f>
        <v>0</v>
      </c>
      <c r="G22" s="365" cm="1">
        <f t="array" aca="1" ref="G22" ca="1">SUMPRODUCT(G$55:G$114,TRANSPOSE(SAP_Speadsheet!$E$74:$BL$74))</f>
        <v>0</v>
      </c>
      <c r="H22" s="365" t="e" cm="1">
        <f t="array" aca="1" ref="H22" ca="1">SUMPRODUCT(H$55:H$114,TRANSPOSE(SAP_Speadsheet!$E$74:$BL$74))</f>
        <v>#REF!</v>
      </c>
      <c r="I22" s="365" t="e" cm="1">
        <f t="array" aca="1" ref="I22" ca="1">SUMPRODUCT(I$55:I$114,TRANSPOSE(SAP_Speadsheet!$E$74:$BL$74))</f>
        <v>#REF!</v>
      </c>
      <c r="J22" s="365" t="e" cm="1">
        <f t="array" aca="1" ref="J22" ca="1">SUMPRODUCT(J$55:J$114,TRANSPOSE(SAP_Speadsheet!$E$74:$BL$74))</f>
        <v>#REF!</v>
      </c>
      <c r="K22" s="365" t="e" cm="1">
        <f t="array" aca="1" ref="K22" ca="1">SUMPRODUCT(K$55:K$114,TRANSPOSE(SAP_Speadsheet!$E$74:$BL$74))</f>
        <v>#REF!</v>
      </c>
      <c r="L22" s="365" t="e" cm="1">
        <f t="array" aca="1" ref="L22" ca="1">SUMPRODUCT(L$55:L$114,TRANSPOSE(SAP_Speadsheet!$E$74:$BL$74))</f>
        <v>#REF!</v>
      </c>
      <c r="M22" s="365" t="e" cm="1">
        <f t="array" aca="1" ref="M22" ca="1">SUMPRODUCT(M$55:M$114,TRANSPOSE(SAP_Speadsheet!$E$74:$BL$74))</f>
        <v>#REF!</v>
      </c>
      <c r="N22" s="365" t="e" cm="1">
        <f t="array" aca="1" ref="N22" ca="1">SUMPRODUCT(N$55:N$114,TRANSPOSE(SAP_Speadsheet!$E$74:$BL$74))</f>
        <v>#REF!</v>
      </c>
      <c r="O22" s="365" t="e" cm="1">
        <f t="array" aca="1" ref="O22" ca="1">SUMPRODUCT(O$55:O$114,TRANSPOSE(SAP_Speadsheet!$E$74:$BL$74))</f>
        <v>#REF!</v>
      </c>
      <c r="P22" s="365" t="e" cm="1">
        <f t="array" aca="1" ref="P22" ca="1">SUMPRODUCT(P$55:P$114,TRANSPOSE(SAP_Speadsheet!$E$74:$BL$74))</f>
        <v>#REF!</v>
      </c>
      <c r="Q22" s="365" t="e" cm="1">
        <f t="array" aca="1" ref="Q22" ca="1">SUMPRODUCT(Q$55:Q$114,TRANSPOSE(SAP_Speadsheet!$E$74:$BL$74))</f>
        <v>#REF!</v>
      </c>
      <c r="R22" s="365" t="e" cm="1">
        <f t="array" aca="1" ref="R22" ca="1">SUMPRODUCT(R$55:R$114,TRANSPOSE(SAP_Speadsheet!$E$74:$BL$74))</f>
        <v>#REF!</v>
      </c>
      <c r="S22" s="365" t="e" cm="1">
        <f t="array" aca="1" ref="S22" ca="1">SUMPRODUCT(S$55:S$114,TRANSPOSE(SAP_Speadsheet!$E$74:$BL$74))</f>
        <v>#REF!</v>
      </c>
      <c r="T22" s="365" t="e" cm="1">
        <f t="array" aca="1" ref="T22" ca="1">SUMPRODUCT(T$55:T$114,TRANSPOSE(SAP_Speadsheet!$E$74:$BL$74))</f>
        <v>#REF!</v>
      </c>
      <c r="U22" s="365" t="e" cm="1">
        <f t="array" aca="1" ref="U22" ca="1">SUMPRODUCT(U$55:U$114,TRANSPOSE(SAP_Speadsheet!$E$74:$BL$74))</f>
        <v>#REF!</v>
      </c>
      <c r="V22" s="365" t="e" cm="1">
        <f t="array" aca="1" ref="V22" ca="1">SUMPRODUCT(V$55:V$114,TRANSPOSE(SAP_Speadsheet!$E$74:$BL$74))</f>
        <v>#REF!</v>
      </c>
      <c r="W22" s="365" t="e" cm="1">
        <f t="array" aca="1" ref="W22" ca="1">SUMPRODUCT(W$55:W$114,TRANSPOSE(SAP_Speadsheet!$E$74:$BL$74))</f>
        <v>#REF!</v>
      </c>
      <c r="X22" s="365" t="e" cm="1">
        <f t="array" aca="1" ref="X22" ca="1">SUMPRODUCT(X$55:X$114,TRANSPOSE(SAP_Speadsheet!$E$74:$BL$74))</f>
        <v>#REF!</v>
      </c>
      <c r="Y22" s="365" t="e" cm="1">
        <f t="array" aca="1" ref="Y22" ca="1">SUMPRODUCT(Y$55:Y$114,TRANSPOSE(SAP_Speadsheet!$E$74:$BL$74))</f>
        <v>#REF!</v>
      </c>
      <c r="Z22" s="365" t="e" cm="1">
        <f t="array" aca="1" ref="Z22" ca="1">SUMPRODUCT(Z$55:Z$114,TRANSPOSE(SAP_Speadsheet!$E$74:$BL$74))</f>
        <v>#REF!</v>
      </c>
      <c r="AA22" s="365" t="e" cm="1">
        <f t="array" aca="1" ref="AA22" ca="1">SUMPRODUCT(AA$55:AA$114,TRANSPOSE(SAP_Speadsheet!$E$74:$BL$74))</f>
        <v>#REF!</v>
      </c>
      <c r="AB22" s="365" t="e" cm="1">
        <f t="array" aca="1" ref="AB22" ca="1">SUMPRODUCT(AB$55:AB$114,TRANSPOSE(SAP_Speadsheet!$E$74:$BL$74))</f>
        <v>#REF!</v>
      </c>
      <c r="AC22" s="365" t="e" cm="1">
        <f t="array" aca="1" ref="AC22" ca="1">SUMPRODUCT(AC$55:AC$114,TRANSPOSE(SAP_Speadsheet!$E$74:$BL$74))</f>
        <v>#REF!</v>
      </c>
      <c r="AD22" s="365" t="e" cm="1">
        <f t="array" aca="1" ref="AD22" ca="1">SUMPRODUCT(AD$55:AD$114,TRANSPOSE(SAP_Speadsheet!$E$74:$BL$74))</f>
        <v>#REF!</v>
      </c>
      <c r="AE22" s="365" t="e" cm="1">
        <f t="array" aca="1" ref="AE22" ca="1">SUMPRODUCT(AE$55:AE$114,TRANSPOSE(SAP_Speadsheet!$E$74:$BL$74))</f>
        <v>#REF!</v>
      </c>
      <c r="AF22" s="365" t="e" cm="1">
        <f t="array" aca="1" ref="AF22" ca="1">SUMPRODUCT(AF$55:AF$114,TRANSPOSE(SAP_Speadsheet!$E$74:$BL$74))</f>
        <v>#REF!</v>
      </c>
      <c r="AG22" s="365" t="e" cm="1">
        <f t="array" aca="1" ref="AG22" ca="1">SUMPRODUCT(AG$55:AG$114,TRANSPOSE(SAP_Speadsheet!$E$74:$BL$74))</f>
        <v>#REF!</v>
      </c>
      <c r="AH22" s="365" t="e" cm="1">
        <f t="array" aca="1" ref="AH22" ca="1">SUMPRODUCT(AH$55:AH$114,TRANSPOSE(SAP_Speadsheet!$E$74:$BL$74))</f>
        <v>#REF!</v>
      </c>
      <c r="AI22" s="365" t="e" cm="1">
        <f t="array" aca="1" ref="AI22" ca="1">SUMPRODUCT(AI$55:AI$114,TRANSPOSE(SAP_Speadsheet!$E$74:$BL$74))</f>
        <v>#REF!</v>
      </c>
      <c r="AJ22" s="365" t="e" cm="1">
        <f t="array" aca="1" ref="AJ22" ca="1">SUMPRODUCT(AJ$55:AJ$114,TRANSPOSE(SAP_Speadsheet!$E$74:$BL$74))</f>
        <v>#REF!</v>
      </c>
      <c r="AK22" s="365" t="e" cm="1">
        <f t="array" aca="1" ref="AK22" ca="1">SUMPRODUCT(AK$55:AK$114,TRANSPOSE(SAP_Speadsheet!$E$74:$BL$74))</f>
        <v>#REF!</v>
      </c>
      <c r="AL22" s="365" t="e" cm="1">
        <f t="array" aca="1" ref="AL22" ca="1">SUMPRODUCT(AL$55:AL$114,TRANSPOSE(SAP_Speadsheet!$E$74:$BL$74))</f>
        <v>#REF!</v>
      </c>
      <c r="AM22" s="365" t="e" cm="1">
        <f t="array" aca="1" ref="AM22" ca="1">SUMPRODUCT(AM$55:AM$114,TRANSPOSE(SAP_Speadsheet!$E$74:$BL$74))</f>
        <v>#REF!</v>
      </c>
      <c r="AN22" s="365" t="e" cm="1">
        <f t="array" aca="1" ref="AN22" ca="1">SUMPRODUCT(AN$55:AN$114,TRANSPOSE(SAP_Speadsheet!$E$74:$BL$74))</f>
        <v>#REF!</v>
      </c>
      <c r="AO22" s="365" t="e" cm="1">
        <f t="array" aca="1" ref="AO22" ca="1">SUMPRODUCT(AO$55:AO$114,TRANSPOSE(SAP_Speadsheet!$E$74:$BL$74))</f>
        <v>#REF!</v>
      </c>
      <c r="AP22" s="365" t="e" cm="1">
        <f t="array" aca="1" ref="AP22" ca="1">SUMPRODUCT(AP$55:AP$114,TRANSPOSE(SAP_Speadsheet!$E$74:$BL$74))</f>
        <v>#REF!</v>
      </c>
      <c r="AQ22" s="365" t="e" cm="1">
        <f t="array" aca="1" ref="AQ22" ca="1">SUMPRODUCT(AQ$55:AQ$114,TRANSPOSE(SAP_Speadsheet!$E$74:$BL$74))</f>
        <v>#REF!</v>
      </c>
      <c r="AR22" s="365" t="e" cm="1">
        <f t="array" aca="1" ref="AR22" ca="1">SUMPRODUCT(AR$55:AR$114,TRANSPOSE(SAP_Speadsheet!$E$74:$BL$74))</f>
        <v>#REF!</v>
      </c>
      <c r="AS22" s="365" t="e" cm="1">
        <f t="array" aca="1" ref="AS22" ca="1">SUMPRODUCT(AS$55:AS$114,TRANSPOSE(SAP_Speadsheet!$E$74:$BL$74))</f>
        <v>#REF!</v>
      </c>
      <c r="AT22" s="365" t="e" cm="1">
        <f t="array" aca="1" ref="AT22" ca="1">SUMPRODUCT(AT$55:AT$114,TRANSPOSE(SAP_Speadsheet!$E$74:$BL$74))</f>
        <v>#REF!</v>
      </c>
      <c r="AU22" s="365" t="e" cm="1">
        <f t="array" aca="1" ref="AU22" ca="1">SUMPRODUCT(AU$55:AU$114,TRANSPOSE(SAP_Speadsheet!$E$74:$BL$74))</f>
        <v>#REF!</v>
      </c>
      <c r="AV22" s="365" t="e" cm="1">
        <f t="array" aca="1" ref="AV22" ca="1">SUMPRODUCT(AV$55:AV$114,TRANSPOSE(SAP_Speadsheet!$E$74:$BL$74))</f>
        <v>#REF!</v>
      </c>
      <c r="AW22" s="365" t="e" cm="1">
        <f t="array" aca="1" ref="AW22" ca="1">SUMPRODUCT(AW$55:AW$114,TRANSPOSE(SAP_Speadsheet!$E$74:$BL$74))</f>
        <v>#REF!</v>
      </c>
      <c r="AX22" s="365" t="e" cm="1">
        <f t="array" aca="1" ref="AX22" ca="1">SUMPRODUCT(AX$55:AX$114,TRANSPOSE(SAP_Speadsheet!$E$74:$BL$74))</f>
        <v>#REF!</v>
      </c>
      <c r="AY22" s="365" t="e" cm="1">
        <f t="array" aca="1" ref="AY22" ca="1">SUMPRODUCT(AY$55:AY$114,TRANSPOSE(SAP_Speadsheet!$E$74:$BL$74))</f>
        <v>#REF!</v>
      </c>
      <c r="AZ22" s="365" t="e" cm="1">
        <f t="array" aca="1" ref="AZ22" ca="1">SUMPRODUCT(AZ$55:AZ$114,TRANSPOSE(SAP_Speadsheet!$E$74:$BL$74))</f>
        <v>#REF!</v>
      </c>
      <c r="BA22" s="365" t="e" cm="1">
        <f t="array" aca="1" ref="BA22" ca="1">SUMPRODUCT(BA$55:BA$114,TRANSPOSE(SAP_Speadsheet!$E$74:$BL$74))</f>
        <v>#REF!</v>
      </c>
      <c r="BB22" s="365" t="e" cm="1">
        <f t="array" aca="1" ref="BB22" ca="1">SUMPRODUCT(BB$55:BB$114,TRANSPOSE(SAP_Speadsheet!$E$74:$BL$74))</f>
        <v>#REF!</v>
      </c>
      <c r="BC22" s="365" t="e" cm="1">
        <f t="array" aca="1" ref="BC22" ca="1">SUMPRODUCT(BC$55:BC$114,TRANSPOSE(SAP_Speadsheet!$E$74:$BL$74))</f>
        <v>#REF!</v>
      </c>
      <c r="BD22" s="365" t="e" cm="1">
        <f t="array" aca="1" ref="BD22" ca="1">SUMPRODUCT(BD$55:BD$114,TRANSPOSE(SAP_Speadsheet!$E$74:$BL$74))</f>
        <v>#REF!</v>
      </c>
      <c r="BE22" s="365" t="e" cm="1">
        <f t="array" aca="1" ref="BE22" ca="1">SUMPRODUCT(BE$55:BE$114,TRANSPOSE(SAP_Speadsheet!$E$74:$BL$74))</f>
        <v>#REF!</v>
      </c>
      <c r="BF22" s="365" t="e" cm="1">
        <f t="array" aca="1" ref="BF22" ca="1">SUMPRODUCT(BF$55:BF$114,TRANSPOSE(SAP_Speadsheet!$E$74:$BL$74))</f>
        <v>#REF!</v>
      </c>
      <c r="BG22" s="365" t="e" cm="1">
        <f t="array" aca="1" ref="BG22" ca="1">SUMPRODUCT(BG$55:BG$114,TRANSPOSE(SAP_Speadsheet!$E$74:$BL$74))</f>
        <v>#REF!</v>
      </c>
      <c r="BH22" s="365" t="e" cm="1">
        <f t="array" aca="1" ref="BH22" ca="1">SUMPRODUCT(BH$55:BH$114,TRANSPOSE(SAP_Speadsheet!$E$74:$BL$74))</f>
        <v>#REF!</v>
      </c>
      <c r="BI22" s="365" t="e" cm="1">
        <f t="array" aca="1" ref="BI22" ca="1">SUMPRODUCT(BI$55:BI$114,TRANSPOSE(SAP_Speadsheet!$E$74:$BL$74))</f>
        <v>#REF!</v>
      </c>
    </row>
    <row r="23" spans="1:61" s="353" customFormat="1" x14ac:dyDescent="0.15">
      <c r="A23" s="354" t="s">
        <v>221</v>
      </c>
      <c r="B23" s="365" cm="1">
        <f t="array" aca="1" ref="B23" ca="1">SUMPRODUCT(B$55:B$114,TRANSPOSE(SAP_Speadsheet!$E$86:$BL$86))</f>
        <v>0</v>
      </c>
      <c r="C23" s="365" cm="1">
        <f t="array" aca="1" ref="C23" ca="1">SUMPRODUCT(C$55:C$114,TRANSPOSE(SAP_Speadsheet!$E$86:$BL$86))</f>
        <v>0</v>
      </c>
      <c r="D23" s="365" cm="1">
        <f t="array" aca="1" ref="D23" ca="1">SUMPRODUCT(D$55:D$114,TRANSPOSE(SAP_Speadsheet!$E$86:$BL$86))</f>
        <v>0</v>
      </c>
      <c r="E23" s="365" cm="1">
        <f t="array" aca="1" ref="E23" ca="1">SUMPRODUCT(E$55:E$114,TRANSPOSE(SAP_Speadsheet!$E$86:$BL$86))</f>
        <v>0</v>
      </c>
      <c r="F23" s="365" cm="1">
        <f t="array" aca="1" ref="F23" ca="1">SUMPRODUCT(F$55:F$114,TRANSPOSE(SAP_Speadsheet!$E$86:$BL$86))</f>
        <v>0</v>
      </c>
      <c r="G23" s="365" cm="1">
        <f t="array" aca="1" ref="G23" ca="1">SUMPRODUCT(G$55:G$114,TRANSPOSE(SAP_Speadsheet!$E$86:$BL$86))</f>
        <v>0</v>
      </c>
      <c r="H23" s="365" t="e" cm="1">
        <f t="array" aca="1" ref="H23" ca="1">SUMPRODUCT(H$55:H$114,TRANSPOSE(SAP_Speadsheet!$E$86:$BL$86))</f>
        <v>#REF!</v>
      </c>
      <c r="I23" s="365" t="e" cm="1">
        <f t="array" aca="1" ref="I23" ca="1">SUMPRODUCT(I$55:I$114,TRANSPOSE(SAP_Speadsheet!$E$86:$BL$86))</f>
        <v>#REF!</v>
      </c>
      <c r="J23" s="365" t="e" cm="1">
        <f t="array" aca="1" ref="J23" ca="1">SUMPRODUCT(J$55:J$114,TRANSPOSE(SAP_Speadsheet!$E$86:$BL$86))</f>
        <v>#REF!</v>
      </c>
      <c r="K23" s="365" t="e" cm="1">
        <f t="array" aca="1" ref="K23" ca="1">SUMPRODUCT(K$55:K$114,TRANSPOSE(SAP_Speadsheet!$E$86:$BL$86))</f>
        <v>#REF!</v>
      </c>
      <c r="L23" s="365" t="e" cm="1">
        <f t="array" aca="1" ref="L23" ca="1">SUMPRODUCT(L$55:L$114,TRANSPOSE(SAP_Speadsheet!$E$86:$BL$86))</f>
        <v>#REF!</v>
      </c>
      <c r="M23" s="365" t="e" cm="1">
        <f t="array" aca="1" ref="M23" ca="1">SUMPRODUCT(M$55:M$114,TRANSPOSE(SAP_Speadsheet!$E$86:$BL$86))</f>
        <v>#REF!</v>
      </c>
      <c r="N23" s="365" t="e" cm="1">
        <f t="array" aca="1" ref="N23" ca="1">SUMPRODUCT(N$55:N$114,TRANSPOSE(SAP_Speadsheet!$E$86:$BL$86))</f>
        <v>#REF!</v>
      </c>
      <c r="O23" s="365" t="e" cm="1">
        <f t="array" aca="1" ref="O23" ca="1">SUMPRODUCT(O$55:O$114,TRANSPOSE(SAP_Speadsheet!$E$86:$BL$86))</f>
        <v>#REF!</v>
      </c>
      <c r="P23" s="365" t="e" cm="1">
        <f t="array" aca="1" ref="P23" ca="1">SUMPRODUCT(P$55:P$114,TRANSPOSE(SAP_Speadsheet!$E$86:$BL$86))</f>
        <v>#REF!</v>
      </c>
      <c r="Q23" s="365" t="e" cm="1">
        <f t="array" aca="1" ref="Q23" ca="1">SUMPRODUCT(Q$55:Q$114,TRANSPOSE(SAP_Speadsheet!$E$86:$BL$86))</f>
        <v>#REF!</v>
      </c>
      <c r="R23" s="365" t="e" cm="1">
        <f t="array" aca="1" ref="R23" ca="1">SUMPRODUCT(R$55:R$114,TRANSPOSE(SAP_Speadsheet!$E$86:$BL$86))</f>
        <v>#REF!</v>
      </c>
      <c r="S23" s="365" t="e" cm="1">
        <f t="array" aca="1" ref="S23" ca="1">SUMPRODUCT(S$55:S$114,TRANSPOSE(SAP_Speadsheet!$E$86:$BL$86))</f>
        <v>#REF!</v>
      </c>
      <c r="T23" s="365" t="e" cm="1">
        <f t="array" aca="1" ref="T23" ca="1">SUMPRODUCT(T$55:T$114,TRANSPOSE(SAP_Speadsheet!$E$86:$BL$86))</f>
        <v>#REF!</v>
      </c>
      <c r="U23" s="365" t="e" cm="1">
        <f t="array" aca="1" ref="U23" ca="1">SUMPRODUCT(U$55:U$114,TRANSPOSE(SAP_Speadsheet!$E$86:$BL$86))</f>
        <v>#REF!</v>
      </c>
      <c r="V23" s="365" t="e" cm="1">
        <f t="array" aca="1" ref="V23" ca="1">SUMPRODUCT(V$55:V$114,TRANSPOSE(SAP_Speadsheet!$E$86:$BL$86))</f>
        <v>#REF!</v>
      </c>
      <c r="W23" s="365" t="e" cm="1">
        <f t="array" aca="1" ref="W23" ca="1">SUMPRODUCT(W$55:W$114,TRANSPOSE(SAP_Speadsheet!$E$86:$BL$86))</f>
        <v>#REF!</v>
      </c>
      <c r="X23" s="365" t="e" cm="1">
        <f t="array" aca="1" ref="X23" ca="1">SUMPRODUCT(X$55:X$114,TRANSPOSE(SAP_Speadsheet!$E$86:$BL$86))</f>
        <v>#REF!</v>
      </c>
      <c r="Y23" s="365" t="e" cm="1">
        <f t="array" aca="1" ref="Y23" ca="1">SUMPRODUCT(Y$55:Y$114,TRANSPOSE(SAP_Speadsheet!$E$86:$BL$86))</f>
        <v>#REF!</v>
      </c>
      <c r="Z23" s="365" t="e" cm="1">
        <f t="array" aca="1" ref="Z23" ca="1">SUMPRODUCT(Z$55:Z$114,TRANSPOSE(SAP_Speadsheet!$E$86:$BL$86))</f>
        <v>#REF!</v>
      </c>
      <c r="AA23" s="365" t="e" cm="1">
        <f t="array" aca="1" ref="AA23" ca="1">SUMPRODUCT(AA$55:AA$114,TRANSPOSE(SAP_Speadsheet!$E$86:$BL$86))</f>
        <v>#REF!</v>
      </c>
      <c r="AB23" s="365" t="e" cm="1">
        <f t="array" aca="1" ref="AB23" ca="1">SUMPRODUCT(AB$55:AB$114,TRANSPOSE(SAP_Speadsheet!$E$86:$BL$86))</f>
        <v>#REF!</v>
      </c>
      <c r="AC23" s="365" t="e" cm="1">
        <f t="array" aca="1" ref="AC23" ca="1">SUMPRODUCT(AC$55:AC$114,TRANSPOSE(SAP_Speadsheet!$E$86:$BL$86))</f>
        <v>#REF!</v>
      </c>
      <c r="AD23" s="365" t="e" cm="1">
        <f t="array" aca="1" ref="AD23" ca="1">SUMPRODUCT(AD$55:AD$114,TRANSPOSE(SAP_Speadsheet!$E$86:$BL$86))</f>
        <v>#REF!</v>
      </c>
      <c r="AE23" s="365" t="e" cm="1">
        <f t="array" aca="1" ref="AE23" ca="1">SUMPRODUCT(AE$55:AE$114,TRANSPOSE(SAP_Speadsheet!$E$86:$BL$86))</f>
        <v>#REF!</v>
      </c>
      <c r="AF23" s="365" t="e" cm="1">
        <f t="array" aca="1" ref="AF23" ca="1">SUMPRODUCT(AF$55:AF$114,TRANSPOSE(SAP_Speadsheet!$E$86:$BL$86))</f>
        <v>#REF!</v>
      </c>
      <c r="AG23" s="365" t="e" cm="1">
        <f t="array" aca="1" ref="AG23" ca="1">SUMPRODUCT(AG$55:AG$114,TRANSPOSE(SAP_Speadsheet!$E$86:$BL$86))</f>
        <v>#REF!</v>
      </c>
      <c r="AH23" s="365" t="e" cm="1">
        <f t="array" aca="1" ref="AH23" ca="1">SUMPRODUCT(AH$55:AH$114,TRANSPOSE(SAP_Speadsheet!$E$86:$BL$86))</f>
        <v>#REF!</v>
      </c>
      <c r="AI23" s="365" t="e" cm="1">
        <f t="array" aca="1" ref="AI23" ca="1">SUMPRODUCT(AI$55:AI$114,TRANSPOSE(SAP_Speadsheet!$E$86:$BL$86))</f>
        <v>#REF!</v>
      </c>
      <c r="AJ23" s="365" t="e" cm="1">
        <f t="array" aca="1" ref="AJ23" ca="1">SUMPRODUCT(AJ$55:AJ$114,TRANSPOSE(SAP_Speadsheet!$E$86:$BL$86))</f>
        <v>#REF!</v>
      </c>
      <c r="AK23" s="365" t="e" cm="1">
        <f t="array" aca="1" ref="AK23" ca="1">SUMPRODUCT(AK$55:AK$114,TRANSPOSE(SAP_Speadsheet!$E$86:$BL$86))</f>
        <v>#REF!</v>
      </c>
      <c r="AL23" s="365" t="e" cm="1">
        <f t="array" aca="1" ref="AL23" ca="1">SUMPRODUCT(AL$55:AL$114,TRANSPOSE(SAP_Speadsheet!$E$86:$BL$86))</f>
        <v>#REF!</v>
      </c>
      <c r="AM23" s="365" t="e" cm="1">
        <f t="array" aca="1" ref="AM23" ca="1">SUMPRODUCT(AM$55:AM$114,TRANSPOSE(SAP_Speadsheet!$E$86:$BL$86))</f>
        <v>#REF!</v>
      </c>
      <c r="AN23" s="365" t="e" cm="1">
        <f t="array" aca="1" ref="AN23" ca="1">SUMPRODUCT(AN$55:AN$114,TRANSPOSE(SAP_Speadsheet!$E$86:$BL$86))</f>
        <v>#REF!</v>
      </c>
      <c r="AO23" s="365" t="e" cm="1">
        <f t="array" aca="1" ref="AO23" ca="1">SUMPRODUCT(AO$55:AO$114,TRANSPOSE(SAP_Speadsheet!$E$86:$BL$86))</f>
        <v>#REF!</v>
      </c>
      <c r="AP23" s="365" t="e" cm="1">
        <f t="array" aca="1" ref="AP23" ca="1">SUMPRODUCT(AP$55:AP$114,TRANSPOSE(SAP_Speadsheet!$E$86:$BL$86))</f>
        <v>#REF!</v>
      </c>
      <c r="AQ23" s="365" t="e" cm="1">
        <f t="array" aca="1" ref="AQ23" ca="1">SUMPRODUCT(AQ$55:AQ$114,TRANSPOSE(SAP_Speadsheet!$E$86:$BL$86))</f>
        <v>#REF!</v>
      </c>
      <c r="AR23" s="365" t="e" cm="1">
        <f t="array" aca="1" ref="AR23" ca="1">SUMPRODUCT(AR$55:AR$114,TRANSPOSE(SAP_Speadsheet!$E$86:$BL$86))</f>
        <v>#REF!</v>
      </c>
      <c r="AS23" s="365" t="e" cm="1">
        <f t="array" aca="1" ref="AS23" ca="1">SUMPRODUCT(AS$55:AS$114,TRANSPOSE(SAP_Speadsheet!$E$86:$BL$86))</f>
        <v>#REF!</v>
      </c>
      <c r="AT23" s="365" t="e" cm="1">
        <f t="array" aca="1" ref="AT23" ca="1">SUMPRODUCT(AT$55:AT$114,TRANSPOSE(SAP_Speadsheet!$E$86:$BL$86))</f>
        <v>#REF!</v>
      </c>
      <c r="AU23" s="365" t="e" cm="1">
        <f t="array" aca="1" ref="AU23" ca="1">SUMPRODUCT(AU$55:AU$114,TRANSPOSE(SAP_Speadsheet!$E$86:$BL$86))</f>
        <v>#REF!</v>
      </c>
      <c r="AV23" s="365" t="e" cm="1">
        <f t="array" aca="1" ref="AV23" ca="1">SUMPRODUCT(AV$55:AV$114,TRANSPOSE(SAP_Speadsheet!$E$86:$BL$86))</f>
        <v>#REF!</v>
      </c>
      <c r="AW23" s="365">
        <v>0</v>
      </c>
      <c r="AX23" s="365" t="e" cm="1">
        <f t="array" aca="1" ref="AX23" ca="1">SUMPRODUCT(AX$55:AX$114,TRANSPOSE(SAP_Speadsheet!$E$86:$BL$86))</f>
        <v>#REF!</v>
      </c>
      <c r="AY23" s="365" t="e" cm="1">
        <f t="array" aca="1" ref="AY23" ca="1">SUMPRODUCT(AY$55:AY$114,TRANSPOSE(SAP_Speadsheet!$E$86:$BL$86))</f>
        <v>#REF!</v>
      </c>
      <c r="AZ23" s="365" t="e" cm="1">
        <f t="array" aca="1" ref="AZ23" ca="1">SUMPRODUCT(AZ$55:AZ$114,TRANSPOSE(SAP_Speadsheet!$E$86:$BL$86))</f>
        <v>#REF!</v>
      </c>
      <c r="BA23" s="365" t="e" cm="1">
        <f t="array" aca="1" ref="BA23" ca="1">SUMPRODUCT(BA$55:BA$114,TRANSPOSE(SAP_Speadsheet!$E$86:$BL$86))</f>
        <v>#REF!</v>
      </c>
      <c r="BB23" s="365" t="e" cm="1">
        <f t="array" aca="1" ref="BB23" ca="1">SUMPRODUCT(BB$55:BB$114,TRANSPOSE(SAP_Speadsheet!$E$86:$BL$86))</f>
        <v>#REF!</v>
      </c>
      <c r="BC23" s="365" t="e" cm="1">
        <f t="array" aca="1" ref="BC23" ca="1">SUMPRODUCT(BC$55:BC$114,TRANSPOSE(SAP_Speadsheet!$E$86:$BL$86))</f>
        <v>#REF!</v>
      </c>
      <c r="BD23" s="365" t="e" cm="1">
        <f t="array" aca="1" ref="BD23" ca="1">SUMPRODUCT(BD$55:BD$114,TRANSPOSE(SAP_Speadsheet!$E$86:$BL$86))</f>
        <v>#REF!</v>
      </c>
      <c r="BE23" s="365" t="e" cm="1">
        <f t="array" aca="1" ref="BE23" ca="1">SUMPRODUCT(BE$55:BE$114,TRANSPOSE(SAP_Speadsheet!$E$86:$BL$86))</f>
        <v>#REF!</v>
      </c>
      <c r="BF23" s="365" t="e" cm="1">
        <f t="array" aca="1" ref="BF23" ca="1">SUMPRODUCT(BF$55:BF$114,TRANSPOSE(SAP_Speadsheet!$E$86:$BL$86))</f>
        <v>#REF!</v>
      </c>
      <c r="BG23" s="365" t="e" cm="1">
        <f t="array" aca="1" ref="BG23" ca="1">SUMPRODUCT(BG$55:BG$114,TRANSPOSE(SAP_Speadsheet!$E$86:$BL$86))</f>
        <v>#REF!</v>
      </c>
      <c r="BH23" s="365" t="e" cm="1">
        <f t="array" aca="1" ref="BH23" ca="1">SUMPRODUCT(BH$55:BH$114,TRANSPOSE(SAP_Speadsheet!$E$86:$BL$86))</f>
        <v>#REF!</v>
      </c>
      <c r="BI23" s="365" t="e" cm="1">
        <f t="array" aca="1" ref="BI23" ca="1">SUMPRODUCT(BI$55:BI$114,TRANSPOSE(SAP_Speadsheet!$E$86:$BL$86))</f>
        <v>#REF!</v>
      </c>
    </row>
    <row r="24" spans="1:61" x14ac:dyDescent="0.15">
      <c r="A24" s="366" t="s">
        <v>200</v>
      </c>
      <c r="B24" s="360" cm="1">
        <f t="array" aca="1" ref="B24" ca="1">SUMPRODUCT(B$55:B$114,TRANSPOSE(SAP_Speadsheet!$E$88:$BL$88))</f>
        <v>0</v>
      </c>
      <c r="C24" s="360" cm="1">
        <f t="array" aca="1" ref="C24" ca="1">SUMPRODUCT(C$55:C$114,TRANSPOSE(SAP_Speadsheet!$E$88:$BL$88))</f>
        <v>0</v>
      </c>
      <c r="D24" s="360" cm="1">
        <f t="array" aca="1" ref="D24" ca="1">SUMPRODUCT(D$55:D$114,TRANSPOSE(SAP_Speadsheet!$E$88:$BL$88))</f>
        <v>0</v>
      </c>
      <c r="E24" s="360" cm="1">
        <f t="array" aca="1" ref="E24" ca="1">SUMPRODUCT(E$55:E$114,TRANSPOSE(SAP_Speadsheet!$E$88:$BL$88))</f>
        <v>0</v>
      </c>
      <c r="F24" s="360" cm="1">
        <f t="array" aca="1" ref="F24" ca="1">SUMPRODUCT(F$55:F$114,TRANSPOSE(SAP_Speadsheet!$E$88:$BL$88))</f>
        <v>0</v>
      </c>
      <c r="G24" s="360" cm="1">
        <f t="array" aca="1" ref="G24" ca="1">SUMPRODUCT(G$55:G$114,TRANSPOSE(SAP_Speadsheet!$E$88:$BL$88))</f>
        <v>0</v>
      </c>
      <c r="H24" s="360" t="e" cm="1">
        <f t="array" aca="1" ref="H24" ca="1">SUMPRODUCT(H$55:H$114,TRANSPOSE(SAP_Speadsheet!$E$88:$BL$88))</f>
        <v>#REF!</v>
      </c>
      <c r="I24" s="360" t="e" cm="1">
        <f t="array" aca="1" ref="I24" ca="1">SUMPRODUCT(I$55:I$114,TRANSPOSE(SAP_Speadsheet!$E$88:$BL$88))</f>
        <v>#REF!</v>
      </c>
      <c r="J24" s="360" t="e" cm="1">
        <f t="array" aca="1" ref="J24" ca="1">SUMPRODUCT(J$55:J$114,TRANSPOSE(SAP_Speadsheet!$E$88:$BL$88))</f>
        <v>#REF!</v>
      </c>
      <c r="K24" s="360" t="e" cm="1">
        <f t="array" aca="1" ref="K24" ca="1">SUMPRODUCT(K$55:K$114,TRANSPOSE(SAP_Speadsheet!$E$88:$BL$88))</f>
        <v>#REF!</v>
      </c>
      <c r="L24" s="360" t="e" cm="1">
        <f t="array" aca="1" ref="L24" ca="1">SUMPRODUCT(L$55:L$114,TRANSPOSE(SAP_Speadsheet!$E$88:$BL$88))</f>
        <v>#REF!</v>
      </c>
      <c r="M24" s="360" t="e" cm="1">
        <f t="array" aca="1" ref="M24" ca="1">SUMPRODUCT(M$55:M$114,TRANSPOSE(SAP_Speadsheet!$E$88:$BL$88))</f>
        <v>#REF!</v>
      </c>
      <c r="N24" s="360" t="e" cm="1">
        <f t="array" aca="1" ref="N24" ca="1">SUMPRODUCT(N$55:N$114,TRANSPOSE(SAP_Speadsheet!$E$88:$BL$88))</f>
        <v>#REF!</v>
      </c>
      <c r="O24" s="360" t="e" cm="1">
        <f t="array" aca="1" ref="O24" ca="1">SUMPRODUCT(O$55:O$114,TRANSPOSE(SAP_Speadsheet!$E$88:$BL$88))</f>
        <v>#REF!</v>
      </c>
      <c r="P24" s="360" t="e" cm="1">
        <f t="array" aca="1" ref="P24" ca="1">SUMPRODUCT(P$55:P$114,TRANSPOSE(SAP_Speadsheet!$E$88:$BL$88))</f>
        <v>#REF!</v>
      </c>
      <c r="Q24" s="360" t="e" cm="1">
        <f t="array" aca="1" ref="Q24" ca="1">SUMPRODUCT(Q$55:Q$114,TRANSPOSE(SAP_Speadsheet!$E$88:$BL$88))</f>
        <v>#REF!</v>
      </c>
      <c r="R24" s="360" t="e" cm="1">
        <f t="array" aca="1" ref="R24" ca="1">SUMPRODUCT(R$55:R$114,TRANSPOSE(SAP_Speadsheet!$E$88:$BL$88))</f>
        <v>#REF!</v>
      </c>
      <c r="S24" s="360" t="e" cm="1">
        <f t="array" aca="1" ref="S24" ca="1">SUMPRODUCT(S$55:S$114,TRANSPOSE(SAP_Speadsheet!$E$88:$BL$88))</f>
        <v>#REF!</v>
      </c>
      <c r="T24" s="360" t="e" cm="1">
        <f t="array" aca="1" ref="T24" ca="1">SUMPRODUCT(T$55:T$114,TRANSPOSE(SAP_Speadsheet!$E$88:$BL$88))</f>
        <v>#REF!</v>
      </c>
      <c r="U24" s="360" t="e" cm="1">
        <f t="array" aca="1" ref="U24" ca="1">SUMPRODUCT(U$55:U$114,TRANSPOSE(SAP_Speadsheet!$E$88:$BL$88))</f>
        <v>#REF!</v>
      </c>
      <c r="V24" s="360" t="e" cm="1">
        <f t="array" aca="1" ref="V24" ca="1">SUMPRODUCT(V$55:V$114,TRANSPOSE(SAP_Speadsheet!$E$88:$BL$88))</f>
        <v>#REF!</v>
      </c>
      <c r="W24" s="360" t="e" cm="1">
        <f t="array" aca="1" ref="W24" ca="1">SUMPRODUCT(W$55:W$114,TRANSPOSE(SAP_Speadsheet!$E$88:$BL$88))</f>
        <v>#REF!</v>
      </c>
      <c r="X24" s="360" t="e" cm="1">
        <f t="array" aca="1" ref="X24" ca="1">SUMPRODUCT(X$55:X$114,TRANSPOSE(SAP_Speadsheet!$E$88:$BL$88))</f>
        <v>#REF!</v>
      </c>
      <c r="Y24" s="360" t="e" cm="1">
        <f t="array" aca="1" ref="Y24" ca="1">SUMPRODUCT(Y$55:Y$114,TRANSPOSE(SAP_Speadsheet!$E$88:$BL$88))</f>
        <v>#REF!</v>
      </c>
      <c r="Z24" s="360" t="e" cm="1">
        <f t="array" aca="1" ref="Z24" ca="1">SUMPRODUCT(Z$55:Z$114,TRANSPOSE(SAP_Speadsheet!$E$88:$BL$88))</f>
        <v>#REF!</v>
      </c>
      <c r="AA24" s="360" t="e" cm="1">
        <f t="array" aca="1" ref="AA24" ca="1">SUMPRODUCT(AA$55:AA$114,TRANSPOSE(SAP_Speadsheet!$E$88:$BL$88))</f>
        <v>#REF!</v>
      </c>
      <c r="AB24" s="360" t="e" cm="1">
        <f t="array" aca="1" ref="AB24" ca="1">SUMPRODUCT(AB$55:AB$114,TRANSPOSE(SAP_Speadsheet!$E$88:$BL$88))</f>
        <v>#REF!</v>
      </c>
      <c r="AC24" s="360" t="e" cm="1">
        <f t="array" aca="1" ref="AC24" ca="1">SUMPRODUCT(AC$55:AC$114,TRANSPOSE(SAP_Speadsheet!$E$88:$BL$88))</f>
        <v>#REF!</v>
      </c>
      <c r="AD24" s="360" t="e" cm="1">
        <f t="array" aca="1" ref="AD24" ca="1">SUMPRODUCT(AD$55:AD$114,TRANSPOSE(SAP_Speadsheet!$E$88:$BL$88))</f>
        <v>#REF!</v>
      </c>
      <c r="AE24" s="360" t="e" cm="1">
        <f t="array" aca="1" ref="AE24" ca="1">SUMPRODUCT(AE$55:AE$114,TRANSPOSE(SAP_Speadsheet!$E$88:$BL$88))</f>
        <v>#REF!</v>
      </c>
      <c r="AF24" s="360" t="e" cm="1">
        <f t="array" aca="1" ref="AF24" ca="1">SUMPRODUCT(AF$55:AF$114,TRANSPOSE(SAP_Speadsheet!$E$88:$BL$88))</f>
        <v>#REF!</v>
      </c>
      <c r="AG24" s="360" t="e" cm="1">
        <f t="array" aca="1" ref="AG24" ca="1">SUMPRODUCT(AG$55:AG$114,TRANSPOSE(SAP_Speadsheet!$E$88:$BL$88))</f>
        <v>#REF!</v>
      </c>
      <c r="AH24" s="360" t="e" cm="1">
        <f t="array" aca="1" ref="AH24" ca="1">SUMPRODUCT(AH$55:AH$114,TRANSPOSE(SAP_Speadsheet!$E$88:$BL$88))</f>
        <v>#REF!</v>
      </c>
      <c r="AI24" s="360" t="e" cm="1">
        <f t="array" aca="1" ref="AI24" ca="1">SUMPRODUCT(AI$55:AI$114,TRANSPOSE(SAP_Speadsheet!$E$88:$BL$88))</f>
        <v>#REF!</v>
      </c>
      <c r="AJ24" s="360" t="e" cm="1">
        <f t="array" aca="1" ref="AJ24" ca="1">SUMPRODUCT(AJ$55:AJ$114,TRANSPOSE(SAP_Speadsheet!$E$88:$BL$88))</f>
        <v>#REF!</v>
      </c>
      <c r="AK24" s="360" t="e" cm="1">
        <f t="array" aca="1" ref="AK24" ca="1">SUMPRODUCT(AK$55:AK$114,TRANSPOSE(SAP_Speadsheet!$E$88:$BL$88))</f>
        <v>#REF!</v>
      </c>
      <c r="AL24" s="360" t="e" cm="1">
        <f t="array" aca="1" ref="AL24" ca="1">SUMPRODUCT(AL$55:AL$114,TRANSPOSE(SAP_Speadsheet!$E$88:$BL$88))</f>
        <v>#REF!</v>
      </c>
      <c r="AM24" s="360" t="e" cm="1">
        <f t="array" aca="1" ref="AM24" ca="1">SUMPRODUCT(AM$55:AM$114,TRANSPOSE(SAP_Speadsheet!$E$88:$BL$88))</f>
        <v>#REF!</v>
      </c>
      <c r="AN24" s="360" t="e" cm="1">
        <f t="array" aca="1" ref="AN24" ca="1">SUMPRODUCT(AN$55:AN$114,TRANSPOSE(SAP_Speadsheet!$E$88:$BL$88))</f>
        <v>#REF!</v>
      </c>
      <c r="AO24" s="360" t="e" cm="1">
        <f t="array" aca="1" ref="AO24" ca="1">SUMPRODUCT(AO$55:AO$114,TRANSPOSE(SAP_Speadsheet!$E$88:$BL$88))</f>
        <v>#REF!</v>
      </c>
      <c r="AP24" s="360" t="e" cm="1">
        <f t="array" aca="1" ref="AP24" ca="1">SUMPRODUCT(AP$55:AP$114,TRANSPOSE(SAP_Speadsheet!$E$88:$BL$88))</f>
        <v>#REF!</v>
      </c>
      <c r="AQ24" s="360" t="e" cm="1">
        <f t="array" aca="1" ref="AQ24" ca="1">SUMPRODUCT(AQ$55:AQ$114,TRANSPOSE(SAP_Speadsheet!$E$88:$BL$88))</f>
        <v>#REF!</v>
      </c>
      <c r="AR24" s="360" t="e" cm="1">
        <f t="array" aca="1" ref="AR24" ca="1">SUMPRODUCT(AR$55:AR$114,TRANSPOSE(SAP_Speadsheet!$E$88:$BL$88))</f>
        <v>#REF!</v>
      </c>
      <c r="AS24" s="360" t="e" cm="1">
        <f t="array" aca="1" ref="AS24" ca="1">SUMPRODUCT(AS$55:AS$114,TRANSPOSE(SAP_Speadsheet!$E$88:$BL$88))</f>
        <v>#REF!</v>
      </c>
      <c r="AT24" s="360" t="e" cm="1">
        <f t="array" aca="1" ref="AT24" ca="1">SUMPRODUCT(AT$55:AT$114,TRANSPOSE(SAP_Speadsheet!$E$88:$BL$88))</f>
        <v>#REF!</v>
      </c>
      <c r="AU24" s="360" t="e" cm="1">
        <f t="array" aca="1" ref="AU24" ca="1">SUMPRODUCT(AU$55:AU$114,TRANSPOSE(SAP_Speadsheet!$E$88:$BL$88))</f>
        <v>#REF!</v>
      </c>
      <c r="AV24" s="360" t="e" cm="1">
        <f t="array" aca="1" ref="AV24" ca="1">SUMPRODUCT(AV$55:AV$114,TRANSPOSE(SAP_Speadsheet!$E$88:$BL$88))</f>
        <v>#REF!</v>
      </c>
      <c r="AW24" s="360" t="e" cm="1">
        <f t="array" aca="1" ref="AW24" ca="1">SUMPRODUCT(AW$55:AW$114,TRANSPOSE(SAP_Speadsheet!$E$88:$BL$88))</f>
        <v>#REF!</v>
      </c>
      <c r="AX24" s="360" t="e" cm="1">
        <f t="array" aca="1" ref="AX24" ca="1">SUMPRODUCT(AX$55:AX$114,TRANSPOSE(SAP_Speadsheet!$E$88:$BL$88))</f>
        <v>#REF!</v>
      </c>
      <c r="AY24" s="360" t="e" cm="1">
        <f t="array" aca="1" ref="AY24" ca="1">SUMPRODUCT(AY$55:AY$114,TRANSPOSE(SAP_Speadsheet!$E$88:$BL$88))</f>
        <v>#REF!</v>
      </c>
      <c r="AZ24" s="360" t="e" cm="1">
        <f t="array" aca="1" ref="AZ24" ca="1">SUMPRODUCT(AZ$55:AZ$114,TRANSPOSE(SAP_Speadsheet!$E$88:$BL$88))</f>
        <v>#REF!</v>
      </c>
      <c r="BA24" s="360" t="e" cm="1">
        <f t="array" aca="1" ref="BA24" ca="1">SUMPRODUCT(BA$55:BA$114,TRANSPOSE(SAP_Speadsheet!$E$88:$BL$88))</f>
        <v>#REF!</v>
      </c>
      <c r="BB24" s="360" t="e" cm="1">
        <f t="array" aca="1" ref="BB24" ca="1">SUMPRODUCT(BB$55:BB$114,TRANSPOSE(SAP_Speadsheet!$E$88:$BL$88))</f>
        <v>#REF!</v>
      </c>
      <c r="BC24" s="360" t="e" cm="1">
        <f t="array" aca="1" ref="BC24" ca="1">SUMPRODUCT(BC$55:BC$114,TRANSPOSE(SAP_Speadsheet!$E$88:$BL$88))</f>
        <v>#REF!</v>
      </c>
      <c r="BD24" s="360" t="e" cm="1">
        <f t="array" aca="1" ref="BD24" ca="1">SUMPRODUCT(BD$55:BD$114,TRANSPOSE(SAP_Speadsheet!$E$88:$BL$88))</f>
        <v>#REF!</v>
      </c>
      <c r="BE24" s="360" t="e" cm="1">
        <f t="array" aca="1" ref="BE24" ca="1">SUMPRODUCT(BE$55:BE$114,TRANSPOSE(SAP_Speadsheet!$E$88:$BL$88))</f>
        <v>#REF!</v>
      </c>
      <c r="BF24" s="360" t="e" cm="1">
        <f t="array" aca="1" ref="BF24" ca="1">SUMPRODUCT(BF$55:BF$114,TRANSPOSE(SAP_Speadsheet!$E$88:$BL$88))</f>
        <v>#REF!</v>
      </c>
      <c r="BG24" s="360" t="e" cm="1">
        <f t="array" aca="1" ref="BG24" ca="1">SUMPRODUCT(BG$55:BG$114,TRANSPOSE(SAP_Speadsheet!$E$88:$BL$88))</f>
        <v>#REF!</v>
      </c>
      <c r="BH24" s="360" t="e" cm="1">
        <f t="array" aca="1" ref="BH24" ca="1">SUMPRODUCT(BH$55:BH$114,TRANSPOSE(SAP_Speadsheet!$E$88:$BL$88))</f>
        <v>#REF!</v>
      </c>
      <c r="BI24" s="360" t="e" cm="1">
        <f t="array" aca="1" ref="BI24" ca="1">SUMPRODUCT(BI$55:BI$114,TRANSPOSE(SAP_Speadsheet!$E$88:$BL$88))</f>
        <v>#REF!</v>
      </c>
    </row>
    <row r="25" spans="1:61" x14ac:dyDescent="0.15">
      <c r="A25" s="354" t="s">
        <v>223</v>
      </c>
      <c r="B25" s="365" cm="1">
        <f t="array" aca="1" ref="B25" ca="1">SUMPRODUCT(B$55:B$114,TRANSPOSE(SAP_Speadsheet!$E$89:$BL$89))</f>
        <v>0</v>
      </c>
      <c r="C25" s="365" cm="1">
        <f t="array" aca="1" ref="C25" ca="1">SUMPRODUCT(C$55:C$114,TRANSPOSE(SAP_Speadsheet!$E$89:$BL$89))</f>
        <v>0</v>
      </c>
      <c r="D25" s="365" cm="1">
        <f t="array" aca="1" ref="D25" ca="1">SUMPRODUCT(D$55:D$114,TRANSPOSE(SAP_Speadsheet!$E$89:$BL$89))</f>
        <v>0</v>
      </c>
      <c r="E25" s="365" cm="1">
        <f t="array" aca="1" ref="E25" ca="1">SUMPRODUCT(E$55:E$114,TRANSPOSE(SAP_Speadsheet!$E$89:$BL$89))</f>
        <v>0</v>
      </c>
      <c r="F25" s="365" cm="1">
        <f t="array" aca="1" ref="F25" ca="1">SUMPRODUCT(F$55:F$114,TRANSPOSE(SAP_Speadsheet!$E$89:$BL$89))</f>
        <v>0</v>
      </c>
      <c r="G25" s="365" cm="1">
        <f t="array" aca="1" ref="G25" ca="1">SUMPRODUCT(G$55:G$114,TRANSPOSE(SAP_Speadsheet!$E$89:$BL$89))</f>
        <v>0</v>
      </c>
      <c r="H25" s="365" t="e" cm="1">
        <f t="array" aca="1" ref="H25" ca="1">SUMPRODUCT(H$55:H$114,TRANSPOSE(SAP_Speadsheet!$E$89:$BL$89))</f>
        <v>#REF!</v>
      </c>
      <c r="I25" s="365" t="e" cm="1">
        <f t="array" aca="1" ref="I25" ca="1">SUMPRODUCT(I$55:I$114,TRANSPOSE(SAP_Speadsheet!$E$89:$BL$89))</f>
        <v>#REF!</v>
      </c>
      <c r="J25" s="365" t="e" cm="1">
        <f t="array" aca="1" ref="J25" ca="1">SUMPRODUCT(J$55:J$114,TRANSPOSE(SAP_Speadsheet!$E$89:$BL$89))</f>
        <v>#REF!</v>
      </c>
      <c r="K25" s="365" t="e" cm="1">
        <f t="array" aca="1" ref="K25" ca="1">SUMPRODUCT(K$55:K$114,TRANSPOSE(SAP_Speadsheet!$E$89:$BL$89))</f>
        <v>#REF!</v>
      </c>
      <c r="L25" s="365" t="e" cm="1">
        <f t="array" aca="1" ref="L25" ca="1">SUMPRODUCT(L$55:L$114,TRANSPOSE(SAP_Speadsheet!$E$89:$BL$89))</f>
        <v>#REF!</v>
      </c>
      <c r="M25" s="365" t="e" cm="1">
        <f t="array" aca="1" ref="M25" ca="1">SUMPRODUCT(M$55:M$114,TRANSPOSE(SAP_Speadsheet!$E$89:$BL$89))</f>
        <v>#REF!</v>
      </c>
      <c r="N25" s="365" t="e" cm="1">
        <f t="array" aca="1" ref="N25" ca="1">SUMPRODUCT(N$55:N$114,TRANSPOSE(SAP_Speadsheet!$E$89:$BL$89))</f>
        <v>#REF!</v>
      </c>
      <c r="O25" s="365" t="e" cm="1">
        <f t="array" aca="1" ref="O25" ca="1">SUMPRODUCT(O$55:O$114,TRANSPOSE(SAP_Speadsheet!$E$89:$BL$89))</f>
        <v>#REF!</v>
      </c>
      <c r="P25" s="365" t="e" cm="1">
        <f t="array" aca="1" ref="P25" ca="1">SUMPRODUCT(P$55:P$114,TRANSPOSE(SAP_Speadsheet!$E$89:$BL$89))</f>
        <v>#REF!</v>
      </c>
      <c r="Q25" s="365" t="e" cm="1">
        <f t="array" aca="1" ref="Q25" ca="1">SUMPRODUCT(Q$55:Q$114,TRANSPOSE(SAP_Speadsheet!$E$89:$BL$89))</f>
        <v>#REF!</v>
      </c>
      <c r="R25" s="365" t="e" cm="1">
        <f t="array" aca="1" ref="R25" ca="1">SUMPRODUCT(R$55:R$114,TRANSPOSE(SAP_Speadsheet!$E$89:$BL$89))</f>
        <v>#REF!</v>
      </c>
      <c r="S25" s="365" t="e" cm="1">
        <f t="array" aca="1" ref="S25" ca="1">SUMPRODUCT(S$55:S$114,TRANSPOSE(SAP_Speadsheet!$E$89:$BL$89))</f>
        <v>#REF!</v>
      </c>
      <c r="T25" s="365" t="e" cm="1">
        <f t="array" aca="1" ref="T25" ca="1">SUMPRODUCT(T$55:T$114,TRANSPOSE(SAP_Speadsheet!$E$89:$BL$89))</f>
        <v>#REF!</v>
      </c>
      <c r="U25" s="365" t="e" cm="1">
        <f t="array" aca="1" ref="U25" ca="1">SUMPRODUCT(U$55:U$114,TRANSPOSE(SAP_Speadsheet!$E$89:$BL$89))</f>
        <v>#REF!</v>
      </c>
      <c r="V25" s="365" t="e" cm="1">
        <f t="array" aca="1" ref="V25" ca="1">SUMPRODUCT(V$55:V$114,TRANSPOSE(SAP_Speadsheet!$E$89:$BL$89))</f>
        <v>#REF!</v>
      </c>
      <c r="W25" s="365" t="e" cm="1">
        <f t="array" aca="1" ref="W25" ca="1">SUMPRODUCT(W$55:W$114,TRANSPOSE(SAP_Speadsheet!$E$89:$BL$89))</f>
        <v>#REF!</v>
      </c>
      <c r="X25" s="365" t="e" cm="1">
        <f t="array" aca="1" ref="X25" ca="1">SUMPRODUCT(X$55:X$114,TRANSPOSE(SAP_Speadsheet!$E$89:$BL$89))</f>
        <v>#REF!</v>
      </c>
      <c r="Y25" s="365" t="e" cm="1">
        <f t="array" aca="1" ref="Y25" ca="1">SUMPRODUCT(Y$55:Y$114,TRANSPOSE(SAP_Speadsheet!$E$89:$BL$89))</f>
        <v>#REF!</v>
      </c>
      <c r="Z25" s="365" t="e" cm="1">
        <f t="array" aca="1" ref="Z25" ca="1">SUMPRODUCT(Z$55:Z$114,TRANSPOSE(SAP_Speadsheet!$E$89:$BL$89))</f>
        <v>#REF!</v>
      </c>
      <c r="AA25" s="365" t="e" cm="1">
        <f t="array" aca="1" ref="AA25" ca="1">SUMPRODUCT(AA$55:AA$114,TRANSPOSE(SAP_Speadsheet!$E$89:$BL$89))</f>
        <v>#REF!</v>
      </c>
      <c r="AB25" s="365" t="e" cm="1">
        <f t="array" aca="1" ref="AB25" ca="1">SUMPRODUCT(AB$55:AB$114,TRANSPOSE(SAP_Speadsheet!$E$89:$BL$89))</f>
        <v>#REF!</v>
      </c>
      <c r="AC25" s="365" t="e" cm="1">
        <f t="array" aca="1" ref="AC25" ca="1">SUMPRODUCT(AC$55:AC$114,TRANSPOSE(SAP_Speadsheet!$E$89:$BL$89))</f>
        <v>#REF!</v>
      </c>
      <c r="AD25" s="365" t="e" cm="1">
        <f t="array" aca="1" ref="AD25" ca="1">SUMPRODUCT(AD$55:AD$114,TRANSPOSE(SAP_Speadsheet!$E$89:$BL$89))</f>
        <v>#REF!</v>
      </c>
      <c r="AE25" s="365" t="e" cm="1">
        <f t="array" aca="1" ref="AE25" ca="1">SUMPRODUCT(AE$55:AE$114,TRANSPOSE(SAP_Speadsheet!$E$89:$BL$89))</f>
        <v>#REF!</v>
      </c>
      <c r="AF25" s="365" t="e" cm="1">
        <f t="array" aca="1" ref="AF25" ca="1">SUMPRODUCT(AF$55:AF$114,TRANSPOSE(SAP_Speadsheet!$E$89:$BL$89))</f>
        <v>#REF!</v>
      </c>
      <c r="AG25" s="365" t="e" cm="1">
        <f t="array" aca="1" ref="AG25" ca="1">SUMPRODUCT(AG$55:AG$114,TRANSPOSE(SAP_Speadsheet!$E$89:$BL$89))</f>
        <v>#REF!</v>
      </c>
      <c r="AH25" s="365" t="e" cm="1">
        <f t="array" aca="1" ref="AH25" ca="1">SUMPRODUCT(AH$55:AH$114,TRANSPOSE(SAP_Speadsheet!$E$89:$BL$89))</f>
        <v>#REF!</v>
      </c>
      <c r="AI25" s="365" t="e" cm="1">
        <f t="array" aca="1" ref="AI25" ca="1">SUMPRODUCT(AI$55:AI$114,TRANSPOSE(SAP_Speadsheet!$E$89:$BL$89))</f>
        <v>#REF!</v>
      </c>
      <c r="AJ25" s="365" t="e" cm="1">
        <f t="array" aca="1" ref="AJ25" ca="1">SUMPRODUCT(AJ$55:AJ$114,TRANSPOSE(SAP_Speadsheet!$E$89:$BL$89))</f>
        <v>#REF!</v>
      </c>
      <c r="AK25" s="365" t="e" cm="1">
        <f t="array" aca="1" ref="AK25" ca="1">SUMPRODUCT(AK$55:AK$114,TRANSPOSE(SAP_Speadsheet!$E$89:$BL$89))</f>
        <v>#REF!</v>
      </c>
      <c r="AL25" s="365" t="e" cm="1">
        <f t="array" aca="1" ref="AL25" ca="1">SUMPRODUCT(AL$55:AL$114,TRANSPOSE(SAP_Speadsheet!$E$89:$BL$89))</f>
        <v>#REF!</v>
      </c>
      <c r="AM25" s="365" t="e" cm="1">
        <f t="array" aca="1" ref="AM25" ca="1">SUMPRODUCT(AM$55:AM$114,TRANSPOSE(SAP_Speadsheet!$E$89:$BL$89))</f>
        <v>#REF!</v>
      </c>
      <c r="AN25" s="365" t="e" cm="1">
        <f t="array" aca="1" ref="AN25" ca="1">SUMPRODUCT(AN$55:AN$114,TRANSPOSE(SAP_Speadsheet!$E$89:$BL$89))</f>
        <v>#REF!</v>
      </c>
      <c r="AO25" s="365" t="e" cm="1">
        <f t="array" aca="1" ref="AO25" ca="1">SUMPRODUCT(AO$55:AO$114,TRANSPOSE(SAP_Speadsheet!$E$89:$BL$89))</f>
        <v>#REF!</v>
      </c>
      <c r="AP25" s="365" t="e" cm="1">
        <f t="array" aca="1" ref="AP25" ca="1">SUMPRODUCT(AP$55:AP$114,TRANSPOSE(SAP_Speadsheet!$E$89:$BL$89))</f>
        <v>#REF!</v>
      </c>
      <c r="AQ25" s="365" t="e" cm="1">
        <f t="array" aca="1" ref="AQ25" ca="1">SUMPRODUCT(AQ$55:AQ$114,TRANSPOSE(SAP_Speadsheet!$E$89:$BL$89))</f>
        <v>#REF!</v>
      </c>
      <c r="AR25" s="365" t="e" cm="1">
        <f t="array" aca="1" ref="AR25" ca="1">SUMPRODUCT(AR$55:AR$114,TRANSPOSE(SAP_Speadsheet!$E$89:$BL$89))</f>
        <v>#REF!</v>
      </c>
      <c r="AS25" s="365" t="e" cm="1">
        <f t="array" aca="1" ref="AS25" ca="1">SUMPRODUCT(AS$55:AS$114,TRANSPOSE(SAP_Speadsheet!$E$89:$BL$89))</f>
        <v>#REF!</v>
      </c>
      <c r="AT25" s="365" t="e" cm="1">
        <f t="array" aca="1" ref="AT25" ca="1">SUMPRODUCT(AT$55:AT$114,TRANSPOSE(SAP_Speadsheet!$E$89:$BL$89))</f>
        <v>#REF!</v>
      </c>
      <c r="AU25" s="365" t="e" cm="1">
        <f t="array" aca="1" ref="AU25" ca="1">SUMPRODUCT(AU$55:AU$114,TRANSPOSE(SAP_Speadsheet!$E$89:$BL$89))</f>
        <v>#REF!</v>
      </c>
      <c r="AV25" s="365" t="e" cm="1">
        <f t="array" aca="1" ref="AV25" ca="1">SUMPRODUCT(AV$55:AV$114,TRANSPOSE(SAP_Speadsheet!$E$89:$BL$89))</f>
        <v>#REF!</v>
      </c>
      <c r="AW25" s="365" t="e" cm="1">
        <f t="array" aca="1" ref="AW25" ca="1">SUMPRODUCT(AW$55:AW$114,TRANSPOSE(SAP_Speadsheet!$E$89:$BL$89))</f>
        <v>#REF!</v>
      </c>
      <c r="AX25" s="365" t="e" cm="1">
        <f t="array" aca="1" ref="AX25" ca="1">SUMPRODUCT(AX$55:AX$114,TRANSPOSE(SAP_Speadsheet!$E$89:$BL$89))</f>
        <v>#REF!</v>
      </c>
      <c r="AY25" s="365" t="e" cm="1">
        <f t="array" aca="1" ref="AY25" ca="1">SUMPRODUCT(AY$55:AY$114,TRANSPOSE(SAP_Speadsheet!$E$89:$BL$89))</f>
        <v>#REF!</v>
      </c>
      <c r="AZ25" s="365" t="e" cm="1">
        <f t="array" aca="1" ref="AZ25" ca="1">SUMPRODUCT(AZ$55:AZ$114,TRANSPOSE(SAP_Speadsheet!$E$89:$BL$89))</f>
        <v>#REF!</v>
      </c>
      <c r="BA25" s="365" t="e" cm="1">
        <f t="array" aca="1" ref="BA25" ca="1">SUMPRODUCT(BA$55:BA$114,TRANSPOSE(SAP_Speadsheet!$E$89:$BL$89))</f>
        <v>#REF!</v>
      </c>
      <c r="BB25" s="365" t="e" cm="1">
        <f t="array" aca="1" ref="BB25" ca="1">SUMPRODUCT(BB$55:BB$114,TRANSPOSE(SAP_Speadsheet!$E$89:$BL$89))</f>
        <v>#REF!</v>
      </c>
      <c r="BC25" s="365" t="e" cm="1">
        <f t="array" aca="1" ref="BC25" ca="1">SUMPRODUCT(BC$55:BC$114,TRANSPOSE(SAP_Speadsheet!$E$89:$BL$89))</f>
        <v>#REF!</v>
      </c>
      <c r="BD25" s="365" t="e" cm="1">
        <f t="array" aca="1" ref="BD25" ca="1">SUMPRODUCT(BD$55:BD$114,TRANSPOSE(SAP_Speadsheet!$E$89:$BL$89))</f>
        <v>#REF!</v>
      </c>
      <c r="BE25" s="365" t="e" cm="1">
        <f t="array" aca="1" ref="BE25" ca="1">SUMPRODUCT(BE$55:BE$114,TRANSPOSE(SAP_Speadsheet!$E$89:$BL$89))</f>
        <v>#REF!</v>
      </c>
      <c r="BF25" s="365" t="e" cm="1">
        <f t="array" aca="1" ref="BF25" ca="1">SUMPRODUCT(BF$55:BF$114,TRANSPOSE(SAP_Speadsheet!$E$89:$BL$89))</f>
        <v>#REF!</v>
      </c>
      <c r="BG25" s="365" t="e" cm="1">
        <f t="array" aca="1" ref="BG25" ca="1">SUMPRODUCT(BG$55:BG$114,TRANSPOSE(SAP_Speadsheet!$E$89:$BL$89))</f>
        <v>#REF!</v>
      </c>
      <c r="BH25" s="365" t="e" cm="1">
        <f t="array" aca="1" ref="BH25" ca="1">SUMPRODUCT(BH$55:BH$114,TRANSPOSE(SAP_Speadsheet!$E$89:$BL$89))</f>
        <v>#REF!</v>
      </c>
      <c r="BI25" s="365" t="e" cm="1">
        <f t="array" aca="1" ref="BI25" ca="1">SUMPRODUCT(BI$55:BI$114,TRANSPOSE(SAP_Speadsheet!$E$89:$BL$89))</f>
        <v>#REF!</v>
      </c>
    </row>
    <row r="26" spans="1:61" x14ac:dyDescent="0.15">
      <c r="A26" s="354" t="s">
        <v>225</v>
      </c>
      <c r="B26" s="365" cm="1">
        <f t="array" aca="1" ref="B26" ca="1">SUMPRODUCT(B$55:B$114,TRANSPOSE(SAP_Speadsheet!$E$90:$BL$90))</f>
        <v>0</v>
      </c>
      <c r="C26" s="365" cm="1">
        <f t="array" aca="1" ref="C26" ca="1">SUMPRODUCT(C$55:C$114,TRANSPOSE(SAP_Speadsheet!$E$90:$BL$90))</f>
        <v>0</v>
      </c>
      <c r="D26" s="365" cm="1">
        <f t="array" aca="1" ref="D26" ca="1">SUMPRODUCT(D$55:D$114,TRANSPOSE(SAP_Speadsheet!$E$90:$BL$90))</f>
        <v>0</v>
      </c>
      <c r="E26" s="365" cm="1">
        <f t="array" aca="1" ref="E26" ca="1">SUMPRODUCT(E$55:E$114,TRANSPOSE(SAP_Speadsheet!$E$90:$BL$90))</f>
        <v>0</v>
      </c>
      <c r="F26" s="365" cm="1">
        <f t="array" aca="1" ref="F26" ca="1">SUMPRODUCT(F$55:F$114,TRANSPOSE(SAP_Speadsheet!$E$90:$BL$90))</f>
        <v>0</v>
      </c>
      <c r="G26" s="365" cm="1">
        <f t="array" aca="1" ref="G26" ca="1">SUMPRODUCT(G$55:G$114,TRANSPOSE(SAP_Speadsheet!$E$90:$BL$90))</f>
        <v>0</v>
      </c>
      <c r="H26" s="365" t="e" cm="1">
        <f t="array" aca="1" ref="H26" ca="1">SUMPRODUCT(H$55:H$114,TRANSPOSE(SAP_Speadsheet!$E$90:$BL$90))</f>
        <v>#REF!</v>
      </c>
      <c r="I26" s="365" t="e" cm="1">
        <f t="array" aca="1" ref="I26" ca="1">SUMPRODUCT(I$55:I$114,TRANSPOSE(SAP_Speadsheet!$E$90:$BL$90))</f>
        <v>#REF!</v>
      </c>
      <c r="J26" s="365" t="e" cm="1">
        <f t="array" aca="1" ref="J26" ca="1">SUMPRODUCT(J$55:J$114,TRANSPOSE(SAP_Speadsheet!$E$90:$BL$90))</f>
        <v>#REF!</v>
      </c>
      <c r="K26" s="365" t="e" cm="1">
        <f t="array" aca="1" ref="K26" ca="1">SUMPRODUCT(K$55:K$114,TRANSPOSE(SAP_Speadsheet!$E$90:$BL$90))</f>
        <v>#REF!</v>
      </c>
      <c r="L26" s="365" t="e" cm="1">
        <f t="array" aca="1" ref="L26" ca="1">SUMPRODUCT(L$55:L$114,TRANSPOSE(SAP_Speadsheet!$E$90:$BL$90))</f>
        <v>#REF!</v>
      </c>
      <c r="M26" s="365" t="e" cm="1">
        <f t="array" aca="1" ref="M26" ca="1">SUMPRODUCT(M$55:M$114,TRANSPOSE(SAP_Speadsheet!$E$90:$BL$90))</f>
        <v>#REF!</v>
      </c>
      <c r="N26" s="365" t="e" cm="1">
        <f t="array" aca="1" ref="N26" ca="1">SUMPRODUCT(N$55:N$114,TRANSPOSE(SAP_Speadsheet!$E$90:$BL$90))</f>
        <v>#REF!</v>
      </c>
      <c r="O26" s="365" t="e" cm="1">
        <f t="array" aca="1" ref="O26" ca="1">SUMPRODUCT(O$55:O$114,TRANSPOSE(SAP_Speadsheet!$E$90:$BL$90))</f>
        <v>#REF!</v>
      </c>
      <c r="P26" s="365" t="e" cm="1">
        <f t="array" aca="1" ref="P26" ca="1">SUMPRODUCT(P$55:P$114,TRANSPOSE(SAP_Speadsheet!$E$90:$BL$90))</f>
        <v>#REF!</v>
      </c>
      <c r="Q26" s="365" t="e" cm="1">
        <f t="array" aca="1" ref="Q26" ca="1">SUMPRODUCT(Q$55:Q$114,TRANSPOSE(SAP_Speadsheet!$E$90:$BL$90))</f>
        <v>#REF!</v>
      </c>
      <c r="R26" s="365" t="e" cm="1">
        <f t="array" aca="1" ref="R26" ca="1">SUMPRODUCT(R$55:R$114,TRANSPOSE(SAP_Speadsheet!$E$90:$BL$90))</f>
        <v>#REF!</v>
      </c>
      <c r="S26" s="365" t="e" cm="1">
        <f t="array" aca="1" ref="S26" ca="1">SUMPRODUCT(S$55:S$114,TRANSPOSE(SAP_Speadsheet!$E$90:$BL$90))</f>
        <v>#REF!</v>
      </c>
      <c r="T26" s="365" t="e" cm="1">
        <f t="array" aca="1" ref="T26" ca="1">SUMPRODUCT(T$55:T$114,TRANSPOSE(SAP_Speadsheet!$E$90:$BL$90))</f>
        <v>#REF!</v>
      </c>
      <c r="U26" s="365" t="e" cm="1">
        <f t="array" aca="1" ref="U26" ca="1">SUMPRODUCT(U$55:U$114,TRANSPOSE(SAP_Speadsheet!$E$90:$BL$90))</f>
        <v>#REF!</v>
      </c>
      <c r="V26" s="365" t="e" cm="1">
        <f t="array" aca="1" ref="V26" ca="1">SUMPRODUCT(V$55:V$114,TRANSPOSE(SAP_Speadsheet!$E$90:$BL$90))</f>
        <v>#REF!</v>
      </c>
      <c r="W26" s="365" t="e" cm="1">
        <f t="array" aca="1" ref="W26" ca="1">SUMPRODUCT(W$55:W$114,TRANSPOSE(SAP_Speadsheet!$E$90:$BL$90))</f>
        <v>#REF!</v>
      </c>
      <c r="X26" s="365" t="e" cm="1">
        <f t="array" aca="1" ref="X26" ca="1">SUMPRODUCT(X$55:X$114,TRANSPOSE(SAP_Speadsheet!$E$90:$BL$90))</f>
        <v>#REF!</v>
      </c>
      <c r="Y26" s="365" t="e" cm="1">
        <f t="array" aca="1" ref="Y26" ca="1">SUMPRODUCT(Y$55:Y$114,TRANSPOSE(SAP_Speadsheet!$E$90:$BL$90))</f>
        <v>#REF!</v>
      </c>
      <c r="Z26" s="365" t="e" cm="1">
        <f t="array" aca="1" ref="Z26" ca="1">SUMPRODUCT(Z$55:Z$114,TRANSPOSE(SAP_Speadsheet!$E$90:$BL$90))</f>
        <v>#REF!</v>
      </c>
      <c r="AA26" s="365" t="e" cm="1">
        <f t="array" aca="1" ref="AA26" ca="1">SUMPRODUCT(AA$55:AA$114,TRANSPOSE(SAP_Speadsheet!$E$90:$BL$90))</f>
        <v>#REF!</v>
      </c>
      <c r="AB26" s="365" t="e" cm="1">
        <f t="array" aca="1" ref="AB26" ca="1">SUMPRODUCT(AB$55:AB$114,TRANSPOSE(SAP_Speadsheet!$E$90:$BL$90))</f>
        <v>#REF!</v>
      </c>
      <c r="AC26" s="365" t="e" cm="1">
        <f t="array" aca="1" ref="AC26" ca="1">SUMPRODUCT(AC$55:AC$114,TRANSPOSE(SAP_Speadsheet!$E$90:$BL$90))</f>
        <v>#REF!</v>
      </c>
      <c r="AD26" s="365" t="e" cm="1">
        <f t="array" aca="1" ref="AD26" ca="1">SUMPRODUCT(AD$55:AD$114,TRANSPOSE(SAP_Speadsheet!$E$90:$BL$90))</f>
        <v>#REF!</v>
      </c>
      <c r="AE26" s="365" t="e" cm="1">
        <f t="array" aca="1" ref="AE26" ca="1">SUMPRODUCT(AE$55:AE$114,TRANSPOSE(SAP_Speadsheet!$E$90:$BL$90))</f>
        <v>#REF!</v>
      </c>
      <c r="AF26" s="365" t="e" cm="1">
        <f t="array" aca="1" ref="AF26" ca="1">SUMPRODUCT(AF$55:AF$114,TRANSPOSE(SAP_Speadsheet!$E$90:$BL$90))</f>
        <v>#REF!</v>
      </c>
      <c r="AG26" s="365" t="e" cm="1">
        <f t="array" aca="1" ref="AG26" ca="1">SUMPRODUCT(AG$55:AG$114,TRANSPOSE(SAP_Speadsheet!$E$90:$BL$90))</f>
        <v>#REF!</v>
      </c>
      <c r="AH26" s="365" t="e" cm="1">
        <f t="array" aca="1" ref="AH26" ca="1">SUMPRODUCT(AH$55:AH$114,TRANSPOSE(SAP_Speadsheet!$E$90:$BL$90))</f>
        <v>#REF!</v>
      </c>
      <c r="AI26" s="365" t="e" cm="1">
        <f t="array" aca="1" ref="AI26" ca="1">SUMPRODUCT(AI$55:AI$114,TRANSPOSE(SAP_Speadsheet!$E$90:$BL$90))</f>
        <v>#REF!</v>
      </c>
      <c r="AJ26" s="365" t="e" cm="1">
        <f t="array" aca="1" ref="AJ26" ca="1">SUMPRODUCT(AJ$55:AJ$114,TRANSPOSE(SAP_Speadsheet!$E$90:$BL$90))</f>
        <v>#REF!</v>
      </c>
      <c r="AK26" s="365" t="e" cm="1">
        <f t="array" aca="1" ref="AK26" ca="1">SUMPRODUCT(AK$55:AK$114,TRANSPOSE(SAP_Speadsheet!$E$90:$BL$90))</f>
        <v>#REF!</v>
      </c>
      <c r="AL26" s="365" t="e" cm="1">
        <f t="array" aca="1" ref="AL26" ca="1">SUMPRODUCT(AL$55:AL$114,TRANSPOSE(SAP_Speadsheet!$E$90:$BL$90))</f>
        <v>#REF!</v>
      </c>
      <c r="AM26" s="365" t="e" cm="1">
        <f t="array" aca="1" ref="AM26" ca="1">SUMPRODUCT(AM$55:AM$114,TRANSPOSE(SAP_Speadsheet!$E$90:$BL$90))</f>
        <v>#REF!</v>
      </c>
      <c r="AN26" s="365" t="e" cm="1">
        <f t="array" aca="1" ref="AN26" ca="1">SUMPRODUCT(AN$55:AN$114,TRANSPOSE(SAP_Speadsheet!$E$90:$BL$90))</f>
        <v>#REF!</v>
      </c>
      <c r="AO26" s="365" t="e" cm="1">
        <f t="array" aca="1" ref="AO26" ca="1">SUMPRODUCT(AO$55:AO$114,TRANSPOSE(SAP_Speadsheet!$E$90:$BL$90))</f>
        <v>#REF!</v>
      </c>
      <c r="AP26" s="365" t="e" cm="1">
        <f t="array" aca="1" ref="AP26" ca="1">SUMPRODUCT(AP$55:AP$114,TRANSPOSE(SAP_Speadsheet!$E$90:$BL$90))</f>
        <v>#REF!</v>
      </c>
      <c r="AQ26" s="365" t="e" cm="1">
        <f t="array" aca="1" ref="AQ26" ca="1">SUMPRODUCT(AQ$55:AQ$114,TRANSPOSE(SAP_Speadsheet!$E$90:$BL$90))</f>
        <v>#REF!</v>
      </c>
      <c r="AR26" s="365" t="e" cm="1">
        <f t="array" aca="1" ref="AR26" ca="1">SUMPRODUCT(AR$55:AR$114,TRANSPOSE(SAP_Speadsheet!$E$90:$BL$90))</f>
        <v>#REF!</v>
      </c>
      <c r="AS26" s="365" t="e" cm="1">
        <f t="array" aca="1" ref="AS26" ca="1">SUMPRODUCT(AS$55:AS$114,TRANSPOSE(SAP_Speadsheet!$E$90:$BL$90))</f>
        <v>#REF!</v>
      </c>
      <c r="AT26" s="365" t="e" cm="1">
        <f t="array" aca="1" ref="AT26" ca="1">SUMPRODUCT(AT$55:AT$114,TRANSPOSE(SAP_Speadsheet!$E$90:$BL$90))</f>
        <v>#REF!</v>
      </c>
      <c r="AU26" s="365" t="e" cm="1">
        <f t="array" aca="1" ref="AU26" ca="1">SUMPRODUCT(AU$55:AU$114,TRANSPOSE(SAP_Speadsheet!$E$90:$BL$90))</f>
        <v>#REF!</v>
      </c>
      <c r="AV26" s="365" t="e" cm="1">
        <f t="array" aca="1" ref="AV26" ca="1">SUMPRODUCT(AV$55:AV$114,TRANSPOSE(SAP_Speadsheet!$E$90:$BL$90))</f>
        <v>#REF!</v>
      </c>
      <c r="AW26" s="365" t="e" cm="1">
        <f t="array" aca="1" ref="AW26" ca="1">SUMPRODUCT(AW$55:AW$114,TRANSPOSE(SAP_Speadsheet!$E$90:$BL$90))</f>
        <v>#REF!</v>
      </c>
      <c r="AX26" s="365" t="e" cm="1">
        <f t="array" aca="1" ref="AX26" ca="1">SUMPRODUCT(AX$55:AX$114,TRANSPOSE(SAP_Speadsheet!$E$90:$BL$90))</f>
        <v>#REF!</v>
      </c>
      <c r="AY26" s="365" t="e" cm="1">
        <f t="array" aca="1" ref="AY26" ca="1">SUMPRODUCT(AY$55:AY$114,TRANSPOSE(SAP_Speadsheet!$E$90:$BL$90))</f>
        <v>#REF!</v>
      </c>
      <c r="AZ26" s="365" t="e" cm="1">
        <f t="array" aca="1" ref="AZ26" ca="1">SUMPRODUCT(AZ$55:AZ$114,TRANSPOSE(SAP_Speadsheet!$E$90:$BL$90))</f>
        <v>#REF!</v>
      </c>
      <c r="BA26" s="365" t="e" cm="1">
        <f t="array" aca="1" ref="BA26" ca="1">SUMPRODUCT(BA$55:BA$114,TRANSPOSE(SAP_Speadsheet!$E$90:$BL$90))</f>
        <v>#REF!</v>
      </c>
      <c r="BB26" s="365" t="e" cm="1">
        <f t="array" aca="1" ref="BB26" ca="1">SUMPRODUCT(BB$55:BB$114,TRANSPOSE(SAP_Speadsheet!$E$90:$BL$90))</f>
        <v>#REF!</v>
      </c>
      <c r="BC26" s="365" t="e" cm="1">
        <f t="array" aca="1" ref="BC26" ca="1">SUMPRODUCT(BC$55:BC$114,TRANSPOSE(SAP_Speadsheet!$E$90:$BL$90))</f>
        <v>#REF!</v>
      </c>
      <c r="BD26" s="365" t="e" cm="1">
        <f t="array" aca="1" ref="BD26" ca="1">SUMPRODUCT(BD$55:BD$114,TRANSPOSE(SAP_Speadsheet!$E$90:$BL$90))</f>
        <v>#REF!</v>
      </c>
      <c r="BE26" s="365" t="e" cm="1">
        <f t="array" aca="1" ref="BE26" ca="1">SUMPRODUCT(BE$55:BE$114,TRANSPOSE(SAP_Speadsheet!$E$90:$BL$90))</f>
        <v>#REF!</v>
      </c>
      <c r="BF26" s="365" t="e" cm="1">
        <f t="array" aca="1" ref="BF26" ca="1">SUMPRODUCT(BF$55:BF$114,TRANSPOSE(SAP_Speadsheet!$E$90:$BL$90))</f>
        <v>#REF!</v>
      </c>
      <c r="BG26" s="365" t="e" cm="1">
        <f t="array" aca="1" ref="BG26" ca="1">SUMPRODUCT(BG$55:BG$114,TRANSPOSE(SAP_Speadsheet!$E$90:$BL$90))</f>
        <v>#REF!</v>
      </c>
      <c r="BH26" s="365" t="e" cm="1">
        <f t="array" aca="1" ref="BH26" ca="1">SUMPRODUCT(BH$55:BH$114,TRANSPOSE(SAP_Speadsheet!$E$90:$BL$90))</f>
        <v>#REF!</v>
      </c>
      <c r="BI26" s="365" t="e" cm="1">
        <f t="array" aca="1" ref="BI26" ca="1">SUMPRODUCT(BI$55:BI$114,TRANSPOSE(SAP_Speadsheet!$E$90:$BL$90))</f>
        <v>#REF!</v>
      </c>
    </row>
    <row r="27" spans="1:61" x14ac:dyDescent="0.15">
      <c r="A27" s="354" t="s">
        <v>456</v>
      </c>
      <c r="B27" s="365" cm="1">
        <f t="array" aca="1" ref="B27" ca="1">SUMPRODUCT(B$55:B$114,TRANSPOSE(SAP_Speadsheet!$E$91:$BL$91))</f>
        <v>0</v>
      </c>
      <c r="C27" s="365" cm="1">
        <f t="array" aca="1" ref="C27" ca="1">SUMPRODUCT(C$55:C$114,TRANSPOSE(SAP_Speadsheet!$E$91:$BL$91))</f>
        <v>0</v>
      </c>
      <c r="D27" s="365" cm="1">
        <f t="array" aca="1" ref="D27" ca="1">SUMPRODUCT(D$55:D$114,TRANSPOSE(SAP_Speadsheet!$E$91:$BL$91))</f>
        <v>0</v>
      </c>
      <c r="E27" s="365" cm="1">
        <f t="array" aca="1" ref="E27" ca="1">SUMPRODUCT(E$55:E$114,TRANSPOSE(SAP_Speadsheet!$E$91:$BL$91))</f>
        <v>0</v>
      </c>
      <c r="F27" s="365" cm="1">
        <f t="array" aca="1" ref="F27" ca="1">SUMPRODUCT(F$55:F$114,TRANSPOSE(SAP_Speadsheet!$E$91:$BL$91))</f>
        <v>0</v>
      </c>
      <c r="G27" s="365" cm="1">
        <f t="array" aca="1" ref="G27" ca="1">SUMPRODUCT(G$55:G$114,TRANSPOSE(SAP_Speadsheet!$E$91:$BL$91))</f>
        <v>0</v>
      </c>
      <c r="H27" s="365" t="e" cm="1">
        <f t="array" aca="1" ref="H27" ca="1">SUMPRODUCT(H$55:H$114,TRANSPOSE(SAP_Speadsheet!$E$91:$BL$91))</f>
        <v>#REF!</v>
      </c>
      <c r="I27" s="365" t="e" cm="1">
        <f t="array" aca="1" ref="I27" ca="1">SUMPRODUCT(I$55:I$114,TRANSPOSE(SAP_Speadsheet!$E$91:$BL$91))</f>
        <v>#REF!</v>
      </c>
      <c r="J27" s="365" t="e" cm="1">
        <f t="array" aca="1" ref="J27" ca="1">SUMPRODUCT(J$55:J$114,TRANSPOSE(SAP_Speadsheet!$E$91:$BL$91))</f>
        <v>#REF!</v>
      </c>
      <c r="K27" s="365" t="e" cm="1">
        <f t="array" aca="1" ref="K27" ca="1">SUMPRODUCT(K$55:K$114,TRANSPOSE(SAP_Speadsheet!$E$91:$BL$91))</f>
        <v>#REF!</v>
      </c>
      <c r="L27" s="365" t="e" cm="1">
        <f t="array" aca="1" ref="L27" ca="1">SUMPRODUCT(L$55:L$114,TRANSPOSE(SAP_Speadsheet!$E$91:$BL$91))</f>
        <v>#REF!</v>
      </c>
      <c r="M27" s="365" t="e" cm="1">
        <f t="array" aca="1" ref="M27" ca="1">SUMPRODUCT(M$55:M$114,TRANSPOSE(SAP_Speadsheet!$E$91:$BL$91))</f>
        <v>#REF!</v>
      </c>
      <c r="N27" s="365" t="e" cm="1">
        <f t="array" aca="1" ref="N27" ca="1">SUMPRODUCT(N$55:N$114,TRANSPOSE(SAP_Speadsheet!$E$91:$BL$91))</f>
        <v>#REF!</v>
      </c>
      <c r="O27" s="365" t="e" cm="1">
        <f t="array" aca="1" ref="O27" ca="1">SUMPRODUCT(O$55:O$114,TRANSPOSE(SAP_Speadsheet!$E$91:$BL$91))</f>
        <v>#REF!</v>
      </c>
      <c r="P27" s="365" t="e" cm="1">
        <f t="array" aca="1" ref="P27" ca="1">SUMPRODUCT(P$55:P$114,TRANSPOSE(SAP_Speadsheet!$E$91:$BL$91))</f>
        <v>#REF!</v>
      </c>
      <c r="Q27" s="365" t="e" cm="1">
        <f t="array" aca="1" ref="Q27" ca="1">SUMPRODUCT(Q$55:Q$114,TRANSPOSE(SAP_Speadsheet!$E$91:$BL$91))</f>
        <v>#REF!</v>
      </c>
      <c r="R27" s="365" t="e" cm="1">
        <f t="array" aca="1" ref="R27" ca="1">SUMPRODUCT(R$55:R$114,TRANSPOSE(SAP_Speadsheet!$E$91:$BL$91))</f>
        <v>#REF!</v>
      </c>
      <c r="S27" s="365" t="e" cm="1">
        <f t="array" aca="1" ref="S27" ca="1">SUMPRODUCT(S$55:S$114,TRANSPOSE(SAP_Speadsheet!$E$91:$BL$91))</f>
        <v>#REF!</v>
      </c>
      <c r="T27" s="365" t="e" cm="1">
        <f t="array" aca="1" ref="T27" ca="1">SUMPRODUCT(T$55:T$114,TRANSPOSE(SAP_Speadsheet!$E$91:$BL$91))</f>
        <v>#REF!</v>
      </c>
      <c r="U27" s="365" t="e" cm="1">
        <f t="array" aca="1" ref="U27" ca="1">SUMPRODUCT(U$55:U$114,TRANSPOSE(SAP_Speadsheet!$E$91:$BL$91))</f>
        <v>#REF!</v>
      </c>
      <c r="V27" s="365" t="e" cm="1">
        <f t="array" aca="1" ref="V27" ca="1">SUMPRODUCT(V$55:V$114,TRANSPOSE(SAP_Speadsheet!$E$91:$BL$91))</f>
        <v>#REF!</v>
      </c>
      <c r="W27" s="365" t="e" cm="1">
        <f t="array" aca="1" ref="W27" ca="1">SUMPRODUCT(W$55:W$114,TRANSPOSE(SAP_Speadsheet!$E$91:$BL$91))</f>
        <v>#REF!</v>
      </c>
      <c r="X27" s="365" t="e" cm="1">
        <f t="array" aca="1" ref="X27" ca="1">SUMPRODUCT(X$55:X$114,TRANSPOSE(SAP_Speadsheet!$E$91:$BL$91))</f>
        <v>#REF!</v>
      </c>
      <c r="Y27" s="365" t="e" cm="1">
        <f t="array" aca="1" ref="Y27" ca="1">SUMPRODUCT(Y$55:Y$114,TRANSPOSE(SAP_Speadsheet!$E$91:$BL$91))</f>
        <v>#REF!</v>
      </c>
      <c r="Z27" s="365" t="e" cm="1">
        <f t="array" aca="1" ref="Z27" ca="1">SUMPRODUCT(Z$55:Z$114,TRANSPOSE(SAP_Speadsheet!$E$91:$BL$91))</f>
        <v>#REF!</v>
      </c>
      <c r="AA27" s="365" t="e" cm="1">
        <f t="array" aca="1" ref="AA27" ca="1">SUMPRODUCT(AA$55:AA$114,TRANSPOSE(SAP_Speadsheet!$E$91:$BL$91))</f>
        <v>#REF!</v>
      </c>
      <c r="AB27" s="365" t="e" cm="1">
        <f t="array" aca="1" ref="AB27" ca="1">SUMPRODUCT(AB$55:AB$114,TRANSPOSE(SAP_Speadsheet!$E$91:$BL$91))</f>
        <v>#REF!</v>
      </c>
      <c r="AC27" s="365" t="e" cm="1">
        <f t="array" aca="1" ref="AC27" ca="1">SUMPRODUCT(AC$55:AC$114,TRANSPOSE(SAP_Speadsheet!$E$91:$BL$91))</f>
        <v>#REF!</v>
      </c>
      <c r="AD27" s="365" t="e" cm="1">
        <f t="array" aca="1" ref="AD27" ca="1">SUMPRODUCT(AD$55:AD$114,TRANSPOSE(SAP_Speadsheet!$E$91:$BL$91))</f>
        <v>#REF!</v>
      </c>
      <c r="AE27" s="365" t="e" cm="1">
        <f t="array" aca="1" ref="AE27" ca="1">SUMPRODUCT(AE$55:AE$114,TRANSPOSE(SAP_Speadsheet!$E$91:$BL$91))</f>
        <v>#REF!</v>
      </c>
      <c r="AF27" s="365" t="e" cm="1">
        <f t="array" aca="1" ref="AF27" ca="1">SUMPRODUCT(AF$55:AF$114,TRANSPOSE(SAP_Speadsheet!$E$91:$BL$91))</f>
        <v>#REF!</v>
      </c>
      <c r="AG27" s="365" t="e" cm="1">
        <f t="array" aca="1" ref="AG27" ca="1">SUMPRODUCT(AG$55:AG$114,TRANSPOSE(SAP_Speadsheet!$E$91:$BL$91))</f>
        <v>#REF!</v>
      </c>
      <c r="AH27" s="365" t="e" cm="1">
        <f t="array" aca="1" ref="AH27" ca="1">SUMPRODUCT(AH$55:AH$114,TRANSPOSE(SAP_Speadsheet!$E$91:$BL$91))</f>
        <v>#REF!</v>
      </c>
      <c r="AI27" s="365" t="e" cm="1">
        <f t="array" aca="1" ref="AI27" ca="1">SUMPRODUCT(AI$55:AI$114,TRANSPOSE(SAP_Speadsheet!$E$91:$BL$91))</f>
        <v>#REF!</v>
      </c>
      <c r="AJ27" s="365" t="e" cm="1">
        <f t="array" aca="1" ref="AJ27" ca="1">SUMPRODUCT(AJ$55:AJ$114,TRANSPOSE(SAP_Speadsheet!$E$91:$BL$91))</f>
        <v>#REF!</v>
      </c>
      <c r="AK27" s="365" t="e" cm="1">
        <f t="array" aca="1" ref="AK27" ca="1">SUMPRODUCT(AK$55:AK$114,TRANSPOSE(SAP_Speadsheet!$E$91:$BL$91))</f>
        <v>#REF!</v>
      </c>
      <c r="AL27" s="365" t="e" cm="1">
        <f t="array" aca="1" ref="AL27" ca="1">SUMPRODUCT(AL$55:AL$114,TRANSPOSE(SAP_Speadsheet!$E$91:$BL$91))</f>
        <v>#REF!</v>
      </c>
      <c r="AM27" s="365" t="e" cm="1">
        <f t="array" aca="1" ref="AM27" ca="1">SUMPRODUCT(AM$55:AM$114,TRANSPOSE(SAP_Speadsheet!$E$91:$BL$91))</f>
        <v>#REF!</v>
      </c>
      <c r="AN27" s="365" t="e" cm="1">
        <f t="array" aca="1" ref="AN27" ca="1">SUMPRODUCT(AN$55:AN$114,TRANSPOSE(SAP_Speadsheet!$E$91:$BL$91))</f>
        <v>#REF!</v>
      </c>
      <c r="AO27" s="365" t="e" cm="1">
        <f t="array" aca="1" ref="AO27" ca="1">SUMPRODUCT(AO$55:AO$114,TRANSPOSE(SAP_Speadsheet!$E$91:$BL$91))</f>
        <v>#REF!</v>
      </c>
      <c r="AP27" s="365" t="e" cm="1">
        <f t="array" aca="1" ref="AP27" ca="1">SUMPRODUCT(AP$55:AP$114,TRANSPOSE(SAP_Speadsheet!$E$91:$BL$91))</f>
        <v>#REF!</v>
      </c>
      <c r="AQ27" s="365" t="e" cm="1">
        <f t="array" aca="1" ref="AQ27" ca="1">SUMPRODUCT(AQ$55:AQ$114,TRANSPOSE(SAP_Speadsheet!$E$91:$BL$91))</f>
        <v>#REF!</v>
      </c>
      <c r="AR27" s="365" t="e" cm="1">
        <f t="array" aca="1" ref="AR27" ca="1">SUMPRODUCT(AR$55:AR$114,TRANSPOSE(SAP_Speadsheet!$E$91:$BL$91))</f>
        <v>#REF!</v>
      </c>
      <c r="AS27" s="365" t="e" cm="1">
        <f t="array" aca="1" ref="AS27" ca="1">SUMPRODUCT(AS$55:AS$114,TRANSPOSE(SAP_Speadsheet!$E$91:$BL$91))</f>
        <v>#REF!</v>
      </c>
      <c r="AT27" s="365" t="e" cm="1">
        <f t="array" aca="1" ref="AT27" ca="1">SUMPRODUCT(AT$55:AT$114,TRANSPOSE(SAP_Speadsheet!$E$91:$BL$91))</f>
        <v>#REF!</v>
      </c>
      <c r="AU27" s="365" t="e" cm="1">
        <f t="array" aca="1" ref="AU27" ca="1">SUMPRODUCT(AU$55:AU$114,TRANSPOSE(SAP_Speadsheet!$E$91:$BL$91))</f>
        <v>#REF!</v>
      </c>
      <c r="AV27" s="365" t="e" cm="1">
        <f t="array" aca="1" ref="AV27" ca="1">SUMPRODUCT(AV$55:AV$114,TRANSPOSE(SAP_Speadsheet!$E$91:$BL$91))</f>
        <v>#REF!</v>
      </c>
      <c r="AW27" s="365" t="e" cm="1">
        <f t="array" aca="1" ref="AW27" ca="1">SUMPRODUCT(AW$55:AW$114,TRANSPOSE(SAP_Speadsheet!$E$91:$BL$91))</f>
        <v>#REF!</v>
      </c>
      <c r="AX27" s="365" t="e" cm="1">
        <f t="array" aca="1" ref="AX27" ca="1">SUMPRODUCT(AX$55:AX$114,TRANSPOSE(SAP_Speadsheet!$E$91:$BL$91))</f>
        <v>#REF!</v>
      </c>
      <c r="AY27" s="365" t="e" cm="1">
        <f t="array" aca="1" ref="AY27" ca="1">SUMPRODUCT(AY$55:AY$114,TRANSPOSE(SAP_Speadsheet!$E$91:$BL$91))</f>
        <v>#REF!</v>
      </c>
      <c r="AZ27" s="365" t="e" cm="1">
        <f t="array" aca="1" ref="AZ27" ca="1">SUMPRODUCT(AZ$55:AZ$114,TRANSPOSE(SAP_Speadsheet!$E$91:$BL$91))</f>
        <v>#REF!</v>
      </c>
      <c r="BA27" s="365" t="e" cm="1">
        <f t="array" aca="1" ref="BA27" ca="1">SUMPRODUCT(BA$55:BA$114,TRANSPOSE(SAP_Speadsheet!$E$91:$BL$91))</f>
        <v>#REF!</v>
      </c>
      <c r="BB27" s="365" t="e" cm="1">
        <f t="array" aca="1" ref="BB27" ca="1">SUMPRODUCT(BB$55:BB$114,TRANSPOSE(SAP_Speadsheet!$E$91:$BL$91))</f>
        <v>#REF!</v>
      </c>
      <c r="BC27" s="365" t="e" cm="1">
        <f t="array" aca="1" ref="BC27" ca="1">SUMPRODUCT(BC$55:BC$114,TRANSPOSE(SAP_Speadsheet!$E$91:$BL$91))</f>
        <v>#REF!</v>
      </c>
      <c r="BD27" s="365" t="e" cm="1">
        <f t="array" aca="1" ref="BD27" ca="1">SUMPRODUCT(BD$55:BD$114,TRANSPOSE(SAP_Speadsheet!$E$91:$BL$91))</f>
        <v>#REF!</v>
      </c>
      <c r="BE27" s="365" t="e" cm="1">
        <f t="array" aca="1" ref="BE27" ca="1">SUMPRODUCT(BE$55:BE$114,TRANSPOSE(SAP_Speadsheet!$E$91:$BL$91))</f>
        <v>#REF!</v>
      </c>
      <c r="BF27" s="365" t="e" cm="1">
        <f t="array" aca="1" ref="BF27" ca="1">SUMPRODUCT(BF$55:BF$114,TRANSPOSE(SAP_Speadsheet!$E$91:$BL$91))</f>
        <v>#REF!</v>
      </c>
      <c r="BG27" s="365" t="e" cm="1">
        <f t="array" aca="1" ref="BG27" ca="1">SUMPRODUCT(BG$55:BG$114,TRANSPOSE(SAP_Speadsheet!$E$91:$BL$91))</f>
        <v>#REF!</v>
      </c>
      <c r="BH27" s="365" t="e" cm="1">
        <f t="array" aca="1" ref="BH27" ca="1">SUMPRODUCT(BH$55:BH$114,TRANSPOSE(SAP_Speadsheet!$E$91:$BL$91))</f>
        <v>#REF!</v>
      </c>
      <c r="BI27" s="365" t="e" cm="1">
        <f t="array" aca="1" ref="BI27" ca="1">SUMPRODUCT(BI$55:BI$114,TRANSPOSE(SAP_Speadsheet!$E$91:$BL$91))</f>
        <v>#REF!</v>
      </c>
    </row>
    <row r="28" spans="1:61" x14ac:dyDescent="0.15">
      <c r="A28" s="366" t="s">
        <v>315</v>
      </c>
      <c r="B28" s="360" cm="1">
        <f t="array" aca="1" ref="B28" ca="1">SUMPRODUCT(B$55:B$114,TRANSPOSE(SAP_Speadsheet!$E$95:$BL$95))</f>
        <v>0</v>
      </c>
      <c r="C28" s="360" cm="1">
        <f t="array" aca="1" ref="C28" ca="1">SUMPRODUCT(C$55:C$114,TRANSPOSE(SAP_Speadsheet!$E$95:$BL$95))</f>
        <v>0</v>
      </c>
      <c r="D28" s="360" cm="1">
        <f t="array" aca="1" ref="D28" ca="1">SUMPRODUCT(D$55:D$114,TRANSPOSE(SAP_Speadsheet!$E$95:$BL$95))</f>
        <v>0</v>
      </c>
      <c r="E28" s="360" cm="1">
        <f t="array" aca="1" ref="E28" ca="1">SUMPRODUCT(E$55:E$114,TRANSPOSE(SAP_Speadsheet!$E$95:$BL$95))</f>
        <v>0</v>
      </c>
      <c r="F28" s="360" cm="1">
        <f t="array" aca="1" ref="F28" ca="1">SUMPRODUCT(F$55:F$114,TRANSPOSE(SAP_Speadsheet!$E$95:$BL$95))</f>
        <v>0</v>
      </c>
      <c r="G28" s="360" cm="1">
        <f t="array" aca="1" ref="G28" ca="1">SUMPRODUCT(G$55:G$114,TRANSPOSE(SAP_Speadsheet!$E$95:$BL$95))</f>
        <v>0</v>
      </c>
      <c r="H28" s="360" t="e" cm="1">
        <f t="array" aca="1" ref="H28" ca="1">SUMPRODUCT(H$55:H$114,TRANSPOSE(SAP_Speadsheet!$E$95:$BL$95))</f>
        <v>#REF!</v>
      </c>
      <c r="I28" s="360" t="e" cm="1">
        <f t="array" aca="1" ref="I28" ca="1">SUMPRODUCT(I$55:I$114,TRANSPOSE(SAP_Speadsheet!$E$95:$BL$95))</f>
        <v>#REF!</v>
      </c>
      <c r="J28" s="360" t="e" cm="1">
        <f t="array" aca="1" ref="J28" ca="1">SUMPRODUCT(J$55:J$114,TRANSPOSE(SAP_Speadsheet!$E$95:$BL$95))</f>
        <v>#REF!</v>
      </c>
      <c r="K28" s="360" t="e" cm="1">
        <f t="array" aca="1" ref="K28" ca="1">SUMPRODUCT(K$55:K$114,TRANSPOSE(SAP_Speadsheet!$E$95:$BL$95))</f>
        <v>#REF!</v>
      </c>
      <c r="L28" s="360" t="e" cm="1">
        <f t="array" aca="1" ref="L28" ca="1">SUMPRODUCT(L$55:L$114,TRANSPOSE(SAP_Speadsheet!$E$95:$BL$95))</f>
        <v>#REF!</v>
      </c>
      <c r="M28" s="360" t="e" cm="1">
        <f t="array" aca="1" ref="M28" ca="1">SUMPRODUCT(M$55:M$114,TRANSPOSE(SAP_Speadsheet!$E$95:$BL$95))</f>
        <v>#REF!</v>
      </c>
      <c r="N28" s="360" t="e" cm="1">
        <f t="array" aca="1" ref="N28" ca="1">SUMPRODUCT(N$55:N$114,TRANSPOSE(SAP_Speadsheet!$E$95:$BL$95))</f>
        <v>#REF!</v>
      </c>
      <c r="O28" s="360" t="e" cm="1">
        <f t="array" aca="1" ref="O28" ca="1">SUMPRODUCT(O$55:O$114,TRANSPOSE(SAP_Speadsheet!$E$95:$BL$95))</f>
        <v>#REF!</v>
      </c>
      <c r="P28" s="360" t="e" cm="1">
        <f t="array" aca="1" ref="P28" ca="1">SUMPRODUCT(P$55:P$114,TRANSPOSE(SAP_Speadsheet!$E$95:$BL$95))</f>
        <v>#REF!</v>
      </c>
      <c r="Q28" s="360" t="e" cm="1">
        <f t="array" aca="1" ref="Q28" ca="1">SUMPRODUCT(Q$55:Q$114,TRANSPOSE(SAP_Speadsheet!$E$95:$BL$95))</f>
        <v>#REF!</v>
      </c>
      <c r="R28" s="360" t="e" cm="1">
        <f t="array" aca="1" ref="R28" ca="1">SUMPRODUCT(R$55:R$114,TRANSPOSE(SAP_Speadsheet!$E$95:$BL$95))</f>
        <v>#REF!</v>
      </c>
      <c r="S28" s="360" t="e" cm="1">
        <f t="array" aca="1" ref="S28" ca="1">SUMPRODUCT(S$55:S$114,TRANSPOSE(SAP_Speadsheet!$E$95:$BL$95))</f>
        <v>#REF!</v>
      </c>
      <c r="T28" s="360" t="e" cm="1">
        <f t="array" aca="1" ref="T28" ca="1">SUMPRODUCT(T$55:T$114,TRANSPOSE(SAP_Speadsheet!$E$95:$BL$95))</f>
        <v>#REF!</v>
      </c>
      <c r="U28" s="360" t="e" cm="1">
        <f t="array" aca="1" ref="U28" ca="1">SUMPRODUCT(U$55:U$114,TRANSPOSE(SAP_Speadsheet!$E$95:$BL$95))</f>
        <v>#REF!</v>
      </c>
      <c r="V28" s="360" t="e" cm="1">
        <f t="array" aca="1" ref="V28" ca="1">SUMPRODUCT(V$55:V$114,TRANSPOSE(SAP_Speadsheet!$E$95:$BL$95))</f>
        <v>#REF!</v>
      </c>
      <c r="W28" s="360" t="e" cm="1">
        <f t="array" aca="1" ref="W28" ca="1">SUMPRODUCT(W$55:W$114,TRANSPOSE(SAP_Speadsheet!$E$95:$BL$95))</f>
        <v>#REF!</v>
      </c>
      <c r="X28" s="360" t="e" cm="1">
        <f t="array" aca="1" ref="X28" ca="1">SUMPRODUCT(X$55:X$114,TRANSPOSE(SAP_Speadsheet!$E$95:$BL$95))</f>
        <v>#REF!</v>
      </c>
      <c r="Y28" s="360" t="e" cm="1">
        <f t="array" aca="1" ref="Y28" ca="1">SUMPRODUCT(Y$55:Y$114,TRANSPOSE(SAP_Speadsheet!$E$95:$BL$95))</f>
        <v>#REF!</v>
      </c>
      <c r="Z28" s="360" t="e" cm="1">
        <f t="array" aca="1" ref="Z28" ca="1">SUMPRODUCT(Z$55:Z$114,TRANSPOSE(SAP_Speadsheet!$E$95:$BL$95))</f>
        <v>#REF!</v>
      </c>
      <c r="AA28" s="360" t="e" cm="1">
        <f t="array" aca="1" ref="AA28" ca="1">SUMPRODUCT(AA$55:AA$114,TRANSPOSE(SAP_Speadsheet!$E$95:$BL$95))</f>
        <v>#REF!</v>
      </c>
      <c r="AB28" s="360" t="e" cm="1">
        <f t="array" aca="1" ref="AB28" ca="1">SUMPRODUCT(AB$55:AB$114,TRANSPOSE(SAP_Speadsheet!$E$95:$BL$95))</f>
        <v>#REF!</v>
      </c>
      <c r="AC28" s="360" t="e" cm="1">
        <f t="array" aca="1" ref="AC28" ca="1">SUMPRODUCT(AC$55:AC$114,TRANSPOSE(SAP_Speadsheet!$E$95:$BL$95))</f>
        <v>#REF!</v>
      </c>
      <c r="AD28" s="360" t="e" cm="1">
        <f t="array" aca="1" ref="AD28" ca="1">SUMPRODUCT(AD$55:AD$114,TRANSPOSE(SAP_Speadsheet!$E$95:$BL$95))</f>
        <v>#REF!</v>
      </c>
      <c r="AE28" s="360" t="e" cm="1">
        <f t="array" aca="1" ref="AE28" ca="1">SUMPRODUCT(AE$55:AE$114,TRANSPOSE(SAP_Speadsheet!$E$95:$BL$95))</f>
        <v>#REF!</v>
      </c>
      <c r="AF28" s="360" t="e" cm="1">
        <f t="array" aca="1" ref="AF28" ca="1">SUMPRODUCT(AF$55:AF$114,TRANSPOSE(SAP_Speadsheet!$E$95:$BL$95))</f>
        <v>#REF!</v>
      </c>
      <c r="AG28" s="360" t="e" cm="1">
        <f t="array" aca="1" ref="AG28" ca="1">SUMPRODUCT(AG$55:AG$114,TRANSPOSE(SAP_Speadsheet!$E$95:$BL$95))</f>
        <v>#REF!</v>
      </c>
      <c r="AH28" s="360" t="e" cm="1">
        <f t="array" aca="1" ref="AH28" ca="1">SUMPRODUCT(AH$55:AH$114,TRANSPOSE(SAP_Speadsheet!$E$95:$BL$95))</f>
        <v>#REF!</v>
      </c>
      <c r="AI28" s="360" t="e" cm="1">
        <f t="array" aca="1" ref="AI28" ca="1">SUMPRODUCT(AI$55:AI$114,TRANSPOSE(SAP_Speadsheet!$E$95:$BL$95))</f>
        <v>#REF!</v>
      </c>
      <c r="AJ28" s="360" t="e" cm="1">
        <f t="array" aca="1" ref="AJ28" ca="1">SUMPRODUCT(AJ$55:AJ$114,TRANSPOSE(SAP_Speadsheet!$E$95:$BL$95))</f>
        <v>#REF!</v>
      </c>
      <c r="AK28" s="360" t="e" cm="1">
        <f t="array" aca="1" ref="AK28" ca="1">SUMPRODUCT(AK$55:AK$114,TRANSPOSE(SAP_Speadsheet!$E$95:$BL$95))</f>
        <v>#REF!</v>
      </c>
      <c r="AL28" s="360" t="e" cm="1">
        <f t="array" aca="1" ref="AL28" ca="1">SUMPRODUCT(AL$55:AL$114,TRANSPOSE(SAP_Speadsheet!$E$95:$BL$95))</f>
        <v>#REF!</v>
      </c>
      <c r="AM28" s="360" t="e" cm="1">
        <f t="array" aca="1" ref="AM28" ca="1">SUMPRODUCT(AM$55:AM$114,TRANSPOSE(SAP_Speadsheet!$E$95:$BL$95))</f>
        <v>#REF!</v>
      </c>
      <c r="AN28" s="360" t="e" cm="1">
        <f t="array" aca="1" ref="AN28" ca="1">SUMPRODUCT(AN$55:AN$114,TRANSPOSE(SAP_Speadsheet!$E$95:$BL$95))</f>
        <v>#REF!</v>
      </c>
      <c r="AO28" s="360" t="e" cm="1">
        <f t="array" aca="1" ref="AO28" ca="1">SUMPRODUCT(AO$55:AO$114,TRANSPOSE(SAP_Speadsheet!$E$95:$BL$95))</f>
        <v>#REF!</v>
      </c>
      <c r="AP28" s="360" t="e" cm="1">
        <f t="array" aca="1" ref="AP28" ca="1">SUMPRODUCT(AP$55:AP$114,TRANSPOSE(SAP_Speadsheet!$E$95:$BL$95))</f>
        <v>#REF!</v>
      </c>
      <c r="AQ28" s="360" t="e" cm="1">
        <f t="array" aca="1" ref="AQ28" ca="1">SUMPRODUCT(AQ$55:AQ$114,TRANSPOSE(SAP_Speadsheet!$E$95:$BL$95))</f>
        <v>#REF!</v>
      </c>
      <c r="AR28" s="360" t="e" cm="1">
        <f t="array" aca="1" ref="AR28" ca="1">SUMPRODUCT(AR$55:AR$114,TRANSPOSE(SAP_Speadsheet!$E$95:$BL$95))</f>
        <v>#REF!</v>
      </c>
      <c r="AS28" s="360" t="e" cm="1">
        <f t="array" aca="1" ref="AS28" ca="1">SUMPRODUCT(AS$55:AS$114,TRANSPOSE(SAP_Speadsheet!$E$95:$BL$95))</f>
        <v>#REF!</v>
      </c>
      <c r="AT28" s="360" t="e" cm="1">
        <f t="array" aca="1" ref="AT28" ca="1">SUMPRODUCT(AT$55:AT$114,TRANSPOSE(SAP_Speadsheet!$E$95:$BL$95))</f>
        <v>#REF!</v>
      </c>
      <c r="AU28" s="360" t="e" cm="1">
        <f t="array" aca="1" ref="AU28" ca="1">SUMPRODUCT(AU$55:AU$114,TRANSPOSE(SAP_Speadsheet!$E$95:$BL$95))</f>
        <v>#REF!</v>
      </c>
      <c r="AV28" s="360" t="e" cm="1">
        <f t="array" aca="1" ref="AV28" ca="1">SUMPRODUCT(AV$55:AV$114,TRANSPOSE(SAP_Speadsheet!$E$95:$BL$95))</f>
        <v>#REF!</v>
      </c>
      <c r="AW28" s="360" t="e" cm="1">
        <f t="array" aca="1" ref="AW28" ca="1">SUMPRODUCT(AW$55:AW$114,TRANSPOSE(SAP_Speadsheet!$E$95:$BL$95))</f>
        <v>#REF!</v>
      </c>
      <c r="AX28" s="360" t="e" cm="1">
        <f t="array" aca="1" ref="AX28" ca="1">SUMPRODUCT(AX$55:AX$114,TRANSPOSE(SAP_Speadsheet!$E$95:$BL$95))</f>
        <v>#REF!</v>
      </c>
      <c r="AY28" s="360" t="e" cm="1">
        <f t="array" aca="1" ref="AY28" ca="1">SUMPRODUCT(AY$55:AY$114,TRANSPOSE(SAP_Speadsheet!$E$95:$BL$95))</f>
        <v>#REF!</v>
      </c>
      <c r="AZ28" s="360" t="e" cm="1">
        <f t="array" aca="1" ref="AZ28" ca="1">SUMPRODUCT(AZ$55:AZ$114,TRANSPOSE(SAP_Speadsheet!$E$95:$BL$95))</f>
        <v>#REF!</v>
      </c>
      <c r="BA28" s="360" t="e" cm="1">
        <f t="array" aca="1" ref="BA28" ca="1">SUMPRODUCT(BA$55:BA$114,TRANSPOSE(SAP_Speadsheet!$E$95:$BL$95))</f>
        <v>#REF!</v>
      </c>
      <c r="BB28" s="360" t="e" cm="1">
        <f t="array" aca="1" ref="BB28" ca="1">SUMPRODUCT(BB$55:BB$114,TRANSPOSE(SAP_Speadsheet!$E$95:$BL$95))</f>
        <v>#REF!</v>
      </c>
      <c r="BC28" s="360" t="e" cm="1">
        <f t="array" aca="1" ref="BC28" ca="1">SUMPRODUCT(BC$55:BC$114,TRANSPOSE(SAP_Speadsheet!$E$95:$BL$95))</f>
        <v>#REF!</v>
      </c>
      <c r="BD28" s="360" t="e" cm="1">
        <f t="array" aca="1" ref="BD28" ca="1">SUMPRODUCT(BD$55:BD$114,TRANSPOSE(SAP_Speadsheet!$E$95:$BL$95))</f>
        <v>#REF!</v>
      </c>
      <c r="BE28" s="360" t="e" cm="1">
        <f t="array" aca="1" ref="BE28" ca="1">SUMPRODUCT(BE$55:BE$114,TRANSPOSE(SAP_Speadsheet!$E$95:$BL$95))</f>
        <v>#REF!</v>
      </c>
      <c r="BF28" s="360" t="e" cm="1">
        <f t="array" aca="1" ref="BF28" ca="1">SUMPRODUCT(BF$55:BF$114,TRANSPOSE(SAP_Speadsheet!$E$95:$BL$95))</f>
        <v>#REF!</v>
      </c>
      <c r="BG28" s="360" t="e" cm="1">
        <f t="array" aca="1" ref="BG28" ca="1">SUMPRODUCT(BG$55:BG$114,TRANSPOSE(SAP_Speadsheet!$E$95:$BL$95))</f>
        <v>#REF!</v>
      </c>
      <c r="BH28" s="360" t="e" cm="1">
        <f t="array" aca="1" ref="BH28" ca="1">SUMPRODUCT(BH$55:BH$114,TRANSPOSE(SAP_Speadsheet!$E$95:$BL$95))</f>
        <v>#REF!</v>
      </c>
      <c r="BI28" s="360" t="e" cm="1">
        <f t="array" aca="1" ref="BI28" ca="1">SUMPRODUCT(BI$55:BI$114,TRANSPOSE(SAP_Speadsheet!$E$95:$BL$95))</f>
        <v>#REF!</v>
      </c>
    </row>
    <row r="29" spans="1:61" x14ac:dyDescent="0.15">
      <c r="A29" s="353" t="s">
        <v>447</v>
      </c>
      <c r="B29" s="360" cm="1">
        <f t="array" aca="1" ref="B29" ca="1">SUMPRODUCT(B$55:B$114,TRANSPOSE(SAP_Speadsheet!$E$99:$BL$99))</f>
        <v>0</v>
      </c>
      <c r="C29" s="360" cm="1">
        <f t="array" aca="1" ref="C29" ca="1">SUMPRODUCT(C$55:C$114,TRANSPOSE(SAP_Speadsheet!$E$99:$BL$99))</f>
        <v>0</v>
      </c>
      <c r="D29" s="360" cm="1">
        <f t="array" aca="1" ref="D29" ca="1">SUMPRODUCT(D$55:D$114,TRANSPOSE(SAP_Speadsheet!$E$99:$BL$99))</f>
        <v>0</v>
      </c>
      <c r="E29" s="360" cm="1">
        <f t="array" aca="1" ref="E29" ca="1">SUMPRODUCT(E$55:E$114,TRANSPOSE(SAP_Speadsheet!$E$99:$BL$99))</f>
        <v>0</v>
      </c>
      <c r="F29" s="360" cm="1">
        <f t="array" aca="1" ref="F29" ca="1">SUMPRODUCT(F$55:F$114,TRANSPOSE(SAP_Speadsheet!$E$99:$BL$99))</f>
        <v>0</v>
      </c>
      <c r="G29" s="360" cm="1">
        <f t="array" aca="1" ref="G29" ca="1">SUMPRODUCT(G$55:G$114,TRANSPOSE(SAP_Speadsheet!$E$99:$BL$99))</f>
        <v>0</v>
      </c>
      <c r="H29" s="360" t="e" cm="1">
        <f t="array" aca="1" ref="H29" ca="1">SUMPRODUCT(H$55:H$114,TRANSPOSE(SAP_Speadsheet!$E$99:$BL$99))</f>
        <v>#REF!</v>
      </c>
      <c r="I29" s="360" t="e" cm="1">
        <f t="array" aca="1" ref="I29" ca="1">SUMPRODUCT(I$55:I$114,TRANSPOSE(SAP_Speadsheet!$E$99:$BL$99))</f>
        <v>#REF!</v>
      </c>
      <c r="J29" s="360" t="e" cm="1">
        <f t="array" aca="1" ref="J29" ca="1">SUMPRODUCT(J$55:J$114,TRANSPOSE(SAP_Speadsheet!$E$99:$BL$99))</f>
        <v>#REF!</v>
      </c>
      <c r="K29" s="360" t="e" cm="1">
        <f t="array" aca="1" ref="K29" ca="1">SUMPRODUCT(K$55:K$114,TRANSPOSE(SAP_Speadsheet!$E$99:$BL$99))</f>
        <v>#REF!</v>
      </c>
      <c r="L29" s="360" t="e" cm="1">
        <f t="array" aca="1" ref="L29" ca="1">SUMPRODUCT(L$55:L$114,TRANSPOSE(SAP_Speadsheet!$E$99:$BL$99))</f>
        <v>#REF!</v>
      </c>
      <c r="M29" s="360" t="e" cm="1">
        <f t="array" aca="1" ref="M29" ca="1">SUMPRODUCT(M$55:M$114,TRANSPOSE(SAP_Speadsheet!$E$99:$BL$99))</f>
        <v>#REF!</v>
      </c>
      <c r="N29" s="360" t="e" cm="1">
        <f t="array" aca="1" ref="N29" ca="1">SUMPRODUCT(N$55:N$114,TRANSPOSE(SAP_Speadsheet!$E$99:$BL$99))</f>
        <v>#REF!</v>
      </c>
      <c r="O29" s="360" t="e" cm="1">
        <f t="array" aca="1" ref="O29" ca="1">SUMPRODUCT(O$55:O$114,TRANSPOSE(SAP_Speadsheet!$E$99:$BL$99))</f>
        <v>#REF!</v>
      </c>
      <c r="P29" s="360" t="e" cm="1">
        <f t="array" aca="1" ref="P29" ca="1">SUMPRODUCT(P$55:P$114,TRANSPOSE(SAP_Speadsheet!$E$99:$BL$99))</f>
        <v>#REF!</v>
      </c>
      <c r="Q29" s="360" t="e" cm="1">
        <f t="array" aca="1" ref="Q29" ca="1">SUMPRODUCT(Q$55:Q$114,TRANSPOSE(SAP_Speadsheet!$E$99:$BL$99))</f>
        <v>#REF!</v>
      </c>
      <c r="R29" s="360" t="e" cm="1">
        <f t="array" aca="1" ref="R29" ca="1">SUMPRODUCT(R$55:R$114,TRANSPOSE(SAP_Speadsheet!$E$99:$BL$99))</f>
        <v>#REF!</v>
      </c>
      <c r="S29" s="360" t="e" cm="1">
        <f t="array" aca="1" ref="S29" ca="1">SUMPRODUCT(S$55:S$114,TRANSPOSE(SAP_Speadsheet!$E$99:$BL$99))</f>
        <v>#REF!</v>
      </c>
      <c r="T29" s="360" t="e" cm="1">
        <f t="array" aca="1" ref="T29" ca="1">SUMPRODUCT(T$55:T$114,TRANSPOSE(SAP_Speadsheet!$E$99:$BL$99))</f>
        <v>#REF!</v>
      </c>
      <c r="U29" s="360" t="e" cm="1">
        <f t="array" aca="1" ref="U29" ca="1">SUMPRODUCT(U$55:U$114,TRANSPOSE(SAP_Speadsheet!$E$99:$BL$99))</f>
        <v>#REF!</v>
      </c>
      <c r="V29" s="360" t="e" cm="1">
        <f t="array" aca="1" ref="V29" ca="1">SUMPRODUCT(V$55:V$114,TRANSPOSE(SAP_Speadsheet!$E$99:$BL$99))</f>
        <v>#REF!</v>
      </c>
      <c r="W29" s="360" t="e" cm="1">
        <f t="array" aca="1" ref="W29" ca="1">SUMPRODUCT(W$55:W$114,TRANSPOSE(SAP_Speadsheet!$E$99:$BL$99))</f>
        <v>#REF!</v>
      </c>
      <c r="X29" s="360" t="e" cm="1">
        <f t="array" aca="1" ref="X29" ca="1">SUMPRODUCT(X$55:X$114,TRANSPOSE(SAP_Speadsheet!$E$99:$BL$99))</f>
        <v>#REF!</v>
      </c>
      <c r="Y29" s="360" t="e" cm="1">
        <f t="array" aca="1" ref="Y29" ca="1">SUMPRODUCT(Y$55:Y$114,TRANSPOSE(SAP_Speadsheet!$E$99:$BL$99))</f>
        <v>#REF!</v>
      </c>
      <c r="Z29" s="360" t="e" cm="1">
        <f t="array" aca="1" ref="Z29" ca="1">SUMPRODUCT(Z$55:Z$114,TRANSPOSE(SAP_Speadsheet!$E$99:$BL$99))</f>
        <v>#REF!</v>
      </c>
      <c r="AA29" s="360" t="e" cm="1">
        <f t="array" aca="1" ref="AA29" ca="1">SUMPRODUCT(AA$55:AA$114,TRANSPOSE(SAP_Speadsheet!$E$99:$BL$99))</f>
        <v>#REF!</v>
      </c>
      <c r="AB29" s="360" t="e" cm="1">
        <f t="array" aca="1" ref="AB29" ca="1">SUMPRODUCT(AB$55:AB$114,TRANSPOSE(SAP_Speadsheet!$E$99:$BL$99))</f>
        <v>#REF!</v>
      </c>
      <c r="AC29" s="360" t="e" cm="1">
        <f t="array" aca="1" ref="AC29" ca="1">SUMPRODUCT(AC$55:AC$114,TRANSPOSE(SAP_Speadsheet!$E$99:$BL$99))</f>
        <v>#REF!</v>
      </c>
      <c r="AD29" s="360" t="e" cm="1">
        <f t="array" aca="1" ref="AD29" ca="1">SUMPRODUCT(AD$55:AD$114,TRANSPOSE(SAP_Speadsheet!$E$99:$BL$99))</f>
        <v>#REF!</v>
      </c>
      <c r="AE29" s="360" t="e" cm="1">
        <f t="array" aca="1" ref="AE29" ca="1">SUMPRODUCT(AE$55:AE$114,TRANSPOSE(SAP_Speadsheet!$E$99:$BL$99))</f>
        <v>#REF!</v>
      </c>
      <c r="AF29" s="360" t="e" cm="1">
        <f t="array" aca="1" ref="AF29" ca="1">SUMPRODUCT(AF$55:AF$114,TRANSPOSE(SAP_Speadsheet!$E$99:$BL$99))</f>
        <v>#REF!</v>
      </c>
      <c r="AG29" s="360" t="e" cm="1">
        <f t="array" aca="1" ref="AG29" ca="1">SUMPRODUCT(AG$55:AG$114,TRANSPOSE(SAP_Speadsheet!$E$99:$BL$99))</f>
        <v>#REF!</v>
      </c>
      <c r="AH29" s="360" t="e" cm="1">
        <f t="array" aca="1" ref="AH29" ca="1">SUMPRODUCT(AH$55:AH$114,TRANSPOSE(SAP_Speadsheet!$E$99:$BL$99))</f>
        <v>#REF!</v>
      </c>
      <c r="AI29" s="360" t="e" cm="1">
        <f t="array" aca="1" ref="AI29" ca="1">SUMPRODUCT(AI$55:AI$114,TRANSPOSE(SAP_Speadsheet!$E$99:$BL$99))</f>
        <v>#REF!</v>
      </c>
      <c r="AJ29" s="360" t="e" cm="1">
        <f t="array" aca="1" ref="AJ29" ca="1">SUMPRODUCT(AJ$55:AJ$114,TRANSPOSE(SAP_Speadsheet!$E$99:$BL$99))</f>
        <v>#REF!</v>
      </c>
      <c r="AK29" s="360" t="e" cm="1">
        <f t="array" aca="1" ref="AK29" ca="1">SUMPRODUCT(AK$55:AK$114,TRANSPOSE(SAP_Speadsheet!$E$99:$BL$99))</f>
        <v>#REF!</v>
      </c>
      <c r="AL29" s="360" t="e" cm="1">
        <f t="array" aca="1" ref="AL29" ca="1">SUMPRODUCT(AL$55:AL$114,TRANSPOSE(SAP_Speadsheet!$E$99:$BL$99))</f>
        <v>#REF!</v>
      </c>
      <c r="AM29" s="360" t="e" cm="1">
        <f t="array" aca="1" ref="AM29" ca="1">SUMPRODUCT(AM$55:AM$114,TRANSPOSE(SAP_Speadsheet!$E$99:$BL$99))</f>
        <v>#REF!</v>
      </c>
      <c r="AN29" s="360" t="e" cm="1">
        <f t="array" aca="1" ref="AN29" ca="1">SUMPRODUCT(AN$55:AN$114,TRANSPOSE(SAP_Speadsheet!$E$99:$BL$99))</f>
        <v>#REF!</v>
      </c>
      <c r="AO29" s="360" t="e" cm="1">
        <f t="array" aca="1" ref="AO29" ca="1">SUMPRODUCT(AO$55:AO$114,TRANSPOSE(SAP_Speadsheet!$E$99:$BL$99))</f>
        <v>#REF!</v>
      </c>
      <c r="AP29" s="360" t="e" cm="1">
        <f t="array" aca="1" ref="AP29" ca="1">SUMPRODUCT(AP$55:AP$114,TRANSPOSE(SAP_Speadsheet!$E$99:$BL$99))</f>
        <v>#REF!</v>
      </c>
      <c r="AQ29" s="360" t="e" cm="1">
        <f t="array" aca="1" ref="AQ29" ca="1">SUMPRODUCT(AQ$55:AQ$114,TRANSPOSE(SAP_Speadsheet!$E$99:$BL$99))</f>
        <v>#REF!</v>
      </c>
      <c r="AR29" s="360" t="e" cm="1">
        <f t="array" aca="1" ref="AR29" ca="1">SUMPRODUCT(AR$55:AR$114,TRANSPOSE(SAP_Speadsheet!$E$99:$BL$99))</f>
        <v>#REF!</v>
      </c>
      <c r="AS29" s="360" t="e" cm="1">
        <f t="array" aca="1" ref="AS29" ca="1">SUMPRODUCT(AS$55:AS$114,TRANSPOSE(SAP_Speadsheet!$E$99:$BL$99))</f>
        <v>#REF!</v>
      </c>
      <c r="AT29" s="360" t="e" cm="1">
        <f t="array" aca="1" ref="AT29" ca="1">SUMPRODUCT(AT$55:AT$114,TRANSPOSE(SAP_Speadsheet!$E$99:$BL$99))</f>
        <v>#REF!</v>
      </c>
      <c r="AU29" s="360" t="e" cm="1">
        <f t="array" aca="1" ref="AU29" ca="1">SUMPRODUCT(AU$55:AU$114,TRANSPOSE(SAP_Speadsheet!$E$99:$BL$99))</f>
        <v>#REF!</v>
      </c>
      <c r="AV29" s="360" t="e" cm="1">
        <f t="array" aca="1" ref="AV29" ca="1">SUMPRODUCT(AV$55:AV$114,TRANSPOSE(SAP_Speadsheet!$E$99:$BL$99))</f>
        <v>#REF!</v>
      </c>
      <c r="AW29" s="360" t="e" cm="1">
        <f t="array" aca="1" ref="AW29" ca="1">SUMPRODUCT(AW$55:AW$114,TRANSPOSE(SAP_Speadsheet!$E$99:$BL$99))</f>
        <v>#REF!</v>
      </c>
      <c r="AX29" s="360" t="e" cm="1">
        <f t="array" aca="1" ref="AX29" ca="1">SUMPRODUCT(AX$55:AX$114,TRANSPOSE(SAP_Speadsheet!$E$99:$BL$99))</f>
        <v>#REF!</v>
      </c>
      <c r="AY29" s="360" t="e" cm="1">
        <f t="array" aca="1" ref="AY29" ca="1">SUMPRODUCT(AY$55:AY$114,TRANSPOSE(SAP_Speadsheet!$E$99:$BL$99))</f>
        <v>#REF!</v>
      </c>
      <c r="AZ29" s="360" t="e" cm="1">
        <f t="array" aca="1" ref="AZ29" ca="1">SUMPRODUCT(AZ$55:AZ$114,TRANSPOSE(SAP_Speadsheet!$E$99:$BL$99))</f>
        <v>#REF!</v>
      </c>
      <c r="BA29" s="360" t="e" cm="1">
        <f t="array" aca="1" ref="BA29" ca="1">SUMPRODUCT(BA$55:BA$114,TRANSPOSE(SAP_Speadsheet!$E$99:$BL$99))</f>
        <v>#REF!</v>
      </c>
      <c r="BB29" s="360" t="e" cm="1">
        <f t="array" aca="1" ref="BB29" ca="1">SUMPRODUCT(BB$55:BB$114,TRANSPOSE(SAP_Speadsheet!$E$99:$BL$99))</f>
        <v>#REF!</v>
      </c>
      <c r="BC29" s="360" t="e" cm="1">
        <f t="array" aca="1" ref="BC29" ca="1">SUMPRODUCT(BC$55:BC$114,TRANSPOSE(SAP_Speadsheet!$E$99:$BL$99))</f>
        <v>#REF!</v>
      </c>
      <c r="BD29" s="360" t="e" cm="1">
        <f t="array" aca="1" ref="BD29" ca="1">SUMPRODUCT(BD$55:BD$114,TRANSPOSE(SAP_Speadsheet!$E$99:$BL$99))</f>
        <v>#REF!</v>
      </c>
      <c r="BE29" s="360" t="e" cm="1">
        <f t="array" aca="1" ref="BE29" ca="1">SUMPRODUCT(BE$55:BE$114,TRANSPOSE(SAP_Speadsheet!$E$99:$BL$99))</f>
        <v>#REF!</v>
      </c>
      <c r="BF29" s="360" t="e" cm="1">
        <f t="array" aca="1" ref="BF29" ca="1">SUMPRODUCT(BF$55:BF$114,TRANSPOSE(SAP_Speadsheet!$E$99:$BL$99))</f>
        <v>#REF!</v>
      </c>
      <c r="BG29" s="360" t="e" cm="1">
        <f t="array" aca="1" ref="BG29" ca="1">SUMPRODUCT(BG$55:BG$114,TRANSPOSE(SAP_Speadsheet!$E$99:$BL$99))</f>
        <v>#REF!</v>
      </c>
      <c r="BH29" s="360" t="e" cm="1">
        <f t="array" aca="1" ref="BH29" ca="1">SUMPRODUCT(BH$55:BH$114,TRANSPOSE(SAP_Speadsheet!$E$99:$BL$99))</f>
        <v>#REF!</v>
      </c>
      <c r="BI29" s="360" t="e" cm="1">
        <f t="array" aca="1" ref="BI29" ca="1">SUMPRODUCT(BI$55:BI$114,TRANSPOSE(SAP_Speadsheet!$E$99:$BL$99))</f>
        <v>#REF!</v>
      </c>
    </row>
    <row r="30" spans="1:61" x14ac:dyDescent="0.15">
      <c r="A30" s="353" t="s">
        <v>235</v>
      </c>
      <c r="B30" s="360" cm="1">
        <f t="array" aca="1" ref="B30" ca="1">SUMPRODUCT(B$55:B$114,TRANSPOSE(SAP_Speadsheet!$E$103:$BL$103))</f>
        <v>0</v>
      </c>
      <c r="C30" s="360" cm="1">
        <f t="array" aca="1" ref="C30" ca="1">SUMPRODUCT(C$55:C$114,TRANSPOSE(SAP_Speadsheet!$E$103:$BL$103))</f>
        <v>0</v>
      </c>
      <c r="D30" s="360" cm="1">
        <f t="array" aca="1" ref="D30" ca="1">SUMPRODUCT(D$55:D$114,TRANSPOSE(SAP_Speadsheet!$E$103:$BL$103))</f>
        <v>0</v>
      </c>
      <c r="E30" s="360" cm="1">
        <f t="array" aca="1" ref="E30" ca="1">SUMPRODUCT(E$55:E$114,TRANSPOSE(SAP_Speadsheet!$E$103:$BL$103))</f>
        <v>0</v>
      </c>
      <c r="F30" s="360" cm="1">
        <f t="array" aca="1" ref="F30" ca="1">SUMPRODUCT(F$55:F$114,TRANSPOSE(SAP_Speadsheet!$E$103:$BL$103))</f>
        <v>0</v>
      </c>
      <c r="G30" s="360" cm="1">
        <f t="array" aca="1" ref="G30" ca="1">SUMPRODUCT(G$55:G$114,TRANSPOSE(SAP_Speadsheet!$E$103:$BL$103))</f>
        <v>0</v>
      </c>
      <c r="H30" s="360" t="e" cm="1">
        <f t="array" aca="1" ref="H30" ca="1">SUMPRODUCT(H$55:H$114,TRANSPOSE(SAP_Speadsheet!$E$103:$BL$103))</f>
        <v>#REF!</v>
      </c>
      <c r="I30" s="360" t="e" cm="1">
        <f t="array" aca="1" ref="I30" ca="1">SUMPRODUCT(I$55:I$114,TRANSPOSE(SAP_Speadsheet!$E$103:$BL$103))</f>
        <v>#REF!</v>
      </c>
      <c r="J30" s="360" t="e" cm="1">
        <f t="array" aca="1" ref="J30" ca="1">SUMPRODUCT(J$55:J$114,TRANSPOSE(SAP_Speadsheet!$E$103:$BL$103))</f>
        <v>#REF!</v>
      </c>
      <c r="K30" s="360" t="e" cm="1">
        <f t="array" aca="1" ref="K30" ca="1">SUMPRODUCT(K$55:K$114,TRANSPOSE(SAP_Speadsheet!$E$103:$BL$103))</f>
        <v>#REF!</v>
      </c>
      <c r="L30" s="360" t="e" cm="1">
        <f t="array" aca="1" ref="L30" ca="1">SUMPRODUCT(L$55:L$114,TRANSPOSE(SAP_Speadsheet!$E$103:$BL$103))</f>
        <v>#REF!</v>
      </c>
      <c r="M30" s="360" t="e" cm="1">
        <f t="array" aca="1" ref="M30" ca="1">SUMPRODUCT(M$55:M$114,TRANSPOSE(SAP_Speadsheet!$E$103:$BL$103))</f>
        <v>#REF!</v>
      </c>
      <c r="N30" s="360" t="e" cm="1">
        <f t="array" aca="1" ref="N30" ca="1">SUMPRODUCT(N$55:N$114,TRANSPOSE(SAP_Speadsheet!$E$103:$BL$103))</f>
        <v>#REF!</v>
      </c>
      <c r="O30" s="360" t="e" cm="1">
        <f t="array" aca="1" ref="O30" ca="1">SUMPRODUCT(O$55:O$114,TRANSPOSE(SAP_Speadsheet!$E$103:$BL$103))</f>
        <v>#REF!</v>
      </c>
      <c r="P30" s="360" t="e" cm="1">
        <f t="array" aca="1" ref="P30" ca="1">SUMPRODUCT(P$55:P$114,TRANSPOSE(SAP_Speadsheet!$E$103:$BL$103))</f>
        <v>#REF!</v>
      </c>
      <c r="Q30" s="360" t="e" cm="1">
        <f t="array" aca="1" ref="Q30" ca="1">SUMPRODUCT(Q$55:Q$114,TRANSPOSE(SAP_Speadsheet!$E$103:$BL$103))</f>
        <v>#REF!</v>
      </c>
      <c r="R30" s="360" t="e" cm="1">
        <f t="array" aca="1" ref="R30" ca="1">SUMPRODUCT(R$55:R$114,TRANSPOSE(SAP_Speadsheet!$E$103:$BL$103))</f>
        <v>#REF!</v>
      </c>
      <c r="S30" s="360" t="e" cm="1">
        <f t="array" aca="1" ref="S30" ca="1">SUMPRODUCT(S$55:S$114,TRANSPOSE(SAP_Speadsheet!$E$103:$BL$103))</f>
        <v>#REF!</v>
      </c>
      <c r="T30" s="360" t="e" cm="1">
        <f t="array" aca="1" ref="T30" ca="1">SUMPRODUCT(T$55:T$114,TRANSPOSE(SAP_Speadsheet!$E$103:$BL$103))</f>
        <v>#REF!</v>
      </c>
      <c r="U30" s="360" t="e" cm="1">
        <f t="array" aca="1" ref="U30" ca="1">SUMPRODUCT(U$55:U$114,TRANSPOSE(SAP_Speadsheet!$E$103:$BL$103))</f>
        <v>#REF!</v>
      </c>
      <c r="V30" s="360" t="e" cm="1">
        <f t="array" aca="1" ref="V30" ca="1">SUMPRODUCT(V$55:V$114,TRANSPOSE(SAP_Speadsheet!$E$103:$BL$103))</f>
        <v>#REF!</v>
      </c>
      <c r="W30" s="360" t="e" cm="1">
        <f t="array" aca="1" ref="W30" ca="1">SUMPRODUCT(W$55:W$114,TRANSPOSE(SAP_Speadsheet!$E$103:$BL$103))</f>
        <v>#REF!</v>
      </c>
      <c r="X30" s="360" t="e" cm="1">
        <f t="array" aca="1" ref="X30" ca="1">SUMPRODUCT(X$55:X$114,TRANSPOSE(SAP_Speadsheet!$E$103:$BL$103))</f>
        <v>#REF!</v>
      </c>
      <c r="Y30" s="360" t="e" cm="1">
        <f t="array" aca="1" ref="Y30" ca="1">SUMPRODUCT(Y$55:Y$114,TRANSPOSE(SAP_Speadsheet!$E$103:$BL$103))</f>
        <v>#REF!</v>
      </c>
      <c r="Z30" s="360" t="e" cm="1">
        <f t="array" aca="1" ref="Z30" ca="1">SUMPRODUCT(Z$55:Z$114,TRANSPOSE(SAP_Speadsheet!$E$103:$BL$103))</f>
        <v>#REF!</v>
      </c>
      <c r="AA30" s="360" t="e" cm="1">
        <f t="array" aca="1" ref="AA30" ca="1">SUMPRODUCT(AA$55:AA$114,TRANSPOSE(SAP_Speadsheet!$E$103:$BL$103))</f>
        <v>#REF!</v>
      </c>
      <c r="AB30" s="360" t="e" cm="1">
        <f t="array" aca="1" ref="AB30" ca="1">SUMPRODUCT(AB$55:AB$114,TRANSPOSE(SAP_Speadsheet!$E$103:$BL$103))</f>
        <v>#REF!</v>
      </c>
      <c r="AC30" s="360" t="e" cm="1">
        <f t="array" aca="1" ref="AC30" ca="1">SUMPRODUCT(AC$55:AC$114,TRANSPOSE(SAP_Speadsheet!$E$103:$BL$103))</f>
        <v>#REF!</v>
      </c>
      <c r="AD30" s="360" t="e" cm="1">
        <f t="array" aca="1" ref="AD30" ca="1">SUMPRODUCT(AD$55:AD$114,TRANSPOSE(SAP_Speadsheet!$E$103:$BL$103))</f>
        <v>#REF!</v>
      </c>
      <c r="AE30" s="360" t="e" cm="1">
        <f t="array" aca="1" ref="AE30" ca="1">SUMPRODUCT(AE$55:AE$114,TRANSPOSE(SAP_Speadsheet!$E$103:$BL$103))</f>
        <v>#REF!</v>
      </c>
      <c r="AF30" s="360" t="e" cm="1">
        <f t="array" aca="1" ref="AF30" ca="1">SUMPRODUCT(AF$55:AF$114,TRANSPOSE(SAP_Speadsheet!$E$103:$BL$103))</f>
        <v>#REF!</v>
      </c>
      <c r="AG30" s="360" t="e" cm="1">
        <f t="array" aca="1" ref="AG30" ca="1">SUMPRODUCT(AG$55:AG$114,TRANSPOSE(SAP_Speadsheet!$E$103:$BL$103))</f>
        <v>#REF!</v>
      </c>
      <c r="AH30" s="360" t="e" cm="1">
        <f t="array" aca="1" ref="AH30" ca="1">SUMPRODUCT(AH$55:AH$114,TRANSPOSE(SAP_Speadsheet!$E$103:$BL$103))</f>
        <v>#REF!</v>
      </c>
      <c r="AI30" s="360" t="e" cm="1">
        <f t="array" aca="1" ref="AI30" ca="1">SUMPRODUCT(AI$55:AI$114,TRANSPOSE(SAP_Speadsheet!$E$103:$BL$103))</f>
        <v>#REF!</v>
      </c>
      <c r="AJ30" s="360" t="e" cm="1">
        <f t="array" aca="1" ref="AJ30" ca="1">SUMPRODUCT(AJ$55:AJ$114,TRANSPOSE(SAP_Speadsheet!$E$103:$BL$103))</f>
        <v>#REF!</v>
      </c>
      <c r="AK30" s="360" t="e" cm="1">
        <f t="array" aca="1" ref="AK30" ca="1">SUMPRODUCT(AK$55:AK$114,TRANSPOSE(SAP_Speadsheet!$E$103:$BL$103))</f>
        <v>#REF!</v>
      </c>
      <c r="AL30" s="360" t="e" cm="1">
        <f t="array" aca="1" ref="AL30" ca="1">SUMPRODUCT(AL$55:AL$114,TRANSPOSE(SAP_Speadsheet!$E$103:$BL$103))</f>
        <v>#REF!</v>
      </c>
      <c r="AM30" s="360" t="e" cm="1">
        <f t="array" aca="1" ref="AM30" ca="1">SUMPRODUCT(AM$55:AM$114,TRANSPOSE(SAP_Speadsheet!$E$103:$BL$103))</f>
        <v>#REF!</v>
      </c>
      <c r="AN30" s="360" t="e" cm="1">
        <f t="array" aca="1" ref="AN30" ca="1">SUMPRODUCT(AN$55:AN$114,TRANSPOSE(SAP_Speadsheet!$E$103:$BL$103))</f>
        <v>#REF!</v>
      </c>
      <c r="AO30" s="360" t="e" cm="1">
        <f t="array" aca="1" ref="AO30" ca="1">SUMPRODUCT(AO$55:AO$114,TRANSPOSE(SAP_Speadsheet!$E$103:$BL$103))</f>
        <v>#REF!</v>
      </c>
      <c r="AP30" s="360" t="e" cm="1">
        <f t="array" aca="1" ref="AP30" ca="1">SUMPRODUCT(AP$55:AP$114,TRANSPOSE(SAP_Speadsheet!$E$103:$BL$103))</f>
        <v>#REF!</v>
      </c>
      <c r="AQ30" s="360" t="e" cm="1">
        <f t="array" aca="1" ref="AQ30" ca="1">SUMPRODUCT(AQ$55:AQ$114,TRANSPOSE(SAP_Speadsheet!$E$103:$BL$103))</f>
        <v>#REF!</v>
      </c>
      <c r="AR30" s="360" t="e" cm="1">
        <f t="array" aca="1" ref="AR30" ca="1">SUMPRODUCT(AR$55:AR$114,TRANSPOSE(SAP_Speadsheet!$E$103:$BL$103))</f>
        <v>#REF!</v>
      </c>
      <c r="AS30" s="360" t="e" cm="1">
        <f t="array" aca="1" ref="AS30" ca="1">SUMPRODUCT(AS$55:AS$114,TRANSPOSE(SAP_Speadsheet!$E$103:$BL$103))</f>
        <v>#REF!</v>
      </c>
      <c r="AT30" s="360" t="e" cm="1">
        <f t="array" aca="1" ref="AT30" ca="1">SUMPRODUCT(AT$55:AT$114,TRANSPOSE(SAP_Speadsheet!$E$103:$BL$103))</f>
        <v>#REF!</v>
      </c>
      <c r="AU30" s="360" t="e" cm="1">
        <f t="array" aca="1" ref="AU30" ca="1">SUMPRODUCT(AU$55:AU$114,TRANSPOSE(SAP_Speadsheet!$E$103:$BL$103))</f>
        <v>#REF!</v>
      </c>
      <c r="AV30" s="360" t="e" cm="1">
        <f t="array" aca="1" ref="AV30" ca="1">SUMPRODUCT(AV$55:AV$114,TRANSPOSE(SAP_Speadsheet!$E$103:$BL$103))</f>
        <v>#REF!</v>
      </c>
      <c r="AW30" s="360" t="e" cm="1">
        <f t="array" aca="1" ref="AW30" ca="1">SUMPRODUCT(AW$55:AW$114,TRANSPOSE(SAP_Speadsheet!$E$103:$BL$103))</f>
        <v>#REF!</v>
      </c>
      <c r="AX30" s="360" t="e" cm="1">
        <f t="array" aca="1" ref="AX30" ca="1">SUMPRODUCT(AX$55:AX$114,TRANSPOSE(SAP_Speadsheet!$E$103:$BL$103))</f>
        <v>#REF!</v>
      </c>
      <c r="AY30" s="360" t="e" cm="1">
        <f t="array" aca="1" ref="AY30" ca="1">SUMPRODUCT(AY$55:AY$114,TRANSPOSE(SAP_Speadsheet!$E$103:$BL$103))</f>
        <v>#REF!</v>
      </c>
      <c r="AZ30" s="360" t="e" cm="1">
        <f t="array" aca="1" ref="AZ30" ca="1">SUMPRODUCT(AZ$55:AZ$114,TRANSPOSE(SAP_Speadsheet!$E$103:$BL$103))</f>
        <v>#REF!</v>
      </c>
      <c r="BA30" s="360" t="e" cm="1">
        <f t="array" aca="1" ref="BA30" ca="1">SUMPRODUCT(BA$55:BA$114,TRANSPOSE(SAP_Speadsheet!$E$103:$BL$103))</f>
        <v>#REF!</v>
      </c>
      <c r="BB30" s="360" t="e" cm="1">
        <f t="array" aca="1" ref="BB30" ca="1">SUMPRODUCT(BB$55:BB$114,TRANSPOSE(SAP_Speadsheet!$E$103:$BL$103))</f>
        <v>#REF!</v>
      </c>
      <c r="BC30" s="360" t="e" cm="1">
        <f t="array" aca="1" ref="BC30" ca="1">SUMPRODUCT(BC$55:BC$114,TRANSPOSE(SAP_Speadsheet!$E$103:$BL$103))</f>
        <v>#REF!</v>
      </c>
      <c r="BD30" s="360" t="e" cm="1">
        <f t="array" aca="1" ref="BD30" ca="1">SUMPRODUCT(BD$55:BD$114,TRANSPOSE(SAP_Speadsheet!$E$103:$BL$103))</f>
        <v>#REF!</v>
      </c>
      <c r="BE30" s="360" t="e" cm="1">
        <f t="array" aca="1" ref="BE30" ca="1">SUMPRODUCT(BE$55:BE$114,TRANSPOSE(SAP_Speadsheet!$E$103:$BL$103))</f>
        <v>#REF!</v>
      </c>
      <c r="BF30" s="360" t="e" cm="1">
        <f t="array" aca="1" ref="BF30" ca="1">SUMPRODUCT(BF$55:BF$114,TRANSPOSE(SAP_Speadsheet!$E$103:$BL$103))</f>
        <v>#REF!</v>
      </c>
      <c r="BG30" s="360" t="e" cm="1">
        <f t="array" aca="1" ref="BG30" ca="1">SUMPRODUCT(BG$55:BG$114,TRANSPOSE(SAP_Speadsheet!$E$103:$BL$103))</f>
        <v>#REF!</v>
      </c>
      <c r="BH30" s="360" t="e" cm="1">
        <f t="array" aca="1" ref="BH30" ca="1">SUMPRODUCT(BH$55:BH$114,TRANSPOSE(SAP_Speadsheet!$E$103:$BL$103))</f>
        <v>#REF!</v>
      </c>
      <c r="BI30" s="360" t="e" cm="1">
        <f t="array" aca="1" ref="BI30" ca="1">SUMPRODUCT(BI$55:BI$114,TRANSPOSE(SAP_Speadsheet!$E$103:$BL$103))</f>
        <v>#REF!</v>
      </c>
    </row>
    <row r="31" spans="1:61" x14ac:dyDescent="0.15">
      <c r="A31" s="353" t="s">
        <v>196</v>
      </c>
      <c r="B31" s="360" cm="1">
        <f t="array" aca="1" ref="B31" ca="1">SUMPRODUCT(B$55:B$114,TRANSPOSE(SAP_Speadsheet!$E$183:$BL$183))</f>
        <v>0</v>
      </c>
      <c r="C31" s="360" cm="1">
        <f t="array" aca="1" ref="C31" ca="1">SUMPRODUCT(C$55:C$114,TRANSPOSE(SAP_Speadsheet!$E$183:$BL$183))</f>
        <v>0</v>
      </c>
      <c r="D31" s="360" cm="1">
        <f t="array" aca="1" ref="D31" ca="1">SUMPRODUCT(D$55:D$114,TRANSPOSE(SAP_Speadsheet!$E$183:$BL$183))</f>
        <v>0</v>
      </c>
      <c r="E31" s="360" cm="1">
        <f t="array" aca="1" ref="E31" ca="1">SUMPRODUCT(E$55:E$114,TRANSPOSE(SAP_Speadsheet!$E$183:$BL$183))</f>
        <v>0</v>
      </c>
      <c r="F31" s="360" cm="1">
        <f t="array" aca="1" ref="F31" ca="1">SUMPRODUCT(F$55:F$114,TRANSPOSE(SAP_Speadsheet!$E$183:$BL$183))</f>
        <v>0</v>
      </c>
      <c r="G31" s="360" cm="1">
        <f t="array" aca="1" ref="G31" ca="1">SUMPRODUCT(G$55:G$114,TRANSPOSE(SAP_Speadsheet!$E$183:$BL$183))</f>
        <v>0</v>
      </c>
      <c r="H31" s="360" t="e" cm="1">
        <f t="array" aca="1" ref="H31" ca="1">SUMPRODUCT(H$55:H$114,TRANSPOSE(SAP_Speadsheet!$E$183:$BL$183))</f>
        <v>#REF!</v>
      </c>
      <c r="I31" s="360" t="e" cm="1">
        <f t="array" aca="1" ref="I31" ca="1">SUMPRODUCT(I$55:I$114,TRANSPOSE(SAP_Speadsheet!$E$183:$BL$183))</f>
        <v>#REF!</v>
      </c>
      <c r="J31" s="360" t="e" cm="1">
        <f t="array" aca="1" ref="J31" ca="1">SUMPRODUCT(J$55:J$114,TRANSPOSE(SAP_Speadsheet!$E$183:$BL$183))</f>
        <v>#REF!</v>
      </c>
      <c r="K31" s="360" t="e" cm="1">
        <f t="array" aca="1" ref="K31" ca="1">SUMPRODUCT(K$55:K$114,TRANSPOSE(SAP_Speadsheet!$E$183:$BL$183))</f>
        <v>#REF!</v>
      </c>
      <c r="L31" s="360" t="e" cm="1">
        <f t="array" aca="1" ref="L31" ca="1">SUMPRODUCT(L$55:L$114,TRANSPOSE(SAP_Speadsheet!$E$183:$BL$183))</f>
        <v>#REF!</v>
      </c>
      <c r="M31" s="360" t="e" cm="1">
        <f t="array" aca="1" ref="M31" ca="1">SUMPRODUCT(M$55:M$114,TRANSPOSE(SAP_Speadsheet!$E$183:$BL$183))</f>
        <v>#REF!</v>
      </c>
      <c r="N31" s="360" t="e" cm="1">
        <f t="array" aca="1" ref="N31" ca="1">SUMPRODUCT(N$55:N$114,TRANSPOSE(SAP_Speadsheet!$E$183:$BL$183))</f>
        <v>#REF!</v>
      </c>
      <c r="O31" s="360" t="e" cm="1">
        <f t="array" aca="1" ref="O31" ca="1">SUMPRODUCT(O$55:O$114,TRANSPOSE(SAP_Speadsheet!$E$183:$BL$183))</f>
        <v>#REF!</v>
      </c>
      <c r="P31" s="360" t="e" cm="1">
        <f t="array" aca="1" ref="P31" ca="1">SUMPRODUCT(P$55:P$114,TRANSPOSE(SAP_Speadsheet!$E$183:$BL$183))</f>
        <v>#REF!</v>
      </c>
      <c r="Q31" s="360" t="e" cm="1">
        <f t="array" aca="1" ref="Q31" ca="1">SUMPRODUCT(Q$55:Q$114,TRANSPOSE(SAP_Speadsheet!$E$183:$BL$183))</f>
        <v>#REF!</v>
      </c>
      <c r="R31" s="360" t="e" cm="1">
        <f t="array" aca="1" ref="R31" ca="1">SUMPRODUCT(R$55:R$114,TRANSPOSE(SAP_Speadsheet!$E$183:$BL$183))</f>
        <v>#REF!</v>
      </c>
      <c r="S31" s="360" t="e" cm="1">
        <f t="array" aca="1" ref="S31" ca="1">SUMPRODUCT(S$55:S$114,TRANSPOSE(SAP_Speadsheet!$E$183:$BL$183))</f>
        <v>#REF!</v>
      </c>
      <c r="T31" s="360" t="e" cm="1">
        <f t="array" aca="1" ref="T31" ca="1">SUMPRODUCT(T$55:T$114,TRANSPOSE(SAP_Speadsheet!$E$183:$BL$183))</f>
        <v>#REF!</v>
      </c>
      <c r="U31" s="360" t="e" cm="1">
        <f t="array" aca="1" ref="U31" ca="1">SUMPRODUCT(U$55:U$114,TRANSPOSE(SAP_Speadsheet!$E$183:$BL$183))</f>
        <v>#REF!</v>
      </c>
      <c r="V31" s="360" t="e" cm="1">
        <f t="array" aca="1" ref="V31" ca="1">SUMPRODUCT(V$55:V$114,TRANSPOSE(SAP_Speadsheet!$E$183:$BL$183))</f>
        <v>#REF!</v>
      </c>
      <c r="W31" s="360" t="e" cm="1">
        <f t="array" aca="1" ref="W31" ca="1">SUMPRODUCT(W$55:W$114,TRANSPOSE(SAP_Speadsheet!$E$183:$BL$183))</f>
        <v>#REF!</v>
      </c>
      <c r="X31" s="360" t="e" cm="1">
        <f t="array" aca="1" ref="X31" ca="1">SUMPRODUCT(X$55:X$114,TRANSPOSE(SAP_Speadsheet!$E$183:$BL$183))</f>
        <v>#REF!</v>
      </c>
      <c r="Y31" s="360" t="e" cm="1">
        <f t="array" aca="1" ref="Y31" ca="1">SUMPRODUCT(Y$55:Y$114,TRANSPOSE(SAP_Speadsheet!$E$183:$BL$183))</f>
        <v>#REF!</v>
      </c>
      <c r="Z31" s="360" t="e" cm="1">
        <f t="array" aca="1" ref="Z31" ca="1">SUMPRODUCT(Z$55:Z$114,TRANSPOSE(SAP_Speadsheet!$E$183:$BL$183))</f>
        <v>#REF!</v>
      </c>
      <c r="AA31" s="360" t="e" cm="1">
        <f t="array" aca="1" ref="AA31" ca="1">SUMPRODUCT(AA$55:AA$114,TRANSPOSE(SAP_Speadsheet!$E$183:$BL$183))</f>
        <v>#REF!</v>
      </c>
      <c r="AB31" s="360" t="e" cm="1">
        <f t="array" aca="1" ref="AB31" ca="1">SUMPRODUCT(AB$55:AB$114,TRANSPOSE(SAP_Speadsheet!$E$183:$BL$183))</f>
        <v>#REF!</v>
      </c>
      <c r="AC31" s="360" t="e" cm="1">
        <f t="array" aca="1" ref="AC31" ca="1">SUMPRODUCT(AC$55:AC$114,TRANSPOSE(SAP_Speadsheet!$E$183:$BL$183))</f>
        <v>#REF!</v>
      </c>
      <c r="AD31" s="360" t="e" cm="1">
        <f t="array" aca="1" ref="AD31" ca="1">SUMPRODUCT(AD$55:AD$114,TRANSPOSE(SAP_Speadsheet!$E$183:$BL$183))</f>
        <v>#REF!</v>
      </c>
      <c r="AE31" s="360" t="e" cm="1">
        <f t="array" aca="1" ref="AE31" ca="1">SUMPRODUCT(AE$55:AE$114,TRANSPOSE(SAP_Speadsheet!$E$183:$BL$183))</f>
        <v>#REF!</v>
      </c>
      <c r="AF31" s="360" t="e" cm="1">
        <f t="array" aca="1" ref="AF31" ca="1">SUMPRODUCT(AF$55:AF$114,TRANSPOSE(SAP_Speadsheet!$E$183:$BL$183))</f>
        <v>#REF!</v>
      </c>
      <c r="AG31" s="360" t="e" cm="1">
        <f t="array" aca="1" ref="AG31" ca="1">SUMPRODUCT(AG$55:AG$114,TRANSPOSE(SAP_Speadsheet!$E$183:$BL$183))</f>
        <v>#REF!</v>
      </c>
      <c r="AH31" s="360" t="e" cm="1">
        <f t="array" aca="1" ref="AH31" ca="1">SUMPRODUCT(AH$55:AH$114,TRANSPOSE(SAP_Speadsheet!$E$183:$BL$183))</f>
        <v>#REF!</v>
      </c>
      <c r="AI31" s="360" t="e" cm="1">
        <f t="array" aca="1" ref="AI31" ca="1">SUMPRODUCT(AI$55:AI$114,TRANSPOSE(SAP_Speadsheet!$E$183:$BL$183))</f>
        <v>#REF!</v>
      </c>
      <c r="AJ31" s="360" t="e" cm="1">
        <f t="array" aca="1" ref="AJ31" ca="1">SUMPRODUCT(AJ$55:AJ$114,TRANSPOSE(SAP_Speadsheet!$E$183:$BL$183))</f>
        <v>#REF!</v>
      </c>
      <c r="AK31" s="360" t="e" cm="1">
        <f t="array" aca="1" ref="AK31" ca="1">SUMPRODUCT(AK$55:AK$114,TRANSPOSE(SAP_Speadsheet!$E$183:$BL$183))</f>
        <v>#REF!</v>
      </c>
      <c r="AL31" s="360" t="e" cm="1">
        <f t="array" aca="1" ref="AL31" ca="1">SUMPRODUCT(AL$55:AL$114,TRANSPOSE(SAP_Speadsheet!$E$183:$BL$183))</f>
        <v>#REF!</v>
      </c>
      <c r="AM31" s="360" t="e" cm="1">
        <f t="array" aca="1" ref="AM31" ca="1">SUMPRODUCT(AM$55:AM$114,TRANSPOSE(SAP_Speadsheet!$E$183:$BL$183))</f>
        <v>#REF!</v>
      </c>
      <c r="AN31" s="360" t="e" cm="1">
        <f t="array" aca="1" ref="AN31" ca="1">SUMPRODUCT(AN$55:AN$114,TRANSPOSE(SAP_Speadsheet!$E$183:$BL$183))</f>
        <v>#REF!</v>
      </c>
      <c r="AO31" s="360" t="e" cm="1">
        <f t="array" aca="1" ref="AO31" ca="1">SUMPRODUCT(AO$55:AO$114,TRANSPOSE(SAP_Speadsheet!$E$183:$BL$183))</f>
        <v>#REF!</v>
      </c>
      <c r="AP31" s="360" t="e" cm="1">
        <f t="array" aca="1" ref="AP31" ca="1">SUMPRODUCT(AP$55:AP$114,TRANSPOSE(SAP_Speadsheet!$E$183:$BL$183))</f>
        <v>#REF!</v>
      </c>
      <c r="AQ31" s="360" t="e" cm="1">
        <f t="array" aca="1" ref="AQ31" ca="1">SUMPRODUCT(AQ$55:AQ$114,TRANSPOSE(SAP_Speadsheet!$E$183:$BL$183))</f>
        <v>#REF!</v>
      </c>
      <c r="AR31" s="360" t="e" cm="1">
        <f t="array" aca="1" ref="AR31" ca="1">SUMPRODUCT(AR$55:AR$114,TRANSPOSE(SAP_Speadsheet!$E$183:$BL$183))</f>
        <v>#REF!</v>
      </c>
      <c r="AS31" s="360" t="e" cm="1">
        <f t="array" aca="1" ref="AS31" ca="1">SUMPRODUCT(AS$55:AS$114,TRANSPOSE(SAP_Speadsheet!$E$183:$BL$183))</f>
        <v>#REF!</v>
      </c>
      <c r="AT31" s="360" t="e" cm="1">
        <f t="array" aca="1" ref="AT31" ca="1">SUMPRODUCT(AT$55:AT$114,TRANSPOSE(SAP_Speadsheet!$E$183:$BL$183))</f>
        <v>#REF!</v>
      </c>
      <c r="AU31" s="360" t="e" cm="1">
        <f t="array" aca="1" ref="AU31" ca="1">SUMPRODUCT(AU$55:AU$114,TRANSPOSE(SAP_Speadsheet!$E$183:$BL$183))</f>
        <v>#REF!</v>
      </c>
      <c r="AV31" s="360" t="e" cm="1">
        <f t="array" aca="1" ref="AV31" ca="1">SUMPRODUCT(AV$55:AV$114,TRANSPOSE(SAP_Speadsheet!$E$183:$BL$183))</f>
        <v>#REF!</v>
      </c>
      <c r="AW31" s="360" t="e" cm="1">
        <f t="array" aca="1" ref="AW31" ca="1">SUMPRODUCT(AW$55:AW$114,TRANSPOSE(SAP_Speadsheet!$E$183:$BL$183))</f>
        <v>#REF!</v>
      </c>
      <c r="AX31" s="360" t="e" cm="1">
        <f t="array" aca="1" ref="AX31" ca="1">SUMPRODUCT(AX$55:AX$114,TRANSPOSE(SAP_Speadsheet!$E$183:$BL$183))</f>
        <v>#REF!</v>
      </c>
      <c r="AY31" s="360" t="e" cm="1">
        <f t="array" aca="1" ref="AY31" ca="1">SUMPRODUCT(AY$55:AY$114,TRANSPOSE(SAP_Speadsheet!$E$183:$BL$183))</f>
        <v>#REF!</v>
      </c>
      <c r="AZ31" s="360" t="e" cm="1">
        <f t="array" aca="1" ref="AZ31" ca="1">SUMPRODUCT(AZ$55:AZ$114,TRANSPOSE(SAP_Speadsheet!$E$183:$BL$183))</f>
        <v>#REF!</v>
      </c>
      <c r="BA31" s="360" t="e" cm="1">
        <f t="array" aca="1" ref="BA31" ca="1">SUMPRODUCT(BA$55:BA$114,TRANSPOSE(SAP_Speadsheet!$E$183:$BL$183))</f>
        <v>#REF!</v>
      </c>
      <c r="BB31" s="360" t="e" cm="1">
        <f t="array" aca="1" ref="BB31" ca="1">SUMPRODUCT(BB$55:BB$114,TRANSPOSE(SAP_Speadsheet!$E$183:$BL$183))</f>
        <v>#REF!</v>
      </c>
      <c r="BC31" s="360" t="e" cm="1">
        <f t="array" aca="1" ref="BC31" ca="1">SUMPRODUCT(BC$55:BC$114,TRANSPOSE(SAP_Speadsheet!$E$183:$BL$183))</f>
        <v>#REF!</v>
      </c>
      <c r="BD31" s="360" t="e" cm="1">
        <f t="array" aca="1" ref="BD31" ca="1">SUMPRODUCT(BD$55:BD$114,TRANSPOSE(SAP_Speadsheet!$E$183:$BL$183))</f>
        <v>#REF!</v>
      </c>
      <c r="BE31" s="360" t="e" cm="1">
        <f t="array" aca="1" ref="BE31" ca="1">SUMPRODUCT(BE$55:BE$114,TRANSPOSE(SAP_Speadsheet!$E$183:$BL$183))</f>
        <v>#REF!</v>
      </c>
      <c r="BF31" s="360" t="e" cm="1">
        <f t="array" aca="1" ref="BF31" ca="1">SUMPRODUCT(BF$55:BF$114,TRANSPOSE(SAP_Speadsheet!$E$183:$BL$183))</f>
        <v>#REF!</v>
      </c>
      <c r="BG31" s="360" t="e" cm="1">
        <f t="array" aca="1" ref="BG31" ca="1">SUMPRODUCT(BG$55:BG$114,TRANSPOSE(SAP_Speadsheet!$E$183:$BL$183))</f>
        <v>#REF!</v>
      </c>
      <c r="BH31" s="360" t="e" cm="1">
        <f t="array" aca="1" ref="BH31" ca="1">SUMPRODUCT(BH$55:BH$114,TRANSPOSE(SAP_Speadsheet!$E$183:$BL$183))</f>
        <v>#REF!</v>
      </c>
      <c r="BI31" s="360" t="e" cm="1">
        <f t="array" aca="1" ref="BI31" ca="1">SUMPRODUCT(BI$55:BI$114,TRANSPOSE(SAP_Speadsheet!$E$183:$BL$183))</f>
        <v>#REF!</v>
      </c>
    </row>
    <row r="32" spans="1:61" x14ac:dyDescent="0.15">
      <c r="A32" s="353" t="s">
        <v>203</v>
      </c>
      <c r="B32" s="360" cm="1">
        <f t="array" aca="1" ref="B32" ca="1">SUMPRODUCT(B$55:B$114,TRANSPOSE(SAP_Speadsheet!$E$189:$BL$189))</f>
        <v>0</v>
      </c>
      <c r="C32" s="360" cm="1">
        <f t="array" aca="1" ref="C32" ca="1">SUMPRODUCT(C$55:C$114,TRANSPOSE(SAP_Speadsheet!$E$189:$BL$189))</f>
        <v>0</v>
      </c>
      <c r="D32" s="360" cm="1">
        <f t="array" aca="1" ref="D32" ca="1">SUMPRODUCT(D$55:D$114,TRANSPOSE(SAP_Speadsheet!$E$189:$BL$189))</f>
        <v>0</v>
      </c>
      <c r="E32" s="360" cm="1">
        <f t="array" aca="1" ref="E32" ca="1">SUMPRODUCT(E$55:E$114,TRANSPOSE(SAP_Speadsheet!$E$189:$BL$189))</f>
        <v>0</v>
      </c>
      <c r="F32" s="360" cm="1">
        <f t="array" aca="1" ref="F32" ca="1">SUMPRODUCT(F$55:F$114,TRANSPOSE(SAP_Speadsheet!$E$189:$BL$189))</f>
        <v>0</v>
      </c>
      <c r="G32" s="360" cm="1">
        <f t="array" aca="1" ref="G32" ca="1">SUMPRODUCT(G$55:G$114,TRANSPOSE(SAP_Speadsheet!$E$189:$BL$189))</f>
        <v>0</v>
      </c>
      <c r="H32" s="360" t="e" cm="1">
        <f t="array" aca="1" ref="H32" ca="1">SUMPRODUCT(H$55:H$114,TRANSPOSE(SAP_Speadsheet!$E$189:$BL$189))</f>
        <v>#REF!</v>
      </c>
      <c r="I32" s="360" t="e" cm="1">
        <f t="array" aca="1" ref="I32" ca="1">SUMPRODUCT(I$55:I$114,TRANSPOSE(SAP_Speadsheet!$E$189:$BL$189))</f>
        <v>#REF!</v>
      </c>
      <c r="J32" s="360" t="e" cm="1">
        <f t="array" aca="1" ref="J32" ca="1">SUMPRODUCT(J$55:J$114,TRANSPOSE(SAP_Speadsheet!$E$189:$BL$189))</f>
        <v>#REF!</v>
      </c>
      <c r="K32" s="360" t="e" cm="1">
        <f t="array" aca="1" ref="K32" ca="1">SUMPRODUCT(K$55:K$114,TRANSPOSE(SAP_Speadsheet!$E$189:$BL$189))</f>
        <v>#REF!</v>
      </c>
      <c r="L32" s="360" t="e" cm="1">
        <f t="array" aca="1" ref="L32" ca="1">SUMPRODUCT(L$55:L$114,TRANSPOSE(SAP_Speadsheet!$E$189:$BL$189))</f>
        <v>#REF!</v>
      </c>
      <c r="M32" s="360" t="e" cm="1">
        <f t="array" aca="1" ref="M32" ca="1">SUMPRODUCT(M$55:M$114,TRANSPOSE(SAP_Speadsheet!$E$189:$BL$189))</f>
        <v>#REF!</v>
      </c>
      <c r="N32" s="360" t="e" cm="1">
        <f t="array" aca="1" ref="N32" ca="1">SUMPRODUCT(N$55:N$114,TRANSPOSE(SAP_Speadsheet!$E$189:$BL$189))</f>
        <v>#REF!</v>
      </c>
      <c r="O32" s="360" t="e" cm="1">
        <f t="array" aca="1" ref="O32" ca="1">SUMPRODUCT(O$55:O$114,TRANSPOSE(SAP_Speadsheet!$E$189:$BL$189))</f>
        <v>#REF!</v>
      </c>
      <c r="P32" s="360" t="e" cm="1">
        <f t="array" aca="1" ref="P32" ca="1">SUMPRODUCT(P$55:P$114,TRANSPOSE(SAP_Speadsheet!$E$189:$BL$189))</f>
        <v>#REF!</v>
      </c>
      <c r="Q32" s="360" t="e" cm="1">
        <f t="array" aca="1" ref="Q32" ca="1">SUMPRODUCT(Q$55:Q$114,TRANSPOSE(SAP_Speadsheet!$E$189:$BL$189))</f>
        <v>#REF!</v>
      </c>
      <c r="R32" s="360" t="e" cm="1">
        <f t="array" aca="1" ref="R32" ca="1">SUMPRODUCT(R$55:R$114,TRANSPOSE(SAP_Speadsheet!$E$189:$BL$189))</f>
        <v>#REF!</v>
      </c>
      <c r="S32" s="360" t="e" cm="1">
        <f t="array" aca="1" ref="S32" ca="1">SUMPRODUCT(S$55:S$114,TRANSPOSE(SAP_Speadsheet!$E$189:$BL$189))</f>
        <v>#REF!</v>
      </c>
      <c r="T32" s="360" t="e" cm="1">
        <f t="array" aca="1" ref="T32" ca="1">SUMPRODUCT(T$55:T$114,TRANSPOSE(SAP_Speadsheet!$E$189:$BL$189))</f>
        <v>#REF!</v>
      </c>
      <c r="U32" s="360" t="e" cm="1">
        <f t="array" aca="1" ref="U32" ca="1">SUMPRODUCT(U$55:U$114,TRANSPOSE(SAP_Speadsheet!$E$189:$BL$189))</f>
        <v>#REF!</v>
      </c>
      <c r="V32" s="360" t="e" cm="1">
        <f t="array" aca="1" ref="V32" ca="1">SUMPRODUCT(V$55:V$114,TRANSPOSE(SAP_Speadsheet!$E$189:$BL$189))</f>
        <v>#REF!</v>
      </c>
      <c r="W32" s="360" t="e" cm="1">
        <f t="array" aca="1" ref="W32" ca="1">SUMPRODUCT(W$55:W$114,TRANSPOSE(SAP_Speadsheet!$E$189:$BL$189))</f>
        <v>#REF!</v>
      </c>
      <c r="X32" s="360" t="e" cm="1">
        <f t="array" aca="1" ref="X32" ca="1">SUMPRODUCT(X$55:X$114,TRANSPOSE(SAP_Speadsheet!$E$189:$BL$189))</f>
        <v>#REF!</v>
      </c>
      <c r="Y32" s="360" t="e" cm="1">
        <f t="array" aca="1" ref="Y32" ca="1">SUMPRODUCT(Y$55:Y$114,TRANSPOSE(SAP_Speadsheet!$E$189:$BL$189))</f>
        <v>#REF!</v>
      </c>
      <c r="Z32" s="360" t="e" cm="1">
        <f t="array" aca="1" ref="Z32" ca="1">SUMPRODUCT(Z$55:Z$114,TRANSPOSE(SAP_Speadsheet!$E$189:$BL$189))</f>
        <v>#REF!</v>
      </c>
      <c r="AA32" s="360" t="e" cm="1">
        <f t="array" aca="1" ref="AA32" ca="1">SUMPRODUCT(AA$55:AA$114,TRANSPOSE(SAP_Speadsheet!$E$189:$BL$189))</f>
        <v>#REF!</v>
      </c>
      <c r="AB32" s="360" t="e" cm="1">
        <f t="array" aca="1" ref="AB32" ca="1">SUMPRODUCT(AB$55:AB$114,TRANSPOSE(SAP_Speadsheet!$E$189:$BL$189))</f>
        <v>#REF!</v>
      </c>
      <c r="AC32" s="360" t="e" cm="1">
        <f t="array" aca="1" ref="AC32" ca="1">SUMPRODUCT(AC$55:AC$114,TRANSPOSE(SAP_Speadsheet!$E$189:$BL$189))</f>
        <v>#REF!</v>
      </c>
      <c r="AD32" s="360" t="e" cm="1">
        <f t="array" aca="1" ref="AD32" ca="1">SUMPRODUCT(AD$55:AD$114,TRANSPOSE(SAP_Speadsheet!$E$189:$BL$189))</f>
        <v>#REF!</v>
      </c>
      <c r="AE32" s="360" t="e" cm="1">
        <f t="array" aca="1" ref="AE32" ca="1">SUMPRODUCT(AE$55:AE$114,TRANSPOSE(SAP_Speadsheet!$E$189:$BL$189))</f>
        <v>#REF!</v>
      </c>
      <c r="AF32" s="360" t="e" cm="1">
        <f t="array" aca="1" ref="AF32" ca="1">SUMPRODUCT(AF$55:AF$114,TRANSPOSE(SAP_Speadsheet!$E$189:$BL$189))</f>
        <v>#REF!</v>
      </c>
      <c r="AG32" s="360" t="e" cm="1">
        <f t="array" aca="1" ref="AG32" ca="1">SUMPRODUCT(AG$55:AG$114,TRANSPOSE(SAP_Speadsheet!$E$189:$BL$189))</f>
        <v>#REF!</v>
      </c>
      <c r="AH32" s="360" t="e" cm="1">
        <f t="array" aca="1" ref="AH32" ca="1">SUMPRODUCT(AH$55:AH$114,TRANSPOSE(SAP_Speadsheet!$E$189:$BL$189))</f>
        <v>#REF!</v>
      </c>
      <c r="AI32" s="360" t="e" cm="1">
        <f t="array" aca="1" ref="AI32" ca="1">SUMPRODUCT(AI$55:AI$114,TRANSPOSE(SAP_Speadsheet!$E$189:$BL$189))</f>
        <v>#REF!</v>
      </c>
      <c r="AJ32" s="360" t="e" cm="1">
        <f t="array" aca="1" ref="AJ32" ca="1">SUMPRODUCT(AJ$55:AJ$114,TRANSPOSE(SAP_Speadsheet!$E$189:$BL$189))</f>
        <v>#REF!</v>
      </c>
      <c r="AK32" s="360" t="e" cm="1">
        <f t="array" aca="1" ref="AK32" ca="1">SUMPRODUCT(AK$55:AK$114,TRANSPOSE(SAP_Speadsheet!$E$189:$BL$189))</f>
        <v>#REF!</v>
      </c>
      <c r="AL32" s="360" t="e" cm="1">
        <f t="array" aca="1" ref="AL32" ca="1">SUMPRODUCT(AL$55:AL$114,TRANSPOSE(SAP_Speadsheet!$E$189:$BL$189))</f>
        <v>#REF!</v>
      </c>
      <c r="AM32" s="360" t="e" cm="1">
        <f t="array" aca="1" ref="AM32" ca="1">SUMPRODUCT(AM$55:AM$114,TRANSPOSE(SAP_Speadsheet!$E$189:$BL$189))</f>
        <v>#REF!</v>
      </c>
      <c r="AN32" s="360" t="e" cm="1">
        <f t="array" aca="1" ref="AN32" ca="1">SUMPRODUCT(AN$55:AN$114,TRANSPOSE(SAP_Speadsheet!$E$189:$BL$189))</f>
        <v>#REF!</v>
      </c>
      <c r="AO32" s="360" t="e" cm="1">
        <f t="array" aca="1" ref="AO32" ca="1">SUMPRODUCT(AO$55:AO$114,TRANSPOSE(SAP_Speadsheet!$E$189:$BL$189))</f>
        <v>#REF!</v>
      </c>
      <c r="AP32" s="360" t="e" cm="1">
        <f t="array" aca="1" ref="AP32" ca="1">SUMPRODUCT(AP$55:AP$114,TRANSPOSE(SAP_Speadsheet!$E$189:$BL$189))</f>
        <v>#REF!</v>
      </c>
      <c r="AQ32" s="360" t="e" cm="1">
        <f t="array" aca="1" ref="AQ32" ca="1">SUMPRODUCT(AQ$55:AQ$114,TRANSPOSE(SAP_Speadsheet!$E$189:$BL$189))</f>
        <v>#REF!</v>
      </c>
      <c r="AR32" s="360" t="e" cm="1">
        <f t="array" aca="1" ref="AR32" ca="1">SUMPRODUCT(AR$55:AR$114,TRANSPOSE(SAP_Speadsheet!$E$189:$BL$189))</f>
        <v>#REF!</v>
      </c>
      <c r="AS32" s="360" t="e" cm="1">
        <f t="array" aca="1" ref="AS32" ca="1">SUMPRODUCT(AS$55:AS$114,TRANSPOSE(SAP_Speadsheet!$E$189:$BL$189))</f>
        <v>#REF!</v>
      </c>
      <c r="AT32" s="360" t="e" cm="1">
        <f t="array" aca="1" ref="AT32" ca="1">SUMPRODUCT(AT$55:AT$114,TRANSPOSE(SAP_Speadsheet!$E$189:$BL$189))</f>
        <v>#REF!</v>
      </c>
      <c r="AU32" s="360" t="e" cm="1">
        <f t="array" aca="1" ref="AU32" ca="1">SUMPRODUCT(AU$55:AU$114,TRANSPOSE(SAP_Speadsheet!$E$189:$BL$189))</f>
        <v>#REF!</v>
      </c>
      <c r="AV32" s="360" t="e" cm="1">
        <f t="array" aca="1" ref="AV32" ca="1">SUMPRODUCT(AV$55:AV$114,TRANSPOSE(SAP_Speadsheet!$E$189:$BL$189))</f>
        <v>#REF!</v>
      </c>
      <c r="AW32" s="360" t="e" cm="1">
        <f t="array" aca="1" ref="AW32" ca="1">SUMPRODUCT(AW$55:AW$114,TRANSPOSE(SAP_Speadsheet!$E$189:$BL$189))</f>
        <v>#REF!</v>
      </c>
      <c r="AX32" s="360" t="e" cm="1">
        <f t="array" aca="1" ref="AX32" ca="1">SUMPRODUCT(AX$55:AX$114,TRANSPOSE(SAP_Speadsheet!$E$189:$BL$189))</f>
        <v>#REF!</v>
      </c>
      <c r="AY32" s="360" t="e" cm="1">
        <f t="array" aca="1" ref="AY32" ca="1">SUMPRODUCT(AY$55:AY$114,TRANSPOSE(SAP_Speadsheet!$E$189:$BL$189))</f>
        <v>#REF!</v>
      </c>
      <c r="AZ32" s="360" t="e" cm="1">
        <f t="array" aca="1" ref="AZ32" ca="1">SUMPRODUCT(AZ$55:AZ$114,TRANSPOSE(SAP_Speadsheet!$E$189:$BL$189))</f>
        <v>#REF!</v>
      </c>
      <c r="BA32" s="360" t="e" cm="1">
        <f t="array" aca="1" ref="BA32" ca="1">SUMPRODUCT(BA$55:BA$114,TRANSPOSE(SAP_Speadsheet!$E$189:$BL$189))</f>
        <v>#REF!</v>
      </c>
      <c r="BB32" s="360" t="e" cm="1">
        <f t="array" aca="1" ref="BB32" ca="1">SUMPRODUCT(BB$55:BB$114,TRANSPOSE(SAP_Speadsheet!$E$189:$BL$189))</f>
        <v>#REF!</v>
      </c>
      <c r="BC32" s="360" t="e" cm="1">
        <f t="array" aca="1" ref="BC32" ca="1">SUMPRODUCT(BC$55:BC$114,TRANSPOSE(SAP_Speadsheet!$E$189:$BL$189))</f>
        <v>#REF!</v>
      </c>
      <c r="BD32" s="360" t="e" cm="1">
        <f t="array" aca="1" ref="BD32" ca="1">SUMPRODUCT(BD$55:BD$114,TRANSPOSE(SAP_Speadsheet!$E$189:$BL$189))</f>
        <v>#REF!</v>
      </c>
      <c r="BE32" s="360" t="e" cm="1">
        <f t="array" aca="1" ref="BE32" ca="1">SUMPRODUCT(BE$55:BE$114,TRANSPOSE(SAP_Speadsheet!$E$189:$BL$189))</f>
        <v>#REF!</v>
      </c>
      <c r="BF32" s="360" t="e" cm="1">
        <f t="array" aca="1" ref="BF32" ca="1">SUMPRODUCT(BF$55:BF$114,TRANSPOSE(SAP_Speadsheet!$E$189:$BL$189))</f>
        <v>#REF!</v>
      </c>
      <c r="BG32" s="360" t="e" cm="1">
        <f t="array" aca="1" ref="BG32" ca="1">SUMPRODUCT(BG$55:BG$114,TRANSPOSE(SAP_Speadsheet!$E$189:$BL$189))</f>
        <v>#REF!</v>
      </c>
      <c r="BH32" s="360" t="e" cm="1">
        <f t="array" aca="1" ref="BH32" ca="1">SUMPRODUCT(BH$55:BH$114,TRANSPOSE(SAP_Speadsheet!$E$189:$BL$189))</f>
        <v>#REF!</v>
      </c>
      <c r="BI32" s="360" t="e" cm="1">
        <f t="array" aca="1" ref="BI32" ca="1">SUMPRODUCT(BI$55:BI$114,TRANSPOSE(SAP_Speadsheet!$E$189:$BL$189))</f>
        <v>#REF!</v>
      </c>
    </row>
    <row r="33" spans="1:61" s="367" customFormat="1" x14ac:dyDescent="0.15">
      <c r="A33" s="367" t="s">
        <v>425</v>
      </c>
      <c r="B33" s="368">
        <f t="shared" ref="B33:BI33" ca="1" si="5">B9+B19+B31-B32</f>
        <v>0</v>
      </c>
      <c r="C33" s="368">
        <f t="shared" ca="1" si="5"/>
        <v>0</v>
      </c>
      <c r="D33" s="368">
        <f t="shared" ca="1" si="5"/>
        <v>0</v>
      </c>
      <c r="E33" s="368">
        <f t="shared" ca="1" si="5"/>
        <v>0</v>
      </c>
      <c r="F33" s="368">
        <f t="shared" ca="1" si="5"/>
        <v>0</v>
      </c>
      <c r="G33" s="368">
        <f t="shared" ca="1" si="5"/>
        <v>0</v>
      </c>
      <c r="H33" s="368" t="e">
        <f t="shared" ca="1" si="5"/>
        <v>#REF!</v>
      </c>
      <c r="I33" s="368" t="e">
        <f t="shared" ca="1" si="5"/>
        <v>#REF!</v>
      </c>
      <c r="J33" s="368" t="e">
        <f t="shared" ca="1" si="5"/>
        <v>#REF!</v>
      </c>
      <c r="K33" s="368" t="e">
        <f t="shared" ca="1" si="5"/>
        <v>#REF!</v>
      </c>
      <c r="L33" s="368" t="e">
        <f t="shared" ca="1" si="5"/>
        <v>#REF!</v>
      </c>
      <c r="M33" s="368" t="e">
        <f t="shared" ca="1" si="5"/>
        <v>#REF!</v>
      </c>
      <c r="N33" s="368" t="e">
        <f t="shared" ca="1" si="5"/>
        <v>#REF!</v>
      </c>
      <c r="O33" s="368" t="e">
        <f t="shared" ca="1" si="5"/>
        <v>#REF!</v>
      </c>
      <c r="P33" s="368" t="e">
        <f t="shared" ca="1" si="5"/>
        <v>#REF!</v>
      </c>
      <c r="Q33" s="368" t="e">
        <f t="shared" ca="1" si="5"/>
        <v>#REF!</v>
      </c>
      <c r="R33" s="368" t="e">
        <f t="shared" ca="1" si="5"/>
        <v>#REF!</v>
      </c>
      <c r="S33" s="368" t="e">
        <f t="shared" ca="1" si="5"/>
        <v>#REF!</v>
      </c>
      <c r="T33" s="368" t="e">
        <f t="shared" ca="1" si="5"/>
        <v>#REF!</v>
      </c>
      <c r="U33" s="368" t="e">
        <f t="shared" ca="1" si="5"/>
        <v>#REF!</v>
      </c>
      <c r="V33" s="368" t="e">
        <f t="shared" ca="1" si="5"/>
        <v>#REF!</v>
      </c>
      <c r="W33" s="368" t="e">
        <f t="shared" ca="1" si="5"/>
        <v>#REF!</v>
      </c>
      <c r="X33" s="368" t="e">
        <f t="shared" ca="1" si="5"/>
        <v>#REF!</v>
      </c>
      <c r="Y33" s="368" t="e">
        <f t="shared" ca="1" si="5"/>
        <v>#REF!</v>
      </c>
      <c r="Z33" s="368" t="e">
        <f t="shared" ca="1" si="5"/>
        <v>#REF!</v>
      </c>
      <c r="AA33" s="368" t="e">
        <f t="shared" ca="1" si="5"/>
        <v>#REF!</v>
      </c>
      <c r="AB33" s="368" t="e">
        <f t="shared" ca="1" si="5"/>
        <v>#REF!</v>
      </c>
      <c r="AC33" s="368" t="e">
        <f t="shared" ca="1" si="5"/>
        <v>#REF!</v>
      </c>
      <c r="AD33" s="368" t="e">
        <f t="shared" ca="1" si="5"/>
        <v>#REF!</v>
      </c>
      <c r="AE33" s="368" t="e">
        <f t="shared" ca="1" si="5"/>
        <v>#REF!</v>
      </c>
      <c r="AF33" s="368" t="e">
        <f t="shared" ca="1" si="5"/>
        <v>#REF!</v>
      </c>
      <c r="AG33" s="368" t="e">
        <f t="shared" ca="1" si="5"/>
        <v>#REF!</v>
      </c>
      <c r="AH33" s="368" t="e">
        <f t="shared" ca="1" si="5"/>
        <v>#REF!</v>
      </c>
      <c r="AI33" s="368" t="e">
        <f t="shared" ca="1" si="5"/>
        <v>#REF!</v>
      </c>
      <c r="AJ33" s="368" t="e">
        <f t="shared" ca="1" si="5"/>
        <v>#REF!</v>
      </c>
      <c r="AK33" s="368" t="e">
        <f t="shared" ca="1" si="5"/>
        <v>#REF!</v>
      </c>
      <c r="AL33" s="368" t="e">
        <f t="shared" ca="1" si="5"/>
        <v>#REF!</v>
      </c>
      <c r="AM33" s="368" t="e">
        <f t="shared" ca="1" si="5"/>
        <v>#REF!</v>
      </c>
      <c r="AN33" s="368" t="e">
        <f t="shared" ca="1" si="5"/>
        <v>#REF!</v>
      </c>
      <c r="AO33" s="368" t="e">
        <f t="shared" ca="1" si="5"/>
        <v>#REF!</v>
      </c>
      <c r="AP33" s="368" t="e">
        <f t="shared" ca="1" si="5"/>
        <v>#REF!</v>
      </c>
      <c r="AQ33" s="368" t="e">
        <f t="shared" ca="1" si="5"/>
        <v>#REF!</v>
      </c>
      <c r="AR33" s="368" t="e">
        <f t="shared" ca="1" si="5"/>
        <v>#REF!</v>
      </c>
      <c r="AS33" s="368" t="e">
        <f t="shared" ca="1" si="5"/>
        <v>#REF!</v>
      </c>
      <c r="AT33" s="368" t="e">
        <f t="shared" ca="1" si="5"/>
        <v>#REF!</v>
      </c>
      <c r="AU33" s="368" t="e">
        <f t="shared" ca="1" si="5"/>
        <v>#REF!</v>
      </c>
      <c r="AV33" s="368" t="e">
        <f t="shared" ca="1" si="5"/>
        <v>#REF!</v>
      </c>
      <c r="AW33" s="368" t="e">
        <f t="shared" ca="1" si="5"/>
        <v>#REF!</v>
      </c>
      <c r="AX33" s="368" t="e">
        <f t="shared" ca="1" si="5"/>
        <v>#REF!</v>
      </c>
      <c r="AY33" s="368" t="e">
        <f t="shared" ca="1" si="5"/>
        <v>#REF!</v>
      </c>
      <c r="AZ33" s="368" t="e">
        <f t="shared" ca="1" si="5"/>
        <v>#REF!</v>
      </c>
      <c r="BA33" s="368" t="e">
        <f t="shared" ca="1" si="5"/>
        <v>#REF!</v>
      </c>
      <c r="BB33" s="368" t="e">
        <f t="shared" ca="1" si="5"/>
        <v>#REF!</v>
      </c>
      <c r="BC33" s="368" t="e">
        <f t="shared" ca="1" si="5"/>
        <v>#REF!</v>
      </c>
      <c r="BD33" s="368" t="e">
        <f t="shared" ca="1" si="5"/>
        <v>#REF!</v>
      </c>
      <c r="BE33" s="368" t="e">
        <f t="shared" ca="1" si="5"/>
        <v>#REF!</v>
      </c>
      <c r="BF33" s="368" t="e">
        <f t="shared" ca="1" si="5"/>
        <v>#REF!</v>
      </c>
      <c r="BG33" s="368" t="e">
        <f t="shared" ca="1" si="5"/>
        <v>#REF!</v>
      </c>
      <c r="BH33" s="368" t="e">
        <f t="shared" ca="1" si="5"/>
        <v>#REF!</v>
      </c>
      <c r="BI33" s="368" t="e">
        <f t="shared" ca="1" si="5"/>
        <v>#REF!</v>
      </c>
    </row>
    <row r="35" spans="1:61" x14ac:dyDescent="0.15">
      <c r="A35" s="353" t="s">
        <v>457</v>
      </c>
      <c r="D35" s="369"/>
      <c r="K35" s="370"/>
    </row>
    <row r="36" spans="1:61" x14ac:dyDescent="0.15">
      <c r="A36" s="354" t="s">
        <v>362</v>
      </c>
      <c r="B36" s="365" cm="1">
        <f t="array" aca="1" ref="B36" ca="1">SUMPRODUCT(B$55:B$114,TRANSPOSE(SAP_Speadsheet!$E$27:$BL$27))</f>
        <v>0</v>
      </c>
      <c r="C36" s="365" cm="1">
        <f t="array" aca="1" ref="C36" ca="1">SUMPRODUCT(C$55:C$114,TRANSPOSE(SAP_Speadsheet!$E$27:$BL$27))</f>
        <v>0</v>
      </c>
      <c r="D36" s="365" cm="1">
        <f t="array" aca="1" ref="D36" ca="1">SUMPRODUCT(D$55:D$114,TRANSPOSE(SAP_Speadsheet!$E$27:$BL$27))</f>
        <v>0</v>
      </c>
      <c r="E36" s="365" cm="1">
        <f t="array" aca="1" ref="E36" ca="1">SUMPRODUCT(E$55:E$114,TRANSPOSE(SAP_Speadsheet!$E$27:$BL$27))</f>
        <v>0</v>
      </c>
      <c r="F36" s="365" cm="1">
        <f t="array" aca="1" ref="F36" ca="1">SUMPRODUCT(F$55:F$114,TRANSPOSE(SAP_Speadsheet!$E$27:$BL$27))</f>
        <v>0</v>
      </c>
      <c r="G36" s="365" cm="1">
        <f t="array" aca="1" ref="G36" ca="1">SUMPRODUCT(G$55:G$114,TRANSPOSE(SAP_Speadsheet!$E$27:$BL$27))</f>
        <v>0</v>
      </c>
      <c r="H36" s="365" t="e" cm="1">
        <f t="array" aca="1" ref="H36" ca="1">SUMPRODUCT(H$55:H$114,TRANSPOSE(SAP_Speadsheet!$E$27:$BL$27))</f>
        <v>#REF!</v>
      </c>
      <c r="I36" s="365" t="e" cm="1">
        <f t="array" aca="1" ref="I36" ca="1">SUMPRODUCT(I$55:I$114,TRANSPOSE(SAP_Speadsheet!$E$27:$BL$27))</f>
        <v>#REF!</v>
      </c>
      <c r="J36" s="365" t="e" cm="1">
        <f t="array" aca="1" ref="J36" ca="1">SUMPRODUCT(J$55:J$114,TRANSPOSE(SAP_Speadsheet!$E$27:$BL$27))</f>
        <v>#REF!</v>
      </c>
      <c r="K36" s="365" t="e" cm="1">
        <f t="array" aca="1" ref="K36" ca="1">SUMPRODUCT(K$55:K$114,TRANSPOSE(SAP_Speadsheet!$E$27:$BL$27))</f>
        <v>#REF!</v>
      </c>
      <c r="L36" s="365" t="e" cm="1">
        <f t="array" aca="1" ref="L36" ca="1">SUMPRODUCT(L$55:L$114,TRANSPOSE(SAP_Speadsheet!$E$27:$BL$27))</f>
        <v>#REF!</v>
      </c>
      <c r="M36" s="365" t="e" cm="1">
        <f t="array" aca="1" ref="M36" ca="1">SUMPRODUCT(M$55:M$114,TRANSPOSE(SAP_Speadsheet!$E$27:$BL$27))</f>
        <v>#REF!</v>
      </c>
      <c r="N36" s="365" t="e" cm="1">
        <f t="array" aca="1" ref="N36" ca="1">SUMPRODUCT(N$55:N$114,TRANSPOSE(SAP_Speadsheet!$E$27:$BL$27))</f>
        <v>#REF!</v>
      </c>
      <c r="O36" s="365" t="e" cm="1">
        <f t="array" aca="1" ref="O36" ca="1">SUMPRODUCT(O$55:O$114,TRANSPOSE(SAP_Speadsheet!$E$27:$BL$27))</f>
        <v>#REF!</v>
      </c>
      <c r="P36" s="365" t="e" cm="1">
        <f t="array" aca="1" ref="P36" ca="1">SUMPRODUCT(P$55:P$114,TRANSPOSE(SAP_Speadsheet!$E$27:$BL$27))</f>
        <v>#REF!</v>
      </c>
      <c r="Q36" s="365" t="e" cm="1">
        <f t="array" aca="1" ref="Q36" ca="1">SUMPRODUCT(Q$55:Q$114,TRANSPOSE(SAP_Speadsheet!$E$27:$BL$27))</f>
        <v>#REF!</v>
      </c>
      <c r="R36" s="365" t="e" cm="1">
        <f t="array" aca="1" ref="R36" ca="1">SUMPRODUCT(R$55:R$114,TRANSPOSE(SAP_Speadsheet!$E$27:$BL$27))</f>
        <v>#REF!</v>
      </c>
      <c r="S36" s="365" t="e" cm="1">
        <f t="array" aca="1" ref="S36" ca="1">SUMPRODUCT(S$55:S$114,TRANSPOSE(SAP_Speadsheet!$E$27:$BL$27))</f>
        <v>#REF!</v>
      </c>
      <c r="T36" s="365" t="e" cm="1">
        <f t="array" aca="1" ref="T36" ca="1">SUMPRODUCT(T$55:T$114,TRANSPOSE(SAP_Speadsheet!$E$27:$BL$27))</f>
        <v>#REF!</v>
      </c>
      <c r="U36" s="365" t="e" cm="1">
        <f t="array" aca="1" ref="U36" ca="1">SUMPRODUCT(U$55:U$114,TRANSPOSE(SAP_Speadsheet!$E$27:$BL$27))</f>
        <v>#REF!</v>
      </c>
      <c r="V36" s="365" t="e" cm="1">
        <f t="array" aca="1" ref="V36" ca="1">SUMPRODUCT(V$55:V$114,TRANSPOSE(SAP_Speadsheet!$E$27:$BL$27))</f>
        <v>#REF!</v>
      </c>
      <c r="W36" s="365" t="e" cm="1">
        <f t="array" aca="1" ref="W36" ca="1">SUMPRODUCT(W$55:W$114,TRANSPOSE(SAP_Speadsheet!$E$27:$BL$27))</f>
        <v>#REF!</v>
      </c>
      <c r="X36" s="365" t="e" cm="1">
        <f t="array" aca="1" ref="X36" ca="1">SUMPRODUCT(X$55:X$114,TRANSPOSE(SAP_Speadsheet!$E$27:$BL$27))</f>
        <v>#REF!</v>
      </c>
      <c r="Y36" s="365" t="e" cm="1">
        <f t="array" aca="1" ref="Y36" ca="1">SUMPRODUCT(Y$55:Y$114,TRANSPOSE(SAP_Speadsheet!$E$27:$BL$27))</f>
        <v>#REF!</v>
      </c>
      <c r="Z36" s="365" t="e" cm="1">
        <f t="array" aca="1" ref="Z36" ca="1">SUMPRODUCT(Z$55:Z$114,TRANSPOSE(SAP_Speadsheet!$E$27:$BL$27))</f>
        <v>#REF!</v>
      </c>
      <c r="AA36" s="365" t="e" cm="1">
        <f t="array" aca="1" ref="AA36" ca="1">SUMPRODUCT(AA$55:AA$114,TRANSPOSE(SAP_Speadsheet!$E$27:$BL$27))</f>
        <v>#REF!</v>
      </c>
      <c r="AB36" s="365" t="e" cm="1">
        <f t="array" aca="1" ref="AB36" ca="1">SUMPRODUCT(AB$55:AB$114,TRANSPOSE(SAP_Speadsheet!$E$27:$BL$27))</f>
        <v>#REF!</v>
      </c>
      <c r="AC36" s="365" t="e" cm="1">
        <f t="array" aca="1" ref="AC36" ca="1">SUMPRODUCT(AC$55:AC$114,TRANSPOSE(SAP_Speadsheet!$E$27:$BL$27))</f>
        <v>#REF!</v>
      </c>
      <c r="AD36" s="365" t="e" cm="1">
        <f t="array" aca="1" ref="AD36" ca="1">SUMPRODUCT(AD$55:AD$114,TRANSPOSE(SAP_Speadsheet!$E$27:$BL$27))</f>
        <v>#REF!</v>
      </c>
      <c r="AE36" s="365" t="e" cm="1">
        <f t="array" aca="1" ref="AE36" ca="1">SUMPRODUCT(AE$55:AE$114,TRANSPOSE(SAP_Speadsheet!$E$27:$BL$27))</f>
        <v>#REF!</v>
      </c>
      <c r="AF36" s="365" t="e" cm="1">
        <f t="array" aca="1" ref="AF36" ca="1">SUMPRODUCT(AF$55:AF$114,TRANSPOSE(SAP_Speadsheet!$E$27:$BL$27))</f>
        <v>#REF!</v>
      </c>
      <c r="AG36" s="365" t="e" cm="1">
        <f t="array" aca="1" ref="AG36" ca="1">SUMPRODUCT(AG$55:AG$114,TRANSPOSE(SAP_Speadsheet!$E$27:$BL$27))</f>
        <v>#REF!</v>
      </c>
      <c r="AH36" s="365" t="e" cm="1">
        <f t="array" aca="1" ref="AH36" ca="1">SUMPRODUCT(AH$55:AH$114,TRANSPOSE(SAP_Speadsheet!$E$27:$BL$27))</f>
        <v>#REF!</v>
      </c>
      <c r="AI36" s="365" t="e" cm="1">
        <f t="array" aca="1" ref="AI36" ca="1">SUMPRODUCT(AI$55:AI$114,TRANSPOSE(SAP_Speadsheet!$E$27:$BL$27))</f>
        <v>#REF!</v>
      </c>
      <c r="AJ36" s="365" t="e" cm="1">
        <f t="array" aca="1" ref="AJ36" ca="1">SUMPRODUCT(AJ$55:AJ$114,TRANSPOSE(SAP_Speadsheet!$E$27:$BL$27))</f>
        <v>#REF!</v>
      </c>
      <c r="AK36" s="365" t="e" cm="1">
        <f t="array" aca="1" ref="AK36" ca="1">SUMPRODUCT(AK$55:AK$114,TRANSPOSE(SAP_Speadsheet!$E$27:$BL$27))</f>
        <v>#REF!</v>
      </c>
      <c r="AL36" s="365" t="e" cm="1">
        <f t="array" aca="1" ref="AL36" ca="1">SUMPRODUCT(AL$55:AL$114,TRANSPOSE(SAP_Speadsheet!$E$27:$BL$27))</f>
        <v>#REF!</v>
      </c>
      <c r="AM36" s="365" t="e" cm="1">
        <f t="array" aca="1" ref="AM36" ca="1">SUMPRODUCT(AM$55:AM$114,TRANSPOSE(SAP_Speadsheet!$E$27:$BL$27))</f>
        <v>#REF!</v>
      </c>
      <c r="AN36" s="365" t="e" cm="1">
        <f t="array" aca="1" ref="AN36" ca="1">SUMPRODUCT(AN$55:AN$114,TRANSPOSE(SAP_Speadsheet!$E$27:$BL$27))</f>
        <v>#REF!</v>
      </c>
      <c r="AO36" s="365" t="e" cm="1">
        <f t="array" aca="1" ref="AO36" ca="1">SUMPRODUCT(AO$55:AO$114,TRANSPOSE(SAP_Speadsheet!$E$27:$BL$27))</f>
        <v>#REF!</v>
      </c>
      <c r="AP36" s="365" t="e" cm="1">
        <f t="array" aca="1" ref="AP36" ca="1">SUMPRODUCT(AP$55:AP$114,TRANSPOSE(SAP_Speadsheet!$E$27:$BL$27))</f>
        <v>#REF!</v>
      </c>
      <c r="AQ36" s="365" t="e" cm="1">
        <f t="array" aca="1" ref="AQ36" ca="1">SUMPRODUCT(AQ$55:AQ$114,TRANSPOSE(SAP_Speadsheet!$E$27:$BL$27))</f>
        <v>#REF!</v>
      </c>
      <c r="AR36" s="365" t="e" cm="1">
        <f t="array" aca="1" ref="AR36" ca="1">SUMPRODUCT(AR$55:AR$114,TRANSPOSE(SAP_Speadsheet!$E$27:$BL$27))</f>
        <v>#REF!</v>
      </c>
      <c r="AS36" s="365" t="e" cm="1">
        <f t="array" aca="1" ref="AS36" ca="1">SUMPRODUCT(AS$55:AS$114,TRANSPOSE(SAP_Speadsheet!$E$27:$BL$27))</f>
        <v>#REF!</v>
      </c>
      <c r="AT36" s="365" t="e" cm="1">
        <f t="array" aca="1" ref="AT36" ca="1">SUMPRODUCT(AT$55:AT$114,TRANSPOSE(SAP_Speadsheet!$E$27:$BL$27))</f>
        <v>#REF!</v>
      </c>
      <c r="AU36" s="365" t="e" cm="1">
        <f t="array" aca="1" ref="AU36" ca="1">SUMPRODUCT(AU$55:AU$114,TRANSPOSE(SAP_Speadsheet!$E$27:$BL$27))</f>
        <v>#REF!</v>
      </c>
      <c r="AV36" s="365" t="e" cm="1">
        <f t="array" aca="1" ref="AV36" ca="1">SUMPRODUCT(AV$55:AV$114,TRANSPOSE(SAP_Speadsheet!$E$27:$BL$27))</f>
        <v>#REF!</v>
      </c>
      <c r="AW36" s="365" t="e" cm="1">
        <f t="array" aca="1" ref="AW36" ca="1">SUMPRODUCT(AW$55:AW$114,TRANSPOSE(SAP_Speadsheet!$E$27:$BL$27))</f>
        <v>#REF!</v>
      </c>
      <c r="AX36" s="365" t="e" cm="1">
        <f t="array" aca="1" ref="AX36" ca="1">SUMPRODUCT(AX$55:AX$114,TRANSPOSE(SAP_Speadsheet!$E$27:$BL$27))</f>
        <v>#REF!</v>
      </c>
      <c r="AY36" s="365" t="e" cm="1">
        <f t="array" aca="1" ref="AY36" ca="1">SUMPRODUCT(AY$55:AY$114,TRANSPOSE(SAP_Speadsheet!$E$27:$BL$27))</f>
        <v>#REF!</v>
      </c>
      <c r="AZ36" s="365" t="e" cm="1">
        <f t="array" aca="1" ref="AZ36" ca="1">SUMPRODUCT(AZ$55:AZ$114,TRANSPOSE(SAP_Speadsheet!$E$27:$BL$27))</f>
        <v>#REF!</v>
      </c>
      <c r="BA36" s="365" t="e" cm="1">
        <f t="array" aca="1" ref="BA36" ca="1">SUMPRODUCT(BA$55:BA$114,TRANSPOSE(SAP_Speadsheet!$E$27:$BL$27))</f>
        <v>#REF!</v>
      </c>
      <c r="BB36" s="365" t="e" cm="1">
        <f t="array" aca="1" ref="BB36" ca="1">SUMPRODUCT(BB$55:BB$114,TRANSPOSE(SAP_Speadsheet!$E$27:$BL$27))</f>
        <v>#REF!</v>
      </c>
      <c r="BC36" s="365" t="e" cm="1">
        <f t="array" aca="1" ref="BC36" ca="1">SUMPRODUCT(BC$55:BC$114,TRANSPOSE(SAP_Speadsheet!$E$27:$BL$27))</f>
        <v>#REF!</v>
      </c>
      <c r="BD36" s="365" t="e" cm="1">
        <f t="array" aca="1" ref="BD36" ca="1">SUMPRODUCT(BD$55:BD$114,TRANSPOSE(SAP_Speadsheet!$E$27:$BL$27))</f>
        <v>#REF!</v>
      </c>
      <c r="BE36" s="365" t="e" cm="1">
        <f t="array" aca="1" ref="BE36" ca="1">SUMPRODUCT(BE$55:BE$114,TRANSPOSE(SAP_Speadsheet!$E$27:$BL$27))</f>
        <v>#REF!</v>
      </c>
      <c r="BF36" s="365" t="e" cm="1">
        <f t="array" aca="1" ref="BF36" ca="1">SUMPRODUCT(BF$55:BF$114,TRANSPOSE(SAP_Speadsheet!$E$27:$BL$27))</f>
        <v>#REF!</v>
      </c>
      <c r="BG36" s="365" t="e" cm="1">
        <f t="array" aca="1" ref="BG36" ca="1">SUMPRODUCT(BG$55:BG$114,TRANSPOSE(SAP_Speadsheet!$E$27:$BL$27))</f>
        <v>#REF!</v>
      </c>
      <c r="BH36" s="365" t="e" cm="1">
        <f t="array" aca="1" ref="BH36" ca="1">SUMPRODUCT(BH$55:BH$114,TRANSPOSE(SAP_Speadsheet!$E$27:$BL$27))</f>
        <v>#REF!</v>
      </c>
      <c r="BI36" s="365" t="e" cm="1">
        <f t="array" aca="1" ref="BI36" ca="1">SUMPRODUCT(BI$55:BI$114,TRANSPOSE(SAP_Speadsheet!$E$27:$BL$27))</f>
        <v>#REF!</v>
      </c>
    </row>
    <row r="37" spans="1:61" x14ac:dyDescent="0.15">
      <c r="A37" s="354" t="s">
        <v>364</v>
      </c>
      <c r="B37" s="365" cm="1">
        <f t="array" aca="1" ref="B37" ca="1">SUMPRODUCT(B$55:B$114,TRANSPOSE(SAP_Speadsheet!$E$28:$BL$28))</f>
        <v>0</v>
      </c>
      <c r="C37" s="365" cm="1">
        <f t="array" aca="1" ref="C37" ca="1">SUMPRODUCT(C$55:C$114,TRANSPOSE(SAP_Speadsheet!$E$28:$BL$28))</f>
        <v>0</v>
      </c>
      <c r="D37" s="365" cm="1">
        <f t="array" aca="1" ref="D37" ca="1">SUMPRODUCT(D$55:D$114,TRANSPOSE(SAP_Speadsheet!$E$28:$BL$28))</f>
        <v>0</v>
      </c>
      <c r="E37" s="365" cm="1">
        <f t="array" aca="1" ref="E37" ca="1">SUMPRODUCT(E$55:E$114,TRANSPOSE(SAP_Speadsheet!$E$28:$BL$28))</f>
        <v>0</v>
      </c>
      <c r="F37" s="365" cm="1">
        <f t="array" aca="1" ref="F37" ca="1">SUMPRODUCT(F$55:F$114,TRANSPOSE(SAP_Speadsheet!$E$28:$BL$28))</f>
        <v>0</v>
      </c>
      <c r="G37" s="365" cm="1">
        <f t="array" aca="1" ref="G37" ca="1">SUMPRODUCT(G$55:G$114,TRANSPOSE(SAP_Speadsheet!$E$28:$BL$28))</f>
        <v>0</v>
      </c>
      <c r="H37" s="365" t="e" cm="1">
        <f t="array" aca="1" ref="H37" ca="1">SUMPRODUCT(H$55:H$114,TRANSPOSE(SAP_Speadsheet!$E$28:$BL$28))</f>
        <v>#REF!</v>
      </c>
      <c r="I37" s="365" t="e" cm="1">
        <f t="array" aca="1" ref="I37" ca="1">SUMPRODUCT(I$55:I$114,TRANSPOSE(SAP_Speadsheet!$E$28:$BL$28))</f>
        <v>#REF!</v>
      </c>
      <c r="J37" s="365" t="e" cm="1">
        <f t="array" aca="1" ref="J37" ca="1">SUMPRODUCT(J$55:J$114,TRANSPOSE(SAP_Speadsheet!$E$28:$BL$28))</f>
        <v>#REF!</v>
      </c>
      <c r="K37" s="365" t="e" cm="1">
        <f t="array" aca="1" ref="K37" ca="1">SUMPRODUCT(K$55:K$114,TRANSPOSE(SAP_Speadsheet!$E$28:$BL$28))</f>
        <v>#REF!</v>
      </c>
      <c r="L37" s="365" t="e" cm="1">
        <f t="array" aca="1" ref="L37" ca="1">SUMPRODUCT(L$55:L$114,TRANSPOSE(SAP_Speadsheet!$E$28:$BL$28))</f>
        <v>#REF!</v>
      </c>
      <c r="M37" s="365" t="e" cm="1">
        <f t="array" aca="1" ref="M37" ca="1">SUMPRODUCT(M$55:M$114,TRANSPOSE(SAP_Speadsheet!$E$28:$BL$28))</f>
        <v>#REF!</v>
      </c>
      <c r="N37" s="365" t="e" cm="1">
        <f t="array" aca="1" ref="N37" ca="1">SUMPRODUCT(N$55:N$114,TRANSPOSE(SAP_Speadsheet!$E$28:$BL$28))</f>
        <v>#REF!</v>
      </c>
      <c r="O37" s="365" t="e" cm="1">
        <f t="array" aca="1" ref="O37" ca="1">SUMPRODUCT(O$55:O$114,TRANSPOSE(SAP_Speadsheet!$E$28:$BL$28))</f>
        <v>#REF!</v>
      </c>
      <c r="P37" s="365" t="e" cm="1">
        <f t="array" aca="1" ref="P37" ca="1">SUMPRODUCT(P$55:P$114,TRANSPOSE(SAP_Speadsheet!$E$28:$BL$28))</f>
        <v>#REF!</v>
      </c>
      <c r="Q37" s="365" t="e" cm="1">
        <f t="array" aca="1" ref="Q37" ca="1">SUMPRODUCT(Q$55:Q$114,TRANSPOSE(SAP_Speadsheet!$E$28:$BL$28))</f>
        <v>#REF!</v>
      </c>
      <c r="R37" s="365" t="e" cm="1">
        <f t="array" aca="1" ref="R37" ca="1">SUMPRODUCT(R$55:R$114,TRANSPOSE(SAP_Speadsheet!$E$28:$BL$28))</f>
        <v>#REF!</v>
      </c>
      <c r="S37" s="365" t="e" cm="1">
        <f t="array" aca="1" ref="S37" ca="1">SUMPRODUCT(S$55:S$114,TRANSPOSE(SAP_Speadsheet!$E$28:$BL$28))</f>
        <v>#REF!</v>
      </c>
      <c r="T37" s="365" t="e" cm="1">
        <f t="array" aca="1" ref="T37" ca="1">SUMPRODUCT(T$55:T$114,TRANSPOSE(SAP_Speadsheet!$E$28:$BL$28))</f>
        <v>#REF!</v>
      </c>
      <c r="U37" s="365" t="e" cm="1">
        <f t="array" aca="1" ref="U37" ca="1">SUMPRODUCT(U$55:U$114,TRANSPOSE(SAP_Speadsheet!$E$28:$BL$28))</f>
        <v>#REF!</v>
      </c>
      <c r="V37" s="365" t="e" cm="1">
        <f t="array" aca="1" ref="V37" ca="1">SUMPRODUCT(V$55:V$114,TRANSPOSE(SAP_Speadsheet!$E$28:$BL$28))</f>
        <v>#REF!</v>
      </c>
      <c r="W37" s="365" t="e" cm="1">
        <f t="array" aca="1" ref="W37" ca="1">SUMPRODUCT(W$55:W$114,TRANSPOSE(SAP_Speadsheet!$E$28:$BL$28))</f>
        <v>#REF!</v>
      </c>
      <c r="X37" s="365" t="e" cm="1">
        <f t="array" aca="1" ref="X37" ca="1">SUMPRODUCT(X$55:X$114,TRANSPOSE(SAP_Speadsheet!$E$28:$BL$28))</f>
        <v>#REF!</v>
      </c>
      <c r="Y37" s="365" t="e" cm="1">
        <f t="array" aca="1" ref="Y37" ca="1">SUMPRODUCT(Y$55:Y$114,TRANSPOSE(SAP_Speadsheet!$E$28:$BL$28))</f>
        <v>#REF!</v>
      </c>
      <c r="Z37" s="365" t="e" cm="1">
        <f t="array" aca="1" ref="Z37" ca="1">SUMPRODUCT(Z$55:Z$114,TRANSPOSE(SAP_Speadsheet!$E$28:$BL$28))</f>
        <v>#REF!</v>
      </c>
      <c r="AA37" s="365" t="e" cm="1">
        <f t="array" aca="1" ref="AA37" ca="1">SUMPRODUCT(AA$55:AA$114,TRANSPOSE(SAP_Speadsheet!$E$28:$BL$28))</f>
        <v>#REF!</v>
      </c>
      <c r="AB37" s="365" t="e" cm="1">
        <f t="array" aca="1" ref="AB37" ca="1">SUMPRODUCT(AB$55:AB$114,TRANSPOSE(SAP_Speadsheet!$E$28:$BL$28))</f>
        <v>#REF!</v>
      </c>
      <c r="AC37" s="365" t="e" cm="1">
        <f t="array" aca="1" ref="AC37" ca="1">SUMPRODUCT(AC$55:AC$114,TRANSPOSE(SAP_Speadsheet!$E$28:$BL$28))</f>
        <v>#REF!</v>
      </c>
      <c r="AD37" s="365" t="e" cm="1">
        <f t="array" aca="1" ref="AD37" ca="1">SUMPRODUCT(AD$55:AD$114,TRANSPOSE(SAP_Speadsheet!$E$28:$BL$28))</f>
        <v>#REF!</v>
      </c>
      <c r="AE37" s="365" t="e" cm="1">
        <f t="array" aca="1" ref="AE37" ca="1">SUMPRODUCT(AE$55:AE$114,TRANSPOSE(SAP_Speadsheet!$E$28:$BL$28))</f>
        <v>#REF!</v>
      </c>
      <c r="AF37" s="365" t="e" cm="1">
        <f t="array" aca="1" ref="AF37" ca="1">SUMPRODUCT(AF$55:AF$114,TRANSPOSE(SAP_Speadsheet!$E$28:$BL$28))</f>
        <v>#REF!</v>
      </c>
      <c r="AG37" s="365" t="e" cm="1">
        <f t="array" aca="1" ref="AG37" ca="1">SUMPRODUCT(AG$55:AG$114,TRANSPOSE(SAP_Speadsheet!$E$28:$BL$28))</f>
        <v>#REF!</v>
      </c>
      <c r="AH37" s="365" t="e" cm="1">
        <f t="array" aca="1" ref="AH37" ca="1">SUMPRODUCT(AH$55:AH$114,TRANSPOSE(SAP_Speadsheet!$E$28:$BL$28))</f>
        <v>#REF!</v>
      </c>
      <c r="AI37" s="365" t="e" cm="1">
        <f t="array" aca="1" ref="AI37" ca="1">SUMPRODUCT(AI$55:AI$114,TRANSPOSE(SAP_Speadsheet!$E$28:$BL$28))</f>
        <v>#REF!</v>
      </c>
      <c r="AJ37" s="365" t="e" cm="1">
        <f t="array" aca="1" ref="AJ37" ca="1">SUMPRODUCT(AJ$55:AJ$114,TRANSPOSE(SAP_Speadsheet!$E$28:$BL$28))</f>
        <v>#REF!</v>
      </c>
      <c r="AK37" s="365" t="e" cm="1">
        <f t="array" aca="1" ref="AK37" ca="1">SUMPRODUCT(AK$55:AK$114,TRANSPOSE(SAP_Speadsheet!$E$28:$BL$28))</f>
        <v>#REF!</v>
      </c>
      <c r="AL37" s="365" t="e" cm="1">
        <f t="array" aca="1" ref="AL37" ca="1">SUMPRODUCT(AL$55:AL$114,TRANSPOSE(SAP_Speadsheet!$E$28:$BL$28))</f>
        <v>#REF!</v>
      </c>
      <c r="AM37" s="365" t="e" cm="1">
        <f t="array" aca="1" ref="AM37" ca="1">SUMPRODUCT(AM$55:AM$114,TRANSPOSE(SAP_Speadsheet!$E$28:$BL$28))</f>
        <v>#REF!</v>
      </c>
      <c r="AN37" s="365" t="e" cm="1">
        <f t="array" aca="1" ref="AN37" ca="1">SUMPRODUCT(AN$55:AN$114,TRANSPOSE(SAP_Speadsheet!$E$28:$BL$28))</f>
        <v>#REF!</v>
      </c>
      <c r="AO37" s="365" t="e" cm="1">
        <f t="array" aca="1" ref="AO37" ca="1">SUMPRODUCT(AO$55:AO$114,TRANSPOSE(SAP_Speadsheet!$E$28:$BL$28))</f>
        <v>#REF!</v>
      </c>
      <c r="AP37" s="365" t="e" cm="1">
        <f t="array" aca="1" ref="AP37" ca="1">SUMPRODUCT(AP$55:AP$114,TRANSPOSE(SAP_Speadsheet!$E$28:$BL$28))</f>
        <v>#REF!</v>
      </c>
      <c r="AQ37" s="365" t="e" cm="1">
        <f t="array" aca="1" ref="AQ37" ca="1">SUMPRODUCT(AQ$55:AQ$114,TRANSPOSE(SAP_Speadsheet!$E$28:$BL$28))</f>
        <v>#REF!</v>
      </c>
      <c r="AR37" s="365" t="e" cm="1">
        <f t="array" aca="1" ref="AR37" ca="1">SUMPRODUCT(AR$55:AR$114,TRANSPOSE(SAP_Speadsheet!$E$28:$BL$28))</f>
        <v>#REF!</v>
      </c>
      <c r="AS37" s="365" t="e" cm="1">
        <f t="array" aca="1" ref="AS37" ca="1">SUMPRODUCT(AS$55:AS$114,TRANSPOSE(SAP_Speadsheet!$E$28:$BL$28))</f>
        <v>#REF!</v>
      </c>
      <c r="AT37" s="365" t="e" cm="1">
        <f t="array" aca="1" ref="AT37" ca="1">SUMPRODUCT(AT$55:AT$114,TRANSPOSE(SAP_Speadsheet!$E$28:$BL$28))</f>
        <v>#REF!</v>
      </c>
      <c r="AU37" s="365" t="e" cm="1">
        <f t="array" aca="1" ref="AU37" ca="1">SUMPRODUCT(AU$55:AU$114,TRANSPOSE(SAP_Speadsheet!$E$28:$BL$28))</f>
        <v>#REF!</v>
      </c>
      <c r="AV37" s="365" t="e" cm="1">
        <f t="array" aca="1" ref="AV37" ca="1">SUMPRODUCT(AV$55:AV$114,TRANSPOSE(SAP_Speadsheet!$E$28:$BL$28))</f>
        <v>#REF!</v>
      </c>
      <c r="AW37" s="365" t="e" cm="1">
        <f t="array" aca="1" ref="AW37" ca="1">SUMPRODUCT(AW$55:AW$114,TRANSPOSE(SAP_Speadsheet!$E$28:$BL$28))</f>
        <v>#REF!</v>
      </c>
      <c r="AX37" s="365" t="e" cm="1">
        <f t="array" aca="1" ref="AX37" ca="1">SUMPRODUCT(AX$55:AX$114,TRANSPOSE(SAP_Speadsheet!$E$28:$BL$28))</f>
        <v>#REF!</v>
      </c>
      <c r="AY37" s="365" t="e" cm="1">
        <f t="array" aca="1" ref="AY37" ca="1">SUMPRODUCT(AY$55:AY$114,TRANSPOSE(SAP_Speadsheet!$E$28:$BL$28))</f>
        <v>#REF!</v>
      </c>
      <c r="AZ37" s="365" t="e" cm="1">
        <f t="array" aca="1" ref="AZ37" ca="1">SUMPRODUCT(AZ$55:AZ$114,TRANSPOSE(SAP_Speadsheet!$E$28:$BL$28))</f>
        <v>#REF!</v>
      </c>
      <c r="BA37" s="365" t="e" cm="1">
        <f t="array" aca="1" ref="BA37" ca="1">SUMPRODUCT(BA$55:BA$114,TRANSPOSE(SAP_Speadsheet!$E$28:$BL$28))</f>
        <v>#REF!</v>
      </c>
      <c r="BB37" s="365" t="e" cm="1">
        <f t="array" aca="1" ref="BB37" ca="1">SUMPRODUCT(BB$55:BB$114,TRANSPOSE(SAP_Speadsheet!$E$28:$BL$28))</f>
        <v>#REF!</v>
      </c>
      <c r="BC37" s="365" t="e" cm="1">
        <f t="array" aca="1" ref="BC37" ca="1">SUMPRODUCT(BC$55:BC$114,TRANSPOSE(SAP_Speadsheet!$E$28:$BL$28))</f>
        <v>#REF!</v>
      </c>
      <c r="BD37" s="365" t="e" cm="1">
        <f t="array" aca="1" ref="BD37" ca="1">SUMPRODUCT(BD$55:BD$114,TRANSPOSE(SAP_Speadsheet!$E$28:$BL$28))</f>
        <v>#REF!</v>
      </c>
      <c r="BE37" s="365" t="e" cm="1">
        <f t="array" aca="1" ref="BE37" ca="1">SUMPRODUCT(BE$55:BE$114,TRANSPOSE(SAP_Speadsheet!$E$28:$BL$28))</f>
        <v>#REF!</v>
      </c>
      <c r="BF37" s="365" t="e" cm="1">
        <f t="array" aca="1" ref="BF37" ca="1">SUMPRODUCT(BF$55:BF$114,TRANSPOSE(SAP_Speadsheet!$E$28:$BL$28))</f>
        <v>#REF!</v>
      </c>
      <c r="BG37" s="365" t="e" cm="1">
        <f t="array" aca="1" ref="BG37" ca="1">SUMPRODUCT(BG$55:BG$114,TRANSPOSE(SAP_Speadsheet!$E$28:$BL$28))</f>
        <v>#REF!</v>
      </c>
      <c r="BH37" s="365" t="e" cm="1">
        <f t="array" aca="1" ref="BH37" ca="1">SUMPRODUCT(BH$55:BH$114,TRANSPOSE(SAP_Speadsheet!$E$28:$BL$28))</f>
        <v>#REF!</v>
      </c>
      <c r="BI37" s="365" t="e" cm="1">
        <f t="array" aca="1" ref="BI37" ca="1">SUMPRODUCT(BI$55:BI$114,TRANSPOSE(SAP_Speadsheet!$E$28:$BL$28))</f>
        <v>#REF!</v>
      </c>
    </row>
    <row r="38" spans="1:61" x14ac:dyDescent="0.15">
      <c r="A38" s="354" t="s">
        <v>365</v>
      </c>
      <c r="B38" s="365" cm="1">
        <f t="array" aca="1" ref="B38" ca="1">SUMPRODUCT(B$55:B$114,TRANSPOSE(SAP_Speadsheet!$E$29:$BL$29))</f>
        <v>0</v>
      </c>
      <c r="C38" s="365" cm="1">
        <f t="array" aca="1" ref="C38" ca="1">SUMPRODUCT(C$55:C$114,TRANSPOSE(SAP_Speadsheet!$E$29:$BL$29))</f>
        <v>0</v>
      </c>
      <c r="D38" s="365" cm="1">
        <f t="array" aca="1" ref="D38" ca="1">SUMPRODUCT(D$55:D$114,TRANSPOSE(SAP_Speadsheet!$E$29:$BL$29))</f>
        <v>0</v>
      </c>
      <c r="E38" s="365" cm="1">
        <f t="array" aca="1" ref="E38" ca="1">SUMPRODUCT(E$55:E$114,TRANSPOSE(SAP_Speadsheet!$E$29:$BL$29))</f>
        <v>0</v>
      </c>
      <c r="F38" s="365" cm="1">
        <f t="array" aca="1" ref="F38" ca="1">SUMPRODUCT(F$55:F$114,TRANSPOSE(SAP_Speadsheet!$E$29:$BL$29))</f>
        <v>0</v>
      </c>
      <c r="G38" s="365" cm="1">
        <f t="array" aca="1" ref="G38" ca="1">SUMPRODUCT(G$55:G$114,TRANSPOSE(SAP_Speadsheet!$E$29:$BL$29))</f>
        <v>0</v>
      </c>
      <c r="H38" s="365" t="e" cm="1">
        <f t="array" aca="1" ref="H38" ca="1">SUMPRODUCT(H$55:H$114,TRANSPOSE(SAP_Speadsheet!$E$29:$BL$29))</f>
        <v>#REF!</v>
      </c>
      <c r="I38" s="365" t="e" cm="1">
        <f t="array" aca="1" ref="I38" ca="1">SUMPRODUCT(I$55:I$114,TRANSPOSE(SAP_Speadsheet!$E$29:$BL$29))</f>
        <v>#REF!</v>
      </c>
      <c r="J38" s="365" t="e" cm="1">
        <f t="array" aca="1" ref="J38" ca="1">SUMPRODUCT(J$55:J$114,TRANSPOSE(SAP_Speadsheet!$E$29:$BL$29))</f>
        <v>#REF!</v>
      </c>
      <c r="K38" s="365" t="e" cm="1">
        <f t="array" aca="1" ref="K38" ca="1">SUMPRODUCT(K$55:K$114,TRANSPOSE(SAP_Speadsheet!$E$29:$BL$29))</f>
        <v>#REF!</v>
      </c>
      <c r="L38" s="365" t="e" cm="1">
        <f t="array" aca="1" ref="L38" ca="1">SUMPRODUCT(L$55:L$114,TRANSPOSE(SAP_Speadsheet!$E$29:$BL$29))</f>
        <v>#REF!</v>
      </c>
      <c r="M38" s="365" t="e" cm="1">
        <f t="array" aca="1" ref="M38" ca="1">SUMPRODUCT(M$55:M$114,TRANSPOSE(SAP_Speadsheet!$E$29:$BL$29))</f>
        <v>#REF!</v>
      </c>
      <c r="N38" s="365" t="e" cm="1">
        <f t="array" aca="1" ref="N38" ca="1">SUMPRODUCT(N$55:N$114,TRANSPOSE(SAP_Speadsheet!$E$29:$BL$29))</f>
        <v>#REF!</v>
      </c>
      <c r="O38" s="365" t="e" cm="1">
        <f t="array" aca="1" ref="O38" ca="1">SUMPRODUCT(O$55:O$114,TRANSPOSE(SAP_Speadsheet!$E$29:$BL$29))</f>
        <v>#REF!</v>
      </c>
      <c r="P38" s="365" t="e" cm="1">
        <f t="array" aca="1" ref="P38" ca="1">SUMPRODUCT(P$55:P$114,TRANSPOSE(SAP_Speadsheet!$E$29:$BL$29))</f>
        <v>#REF!</v>
      </c>
      <c r="Q38" s="365" t="e" cm="1">
        <f t="array" aca="1" ref="Q38" ca="1">SUMPRODUCT(Q$55:Q$114,TRANSPOSE(SAP_Speadsheet!$E$29:$BL$29))</f>
        <v>#REF!</v>
      </c>
      <c r="R38" s="365" t="e" cm="1">
        <f t="array" aca="1" ref="R38" ca="1">SUMPRODUCT(R$55:R$114,TRANSPOSE(SAP_Speadsheet!$E$29:$BL$29))</f>
        <v>#REF!</v>
      </c>
      <c r="S38" s="365" t="e" cm="1">
        <f t="array" aca="1" ref="S38" ca="1">SUMPRODUCT(S$55:S$114,TRANSPOSE(SAP_Speadsheet!$E$29:$BL$29))</f>
        <v>#REF!</v>
      </c>
      <c r="T38" s="365" t="e" cm="1">
        <f t="array" aca="1" ref="T38" ca="1">SUMPRODUCT(T$55:T$114,TRANSPOSE(SAP_Speadsheet!$E$29:$BL$29))</f>
        <v>#REF!</v>
      </c>
      <c r="U38" s="365" t="e" cm="1">
        <f t="array" aca="1" ref="U38" ca="1">SUMPRODUCT(U$55:U$114,TRANSPOSE(SAP_Speadsheet!$E$29:$BL$29))</f>
        <v>#REF!</v>
      </c>
      <c r="V38" s="365" t="e" cm="1">
        <f t="array" aca="1" ref="V38" ca="1">SUMPRODUCT(V$55:V$114,TRANSPOSE(SAP_Speadsheet!$E$29:$BL$29))</f>
        <v>#REF!</v>
      </c>
      <c r="W38" s="365" t="e" cm="1">
        <f t="array" aca="1" ref="W38" ca="1">SUMPRODUCT(W$55:W$114,TRANSPOSE(SAP_Speadsheet!$E$29:$BL$29))</f>
        <v>#REF!</v>
      </c>
      <c r="X38" s="365" t="e" cm="1">
        <f t="array" aca="1" ref="X38" ca="1">SUMPRODUCT(X$55:X$114,TRANSPOSE(SAP_Speadsheet!$E$29:$BL$29))</f>
        <v>#REF!</v>
      </c>
      <c r="Y38" s="365" t="e" cm="1">
        <f t="array" aca="1" ref="Y38" ca="1">SUMPRODUCT(Y$55:Y$114,TRANSPOSE(SAP_Speadsheet!$E$29:$BL$29))</f>
        <v>#REF!</v>
      </c>
      <c r="Z38" s="365" t="e" cm="1">
        <f t="array" aca="1" ref="Z38" ca="1">SUMPRODUCT(Z$55:Z$114,TRANSPOSE(SAP_Speadsheet!$E$29:$BL$29))</f>
        <v>#REF!</v>
      </c>
      <c r="AA38" s="365" t="e" cm="1">
        <f t="array" aca="1" ref="AA38" ca="1">SUMPRODUCT(AA$55:AA$114,TRANSPOSE(SAP_Speadsheet!$E$29:$BL$29))</f>
        <v>#REF!</v>
      </c>
      <c r="AB38" s="365" t="e" cm="1">
        <f t="array" aca="1" ref="AB38" ca="1">SUMPRODUCT(AB$55:AB$114,TRANSPOSE(SAP_Speadsheet!$E$29:$BL$29))</f>
        <v>#REF!</v>
      </c>
      <c r="AC38" s="365" t="e" cm="1">
        <f t="array" aca="1" ref="AC38" ca="1">SUMPRODUCT(AC$55:AC$114,TRANSPOSE(SAP_Speadsheet!$E$29:$BL$29))</f>
        <v>#REF!</v>
      </c>
      <c r="AD38" s="365" t="e" cm="1">
        <f t="array" aca="1" ref="AD38" ca="1">SUMPRODUCT(AD$55:AD$114,TRANSPOSE(SAP_Speadsheet!$E$29:$BL$29))</f>
        <v>#REF!</v>
      </c>
      <c r="AE38" s="365" t="e" cm="1">
        <f t="array" aca="1" ref="AE38" ca="1">SUMPRODUCT(AE$55:AE$114,TRANSPOSE(SAP_Speadsheet!$E$29:$BL$29))</f>
        <v>#REF!</v>
      </c>
      <c r="AF38" s="365" t="e" cm="1">
        <f t="array" aca="1" ref="AF38" ca="1">SUMPRODUCT(AF$55:AF$114,TRANSPOSE(SAP_Speadsheet!$E$29:$BL$29))</f>
        <v>#REF!</v>
      </c>
      <c r="AG38" s="365" t="e" cm="1">
        <f t="array" aca="1" ref="AG38" ca="1">SUMPRODUCT(AG$55:AG$114,TRANSPOSE(SAP_Speadsheet!$E$29:$BL$29))</f>
        <v>#REF!</v>
      </c>
      <c r="AH38" s="365" t="e" cm="1">
        <f t="array" aca="1" ref="AH38" ca="1">SUMPRODUCT(AH$55:AH$114,TRANSPOSE(SAP_Speadsheet!$E$29:$BL$29))</f>
        <v>#REF!</v>
      </c>
      <c r="AI38" s="365" t="e" cm="1">
        <f t="array" aca="1" ref="AI38" ca="1">SUMPRODUCT(AI$55:AI$114,TRANSPOSE(SAP_Speadsheet!$E$29:$BL$29))</f>
        <v>#REF!</v>
      </c>
      <c r="AJ38" s="365" t="e" cm="1">
        <f t="array" aca="1" ref="AJ38" ca="1">SUMPRODUCT(AJ$55:AJ$114,TRANSPOSE(SAP_Speadsheet!$E$29:$BL$29))</f>
        <v>#REF!</v>
      </c>
      <c r="AK38" s="365" t="e" cm="1">
        <f t="array" aca="1" ref="AK38" ca="1">SUMPRODUCT(AK$55:AK$114,TRANSPOSE(SAP_Speadsheet!$E$29:$BL$29))</f>
        <v>#REF!</v>
      </c>
      <c r="AL38" s="365" t="e" cm="1">
        <f t="array" aca="1" ref="AL38" ca="1">SUMPRODUCT(AL$55:AL$114,TRANSPOSE(SAP_Speadsheet!$E$29:$BL$29))</f>
        <v>#REF!</v>
      </c>
      <c r="AM38" s="365" t="e" cm="1">
        <f t="array" aca="1" ref="AM38" ca="1">SUMPRODUCT(AM$55:AM$114,TRANSPOSE(SAP_Speadsheet!$E$29:$BL$29))</f>
        <v>#REF!</v>
      </c>
      <c r="AN38" s="365" t="e" cm="1">
        <f t="array" aca="1" ref="AN38" ca="1">SUMPRODUCT(AN$55:AN$114,TRANSPOSE(SAP_Speadsheet!$E$29:$BL$29))</f>
        <v>#REF!</v>
      </c>
      <c r="AO38" s="365" t="e" cm="1">
        <f t="array" aca="1" ref="AO38" ca="1">SUMPRODUCT(AO$55:AO$114,TRANSPOSE(SAP_Speadsheet!$E$29:$BL$29))</f>
        <v>#REF!</v>
      </c>
      <c r="AP38" s="365" t="e" cm="1">
        <f t="array" aca="1" ref="AP38" ca="1">SUMPRODUCT(AP$55:AP$114,TRANSPOSE(SAP_Speadsheet!$E$29:$BL$29))</f>
        <v>#REF!</v>
      </c>
      <c r="AQ38" s="365" t="e" cm="1">
        <f t="array" aca="1" ref="AQ38" ca="1">SUMPRODUCT(AQ$55:AQ$114,TRANSPOSE(SAP_Speadsheet!$E$29:$BL$29))</f>
        <v>#REF!</v>
      </c>
      <c r="AR38" s="365" t="e" cm="1">
        <f t="array" aca="1" ref="AR38" ca="1">SUMPRODUCT(AR$55:AR$114,TRANSPOSE(SAP_Speadsheet!$E$29:$BL$29))</f>
        <v>#REF!</v>
      </c>
      <c r="AS38" s="365" t="e" cm="1">
        <f t="array" aca="1" ref="AS38" ca="1">SUMPRODUCT(AS$55:AS$114,TRANSPOSE(SAP_Speadsheet!$E$29:$BL$29))</f>
        <v>#REF!</v>
      </c>
      <c r="AT38" s="365" t="e" cm="1">
        <f t="array" aca="1" ref="AT38" ca="1">SUMPRODUCT(AT$55:AT$114,TRANSPOSE(SAP_Speadsheet!$E$29:$BL$29))</f>
        <v>#REF!</v>
      </c>
      <c r="AU38" s="365" t="e" cm="1">
        <f t="array" aca="1" ref="AU38" ca="1">SUMPRODUCT(AU$55:AU$114,TRANSPOSE(SAP_Speadsheet!$E$29:$BL$29))</f>
        <v>#REF!</v>
      </c>
      <c r="AV38" s="365" t="e" cm="1">
        <f t="array" aca="1" ref="AV38" ca="1">SUMPRODUCT(AV$55:AV$114,TRANSPOSE(SAP_Speadsheet!$E$29:$BL$29))</f>
        <v>#REF!</v>
      </c>
      <c r="AW38" s="365" t="e" cm="1">
        <f t="array" aca="1" ref="AW38" ca="1">SUMPRODUCT(AW$55:AW$114,TRANSPOSE(SAP_Speadsheet!$E$29:$BL$29))</f>
        <v>#REF!</v>
      </c>
      <c r="AX38" s="365" t="e" cm="1">
        <f t="array" aca="1" ref="AX38" ca="1">SUMPRODUCT(AX$55:AX$114,TRANSPOSE(SAP_Speadsheet!$E$29:$BL$29))</f>
        <v>#REF!</v>
      </c>
      <c r="AY38" s="365" t="e" cm="1">
        <f t="array" aca="1" ref="AY38" ca="1">SUMPRODUCT(AY$55:AY$114,TRANSPOSE(SAP_Speadsheet!$E$29:$BL$29))</f>
        <v>#REF!</v>
      </c>
      <c r="AZ38" s="365" t="e" cm="1">
        <f t="array" aca="1" ref="AZ38" ca="1">SUMPRODUCT(AZ$55:AZ$114,TRANSPOSE(SAP_Speadsheet!$E$29:$BL$29))</f>
        <v>#REF!</v>
      </c>
      <c r="BA38" s="365" t="e" cm="1">
        <f t="array" aca="1" ref="BA38" ca="1">SUMPRODUCT(BA$55:BA$114,TRANSPOSE(SAP_Speadsheet!$E$29:$BL$29))</f>
        <v>#REF!</v>
      </c>
      <c r="BB38" s="365" t="e" cm="1">
        <f t="array" aca="1" ref="BB38" ca="1">SUMPRODUCT(BB$55:BB$114,TRANSPOSE(SAP_Speadsheet!$E$29:$BL$29))</f>
        <v>#REF!</v>
      </c>
      <c r="BC38" s="365" t="e" cm="1">
        <f t="array" aca="1" ref="BC38" ca="1">SUMPRODUCT(BC$55:BC$114,TRANSPOSE(SAP_Speadsheet!$E$29:$BL$29))</f>
        <v>#REF!</v>
      </c>
      <c r="BD38" s="365" t="e" cm="1">
        <f t="array" aca="1" ref="BD38" ca="1">SUMPRODUCT(BD$55:BD$114,TRANSPOSE(SAP_Speadsheet!$E$29:$BL$29))</f>
        <v>#REF!</v>
      </c>
      <c r="BE38" s="365" t="e" cm="1">
        <f t="array" aca="1" ref="BE38" ca="1">SUMPRODUCT(BE$55:BE$114,TRANSPOSE(SAP_Speadsheet!$E$29:$BL$29))</f>
        <v>#REF!</v>
      </c>
      <c r="BF38" s="365" t="e" cm="1">
        <f t="array" aca="1" ref="BF38" ca="1">SUMPRODUCT(BF$55:BF$114,TRANSPOSE(SAP_Speadsheet!$E$29:$BL$29))</f>
        <v>#REF!</v>
      </c>
      <c r="BG38" s="365" t="e" cm="1">
        <f t="array" aca="1" ref="BG38" ca="1">SUMPRODUCT(BG$55:BG$114,TRANSPOSE(SAP_Speadsheet!$E$29:$BL$29))</f>
        <v>#REF!</v>
      </c>
      <c r="BH38" s="365" t="e" cm="1">
        <f t="array" aca="1" ref="BH38" ca="1">SUMPRODUCT(BH$55:BH$114,TRANSPOSE(SAP_Speadsheet!$E$29:$BL$29))</f>
        <v>#REF!</v>
      </c>
      <c r="BI38" s="365" t="e" cm="1">
        <f t="array" aca="1" ref="BI38" ca="1">SUMPRODUCT(BI$55:BI$114,TRANSPOSE(SAP_Speadsheet!$E$29:$BL$29))</f>
        <v>#REF!</v>
      </c>
    </row>
    <row r="39" spans="1:61" x14ac:dyDescent="0.15">
      <c r="A39" s="354" t="s">
        <v>366</v>
      </c>
      <c r="B39" s="365" cm="1">
        <f t="array" aca="1" ref="B39" ca="1">SUMPRODUCT(B$55:B$114,TRANSPOSE(SAP_Speadsheet!$E$30:$BL$30))</f>
        <v>0</v>
      </c>
      <c r="C39" s="365" cm="1">
        <f t="array" aca="1" ref="C39" ca="1">SUMPRODUCT(C$55:C$114,TRANSPOSE(SAP_Speadsheet!$E$30:$BL$30))</f>
        <v>0</v>
      </c>
      <c r="D39" s="365" cm="1">
        <f t="array" aca="1" ref="D39" ca="1">SUMPRODUCT(D$55:D$114,TRANSPOSE(SAP_Speadsheet!$E$30:$BL$30))</f>
        <v>0</v>
      </c>
      <c r="E39" s="365" cm="1">
        <f t="array" aca="1" ref="E39" ca="1">SUMPRODUCT(E$55:E$114,TRANSPOSE(SAP_Speadsheet!$E$30:$BL$30))</f>
        <v>0</v>
      </c>
      <c r="F39" s="365" cm="1">
        <f t="array" aca="1" ref="F39" ca="1">SUMPRODUCT(F$55:F$114,TRANSPOSE(SAP_Speadsheet!$E$30:$BL$30))</f>
        <v>0</v>
      </c>
      <c r="G39" s="365" cm="1">
        <f t="array" aca="1" ref="G39" ca="1">SUMPRODUCT(G$55:G$114,TRANSPOSE(SAP_Speadsheet!$E$30:$BL$30))</f>
        <v>0</v>
      </c>
      <c r="H39" s="365" t="e" cm="1">
        <f t="array" aca="1" ref="H39" ca="1">SUMPRODUCT(H$55:H$114,TRANSPOSE(SAP_Speadsheet!$E$30:$BL$30))</f>
        <v>#REF!</v>
      </c>
      <c r="I39" s="365" t="e" cm="1">
        <f t="array" aca="1" ref="I39" ca="1">SUMPRODUCT(I$55:I$114,TRANSPOSE(SAP_Speadsheet!$E$30:$BL$30))</f>
        <v>#REF!</v>
      </c>
      <c r="J39" s="365" t="e" cm="1">
        <f t="array" aca="1" ref="J39" ca="1">SUMPRODUCT(J$55:J$114,TRANSPOSE(SAP_Speadsheet!$E$30:$BL$30))</f>
        <v>#REF!</v>
      </c>
      <c r="K39" s="365" t="e" cm="1">
        <f t="array" aca="1" ref="K39" ca="1">SUMPRODUCT(K$55:K$114,TRANSPOSE(SAP_Speadsheet!$E$30:$BL$30))</f>
        <v>#REF!</v>
      </c>
      <c r="L39" s="365" t="e" cm="1">
        <f t="array" aca="1" ref="L39" ca="1">SUMPRODUCT(L$55:L$114,TRANSPOSE(SAP_Speadsheet!$E$30:$BL$30))</f>
        <v>#REF!</v>
      </c>
      <c r="M39" s="365" t="e" cm="1">
        <f t="array" aca="1" ref="M39" ca="1">SUMPRODUCT(M$55:M$114,TRANSPOSE(SAP_Speadsheet!$E$30:$BL$30))</f>
        <v>#REF!</v>
      </c>
      <c r="N39" s="365" t="e" cm="1">
        <f t="array" aca="1" ref="N39" ca="1">SUMPRODUCT(N$55:N$114,TRANSPOSE(SAP_Speadsheet!$E$30:$BL$30))</f>
        <v>#REF!</v>
      </c>
      <c r="O39" s="365" t="e" cm="1">
        <f t="array" aca="1" ref="O39" ca="1">SUMPRODUCT(O$55:O$114,TRANSPOSE(SAP_Speadsheet!$E$30:$BL$30))</f>
        <v>#REF!</v>
      </c>
      <c r="P39" s="365" t="e" cm="1">
        <f t="array" aca="1" ref="P39" ca="1">SUMPRODUCT(P$55:P$114,TRANSPOSE(SAP_Speadsheet!$E$30:$BL$30))</f>
        <v>#REF!</v>
      </c>
      <c r="Q39" s="365" t="e" cm="1">
        <f t="array" aca="1" ref="Q39" ca="1">SUMPRODUCT(Q$55:Q$114,TRANSPOSE(SAP_Speadsheet!$E$30:$BL$30))</f>
        <v>#REF!</v>
      </c>
      <c r="R39" s="365" t="e" cm="1">
        <f t="array" aca="1" ref="R39" ca="1">SUMPRODUCT(R$55:R$114,TRANSPOSE(SAP_Speadsheet!$E$30:$BL$30))</f>
        <v>#REF!</v>
      </c>
      <c r="S39" s="365" t="e" cm="1">
        <f t="array" aca="1" ref="S39" ca="1">SUMPRODUCT(S$55:S$114,TRANSPOSE(SAP_Speadsheet!$E$30:$BL$30))</f>
        <v>#REF!</v>
      </c>
      <c r="T39" s="365" t="e" cm="1">
        <f t="array" aca="1" ref="T39" ca="1">SUMPRODUCT(T$55:T$114,TRANSPOSE(SAP_Speadsheet!$E$30:$BL$30))</f>
        <v>#REF!</v>
      </c>
      <c r="U39" s="365" t="e" cm="1">
        <f t="array" aca="1" ref="U39" ca="1">SUMPRODUCT(U$55:U$114,TRANSPOSE(SAP_Speadsheet!$E$30:$BL$30))</f>
        <v>#REF!</v>
      </c>
      <c r="V39" s="365" t="e" cm="1">
        <f t="array" aca="1" ref="V39" ca="1">SUMPRODUCT(V$55:V$114,TRANSPOSE(SAP_Speadsheet!$E$30:$BL$30))</f>
        <v>#REF!</v>
      </c>
      <c r="W39" s="365" t="e" cm="1">
        <f t="array" aca="1" ref="W39" ca="1">SUMPRODUCT(W$55:W$114,TRANSPOSE(SAP_Speadsheet!$E$30:$BL$30))</f>
        <v>#REF!</v>
      </c>
      <c r="X39" s="365" t="e" cm="1">
        <f t="array" aca="1" ref="X39" ca="1">SUMPRODUCT(X$55:X$114,TRANSPOSE(SAP_Speadsheet!$E$30:$BL$30))</f>
        <v>#REF!</v>
      </c>
      <c r="Y39" s="365" t="e" cm="1">
        <f t="array" aca="1" ref="Y39" ca="1">SUMPRODUCT(Y$55:Y$114,TRANSPOSE(SAP_Speadsheet!$E$30:$BL$30))</f>
        <v>#REF!</v>
      </c>
      <c r="Z39" s="365" t="e" cm="1">
        <f t="array" aca="1" ref="Z39" ca="1">SUMPRODUCT(Z$55:Z$114,TRANSPOSE(SAP_Speadsheet!$E$30:$BL$30))</f>
        <v>#REF!</v>
      </c>
      <c r="AA39" s="365" t="e" cm="1">
        <f t="array" aca="1" ref="AA39" ca="1">SUMPRODUCT(AA$55:AA$114,TRANSPOSE(SAP_Speadsheet!$E$30:$BL$30))</f>
        <v>#REF!</v>
      </c>
      <c r="AB39" s="365" t="e" cm="1">
        <f t="array" aca="1" ref="AB39" ca="1">SUMPRODUCT(AB$55:AB$114,TRANSPOSE(SAP_Speadsheet!$E$30:$BL$30))</f>
        <v>#REF!</v>
      </c>
      <c r="AC39" s="365" t="e" cm="1">
        <f t="array" aca="1" ref="AC39" ca="1">SUMPRODUCT(AC$55:AC$114,TRANSPOSE(SAP_Speadsheet!$E$30:$BL$30))</f>
        <v>#REF!</v>
      </c>
      <c r="AD39" s="365" t="e" cm="1">
        <f t="array" aca="1" ref="AD39" ca="1">SUMPRODUCT(AD$55:AD$114,TRANSPOSE(SAP_Speadsheet!$E$30:$BL$30))</f>
        <v>#REF!</v>
      </c>
      <c r="AE39" s="365" t="e" cm="1">
        <f t="array" aca="1" ref="AE39" ca="1">SUMPRODUCT(AE$55:AE$114,TRANSPOSE(SAP_Speadsheet!$E$30:$BL$30))</f>
        <v>#REF!</v>
      </c>
      <c r="AF39" s="365" t="e" cm="1">
        <f t="array" aca="1" ref="AF39" ca="1">SUMPRODUCT(AF$55:AF$114,TRANSPOSE(SAP_Speadsheet!$E$30:$BL$30))</f>
        <v>#REF!</v>
      </c>
      <c r="AG39" s="365" t="e" cm="1">
        <f t="array" aca="1" ref="AG39" ca="1">SUMPRODUCT(AG$55:AG$114,TRANSPOSE(SAP_Speadsheet!$E$30:$BL$30))</f>
        <v>#REF!</v>
      </c>
      <c r="AH39" s="365" t="e" cm="1">
        <f t="array" aca="1" ref="AH39" ca="1">SUMPRODUCT(AH$55:AH$114,TRANSPOSE(SAP_Speadsheet!$E$30:$BL$30))</f>
        <v>#REF!</v>
      </c>
      <c r="AI39" s="365" t="e" cm="1">
        <f t="array" aca="1" ref="AI39" ca="1">SUMPRODUCT(AI$55:AI$114,TRANSPOSE(SAP_Speadsheet!$E$30:$BL$30))</f>
        <v>#REF!</v>
      </c>
      <c r="AJ39" s="365" t="e" cm="1">
        <f t="array" aca="1" ref="AJ39" ca="1">SUMPRODUCT(AJ$55:AJ$114,TRANSPOSE(SAP_Speadsheet!$E$30:$BL$30))</f>
        <v>#REF!</v>
      </c>
      <c r="AK39" s="365" t="e" cm="1">
        <f t="array" aca="1" ref="AK39" ca="1">SUMPRODUCT(AK$55:AK$114,TRANSPOSE(SAP_Speadsheet!$E$30:$BL$30))</f>
        <v>#REF!</v>
      </c>
      <c r="AL39" s="365" t="e" cm="1">
        <f t="array" aca="1" ref="AL39" ca="1">SUMPRODUCT(AL$55:AL$114,TRANSPOSE(SAP_Speadsheet!$E$30:$BL$30))</f>
        <v>#REF!</v>
      </c>
      <c r="AM39" s="365" t="e" cm="1">
        <f t="array" aca="1" ref="AM39" ca="1">SUMPRODUCT(AM$55:AM$114,TRANSPOSE(SAP_Speadsheet!$E$30:$BL$30))</f>
        <v>#REF!</v>
      </c>
      <c r="AN39" s="365" t="e" cm="1">
        <f t="array" aca="1" ref="AN39" ca="1">SUMPRODUCT(AN$55:AN$114,TRANSPOSE(SAP_Speadsheet!$E$30:$BL$30))</f>
        <v>#REF!</v>
      </c>
      <c r="AO39" s="365" t="e" cm="1">
        <f t="array" aca="1" ref="AO39" ca="1">SUMPRODUCT(AO$55:AO$114,TRANSPOSE(SAP_Speadsheet!$E$30:$BL$30))</f>
        <v>#REF!</v>
      </c>
      <c r="AP39" s="365" t="e" cm="1">
        <f t="array" aca="1" ref="AP39" ca="1">SUMPRODUCT(AP$55:AP$114,TRANSPOSE(SAP_Speadsheet!$E$30:$BL$30))</f>
        <v>#REF!</v>
      </c>
      <c r="AQ39" s="365" t="e" cm="1">
        <f t="array" aca="1" ref="AQ39" ca="1">SUMPRODUCT(AQ$55:AQ$114,TRANSPOSE(SAP_Speadsheet!$E$30:$BL$30))</f>
        <v>#REF!</v>
      </c>
      <c r="AR39" s="365" t="e" cm="1">
        <f t="array" aca="1" ref="AR39" ca="1">SUMPRODUCT(AR$55:AR$114,TRANSPOSE(SAP_Speadsheet!$E$30:$BL$30))</f>
        <v>#REF!</v>
      </c>
      <c r="AS39" s="365" t="e" cm="1">
        <f t="array" aca="1" ref="AS39" ca="1">SUMPRODUCT(AS$55:AS$114,TRANSPOSE(SAP_Speadsheet!$E$30:$BL$30))</f>
        <v>#REF!</v>
      </c>
      <c r="AT39" s="365" t="e" cm="1">
        <f t="array" aca="1" ref="AT39" ca="1">SUMPRODUCT(AT$55:AT$114,TRANSPOSE(SAP_Speadsheet!$E$30:$BL$30))</f>
        <v>#REF!</v>
      </c>
      <c r="AU39" s="365" t="e" cm="1">
        <f t="array" aca="1" ref="AU39" ca="1">SUMPRODUCT(AU$55:AU$114,TRANSPOSE(SAP_Speadsheet!$E$30:$BL$30))</f>
        <v>#REF!</v>
      </c>
      <c r="AV39" s="365" t="e" cm="1">
        <f t="array" aca="1" ref="AV39" ca="1">SUMPRODUCT(AV$55:AV$114,TRANSPOSE(SAP_Speadsheet!$E$30:$BL$30))</f>
        <v>#REF!</v>
      </c>
      <c r="AW39" s="365" t="e" cm="1">
        <f t="array" aca="1" ref="AW39" ca="1">SUMPRODUCT(AW$55:AW$114,TRANSPOSE(SAP_Speadsheet!$E$30:$BL$30))</f>
        <v>#REF!</v>
      </c>
      <c r="AX39" s="365" t="e" cm="1">
        <f t="array" aca="1" ref="AX39" ca="1">SUMPRODUCT(AX$55:AX$114,TRANSPOSE(SAP_Speadsheet!$E$30:$BL$30))</f>
        <v>#REF!</v>
      </c>
      <c r="AY39" s="365" t="e" cm="1">
        <f t="array" aca="1" ref="AY39" ca="1">SUMPRODUCT(AY$55:AY$114,TRANSPOSE(SAP_Speadsheet!$E$30:$BL$30))</f>
        <v>#REF!</v>
      </c>
      <c r="AZ39" s="365" t="e" cm="1">
        <f t="array" aca="1" ref="AZ39" ca="1">SUMPRODUCT(AZ$55:AZ$114,TRANSPOSE(SAP_Speadsheet!$E$30:$BL$30))</f>
        <v>#REF!</v>
      </c>
      <c r="BA39" s="365" t="e" cm="1">
        <f t="array" aca="1" ref="BA39" ca="1">SUMPRODUCT(BA$55:BA$114,TRANSPOSE(SAP_Speadsheet!$E$30:$BL$30))</f>
        <v>#REF!</v>
      </c>
      <c r="BB39" s="365" t="e" cm="1">
        <f t="array" aca="1" ref="BB39" ca="1">SUMPRODUCT(BB$55:BB$114,TRANSPOSE(SAP_Speadsheet!$E$30:$BL$30))</f>
        <v>#REF!</v>
      </c>
      <c r="BC39" s="365" t="e" cm="1">
        <f t="array" aca="1" ref="BC39" ca="1">SUMPRODUCT(BC$55:BC$114,TRANSPOSE(SAP_Speadsheet!$E$30:$BL$30))</f>
        <v>#REF!</v>
      </c>
      <c r="BD39" s="365" t="e" cm="1">
        <f t="array" aca="1" ref="BD39" ca="1">SUMPRODUCT(BD$55:BD$114,TRANSPOSE(SAP_Speadsheet!$E$30:$BL$30))</f>
        <v>#REF!</v>
      </c>
      <c r="BE39" s="365" t="e" cm="1">
        <f t="array" aca="1" ref="BE39" ca="1">SUMPRODUCT(BE$55:BE$114,TRANSPOSE(SAP_Speadsheet!$E$30:$BL$30))</f>
        <v>#REF!</v>
      </c>
      <c r="BF39" s="365" t="e" cm="1">
        <f t="array" aca="1" ref="BF39" ca="1">SUMPRODUCT(BF$55:BF$114,TRANSPOSE(SAP_Speadsheet!$E$30:$BL$30))</f>
        <v>#REF!</v>
      </c>
      <c r="BG39" s="365" t="e" cm="1">
        <f t="array" aca="1" ref="BG39" ca="1">SUMPRODUCT(BG$55:BG$114,TRANSPOSE(SAP_Speadsheet!$E$30:$BL$30))</f>
        <v>#REF!</v>
      </c>
      <c r="BH39" s="365" t="e" cm="1">
        <f t="array" aca="1" ref="BH39" ca="1">SUMPRODUCT(BH$55:BH$114,TRANSPOSE(SAP_Speadsheet!$E$30:$BL$30))</f>
        <v>#REF!</v>
      </c>
      <c r="BI39" s="365" t="e" cm="1">
        <f t="array" aca="1" ref="BI39" ca="1">SUMPRODUCT(BI$55:BI$114,TRANSPOSE(SAP_Speadsheet!$E$30:$BL$30))</f>
        <v>#REF!</v>
      </c>
    </row>
    <row r="40" spans="1:61" x14ac:dyDescent="0.15">
      <c r="A40" s="354" t="s">
        <v>368</v>
      </c>
      <c r="B40" s="365" cm="1">
        <f t="array" aca="1" ref="B40" ca="1">SUMPRODUCT(B$55:B$114,TRANSPOSE(SAP_Speadsheet!$E$31:$BL$31))</f>
        <v>0</v>
      </c>
      <c r="C40" s="365" cm="1">
        <f t="array" aca="1" ref="C40" ca="1">SUMPRODUCT(C$55:C$114,TRANSPOSE(SAP_Speadsheet!$E$31:$BL$31))</f>
        <v>0</v>
      </c>
      <c r="D40" s="365" cm="1">
        <f t="array" aca="1" ref="D40" ca="1">SUMPRODUCT(D$55:D$114,TRANSPOSE(SAP_Speadsheet!$E$31:$BL$31))</f>
        <v>0</v>
      </c>
      <c r="E40" s="365" cm="1">
        <f t="array" aca="1" ref="E40" ca="1">SUMPRODUCT(E$55:E$114,TRANSPOSE(SAP_Speadsheet!$E$31:$BL$31))</f>
        <v>0</v>
      </c>
      <c r="F40" s="365" cm="1">
        <f t="array" aca="1" ref="F40" ca="1">SUMPRODUCT(F$55:F$114,TRANSPOSE(SAP_Speadsheet!$E$31:$BL$31))</f>
        <v>0</v>
      </c>
      <c r="G40" s="365" cm="1">
        <f t="array" aca="1" ref="G40" ca="1">SUMPRODUCT(G$55:G$114,TRANSPOSE(SAP_Speadsheet!$E$31:$BL$31))</f>
        <v>0</v>
      </c>
      <c r="H40" s="365" t="e" cm="1">
        <f t="array" aca="1" ref="H40" ca="1">SUMPRODUCT(H$55:H$114,TRANSPOSE(SAP_Speadsheet!$E$31:$BL$31))</f>
        <v>#REF!</v>
      </c>
      <c r="I40" s="365" t="e" cm="1">
        <f t="array" aca="1" ref="I40" ca="1">SUMPRODUCT(I$55:I$114,TRANSPOSE(SAP_Speadsheet!$E$31:$BL$31))</f>
        <v>#REF!</v>
      </c>
      <c r="J40" s="365" t="e" cm="1">
        <f t="array" aca="1" ref="J40" ca="1">SUMPRODUCT(J$55:J$114,TRANSPOSE(SAP_Speadsheet!$E$31:$BL$31))</f>
        <v>#REF!</v>
      </c>
      <c r="K40" s="365" t="e" cm="1">
        <f t="array" aca="1" ref="K40" ca="1">SUMPRODUCT(K$55:K$114,TRANSPOSE(SAP_Speadsheet!$E$31:$BL$31))</f>
        <v>#REF!</v>
      </c>
      <c r="L40" s="365" t="e" cm="1">
        <f t="array" aca="1" ref="L40" ca="1">SUMPRODUCT(L$55:L$114,TRANSPOSE(SAP_Speadsheet!$E$31:$BL$31))</f>
        <v>#REF!</v>
      </c>
      <c r="M40" s="365" t="e" cm="1">
        <f t="array" aca="1" ref="M40" ca="1">SUMPRODUCT(M$55:M$114,TRANSPOSE(SAP_Speadsheet!$E$31:$BL$31))</f>
        <v>#REF!</v>
      </c>
      <c r="N40" s="365" t="e" cm="1">
        <f t="array" aca="1" ref="N40" ca="1">SUMPRODUCT(N$55:N$114,TRANSPOSE(SAP_Speadsheet!$E$31:$BL$31))</f>
        <v>#REF!</v>
      </c>
      <c r="O40" s="365" t="e" cm="1">
        <f t="array" aca="1" ref="O40" ca="1">SUMPRODUCT(O$55:O$114,TRANSPOSE(SAP_Speadsheet!$E$31:$BL$31))</f>
        <v>#REF!</v>
      </c>
      <c r="P40" s="365" t="e" cm="1">
        <f t="array" aca="1" ref="P40" ca="1">SUMPRODUCT(P$55:P$114,TRANSPOSE(SAP_Speadsheet!$E$31:$BL$31))</f>
        <v>#REF!</v>
      </c>
      <c r="Q40" s="365" t="e" cm="1">
        <f t="array" aca="1" ref="Q40" ca="1">SUMPRODUCT(Q$55:Q$114,TRANSPOSE(SAP_Speadsheet!$E$31:$BL$31))</f>
        <v>#REF!</v>
      </c>
      <c r="R40" s="365" t="e" cm="1">
        <f t="array" aca="1" ref="R40" ca="1">SUMPRODUCT(R$55:R$114,TRANSPOSE(SAP_Speadsheet!$E$31:$BL$31))</f>
        <v>#REF!</v>
      </c>
      <c r="S40" s="365" t="e" cm="1">
        <f t="array" aca="1" ref="S40" ca="1">SUMPRODUCT(S$55:S$114,TRANSPOSE(SAP_Speadsheet!$E$31:$BL$31))</f>
        <v>#REF!</v>
      </c>
      <c r="T40" s="365" t="e" cm="1">
        <f t="array" aca="1" ref="T40" ca="1">SUMPRODUCT(T$55:T$114,TRANSPOSE(SAP_Speadsheet!$E$31:$BL$31))</f>
        <v>#REF!</v>
      </c>
      <c r="U40" s="365" t="e" cm="1">
        <f t="array" aca="1" ref="U40" ca="1">SUMPRODUCT(U$55:U$114,TRANSPOSE(SAP_Speadsheet!$E$31:$BL$31))</f>
        <v>#REF!</v>
      </c>
      <c r="V40" s="365" t="e" cm="1">
        <f t="array" aca="1" ref="V40" ca="1">SUMPRODUCT(V$55:V$114,TRANSPOSE(SAP_Speadsheet!$E$31:$BL$31))</f>
        <v>#REF!</v>
      </c>
      <c r="W40" s="365" t="e" cm="1">
        <f t="array" aca="1" ref="W40" ca="1">SUMPRODUCT(W$55:W$114,TRANSPOSE(SAP_Speadsheet!$E$31:$BL$31))</f>
        <v>#REF!</v>
      </c>
      <c r="X40" s="365" t="e" cm="1">
        <f t="array" aca="1" ref="X40" ca="1">SUMPRODUCT(X$55:X$114,TRANSPOSE(SAP_Speadsheet!$E$31:$BL$31))</f>
        <v>#REF!</v>
      </c>
      <c r="Y40" s="365" t="e" cm="1">
        <f t="array" aca="1" ref="Y40" ca="1">SUMPRODUCT(Y$55:Y$114,TRANSPOSE(SAP_Speadsheet!$E$31:$BL$31))</f>
        <v>#REF!</v>
      </c>
      <c r="Z40" s="365" t="e" cm="1">
        <f t="array" aca="1" ref="Z40" ca="1">SUMPRODUCT(Z$55:Z$114,TRANSPOSE(SAP_Speadsheet!$E$31:$BL$31))</f>
        <v>#REF!</v>
      </c>
      <c r="AA40" s="365" t="e" cm="1">
        <f t="array" aca="1" ref="AA40" ca="1">SUMPRODUCT(AA$55:AA$114,TRANSPOSE(SAP_Speadsheet!$E$31:$BL$31))</f>
        <v>#REF!</v>
      </c>
      <c r="AB40" s="365" t="e" cm="1">
        <f t="array" aca="1" ref="AB40" ca="1">SUMPRODUCT(AB$55:AB$114,TRANSPOSE(SAP_Speadsheet!$E$31:$BL$31))</f>
        <v>#REF!</v>
      </c>
      <c r="AC40" s="365" t="e" cm="1">
        <f t="array" aca="1" ref="AC40" ca="1">SUMPRODUCT(AC$55:AC$114,TRANSPOSE(SAP_Speadsheet!$E$31:$BL$31))</f>
        <v>#REF!</v>
      </c>
      <c r="AD40" s="365" t="e" cm="1">
        <f t="array" aca="1" ref="AD40" ca="1">SUMPRODUCT(AD$55:AD$114,TRANSPOSE(SAP_Speadsheet!$E$31:$BL$31))</f>
        <v>#REF!</v>
      </c>
      <c r="AE40" s="365" t="e" cm="1">
        <f t="array" aca="1" ref="AE40" ca="1">SUMPRODUCT(AE$55:AE$114,TRANSPOSE(SAP_Speadsheet!$E$31:$BL$31))</f>
        <v>#REF!</v>
      </c>
      <c r="AF40" s="365" t="e" cm="1">
        <f t="array" aca="1" ref="AF40" ca="1">SUMPRODUCT(AF$55:AF$114,TRANSPOSE(SAP_Speadsheet!$E$31:$BL$31))</f>
        <v>#REF!</v>
      </c>
      <c r="AG40" s="365" t="e" cm="1">
        <f t="array" aca="1" ref="AG40" ca="1">SUMPRODUCT(AG$55:AG$114,TRANSPOSE(SAP_Speadsheet!$E$31:$BL$31))</f>
        <v>#REF!</v>
      </c>
      <c r="AH40" s="365" t="e" cm="1">
        <f t="array" aca="1" ref="AH40" ca="1">SUMPRODUCT(AH$55:AH$114,TRANSPOSE(SAP_Speadsheet!$E$31:$BL$31))</f>
        <v>#REF!</v>
      </c>
      <c r="AI40" s="365" t="e" cm="1">
        <f t="array" aca="1" ref="AI40" ca="1">SUMPRODUCT(AI$55:AI$114,TRANSPOSE(SAP_Speadsheet!$E$31:$BL$31))</f>
        <v>#REF!</v>
      </c>
      <c r="AJ40" s="365" t="e" cm="1">
        <f t="array" aca="1" ref="AJ40" ca="1">SUMPRODUCT(AJ$55:AJ$114,TRANSPOSE(SAP_Speadsheet!$E$31:$BL$31))</f>
        <v>#REF!</v>
      </c>
      <c r="AK40" s="365" t="e" cm="1">
        <f t="array" aca="1" ref="AK40" ca="1">SUMPRODUCT(AK$55:AK$114,TRANSPOSE(SAP_Speadsheet!$E$31:$BL$31))</f>
        <v>#REF!</v>
      </c>
      <c r="AL40" s="365" t="e" cm="1">
        <f t="array" aca="1" ref="AL40" ca="1">SUMPRODUCT(AL$55:AL$114,TRANSPOSE(SAP_Speadsheet!$E$31:$BL$31))</f>
        <v>#REF!</v>
      </c>
      <c r="AM40" s="365" t="e" cm="1">
        <f t="array" aca="1" ref="AM40" ca="1">SUMPRODUCT(AM$55:AM$114,TRANSPOSE(SAP_Speadsheet!$E$31:$BL$31))</f>
        <v>#REF!</v>
      </c>
      <c r="AN40" s="365" t="e" cm="1">
        <f t="array" aca="1" ref="AN40" ca="1">SUMPRODUCT(AN$55:AN$114,TRANSPOSE(SAP_Speadsheet!$E$31:$BL$31))</f>
        <v>#REF!</v>
      </c>
      <c r="AO40" s="365" t="e" cm="1">
        <f t="array" aca="1" ref="AO40" ca="1">SUMPRODUCT(AO$55:AO$114,TRANSPOSE(SAP_Speadsheet!$E$31:$BL$31))</f>
        <v>#REF!</v>
      </c>
      <c r="AP40" s="365" t="e" cm="1">
        <f t="array" aca="1" ref="AP40" ca="1">SUMPRODUCT(AP$55:AP$114,TRANSPOSE(SAP_Speadsheet!$E$31:$BL$31))</f>
        <v>#REF!</v>
      </c>
      <c r="AQ40" s="365" t="e" cm="1">
        <f t="array" aca="1" ref="AQ40" ca="1">SUMPRODUCT(AQ$55:AQ$114,TRANSPOSE(SAP_Speadsheet!$E$31:$BL$31))</f>
        <v>#REF!</v>
      </c>
      <c r="AR40" s="365" t="e" cm="1">
        <f t="array" aca="1" ref="AR40" ca="1">SUMPRODUCT(AR$55:AR$114,TRANSPOSE(SAP_Speadsheet!$E$31:$BL$31))</f>
        <v>#REF!</v>
      </c>
      <c r="AS40" s="365" t="e" cm="1">
        <f t="array" aca="1" ref="AS40" ca="1">SUMPRODUCT(AS$55:AS$114,TRANSPOSE(SAP_Speadsheet!$E$31:$BL$31))</f>
        <v>#REF!</v>
      </c>
      <c r="AT40" s="365" t="e" cm="1">
        <f t="array" aca="1" ref="AT40" ca="1">SUMPRODUCT(AT$55:AT$114,TRANSPOSE(SAP_Speadsheet!$E$31:$BL$31))</f>
        <v>#REF!</v>
      </c>
      <c r="AU40" s="365" t="e" cm="1">
        <f t="array" aca="1" ref="AU40" ca="1">SUMPRODUCT(AU$55:AU$114,TRANSPOSE(SAP_Speadsheet!$E$31:$BL$31))</f>
        <v>#REF!</v>
      </c>
      <c r="AV40" s="365" t="e" cm="1">
        <f t="array" aca="1" ref="AV40" ca="1">SUMPRODUCT(AV$55:AV$114,TRANSPOSE(SAP_Speadsheet!$E$31:$BL$31))</f>
        <v>#REF!</v>
      </c>
      <c r="AW40" s="365" t="e" cm="1">
        <f t="array" aca="1" ref="AW40" ca="1">SUMPRODUCT(AW$55:AW$114,TRANSPOSE(SAP_Speadsheet!$E$31:$BL$31))</f>
        <v>#REF!</v>
      </c>
      <c r="AX40" s="365" t="e" cm="1">
        <f t="array" aca="1" ref="AX40" ca="1">SUMPRODUCT(AX$55:AX$114,TRANSPOSE(SAP_Speadsheet!$E$31:$BL$31))</f>
        <v>#REF!</v>
      </c>
      <c r="AY40" s="365" t="e" cm="1">
        <f t="array" aca="1" ref="AY40" ca="1">SUMPRODUCT(AY$55:AY$114,TRANSPOSE(SAP_Speadsheet!$E$31:$BL$31))</f>
        <v>#REF!</v>
      </c>
      <c r="AZ40" s="365" t="e" cm="1">
        <f t="array" aca="1" ref="AZ40" ca="1">SUMPRODUCT(AZ$55:AZ$114,TRANSPOSE(SAP_Speadsheet!$E$31:$BL$31))</f>
        <v>#REF!</v>
      </c>
      <c r="BA40" s="365" t="e" cm="1">
        <f t="array" aca="1" ref="BA40" ca="1">SUMPRODUCT(BA$55:BA$114,TRANSPOSE(SAP_Speadsheet!$E$31:$BL$31))</f>
        <v>#REF!</v>
      </c>
      <c r="BB40" s="365" t="e" cm="1">
        <f t="array" aca="1" ref="BB40" ca="1">SUMPRODUCT(BB$55:BB$114,TRANSPOSE(SAP_Speadsheet!$E$31:$BL$31))</f>
        <v>#REF!</v>
      </c>
      <c r="BC40" s="365" t="e" cm="1">
        <f t="array" aca="1" ref="BC40" ca="1">SUMPRODUCT(BC$55:BC$114,TRANSPOSE(SAP_Speadsheet!$E$31:$BL$31))</f>
        <v>#REF!</v>
      </c>
      <c r="BD40" s="365" t="e" cm="1">
        <f t="array" aca="1" ref="BD40" ca="1">SUMPRODUCT(BD$55:BD$114,TRANSPOSE(SAP_Speadsheet!$E$31:$BL$31))</f>
        <v>#REF!</v>
      </c>
      <c r="BE40" s="365" t="e" cm="1">
        <f t="array" aca="1" ref="BE40" ca="1">SUMPRODUCT(BE$55:BE$114,TRANSPOSE(SAP_Speadsheet!$E$31:$BL$31))</f>
        <v>#REF!</v>
      </c>
      <c r="BF40" s="365" t="e" cm="1">
        <f t="array" aca="1" ref="BF40" ca="1">SUMPRODUCT(BF$55:BF$114,TRANSPOSE(SAP_Speadsheet!$E$31:$BL$31))</f>
        <v>#REF!</v>
      </c>
      <c r="BG40" s="365" t="e" cm="1">
        <f t="array" aca="1" ref="BG40" ca="1">SUMPRODUCT(BG$55:BG$114,TRANSPOSE(SAP_Speadsheet!$E$31:$BL$31))</f>
        <v>#REF!</v>
      </c>
      <c r="BH40" s="365" t="e" cm="1">
        <f t="array" aca="1" ref="BH40" ca="1">SUMPRODUCT(BH$55:BH$114,TRANSPOSE(SAP_Speadsheet!$E$31:$BL$31))</f>
        <v>#REF!</v>
      </c>
      <c r="BI40" s="365" t="e" cm="1">
        <f t="array" aca="1" ref="BI40" ca="1">SUMPRODUCT(BI$55:BI$114,TRANSPOSE(SAP_Speadsheet!$E$31:$BL$31))</f>
        <v>#REF!</v>
      </c>
    </row>
    <row r="41" spans="1:61" x14ac:dyDescent="0.15">
      <c r="A41" s="354" t="s">
        <v>369</v>
      </c>
      <c r="B41" s="365" cm="1">
        <f t="array" aca="1" ref="B41" ca="1">SUMPRODUCT(B$55:B$114,TRANSPOSE(SAP_Speadsheet!$E$32:$BL$32))</f>
        <v>0</v>
      </c>
      <c r="C41" s="365" cm="1">
        <f t="array" aca="1" ref="C41" ca="1">SUMPRODUCT(C$55:C$114,TRANSPOSE(SAP_Speadsheet!$E$32:$BL$32))</f>
        <v>0</v>
      </c>
      <c r="D41" s="365" cm="1">
        <f t="array" aca="1" ref="D41" ca="1">SUMPRODUCT(D$55:D$114,TRANSPOSE(SAP_Speadsheet!$E$32:$BL$32))</f>
        <v>0</v>
      </c>
      <c r="E41" s="365" cm="1">
        <f t="array" aca="1" ref="E41" ca="1">SUMPRODUCT(E$55:E$114,TRANSPOSE(SAP_Speadsheet!$E$32:$BL$32))</f>
        <v>0</v>
      </c>
      <c r="F41" s="365" cm="1">
        <f t="array" aca="1" ref="F41" ca="1">SUMPRODUCT(F$55:F$114,TRANSPOSE(SAP_Speadsheet!$E$32:$BL$32))</f>
        <v>0</v>
      </c>
      <c r="G41" s="365" cm="1">
        <f t="array" aca="1" ref="G41" ca="1">SUMPRODUCT(G$55:G$114,TRANSPOSE(SAP_Speadsheet!$E$32:$BL$32))</f>
        <v>0</v>
      </c>
      <c r="H41" s="365" t="e" cm="1">
        <f t="array" aca="1" ref="H41" ca="1">SUMPRODUCT(H$55:H$114,TRANSPOSE(SAP_Speadsheet!$E$32:$BL$32))</f>
        <v>#REF!</v>
      </c>
      <c r="I41" s="365" t="e" cm="1">
        <f t="array" aca="1" ref="I41" ca="1">SUMPRODUCT(I$55:I$114,TRANSPOSE(SAP_Speadsheet!$E$32:$BL$32))</f>
        <v>#REF!</v>
      </c>
      <c r="J41" s="365" t="e" cm="1">
        <f t="array" aca="1" ref="J41" ca="1">SUMPRODUCT(J$55:J$114,TRANSPOSE(SAP_Speadsheet!$E$32:$BL$32))</f>
        <v>#REF!</v>
      </c>
      <c r="K41" s="365" t="e" cm="1">
        <f t="array" aca="1" ref="K41" ca="1">SUMPRODUCT(K$55:K$114,TRANSPOSE(SAP_Speadsheet!$E$32:$BL$32))</f>
        <v>#REF!</v>
      </c>
      <c r="L41" s="365" t="e" cm="1">
        <f t="array" aca="1" ref="L41" ca="1">SUMPRODUCT(L$55:L$114,TRANSPOSE(SAP_Speadsheet!$E$32:$BL$32))</f>
        <v>#REF!</v>
      </c>
      <c r="M41" s="365" t="e" cm="1">
        <f t="array" aca="1" ref="M41" ca="1">SUMPRODUCT(M$55:M$114,TRANSPOSE(SAP_Speadsheet!$E$32:$BL$32))</f>
        <v>#REF!</v>
      </c>
      <c r="N41" s="365" t="e" cm="1">
        <f t="array" aca="1" ref="N41" ca="1">SUMPRODUCT(N$55:N$114,TRANSPOSE(SAP_Speadsheet!$E$32:$BL$32))</f>
        <v>#REF!</v>
      </c>
      <c r="O41" s="365" t="e" cm="1">
        <f t="array" aca="1" ref="O41" ca="1">SUMPRODUCT(O$55:O$114,TRANSPOSE(SAP_Speadsheet!$E$32:$BL$32))</f>
        <v>#REF!</v>
      </c>
      <c r="P41" s="365" t="e" cm="1">
        <f t="array" aca="1" ref="P41" ca="1">SUMPRODUCT(P$55:P$114,TRANSPOSE(SAP_Speadsheet!$E$32:$BL$32))</f>
        <v>#REF!</v>
      </c>
      <c r="Q41" s="365" t="e" cm="1">
        <f t="array" aca="1" ref="Q41" ca="1">SUMPRODUCT(Q$55:Q$114,TRANSPOSE(SAP_Speadsheet!$E$32:$BL$32))</f>
        <v>#REF!</v>
      </c>
      <c r="R41" s="365" t="e" cm="1">
        <f t="array" aca="1" ref="R41" ca="1">SUMPRODUCT(R$55:R$114,TRANSPOSE(SAP_Speadsheet!$E$32:$BL$32))</f>
        <v>#REF!</v>
      </c>
      <c r="S41" s="365" t="e" cm="1">
        <f t="array" aca="1" ref="S41" ca="1">SUMPRODUCT(S$55:S$114,TRANSPOSE(SAP_Speadsheet!$E$32:$BL$32))</f>
        <v>#REF!</v>
      </c>
      <c r="T41" s="365" t="e" cm="1">
        <f t="array" aca="1" ref="T41" ca="1">SUMPRODUCT(T$55:T$114,TRANSPOSE(SAP_Speadsheet!$E$32:$BL$32))</f>
        <v>#REF!</v>
      </c>
      <c r="U41" s="365" t="e" cm="1">
        <f t="array" aca="1" ref="U41" ca="1">SUMPRODUCT(U$55:U$114,TRANSPOSE(SAP_Speadsheet!$E$32:$BL$32))</f>
        <v>#REF!</v>
      </c>
      <c r="V41" s="365" t="e" cm="1">
        <f t="array" aca="1" ref="V41" ca="1">SUMPRODUCT(V$55:V$114,TRANSPOSE(SAP_Speadsheet!$E$32:$BL$32))</f>
        <v>#REF!</v>
      </c>
      <c r="W41" s="365" t="e" cm="1">
        <f t="array" aca="1" ref="W41" ca="1">SUMPRODUCT(W$55:W$114,TRANSPOSE(SAP_Speadsheet!$E$32:$BL$32))</f>
        <v>#REF!</v>
      </c>
      <c r="X41" s="365" t="e" cm="1">
        <f t="array" aca="1" ref="X41" ca="1">SUMPRODUCT(X$55:X$114,TRANSPOSE(SAP_Speadsheet!$E$32:$BL$32))</f>
        <v>#REF!</v>
      </c>
      <c r="Y41" s="365" t="e" cm="1">
        <f t="array" aca="1" ref="Y41" ca="1">SUMPRODUCT(Y$55:Y$114,TRANSPOSE(SAP_Speadsheet!$E$32:$BL$32))</f>
        <v>#REF!</v>
      </c>
      <c r="Z41" s="365" t="e" cm="1">
        <f t="array" aca="1" ref="Z41" ca="1">SUMPRODUCT(Z$55:Z$114,TRANSPOSE(SAP_Speadsheet!$E$32:$BL$32))</f>
        <v>#REF!</v>
      </c>
      <c r="AA41" s="365" t="e" cm="1">
        <f t="array" aca="1" ref="AA41" ca="1">SUMPRODUCT(AA$55:AA$114,TRANSPOSE(SAP_Speadsheet!$E$32:$BL$32))</f>
        <v>#REF!</v>
      </c>
      <c r="AB41" s="365" t="e" cm="1">
        <f t="array" aca="1" ref="AB41" ca="1">SUMPRODUCT(AB$55:AB$114,TRANSPOSE(SAP_Speadsheet!$E$32:$BL$32))</f>
        <v>#REF!</v>
      </c>
      <c r="AC41" s="365" t="e" cm="1">
        <f t="array" aca="1" ref="AC41" ca="1">SUMPRODUCT(AC$55:AC$114,TRANSPOSE(SAP_Speadsheet!$E$32:$BL$32))</f>
        <v>#REF!</v>
      </c>
      <c r="AD41" s="365" t="e" cm="1">
        <f t="array" aca="1" ref="AD41" ca="1">SUMPRODUCT(AD$55:AD$114,TRANSPOSE(SAP_Speadsheet!$E$32:$BL$32))</f>
        <v>#REF!</v>
      </c>
      <c r="AE41" s="365" t="e" cm="1">
        <f t="array" aca="1" ref="AE41" ca="1">SUMPRODUCT(AE$55:AE$114,TRANSPOSE(SAP_Speadsheet!$E$32:$BL$32))</f>
        <v>#REF!</v>
      </c>
      <c r="AF41" s="365" t="e" cm="1">
        <f t="array" aca="1" ref="AF41" ca="1">SUMPRODUCT(AF$55:AF$114,TRANSPOSE(SAP_Speadsheet!$E$32:$BL$32))</f>
        <v>#REF!</v>
      </c>
      <c r="AG41" s="365" t="e" cm="1">
        <f t="array" aca="1" ref="AG41" ca="1">SUMPRODUCT(AG$55:AG$114,TRANSPOSE(SAP_Speadsheet!$E$32:$BL$32))</f>
        <v>#REF!</v>
      </c>
      <c r="AH41" s="365" t="e" cm="1">
        <f t="array" aca="1" ref="AH41" ca="1">SUMPRODUCT(AH$55:AH$114,TRANSPOSE(SAP_Speadsheet!$E$32:$BL$32))</f>
        <v>#REF!</v>
      </c>
      <c r="AI41" s="365" t="e" cm="1">
        <f t="array" aca="1" ref="AI41" ca="1">SUMPRODUCT(AI$55:AI$114,TRANSPOSE(SAP_Speadsheet!$E$32:$BL$32))</f>
        <v>#REF!</v>
      </c>
      <c r="AJ41" s="365" t="e" cm="1">
        <f t="array" aca="1" ref="AJ41" ca="1">SUMPRODUCT(AJ$55:AJ$114,TRANSPOSE(SAP_Speadsheet!$E$32:$BL$32))</f>
        <v>#REF!</v>
      </c>
      <c r="AK41" s="365" t="e" cm="1">
        <f t="array" aca="1" ref="AK41" ca="1">SUMPRODUCT(AK$55:AK$114,TRANSPOSE(SAP_Speadsheet!$E$32:$BL$32))</f>
        <v>#REF!</v>
      </c>
      <c r="AL41" s="365" t="e" cm="1">
        <f t="array" aca="1" ref="AL41" ca="1">SUMPRODUCT(AL$55:AL$114,TRANSPOSE(SAP_Speadsheet!$E$32:$BL$32))</f>
        <v>#REF!</v>
      </c>
      <c r="AM41" s="365" t="e" cm="1">
        <f t="array" aca="1" ref="AM41" ca="1">SUMPRODUCT(AM$55:AM$114,TRANSPOSE(SAP_Speadsheet!$E$32:$BL$32))</f>
        <v>#REF!</v>
      </c>
      <c r="AN41" s="365" t="e" cm="1">
        <f t="array" aca="1" ref="AN41" ca="1">SUMPRODUCT(AN$55:AN$114,TRANSPOSE(SAP_Speadsheet!$E$32:$BL$32))</f>
        <v>#REF!</v>
      </c>
      <c r="AO41" s="365" t="e" cm="1">
        <f t="array" aca="1" ref="AO41" ca="1">SUMPRODUCT(AO$55:AO$114,TRANSPOSE(SAP_Speadsheet!$E$32:$BL$32))</f>
        <v>#REF!</v>
      </c>
      <c r="AP41" s="365" t="e" cm="1">
        <f t="array" aca="1" ref="AP41" ca="1">SUMPRODUCT(AP$55:AP$114,TRANSPOSE(SAP_Speadsheet!$E$32:$BL$32))</f>
        <v>#REF!</v>
      </c>
      <c r="AQ41" s="365" t="e" cm="1">
        <f t="array" aca="1" ref="AQ41" ca="1">SUMPRODUCT(AQ$55:AQ$114,TRANSPOSE(SAP_Speadsheet!$E$32:$BL$32))</f>
        <v>#REF!</v>
      </c>
      <c r="AR41" s="365" t="e" cm="1">
        <f t="array" aca="1" ref="AR41" ca="1">SUMPRODUCT(AR$55:AR$114,TRANSPOSE(SAP_Speadsheet!$E$32:$BL$32))</f>
        <v>#REF!</v>
      </c>
      <c r="AS41" s="365" t="e" cm="1">
        <f t="array" aca="1" ref="AS41" ca="1">SUMPRODUCT(AS$55:AS$114,TRANSPOSE(SAP_Speadsheet!$E$32:$BL$32))</f>
        <v>#REF!</v>
      </c>
      <c r="AT41" s="365" t="e" cm="1">
        <f t="array" aca="1" ref="AT41" ca="1">SUMPRODUCT(AT$55:AT$114,TRANSPOSE(SAP_Speadsheet!$E$32:$BL$32))</f>
        <v>#REF!</v>
      </c>
      <c r="AU41" s="365" t="e" cm="1">
        <f t="array" aca="1" ref="AU41" ca="1">SUMPRODUCT(AU$55:AU$114,TRANSPOSE(SAP_Speadsheet!$E$32:$BL$32))</f>
        <v>#REF!</v>
      </c>
      <c r="AV41" s="365" t="e" cm="1">
        <f t="array" aca="1" ref="AV41" ca="1">SUMPRODUCT(AV$55:AV$114,TRANSPOSE(SAP_Speadsheet!$E$32:$BL$32))</f>
        <v>#REF!</v>
      </c>
      <c r="AW41" s="365" t="e" cm="1">
        <f t="array" aca="1" ref="AW41" ca="1">SUMPRODUCT(AW$55:AW$114,TRANSPOSE(SAP_Speadsheet!$E$32:$BL$32))</f>
        <v>#REF!</v>
      </c>
      <c r="AX41" s="365" t="e" cm="1">
        <f t="array" aca="1" ref="AX41" ca="1">SUMPRODUCT(AX$55:AX$114,TRANSPOSE(SAP_Speadsheet!$E$32:$BL$32))</f>
        <v>#REF!</v>
      </c>
      <c r="AY41" s="365" t="e" cm="1">
        <f t="array" aca="1" ref="AY41" ca="1">SUMPRODUCT(AY$55:AY$114,TRANSPOSE(SAP_Speadsheet!$E$32:$BL$32))</f>
        <v>#REF!</v>
      </c>
      <c r="AZ41" s="365" t="e" cm="1">
        <f t="array" aca="1" ref="AZ41" ca="1">SUMPRODUCT(AZ$55:AZ$114,TRANSPOSE(SAP_Speadsheet!$E$32:$BL$32))</f>
        <v>#REF!</v>
      </c>
      <c r="BA41" s="365" t="e" cm="1">
        <f t="array" aca="1" ref="BA41" ca="1">SUMPRODUCT(BA$55:BA$114,TRANSPOSE(SAP_Speadsheet!$E$32:$BL$32))</f>
        <v>#REF!</v>
      </c>
      <c r="BB41" s="365" t="e" cm="1">
        <f t="array" aca="1" ref="BB41" ca="1">SUMPRODUCT(BB$55:BB$114,TRANSPOSE(SAP_Speadsheet!$E$32:$BL$32))</f>
        <v>#REF!</v>
      </c>
      <c r="BC41" s="365" t="e" cm="1">
        <f t="array" aca="1" ref="BC41" ca="1">SUMPRODUCT(BC$55:BC$114,TRANSPOSE(SAP_Speadsheet!$E$32:$BL$32))</f>
        <v>#REF!</v>
      </c>
      <c r="BD41" s="365" t="e" cm="1">
        <f t="array" aca="1" ref="BD41" ca="1">SUMPRODUCT(BD$55:BD$114,TRANSPOSE(SAP_Speadsheet!$E$32:$BL$32))</f>
        <v>#REF!</v>
      </c>
      <c r="BE41" s="365" t="e" cm="1">
        <f t="array" aca="1" ref="BE41" ca="1">SUMPRODUCT(BE$55:BE$114,TRANSPOSE(SAP_Speadsheet!$E$32:$BL$32))</f>
        <v>#REF!</v>
      </c>
      <c r="BF41" s="365" t="e" cm="1">
        <f t="array" aca="1" ref="BF41" ca="1">SUMPRODUCT(BF$55:BF$114,TRANSPOSE(SAP_Speadsheet!$E$32:$BL$32))</f>
        <v>#REF!</v>
      </c>
      <c r="BG41" s="365" t="e" cm="1">
        <f t="array" aca="1" ref="BG41" ca="1">SUMPRODUCT(BG$55:BG$114,TRANSPOSE(SAP_Speadsheet!$E$32:$BL$32))</f>
        <v>#REF!</v>
      </c>
      <c r="BH41" s="365" t="e" cm="1">
        <f t="array" aca="1" ref="BH41" ca="1">SUMPRODUCT(BH$55:BH$114,TRANSPOSE(SAP_Speadsheet!$E$32:$BL$32))</f>
        <v>#REF!</v>
      </c>
      <c r="BI41" s="365" t="e" cm="1">
        <f t="array" aca="1" ref="BI41" ca="1">SUMPRODUCT(BI$55:BI$114,TRANSPOSE(SAP_Speadsheet!$E$32:$BL$32))</f>
        <v>#REF!</v>
      </c>
    </row>
    <row r="42" spans="1:61" x14ac:dyDescent="0.15">
      <c r="A42" s="354" t="s">
        <v>332</v>
      </c>
      <c r="B42" s="365" cm="1">
        <f t="array" aca="1" ref="B42" ca="1">SUMPRODUCT(B$55:B$114,TRANSPOSE(SAP_Speadsheet!$E$33:$BL$33))</f>
        <v>0</v>
      </c>
      <c r="C42" s="365" cm="1">
        <f t="array" aca="1" ref="C42" ca="1">SUMPRODUCT(C$55:C$114,TRANSPOSE(SAP_Speadsheet!$E$33:$BL$33))</f>
        <v>0</v>
      </c>
      <c r="D42" s="365" cm="1">
        <f t="array" aca="1" ref="D42" ca="1">SUMPRODUCT(D$55:D$114,TRANSPOSE(SAP_Speadsheet!$E$33:$BL$33))</f>
        <v>0</v>
      </c>
      <c r="E42" s="365" cm="1">
        <f t="array" aca="1" ref="E42" ca="1">SUMPRODUCT(E$55:E$114,TRANSPOSE(SAP_Speadsheet!$E$33:$BL$33))</f>
        <v>0</v>
      </c>
      <c r="F42" s="365" cm="1">
        <f t="array" aca="1" ref="F42" ca="1">SUMPRODUCT(F$55:F$114,TRANSPOSE(SAP_Speadsheet!$E$33:$BL$33))</f>
        <v>0</v>
      </c>
      <c r="G42" s="365" cm="1">
        <f t="array" aca="1" ref="G42" ca="1">SUMPRODUCT(G$55:G$114,TRANSPOSE(SAP_Speadsheet!$E$33:$BL$33))</f>
        <v>0</v>
      </c>
      <c r="H42" s="365" t="e" cm="1">
        <f t="array" aca="1" ref="H42" ca="1">SUMPRODUCT(H$55:H$114,TRANSPOSE(SAP_Speadsheet!$E$33:$BL$33))</f>
        <v>#REF!</v>
      </c>
      <c r="I42" s="365" t="e" cm="1">
        <f t="array" aca="1" ref="I42" ca="1">SUMPRODUCT(I$55:I$114,TRANSPOSE(SAP_Speadsheet!$E$33:$BL$33))</f>
        <v>#REF!</v>
      </c>
      <c r="J42" s="365" t="e" cm="1">
        <f t="array" aca="1" ref="J42" ca="1">SUMPRODUCT(J$55:J$114,TRANSPOSE(SAP_Speadsheet!$E$33:$BL$33))</f>
        <v>#REF!</v>
      </c>
      <c r="K42" s="365" t="e" cm="1">
        <f t="array" aca="1" ref="K42" ca="1">SUMPRODUCT(K$55:K$114,TRANSPOSE(SAP_Speadsheet!$E$33:$BL$33))</f>
        <v>#REF!</v>
      </c>
      <c r="L42" s="365" t="e" cm="1">
        <f t="array" aca="1" ref="L42" ca="1">SUMPRODUCT(L$55:L$114,TRANSPOSE(SAP_Speadsheet!$E$33:$BL$33))</f>
        <v>#REF!</v>
      </c>
      <c r="M42" s="365" t="e" cm="1">
        <f t="array" aca="1" ref="M42" ca="1">SUMPRODUCT(M$55:M$114,TRANSPOSE(SAP_Speadsheet!$E$33:$BL$33))</f>
        <v>#REF!</v>
      </c>
      <c r="N42" s="365" t="e" cm="1">
        <f t="array" aca="1" ref="N42" ca="1">SUMPRODUCT(N$55:N$114,TRANSPOSE(SAP_Speadsheet!$E$33:$BL$33))</f>
        <v>#REF!</v>
      </c>
      <c r="O42" s="365" t="e" cm="1">
        <f t="array" aca="1" ref="O42" ca="1">SUMPRODUCT(O$55:O$114,TRANSPOSE(SAP_Speadsheet!$E$33:$BL$33))</f>
        <v>#REF!</v>
      </c>
      <c r="P42" s="365" t="e" cm="1">
        <f t="array" aca="1" ref="P42" ca="1">SUMPRODUCT(P$55:P$114,TRANSPOSE(SAP_Speadsheet!$E$33:$BL$33))</f>
        <v>#REF!</v>
      </c>
      <c r="Q42" s="365" t="e" cm="1">
        <f t="array" aca="1" ref="Q42" ca="1">SUMPRODUCT(Q$55:Q$114,TRANSPOSE(SAP_Speadsheet!$E$33:$BL$33))</f>
        <v>#REF!</v>
      </c>
      <c r="R42" s="365" t="e" cm="1">
        <f t="array" aca="1" ref="R42" ca="1">SUMPRODUCT(R$55:R$114,TRANSPOSE(SAP_Speadsheet!$E$33:$BL$33))</f>
        <v>#REF!</v>
      </c>
      <c r="S42" s="365" t="e" cm="1">
        <f t="array" aca="1" ref="S42" ca="1">SUMPRODUCT(S$55:S$114,TRANSPOSE(SAP_Speadsheet!$E$33:$BL$33))</f>
        <v>#REF!</v>
      </c>
      <c r="T42" s="365" t="e" cm="1">
        <f t="array" aca="1" ref="T42" ca="1">SUMPRODUCT(T$55:T$114,TRANSPOSE(SAP_Speadsheet!$E$33:$BL$33))</f>
        <v>#REF!</v>
      </c>
      <c r="U42" s="365" t="e" cm="1">
        <f t="array" aca="1" ref="U42" ca="1">SUMPRODUCT(U$55:U$114,TRANSPOSE(SAP_Speadsheet!$E$33:$BL$33))</f>
        <v>#REF!</v>
      </c>
      <c r="V42" s="365" t="e" cm="1">
        <f t="array" aca="1" ref="V42" ca="1">SUMPRODUCT(V$55:V$114,TRANSPOSE(SAP_Speadsheet!$E$33:$BL$33))</f>
        <v>#REF!</v>
      </c>
      <c r="W42" s="365" t="e" cm="1">
        <f t="array" aca="1" ref="W42" ca="1">SUMPRODUCT(W$55:W$114,TRANSPOSE(SAP_Speadsheet!$E$33:$BL$33))</f>
        <v>#REF!</v>
      </c>
      <c r="X42" s="365" t="e" cm="1">
        <f t="array" aca="1" ref="X42" ca="1">SUMPRODUCT(X$55:X$114,TRANSPOSE(SAP_Speadsheet!$E$33:$BL$33))</f>
        <v>#REF!</v>
      </c>
      <c r="Y42" s="365" t="e" cm="1">
        <f t="array" aca="1" ref="Y42" ca="1">SUMPRODUCT(Y$55:Y$114,TRANSPOSE(SAP_Speadsheet!$E$33:$BL$33))</f>
        <v>#REF!</v>
      </c>
      <c r="Z42" s="365" t="e" cm="1">
        <f t="array" aca="1" ref="Z42" ca="1">SUMPRODUCT(Z$55:Z$114,TRANSPOSE(SAP_Speadsheet!$E$33:$BL$33))</f>
        <v>#REF!</v>
      </c>
      <c r="AA42" s="365" t="e" cm="1">
        <f t="array" aca="1" ref="AA42" ca="1">SUMPRODUCT(AA$55:AA$114,TRANSPOSE(SAP_Speadsheet!$E$33:$BL$33))</f>
        <v>#REF!</v>
      </c>
      <c r="AB42" s="365" t="e" cm="1">
        <f t="array" aca="1" ref="AB42" ca="1">SUMPRODUCT(AB$55:AB$114,TRANSPOSE(SAP_Speadsheet!$E$33:$BL$33))</f>
        <v>#REF!</v>
      </c>
      <c r="AC42" s="365" t="e" cm="1">
        <f t="array" aca="1" ref="AC42" ca="1">SUMPRODUCT(AC$55:AC$114,TRANSPOSE(SAP_Speadsheet!$E$33:$BL$33))</f>
        <v>#REF!</v>
      </c>
      <c r="AD42" s="365" t="e" cm="1">
        <f t="array" aca="1" ref="AD42" ca="1">SUMPRODUCT(AD$55:AD$114,TRANSPOSE(SAP_Speadsheet!$E$33:$BL$33))</f>
        <v>#REF!</v>
      </c>
      <c r="AE42" s="365" t="e" cm="1">
        <f t="array" aca="1" ref="AE42" ca="1">SUMPRODUCT(AE$55:AE$114,TRANSPOSE(SAP_Speadsheet!$E$33:$BL$33))</f>
        <v>#REF!</v>
      </c>
      <c r="AF42" s="365" t="e" cm="1">
        <f t="array" aca="1" ref="AF42" ca="1">SUMPRODUCT(AF$55:AF$114,TRANSPOSE(SAP_Speadsheet!$E$33:$BL$33))</f>
        <v>#REF!</v>
      </c>
      <c r="AG42" s="365" t="e" cm="1">
        <f t="array" aca="1" ref="AG42" ca="1">SUMPRODUCT(AG$55:AG$114,TRANSPOSE(SAP_Speadsheet!$E$33:$BL$33))</f>
        <v>#REF!</v>
      </c>
      <c r="AH42" s="365" t="e" cm="1">
        <f t="array" aca="1" ref="AH42" ca="1">SUMPRODUCT(AH$55:AH$114,TRANSPOSE(SAP_Speadsheet!$E$33:$BL$33))</f>
        <v>#REF!</v>
      </c>
      <c r="AI42" s="365" t="e" cm="1">
        <f t="array" aca="1" ref="AI42" ca="1">SUMPRODUCT(AI$55:AI$114,TRANSPOSE(SAP_Speadsheet!$E$33:$BL$33))</f>
        <v>#REF!</v>
      </c>
      <c r="AJ42" s="365" t="e" cm="1">
        <f t="array" aca="1" ref="AJ42" ca="1">SUMPRODUCT(AJ$55:AJ$114,TRANSPOSE(SAP_Speadsheet!$E$33:$BL$33))</f>
        <v>#REF!</v>
      </c>
      <c r="AK42" s="365" t="e" cm="1">
        <f t="array" aca="1" ref="AK42" ca="1">SUMPRODUCT(AK$55:AK$114,TRANSPOSE(SAP_Speadsheet!$E$33:$BL$33))</f>
        <v>#REF!</v>
      </c>
      <c r="AL42" s="365" t="e" cm="1">
        <f t="array" aca="1" ref="AL42" ca="1">SUMPRODUCT(AL$55:AL$114,TRANSPOSE(SAP_Speadsheet!$E$33:$BL$33))</f>
        <v>#REF!</v>
      </c>
      <c r="AM42" s="365" t="e" cm="1">
        <f t="array" aca="1" ref="AM42" ca="1">SUMPRODUCT(AM$55:AM$114,TRANSPOSE(SAP_Speadsheet!$E$33:$BL$33))</f>
        <v>#REF!</v>
      </c>
      <c r="AN42" s="365" t="e" cm="1">
        <f t="array" aca="1" ref="AN42" ca="1">SUMPRODUCT(AN$55:AN$114,TRANSPOSE(SAP_Speadsheet!$E$33:$BL$33))</f>
        <v>#REF!</v>
      </c>
      <c r="AO42" s="365" t="e" cm="1">
        <f t="array" aca="1" ref="AO42" ca="1">SUMPRODUCT(AO$55:AO$114,TRANSPOSE(SAP_Speadsheet!$E$33:$BL$33))</f>
        <v>#REF!</v>
      </c>
      <c r="AP42" s="365" t="e" cm="1">
        <f t="array" aca="1" ref="AP42" ca="1">SUMPRODUCT(AP$55:AP$114,TRANSPOSE(SAP_Speadsheet!$E$33:$BL$33))</f>
        <v>#REF!</v>
      </c>
      <c r="AQ42" s="365" t="e" cm="1">
        <f t="array" aca="1" ref="AQ42" ca="1">SUMPRODUCT(AQ$55:AQ$114,TRANSPOSE(SAP_Speadsheet!$E$33:$BL$33))</f>
        <v>#REF!</v>
      </c>
      <c r="AR42" s="365" t="e" cm="1">
        <f t="array" aca="1" ref="AR42" ca="1">SUMPRODUCT(AR$55:AR$114,TRANSPOSE(SAP_Speadsheet!$E$33:$BL$33))</f>
        <v>#REF!</v>
      </c>
      <c r="AS42" s="365" t="e" cm="1">
        <f t="array" aca="1" ref="AS42" ca="1">SUMPRODUCT(AS$55:AS$114,TRANSPOSE(SAP_Speadsheet!$E$33:$BL$33))</f>
        <v>#REF!</v>
      </c>
      <c r="AT42" s="365" t="e" cm="1">
        <f t="array" aca="1" ref="AT42" ca="1">SUMPRODUCT(AT$55:AT$114,TRANSPOSE(SAP_Speadsheet!$E$33:$BL$33))</f>
        <v>#REF!</v>
      </c>
      <c r="AU42" s="365" t="e" cm="1">
        <f t="array" aca="1" ref="AU42" ca="1">SUMPRODUCT(AU$55:AU$114,TRANSPOSE(SAP_Speadsheet!$E$33:$BL$33))</f>
        <v>#REF!</v>
      </c>
      <c r="AV42" s="365" t="e" cm="1">
        <f t="array" aca="1" ref="AV42" ca="1">SUMPRODUCT(AV$55:AV$114,TRANSPOSE(SAP_Speadsheet!$E$33:$BL$33))</f>
        <v>#REF!</v>
      </c>
      <c r="AW42" s="365" t="e" cm="1">
        <f t="array" aca="1" ref="AW42" ca="1">SUMPRODUCT(AW$55:AW$114,TRANSPOSE(SAP_Speadsheet!$E$33:$BL$33))</f>
        <v>#REF!</v>
      </c>
      <c r="AX42" s="365" t="e" cm="1">
        <f t="array" aca="1" ref="AX42" ca="1">SUMPRODUCT(AX$55:AX$114,TRANSPOSE(SAP_Speadsheet!$E$33:$BL$33))</f>
        <v>#REF!</v>
      </c>
      <c r="AY42" s="365" t="e" cm="1">
        <f t="array" aca="1" ref="AY42" ca="1">SUMPRODUCT(AY$55:AY$114,TRANSPOSE(SAP_Speadsheet!$E$33:$BL$33))</f>
        <v>#REF!</v>
      </c>
      <c r="AZ42" s="365" t="e" cm="1">
        <f t="array" aca="1" ref="AZ42" ca="1">SUMPRODUCT(AZ$55:AZ$114,TRANSPOSE(SAP_Speadsheet!$E$33:$BL$33))</f>
        <v>#REF!</v>
      </c>
      <c r="BA42" s="365" t="e" cm="1">
        <f t="array" aca="1" ref="BA42" ca="1">SUMPRODUCT(BA$55:BA$114,TRANSPOSE(SAP_Speadsheet!$E$33:$BL$33))</f>
        <v>#REF!</v>
      </c>
      <c r="BB42" s="365" t="e" cm="1">
        <f t="array" aca="1" ref="BB42" ca="1">SUMPRODUCT(BB$55:BB$114,TRANSPOSE(SAP_Speadsheet!$E$33:$BL$33))</f>
        <v>#REF!</v>
      </c>
      <c r="BC42" s="365" t="e" cm="1">
        <f t="array" aca="1" ref="BC42" ca="1">SUMPRODUCT(BC$55:BC$114,TRANSPOSE(SAP_Speadsheet!$E$33:$BL$33))</f>
        <v>#REF!</v>
      </c>
      <c r="BD42" s="365" t="e" cm="1">
        <f t="array" aca="1" ref="BD42" ca="1">SUMPRODUCT(BD$55:BD$114,TRANSPOSE(SAP_Speadsheet!$E$33:$BL$33))</f>
        <v>#REF!</v>
      </c>
      <c r="BE42" s="365" t="e" cm="1">
        <f t="array" aca="1" ref="BE42" ca="1">SUMPRODUCT(BE$55:BE$114,TRANSPOSE(SAP_Speadsheet!$E$33:$BL$33))</f>
        <v>#REF!</v>
      </c>
      <c r="BF42" s="365" t="e" cm="1">
        <f t="array" aca="1" ref="BF42" ca="1">SUMPRODUCT(BF$55:BF$114,TRANSPOSE(SAP_Speadsheet!$E$33:$BL$33))</f>
        <v>#REF!</v>
      </c>
      <c r="BG42" s="365" t="e" cm="1">
        <f t="array" aca="1" ref="BG42" ca="1">SUMPRODUCT(BG$55:BG$114,TRANSPOSE(SAP_Speadsheet!$E$33:$BL$33))</f>
        <v>#REF!</v>
      </c>
      <c r="BH42" s="365" t="e" cm="1">
        <f t="array" aca="1" ref="BH42" ca="1">SUMPRODUCT(BH$55:BH$114,TRANSPOSE(SAP_Speadsheet!$E$33:$BL$33))</f>
        <v>#REF!</v>
      </c>
      <c r="BI42" s="365" t="e" cm="1">
        <f t="array" aca="1" ref="BI42" ca="1">SUMPRODUCT(BI$55:BI$114,TRANSPOSE(SAP_Speadsheet!$E$33:$BL$33))</f>
        <v>#REF!</v>
      </c>
    </row>
    <row r="43" spans="1:61" x14ac:dyDescent="0.15">
      <c r="A43" s="354" t="s">
        <v>333</v>
      </c>
      <c r="B43" s="365" cm="1">
        <f t="array" aca="1" ref="B43" ca="1">SUMPRODUCT(B$55:B$114,TRANSPOSE(SAP_Speadsheet!$E$34:$BL$34))</f>
        <v>0</v>
      </c>
      <c r="C43" s="365" cm="1">
        <f t="array" aca="1" ref="C43" ca="1">SUMPRODUCT(C$55:C$114,TRANSPOSE(SAP_Speadsheet!$E$34:$BL$34))</f>
        <v>0</v>
      </c>
      <c r="D43" s="365" cm="1">
        <f t="array" aca="1" ref="D43" ca="1">SUMPRODUCT(D$55:D$114,TRANSPOSE(SAP_Speadsheet!$E$34:$BL$34))</f>
        <v>0</v>
      </c>
      <c r="E43" s="365" cm="1">
        <f t="array" aca="1" ref="E43" ca="1">SUMPRODUCT(E$55:E$114,TRANSPOSE(SAP_Speadsheet!$E$34:$BL$34))</f>
        <v>0</v>
      </c>
      <c r="F43" s="365" cm="1">
        <f t="array" aca="1" ref="F43" ca="1">SUMPRODUCT(F$55:F$114,TRANSPOSE(SAP_Speadsheet!$E$34:$BL$34))</f>
        <v>0</v>
      </c>
      <c r="G43" s="365" cm="1">
        <f t="array" aca="1" ref="G43" ca="1">SUMPRODUCT(G$55:G$114,TRANSPOSE(SAP_Speadsheet!$E$34:$BL$34))</f>
        <v>0</v>
      </c>
      <c r="H43" s="365" t="e" cm="1">
        <f t="array" aca="1" ref="H43" ca="1">SUMPRODUCT(H$55:H$114,TRANSPOSE(SAP_Speadsheet!$E$34:$BL$34))</f>
        <v>#REF!</v>
      </c>
      <c r="I43" s="365" t="e" cm="1">
        <f t="array" aca="1" ref="I43" ca="1">SUMPRODUCT(I$55:I$114,TRANSPOSE(SAP_Speadsheet!$E$34:$BL$34))</f>
        <v>#REF!</v>
      </c>
      <c r="J43" s="365" t="e" cm="1">
        <f t="array" aca="1" ref="J43" ca="1">SUMPRODUCT(J$55:J$114,TRANSPOSE(SAP_Speadsheet!$E$34:$BL$34))</f>
        <v>#REF!</v>
      </c>
      <c r="K43" s="365" t="e" cm="1">
        <f t="array" aca="1" ref="K43" ca="1">SUMPRODUCT(K$55:K$114,TRANSPOSE(SAP_Speadsheet!$E$34:$BL$34))</f>
        <v>#REF!</v>
      </c>
      <c r="L43" s="365" t="e" cm="1">
        <f t="array" aca="1" ref="L43" ca="1">SUMPRODUCT(L$55:L$114,TRANSPOSE(SAP_Speadsheet!$E$34:$BL$34))</f>
        <v>#REF!</v>
      </c>
      <c r="M43" s="365" t="e" cm="1">
        <f t="array" aca="1" ref="M43" ca="1">SUMPRODUCT(M$55:M$114,TRANSPOSE(SAP_Speadsheet!$E$34:$BL$34))</f>
        <v>#REF!</v>
      </c>
      <c r="N43" s="365" t="e" cm="1">
        <f t="array" aca="1" ref="N43" ca="1">SUMPRODUCT(N$55:N$114,TRANSPOSE(SAP_Speadsheet!$E$34:$BL$34))</f>
        <v>#REF!</v>
      </c>
      <c r="O43" s="365" t="e" cm="1">
        <f t="array" aca="1" ref="O43" ca="1">SUMPRODUCT(O$55:O$114,TRANSPOSE(SAP_Speadsheet!$E$34:$BL$34))</f>
        <v>#REF!</v>
      </c>
      <c r="P43" s="365" t="e" cm="1">
        <f t="array" aca="1" ref="P43" ca="1">SUMPRODUCT(P$55:P$114,TRANSPOSE(SAP_Speadsheet!$E$34:$BL$34))</f>
        <v>#REF!</v>
      </c>
      <c r="Q43" s="365" t="e" cm="1">
        <f t="array" aca="1" ref="Q43" ca="1">SUMPRODUCT(Q$55:Q$114,TRANSPOSE(SAP_Speadsheet!$E$34:$BL$34))</f>
        <v>#REF!</v>
      </c>
      <c r="R43" s="365" t="e" cm="1">
        <f t="array" aca="1" ref="R43" ca="1">SUMPRODUCT(R$55:R$114,TRANSPOSE(SAP_Speadsheet!$E$34:$BL$34))</f>
        <v>#REF!</v>
      </c>
      <c r="S43" s="365" t="e" cm="1">
        <f t="array" aca="1" ref="S43" ca="1">SUMPRODUCT(S$55:S$114,TRANSPOSE(SAP_Speadsheet!$E$34:$BL$34))</f>
        <v>#REF!</v>
      </c>
      <c r="T43" s="365" t="e" cm="1">
        <f t="array" aca="1" ref="T43" ca="1">SUMPRODUCT(T$55:T$114,TRANSPOSE(SAP_Speadsheet!$E$34:$BL$34))</f>
        <v>#REF!</v>
      </c>
      <c r="U43" s="365" t="e" cm="1">
        <f t="array" aca="1" ref="U43" ca="1">SUMPRODUCT(U$55:U$114,TRANSPOSE(SAP_Speadsheet!$E$34:$BL$34))</f>
        <v>#REF!</v>
      </c>
      <c r="V43" s="365" t="e" cm="1">
        <f t="array" aca="1" ref="V43" ca="1">SUMPRODUCT(V$55:V$114,TRANSPOSE(SAP_Speadsheet!$E$34:$BL$34))</f>
        <v>#REF!</v>
      </c>
      <c r="W43" s="365" t="e" cm="1">
        <f t="array" aca="1" ref="W43" ca="1">SUMPRODUCT(W$55:W$114,TRANSPOSE(SAP_Speadsheet!$E$34:$BL$34))</f>
        <v>#REF!</v>
      </c>
      <c r="X43" s="365" t="e" cm="1">
        <f t="array" aca="1" ref="X43" ca="1">SUMPRODUCT(X$55:X$114,TRANSPOSE(SAP_Speadsheet!$E$34:$BL$34))</f>
        <v>#REF!</v>
      </c>
      <c r="Y43" s="365" t="e" cm="1">
        <f t="array" aca="1" ref="Y43" ca="1">SUMPRODUCT(Y$55:Y$114,TRANSPOSE(SAP_Speadsheet!$E$34:$BL$34))</f>
        <v>#REF!</v>
      </c>
      <c r="Z43" s="365" t="e" cm="1">
        <f t="array" aca="1" ref="Z43" ca="1">SUMPRODUCT(Z$55:Z$114,TRANSPOSE(SAP_Speadsheet!$E$34:$BL$34))</f>
        <v>#REF!</v>
      </c>
      <c r="AA43" s="365" t="e" cm="1">
        <f t="array" aca="1" ref="AA43" ca="1">SUMPRODUCT(AA$55:AA$114,TRANSPOSE(SAP_Speadsheet!$E$34:$BL$34))</f>
        <v>#REF!</v>
      </c>
      <c r="AB43" s="365" t="e" cm="1">
        <f t="array" aca="1" ref="AB43" ca="1">SUMPRODUCT(AB$55:AB$114,TRANSPOSE(SAP_Speadsheet!$E$34:$BL$34))</f>
        <v>#REF!</v>
      </c>
      <c r="AC43" s="365" t="e" cm="1">
        <f t="array" aca="1" ref="AC43" ca="1">SUMPRODUCT(AC$55:AC$114,TRANSPOSE(SAP_Speadsheet!$E$34:$BL$34))</f>
        <v>#REF!</v>
      </c>
      <c r="AD43" s="365" t="e" cm="1">
        <f t="array" aca="1" ref="AD43" ca="1">SUMPRODUCT(AD$55:AD$114,TRANSPOSE(SAP_Speadsheet!$E$34:$BL$34))</f>
        <v>#REF!</v>
      </c>
      <c r="AE43" s="365" t="e" cm="1">
        <f t="array" aca="1" ref="AE43" ca="1">SUMPRODUCT(AE$55:AE$114,TRANSPOSE(SAP_Speadsheet!$E$34:$BL$34))</f>
        <v>#REF!</v>
      </c>
      <c r="AF43" s="365" t="e" cm="1">
        <f t="array" aca="1" ref="AF43" ca="1">SUMPRODUCT(AF$55:AF$114,TRANSPOSE(SAP_Speadsheet!$E$34:$BL$34))</f>
        <v>#REF!</v>
      </c>
      <c r="AG43" s="365" t="e" cm="1">
        <f t="array" aca="1" ref="AG43" ca="1">SUMPRODUCT(AG$55:AG$114,TRANSPOSE(SAP_Speadsheet!$E$34:$BL$34))</f>
        <v>#REF!</v>
      </c>
      <c r="AH43" s="365" t="e" cm="1">
        <f t="array" aca="1" ref="AH43" ca="1">SUMPRODUCT(AH$55:AH$114,TRANSPOSE(SAP_Speadsheet!$E$34:$BL$34))</f>
        <v>#REF!</v>
      </c>
      <c r="AI43" s="365" t="e" cm="1">
        <f t="array" aca="1" ref="AI43" ca="1">SUMPRODUCT(AI$55:AI$114,TRANSPOSE(SAP_Speadsheet!$E$34:$BL$34))</f>
        <v>#REF!</v>
      </c>
      <c r="AJ43" s="365" t="e" cm="1">
        <f t="array" aca="1" ref="AJ43" ca="1">SUMPRODUCT(AJ$55:AJ$114,TRANSPOSE(SAP_Speadsheet!$E$34:$BL$34))</f>
        <v>#REF!</v>
      </c>
      <c r="AK43" s="365" t="e" cm="1">
        <f t="array" aca="1" ref="AK43" ca="1">SUMPRODUCT(AK$55:AK$114,TRANSPOSE(SAP_Speadsheet!$E$34:$BL$34))</f>
        <v>#REF!</v>
      </c>
      <c r="AL43" s="365" t="e" cm="1">
        <f t="array" aca="1" ref="AL43" ca="1">SUMPRODUCT(AL$55:AL$114,TRANSPOSE(SAP_Speadsheet!$E$34:$BL$34))</f>
        <v>#REF!</v>
      </c>
      <c r="AM43" s="365" t="e" cm="1">
        <f t="array" aca="1" ref="AM43" ca="1">SUMPRODUCT(AM$55:AM$114,TRANSPOSE(SAP_Speadsheet!$E$34:$BL$34))</f>
        <v>#REF!</v>
      </c>
      <c r="AN43" s="365" t="e" cm="1">
        <f t="array" aca="1" ref="AN43" ca="1">SUMPRODUCT(AN$55:AN$114,TRANSPOSE(SAP_Speadsheet!$E$34:$BL$34))</f>
        <v>#REF!</v>
      </c>
      <c r="AO43" s="365" t="e" cm="1">
        <f t="array" aca="1" ref="AO43" ca="1">SUMPRODUCT(AO$55:AO$114,TRANSPOSE(SAP_Speadsheet!$E$34:$BL$34))</f>
        <v>#REF!</v>
      </c>
      <c r="AP43" s="365" t="e" cm="1">
        <f t="array" aca="1" ref="AP43" ca="1">SUMPRODUCT(AP$55:AP$114,TRANSPOSE(SAP_Speadsheet!$E$34:$BL$34))</f>
        <v>#REF!</v>
      </c>
      <c r="AQ43" s="365" t="e" cm="1">
        <f t="array" aca="1" ref="AQ43" ca="1">SUMPRODUCT(AQ$55:AQ$114,TRANSPOSE(SAP_Speadsheet!$E$34:$BL$34))</f>
        <v>#REF!</v>
      </c>
      <c r="AR43" s="365" t="e" cm="1">
        <f t="array" aca="1" ref="AR43" ca="1">SUMPRODUCT(AR$55:AR$114,TRANSPOSE(SAP_Speadsheet!$E$34:$BL$34))</f>
        <v>#REF!</v>
      </c>
      <c r="AS43" s="365" t="e" cm="1">
        <f t="array" aca="1" ref="AS43" ca="1">SUMPRODUCT(AS$55:AS$114,TRANSPOSE(SAP_Speadsheet!$E$34:$BL$34))</f>
        <v>#REF!</v>
      </c>
      <c r="AT43" s="365" t="e" cm="1">
        <f t="array" aca="1" ref="AT43" ca="1">SUMPRODUCT(AT$55:AT$114,TRANSPOSE(SAP_Speadsheet!$E$34:$BL$34))</f>
        <v>#REF!</v>
      </c>
      <c r="AU43" s="365" t="e" cm="1">
        <f t="array" aca="1" ref="AU43" ca="1">SUMPRODUCT(AU$55:AU$114,TRANSPOSE(SAP_Speadsheet!$E$34:$BL$34))</f>
        <v>#REF!</v>
      </c>
      <c r="AV43" s="365" t="e" cm="1">
        <f t="array" aca="1" ref="AV43" ca="1">SUMPRODUCT(AV$55:AV$114,TRANSPOSE(SAP_Speadsheet!$E$34:$BL$34))</f>
        <v>#REF!</v>
      </c>
      <c r="AW43" s="365" t="e" cm="1">
        <f t="array" aca="1" ref="AW43" ca="1">SUMPRODUCT(AW$55:AW$114,TRANSPOSE(SAP_Speadsheet!$E$34:$BL$34))</f>
        <v>#REF!</v>
      </c>
      <c r="AX43" s="365" t="e" cm="1">
        <f t="array" aca="1" ref="AX43" ca="1">SUMPRODUCT(AX$55:AX$114,TRANSPOSE(SAP_Speadsheet!$E$34:$BL$34))</f>
        <v>#REF!</v>
      </c>
      <c r="AY43" s="365" t="e" cm="1">
        <f t="array" aca="1" ref="AY43" ca="1">SUMPRODUCT(AY$55:AY$114,TRANSPOSE(SAP_Speadsheet!$E$34:$BL$34))</f>
        <v>#REF!</v>
      </c>
      <c r="AZ43" s="365" t="e" cm="1">
        <f t="array" aca="1" ref="AZ43" ca="1">SUMPRODUCT(AZ$55:AZ$114,TRANSPOSE(SAP_Speadsheet!$E$34:$BL$34))</f>
        <v>#REF!</v>
      </c>
      <c r="BA43" s="365" t="e" cm="1">
        <f t="array" aca="1" ref="BA43" ca="1">SUMPRODUCT(BA$55:BA$114,TRANSPOSE(SAP_Speadsheet!$E$34:$BL$34))</f>
        <v>#REF!</v>
      </c>
      <c r="BB43" s="365" t="e" cm="1">
        <f t="array" aca="1" ref="BB43" ca="1">SUMPRODUCT(BB$55:BB$114,TRANSPOSE(SAP_Speadsheet!$E$34:$BL$34))</f>
        <v>#REF!</v>
      </c>
      <c r="BC43" s="365" t="e" cm="1">
        <f t="array" aca="1" ref="BC43" ca="1">SUMPRODUCT(BC$55:BC$114,TRANSPOSE(SAP_Speadsheet!$E$34:$BL$34))</f>
        <v>#REF!</v>
      </c>
      <c r="BD43" s="365" t="e" cm="1">
        <f t="array" aca="1" ref="BD43" ca="1">SUMPRODUCT(BD$55:BD$114,TRANSPOSE(SAP_Speadsheet!$E$34:$BL$34))</f>
        <v>#REF!</v>
      </c>
      <c r="BE43" s="365" t="e" cm="1">
        <f t="array" aca="1" ref="BE43" ca="1">SUMPRODUCT(BE$55:BE$114,TRANSPOSE(SAP_Speadsheet!$E$34:$BL$34))</f>
        <v>#REF!</v>
      </c>
      <c r="BF43" s="365" t="e" cm="1">
        <f t="array" aca="1" ref="BF43" ca="1">SUMPRODUCT(BF$55:BF$114,TRANSPOSE(SAP_Speadsheet!$E$34:$BL$34))</f>
        <v>#REF!</v>
      </c>
      <c r="BG43" s="365" t="e" cm="1">
        <f t="array" aca="1" ref="BG43" ca="1">SUMPRODUCT(BG$55:BG$114,TRANSPOSE(SAP_Speadsheet!$E$34:$BL$34))</f>
        <v>#REF!</v>
      </c>
      <c r="BH43" s="365" t="e" cm="1">
        <f t="array" aca="1" ref="BH43" ca="1">SUMPRODUCT(BH$55:BH$114,TRANSPOSE(SAP_Speadsheet!$E$34:$BL$34))</f>
        <v>#REF!</v>
      </c>
      <c r="BI43" s="365" t="e" cm="1">
        <f t="array" aca="1" ref="BI43" ca="1">SUMPRODUCT(BI$55:BI$114,TRANSPOSE(SAP_Speadsheet!$E$34:$BL$34))</f>
        <v>#REF!</v>
      </c>
    </row>
    <row r="44" spans="1:61" x14ac:dyDescent="0.15">
      <c r="A44" s="354" t="s">
        <v>371</v>
      </c>
      <c r="B44" s="365" cm="1">
        <f t="array" aca="1" ref="B44" ca="1">SUMPRODUCT(B$55:B$114,TRANSPOSE(SAP_Speadsheet!$E$35:$BL$35))</f>
        <v>0</v>
      </c>
      <c r="C44" s="365" cm="1">
        <f t="array" aca="1" ref="C44" ca="1">SUMPRODUCT(C$55:C$114,TRANSPOSE(SAP_Speadsheet!$E$35:$BL$35))</f>
        <v>0</v>
      </c>
      <c r="D44" s="365" cm="1">
        <f t="array" aca="1" ref="D44" ca="1">SUMPRODUCT(D$55:D$114,TRANSPOSE(SAP_Speadsheet!$E$35:$BL$35))</f>
        <v>0</v>
      </c>
      <c r="E44" s="365" cm="1">
        <f t="array" aca="1" ref="E44" ca="1">SUMPRODUCT(E$55:E$114,TRANSPOSE(SAP_Speadsheet!$E$35:$BL$35))</f>
        <v>0</v>
      </c>
      <c r="F44" s="365" cm="1">
        <f t="array" aca="1" ref="F44" ca="1">SUMPRODUCT(F$55:F$114,TRANSPOSE(SAP_Speadsheet!$E$35:$BL$35))</f>
        <v>0</v>
      </c>
      <c r="G44" s="365" cm="1">
        <f t="array" aca="1" ref="G44" ca="1">SUMPRODUCT(G$55:G$114,TRANSPOSE(SAP_Speadsheet!$E$35:$BL$35))</f>
        <v>0</v>
      </c>
      <c r="H44" s="365" t="e" cm="1">
        <f t="array" aca="1" ref="H44" ca="1">SUMPRODUCT(H$55:H$114,TRANSPOSE(SAP_Speadsheet!$E$35:$BL$35))</f>
        <v>#REF!</v>
      </c>
      <c r="I44" s="365" t="e" cm="1">
        <f t="array" aca="1" ref="I44" ca="1">SUMPRODUCT(I$55:I$114,TRANSPOSE(SAP_Speadsheet!$E$35:$BL$35))</f>
        <v>#REF!</v>
      </c>
      <c r="J44" s="365" t="e" cm="1">
        <f t="array" aca="1" ref="J44" ca="1">SUMPRODUCT(J$55:J$114,TRANSPOSE(SAP_Speadsheet!$E$35:$BL$35))</f>
        <v>#REF!</v>
      </c>
      <c r="K44" s="365" t="e" cm="1">
        <f t="array" aca="1" ref="K44" ca="1">SUMPRODUCT(K$55:K$114,TRANSPOSE(SAP_Speadsheet!$E$35:$BL$35))</f>
        <v>#REF!</v>
      </c>
      <c r="L44" s="365" t="e" cm="1">
        <f t="array" aca="1" ref="L44" ca="1">SUMPRODUCT(L$55:L$114,TRANSPOSE(SAP_Speadsheet!$E$35:$BL$35))</f>
        <v>#REF!</v>
      </c>
      <c r="M44" s="365" t="e" cm="1">
        <f t="array" aca="1" ref="M44" ca="1">SUMPRODUCT(M$55:M$114,TRANSPOSE(SAP_Speadsheet!$E$35:$BL$35))</f>
        <v>#REF!</v>
      </c>
      <c r="N44" s="365" t="e" cm="1">
        <f t="array" aca="1" ref="N44" ca="1">SUMPRODUCT(N$55:N$114,TRANSPOSE(SAP_Speadsheet!$E$35:$BL$35))</f>
        <v>#REF!</v>
      </c>
      <c r="O44" s="365" t="e" cm="1">
        <f t="array" aca="1" ref="O44" ca="1">SUMPRODUCT(O$55:O$114,TRANSPOSE(SAP_Speadsheet!$E$35:$BL$35))</f>
        <v>#REF!</v>
      </c>
      <c r="P44" s="365" t="e" cm="1">
        <f t="array" aca="1" ref="P44" ca="1">SUMPRODUCT(P$55:P$114,TRANSPOSE(SAP_Speadsheet!$E$35:$BL$35))</f>
        <v>#REF!</v>
      </c>
      <c r="Q44" s="365" t="e" cm="1">
        <f t="array" aca="1" ref="Q44" ca="1">SUMPRODUCT(Q$55:Q$114,TRANSPOSE(SAP_Speadsheet!$E$35:$BL$35))</f>
        <v>#REF!</v>
      </c>
      <c r="R44" s="365" t="e" cm="1">
        <f t="array" aca="1" ref="R44" ca="1">SUMPRODUCT(R$55:R$114,TRANSPOSE(SAP_Speadsheet!$E$35:$BL$35))</f>
        <v>#REF!</v>
      </c>
      <c r="S44" s="365" t="e" cm="1">
        <f t="array" aca="1" ref="S44" ca="1">SUMPRODUCT(S$55:S$114,TRANSPOSE(SAP_Speadsheet!$E$35:$BL$35))</f>
        <v>#REF!</v>
      </c>
      <c r="T44" s="365" t="e" cm="1">
        <f t="array" aca="1" ref="T44" ca="1">SUMPRODUCT(T$55:T$114,TRANSPOSE(SAP_Speadsheet!$E$35:$BL$35))</f>
        <v>#REF!</v>
      </c>
      <c r="U44" s="365" t="e" cm="1">
        <f t="array" aca="1" ref="U44" ca="1">SUMPRODUCT(U$55:U$114,TRANSPOSE(SAP_Speadsheet!$E$35:$BL$35))</f>
        <v>#REF!</v>
      </c>
      <c r="V44" s="365" t="e" cm="1">
        <f t="array" aca="1" ref="V44" ca="1">SUMPRODUCT(V$55:V$114,TRANSPOSE(SAP_Speadsheet!$E$35:$BL$35))</f>
        <v>#REF!</v>
      </c>
      <c r="W44" s="365" t="e" cm="1">
        <f t="array" aca="1" ref="W44" ca="1">SUMPRODUCT(W$55:W$114,TRANSPOSE(SAP_Speadsheet!$E$35:$BL$35))</f>
        <v>#REF!</v>
      </c>
      <c r="X44" s="365" t="e" cm="1">
        <f t="array" aca="1" ref="X44" ca="1">SUMPRODUCT(X$55:X$114,TRANSPOSE(SAP_Speadsheet!$E$35:$BL$35))</f>
        <v>#REF!</v>
      </c>
      <c r="Y44" s="365" t="e" cm="1">
        <f t="array" aca="1" ref="Y44" ca="1">SUMPRODUCT(Y$55:Y$114,TRANSPOSE(SAP_Speadsheet!$E$35:$BL$35))</f>
        <v>#REF!</v>
      </c>
      <c r="Z44" s="365" t="e" cm="1">
        <f t="array" aca="1" ref="Z44" ca="1">SUMPRODUCT(Z$55:Z$114,TRANSPOSE(SAP_Speadsheet!$E$35:$BL$35))</f>
        <v>#REF!</v>
      </c>
      <c r="AA44" s="365" t="e" cm="1">
        <f t="array" aca="1" ref="AA44" ca="1">SUMPRODUCT(AA$55:AA$114,TRANSPOSE(SAP_Speadsheet!$E$35:$BL$35))</f>
        <v>#REF!</v>
      </c>
      <c r="AB44" s="365" t="e" cm="1">
        <f t="array" aca="1" ref="AB44" ca="1">SUMPRODUCT(AB$55:AB$114,TRANSPOSE(SAP_Speadsheet!$E$35:$BL$35))</f>
        <v>#REF!</v>
      </c>
      <c r="AC44" s="365" t="e" cm="1">
        <f t="array" aca="1" ref="AC44" ca="1">SUMPRODUCT(AC$55:AC$114,TRANSPOSE(SAP_Speadsheet!$E$35:$BL$35))</f>
        <v>#REF!</v>
      </c>
      <c r="AD44" s="365" t="e" cm="1">
        <f t="array" aca="1" ref="AD44" ca="1">SUMPRODUCT(AD$55:AD$114,TRANSPOSE(SAP_Speadsheet!$E$35:$BL$35))</f>
        <v>#REF!</v>
      </c>
      <c r="AE44" s="365" t="e" cm="1">
        <f t="array" aca="1" ref="AE44" ca="1">SUMPRODUCT(AE$55:AE$114,TRANSPOSE(SAP_Speadsheet!$E$35:$BL$35))</f>
        <v>#REF!</v>
      </c>
      <c r="AF44" s="365" t="e" cm="1">
        <f t="array" aca="1" ref="AF44" ca="1">SUMPRODUCT(AF$55:AF$114,TRANSPOSE(SAP_Speadsheet!$E$35:$BL$35))</f>
        <v>#REF!</v>
      </c>
      <c r="AG44" s="365" t="e" cm="1">
        <f t="array" aca="1" ref="AG44" ca="1">SUMPRODUCT(AG$55:AG$114,TRANSPOSE(SAP_Speadsheet!$E$35:$BL$35))</f>
        <v>#REF!</v>
      </c>
      <c r="AH44" s="365" t="e" cm="1">
        <f t="array" aca="1" ref="AH44" ca="1">SUMPRODUCT(AH$55:AH$114,TRANSPOSE(SAP_Speadsheet!$E$35:$BL$35))</f>
        <v>#REF!</v>
      </c>
      <c r="AI44" s="365" t="e" cm="1">
        <f t="array" aca="1" ref="AI44" ca="1">SUMPRODUCT(AI$55:AI$114,TRANSPOSE(SAP_Speadsheet!$E$35:$BL$35))</f>
        <v>#REF!</v>
      </c>
      <c r="AJ44" s="365" t="e" cm="1">
        <f t="array" aca="1" ref="AJ44" ca="1">SUMPRODUCT(AJ$55:AJ$114,TRANSPOSE(SAP_Speadsheet!$E$35:$BL$35))</f>
        <v>#REF!</v>
      </c>
      <c r="AK44" s="365" t="e" cm="1">
        <f t="array" aca="1" ref="AK44" ca="1">SUMPRODUCT(AK$55:AK$114,TRANSPOSE(SAP_Speadsheet!$E$35:$BL$35))</f>
        <v>#REF!</v>
      </c>
      <c r="AL44" s="365" t="e" cm="1">
        <f t="array" aca="1" ref="AL44" ca="1">SUMPRODUCT(AL$55:AL$114,TRANSPOSE(SAP_Speadsheet!$E$35:$BL$35))</f>
        <v>#REF!</v>
      </c>
      <c r="AM44" s="365" t="e" cm="1">
        <f t="array" aca="1" ref="AM44" ca="1">SUMPRODUCT(AM$55:AM$114,TRANSPOSE(SAP_Speadsheet!$E$35:$BL$35))</f>
        <v>#REF!</v>
      </c>
      <c r="AN44" s="365" t="e" cm="1">
        <f t="array" aca="1" ref="AN44" ca="1">SUMPRODUCT(AN$55:AN$114,TRANSPOSE(SAP_Speadsheet!$E$35:$BL$35))</f>
        <v>#REF!</v>
      </c>
      <c r="AO44" s="365" t="e" cm="1">
        <f t="array" aca="1" ref="AO44" ca="1">SUMPRODUCT(AO$55:AO$114,TRANSPOSE(SAP_Speadsheet!$E$35:$BL$35))</f>
        <v>#REF!</v>
      </c>
      <c r="AP44" s="365" t="e" cm="1">
        <f t="array" aca="1" ref="AP44" ca="1">SUMPRODUCT(AP$55:AP$114,TRANSPOSE(SAP_Speadsheet!$E$35:$BL$35))</f>
        <v>#REF!</v>
      </c>
      <c r="AQ44" s="365" t="e" cm="1">
        <f t="array" aca="1" ref="AQ44" ca="1">SUMPRODUCT(AQ$55:AQ$114,TRANSPOSE(SAP_Speadsheet!$E$35:$BL$35))</f>
        <v>#REF!</v>
      </c>
      <c r="AR44" s="365" t="e" cm="1">
        <f t="array" aca="1" ref="AR44" ca="1">SUMPRODUCT(AR$55:AR$114,TRANSPOSE(SAP_Speadsheet!$E$35:$BL$35))</f>
        <v>#REF!</v>
      </c>
      <c r="AS44" s="365" t="e" cm="1">
        <f t="array" aca="1" ref="AS44" ca="1">SUMPRODUCT(AS$55:AS$114,TRANSPOSE(SAP_Speadsheet!$E$35:$BL$35))</f>
        <v>#REF!</v>
      </c>
      <c r="AT44" s="365" t="e" cm="1">
        <f t="array" aca="1" ref="AT44" ca="1">SUMPRODUCT(AT$55:AT$114,TRANSPOSE(SAP_Speadsheet!$E$35:$BL$35))</f>
        <v>#REF!</v>
      </c>
      <c r="AU44" s="365" t="e" cm="1">
        <f t="array" aca="1" ref="AU44" ca="1">SUMPRODUCT(AU$55:AU$114,TRANSPOSE(SAP_Speadsheet!$E$35:$BL$35))</f>
        <v>#REF!</v>
      </c>
      <c r="AV44" s="365" t="e" cm="1">
        <f t="array" aca="1" ref="AV44" ca="1">SUMPRODUCT(AV$55:AV$114,TRANSPOSE(SAP_Speadsheet!$E$35:$BL$35))</f>
        <v>#REF!</v>
      </c>
      <c r="AW44" s="365" t="e" cm="1">
        <f t="array" aca="1" ref="AW44" ca="1">SUMPRODUCT(AW$55:AW$114,TRANSPOSE(SAP_Speadsheet!$E$35:$BL$35))</f>
        <v>#REF!</v>
      </c>
      <c r="AX44" s="365" t="e" cm="1">
        <f t="array" aca="1" ref="AX44" ca="1">SUMPRODUCT(AX$55:AX$114,TRANSPOSE(SAP_Speadsheet!$E$35:$BL$35))</f>
        <v>#REF!</v>
      </c>
      <c r="AY44" s="365" t="e" cm="1">
        <f t="array" aca="1" ref="AY44" ca="1">SUMPRODUCT(AY$55:AY$114,TRANSPOSE(SAP_Speadsheet!$E$35:$BL$35))</f>
        <v>#REF!</v>
      </c>
      <c r="AZ44" s="365" t="e" cm="1">
        <f t="array" aca="1" ref="AZ44" ca="1">SUMPRODUCT(AZ$55:AZ$114,TRANSPOSE(SAP_Speadsheet!$E$35:$BL$35))</f>
        <v>#REF!</v>
      </c>
      <c r="BA44" s="365" t="e" cm="1">
        <f t="array" aca="1" ref="BA44" ca="1">SUMPRODUCT(BA$55:BA$114,TRANSPOSE(SAP_Speadsheet!$E$35:$BL$35))</f>
        <v>#REF!</v>
      </c>
      <c r="BB44" s="365" t="e" cm="1">
        <f t="array" aca="1" ref="BB44" ca="1">SUMPRODUCT(BB$55:BB$114,TRANSPOSE(SAP_Speadsheet!$E$35:$BL$35))</f>
        <v>#REF!</v>
      </c>
      <c r="BC44" s="365" t="e" cm="1">
        <f t="array" aca="1" ref="BC44" ca="1">SUMPRODUCT(BC$55:BC$114,TRANSPOSE(SAP_Speadsheet!$E$35:$BL$35))</f>
        <v>#REF!</v>
      </c>
      <c r="BD44" s="365" t="e" cm="1">
        <f t="array" aca="1" ref="BD44" ca="1">SUMPRODUCT(BD$55:BD$114,TRANSPOSE(SAP_Speadsheet!$E$35:$BL$35))</f>
        <v>#REF!</v>
      </c>
      <c r="BE44" s="365" t="e" cm="1">
        <f t="array" aca="1" ref="BE44" ca="1">SUMPRODUCT(BE$55:BE$114,TRANSPOSE(SAP_Speadsheet!$E$35:$BL$35))</f>
        <v>#REF!</v>
      </c>
      <c r="BF44" s="365" t="e" cm="1">
        <f t="array" aca="1" ref="BF44" ca="1">SUMPRODUCT(BF$55:BF$114,TRANSPOSE(SAP_Speadsheet!$E$35:$BL$35))</f>
        <v>#REF!</v>
      </c>
      <c r="BG44" s="365" t="e" cm="1">
        <f t="array" aca="1" ref="BG44" ca="1">SUMPRODUCT(BG$55:BG$114,TRANSPOSE(SAP_Speadsheet!$E$35:$BL$35))</f>
        <v>#REF!</v>
      </c>
      <c r="BH44" s="365" t="e" cm="1">
        <f t="array" aca="1" ref="BH44" ca="1">SUMPRODUCT(BH$55:BH$114,TRANSPOSE(SAP_Speadsheet!$E$35:$BL$35))</f>
        <v>#REF!</v>
      </c>
      <c r="BI44" s="365" t="e" cm="1">
        <f t="array" aca="1" ref="BI44" ca="1">SUMPRODUCT(BI$55:BI$114,TRANSPOSE(SAP_Speadsheet!$E$35:$BL$35))</f>
        <v>#REF!</v>
      </c>
    </row>
    <row r="45" spans="1:61" x14ac:dyDescent="0.15">
      <c r="A45" s="354" t="s">
        <v>372</v>
      </c>
      <c r="B45" s="365" cm="1">
        <f t="array" aca="1" ref="B45" ca="1">SUMPRODUCT(B$55:B$114,TRANSPOSE(SAP_Speadsheet!$E$36:$BL$36))</f>
        <v>0</v>
      </c>
      <c r="C45" s="365" cm="1">
        <f t="array" aca="1" ref="C45" ca="1">SUMPRODUCT(C$55:C$114,TRANSPOSE(SAP_Speadsheet!$E$36:$BL$36))</f>
        <v>0</v>
      </c>
      <c r="D45" s="365" cm="1">
        <f t="array" aca="1" ref="D45" ca="1">SUMPRODUCT(D$55:D$114,TRANSPOSE(SAP_Speadsheet!$E$36:$BL$36))</f>
        <v>0</v>
      </c>
      <c r="E45" s="365" cm="1">
        <f t="array" aca="1" ref="E45" ca="1">SUMPRODUCT(E$55:E$114,TRANSPOSE(SAP_Speadsheet!$E$36:$BL$36))</f>
        <v>0</v>
      </c>
      <c r="F45" s="365" cm="1">
        <f t="array" aca="1" ref="F45" ca="1">SUMPRODUCT(F$55:F$114,TRANSPOSE(SAP_Speadsheet!$E$36:$BL$36))</f>
        <v>0</v>
      </c>
      <c r="G45" s="365" cm="1">
        <f t="array" aca="1" ref="G45" ca="1">SUMPRODUCT(G$55:G$114,TRANSPOSE(SAP_Speadsheet!$E$36:$BL$36))</f>
        <v>0</v>
      </c>
      <c r="H45" s="365" t="e" cm="1">
        <f t="array" aca="1" ref="H45" ca="1">SUMPRODUCT(H$55:H$114,TRANSPOSE(SAP_Speadsheet!$E$36:$BL$36))</f>
        <v>#REF!</v>
      </c>
      <c r="I45" s="365" t="e" cm="1">
        <f t="array" aca="1" ref="I45" ca="1">SUMPRODUCT(I$55:I$114,TRANSPOSE(SAP_Speadsheet!$E$36:$BL$36))</f>
        <v>#REF!</v>
      </c>
      <c r="J45" s="365" t="e" cm="1">
        <f t="array" aca="1" ref="J45" ca="1">SUMPRODUCT(J$55:J$114,TRANSPOSE(SAP_Speadsheet!$E$36:$BL$36))</f>
        <v>#REF!</v>
      </c>
      <c r="K45" s="365" t="e" cm="1">
        <f t="array" aca="1" ref="K45" ca="1">SUMPRODUCT(K$55:K$114,TRANSPOSE(SAP_Speadsheet!$E$36:$BL$36))</f>
        <v>#REF!</v>
      </c>
      <c r="L45" s="365" t="e" cm="1">
        <f t="array" aca="1" ref="L45" ca="1">SUMPRODUCT(L$55:L$114,TRANSPOSE(SAP_Speadsheet!$E$36:$BL$36))</f>
        <v>#REF!</v>
      </c>
      <c r="M45" s="365" t="e" cm="1">
        <f t="array" aca="1" ref="M45" ca="1">SUMPRODUCT(M$55:M$114,TRANSPOSE(SAP_Speadsheet!$E$36:$BL$36))</f>
        <v>#REF!</v>
      </c>
      <c r="N45" s="365" t="e" cm="1">
        <f t="array" aca="1" ref="N45" ca="1">SUMPRODUCT(N$55:N$114,TRANSPOSE(SAP_Speadsheet!$E$36:$BL$36))</f>
        <v>#REF!</v>
      </c>
      <c r="O45" s="365" t="e" cm="1">
        <f t="array" aca="1" ref="O45" ca="1">SUMPRODUCT(O$55:O$114,TRANSPOSE(SAP_Speadsheet!$E$36:$BL$36))</f>
        <v>#REF!</v>
      </c>
      <c r="P45" s="365" t="e" cm="1">
        <f t="array" aca="1" ref="P45" ca="1">SUMPRODUCT(P$55:P$114,TRANSPOSE(SAP_Speadsheet!$E$36:$BL$36))</f>
        <v>#REF!</v>
      </c>
      <c r="Q45" s="365" t="e" cm="1">
        <f t="array" aca="1" ref="Q45" ca="1">SUMPRODUCT(Q$55:Q$114,TRANSPOSE(SAP_Speadsheet!$E$36:$BL$36))</f>
        <v>#REF!</v>
      </c>
      <c r="R45" s="365" t="e" cm="1">
        <f t="array" aca="1" ref="R45" ca="1">SUMPRODUCT(R$55:R$114,TRANSPOSE(SAP_Speadsheet!$E$36:$BL$36))</f>
        <v>#REF!</v>
      </c>
      <c r="S45" s="365" t="e" cm="1">
        <f t="array" aca="1" ref="S45" ca="1">SUMPRODUCT(S$55:S$114,TRANSPOSE(SAP_Speadsheet!$E$36:$BL$36))</f>
        <v>#REF!</v>
      </c>
      <c r="T45" s="365" t="e" cm="1">
        <f t="array" aca="1" ref="T45" ca="1">SUMPRODUCT(T$55:T$114,TRANSPOSE(SAP_Speadsheet!$E$36:$BL$36))</f>
        <v>#REF!</v>
      </c>
      <c r="U45" s="365" t="e" cm="1">
        <f t="array" aca="1" ref="U45" ca="1">SUMPRODUCT(U$55:U$114,TRANSPOSE(SAP_Speadsheet!$E$36:$BL$36))</f>
        <v>#REF!</v>
      </c>
      <c r="V45" s="365" t="e" cm="1">
        <f t="array" aca="1" ref="V45" ca="1">SUMPRODUCT(V$55:V$114,TRANSPOSE(SAP_Speadsheet!$E$36:$BL$36))</f>
        <v>#REF!</v>
      </c>
      <c r="W45" s="365" t="e" cm="1">
        <f t="array" aca="1" ref="W45" ca="1">SUMPRODUCT(W$55:W$114,TRANSPOSE(SAP_Speadsheet!$E$36:$BL$36))</f>
        <v>#REF!</v>
      </c>
      <c r="X45" s="365" t="e" cm="1">
        <f t="array" aca="1" ref="X45" ca="1">SUMPRODUCT(X$55:X$114,TRANSPOSE(SAP_Speadsheet!$E$36:$BL$36))</f>
        <v>#REF!</v>
      </c>
      <c r="Y45" s="365" t="e" cm="1">
        <f t="array" aca="1" ref="Y45" ca="1">SUMPRODUCT(Y$55:Y$114,TRANSPOSE(SAP_Speadsheet!$E$36:$BL$36))</f>
        <v>#REF!</v>
      </c>
      <c r="Z45" s="365" t="e" cm="1">
        <f t="array" aca="1" ref="Z45" ca="1">SUMPRODUCT(Z$55:Z$114,TRANSPOSE(SAP_Speadsheet!$E$36:$BL$36))</f>
        <v>#REF!</v>
      </c>
      <c r="AA45" s="365" t="e" cm="1">
        <f t="array" aca="1" ref="AA45" ca="1">SUMPRODUCT(AA$55:AA$114,TRANSPOSE(SAP_Speadsheet!$E$36:$BL$36))</f>
        <v>#REF!</v>
      </c>
      <c r="AB45" s="365" t="e" cm="1">
        <f t="array" aca="1" ref="AB45" ca="1">SUMPRODUCT(AB$55:AB$114,TRANSPOSE(SAP_Speadsheet!$E$36:$BL$36))</f>
        <v>#REF!</v>
      </c>
      <c r="AC45" s="365" t="e" cm="1">
        <f t="array" aca="1" ref="AC45" ca="1">SUMPRODUCT(AC$55:AC$114,TRANSPOSE(SAP_Speadsheet!$E$36:$BL$36))</f>
        <v>#REF!</v>
      </c>
      <c r="AD45" s="365" t="e" cm="1">
        <f t="array" aca="1" ref="AD45" ca="1">SUMPRODUCT(AD$55:AD$114,TRANSPOSE(SAP_Speadsheet!$E$36:$BL$36))</f>
        <v>#REF!</v>
      </c>
      <c r="AE45" s="365" t="e" cm="1">
        <f t="array" aca="1" ref="AE45" ca="1">SUMPRODUCT(AE$55:AE$114,TRANSPOSE(SAP_Speadsheet!$E$36:$BL$36))</f>
        <v>#REF!</v>
      </c>
      <c r="AF45" s="365" t="e" cm="1">
        <f t="array" aca="1" ref="AF45" ca="1">SUMPRODUCT(AF$55:AF$114,TRANSPOSE(SAP_Speadsheet!$E$36:$BL$36))</f>
        <v>#REF!</v>
      </c>
      <c r="AG45" s="365" t="e" cm="1">
        <f t="array" aca="1" ref="AG45" ca="1">SUMPRODUCT(AG$55:AG$114,TRANSPOSE(SAP_Speadsheet!$E$36:$BL$36))</f>
        <v>#REF!</v>
      </c>
      <c r="AH45" s="365" t="e" cm="1">
        <f t="array" aca="1" ref="AH45" ca="1">SUMPRODUCT(AH$55:AH$114,TRANSPOSE(SAP_Speadsheet!$E$36:$BL$36))</f>
        <v>#REF!</v>
      </c>
      <c r="AI45" s="365" t="e" cm="1">
        <f t="array" aca="1" ref="AI45" ca="1">SUMPRODUCT(AI$55:AI$114,TRANSPOSE(SAP_Speadsheet!$E$36:$BL$36))</f>
        <v>#REF!</v>
      </c>
      <c r="AJ45" s="365" t="e" cm="1">
        <f t="array" aca="1" ref="AJ45" ca="1">SUMPRODUCT(AJ$55:AJ$114,TRANSPOSE(SAP_Speadsheet!$E$36:$BL$36))</f>
        <v>#REF!</v>
      </c>
      <c r="AK45" s="365" t="e" cm="1">
        <f t="array" aca="1" ref="AK45" ca="1">SUMPRODUCT(AK$55:AK$114,TRANSPOSE(SAP_Speadsheet!$E$36:$BL$36))</f>
        <v>#REF!</v>
      </c>
      <c r="AL45" s="365" t="e" cm="1">
        <f t="array" aca="1" ref="AL45" ca="1">SUMPRODUCT(AL$55:AL$114,TRANSPOSE(SAP_Speadsheet!$E$36:$BL$36))</f>
        <v>#REF!</v>
      </c>
      <c r="AM45" s="365" t="e" cm="1">
        <f t="array" aca="1" ref="AM45" ca="1">SUMPRODUCT(AM$55:AM$114,TRANSPOSE(SAP_Speadsheet!$E$36:$BL$36))</f>
        <v>#REF!</v>
      </c>
      <c r="AN45" s="365" t="e" cm="1">
        <f t="array" aca="1" ref="AN45" ca="1">SUMPRODUCT(AN$55:AN$114,TRANSPOSE(SAP_Speadsheet!$E$36:$BL$36))</f>
        <v>#REF!</v>
      </c>
      <c r="AO45" s="365" t="e" cm="1">
        <f t="array" aca="1" ref="AO45" ca="1">SUMPRODUCT(AO$55:AO$114,TRANSPOSE(SAP_Speadsheet!$E$36:$BL$36))</f>
        <v>#REF!</v>
      </c>
      <c r="AP45" s="365" t="e" cm="1">
        <f t="array" aca="1" ref="AP45" ca="1">SUMPRODUCT(AP$55:AP$114,TRANSPOSE(SAP_Speadsheet!$E$36:$BL$36))</f>
        <v>#REF!</v>
      </c>
      <c r="AQ45" s="365" t="e" cm="1">
        <f t="array" aca="1" ref="AQ45" ca="1">SUMPRODUCT(AQ$55:AQ$114,TRANSPOSE(SAP_Speadsheet!$E$36:$BL$36))</f>
        <v>#REF!</v>
      </c>
      <c r="AR45" s="365" t="e" cm="1">
        <f t="array" aca="1" ref="AR45" ca="1">SUMPRODUCT(AR$55:AR$114,TRANSPOSE(SAP_Speadsheet!$E$36:$BL$36))</f>
        <v>#REF!</v>
      </c>
      <c r="AS45" s="365" t="e" cm="1">
        <f t="array" aca="1" ref="AS45" ca="1">SUMPRODUCT(AS$55:AS$114,TRANSPOSE(SAP_Speadsheet!$E$36:$BL$36))</f>
        <v>#REF!</v>
      </c>
      <c r="AT45" s="365" t="e" cm="1">
        <f t="array" aca="1" ref="AT45" ca="1">SUMPRODUCT(AT$55:AT$114,TRANSPOSE(SAP_Speadsheet!$E$36:$BL$36))</f>
        <v>#REF!</v>
      </c>
      <c r="AU45" s="365" t="e" cm="1">
        <f t="array" aca="1" ref="AU45" ca="1">SUMPRODUCT(AU$55:AU$114,TRANSPOSE(SAP_Speadsheet!$E$36:$BL$36))</f>
        <v>#REF!</v>
      </c>
      <c r="AV45" s="365" t="e" cm="1">
        <f t="array" aca="1" ref="AV45" ca="1">SUMPRODUCT(AV$55:AV$114,TRANSPOSE(SAP_Speadsheet!$E$36:$BL$36))</f>
        <v>#REF!</v>
      </c>
      <c r="AW45" s="365" t="e" cm="1">
        <f t="array" aca="1" ref="AW45" ca="1">SUMPRODUCT(AW$55:AW$114,TRANSPOSE(SAP_Speadsheet!$E$36:$BL$36))</f>
        <v>#REF!</v>
      </c>
      <c r="AX45" s="365" t="e" cm="1">
        <f t="array" aca="1" ref="AX45" ca="1">SUMPRODUCT(AX$55:AX$114,TRANSPOSE(SAP_Speadsheet!$E$36:$BL$36))</f>
        <v>#REF!</v>
      </c>
      <c r="AY45" s="365" t="e" cm="1">
        <f t="array" aca="1" ref="AY45" ca="1">SUMPRODUCT(AY$55:AY$114,TRANSPOSE(SAP_Speadsheet!$E$36:$BL$36))</f>
        <v>#REF!</v>
      </c>
      <c r="AZ45" s="365" t="e" cm="1">
        <f t="array" aca="1" ref="AZ45" ca="1">SUMPRODUCT(AZ$55:AZ$114,TRANSPOSE(SAP_Speadsheet!$E$36:$BL$36))</f>
        <v>#REF!</v>
      </c>
      <c r="BA45" s="365" t="e" cm="1">
        <f t="array" aca="1" ref="BA45" ca="1">SUMPRODUCT(BA$55:BA$114,TRANSPOSE(SAP_Speadsheet!$E$36:$BL$36))</f>
        <v>#REF!</v>
      </c>
      <c r="BB45" s="365" t="e" cm="1">
        <f t="array" aca="1" ref="BB45" ca="1">SUMPRODUCT(BB$55:BB$114,TRANSPOSE(SAP_Speadsheet!$E$36:$BL$36))</f>
        <v>#REF!</v>
      </c>
      <c r="BC45" s="365" t="e" cm="1">
        <f t="array" aca="1" ref="BC45" ca="1">SUMPRODUCT(BC$55:BC$114,TRANSPOSE(SAP_Speadsheet!$E$36:$BL$36))</f>
        <v>#REF!</v>
      </c>
      <c r="BD45" s="365" t="e" cm="1">
        <f t="array" aca="1" ref="BD45" ca="1">SUMPRODUCT(BD$55:BD$114,TRANSPOSE(SAP_Speadsheet!$E$36:$BL$36))</f>
        <v>#REF!</v>
      </c>
      <c r="BE45" s="365" t="e" cm="1">
        <f t="array" aca="1" ref="BE45" ca="1">SUMPRODUCT(BE$55:BE$114,TRANSPOSE(SAP_Speadsheet!$E$36:$BL$36))</f>
        <v>#REF!</v>
      </c>
      <c r="BF45" s="365" t="e" cm="1">
        <f t="array" aca="1" ref="BF45" ca="1">SUMPRODUCT(BF$55:BF$114,TRANSPOSE(SAP_Speadsheet!$E$36:$BL$36))</f>
        <v>#REF!</v>
      </c>
      <c r="BG45" s="365" t="e" cm="1">
        <f t="array" aca="1" ref="BG45" ca="1">SUMPRODUCT(BG$55:BG$114,TRANSPOSE(SAP_Speadsheet!$E$36:$BL$36))</f>
        <v>#REF!</v>
      </c>
      <c r="BH45" s="365" t="e" cm="1">
        <f t="array" aca="1" ref="BH45" ca="1">SUMPRODUCT(BH$55:BH$114,TRANSPOSE(SAP_Speadsheet!$E$36:$BL$36))</f>
        <v>#REF!</v>
      </c>
      <c r="BI45" s="365" t="e" cm="1">
        <f t="array" aca="1" ref="BI45" ca="1">SUMPRODUCT(BI$55:BI$114,TRANSPOSE(SAP_Speadsheet!$E$36:$BL$36))</f>
        <v>#REF!</v>
      </c>
    </row>
    <row r="46" spans="1:61" x14ac:dyDescent="0.15">
      <c r="A46" s="354" t="s">
        <v>373</v>
      </c>
      <c r="B46" s="365" cm="1">
        <f t="array" aca="1" ref="B46" ca="1">SUMPRODUCT(B$55:B$114,TRANSPOSE(SAP_Speadsheet!$E$37:$BL$37))</f>
        <v>0</v>
      </c>
      <c r="C46" s="365" cm="1">
        <f t="array" aca="1" ref="C46" ca="1">SUMPRODUCT(C$55:C$114,TRANSPOSE(SAP_Speadsheet!$E$37:$BL$37))</f>
        <v>0</v>
      </c>
      <c r="D46" s="365" cm="1">
        <f t="array" aca="1" ref="D46" ca="1">SUMPRODUCT(D$55:D$114,TRANSPOSE(SAP_Speadsheet!$E$37:$BL$37))</f>
        <v>0</v>
      </c>
      <c r="E46" s="365" cm="1">
        <f t="array" aca="1" ref="E46" ca="1">SUMPRODUCT(E$55:E$114,TRANSPOSE(SAP_Speadsheet!$E$37:$BL$37))</f>
        <v>0</v>
      </c>
      <c r="F46" s="365" cm="1">
        <f t="array" aca="1" ref="F46" ca="1">SUMPRODUCT(F$55:F$114,TRANSPOSE(SAP_Speadsheet!$E$37:$BL$37))</f>
        <v>0</v>
      </c>
      <c r="G46" s="365" cm="1">
        <f t="array" aca="1" ref="G46" ca="1">SUMPRODUCT(G$55:G$114,TRANSPOSE(SAP_Speadsheet!$E$37:$BL$37))</f>
        <v>0</v>
      </c>
      <c r="H46" s="365" t="e" cm="1">
        <f t="array" aca="1" ref="H46" ca="1">SUMPRODUCT(H$55:H$114,TRANSPOSE(SAP_Speadsheet!$E$37:$BL$37))</f>
        <v>#REF!</v>
      </c>
      <c r="I46" s="365" t="e" cm="1">
        <f t="array" aca="1" ref="I46" ca="1">SUMPRODUCT(I$55:I$114,TRANSPOSE(SAP_Speadsheet!$E$37:$BL$37))</f>
        <v>#REF!</v>
      </c>
      <c r="J46" s="365" t="e" cm="1">
        <f t="array" aca="1" ref="J46" ca="1">SUMPRODUCT(J$55:J$114,TRANSPOSE(SAP_Speadsheet!$E$37:$BL$37))</f>
        <v>#REF!</v>
      </c>
      <c r="K46" s="365" t="e" cm="1">
        <f t="array" aca="1" ref="K46" ca="1">SUMPRODUCT(K$55:K$114,TRANSPOSE(SAP_Speadsheet!$E$37:$BL$37))</f>
        <v>#REF!</v>
      </c>
      <c r="L46" s="365" t="e" cm="1">
        <f t="array" aca="1" ref="L46" ca="1">SUMPRODUCT(L$55:L$114,TRANSPOSE(SAP_Speadsheet!$E$37:$BL$37))</f>
        <v>#REF!</v>
      </c>
      <c r="M46" s="365" t="e" cm="1">
        <f t="array" aca="1" ref="M46" ca="1">SUMPRODUCT(M$55:M$114,TRANSPOSE(SAP_Speadsheet!$E$37:$BL$37))</f>
        <v>#REF!</v>
      </c>
      <c r="N46" s="365" t="e" cm="1">
        <f t="array" aca="1" ref="N46" ca="1">SUMPRODUCT(N$55:N$114,TRANSPOSE(SAP_Speadsheet!$E$37:$BL$37))</f>
        <v>#REF!</v>
      </c>
      <c r="O46" s="365" t="e" cm="1">
        <f t="array" aca="1" ref="O46" ca="1">SUMPRODUCT(O$55:O$114,TRANSPOSE(SAP_Speadsheet!$E$37:$BL$37))</f>
        <v>#REF!</v>
      </c>
      <c r="P46" s="365" t="e" cm="1">
        <f t="array" aca="1" ref="P46" ca="1">SUMPRODUCT(P$55:P$114,TRANSPOSE(SAP_Speadsheet!$E$37:$BL$37))</f>
        <v>#REF!</v>
      </c>
      <c r="Q46" s="365" t="e" cm="1">
        <f t="array" aca="1" ref="Q46" ca="1">SUMPRODUCT(Q$55:Q$114,TRANSPOSE(SAP_Speadsheet!$E$37:$BL$37))</f>
        <v>#REF!</v>
      </c>
      <c r="R46" s="365" t="e" cm="1">
        <f t="array" aca="1" ref="R46" ca="1">SUMPRODUCT(R$55:R$114,TRANSPOSE(SAP_Speadsheet!$E$37:$BL$37))</f>
        <v>#REF!</v>
      </c>
      <c r="S46" s="365" t="e" cm="1">
        <f t="array" aca="1" ref="S46" ca="1">SUMPRODUCT(S$55:S$114,TRANSPOSE(SAP_Speadsheet!$E$37:$BL$37))</f>
        <v>#REF!</v>
      </c>
      <c r="T46" s="365" t="e" cm="1">
        <f t="array" aca="1" ref="T46" ca="1">SUMPRODUCT(T$55:T$114,TRANSPOSE(SAP_Speadsheet!$E$37:$BL$37))</f>
        <v>#REF!</v>
      </c>
      <c r="U46" s="365" t="e" cm="1">
        <f t="array" aca="1" ref="U46" ca="1">SUMPRODUCT(U$55:U$114,TRANSPOSE(SAP_Speadsheet!$E$37:$BL$37))</f>
        <v>#REF!</v>
      </c>
      <c r="V46" s="365" t="e" cm="1">
        <f t="array" aca="1" ref="V46" ca="1">SUMPRODUCT(V$55:V$114,TRANSPOSE(SAP_Speadsheet!$E$37:$BL$37))</f>
        <v>#REF!</v>
      </c>
      <c r="W46" s="365" t="e" cm="1">
        <f t="array" aca="1" ref="W46" ca="1">SUMPRODUCT(W$55:W$114,TRANSPOSE(SAP_Speadsheet!$E$37:$BL$37))</f>
        <v>#REF!</v>
      </c>
      <c r="X46" s="365" t="e" cm="1">
        <f t="array" aca="1" ref="X46" ca="1">SUMPRODUCT(X$55:X$114,TRANSPOSE(SAP_Speadsheet!$E$37:$BL$37))</f>
        <v>#REF!</v>
      </c>
      <c r="Y46" s="365" t="e" cm="1">
        <f t="array" aca="1" ref="Y46" ca="1">SUMPRODUCT(Y$55:Y$114,TRANSPOSE(SAP_Speadsheet!$E$37:$BL$37))</f>
        <v>#REF!</v>
      </c>
      <c r="Z46" s="365" t="e" cm="1">
        <f t="array" aca="1" ref="Z46" ca="1">SUMPRODUCT(Z$55:Z$114,TRANSPOSE(SAP_Speadsheet!$E$37:$BL$37))</f>
        <v>#REF!</v>
      </c>
      <c r="AA46" s="365" t="e" cm="1">
        <f t="array" aca="1" ref="AA46" ca="1">SUMPRODUCT(AA$55:AA$114,TRANSPOSE(SAP_Speadsheet!$E$37:$BL$37))</f>
        <v>#REF!</v>
      </c>
      <c r="AB46" s="365" t="e" cm="1">
        <f t="array" aca="1" ref="AB46" ca="1">SUMPRODUCT(AB$55:AB$114,TRANSPOSE(SAP_Speadsheet!$E$37:$BL$37))</f>
        <v>#REF!</v>
      </c>
      <c r="AC46" s="365" t="e" cm="1">
        <f t="array" aca="1" ref="AC46" ca="1">SUMPRODUCT(AC$55:AC$114,TRANSPOSE(SAP_Speadsheet!$E$37:$BL$37))</f>
        <v>#REF!</v>
      </c>
      <c r="AD46" s="365" t="e" cm="1">
        <f t="array" aca="1" ref="AD46" ca="1">SUMPRODUCT(AD$55:AD$114,TRANSPOSE(SAP_Speadsheet!$E$37:$BL$37))</f>
        <v>#REF!</v>
      </c>
      <c r="AE46" s="365" t="e" cm="1">
        <f t="array" aca="1" ref="AE46" ca="1">SUMPRODUCT(AE$55:AE$114,TRANSPOSE(SAP_Speadsheet!$E$37:$BL$37))</f>
        <v>#REF!</v>
      </c>
      <c r="AF46" s="365" t="e" cm="1">
        <f t="array" aca="1" ref="AF46" ca="1">SUMPRODUCT(AF$55:AF$114,TRANSPOSE(SAP_Speadsheet!$E$37:$BL$37))</f>
        <v>#REF!</v>
      </c>
      <c r="AG46" s="365" t="e" cm="1">
        <f t="array" aca="1" ref="AG46" ca="1">SUMPRODUCT(AG$55:AG$114,TRANSPOSE(SAP_Speadsheet!$E$37:$BL$37))</f>
        <v>#REF!</v>
      </c>
      <c r="AH46" s="365" t="e" cm="1">
        <f t="array" aca="1" ref="AH46" ca="1">SUMPRODUCT(AH$55:AH$114,TRANSPOSE(SAP_Speadsheet!$E$37:$BL$37))</f>
        <v>#REF!</v>
      </c>
      <c r="AI46" s="365" t="e" cm="1">
        <f t="array" aca="1" ref="AI46" ca="1">SUMPRODUCT(AI$55:AI$114,TRANSPOSE(SAP_Speadsheet!$E$37:$BL$37))</f>
        <v>#REF!</v>
      </c>
      <c r="AJ46" s="365" t="e" cm="1">
        <f t="array" aca="1" ref="AJ46" ca="1">SUMPRODUCT(AJ$55:AJ$114,TRANSPOSE(SAP_Speadsheet!$E$37:$BL$37))</f>
        <v>#REF!</v>
      </c>
      <c r="AK46" s="365" t="e" cm="1">
        <f t="array" aca="1" ref="AK46" ca="1">SUMPRODUCT(AK$55:AK$114,TRANSPOSE(SAP_Speadsheet!$E$37:$BL$37))</f>
        <v>#REF!</v>
      </c>
      <c r="AL46" s="365" t="e" cm="1">
        <f t="array" aca="1" ref="AL46" ca="1">SUMPRODUCT(AL$55:AL$114,TRANSPOSE(SAP_Speadsheet!$E$37:$BL$37))</f>
        <v>#REF!</v>
      </c>
      <c r="AM46" s="365" t="e" cm="1">
        <f t="array" aca="1" ref="AM46" ca="1">SUMPRODUCT(AM$55:AM$114,TRANSPOSE(SAP_Speadsheet!$E$37:$BL$37))</f>
        <v>#REF!</v>
      </c>
      <c r="AN46" s="365" t="e" cm="1">
        <f t="array" aca="1" ref="AN46" ca="1">SUMPRODUCT(AN$55:AN$114,TRANSPOSE(SAP_Speadsheet!$E$37:$BL$37))</f>
        <v>#REF!</v>
      </c>
      <c r="AO46" s="365" t="e" cm="1">
        <f t="array" aca="1" ref="AO46" ca="1">SUMPRODUCT(AO$55:AO$114,TRANSPOSE(SAP_Speadsheet!$E$37:$BL$37))</f>
        <v>#REF!</v>
      </c>
      <c r="AP46" s="365" t="e" cm="1">
        <f t="array" aca="1" ref="AP46" ca="1">SUMPRODUCT(AP$55:AP$114,TRANSPOSE(SAP_Speadsheet!$E$37:$BL$37))</f>
        <v>#REF!</v>
      </c>
      <c r="AQ46" s="365" t="e" cm="1">
        <f t="array" aca="1" ref="AQ46" ca="1">SUMPRODUCT(AQ$55:AQ$114,TRANSPOSE(SAP_Speadsheet!$E$37:$BL$37))</f>
        <v>#REF!</v>
      </c>
      <c r="AR46" s="365" t="e" cm="1">
        <f t="array" aca="1" ref="AR46" ca="1">SUMPRODUCT(AR$55:AR$114,TRANSPOSE(SAP_Speadsheet!$E$37:$BL$37))</f>
        <v>#REF!</v>
      </c>
      <c r="AS46" s="365" t="e" cm="1">
        <f t="array" aca="1" ref="AS46" ca="1">SUMPRODUCT(AS$55:AS$114,TRANSPOSE(SAP_Speadsheet!$E$37:$BL$37))</f>
        <v>#REF!</v>
      </c>
      <c r="AT46" s="365" t="e" cm="1">
        <f t="array" aca="1" ref="AT46" ca="1">SUMPRODUCT(AT$55:AT$114,TRANSPOSE(SAP_Speadsheet!$E$37:$BL$37))</f>
        <v>#REF!</v>
      </c>
      <c r="AU46" s="365" t="e" cm="1">
        <f t="array" aca="1" ref="AU46" ca="1">SUMPRODUCT(AU$55:AU$114,TRANSPOSE(SAP_Speadsheet!$E$37:$BL$37))</f>
        <v>#REF!</v>
      </c>
      <c r="AV46" s="365" t="e" cm="1">
        <f t="array" aca="1" ref="AV46" ca="1">SUMPRODUCT(AV$55:AV$114,TRANSPOSE(SAP_Speadsheet!$E$37:$BL$37))</f>
        <v>#REF!</v>
      </c>
      <c r="AW46" s="365" t="e" cm="1">
        <f t="array" aca="1" ref="AW46" ca="1">SUMPRODUCT(AW$55:AW$114,TRANSPOSE(SAP_Speadsheet!$E$37:$BL$37))</f>
        <v>#REF!</v>
      </c>
      <c r="AX46" s="365" t="e" cm="1">
        <f t="array" aca="1" ref="AX46" ca="1">SUMPRODUCT(AX$55:AX$114,TRANSPOSE(SAP_Speadsheet!$E$37:$BL$37))</f>
        <v>#REF!</v>
      </c>
      <c r="AY46" s="365" t="e" cm="1">
        <f t="array" aca="1" ref="AY46" ca="1">SUMPRODUCT(AY$55:AY$114,TRANSPOSE(SAP_Speadsheet!$E$37:$BL$37))</f>
        <v>#REF!</v>
      </c>
      <c r="AZ46" s="365" t="e" cm="1">
        <f t="array" aca="1" ref="AZ46" ca="1">SUMPRODUCT(AZ$55:AZ$114,TRANSPOSE(SAP_Speadsheet!$E$37:$BL$37))</f>
        <v>#REF!</v>
      </c>
      <c r="BA46" s="365" t="e" cm="1">
        <f t="array" aca="1" ref="BA46" ca="1">SUMPRODUCT(BA$55:BA$114,TRANSPOSE(SAP_Speadsheet!$E$37:$BL$37))</f>
        <v>#REF!</v>
      </c>
      <c r="BB46" s="365" t="e" cm="1">
        <f t="array" aca="1" ref="BB46" ca="1">SUMPRODUCT(BB$55:BB$114,TRANSPOSE(SAP_Speadsheet!$E$37:$BL$37))</f>
        <v>#REF!</v>
      </c>
      <c r="BC46" s="365" t="e" cm="1">
        <f t="array" aca="1" ref="BC46" ca="1">SUMPRODUCT(BC$55:BC$114,TRANSPOSE(SAP_Speadsheet!$E$37:$BL$37))</f>
        <v>#REF!</v>
      </c>
      <c r="BD46" s="365" t="e" cm="1">
        <f t="array" aca="1" ref="BD46" ca="1">SUMPRODUCT(BD$55:BD$114,TRANSPOSE(SAP_Speadsheet!$E$37:$BL$37))</f>
        <v>#REF!</v>
      </c>
      <c r="BE46" s="365" t="e" cm="1">
        <f t="array" aca="1" ref="BE46" ca="1">SUMPRODUCT(BE$55:BE$114,TRANSPOSE(SAP_Speadsheet!$E$37:$BL$37))</f>
        <v>#REF!</v>
      </c>
      <c r="BF46" s="365" t="e" cm="1">
        <f t="array" aca="1" ref="BF46" ca="1">SUMPRODUCT(BF$55:BF$114,TRANSPOSE(SAP_Speadsheet!$E$37:$BL$37))</f>
        <v>#REF!</v>
      </c>
      <c r="BG46" s="365" t="e" cm="1">
        <f t="array" aca="1" ref="BG46" ca="1">SUMPRODUCT(BG$55:BG$114,TRANSPOSE(SAP_Speadsheet!$E$37:$BL$37))</f>
        <v>#REF!</v>
      </c>
      <c r="BH46" s="365" t="e" cm="1">
        <f t="array" aca="1" ref="BH46" ca="1">SUMPRODUCT(BH$55:BH$114,TRANSPOSE(SAP_Speadsheet!$E$37:$BL$37))</f>
        <v>#REF!</v>
      </c>
      <c r="BI46" s="365" t="e" cm="1">
        <f t="array" aca="1" ref="BI46" ca="1">SUMPRODUCT(BI$55:BI$114,TRANSPOSE(SAP_Speadsheet!$E$37:$BL$37))</f>
        <v>#REF!</v>
      </c>
    </row>
    <row r="47" spans="1:61" x14ac:dyDescent="0.15">
      <c r="A47" s="354" t="s">
        <v>374</v>
      </c>
      <c r="B47" s="365" cm="1">
        <f t="array" aca="1" ref="B47" ca="1">SUMPRODUCT(B$55:B$114,TRANSPOSE(SAP_Speadsheet!$E$38:$BL$38))</f>
        <v>0</v>
      </c>
      <c r="C47" s="365" cm="1">
        <f t="array" aca="1" ref="C47" ca="1">SUMPRODUCT(C$55:C$114,TRANSPOSE(SAP_Speadsheet!$E$38:$BL$38))</f>
        <v>0</v>
      </c>
      <c r="D47" s="365" cm="1">
        <f t="array" aca="1" ref="D47" ca="1">SUMPRODUCT(D$55:D$114,TRANSPOSE(SAP_Speadsheet!$E$38:$BL$38))</f>
        <v>0</v>
      </c>
      <c r="E47" s="365" cm="1">
        <f t="array" aca="1" ref="E47" ca="1">SUMPRODUCT(E$55:E$114,TRANSPOSE(SAP_Speadsheet!$E$38:$BL$38))</f>
        <v>0</v>
      </c>
      <c r="F47" s="365" cm="1">
        <f t="array" aca="1" ref="F47" ca="1">SUMPRODUCT(F$55:F$114,TRANSPOSE(SAP_Speadsheet!$E$38:$BL$38))</f>
        <v>0</v>
      </c>
      <c r="G47" s="365" cm="1">
        <f t="array" aca="1" ref="G47" ca="1">SUMPRODUCT(G$55:G$114,TRANSPOSE(SAP_Speadsheet!$E$38:$BL$38))</f>
        <v>0</v>
      </c>
      <c r="H47" s="365" t="e" cm="1">
        <f t="array" aca="1" ref="H47" ca="1">SUMPRODUCT(H$55:H$114,TRANSPOSE(SAP_Speadsheet!$E$38:$BL$38))</f>
        <v>#REF!</v>
      </c>
      <c r="I47" s="365" t="e" cm="1">
        <f t="array" aca="1" ref="I47" ca="1">SUMPRODUCT(I$55:I$114,TRANSPOSE(SAP_Speadsheet!$E$38:$BL$38))</f>
        <v>#REF!</v>
      </c>
      <c r="J47" s="365" t="e" cm="1">
        <f t="array" aca="1" ref="J47" ca="1">SUMPRODUCT(J$55:J$114,TRANSPOSE(SAP_Speadsheet!$E$38:$BL$38))</f>
        <v>#REF!</v>
      </c>
      <c r="K47" s="365" t="e" cm="1">
        <f t="array" aca="1" ref="K47" ca="1">SUMPRODUCT(K$55:K$114,TRANSPOSE(SAP_Speadsheet!$E$38:$BL$38))</f>
        <v>#REF!</v>
      </c>
      <c r="L47" s="365" t="e" cm="1">
        <f t="array" aca="1" ref="L47" ca="1">SUMPRODUCT(L$55:L$114,TRANSPOSE(SAP_Speadsheet!$E$38:$BL$38))</f>
        <v>#REF!</v>
      </c>
      <c r="M47" s="365" t="e" cm="1">
        <f t="array" aca="1" ref="M47" ca="1">SUMPRODUCT(M$55:M$114,TRANSPOSE(SAP_Speadsheet!$E$38:$BL$38))</f>
        <v>#REF!</v>
      </c>
      <c r="N47" s="365" t="e" cm="1">
        <f t="array" aca="1" ref="N47" ca="1">SUMPRODUCT(N$55:N$114,TRANSPOSE(SAP_Speadsheet!$E$38:$BL$38))</f>
        <v>#REF!</v>
      </c>
      <c r="O47" s="365" t="e" cm="1">
        <f t="array" aca="1" ref="O47" ca="1">SUMPRODUCT(O$55:O$114,TRANSPOSE(SAP_Speadsheet!$E$38:$BL$38))</f>
        <v>#REF!</v>
      </c>
      <c r="P47" s="365" t="e" cm="1">
        <f t="array" aca="1" ref="P47" ca="1">SUMPRODUCT(P$55:P$114,TRANSPOSE(SAP_Speadsheet!$E$38:$BL$38))</f>
        <v>#REF!</v>
      </c>
      <c r="Q47" s="365" t="e" cm="1">
        <f t="array" aca="1" ref="Q47" ca="1">SUMPRODUCT(Q$55:Q$114,TRANSPOSE(SAP_Speadsheet!$E$38:$BL$38))</f>
        <v>#REF!</v>
      </c>
      <c r="R47" s="365" t="e" cm="1">
        <f t="array" aca="1" ref="R47" ca="1">SUMPRODUCT(R$55:R$114,TRANSPOSE(SAP_Speadsheet!$E$38:$BL$38))</f>
        <v>#REF!</v>
      </c>
      <c r="S47" s="365" t="e" cm="1">
        <f t="array" aca="1" ref="S47" ca="1">SUMPRODUCT(S$55:S$114,TRANSPOSE(SAP_Speadsheet!$E$38:$BL$38))</f>
        <v>#REF!</v>
      </c>
      <c r="T47" s="365" t="e" cm="1">
        <f t="array" aca="1" ref="T47" ca="1">SUMPRODUCT(T$55:T$114,TRANSPOSE(SAP_Speadsheet!$E$38:$BL$38))</f>
        <v>#REF!</v>
      </c>
      <c r="U47" s="365" t="e" cm="1">
        <f t="array" aca="1" ref="U47" ca="1">SUMPRODUCT(U$55:U$114,TRANSPOSE(SAP_Speadsheet!$E$38:$BL$38))</f>
        <v>#REF!</v>
      </c>
      <c r="V47" s="365" t="e" cm="1">
        <f t="array" aca="1" ref="V47" ca="1">SUMPRODUCT(V$55:V$114,TRANSPOSE(SAP_Speadsheet!$E$38:$BL$38))</f>
        <v>#REF!</v>
      </c>
      <c r="W47" s="365" t="e" cm="1">
        <f t="array" aca="1" ref="W47" ca="1">SUMPRODUCT(W$55:W$114,TRANSPOSE(SAP_Speadsheet!$E$38:$BL$38))</f>
        <v>#REF!</v>
      </c>
      <c r="X47" s="365" t="e" cm="1">
        <f t="array" aca="1" ref="X47" ca="1">SUMPRODUCT(X$55:X$114,TRANSPOSE(SAP_Speadsheet!$E$38:$BL$38))</f>
        <v>#REF!</v>
      </c>
      <c r="Y47" s="365" t="e" cm="1">
        <f t="array" aca="1" ref="Y47" ca="1">SUMPRODUCT(Y$55:Y$114,TRANSPOSE(SAP_Speadsheet!$E$38:$BL$38))</f>
        <v>#REF!</v>
      </c>
      <c r="Z47" s="365" t="e" cm="1">
        <f t="array" aca="1" ref="Z47" ca="1">SUMPRODUCT(Z$55:Z$114,TRANSPOSE(SAP_Speadsheet!$E$38:$BL$38))</f>
        <v>#REF!</v>
      </c>
      <c r="AA47" s="365" t="e" cm="1">
        <f t="array" aca="1" ref="AA47" ca="1">SUMPRODUCT(AA$55:AA$114,TRANSPOSE(SAP_Speadsheet!$E$38:$BL$38))</f>
        <v>#REF!</v>
      </c>
      <c r="AB47" s="365" t="e" cm="1">
        <f t="array" aca="1" ref="AB47" ca="1">SUMPRODUCT(AB$55:AB$114,TRANSPOSE(SAP_Speadsheet!$E$38:$BL$38))</f>
        <v>#REF!</v>
      </c>
      <c r="AC47" s="365" t="e" cm="1">
        <f t="array" aca="1" ref="AC47" ca="1">SUMPRODUCT(AC$55:AC$114,TRANSPOSE(SAP_Speadsheet!$E$38:$BL$38))</f>
        <v>#REF!</v>
      </c>
      <c r="AD47" s="365" t="e" cm="1">
        <f t="array" aca="1" ref="AD47" ca="1">SUMPRODUCT(AD$55:AD$114,TRANSPOSE(SAP_Speadsheet!$E$38:$BL$38))</f>
        <v>#REF!</v>
      </c>
      <c r="AE47" s="365" t="e" cm="1">
        <f t="array" aca="1" ref="AE47" ca="1">SUMPRODUCT(AE$55:AE$114,TRANSPOSE(SAP_Speadsheet!$E$38:$BL$38))</f>
        <v>#REF!</v>
      </c>
      <c r="AF47" s="365" t="e" cm="1">
        <f t="array" aca="1" ref="AF47" ca="1">SUMPRODUCT(AF$55:AF$114,TRANSPOSE(SAP_Speadsheet!$E$38:$BL$38))</f>
        <v>#REF!</v>
      </c>
      <c r="AG47" s="365" t="e" cm="1">
        <f t="array" aca="1" ref="AG47" ca="1">SUMPRODUCT(AG$55:AG$114,TRANSPOSE(SAP_Speadsheet!$E$38:$BL$38))</f>
        <v>#REF!</v>
      </c>
      <c r="AH47" s="365" t="e" cm="1">
        <f t="array" aca="1" ref="AH47" ca="1">SUMPRODUCT(AH$55:AH$114,TRANSPOSE(SAP_Speadsheet!$E$38:$BL$38))</f>
        <v>#REF!</v>
      </c>
      <c r="AI47" s="365" t="e" cm="1">
        <f t="array" aca="1" ref="AI47" ca="1">SUMPRODUCT(AI$55:AI$114,TRANSPOSE(SAP_Speadsheet!$E$38:$BL$38))</f>
        <v>#REF!</v>
      </c>
      <c r="AJ47" s="365" t="e" cm="1">
        <f t="array" aca="1" ref="AJ47" ca="1">SUMPRODUCT(AJ$55:AJ$114,TRANSPOSE(SAP_Speadsheet!$E$38:$BL$38))</f>
        <v>#REF!</v>
      </c>
      <c r="AK47" s="365" t="e" cm="1">
        <f t="array" aca="1" ref="AK47" ca="1">SUMPRODUCT(AK$55:AK$114,TRANSPOSE(SAP_Speadsheet!$E$38:$BL$38))</f>
        <v>#REF!</v>
      </c>
      <c r="AL47" s="365" t="e" cm="1">
        <f t="array" aca="1" ref="AL47" ca="1">SUMPRODUCT(AL$55:AL$114,TRANSPOSE(SAP_Speadsheet!$E$38:$BL$38))</f>
        <v>#REF!</v>
      </c>
      <c r="AM47" s="365" t="e" cm="1">
        <f t="array" aca="1" ref="AM47" ca="1">SUMPRODUCT(AM$55:AM$114,TRANSPOSE(SAP_Speadsheet!$E$38:$BL$38))</f>
        <v>#REF!</v>
      </c>
      <c r="AN47" s="365" t="e" cm="1">
        <f t="array" aca="1" ref="AN47" ca="1">SUMPRODUCT(AN$55:AN$114,TRANSPOSE(SAP_Speadsheet!$E$38:$BL$38))</f>
        <v>#REF!</v>
      </c>
      <c r="AO47" s="365" t="e" cm="1">
        <f t="array" aca="1" ref="AO47" ca="1">SUMPRODUCT(AO$55:AO$114,TRANSPOSE(SAP_Speadsheet!$E$38:$BL$38))</f>
        <v>#REF!</v>
      </c>
      <c r="AP47" s="365" t="e" cm="1">
        <f t="array" aca="1" ref="AP47" ca="1">SUMPRODUCT(AP$55:AP$114,TRANSPOSE(SAP_Speadsheet!$E$38:$BL$38))</f>
        <v>#REF!</v>
      </c>
      <c r="AQ47" s="365" t="e" cm="1">
        <f t="array" aca="1" ref="AQ47" ca="1">SUMPRODUCT(AQ$55:AQ$114,TRANSPOSE(SAP_Speadsheet!$E$38:$BL$38))</f>
        <v>#REF!</v>
      </c>
      <c r="AR47" s="365" t="e" cm="1">
        <f t="array" aca="1" ref="AR47" ca="1">SUMPRODUCT(AR$55:AR$114,TRANSPOSE(SAP_Speadsheet!$E$38:$BL$38))</f>
        <v>#REF!</v>
      </c>
      <c r="AS47" s="365" t="e" cm="1">
        <f t="array" aca="1" ref="AS47" ca="1">SUMPRODUCT(AS$55:AS$114,TRANSPOSE(SAP_Speadsheet!$E$38:$BL$38))</f>
        <v>#REF!</v>
      </c>
      <c r="AT47" s="365" t="e" cm="1">
        <f t="array" aca="1" ref="AT47" ca="1">SUMPRODUCT(AT$55:AT$114,TRANSPOSE(SAP_Speadsheet!$E$38:$BL$38))</f>
        <v>#REF!</v>
      </c>
      <c r="AU47" s="365" t="e" cm="1">
        <f t="array" aca="1" ref="AU47" ca="1">SUMPRODUCT(AU$55:AU$114,TRANSPOSE(SAP_Speadsheet!$E$38:$BL$38))</f>
        <v>#REF!</v>
      </c>
      <c r="AV47" s="365" t="e" cm="1">
        <f t="array" aca="1" ref="AV47" ca="1">SUMPRODUCT(AV$55:AV$114,TRANSPOSE(SAP_Speadsheet!$E$38:$BL$38))</f>
        <v>#REF!</v>
      </c>
      <c r="AW47" s="365" t="e" cm="1">
        <f t="array" aca="1" ref="AW47" ca="1">SUMPRODUCT(AW$55:AW$114,TRANSPOSE(SAP_Speadsheet!$E$38:$BL$38))</f>
        <v>#REF!</v>
      </c>
      <c r="AX47" s="365" t="e" cm="1">
        <f t="array" aca="1" ref="AX47" ca="1">SUMPRODUCT(AX$55:AX$114,TRANSPOSE(SAP_Speadsheet!$E$38:$BL$38))</f>
        <v>#REF!</v>
      </c>
      <c r="AY47" s="365" t="e" cm="1">
        <f t="array" aca="1" ref="AY47" ca="1">SUMPRODUCT(AY$55:AY$114,TRANSPOSE(SAP_Speadsheet!$E$38:$BL$38))</f>
        <v>#REF!</v>
      </c>
      <c r="AZ47" s="365" t="e" cm="1">
        <f t="array" aca="1" ref="AZ47" ca="1">SUMPRODUCT(AZ$55:AZ$114,TRANSPOSE(SAP_Speadsheet!$E$38:$BL$38))</f>
        <v>#REF!</v>
      </c>
      <c r="BA47" s="365" t="e" cm="1">
        <f t="array" aca="1" ref="BA47" ca="1">SUMPRODUCT(BA$55:BA$114,TRANSPOSE(SAP_Speadsheet!$E$38:$BL$38))</f>
        <v>#REF!</v>
      </c>
      <c r="BB47" s="365" t="e" cm="1">
        <f t="array" aca="1" ref="BB47" ca="1">SUMPRODUCT(BB$55:BB$114,TRANSPOSE(SAP_Speadsheet!$E$38:$BL$38))</f>
        <v>#REF!</v>
      </c>
      <c r="BC47" s="365" t="e" cm="1">
        <f t="array" aca="1" ref="BC47" ca="1">SUMPRODUCT(BC$55:BC$114,TRANSPOSE(SAP_Speadsheet!$E$38:$BL$38))</f>
        <v>#REF!</v>
      </c>
      <c r="BD47" s="365" t="e" cm="1">
        <f t="array" aca="1" ref="BD47" ca="1">SUMPRODUCT(BD$55:BD$114,TRANSPOSE(SAP_Speadsheet!$E$38:$BL$38))</f>
        <v>#REF!</v>
      </c>
      <c r="BE47" s="365" t="e" cm="1">
        <f t="array" aca="1" ref="BE47" ca="1">SUMPRODUCT(BE$55:BE$114,TRANSPOSE(SAP_Speadsheet!$E$38:$BL$38))</f>
        <v>#REF!</v>
      </c>
      <c r="BF47" s="365" t="e" cm="1">
        <f t="array" aca="1" ref="BF47" ca="1">SUMPRODUCT(BF$55:BF$114,TRANSPOSE(SAP_Speadsheet!$E$38:$BL$38))</f>
        <v>#REF!</v>
      </c>
      <c r="BG47" s="365" t="e" cm="1">
        <f t="array" aca="1" ref="BG47" ca="1">SUMPRODUCT(BG$55:BG$114,TRANSPOSE(SAP_Speadsheet!$E$38:$BL$38))</f>
        <v>#REF!</v>
      </c>
      <c r="BH47" s="365" t="e" cm="1">
        <f t="array" aca="1" ref="BH47" ca="1">SUMPRODUCT(BH$55:BH$114,TRANSPOSE(SAP_Speadsheet!$E$38:$BL$38))</f>
        <v>#REF!</v>
      </c>
      <c r="BI47" s="365" t="e" cm="1">
        <f t="array" aca="1" ref="BI47" ca="1">SUMPRODUCT(BI$55:BI$114,TRANSPOSE(SAP_Speadsheet!$E$38:$BL$38))</f>
        <v>#REF!</v>
      </c>
    </row>
    <row r="48" spans="1:61" x14ac:dyDescent="0.15">
      <c r="A48" s="354" t="s">
        <v>375</v>
      </c>
      <c r="B48" s="365" cm="1">
        <f t="array" aca="1" ref="B48" ca="1">SUMPRODUCT(B$55:B$114,TRANSPOSE(SAP_Speadsheet!$E$39:$BL$39))</f>
        <v>0</v>
      </c>
      <c r="C48" s="365" cm="1">
        <f t="array" aca="1" ref="C48" ca="1">SUMPRODUCT(C$55:C$114,TRANSPOSE(SAP_Speadsheet!$E$39:$BL$39))</f>
        <v>0</v>
      </c>
      <c r="D48" s="365" cm="1">
        <f t="array" aca="1" ref="D48" ca="1">SUMPRODUCT(D$55:D$114,TRANSPOSE(SAP_Speadsheet!$E$39:$BL$39))</f>
        <v>0</v>
      </c>
      <c r="E48" s="365" cm="1">
        <f t="array" aca="1" ref="E48" ca="1">SUMPRODUCT(E$55:E$114,TRANSPOSE(SAP_Speadsheet!$E$39:$BL$39))</f>
        <v>0</v>
      </c>
      <c r="F48" s="365" cm="1">
        <f t="array" aca="1" ref="F48" ca="1">SUMPRODUCT(F$55:F$114,TRANSPOSE(SAP_Speadsheet!$E$39:$BL$39))</f>
        <v>0</v>
      </c>
      <c r="G48" s="365" cm="1">
        <f t="array" aca="1" ref="G48" ca="1">SUMPRODUCT(G$55:G$114,TRANSPOSE(SAP_Speadsheet!$E$39:$BL$39))</f>
        <v>0</v>
      </c>
      <c r="H48" s="365" t="e" cm="1">
        <f t="array" aca="1" ref="H48" ca="1">SUMPRODUCT(H$55:H$114,TRANSPOSE(SAP_Speadsheet!$E$39:$BL$39))</f>
        <v>#REF!</v>
      </c>
      <c r="I48" s="365" t="e" cm="1">
        <f t="array" aca="1" ref="I48" ca="1">SUMPRODUCT(I$55:I$114,TRANSPOSE(SAP_Speadsheet!$E$39:$BL$39))</f>
        <v>#REF!</v>
      </c>
      <c r="J48" s="365" t="e" cm="1">
        <f t="array" aca="1" ref="J48" ca="1">SUMPRODUCT(J$55:J$114,TRANSPOSE(SAP_Speadsheet!$E$39:$BL$39))</f>
        <v>#REF!</v>
      </c>
      <c r="K48" s="365" t="e" cm="1">
        <f t="array" aca="1" ref="K48" ca="1">SUMPRODUCT(K$55:K$114,TRANSPOSE(SAP_Speadsheet!$E$39:$BL$39))</f>
        <v>#REF!</v>
      </c>
      <c r="L48" s="365" t="e" cm="1">
        <f t="array" aca="1" ref="L48" ca="1">SUMPRODUCT(L$55:L$114,TRANSPOSE(SAP_Speadsheet!$E$39:$BL$39))</f>
        <v>#REF!</v>
      </c>
      <c r="M48" s="365" t="e" cm="1">
        <f t="array" aca="1" ref="M48" ca="1">SUMPRODUCT(M$55:M$114,TRANSPOSE(SAP_Speadsheet!$E$39:$BL$39))</f>
        <v>#REF!</v>
      </c>
      <c r="N48" s="365" t="e" cm="1">
        <f t="array" aca="1" ref="N48" ca="1">SUMPRODUCT(N$55:N$114,TRANSPOSE(SAP_Speadsheet!$E$39:$BL$39))</f>
        <v>#REF!</v>
      </c>
      <c r="O48" s="365" t="e" cm="1">
        <f t="array" aca="1" ref="O48" ca="1">SUMPRODUCT(O$55:O$114,TRANSPOSE(SAP_Speadsheet!$E$39:$BL$39))</f>
        <v>#REF!</v>
      </c>
      <c r="P48" s="365" t="e" cm="1">
        <f t="array" aca="1" ref="P48" ca="1">SUMPRODUCT(P$55:P$114,TRANSPOSE(SAP_Speadsheet!$E$39:$BL$39))</f>
        <v>#REF!</v>
      </c>
      <c r="Q48" s="365" t="e" cm="1">
        <f t="array" aca="1" ref="Q48" ca="1">SUMPRODUCT(Q$55:Q$114,TRANSPOSE(SAP_Speadsheet!$E$39:$BL$39))</f>
        <v>#REF!</v>
      </c>
      <c r="R48" s="365" t="e" cm="1">
        <f t="array" aca="1" ref="R48" ca="1">SUMPRODUCT(R$55:R$114,TRANSPOSE(SAP_Speadsheet!$E$39:$BL$39))</f>
        <v>#REF!</v>
      </c>
      <c r="S48" s="365" t="e" cm="1">
        <f t="array" aca="1" ref="S48" ca="1">SUMPRODUCT(S$55:S$114,TRANSPOSE(SAP_Speadsheet!$E$39:$BL$39))</f>
        <v>#REF!</v>
      </c>
      <c r="T48" s="365" t="e" cm="1">
        <f t="array" aca="1" ref="T48" ca="1">SUMPRODUCT(T$55:T$114,TRANSPOSE(SAP_Speadsheet!$E$39:$BL$39))</f>
        <v>#REF!</v>
      </c>
      <c r="U48" s="365" t="e" cm="1">
        <f t="array" aca="1" ref="U48" ca="1">SUMPRODUCT(U$55:U$114,TRANSPOSE(SAP_Speadsheet!$E$39:$BL$39))</f>
        <v>#REF!</v>
      </c>
      <c r="V48" s="365" t="e" cm="1">
        <f t="array" aca="1" ref="V48" ca="1">SUMPRODUCT(V$55:V$114,TRANSPOSE(SAP_Speadsheet!$E$39:$BL$39))</f>
        <v>#REF!</v>
      </c>
      <c r="W48" s="365" t="e" cm="1">
        <f t="array" aca="1" ref="W48" ca="1">SUMPRODUCT(W$55:W$114,TRANSPOSE(SAP_Speadsheet!$E$39:$BL$39))</f>
        <v>#REF!</v>
      </c>
      <c r="X48" s="365" t="e" cm="1">
        <f t="array" aca="1" ref="X48" ca="1">SUMPRODUCT(X$55:X$114,TRANSPOSE(SAP_Speadsheet!$E$39:$BL$39))</f>
        <v>#REF!</v>
      </c>
      <c r="Y48" s="365" t="e" cm="1">
        <f t="array" aca="1" ref="Y48" ca="1">SUMPRODUCT(Y$55:Y$114,TRANSPOSE(SAP_Speadsheet!$E$39:$BL$39))</f>
        <v>#REF!</v>
      </c>
      <c r="Z48" s="365" t="e" cm="1">
        <f t="array" aca="1" ref="Z48" ca="1">SUMPRODUCT(Z$55:Z$114,TRANSPOSE(SAP_Speadsheet!$E$39:$BL$39))</f>
        <v>#REF!</v>
      </c>
      <c r="AA48" s="365" t="e" cm="1">
        <f t="array" aca="1" ref="AA48" ca="1">SUMPRODUCT(AA$55:AA$114,TRANSPOSE(SAP_Speadsheet!$E$39:$BL$39))</f>
        <v>#REF!</v>
      </c>
      <c r="AB48" s="365" t="e" cm="1">
        <f t="array" aca="1" ref="AB48" ca="1">SUMPRODUCT(AB$55:AB$114,TRANSPOSE(SAP_Speadsheet!$E$39:$BL$39))</f>
        <v>#REF!</v>
      </c>
      <c r="AC48" s="365" t="e" cm="1">
        <f t="array" aca="1" ref="AC48" ca="1">SUMPRODUCT(AC$55:AC$114,TRANSPOSE(SAP_Speadsheet!$E$39:$BL$39))</f>
        <v>#REF!</v>
      </c>
      <c r="AD48" s="365" t="e" cm="1">
        <f t="array" aca="1" ref="AD48" ca="1">SUMPRODUCT(AD$55:AD$114,TRANSPOSE(SAP_Speadsheet!$E$39:$BL$39))</f>
        <v>#REF!</v>
      </c>
      <c r="AE48" s="365" t="e" cm="1">
        <f t="array" aca="1" ref="AE48" ca="1">SUMPRODUCT(AE$55:AE$114,TRANSPOSE(SAP_Speadsheet!$E$39:$BL$39))</f>
        <v>#REF!</v>
      </c>
      <c r="AF48" s="365" t="e" cm="1">
        <f t="array" aca="1" ref="AF48" ca="1">SUMPRODUCT(AF$55:AF$114,TRANSPOSE(SAP_Speadsheet!$E$39:$BL$39))</f>
        <v>#REF!</v>
      </c>
      <c r="AG48" s="365" t="e" cm="1">
        <f t="array" aca="1" ref="AG48" ca="1">SUMPRODUCT(AG$55:AG$114,TRANSPOSE(SAP_Speadsheet!$E$39:$BL$39))</f>
        <v>#REF!</v>
      </c>
      <c r="AH48" s="365" t="e" cm="1">
        <f t="array" aca="1" ref="AH48" ca="1">SUMPRODUCT(AH$55:AH$114,TRANSPOSE(SAP_Speadsheet!$E$39:$BL$39))</f>
        <v>#REF!</v>
      </c>
      <c r="AI48" s="365" t="e" cm="1">
        <f t="array" aca="1" ref="AI48" ca="1">SUMPRODUCT(AI$55:AI$114,TRANSPOSE(SAP_Speadsheet!$E$39:$BL$39))</f>
        <v>#REF!</v>
      </c>
      <c r="AJ48" s="365" t="e" cm="1">
        <f t="array" aca="1" ref="AJ48" ca="1">SUMPRODUCT(AJ$55:AJ$114,TRANSPOSE(SAP_Speadsheet!$E$39:$BL$39))</f>
        <v>#REF!</v>
      </c>
      <c r="AK48" s="365" t="e" cm="1">
        <f t="array" aca="1" ref="AK48" ca="1">SUMPRODUCT(AK$55:AK$114,TRANSPOSE(SAP_Speadsheet!$E$39:$BL$39))</f>
        <v>#REF!</v>
      </c>
      <c r="AL48" s="365" t="e" cm="1">
        <f t="array" aca="1" ref="AL48" ca="1">SUMPRODUCT(AL$55:AL$114,TRANSPOSE(SAP_Speadsheet!$E$39:$BL$39))</f>
        <v>#REF!</v>
      </c>
      <c r="AM48" s="365" t="e" cm="1">
        <f t="array" aca="1" ref="AM48" ca="1">SUMPRODUCT(AM$55:AM$114,TRANSPOSE(SAP_Speadsheet!$E$39:$BL$39))</f>
        <v>#REF!</v>
      </c>
      <c r="AN48" s="365" t="e" cm="1">
        <f t="array" aca="1" ref="AN48" ca="1">SUMPRODUCT(AN$55:AN$114,TRANSPOSE(SAP_Speadsheet!$E$39:$BL$39))</f>
        <v>#REF!</v>
      </c>
      <c r="AO48" s="365" t="e" cm="1">
        <f t="array" aca="1" ref="AO48" ca="1">SUMPRODUCT(AO$55:AO$114,TRANSPOSE(SAP_Speadsheet!$E$39:$BL$39))</f>
        <v>#REF!</v>
      </c>
      <c r="AP48" s="365" t="e" cm="1">
        <f t="array" aca="1" ref="AP48" ca="1">SUMPRODUCT(AP$55:AP$114,TRANSPOSE(SAP_Speadsheet!$E$39:$BL$39))</f>
        <v>#REF!</v>
      </c>
      <c r="AQ48" s="365" t="e" cm="1">
        <f t="array" aca="1" ref="AQ48" ca="1">SUMPRODUCT(AQ$55:AQ$114,TRANSPOSE(SAP_Speadsheet!$E$39:$BL$39))</f>
        <v>#REF!</v>
      </c>
      <c r="AR48" s="365" t="e" cm="1">
        <f t="array" aca="1" ref="AR48" ca="1">SUMPRODUCT(AR$55:AR$114,TRANSPOSE(SAP_Speadsheet!$E$39:$BL$39))</f>
        <v>#REF!</v>
      </c>
      <c r="AS48" s="365" t="e" cm="1">
        <f t="array" aca="1" ref="AS48" ca="1">SUMPRODUCT(AS$55:AS$114,TRANSPOSE(SAP_Speadsheet!$E$39:$BL$39))</f>
        <v>#REF!</v>
      </c>
      <c r="AT48" s="365" t="e" cm="1">
        <f t="array" aca="1" ref="AT48" ca="1">SUMPRODUCT(AT$55:AT$114,TRANSPOSE(SAP_Speadsheet!$E$39:$BL$39))</f>
        <v>#REF!</v>
      </c>
      <c r="AU48" s="365" t="e" cm="1">
        <f t="array" aca="1" ref="AU48" ca="1">SUMPRODUCT(AU$55:AU$114,TRANSPOSE(SAP_Speadsheet!$E$39:$BL$39))</f>
        <v>#REF!</v>
      </c>
      <c r="AV48" s="365" t="e" cm="1">
        <f t="array" aca="1" ref="AV48" ca="1">SUMPRODUCT(AV$55:AV$114,TRANSPOSE(SAP_Speadsheet!$E$39:$BL$39))</f>
        <v>#REF!</v>
      </c>
      <c r="AW48" s="365" t="e" cm="1">
        <f t="array" aca="1" ref="AW48" ca="1">SUMPRODUCT(AW$55:AW$114,TRANSPOSE(SAP_Speadsheet!$E$39:$BL$39))</f>
        <v>#REF!</v>
      </c>
      <c r="AX48" s="365" t="e" cm="1">
        <f t="array" aca="1" ref="AX48" ca="1">SUMPRODUCT(AX$55:AX$114,TRANSPOSE(SAP_Speadsheet!$E$39:$BL$39))</f>
        <v>#REF!</v>
      </c>
      <c r="AY48" s="365" t="e" cm="1">
        <f t="array" aca="1" ref="AY48" ca="1">SUMPRODUCT(AY$55:AY$114,TRANSPOSE(SAP_Speadsheet!$E$39:$BL$39))</f>
        <v>#REF!</v>
      </c>
      <c r="AZ48" s="365" t="e" cm="1">
        <f t="array" aca="1" ref="AZ48" ca="1">SUMPRODUCT(AZ$55:AZ$114,TRANSPOSE(SAP_Speadsheet!$E$39:$BL$39))</f>
        <v>#REF!</v>
      </c>
      <c r="BA48" s="365" t="e" cm="1">
        <f t="array" aca="1" ref="BA48" ca="1">SUMPRODUCT(BA$55:BA$114,TRANSPOSE(SAP_Speadsheet!$E$39:$BL$39))</f>
        <v>#REF!</v>
      </c>
      <c r="BB48" s="365" t="e" cm="1">
        <f t="array" aca="1" ref="BB48" ca="1">SUMPRODUCT(BB$55:BB$114,TRANSPOSE(SAP_Speadsheet!$E$39:$BL$39))</f>
        <v>#REF!</v>
      </c>
      <c r="BC48" s="365" t="e" cm="1">
        <f t="array" aca="1" ref="BC48" ca="1">SUMPRODUCT(BC$55:BC$114,TRANSPOSE(SAP_Speadsheet!$E$39:$BL$39))</f>
        <v>#REF!</v>
      </c>
      <c r="BD48" s="365" t="e" cm="1">
        <f t="array" aca="1" ref="BD48" ca="1">SUMPRODUCT(BD$55:BD$114,TRANSPOSE(SAP_Speadsheet!$E$39:$BL$39))</f>
        <v>#REF!</v>
      </c>
      <c r="BE48" s="365" t="e" cm="1">
        <f t="array" aca="1" ref="BE48" ca="1">SUMPRODUCT(BE$55:BE$114,TRANSPOSE(SAP_Speadsheet!$E$39:$BL$39))</f>
        <v>#REF!</v>
      </c>
      <c r="BF48" s="365" t="e" cm="1">
        <f t="array" aca="1" ref="BF48" ca="1">SUMPRODUCT(BF$55:BF$114,TRANSPOSE(SAP_Speadsheet!$E$39:$BL$39))</f>
        <v>#REF!</v>
      </c>
      <c r="BG48" s="365" t="e" cm="1">
        <f t="array" aca="1" ref="BG48" ca="1">SUMPRODUCT(BG$55:BG$114,TRANSPOSE(SAP_Speadsheet!$E$39:$BL$39))</f>
        <v>#REF!</v>
      </c>
      <c r="BH48" s="365" t="e" cm="1">
        <f t="array" aca="1" ref="BH48" ca="1">SUMPRODUCT(BH$55:BH$114,TRANSPOSE(SAP_Speadsheet!$E$39:$BL$39))</f>
        <v>#REF!</v>
      </c>
      <c r="BI48" s="365" t="e" cm="1">
        <f t="array" aca="1" ref="BI48" ca="1">SUMPRODUCT(BI$55:BI$114,TRANSPOSE(SAP_Speadsheet!$E$39:$BL$39))</f>
        <v>#REF!</v>
      </c>
    </row>
    <row r="49" spans="1:62" x14ac:dyDescent="0.15">
      <c r="A49" s="354" t="s">
        <v>458</v>
      </c>
      <c r="B49" s="365" cm="1">
        <f t="array" aca="1" ref="B49" ca="1">SUMPRODUCT(B$55:B$114,TRANSPOSE(SAP_Speadsheet!$E$40:$BL$40))</f>
        <v>0</v>
      </c>
      <c r="C49" s="365" cm="1">
        <f t="array" aca="1" ref="C49" ca="1">SUMPRODUCT(C$55:C$114,TRANSPOSE(SAP_Speadsheet!$E$40:$BL$40))</f>
        <v>0</v>
      </c>
      <c r="D49" s="365" cm="1">
        <f t="array" aca="1" ref="D49" ca="1">SUMPRODUCT(D$55:D$114,TRANSPOSE(SAP_Speadsheet!$E$40:$BL$40))</f>
        <v>0</v>
      </c>
      <c r="E49" s="365" cm="1">
        <f t="array" aca="1" ref="E49" ca="1">SUMPRODUCT(E$55:E$114,TRANSPOSE(SAP_Speadsheet!$E$40:$BL$40))</f>
        <v>0</v>
      </c>
      <c r="F49" s="365" cm="1">
        <f t="array" aca="1" ref="F49" ca="1">SUMPRODUCT(F$55:F$114,TRANSPOSE(SAP_Speadsheet!$E$40:$BL$40))</f>
        <v>0</v>
      </c>
      <c r="G49" s="365" cm="1">
        <f t="array" aca="1" ref="G49" ca="1">SUMPRODUCT(G$55:G$114,TRANSPOSE(SAP_Speadsheet!$E$40:$BL$40))</f>
        <v>0</v>
      </c>
      <c r="H49" s="365" t="e" cm="1">
        <f t="array" aca="1" ref="H49" ca="1">SUMPRODUCT(H$55:H$114,TRANSPOSE(SAP_Speadsheet!$E$40:$BL$40))</f>
        <v>#REF!</v>
      </c>
      <c r="I49" s="365" t="e" cm="1">
        <f t="array" aca="1" ref="I49" ca="1">SUMPRODUCT(I$55:I$114,TRANSPOSE(SAP_Speadsheet!$E$40:$BL$40))</f>
        <v>#REF!</v>
      </c>
      <c r="J49" s="365" t="e" cm="1">
        <f t="array" aca="1" ref="J49" ca="1">SUMPRODUCT(J$55:J$114,TRANSPOSE(SAP_Speadsheet!$E$40:$BL$40))</f>
        <v>#REF!</v>
      </c>
      <c r="K49" s="365" t="e" cm="1">
        <f t="array" aca="1" ref="K49" ca="1">SUMPRODUCT(K$55:K$114,TRANSPOSE(SAP_Speadsheet!$E$40:$BL$40))</f>
        <v>#REF!</v>
      </c>
      <c r="L49" s="365" t="e" cm="1">
        <f t="array" aca="1" ref="L49" ca="1">SUMPRODUCT(L$55:L$114,TRANSPOSE(SAP_Speadsheet!$E$40:$BL$40))</f>
        <v>#REF!</v>
      </c>
      <c r="M49" s="365" t="e" cm="1">
        <f t="array" aca="1" ref="M49" ca="1">SUMPRODUCT(M$55:M$114,TRANSPOSE(SAP_Speadsheet!$E$40:$BL$40))</f>
        <v>#REF!</v>
      </c>
      <c r="N49" s="365" t="e" cm="1">
        <f t="array" aca="1" ref="N49" ca="1">SUMPRODUCT(N$55:N$114,TRANSPOSE(SAP_Speadsheet!$E$40:$BL$40))</f>
        <v>#REF!</v>
      </c>
      <c r="O49" s="365" t="e" cm="1">
        <f t="array" aca="1" ref="O49" ca="1">SUMPRODUCT(O$55:O$114,TRANSPOSE(SAP_Speadsheet!$E$40:$BL$40))</f>
        <v>#REF!</v>
      </c>
      <c r="P49" s="365" t="e" cm="1">
        <f t="array" aca="1" ref="P49" ca="1">SUMPRODUCT(P$55:P$114,TRANSPOSE(SAP_Speadsheet!$E$40:$BL$40))</f>
        <v>#REF!</v>
      </c>
      <c r="Q49" s="365" t="e" cm="1">
        <f t="array" aca="1" ref="Q49" ca="1">SUMPRODUCT(Q$55:Q$114,TRANSPOSE(SAP_Speadsheet!$E$40:$BL$40))</f>
        <v>#REF!</v>
      </c>
      <c r="R49" s="365" t="e" cm="1">
        <f t="array" aca="1" ref="R49" ca="1">SUMPRODUCT(R$55:R$114,TRANSPOSE(SAP_Speadsheet!$E$40:$BL$40))</f>
        <v>#REF!</v>
      </c>
      <c r="S49" s="365" t="e" cm="1">
        <f t="array" aca="1" ref="S49" ca="1">SUMPRODUCT(S$55:S$114,TRANSPOSE(SAP_Speadsheet!$E$40:$BL$40))</f>
        <v>#REF!</v>
      </c>
      <c r="T49" s="365" t="e" cm="1">
        <f t="array" aca="1" ref="T49" ca="1">SUMPRODUCT(T$55:T$114,TRANSPOSE(SAP_Speadsheet!$E$40:$BL$40))</f>
        <v>#REF!</v>
      </c>
      <c r="U49" s="365" t="e" cm="1">
        <f t="array" aca="1" ref="U49" ca="1">SUMPRODUCT(U$55:U$114,TRANSPOSE(SAP_Speadsheet!$E$40:$BL$40))</f>
        <v>#REF!</v>
      </c>
      <c r="V49" s="365" t="e" cm="1">
        <f t="array" aca="1" ref="V49" ca="1">SUMPRODUCT(V$55:V$114,TRANSPOSE(SAP_Speadsheet!$E$40:$BL$40))</f>
        <v>#REF!</v>
      </c>
      <c r="W49" s="365" t="e" cm="1">
        <f t="array" aca="1" ref="W49" ca="1">SUMPRODUCT(W$55:W$114,TRANSPOSE(SAP_Speadsheet!$E$40:$BL$40))</f>
        <v>#REF!</v>
      </c>
      <c r="X49" s="365" t="e" cm="1">
        <f t="array" aca="1" ref="X49" ca="1">SUMPRODUCT(X$55:X$114,TRANSPOSE(SAP_Speadsheet!$E$40:$BL$40))</f>
        <v>#REF!</v>
      </c>
      <c r="Y49" s="365" t="e" cm="1">
        <f t="array" aca="1" ref="Y49" ca="1">SUMPRODUCT(Y$55:Y$114,TRANSPOSE(SAP_Speadsheet!$E$40:$BL$40))</f>
        <v>#REF!</v>
      </c>
      <c r="Z49" s="365" t="e" cm="1">
        <f t="array" aca="1" ref="Z49" ca="1">SUMPRODUCT(Z$55:Z$114,TRANSPOSE(SAP_Speadsheet!$E$40:$BL$40))</f>
        <v>#REF!</v>
      </c>
      <c r="AA49" s="365" t="e" cm="1">
        <f t="array" aca="1" ref="AA49" ca="1">SUMPRODUCT(AA$55:AA$114,TRANSPOSE(SAP_Speadsheet!$E$40:$BL$40))</f>
        <v>#REF!</v>
      </c>
      <c r="AB49" s="365" t="e" cm="1">
        <f t="array" aca="1" ref="AB49" ca="1">SUMPRODUCT(AB$55:AB$114,TRANSPOSE(SAP_Speadsheet!$E$40:$BL$40))</f>
        <v>#REF!</v>
      </c>
      <c r="AC49" s="365" t="e" cm="1">
        <f t="array" aca="1" ref="AC49" ca="1">SUMPRODUCT(AC$55:AC$114,TRANSPOSE(SAP_Speadsheet!$E$40:$BL$40))</f>
        <v>#REF!</v>
      </c>
      <c r="AD49" s="365" t="e" cm="1">
        <f t="array" aca="1" ref="AD49" ca="1">SUMPRODUCT(AD$55:AD$114,TRANSPOSE(SAP_Speadsheet!$E$40:$BL$40))</f>
        <v>#REF!</v>
      </c>
      <c r="AE49" s="365" t="e" cm="1">
        <f t="array" aca="1" ref="AE49" ca="1">SUMPRODUCT(AE$55:AE$114,TRANSPOSE(SAP_Speadsheet!$E$40:$BL$40))</f>
        <v>#REF!</v>
      </c>
      <c r="AF49" s="365" t="e" cm="1">
        <f t="array" aca="1" ref="AF49" ca="1">SUMPRODUCT(AF$55:AF$114,TRANSPOSE(SAP_Speadsheet!$E$40:$BL$40))</f>
        <v>#REF!</v>
      </c>
      <c r="AG49" s="365" t="e" cm="1">
        <f t="array" aca="1" ref="AG49" ca="1">SUMPRODUCT(AG$55:AG$114,TRANSPOSE(SAP_Speadsheet!$E$40:$BL$40))</f>
        <v>#REF!</v>
      </c>
      <c r="AH49" s="365" t="e" cm="1">
        <f t="array" aca="1" ref="AH49" ca="1">SUMPRODUCT(AH$55:AH$114,TRANSPOSE(SAP_Speadsheet!$E$40:$BL$40))</f>
        <v>#REF!</v>
      </c>
      <c r="AI49" s="365" t="e" cm="1">
        <f t="array" aca="1" ref="AI49" ca="1">SUMPRODUCT(AI$55:AI$114,TRANSPOSE(SAP_Speadsheet!$E$40:$BL$40))</f>
        <v>#REF!</v>
      </c>
      <c r="AJ49" s="365" t="e" cm="1">
        <f t="array" aca="1" ref="AJ49" ca="1">SUMPRODUCT(AJ$55:AJ$114,TRANSPOSE(SAP_Speadsheet!$E$40:$BL$40))</f>
        <v>#REF!</v>
      </c>
      <c r="AK49" s="365" t="e" cm="1">
        <f t="array" aca="1" ref="AK49" ca="1">SUMPRODUCT(AK$55:AK$114,TRANSPOSE(SAP_Speadsheet!$E$40:$BL$40))</f>
        <v>#REF!</v>
      </c>
      <c r="AL49" s="365" t="e" cm="1">
        <f t="array" aca="1" ref="AL49" ca="1">SUMPRODUCT(AL$55:AL$114,TRANSPOSE(SAP_Speadsheet!$E$40:$BL$40))</f>
        <v>#REF!</v>
      </c>
      <c r="AM49" s="365" t="e" cm="1">
        <f t="array" aca="1" ref="AM49" ca="1">SUMPRODUCT(AM$55:AM$114,TRANSPOSE(SAP_Speadsheet!$E$40:$BL$40))</f>
        <v>#REF!</v>
      </c>
      <c r="AN49" s="365" t="e" cm="1">
        <f t="array" aca="1" ref="AN49" ca="1">SUMPRODUCT(AN$55:AN$114,TRANSPOSE(SAP_Speadsheet!$E$40:$BL$40))</f>
        <v>#REF!</v>
      </c>
      <c r="AO49" s="365" t="e" cm="1">
        <f t="array" aca="1" ref="AO49" ca="1">SUMPRODUCT(AO$55:AO$114,TRANSPOSE(SAP_Speadsheet!$E$40:$BL$40))</f>
        <v>#REF!</v>
      </c>
      <c r="AP49" s="365" t="e" cm="1">
        <f t="array" aca="1" ref="AP49" ca="1">SUMPRODUCT(AP$55:AP$114,TRANSPOSE(SAP_Speadsheet!$E$40:$BL$40))</f>
        <v>#REF!</v>
      </c>
      <c r="AQ49" s="365" t="e" cm="1">
        <f t="array" aca="1" ref="AQ49" ca="1">SUMPRODUCT(AQ$55:AQ$114,TRANSPOSE(SAP_Speadsheet!$E$40:$BL$40))</f>
        <v>#REF!</v>
      </c>
      <c r="AR49" s="365" t="e" cm="1">
        <f t="array" aca="1" ref="AR49" ca="1">SUMPRODUCT(AR$55:AR$114,TRANSPOSE(SAP_Speadsheet!$E$40:$BL$40))</f>
        <v>#REF!</v>
      </c>
      <c r="AS49" s="365" t="e" cm="1">
        <f t="array" aca="1" ref="AS49" ca="1">SUMPRODUCT(AS$55:AS$114,TRANSPOSE(SAP_Speadsheet!$E$40:$BL$40))</f>
        <v>#REF!</v>
      </c>
      <c r="AT49" s="365" t="e" cm="1">
        <f t="array" aca="1" ref="AT49" ca="1">SUMPRODUCT(AT$55:AT$114,TRANSPOSE(SAP_Speadsheet!$E$40:$BL$40))</f>
        <v>#REF!</v>
      </c>
      <c r="AU49" s="365" t="e" cm="1">
        <f t="array" aca="1" ref="AU49" ca="1">SUMPRODUCT(AU$55:AU$114,TRANSPOSE(SAP_Speadsheet!$E$40:$BL$40))</f>
        <v>#REF!</v>
      </c>
      <c r="AV49" s="365" t="e" cm="1">
        <f t="array" aca="1" ref="AV49" ca="1">SUMPRODUCT(AV$55:AV$114,TRANSPOSE(SAP_Speadsheet!$E$40:$BL$40))</f>
        <v>#REF!</v>
      </c>
      <c r="AW49" s="365" t="e" cm="1">
        <f t="array" aca="1" ref="AW49" ca="1">SUMPRODUCT(AW$55:AW$114,TRANSPOSE(SAP_Speadsheet!$E$40:$BL$40))</f>
        <v>#REF!</v>
      </c>
      <c r="AX49" s="365" t="e" cm="1">
        <f t="array" aca="1" ref="AX49" ca="1">SUMPRODUCT(AX$55:AX$114,TRANSPOSE(SAP_Speadsheet!$E$40:$BL$40))</f>
        <v>#REF!</v>
      </c>
      <c r="AY49" s="365" t="e" cm="1">
        <f t="array" aca="1" ref="AY49" ca="1">SUMPRODUCT(AY$55:AY$114,TRANSPOSE(SAP_Speadsheet!$E$40:$BL$40))</f>
        <v>#REF!</v>
      </c>
      <c r="AZ49" s="365" t="e" cm="1">
        <f t="array" aca="1" ref="AZ49" ca="1">SUMPRODUCT(AZ$55:AZ$114,TRANSPOSE(SAP_Speadsheet!$E$40:$BL$40))</f>
        <v>#REF!</v>
      </c>
      <c r="BA49" s="365" t="e" cm="1">
        <f t="array" aca="1" ref="BA49" ca="1">SUMPRODUCT(BA$55:BA$114,TRANSPOSE(SAP_Speadsheet!$E$40:$BL$40))</f>
        <v>#REF!</v>
      </c>
      <c r="BB49" s="365" t="e" cm="1">
        <f t="array" aca="1" ref="BB49" ca="1">SUMPRODUCT(BB$55:BB$114,TRANSPOSE(SAP_Speadsheet!$E$40:$BL$40))</f>
        <v>#REF!</v>
      </c>
      <c r="BC49" s="365" t="e" cm="1">
        <f t="array" aca="1" ref="BC49" ca="1">SUMPRODUCT(BC$55:BC$114,TRANSPOSE(SAP_Speadsheet!$E$40:$BL$40))</f>
        <v>#REF!</v>
      </c>
      <c r="BD49" s="365" t="e" cm="1">
        <f t="array" aca="1" ref="BD49" ca="1">SUMPRODUCT(BD$55:BD$114,TRANSPOSE(SAP_Speadsheet!$E$40:$BL$40))</f>
        <v>#REF!</v>
      </c>
      <c r="BE49" s="365" t="e" cm="1">
        <f t="array" aca="1" ref="BE49" ca="1">SUMPRODUCT(BE$55:BE$114,TRANSPOSE(SAP_Speadsheet!$E$40:$BL$40))</f>
        <v>#REF!</v>
      </c>
      <c r="BF49" s="365" t="e" cm="1">
        <f t="array" aca="1" ref="BF49" ca="1">SUMPRODUCT(BF$55:BF$114,TRANSPOSE(SAP_Speadsheet!$E$40:$BL$40))</f>
        <v>#REF!</v>
      </c>
      <c r="BG49" s="365" t="e" cm="1">
        <f t="array" aca="1" ref="BG49" ca="1">SUMPRODUCT(BG$55:BG$114,TRANSPOSE(SAP_Speadsheet!$E$40:$BL$40))</f>
        <v>#REF!</v>
      </c>
      <c r="BH49" s="365" t="e" cm="1">
        <f t="array" aca="1" ref="BH49" ca="1">SUMPRODUCT(BH$55:BH$114,TRANSPOSE(SAP_Speadsheet!$E$40:$BL$40))</f>
        <v>#REF!</v>
      </c>
      <c r="BI49" s="365" t="e" cm="1">
        <f t="array" aca="1" ref="BI49" ca="1">SUMPRODUCT(BI$55:BI$114,TRANSPOSE(SAP_Speadsheet!$E$40:$BL$40))</f>
        <v>#REF!</v>
      </c>
    </row>
    <row r="50" spans="1:62" x14ac:dyDescent="0.15">
      <c r="A50" s="354" t="s">
        <v>379</v>
      </c>
      <c r="B50" s="365" cm="1">
        <f t="array" aca="1" ref="B50" ca="1">SUMPRODUCT(B$55:B$114,TRANSPOSE(SAP_Speadsheet!$E$41:$BL$41))</f>
        <v>0</v>
      </c>
      <c r="C50" s="365" cm="1">
        <f t="array" aca="1" ref="C50" ca="1">SUMPRODUCT(C$55:C$114,TRANSPOSE(SAP_Speadsheet!$E$41:$BL$41))</f>
        <v>0</v>
      </c>
      <c r="D50" s="365" cm="1">
        <f t="array" aca="1" ref="D50" ca="1">SUMPRODUCT(D$55:D$114,TRANSPOSE(SAP_Speadsheet!$E$41:$BL$41))</f>
        <v>0</v>
      </c>
      <c r="E50" s="365" cm="1">
        <f t="array" aca="1" ref="E50" ca="1">SUMPRODUCT(E$55:E$114,TRANSPOSE(SAP_Speadsheet!$E$41:$BL$41))</f>
        <v>0</v>
      </c>
      <c r="F50" s="365" cm="1">
        <f t="array" aca="1" ref="F50" ca="1">SUMPRODUCT(F$55:F$114,TRANSPOSE(SAP_Speadsheet!$E$41:$BL$41))</f>
        <v>0</v>
      </c>
      <c r="G50" s="365" cm="1">
        <f t="array" aca="1" ref="G50" ca="1">SUMPRODUCT(G$55:G$114,TRANSPOSE(SAP_Speadsheet!$E$41:$BL$41))</f>
        <v>0</v>
      </c>
      <c r="H50" s="365" t="e" cm="1">
        <f t="array" aca="1" ref="H50" ca="1">SUMPRODUCT(H$55:H$114,TRANSPOSE(SAP_Speadsheet!$E$41:$BL$41))</f>
        <v>#REF!</v>
      </c>
      <c r="I50" s="365" t="e" cm="1">
        <f t="array" aca="1" ref="I50" ca="1">SUMPRODUCT(I$55:I$114,TRANSPOSE(SAP_Speadsheet!$E$41:$BL$41))</f>
        <v>#REF!</v>
      </c>
      <c r="J50" s="365" t="e" cm="1">
        <f t="array" aca="1" ref="J50" ca="1">SUMPRODUCT(J$55:J$114,TRANSPOSE(SAP_Speadsheet!$E$41:$BL$41))</f>
        <v>#REF!</v>
      </c>
      <c r="K50" s="365" t="e" cm="1">
        <f t="array" aca="1" ref="K50" ca="1">SUMPRODUCT(K$55:K$114,TRANSPOSE(SAP_Speadsheet!$E$41:$BL$41))</f>
        <v>#REF!</v>
      </c>
      <c r="L50" s="365" t="e" cm="1">
        <f t="array" aca="1" ref="L50" ca="1">SUMPRODUCT(L$55:L$114,TRANSPOSE(SAP_Speadsheet!$E$41:$BL$41))</f>
        <v>#REF!</v>
      </c>
      <c r="M50" s="365" t="e" cm="1">
        <f t="array" aca="1" ref="M50" ca="1">SUMPRODUCT(M$55:M$114,TRANSPOSE(SAP_Speadsheet!$E$41:$BL$41))</f>
        <v>#REF!</v>
      </c>
      <c r="N50" s="365" t="e" cm="1">
        <f t="array" aca="1" ref="N50" ca="1">SUMPRODUCT(N$55:N$114,TRANSPOSE(SAP_Speadsheet!$E$41:$BL$41))</f>
        <v>#REF!</v>
      </c>
      <c r="O50" s="365" t="e" cm="1">
        <f t="array" aca="1" ref="O50" ca="1">SUMPRODUCT(O$55:O$114,TRANSPOSE(SAP_Speadsheet!$E$41:$BL$41))</f>
        <v>#REF!</v>
      </c>
      <c r="P50" s="365" t="e" cm="1">
        <f t="array" aca="1" ref="P50" ca="1">SUMPRODUCT(P$55:P$114,TRANSPOSE(SAP_Speadsheet!$E$41:$BL$41))</f>
        <v>#REF!</v>
      </c>
      <c r="Q50" s="365" t="e" cm="1">
        <f t="array" aca="1" ref="Q50" ca="1">SUMPRODUCT(Q$55:Q$114,TRANSPOSE(SAP_Speadsheet!$E$41:$BL$41))</f>
        <v>#REF!</v>
      </c>
      <c r="R50" s="365" t="e" cm="1">
        <f t="array" aca="1" ref="R50" ca="1">SUMPRODUCT(R$55:R$114,TRANSPOSE(SAP_Speadsheet!$E$41:$BL$41))</f>
        <v>#REF!</v>
      </c>
      <c r="S50" s="365" t="e" cm="1">
        <f t="array" aca="1" ref="S50" ca="1">SUMPRODUCT(S$55:S$114,TRANSPOSE(SAP_Speadsheet!$E$41:$BL$41))</f>
        <v>#REF!</v>
      </c>
      <c r="T50" s="365" t="e" cm="1">
        <f t="array" aca="1" ref="T50" ca="1">SUMPRODUCT(T$55:T$114,TRANSPOSE(SAP_Speadsheet!$E$41:$BL$41))</f>
        <v>#REF!</v>
      </c>
      <c r="U50" s="365" t="e" cm="1">
        <f t="array" aca="1" ref="U50" ca="1">SUMPRODUCT(U$55:U$114,TRANSPOSE(SAP_Speadsheet!$E$41:$BL$41))</f>
        <v>#REF!</v>
      </c>
      <c r="V50" s="365" t="e" cm="1">
        <f t="array" aca="1" ref="V50" ca="1">SUMPRODUCT(V$55:V$114,TRANSPOSE(SAP_Speadsheet!$E$41:$BL$41))</f>
        <v>#REF!</v>
      </c>
      <c r="W50" s="365" t="e" cm="1">
        <f t="array" aca="1" ref="W50" ca="1">SUMPRODUCT(W$55:W$114,TRANSPOSE(SAP_Speadsheet!$E$41:$BL$41))</f>
        <v>#REF!</v>
      </c>
      <c r="X50" s="365" t="e" cm="1">
        <f t="array" aca="1" ref="X50" ca="1">SUMPRODUCT(X$55:X$114,TRANSPOSE(SAP_Speadsheet!$E$41:$BL$41))</f>
        <v>#REF!</v>
      </c>
      <c r="Y50" s="365" t="e" cm="1">
        <f t="array" aca="1" ref="Y50" ca="1">SUMPRODUCT(Y$55:Y$114,TRANSPOSE(SAP_Speadsheet!$E$41:$BL$41))</f>
        <v>#REF!</v>
      </c>
      <c r="Z50" s="365" t="e" cm="1">
        <f t="array" aca="1" ref="Z50" ca="1">SUMPRODUCT(Z$55:Z$114,TRANSPOSE(SAP_Speadsheet!$E$41:$BL$41))</f>
        <v>#REF!</v>
      </c>
      <c r="AA50" s="365" t="e" cm="1">
        <f t="array" aca="1" ref="AA50" ca="1">SUMPRODUCT(AA$55:AA$114,TRANSPOSE(SAP_Speadsheet!$E$41:$BL$41))</f>
        <v>#REF!</v>
      </c>
      <c r="AB50" s="365" t="e" cm="1">
        <f t="array" aca="1" ref="AB50" ca="1">SUMPRODUCT(AB$55:AB$114,TRANSPOSE(SAP_Speadsheet!$E$41:$BL$41))</f>
        <v>#REF!</v>
      </c>
      <c r="AC50" s="365" t="e" cm="1">
        <f t="array" aca="1" ref="AC50" ca="1">SUMPRODUCT(AC$55:AC$114,TRANSPOSE(SAP_Speadsheet!$E$41:$BL$41))</f>
        <v>#REF!</v>
      </c>
      <c r="AD50" s="365" t="e" cm="1">
        <f t="array" aca="1" ref="AD50" ca="1">SUMPRODUCT(AD$55:AD$114,TRANSPOSE(SAP_Speadsheet!$E$41:$BL$41))</f>
        <v>#REF!</v>
      </c>
      <c r="AE50" s="365" t="e" cm="1">
        <f t="array" aca="1" ref="AE50" ca="1">SUMPRODUCT(AE$55:AE$114,TRANSPOSE(SAP_Speadsheet!$E$41:$BL$41))</f>
        <v>#REF!</v>
      </c>
      <c r="AF50" s="365" t="e" cm="1">
        <f t="array" aca="1" ref="AF50" ca="1">SUMPRODUCT(AF$55:AF$114,TRANSPOSE(SAP_Speadsheet!$E$41:$BL$41))</f>
        <v>#REF!</v>
      </c>
      <c r="AG50" s="365" t="e" cm="1">
        <f t="array" aca="1" ref="AG50" ca="1">SUMPRODUCT(AG$55:AG$114,TRANSPOSE(SAP_Speadsheet!$E$41:$BL$41))</f>
        <v>#REF!</v>
      </c>
      <c r="AH50" s="365" t="e" cm="1">
        <f t="array" aca="1" ref="AH50" ca="1">SUMPRODUCT(AH$55:AH$114,TRANSPOSE(SAP_Speadsheet!$E$41:$BL$41))</f>
        <v>#REF!</v>
      </c>
      <c r="AI50" s="365" t="e" cm="1">
        <f t="array" aca="1" ref="AI50" ca="1">SUMPRODUCT(AI$55:AI$114,TRANSPOSE(SAP_Speadsheet!$E$41:$BL$41))</f>
        <v>#REF!</v>
      </c>
      <c r="AJ50" s="365" t="e" cm="1">
        <f t="array" aca="1" ref="AJ50" ca="1">SUMPRODUCT(AJ$55:AJ$114,TRANSPOSE(SAP_Speadsheet!$E$41:$BL$41))</f>
        <v>#REF!</v>
      </c>
      <c r="AK50" s="365" t="e" cm="1">
        <f t="array" aca="1" ref="AK50" ca="1">SUMPRODUCT(AK$55:AK$114,TRANSPOSE(SAP_Speadsheet!$E$41:$BL$41))</f>
        <v>#REF!</v>
      </c>
      <c r="AL50" s="365" t="e" cm="1">
        <f t="array" aca="1" ref="AL50" ca="1">SUMPRODUCT(AL$55:AL$114,TRANSPOSE(SAP_Speadsheet!$E$41:$BL$41))</f>
        <v>#REF!</v>
      </c>
      <c r="AM50" s="365" t="e" cm="1">
        <f t="array" aca="1" ref="AM50" ca="1">SUMPRODUCT(AM$55:AM$114,TRANSPOSE(SAP_Speadsheet!$E$41:$BL$41))</f>
        <v>#REF!</v>
      </c>
      <c r="AN50" s="365" t="e" cm="1">
        <f t="array" aca="1" ref="AN50" ca="1">SUMPRODUCT(AN$55:AN$114,TRANSPOSE(SAP_Speadsheet!$E$41:$BL$41))</f>
        <v>#REF!</v>
      </c>
      <c r="AO50" s="365" t="e" cm="1">
        <f t="array" aca="1" ref="AO50" ca="1">SUMPRODUCT(AO$55:AO$114,TRANSPOSE(SAP_Speadsheet!$E$41:$BL$41))</f>
        <v>#REF!</v>
      </c>
      <c r="AP50" s="365" t="e" cm="1">
        <f t="array" aca="1" ref="AP50" ca="1">SUMPRODUCT(AP$55:AP$114,TRANSPOSE(SAP_Speadsheet!$E$41:$BL$41))</f>
        <v>#REF!</v>
      </c>
      <c r="AQ50" s="365" t="e" cm="1">
        <f t="array" aca="1" ref="AQ50" ca="1">SUMPRODUCT(AQ$55:AQ$114,TRANSPOSE(SAP_Speadsheet!$E$41:$BL$41))</f>
        <v>#REF!</v>
      </c>
      <c r="AR50" s="365" t="e" cm="1">
        <f t="array" aca="1" ref="AR50" ca="1">SUMPRODUCT(AR$55:AR$114,TRANSPOSE(SAP_Speadsheet!$E$41:$BL$41))</f>
        <v>#REF!</v>
      </c>
      <c r="AS50" s="365" t="e" cm="1">
        <f t="array" aca="1" ref="AS50" ca="1">SUMPRODUCT(AS$55:AS$114,TRANSPOSE(SAP_Speadsheet!$E$41:$BL$41))</f>
        <v>#REF!</v>
      </c>
      <c r="AT50" s="365" t="e" cm="1">
        <f t="array" aca="1" ref="AT50" ca="1">SUMPRODUCT(AT$55:AT$114,TRANSPOSE(SAP_Speadsheet!$E$41:$BL$41))</f>
        <v>#REF!</v>
      </c>
      <c r="AU50" s="365" t="e" cm="1">
        <f t="array" aca="1" ref="AU50" ca="1">SUMPRODUCT(AU$55:AU$114,TRANSPOSE(SAP_Speadsheet!$E$41:$BL$41))</f>
        <v>#REF!</v>
      </c>
      <c r="AV50" s="365" t="e" cm="1">
        <f t="array" aca="1" ref="AV50" ca="1">SUMPRODUCT(AV$55:AV$114,TRANSPOSE(SAP_Speadsheet!$E$41:$BL$41))</f>
        <v>#REF!</v>
      </c>
      <c r="AW50" s="365" t="e" cm="1">
        <f t="array" aca="1" ref="AW50" ca="1">SUMPRODUCT(AW$55:AW$114,TRANSPOSE(SAP_Speadsheet!$E$41:$BL$41))</f>
        <v>#REF!</v>
      </c>
      <c r="AX50" s="365" t="e" cm="1">
        <f t="array" aca="1" ref="AX50" ca="1">SUMPRODUCT(AX$55:AX$114,TRANSPOSE(SAP_Speadsheet!$E$41:$BL$41))</f>
        <v>#REF!</v>
      </c>
      <c r="AY50" s="365" t="e" cm="1">
        <f t="array" aca="1" ref="AY50" ca="1">SUMPRODUCT(AY$55:AY$114,TRANSPOSE(SAP_Speadsheet!$E$41:$BL$41))</f>
        <v>#REF!</v>
      </c>
      <c r="AZ50" s="365" t="e" cm="1">
        <f t="array" aca="1" ref="AZ50" ca="1">SUMPRODUCT(AZ$55:AZ$114,TRANSPOSE(SAP_Speadsheet!$E$41:$BL$41))</f>
        <v>#REF!</v>
      </c>
      <c r="BA50" s="365" t="e" cm="1">
        <f t="array" aca="1" ref="BA50" ca="1">SUMPRODUCT(BA$55:BA$114,TRANSPOSE(SAP_Speadsheet!$E$41:$BL$41))</f>
        <v>#REF!</v>
      </c>
      <c r="BB50" s="365" t="e" cm="1">
        <f t="array" aca="1" ref="BB50" ca="1">SUMPRODUCT(BB$55:BB$114,TRANSPOSE(SAP_Speadsheet!$E$41:$BL$41))</f>
        <v>#REF!</v>
      </c>
      <c r="BC50" s="365" t="e" cm="1">
        <f t="array" aca="1" ref="BC50" ca="1">SUMPRODUCT(BC$55:BC$114,TRANSPOSE(SAP_Speadsheet!$E$41:$BL$41))</f>
        <v>#REF!</v>
      </c>
      <c r="BD50" s="365" t="e" cm="1">
        <f t="array" aca="1" ref="BD50" ca="1">SUMPRODUCT(BD$55:BD$114,TRANSPOSE(SAP_Speadsheet!$E$41:$BL$41))</f>
        <v>#REF!</v>
      </c>
      <c r="BE50" s="365" t="e" cm="1">
        <f t="array" aca="1" ref="BE50" ca="1">SUMPRODUCT(BE$55:BE$114,TRANSPOSE(SAP_Speadsheet!$E$41:$BL$41))</f>
        <v>#REF!</v>
      </c>
      <c r="BF50" s="365" t="e" cm="1">
        <f t="array" aca="1" ref="BF50" ca="1">SUMPRODUCT(BF$55:BF$114,TRANSPOSE(SAP_Speadsheet!$E$41:$BL$41))</f>
        <v>#REF!</v>
      </c>
      <c r="BG50" s="365" t="e" cm="1">
        <f t="array" aca="1" ref="BG50" ca="1">SUMPRODUCT(BG$55:BG$114,TRANSPOSE(SAP_Speadsheet!$E$41:$BL$41))</f>
        <v>#REF!</v>
      </c>
      <c r="BH50" s="365" t="e" cm="1">
        <f t="array" aca="1" ref="BH50" ca="1">SUMPRODUCT(BH$55:BH$114,TRANSPOSE(SAP_Speadsheet!$E$41:$BL$41))</f>
        <v>#REF!</v>
      </c>
      <c r="BI50" s="365" t="e" cm="1">
        <f t="array" aca="1" ref="BI50" ca="1">SUMPRODUCT(BI$55:BI$114,TRANSPOSE(SAP_Speadsheet!$E$41:$BL$41))</f>
        <v>#REF!</v>
      </c>
    </row>
    <row r="51" spans="1:62" s="372" customFormat="1" x14ac:dyDescent="0.15">
      <c r="A51" s="367" t="s">
        <v>425</v>
      </c>
      <c r="B51" s="371">
        <f t="shared" ref="B51:BI51" ca="1" si="6">SUM(B36:B50)-B7</f>
        <v>0</v>
      </c>
      <c r="C51" s="371">
        <f t="shared" ca="1" si="6"/>
        <v>0</v>
      </c>
      <c r="D51" s="371">
        <f t="shared" ca="1" si="6"/>
        <v>0</v>
      </c>
      <c r="E51" s="371">
        <f t="shared" ca="1" si="6"/>
        <v>0</v>
      </c>
      <c r="F51" s="371">
        <f t="shared" ca="1" si="6"/>
        <v>0</v>
      </c>
      <c r="G51" s="371">
        <f t="shared" ca="1" si="6"/>
        <v>0</v>
      </c>
      <c r="H51" s="371" t="e">
        <f t="shared" ca="1" si="6"/>
        <v>#REF!</v>
      </c>
      <c r="I51" s="371" t="e">
        <f t="shared" ca="1" si="6"/>
        <v>#REF!</v>
      </c>
      <c r="J51" s="371" t="e">
        <f t="shared" ca="1" si="6"/>
        <v>#REF!</v>
      </c>
      <c r="K51" s="371" t="e">
        <f t="shared" ca="1" si="6"/>
        <v>#REF!</v>
      </c>
      <c r="L51" s="371" t="e">
        <f t="shared" ca="1" si="6"/>
        <v>#REF!</v>
      </c>
      <c r="M51" s="371" t="e">
        <f t="shared" ca="1" si="6"/>
        <v>#REF!</v>
      </c>
      <c r="N51" s="371" t="e">
        <f t="shared" ca="1" si="6"/>
        <v>#REF!</v>
      </c>
      <c r="O51" s="371" t="e">
        <f t="shared" ca="1" si="6"/>
        <v>#REF!</v>
      </c>
      <c r="P51" s="371" t="e">
        <f t="shared" ca="1" si="6"/>
        <v>#REF!</v>
      </c>
      <c r="Q51" s="371" t="e">
        <f t="shared" ca="1" si="6"/>
        <v>#REF!</v>
      </c>
      <c r="R51" s="371" t="e">
        <f t="shared" ca="1" si="6"/>
        <v>#REF!</v>
      </c>
      <c r="S51" s="371" t="e">
        <f t="shared" ca="1" si="6"/>
        <v>#REF!</v>
      </c>
      <c r="T51" s="371" t="e">
        <f t="shared" ca="1" si="6"/>
        <v>#REF!</v>
      </c>
      <c r="U51" s="371" t="e">
        <f t="shared" ca="1" si="6"/>
        <v>#REF!</v>
      </c>
      <c r="V51" s="371" t="e">
        <f t="shared" ca="1" si="6"/>
        <v>#REF!</v>
      </c>
      <c r="W51" s="371" t="e">
        <f t="shared" ca="1" si="6"/>
        <v>#REF!</v>
      </c>
      <c r="X51" s="371" t="e">
        <f t="shared" ca="1" si="6"/>
        <v>#REF!</v>
      </c>
      <c r="Y51" s="371" t="e">
        <f t="shared" ca="1" si="6"/>
        <v>#REF!</v>
      </c>
      <c r="Z51" s="371" t="e">
        <f t="shared" ca="1" si="6"/>
        <v>#REF!</v>
      </c>
      <c r="AA51" s="371" t="e">
        <f t="shared" ca="1" si="6"/>
        <v>#REF!</v>
      </c>
      <c r="AB51" s="371" t="e">
        <f t="shared" ca="1" si="6"/>
        <v>#REF!</v>
      </c>
      <c r="AC51" s="371" t="e">
        <f t="shared" ca="1" si="6"/>
        <v>#REF!</v>
      </c>
      <c r="AD51" s="371" t="e">
        <f t="shared" ca="1" si="6"/>
        <v>#REF!</v>
      </c>
      <c r="AE51" s="371" t="e">
        <f t="shared" ca="1" si="6"/>
        <v>#REF!</v>
      </c>
      <c r="AF51" s="371" t="e">
        <f t="shared" ca="1" si="6"/>
        <v>#REF!</v>
      </c>
      <c r="AG51" s="371" t="e">
        <f t="shared" ca="1" si="6"/>
        <v>#REF!</v>
      </c>
      <c r="AH51" s="371" t="e">
        <f t="shared" ca="1" si="6"/>
        <v>#REF!</v>
      </c>
      <c r="AI51" s="371" t="e">
        <f t="shared" ca="1" si="6"/>
        <v>#REF!</v>
      </c>
      <c r="AJ51" s="371" t="e">
        <f t="shared" ca="1" si="6"/>
        <v>#REF!</v>
      </c>
      <c r="AK51" s="371" t="e">
        <f t="shared" ca="1" si="6"/>
        <v>#REF!</v>
      </c>
      <c r="AL51" s="371" t="e">
        <f t="shared" ca="1" si="6"/>
        <v>#REF!</v>
      </c>
      <c r="AM51" s="371" t="e">
        <f t="shared" ca="1" si="6"/>
        <v>#REF!</v>
      </c>
      <c r="AN51" s="371" t="e">
        <f t="shared" ca="1" si="6"/>
        <v>#REF!</v>
      </c>
      <c r="AO51" s="371" t="e">
        <f t="shared" ca="1" si="6"/>
        <v>#REF!</v>
      </c>
      <c r="AP51" s="371" t="e">
        <f t="shared" ca="1" si="6"/>
        <v>#REF!</v>
      </c>
      <c r="AQ51" s="371" t="e">
        <f t="shared" ca="1" si="6"/>
        <v>#REF!</v>
      </c>
      <c r="AR51" s="371" t="e">
        <f t="shared" ca="1" si="6"/>
        <v>#REF!</v>
      </c>
      <c r="AS51" s="371" t="e">
        <f t="shared" ca="1" si="6"/>
        <v>#REF!</v>
      </c>
      <c r="AT51" s="371" t="e">
        <f t="shared" ca="1" si="6"/>
        <v>#REF!</v>
      </c>
      <c r="AU51" s="371" t="e">
        <f t="shared" ca="1" si="6"/>
        <v>#REF!</v>
      </c>
      <c r="AV51" s="371" t="e">
        <f t="shared" ca="1" si="6"/>
        <v>#REF!</v>
      </c>
      <c r="AW51" s="371" t="e">
        <f t="shared" ca="1" si="6"/>
        <v>#REF!</v>
      </c>
      <c r="AX51" s="371" t="e">
        <f t="shared" ca="1" si="6"/>
        <v>#REF!</v>
      </c>
      <c r="AY51" s="371" t="e">
        <f t="shared" ca="1" si="6"/>
        <v>#REF!</v>
      </c>
      <c r="AZ51" s="371" t="e">
        <f t="shared" ca="1" si="6"/>
        <v>#REF!</v>
      </c>
      <c r="BA51" s="371" t="e">
        <f t="shared" ca="1" si="6"/>
        <v>#REF!</v>
      </c>
      <c r="BB51" s="371" t="e">
        <f t="shared" ca="1" si="6"/>
        <v>#REF!</v>
      </c>
      <c r="BC51" s="371" t="e">
        <f t="shared" ca="1" si="6"/>
        <v>#REF!</v>
      </c>
      <c r="BD51" s="371" t="e">
        <f t="shared" ca="1" si="6"/>
        <v>#REF!</v>
      </c>
      <c r="BE51" s="371" t="e">
        <f t="shared" ca="1" si="6"/>
        <v>#REF!</v>
      </c>
      <c r="BF51" s="371" t="e">
        <f t="shared" ca="1" si="6"/>
        <v>#REF!</v>
      </c>
      <c r="BG51" s="371" t="e">
        <f t="shared" ca="1" si="6"/>
        <v>#REF!</v>
      </c>
      <c r="BH51" s="371" t="e">
        <f t="shared" ca="1" si="6"/>
        <v>#REF!</v>
      </c>
      <c r="BI51" s="371" t="e">
        <f t="shared" ca="1" si="6"/>
        <v>#REF!</v>
      </c>
    </row>
    <row r="52" spans="1:62" x14ac:dyDescent="0.15">
      <c r="A52" s="367"/>
      <c r="B52" s="371"/>
      <c r="C52" s="371"/>
      <c r="D52" s="371"/>
      <c r="E52" s="371"/>
      <c r="F52" s="371"/>
      <c r="G52" s="371"/>
      <c r="H52" s="371"/>
      <c r="I52" s="371"/>
      <c r="J52" s="371"/>
      <c r="K52" s="371"/>
      <c r="L52" s="371"/>
      <c r="M52" s="371"/>
      <c r="N52" s="371"/>
      <c r="O52" s="371"/>
      <c r="P52" s="371"/>
      <c r="Q52" s="371"/>
      <c r="R52" s="371"/>
      <c r="S52" s="371"/>
      <c r="T52" s="371"/>
      <c r="U52" s="371"/>
      <c r="V52" s="371"/>
      <c r="W52" s="371"/>
      <c r="X52" s="371"/>
      <c r="Y52" s="371"/>
      <c r="Z52" s="371"/>
      <c r="AA52" s="371"/>
      <c r="AB52" s="371"/>
      <c r="AC52" s="371"/>
      <c r="AD52" s="371"/>
      <c r="AE52" s="371"/>
      <c r="AF52" s="371"/>
      <c r="AG52" s="371"/>
      <c r="AH52" s="371"/>
      <c r="AI52" s="371"/>
      <c r="AJ52" s="371"/>
      <c r="AK52" s="371"/>
      <c r="AL52" s="371"/>
      <c r="AM52" s="371"/>
      <c r="AN52" s="371"/>
      <c r="AO52" s="371"/>
      <c r="AP52" s="371"/>
      <c r="AQ52" s="371"/>
      <c r="AR52" s="371"/>
      <c r="AS52" s="371"/>
      <c r="AT52" s="371"/>
      <c r="AU52" s="371"/>
      <c r="AV52" s="371"/>
      <c r="AW52" s="371"/>
      <c r="AX52" s="371"/>
      <c r="AY52" s="371"/>
      <c r="AZ52" s="371"/>
      <c r="BA52" s="371"/>
      <c r="BB52" s="371"/>
      <c r="BC52" s="371"/>
      <c r="BD52" s="371"/>
      <c r="BE52" s="371"/>
      <c r="BF52" s="371"/>
      <c r="BG52" s="371"/>
      <c r="BH52" s="371"/>
      <c r="BI52" s="371"/>
    </row>
    <row r="53" spans="1:62" s="372" customFormat="1" x14ac:dyDescent="0.15">
      <c r="A53" s="367"/>
    </row>
    <row r="54" spans="1:62" s="353" customFormat="1" outlineLevel="1" x14ac:dyDescent="0.15">
      <c r="A54" s="373" t="s">
        <v>459</v>
      </c>
      <c r="B54" s="374">
        <f>ROUND('Saleplan&amp;PnL'!D6*1000/Leadsheet!$E$10,0)</f>
        <v>0</v>
      </c>
      <c r="C54" s="374">
        <f>ROUND('Saleplan&amp;PnL'!E6*1000/Leadsheet!$E$10,0)</f>
        <v>0</v>
      </c>
      <c r="D54" s="374">
        <f>ROUND('Saleplan&amp;PnL'!F6*1000/Leadsheet!$E$10,0)</f>
        <v>0</v>
      </c>
      <c r="E54" s="374">
        <f>ROUND('Saleplan&amp;PnL'!G6*1000/Leadsheet!$E$10,0)</f>
        <v>0</v>
      </c>
      <c r="F54" s="374">
        <f>ROUND('Saleplan&amp;PnL'!H6*1000/Leadsheet!$E$10,0)</f>
        <v>0</v>
      </c>
      <c r="G54" s="374">
        <f>ROUND('Saleplan&amp;PnL'!I6*1000/Leadsheet!$E$10,0)</f>
        <v>0</v>
      </c>
      <c r="H54" s="374" t="e">
        <f>ROUND('Saleplan&amp;PnL'!J6*1000/Leadsheet!$E$10,0)</f>
        <v>#REF!</v>
      </c>
      <c r="I54" s="374" t="e">
        <f>ROUND('Saleplan&amp;PnL'!K6*1000/Leadsheet!$E$10,0)</f>
        <v>#REF!</v>
      </c>
      <c r="J54" s="374" t="e">
        <f>ROUND('Saleplan&amp;PnL'!L6*1000/Leadsheet!$E$10,0)</f>
        <v>#REF!</v>
      </c>
      <c r="K54" s="374">
        <f>ROUND('Saleplan&amp;PnL'!M6*1000/Leadsheet!$E$10,0)</f>
        <v>0</v>
      </c>
      <c r="L54" s="374">
        <f>ROUND('Saleplan&amp;PnL'!N6*1000/Leadsheet!$E$10,0)</f>
        <v>0</v>
      </c>
      <c r="M54" s="374">
        <f>ROUND('Saleplan&amp;PnL'!O6*1000/Leadsheet!$E$10,0)</f>
        <v>0</v>
      </c>
      <c r="N54" s="374">
        <f>ROUND('Saleplan&amp;PnL'!P6*1000/Leadsheet!$E$10,0)</f>
        <v>0</v>
      </c>
      <c r="O54" s="374">
        <f>ROUND('Saleplan&amp;PnL'!Q6*1000/Leadsheet!$E$10,0)</f>
        <v>0</v>
      </c>
      <c r="P54" s="374">
        <f>ROUND('Saleplan&amp;PnL'!R6*1000/Leadsheet!$E$10,0)</f>
        <v>0</v>
      </c>
      <c r="Q54" s="374">
        <f>ROUND('Saleplan&amp;PnL'!S6*1000/Leadsheet!$E$10,0)</f>
        <v>0</v>
      </c>
      <c r="R54" s="374">
        <f>ROUND('Saleplan&amp;PnL'!T6*1000/Leadsheet!$E$10,0)</f>
        <v>0</v>
      </c>
      <c r="S54" s="374">
        <f>ROUND('Saleplan&amp;PnL'!U6*1000/Leadsheet!$E$10,0)</f>
        <v>0</v>
      </c>
      <c r="T54" s="374">
        <f>ROUND('Saleplan&amp;PnL'!V6*1000/Leadsheet!$E$10,0)</f>
        <v>0</v>
      </c>
      <c r="U54" s="374">
        <f>ROUND('Saleplan&amp;PnL'!W6*1000/Leadsheet!$E$10,0)</f>
        <v>0</v>
      </c>
      <c r="V54" s="374">
        <f>ROUND('Saleplan&amp;PnL'!X6*1000/Leadsheet!$E$10,0)</f>
        <v>0</v>
      </c>
      <c r="W54" s="374">
        <f>ROUND('Saleplan&amp;PnL'!Y6*1000/Leadsheet!$E$10,0)</f>
        <v>0</v>
      </c>
      <c r="X54" s="374">
        <f>ROUND('Saleplan&amp;PnL'!Z6*1000/Leadsheet!$E$10,0)</f>
        <v>0</v>
      </c>
      <c r="Y54" s="374">
        <f>ROUND('Saleplan&amp;PnL'!AA6*1000/Leadsheet!$E$10,0)</f>
        <v>0</v>
      </c>
      <c r="Z54" s="374">
        <f>ROUND('Saleplan&amp;PnL'!AB6*1000/Leadsheet!$E$10,0)</f>
        <v>0</v>
      </c>
      <c r="AA54" s="374">
        <f>ROUND('Saleplan&amp;PnL'!AC6*1000/Leadsheet!$E$10,0)</f>
        <v>0</v>
      </c>
      <c r="AB54" s="374">
        <f>ROUND('Saleplan&amp;PnL'!AD6*1000/Leadsheet!$E$10,0)</f>
        <v>0</v>
      </c>
      <c r="AC54" s="374">
        <f>ROUND('Saleplan&amp;PnL'!AE6*1000/Leadsheet!$E$10,0)</f>
        <v>0</v>
      </c>
      <c r="AD54" s="374">
        <f>ROUND('Saleplan&amp;PnL'!AF6*1000/Leadsheet!$E$10,0)</f>
        <v>0</v>
      </c>
      <c r="AE54" s="374">
        <f>ROUND('Saleplan&amp;PnL'!AG6*1000/Leadsheet!$E$10,0)</f>
        <v>0</v>
      </c>
      <c r="AF54" s="374">
        <f>ROUND('Saleplan&amp;PnL'!AH6*1000/Leadsheet!$E$10,0)</f>
        <v>0</v>
      </c>
      <c r="AG54" s="374">
        <f>ROUND('Saleplan&amp;PnL'!AI6*1000/Leadsheet!$E$10,0)</f>
        <v>0</v>
      </c>
      <c r="AH54" s="374">
        <f>ROUND('Saleplan&amp;PnL'!AJ6*1000/Leadsheet!$E$10,0)</f>
        <v>0</v>
      </c>
      <c r="AI54" s="374">
        <f>ROUND('Saleplan&amp;PnL'!AK6*1000/Leadsheet!$E$10,0)</f>
        <v>0</v>
      </c>
      <c r="AJ54" s="374">
        <f>ROUND('Saleplan&amp;PnL'!AL6*1000/Leadsheet!$E$10,0)</f>
        <v>0</v>
      </c>
      <c r="AK54" s="374">
        <f>ROUND('Saleplan&amp;PnL'!AM6*1000/Leadsheet!$E$10,0)</f>
        <v>0</v>
      </c>
      <c r="AL54" s="374">
        <f>ROUND('Saleplan&amp;PnL'!AN6*1000/Leadsheet!$E$10,0)</f>
        <v>0</v>
      </c>
      <c r="AM54" s="374">
        <f>ROUND('Saleplan&amp;PnL'!AO6*1000/Leadsheet!$E$10,0)</f>
        <v>0</v>
      </c>
      <c r="AN54" s="374">
        <f>ROUND('Saleplan&amp;PnL'!AP6*1000/Leadsheet!$E$10,0)</f>
        <v>0</v>
      </c>
      <c r="AO54" s="374">
        <f>ROUND('Saleplan&amp;PnL'!AQ6*1000/Leadsheet!$E$10,0)</f>
        <v>0</v>
      </c>
      <c r="AP54" s="374">
        <f>ROUND('Saleplan&amp;PnL'!AR6*1000/Leadsheet!$E$10,0)</f>
        <v>0</v>
      </c>
      <c r="AQ54" s="374">
        <f>ROUND('Saleplan&amp;PnL'!AS6*1000/Leadsheet!$E$10,0)</f>
        <v>0</v>
      </c>
      <c r="AR54" s="374">
        <f>ROUND('Saleplan&amp;PnL'!AT6*1000/Leadsheet!$E$10,0)</f>
        <v>0</v>
      </c>
      <c r="AS54" s="374">
        <f>ROUND('Saleplan&amp;PnL'!AU6*1000/Leadsheet!$E$10,0)</f>
        <v>0</v>
      </c>
      <c r="AT54" s="374">
        <f>ROUND('Saleplan&amp;PnL'!AV6*1000/Leadsheet!$E$10,0)</f>
        <v>0</v>
      </c>
      <c r="AU54" s="374">
        <f>ROUND('Saleplan&amp;PnL'!AW6*1000/Leadsheet!$E$10,0)</f>
        <v>0</v>
      </c>
      <c r="AV54" s="374">
        <f>ROUND('Saleplan&amp;PnL'!AX6*1000/Leadsheet!$E$10,0)</f>
        <v>0</v>
      </c>
      <c r="AW54" s="374">
        <f>ROUND('Saleplan&amp;PnL'!AY6*1000/Leadsheet!$E$10,0)</f>
        <v>0</v>
      </c>
      <c r="AX54" s="374">
        <f>ROUND('Saleplan&amp;PnL'!AZ6*1000/Leadsheet!$E$10,0)</f>
        <v>0</v>
      </c>
      <c r="AY54" s="374">
        <f>ROUND('Saleplan&amp;PnL'!BA6*1000/Leadsheet!$E$10,0)</f>
        <v>0</v>
      </c>
      <c r="AZ54" s="374">
        <f>ROUND('Saleplan&amp;PnL'!BB6*1000/Leadsheet!$E$10,0)</f>
        <v>0</v>
      </c>
      <c r="BA54" s="374">
        <f>ROUND('Saleplan&amp;PnL'!BC6*1000/Leadsheet!$E$10,0)</f>
        <v>0</v>
      </c>
      <c r="BB54" s="374">
        <f>ROUND('Saleplan&amp;PnL'!BD6*1000/Leadsheet!$E$10,0)</f>
        <v>0</v>
      </c>
      <c r="BC54" s="374">
        <f>ROUND('Saleplan&amp;PnL'!BE6*1000/Leadsheet!$E$10,0)</f>
        <v>0</v>
      </c>
      <c r="BD54" s="374">
        <f>ROUND('Saleplan&amp;PnL'!BF6*1000/Leadsheet!$E$10,0)</f>
        <v>0</v>
      </c>
      <c r="BE54" s="374">
        <f>ROUND('Saleplan&amp;PnL'!BG6*1000/Leadsheet!$E$10,0)</f>
        <v>0</v>
      </c>
      <c r="BF54" s="374">
        <f>ROUND('Saleplan&amp;PnL'!BH6*1000/Leadsheet!$E$10,0)</f>
        <v>0</v>
      </c>
      <c r="BG54" s="374">
        <f>ROUND('Saleplan&amp;PnL'!BI6*1000/Leadsheet!$E$10,0)</f>
        <v>0</v>
      </c>
      <c r="BH54" s="374">
        <f>ROUND('Saleplan&amp;PnL'!BJ6*1000/Leadsheet!$E$10,0)</f>
        <v>0</v>
      </c>
      <c r="BI54" s="374">
        <f>ROUND('Saleplan&amp;PnL'!BK6*1000/Leadsheet!$E$10,0)</f>
        <v>0</v>
      </c>
    </row>
    <row r="55" spans="1:62" outlineLevel="1" x14ac:dyDescent="0.15">
      <c r="A55" s="375">
        <v>1</v>
      </c>
      <c r="B55" s="365">
        <f t="shared" ref="B55:Q86" ca="1" si="7">IF($A55&gt;B$5,"",OFFSET(B$54,0,-($A55-1)))</f>
        <v>0</v>
      </c>
      <c r="C55" s="365">
        <f t="shared" ca="1" si="7"/>
        <v>0</v>
      </c>
      <c r="D55" s="365">
        <f t="shared" ca="1" si="7"/>
        <v>0</v>
      </c>
      <c r="E55" s="365">
        <f t="shared" ca="1" si="7"/>
        <v>0</v>
      </c>
      <c r="F55" s="365">
        <f t="shared" ca="1" si="7"/>
        <v>0</v>
      </c>
      <c r="G55" s="365">
        <f t="shared" ca="1" si="7"/>
        <v>0</v>
      </c>
      <c r="H55" s="365" t="e">
        <f t="shared" ca="1" si="7"/>
        <v>#REF!</v>
      </c>
      <c r="I55" s="365" t="e">
        <f t="shared" ca="1" si="7"/>
        <v>#REF!</v>
      </c>
      <c r="J55" s="365" t="e">
        <f t="shared" ca="1" si="7"/>
        <v>#REF!</v>
      </c>
      <c r="K55" s="365">
        <f t="shared" ca="1" si="7"/>
        <v>0</v>
      </c>
      <c r="L55" s="365">
        <f t="shared" ca="1" si="7"/>
        <v>0</v>
      </c>
      <c r="M55" s="365">
        <f t="shared" ca="1" si="7"/>
        <v>0</v>
      </c>
      <c r="N55" s="365">
        <f t="shared" ca="1" si="7"/>
        <v>0</v>
      </c>
      <c r="O55" s="365">
        <f t="shared" ca="1" si="7"/>
        <v>0</v>
      </c>
      <c r="P55" s="365">
        <f t="shared" ca="1" si="7"/>
        <v>0</v>
      </c>
      <c r="Q55" s="365">
        <f t="shared" ca="1" si="7"/>
        <v>0</v>
      </c>
      <c r="R55" s="365">
        <f t="shared" ref="R55:BX60" ca="1" si="8">IF($A55&gt;R$5,"",OFFSET(R$54,0,-($A55-1)))</f>
        <v>0</v>
      </c>
      <c r="S55" s="365">
        <f t="shared" ca="1" si="8"/>
        <v>0</v>
      </c>
      <c r="T55" s="365">
        <f t="shared" ca="1" si="8"/>
        <v>0</v>
      </c>
      <c r="U55" s="365">
        <f t="shared" ca="1" si="8"/>
        <v>0</v>
      </c>
      <c r="V55" s="365">
        <f t="shared" ca="1" si="8"/>
        <v>0</v>
      </c>
      <c r="W55" s="365">
        <f t="shared" ca="1" si="8"/>
        <v>0</v>
      </c>
      <c r="X55" s="365">
        <f t="shared" ca="1" si="8"/>
        <v>0</v>
      </c>
      <c r="Y55" s="365">
        <f t="shared" ca="1" si="8"/>
        <v>0</v>
      </c>
      <c r="Z55" s="365">
        <f t="shared" ca="1" si="8"/>
        <v>0</v>
      </c>
      <c r="AA55" s="365">
        <f t="shared" ca="1" si="8"/>
        <v>0</v>
      </c>
      <c r="AB55" s="365">
        <f t="shared" ca="1" si="8"/>
        <v>0</v>
      </c>
      <c r="AC55" s="365">
        <f t="shared" ca="1" si="8"/>
        <v>0</v>
      </c>
      <c r="AD55" s="365">
        <f t="shared" ca="1" si="8"/>
        <v>0</v>
      </c>
      <c r="AE55" s="365">
        <f t="shared" ca="1" si="8"/>
        <v>0</v>
      </c>
      <c r="AF55" s="365">
        <f t="shared" ca="1" si="8"/>
        <v>0</v>
      </c>
      <c r="AG55" s="365">
        <f t="shared" ca="1" si="8"/>
        <v>0</v>
      </c>
      <c r="AH55" s="365">
        <f t="shared" ca="1" si="8"/>
        <v>0</v>
      </c>
      <c r="AI55" s="365">
        <f t="shared" ca="1" si="8"/>
        <v>0</v>
      </c>
      <c r="AJ55" s="365">
        <f t="shared" ca="1" si="8"/>
        <v>0</v>
      </c>
      <c r="AK55" s="365">
        <f t="shared" ca="1" si="8"/>
        <v>0</v>
      </c>
      <c r="AL55" s="365">
        <f t="shared" ca="1" si="8"/>
        <v>0</v>
      </c>
      <c r="AM55" s="365">
        <f t="shared" ca="1" si="8"/>
        <v>0</v>
      </c>
      <c r="AN55" s="365">
        <f t="shared" ca="1" si="8"/>
        <v>0</v>
      </c>
      <c r="AO55" s="365">
        <f t="shared" ca="1" si="8"/>
        <v>0</v>
      </c>
      <c r="AP55" s="365">
        <f t="shared" ca="1" si="8"/>
        <v>0</v>
      </c>
      <c r="AQ55" s="365">
        <f t="shared" ca="1" si="8"/>
        <v>0</v>
      </c>
      <c r="AR55" s="365">
        <f t="shared" ca="1" si="8"/>
        <v>0</v>
      </c>
      <c r="AS55" s="365">
        <f t="shared" ca="1" si="8"/>
        <v>0</v>
      </c>
      <c r="AT55" s="365">
        <f t="shared" ca="1" si="8"/>
        <v>0</v>
      </c>
      <c r="AU55" s="365">
        <f t="shared" ca="1" si="8"/>
        <v>0</v>
      </c>
      <c r="AV55" s="365">
        <f t="shared" ca="1" si="8"/>
        <v>0</v>
      </c>
      <c r="AW55" s="365">
        <f t="shared" ca="1" si="8"/>
        <v>0</v>
      </c>
      <c r="AX55" s="365">
        <f t="shared" ca="1" si="8"/>
        <v>0</v>
      </c>
      <c r="AY55" s="365">
        <f t="shared" ca="1" si="8"/>
        <v>0</v>
      </c>
      <c r="AZ55" s="365">
        <f t="shared" ca="1" si="8"/>
        <v>0</v>
      </c>
      <c r="BA55" s="365">
        <f t="shared" ca="1" si="8"/>
        <v>0</v>
      </c>
      <c r="BB55" s="365">
        <f t="shared" ca="1" si="8"/>
        <v>0</v>
      </c>
      <c r="BC55" s="365">
        <f t="shared" ca="1" si="8"/>
        <v>0</v>
      </c>
      <c r="BD55" s="365">
        <f t="shared" ca="1" si="8"/>
        <v>0</v>
      </c>
      <c r="BE55" s="365">
        <f t="shared" ca="1" si="8"/>
        <v>0</v>
      </c>
      <c r="BF55" s="365">
        <f t="shared" ca="1" si="8"/>
        <v>0</v>
      </c>
      <c r="BG55" s="365">
        <f t="shared" ca="1" si="8"/>
        <v>0</v>
      </c>
      <c r="BH55" s="365">
        <f t="shared" ca="1" si="8"/>
        <v>0</v>
      </c>
      <c r="BI55" s="365">
        <f t="shared" ca="1" si="8"/>
        <v>0</v>
      </c>
      <c r="BJ55" s="365"/>
    </row>
    <row r="56" spans="1:62" outlineLevel="1" x14ac:dyDescent="0.15">
      <c r="A56" s="375">
        <v>2</v>
      </c>
      <c r="B56" s="365" t="str">
        <f t="shared" ca="1" si="7"/>
        <v/>
      </c>
      <c r="C56" s="365">
        <f t="shared" ca="1" si="7"/>
        <v>0</v>
      </c>
      <c r="D56" s="365">
        <f t="shared" ca="1" si="7"/>
        <v>0</v>
      </c>
      <c r="E56" s="365">
        <f t="shared" ca="1" si="7"/>
        <v>0</v>
      </c>
      <c r="F56" s="365">
        <f t="shared" ca="1" si="7"/>
        <v>0</v>
      </c>
      <c r="G56" s="365">
        <f t="shared" ca="1" si="7"/>
        <v>0</v>
      </c>
      <c r="H56" s="365">
        <f t="shared" ca="1" si="7"/>
        <v>0</v>
      </c>
      <c r="I56" s="365" t="e">
        <f t="shared" ca="1" si="7"/>
        <v>#REF!</v>
      </c>
      <c r="J56" s="365" t="e">
        <f t="shared" ca="1" si="7"/>
        <v>#REF!</v>
      </c>
      <c r="K56" s="365" t="e">
        <f t="shared" ca="1" si="7"/>
        <v>#REF!</v>
      </c>
      <c r="L56" s="365">
        <f t="shared" ca="1" si="7"/>
        <v>0</v>
      </c>
      <c r="M56" s="365">
        <f t="shared" ca="1" si="7"/>
        <v>0</v>
      </c>
      <c r="N56" s="365">
        <f t="shared" ca="1" si="7"/>
        <v>0</v>
      </c>
      <c r="O56" s="365">
        <f t="shared" ca="1" si="7"/>
        <v>0</v>
      </c>
      <c r="P56" s="365">
        <f t="shared" ca="1" si="7"/>
        <v>0</v>
      </c>
      <c r="Q56" s="365">
        <f t="shared" ca="1" si="7"/>
        <v>0</v>
      </c>
      <c r="R56" s="365">
        <f t="shared" ca="1" si="8"/>
        <v>0</v>
      </c>
      <c r="S56" s="365">
        <f t="shared" ca="1" si="8"/>
        <v>0</v>
      </c>
      <c r="T56" s="365">
        <f t="shared" ca="1" si="8"/>
        <v>0</v>
      </c>
      <c r="U56" s="365">
        <f t="shared" ca="1" si="8"/>
        <v>0</v>
      </c>
      <c r="V56" s="365">
        <f t="shared" ca="1" si="8"/>
        <v>0</v>
      </c>
      <c r="W56" s="365">
        <f t="shared" ca="1" si="8"/>
        <v>0</v>
      </c>
      <c r="X56" s="365">
        <f t="shared" ca="1" si="8"/>
        <v>0</v>
      </c>
      <c r="Y56" s="365">
        <f t="shared" ca="1" si="8"/>
        <v>0</v>
      </c>
      <c r="Z56" s="365">
        <f t="shared" ca="1" si="8"/>
        <v>0</v>
      </c>
      <c r="AA56" s="365">
        <f t="shared" ca="1" si="8"/>
        <v>0</v>
      </c>
      <c r="AB56" s="365">
        <f t="shared" ca="1" si="8"/>
        <v>0</v>
      </c>
      <c r="AC56" s="365">
        <f t="shared" ca="1" si="8"/>
        <v>0</v>
      </c>
      <c r="AD56" s="365">
        <f t="shared" ca="1" si="8"/>
        <v>0</v>
      </c>
      <c r="AE56" s="365">
        <f t="shared" ca="1" si="8"/>
        <v>0</v>
      </c>
      <c r="AF56" s="365">
        <f t="shared" ca="1" si="8"/>
        <v>0</v>
      </c>
      <c r="AG56" s="365">
        <f t="shared" ca="1" si="8"/>
        <v>0</v>
      </c>
      <c r="AH56" s="365">
        <f t="shared" ca="1" si="8"/>
        <v>0</v>
      </c>
      <c r="AI56" s="365">
        <f t="shared" ca="1" si="8"/>
        <v>0</v>
      </c>
      <c r="AJ56" s="365">
        <f t="shared" ca="1" si="8"/>
        <v>0</v>
      </c>
      <c r="AK56" s="365">
        <f t="shared" ca="1" si="8"/>
        <v>0</v>
      </c>
      <c r="AL56" s="365">
        <f t="shared" ca="1" si="8"/>
        <v>0</v>
      </c>
      <c r="AM56" s="365">
        <f t="shared" ca="1" si="8"/>
        <v>0</v>
      </c>
      <c r="AN56" s="365">
        <f t="shared" ca="1" si="8"/>
        <v>0</v>
      </c>
      <c r="AO56" s="365">
        <f t="shared" ca="1" si="8"/>
        <v>0</v>
      </c>
      <c r="AP56" s="365">
        <f t="shared" ca="1" si="8"/>
        <v>0</v>
      </c>
      <c r="AQ56" s="365">
        <f t="shared" ca="1" si="8"/>
        <v>0</v>
      </c>
      <c r="AR56" s="365">
        <f t="shared" ca="1" si="8"/>
        <v>0</v>
      </c>
      <c r="AS56" s="365">
        <f t="shared" ca="1" si="8"/>
        <v>0</v>
      </c>
      <c r="AT56" s="365">
        <f t="shared" ca="1" si="8"/>
        <v>0</v>
      </c>
      <c r="AU56" s="365">
        <f t="shared" ca="1" si="8"/>
        <v>0</v>
      </c>
      <c r="AV56" s="365">
        <f t="shared" ca="1" si="8"/>
        <v>0</v>
      </c>
      <c r="AW56" s="365">
        <f t="shared" ca="1" si="8"/>
        <v>0</v>
      </c>
      <c r="AX56" s="365">
        <f t="shared" ca="1" si="8"/>
        <v>0</v>
      </c>
      <c r="AY56" s="365">
        <f t="shared" ca="1" si="8"/>
        <v>0</v>
      </c>
      <c r="AZ56" s="365">
        <f t="shared" ca="1" si="8"/>
        <v>0</v>
      </c>
      <c r="BA56" s="365">
        <f t="shared" ca="1" si="8"/>
        <v>0</v>
      </c>
      <c r="BB56" s="365">
        <f t="shared" ca="1" si="8"/>
        <v>0</v>
      </c>
      <c r="BC56" s="365">
        <f t="shared" ca="1" si="8"/>
        <v>0</v>
      </c>
      <c r="BD56" s="365">
        <f t="shared" ca="1" si="8"/>
        <v>0</v>
      </c>
      <c r="BE56" s="365">
        <f t="shared" ca="1" si="8"/>
        <v>0</v>
      </c>
      <c r="BF56" s="365">
        <f t="shared" ca="1" si="8"/>
        <v>0</v>
      </c>
      <c r="BG56" s="365">
        <f t="shared" ca="1" si="8"/>
        <v>0</v>
      </c>
      <c r="BH56" s="365">
        <f t="shared" ca="1" si="8"/>
        <v>0</v>
      </c>
      <c r="BI56" s="365">
        <f t="shared" ca="1" si="8"/>
        <v>0</v>
      </c>
      <c r="BJ56" s="365"/>
    </row>
    <row r="57" spans="1:62" outlineLevel="1" x14ac:dyDescent="0.15">
      <c r="A57" s="375">
        <v>3</v>
      </c>
      <c r="B57" s="365" t="str">
        <f t="shared" ca="1" si="7"/>
        <v/>
      </c>
      <c r="C57" s="365" t="str">
        <f t="shared" ca="1" si="7"/>
        <v/>
      </c>
      <c r="D57" s="365">
        <f t="shared" ca="1" si="7"/>
        <v>0</v>
      </c>
      <c r="E57" s="365">
        <f t="shared" ca="1" si="7"/>
        <v>0</v>
      </c>
      <c r="F57" s="365">
        <f t="shared" ca="1" si="7"/>
        <v>0</v>
      </c>
      <c r="G57" s="365">
        <f t="shared" ca="1" si="7"/>
        <v>0</v>
      </c>
      <c r="H57" s="365">
        <f t="shared" ca="1" si="7"/>
        <v>0</v>
      </c>
      <c r="I57" s="365">
        <f t="shared" ca="1" si="7"/>
        <v>0</v>
      </c>
      <c r="J57" s="365" t="e">
        <f t="shared" ca="1" si="7"/>
        <v>#REF!</v>
      </c>
      <c r="K57" s="365" t="e">
        <f t="shared" ca="1" si="7"/>
        <v>#REF!</v>
      </c>
      <c r="L57" s="365" t="e">
        <f t="shared" ca="1" si="7"/>
        <v>#REF!</v>
      </c>
      <c r="M57" s="365">
        <f t="shared" ca="1" si="7"/>
        <v>0</v>
      </c>
      <c r="N57" s="365">
        <f t="shared" ca="1" si="7"/>
        <v>0</v>
      </c>
      <c r="O57" s="365">
        <f t="shared" ca="1" si="7"/>
        <v>0</v>
      </c>
      <c r="P57" s="365">
        <f t="shared" ca="1" si="7"/>
        <v>0</v>
      </c>
      <c r="Q57" s="365">
        <f t="shared" ca="1" si="7"/>
        <v>0</v>
      </c>
      <c r="R57" s="365">
        <f t="shared" ca="1" si="8"/>
        <v>0</v>
      </c>
      <c r="S57" s="365">
        <f t="shared" ca="1" si="8"/>
        <v>0</v>
      </c>
      <c r="T57" s="365">
        <f t="shared" ca="1" si="8"/>
        <v>0</v>
      </c>
      <c r="U57" s="365">
        <f t="shared" ca="1" si="8"/>
        <v>0</v>
      </c>
      <c r="V57" s="365">
        <f t="shared" ca="1" si="8"/>
        <v>0</v>
      </c>
      <c r="W57" s="365">
        <f t="shared" ca="1" si="8"/>
        <v>0</v>
      </c>
      <c r="X57" s="365">
        <f t="shared" ca="1" si="8"/>
        <v>0</v>
      </c>
      <c r="Y57" s="365">
        <f t="shared" ca="1" si="8"/>
        <v>0</v>
      </c>
      <c r="Z57" s="365">
        <f t="shared" ca="1" si="8"/>
        <v>0</v>
      </c>
      <c r="AA57" s="365">
        <f t="shared" ca="1" si="8"/>
        <v>0</v>
      </c>
      <c r="AB57" s="365">
        <f t="shared" ca="1" si="8"/>
        <v>0</v>
      </c>
      <c r="AC57" s="365">
        <f t="shared" ca="1" si="8"/>
        <v>0</v>
      </c>
      <c r="AD57" s="365">
        <f t="shared" ca="1" si="8"/>
        <v>0</v>
      </c>
      <c r="AE57" s="365">
        <f t="shared" ca="1" si="8"/>
        <v>0</v>
      </c>
      <c r="AF57" s="365">
        <f t="shared" ca="1" si="8"/>
        <v>0</v>
      </c>
      <c r="AG57" s="365">
        <f t="shared" ca="1" si="8"/>
        <v>0</v>
      </c>
      <c r="AH57" s="365">
        <f t="shared" ca="1" si="8"/>
        <v>0</v>
      </c>
      <c r="AI57" s="365">
        <f t="shared" ca="1" si="8"/>
        <v>0</v>
      </c>
      <c r="AJ57" s="365">
        <f t="shared" ca="1" si="8"/>
        <v>0</v>
      </c>
      <c r="AK57" s="365">
        <f t="shared" ca="1" si="8"/>
        <v>0</v>
      </c>
      <c r="AL57" s="365">
        <f t="shared" ca="1" si="8"/>
        <v>0</v>
      </c>
      <c r="AM57" s="365">
        <f t="shared" ca="1" si="8"/>
        <v>0</v>
      </c>
      <c r="AN57" s="365">
        <f t="shared" ca="1" si="8"/>
        <v>0</v>
      </c>
      <c r="AO57" s="365">
        <f t="shared" ca="1" si="8"/>
        <v>0</v>
      </c>
      <c r="AP57" s="365">
        <f t="shared" ca="1" si="8"/>
        <v>0</v>
      </c>
      <c r="AQ57" s="365">
        <f t="shared" ca="1" si="8"/>
        <v>0</v>
      </c>
      <c r="AR57" s="365">
        <f t="shared" ca="1" si="8"/>
        <v>0</v>
      </c>
      <c r="AS57" s="365">
        <f t="shared" ca="1" si="8"/>
        <v>0</v>
      </c>
      <c r="AT57" s="365">
        <f t="shared" ca="1" si="8"/>
        <v>0</v>
      </c>
      <c r="AU57" s="365">
        <f t="shared" ca="1" si="8"/>
        <v>0</v>
      </c>
      <c r="AV57" s="365">
        <f t="shared" ca="1" si="8"/>
        <v>0</v>
      </c>
      <c r="AW57" s="365">
        <f t="shared" ca="1" si="8"/>
        <v>0</v>
      </c>
      <c r="AX57" s="365">
        <f t="shared" ca="1" si="8"/>
        <v>0</v>
      </c>
      <c r="AY57" s="365">
        <f t="shared" ca="1" si="8"/>
        <v>0</v>
      </c>
      <c r="AZ57" s="365">
        <f t="shared" ca="1" si="8"/>
        <v>0</v>
      </c>
      <c r="BA57" s="365">
        <f t="shared" ca="1" si="8"/>
        <v>0</v>
      </c>
      <c r="BB57" s="365">
        <f t="shared" ca="1" si="8"/>
        <v>0</v>
      </c>
      <c r="BC57" s="365">
        <f t="shared" ca="1" si="8"/>
        <v>0</v>
      </c>
      <c r="BD57" s="365">
        <f t="shared" ca="1" si="8"/>
        <v>0</v>
      </c>
      <c r="BE57" s="365">
        <f t="shared" ca="1" si="8"/>
        <v>0</v>
      </c>
      <c r="BF57" s="365">
        <f t="shared" ca="1" si="8"/>
        <v>0</v>
      </c>
      <c r="BG57" s="365">
        <f t="shared" ca="1" si="8"/>
        <v>0</v>
      </c>
      <c r="BH57" s="365">
        <f t="shared" ca="1" si="8"/>
        <v>0</v>
      </c>
      <c r="BI57" s="365">
        <f t="shared" ca="1" si="8"/>
        <v>0</v>
      </c>
      <c r="BJ57" s="365"/>
    </row>
    <row r="58" spans="1:62" outlineLevel="1" x14ac:dyDescent="0.15">
      <c r="A58" s="375">
        <v>4</v>
      </c>
      <c r="B58" s="365" t="str">
        <f t="shared" ca="1" si="7"/>
        <v/>
      </c>
      <c r="C58" s="365" t="str">
        <f t="shared" ca="1" si="7"/>
        <v/>
      </c>
      <c r="D58" s="365" t="str">
        <f t="shared" ca="1" si="7"/>
        <v/>
      </c>
      <c r="E58" s="365">
        <f t="shared" ca="1" si="7"/>
        <v>0</v>
      </c>
      <c r="F58" s="365">
        <f t="shared" ca="1" si="7"/>
        <v>0</v>
      </c>
      <c r="G58" s="365">
        <f t="shared" ca="1" si="7"/>
        <v>0</v>
      </c>
      <c r="H58" s="365">
        <f t="shared" ca="1" si="7"/>
        <v>0</v>
      </c>
      <c r="I58" s="365">
        <f t="shared" ca="1" si="7"/>
        <v>0</v>
      </c>
      <c r="J58" s="365">
        <f t="shared" ca="1" si="7"/>
        <v>0</v>
      </c>
      <c r="K58" s="365" t="e">
        <f t="shared" ca="1" si="7"/>
        <v>#REF!</v>
      </c>
      <c r="L58" s="365" t="e">
        <f t="shared" ca="1" si="7"/>
        <v>#REF!</v>
      </c>
      <c r="M58" s="365" t="e">
        <f t="shared" ca="1" si="7"/>
        <v>#REF!</v>
      </c>
      <c r="N58" s="365">
        <f t="shared" ca="1" si="7"/>
        <v>0</v>
      </c>
      <c r="O58" s="365">
        <f t="shared" ca="1" si="7"/>
        <v>0</v>
      </c>
      <c r="P58" s="365">
        <f t="shared" ca="1" si="7"/>
        <v>0</v>
      </c>
      <c r="Q58" s="365">
        <f t="shared" ca="1" si="7"/>
        <v>0</v>
      </c>
      <c r="R58" s="365">
        <f t="shared" ca="1" si="8"/>
        <v>0</v>
      </c>
      <c r="S58" s="365">
        <f t="shared" ca="1" si="8"/>
        <v>0</v>
      </c>
      <c r="T58" s="365">
        <f t="shared" ca="1" si="8"/>
        <v>0</v>
      </c>
      <c r="U58" s="365">
        <f t="shared" ca="1" si="8"/>
        <v>0</v>
      </c>
      <c r="V58" s="365">
        <f t="shared" ca="1" si="8"/>
        <v>0</v>
      </c>
      <c r="W58" s="365">
        <f t="shared" ca="1" si="8"/>
        <v>0</v>
      </c>
      <c r="X58" s="365">
        <f t="shared" ca="1" si="8"/>
        <v>0</v>
      </c>
      <c r="Y58" s="365">
        <f t="shared" ca="1" si="8"/>
        <v>0</v>
      </c>
      <c r="Z58" s="365">
        <f t="shared" ca="1" si="8"/>
        <v>0</v>
      </c>
      <c r="AA58" s="365">
        <f t="shared" ca="1" si="8"/>
        <v>0</v>
      </c>
      <c r="AB58" s="365">
        <f t="shared" ca="1" si="8"/>
        <v>0</v>
      </c>
      <c r="AC58" s="365">
        <f t="shared" ca="1" si="8"/>
        <v>0</v>
      </c>
      <c r="AD58" s="365">
        <f t="shared" ca="1" si="8"/>
        <v>0</v>
      </c>
      <c r="AE58" s="365">
        <f t="shared" ca="1" si="8"/>
        <v>0</v>
      </c>
      <c r="AF58" s="365">
        <f t="shared" ca="1" si="8"/>
        <v>0</v>
      </c>
      <c r="AG58" s="365">
        <f t="shared" ca="1" si="8"/>
        <v>0</v>
      </c>
      <c r="AH58" s="365">
        <f t="shared" ca="1" si="8"/>
        <v>0</v>
      </c>
      <c r="AI58" s="365">
        <f t="shared" ca="1" si="8"/>
        <v>0</v>
      </c>
      <c r="AJ58" s="365">
        <f t="shared" ca="1" si="8"/>
        <v>0</v>
      </c>
      <c r="AK58" s="365">
        <f t="shared" ca="1" si="8"/>
        <v>0</v>
      </c>
      <c r="AL58" s="365">
        <f t="shared" ca="1" si="8"/>
        <v>0</v>
      </c>
      <c r="AM58" s="365">
        <f t="shared" ca="1" si="8"/>
        <v>0</v>
      </c>
      <c r="AN58" s="365">
        <f t="shared" ca="1" si="8"/>
        <v>0</v>
      </c>
      <c r="AO58" s="365">
        <f t="shared" ca="1" si="8"/>
        <v>0</v>
      </c>
      <c r="AP58" s="365">
        <f t="shared" ca="1" si="8"/>
        <v>0</v>
      </c>
      <c r="AQ58" s="365">
        <f t="shared" ca="1" si="8"/>
        <v>0</v>
      </c>
      <c r="AR58" s="365">
        <f t="shared" ca="1" si="8"/>
        <v>0</v>
      </c>
      <c r="AS58" s="365">
        <f t="shared" ca="1" si="8"/>
        <v>0</v>
      </c>
      <c r="AT58" s="365">
        <f t="shared" ca="1" si="8"/>
        <v>0</v>
      </c>
      <c r="AU58" s="365">
        <f t="shared" ca="1" si="8"/>
        <v>0</v>
      </c>
      <c r="AV58" s="365">
        <f t="shared" ca="1" si="8"/>
        <v>0</v>
      </c>
      <c r="AW58" s="365">
        <f t="shared" ca="1" si="8"/>
        <v>0</v>
      </c>
      <c r="AX58" s="365">
        <f t="shared" ca="1" si="8"/>
        <v>0</v>
      </c>
      <c r="AY58" s="365">
        <f t="shared" ca="1" si="8"/>
        <v>0</v>
      </c>
      <c r="AZ58" s="365">
        <f t="shared" ca="1" si="8"/>
        <v>0</v>
      </c>
      <c r="BA58" s="365">
        <f t="shared" ca="1" si="8"/>
        <v>0</v>
      </c>
      <c r="BB58" s="365">
        <f t="shared" ca="1" si="8"/>
        <v>0</v>
      </c>
      <c r="BC58" s="365">
        <f t="shared" ca="1" si="8"/>
        <v>0</v>
      </c>
      <c r="BD58" s="365">
        <f t="shared" ca="1" si="8"/>
        <v>0</v>
      </c>
      <c r="BE58" s="365">
        <f t="shared" ca="1" si="8"/>
        <v>0</v>
      </c>
      <c r="BF58" s="365">
        <f t="shared" ca="1" si="8"/>
        <v>0</v>
      </c>
      <c r="BG58" s="365">
        <f t="shared" ca="1" si="8"/>
        <v>0</v>
      </c>
      <c r="BH58" s="365">
        <f t="shared" ca="1" si="8"/>
        <v>0</v>
      </c>
      <c r="BI58" s="365">
        <f t="shared" ca="1" si="8"/>
        <v>0</v>
      </c>
      <c r="BJ58" s="365"/>
    </row>
    <row r="59" spans="1:62" outlineLevel="1" x14ac:dyDescent="0.15">
      <c r="A59" s="375">
        <v>5</v>
      </c>
      <c r="B59" s="365" t="str">
        <f t="shared" ca="1" si="7"/>
        <v/>
      </c>
      <c r="C59" s="365" t="str">
        <f t="shared" ca="1" si="7"/>
        <v/>
      </c>
      <c r="D59" s="365" t="str">
        <f t="shared" ca="1" si="7"/>
        <v/>
      </c>
      <c r="E59" s="365" t="str">
        <f t="shared" ca="1" si="7"/>
        <v/>
      </c>
      <c r="F59" s="365">
        <f t="shared" ca="1" si="7"/>
        <v>0</v>
      </c>
      <c r="G59" s="365">
        <f t="shared" ca="1" si="7"/>
        <v>0</v>
      </c>
      <c r="H59" s="365">
        <f t="shared" ca="1" si="7"/>
        <v>0</v>
      </c>
      <c r="I59" s="365">
        <f t="shared" ca="1" si="7"/>
        <v>0</v>
      </c>
      <c r="J59" s="365">
        <f t="shared" ca="1" si="7"/>
        <v>0</v>
      </c>
      <c r="K59" s="365">
        <f t="shared" ca="1" si="7"/>
        <v>0</v>
      </c>
      <c r="L59" s="365" t="e">
        <f t="shared" ca="1" si="7"/>
        <v>#REF!</v>
      </c>
      <c r="M59" s="365" t="e">
        <f t="shared" ca="1" si="7"/>
        <v>#REF!</v>
      </c>
      <c r="N59" s="365" t="e">
        <f t="shared" ca="1" si="7"/>
        <v>#REF!</v>
      </c>
      <c r="O59" s="365">
        <f t="shared" ca="1" si="7"/>
        <v>0</v>
      </c>
      <c r="P59" s="365">
        <f t="shared" ca="1" si="7"/>
        <v>0</v>
      </c>
      <c r="Q59" s="365">
        <f t="shared" ca="1" si="7"/>
        <v>0</v>
      </c>
      <c r="R59" s="365">
        <f t="shared" ca="1" si="8"/>
        <v>0</v>
      </c>
      <c r="S59" s="365">
        <f t="shared" ca="1" si="8"/>
        <v>0</v>
      </c>
      <c r="T59" s="365">
        <f t="shared" ca="1" si="8"/>
        <v>0</v>
      </c>
      <c r="U59" s="365">
        <f t="shared" ca="1" si="8"/>
        <v>0</v>
      </c>
      <c r="V59" s="365">
        <f t="shared" ca="1" si="8"/>
        <v>0</v>
      </c>
      <c r="W59" s="365">
        <f t="shared" ca="1" si="8"/>
        <v>0</v>
      </c>
      <c r="X59" s="365">
        <f t="shared" ca="1" si="8"/>
        <v>0</v>
      </c>
      <c r="Y59" s="365">
        <f t="shared" ca="1" si="8"/>
        <v>0</v>
      </c>
      <c r="Z59" s="365">
        <f t="shared" ca="1" si="8"/>
        <v>0</v>
      </c>
      <c r="AA59" s="365">
        <f t="shared" ca="1" si="8"/>
        <v>0</v>
      </c>
      <c r="AB59" s="365">
        <f t="shared" ca="1" si="8"/>
        <v>0</v>
      </c>
      <c r="AC59" s="365">
        <f t="shared" ca="1" si="8"/>
        <v>0</v>
      </c>
      <c r="AD59" s="365">
        <f t="shared" ca="1" si="8"/>
        <v>0</v>
      </c>
      <c r="AE59" s="365">
        <f t="shared" ca="1" si="8"/>
        <v>0</v>
      </c>
      <c r="AF59" s="365">
        <f t="shared" ca="1" si="8"/>
        <v>0</v>
      </c>
      <c r="AG59" s="365">
        <f t="shared" ca="1" si="8"/>
        <v>0</v>
      </c>
      <c r="AH59" s="365">
        <f t="shared" ca="1" si="8"/>
        <v>0</v>
      </c>
      <c r="AI59" s="365">
        <f t="shared" ca="1" si="8"/>
        <v>0</v>
      </c>
      <c r="AJ59" s="365">
        <f t="shared" ca="1" si="8"/>
        <v>0</v>
      </c>
      <c r="AK59" s="365">
        <f t="shared" ca="1" si="8"/>
        <v>0</v>
      </c>
      <c r="AL59" s="365">
        <f t="shared" ca="1" si="8"/>
        <v>0</v>
      </c>
      <c r="AM59" s="365">
        <f t="shared" ca="1" si="8"/>
        <v>0</v>
      </c>
      <c r="AN59" s="365">
        <f t="shared" ca="1" si="8"/>
        <v>0</v>
      </c>
      <c r="AO59" s="365">
        <f t="shared" ca="1" si="8"/>
        <v>0</v>
      </c>
      <c r="AP59" s="365">
        <f t="shared" ca="1" si="8"/>
        <v>0</v>
      </c>
      <c r="AQ59" s="365">
        <f t="shared" ca="1" si="8"/>
        <v>0</v>
      </c>
      <c r="AR59" s="365">
        <f t="shared" ca="1" si="8"/>
        <v>0</v>
      </c>
      <c r="AS59" s="365">
        <f t="shared" ca="1" si="8"/>
        <v>0</v>
      </c>
      <c r="AT59" s="365">
        <f t="shared" ca="1" si="8"/>
        <v>0</v>
      </c>
      <c r="AU59" s="365">
        <f t="shared" ca="1" si="8"/>
        <v>0</v>
      </c>
      <c r="AV59" s="365">
        <f t="shared" ca="1" si="8"/>
        <v>0</v>
      </c>
      <c r="AW59" s="365">
        <f t="shared" ca="1" si="8"/>
        <v>0</v>
      </c>
      <c r="AX59" s="365">
        <f t="shared" ca="1" si="8"/>
        <v>0</v>
      </c>
      <c r="AY59" s="365">
        <f t="shared" ca="1" si="8"/>
        <v>0</v>
      </c>
      <c r="AZ59" s="365">
        <f t="shared" ca="1" si="8"/>
        <v>0</v>
      </c>
      <c r="BA59" s="365">
        <f t="shared" ca="1" si="8"/>
        <v>0</v>
      </c>
      <c r="BB59" s="365">
        <f t="shared" ca="1" si="8"/>
        <v>0</v>
      </c>
      <c r="BC59" s="365">
        <f t="shared" ca="1" si="8"/>
        <v>0</v>
      </c>
      <c r="BD59" s="365">
        <f t="shared" ca="1" si="8"/>
        <v>0</v>
      </c>
      <c r="BE59" s="365">
        <f t="shared" ca="1" si="8"/>
        <v>0</v>
      </c>
      <c r="BF59" s="365">
        <f t="shared" ca="1" si="8"/>
        <v>0</v>
      </c>
      <c r="BG59" s="365">
        <f t="shared" ca="1" si="8"/>
        <v>0</v>
      </c>
      <c r="BH59" s="365">
        <f t="shared" ca="1" si="8"/>
        <v>0</v>
      </c>
      <c r="BI59" s="365">
        <f t="shared" ca="1" si="8"/>
        <v>0</v>
      </c>
      <c r="BJ59" s="365"/>
    </row>
    <row r="60" spans="1:62" outlineLevel="1" x14ac:dyDescent="0.15">
      <c r="A60" s="375">
        <v>6</v>
      </c>
      <c r="B60" s="365" t="str">
        <f t="shared" ca="1" si="7"/>
        <v/>
      </c>
      <c r="C60" s="365" t="str">
        <f t="shared" ca="1" si="7"/>
        <v/>
      </c>
      <c r="D60" s="365" t="str">
        <f t="shared" ca="1" si="7"/>
        <v/>
      </c>
      <c r="E60" s="365" t="str">
        <f t="shared" ca="1" si="7"/>
        <v/>
      </c>
      <c r="F60" s="365" t="str">
        <f t="shared" ca="1" si="7"/>
        <v/>
      </c>
      <c r="G60" s="365">
        <f t="shared" ca="1" si="7"/>
        <v>0</v>
      </c>
      <c r="H60" s="365">
        <f t="shared" ca="1" si="7"/>
        <v>0</v>
      </c>
      <c r="I60" s="365">
        <f t="shared" ca="1" si="7"/>
        <v>0</v>
      </c>
      <c r="J60" s="365">
        <f t="shared" ca="1" si="7"/>
        <v>0</v>
      </c>
      <c r="K60" s="365">
        <f t="shared" ca="1" si="7"/>
        <v>0</v>
      </c>
      <c r="L60" s="365">
        <f t="shared" ca="1" si="7"/>
        <v>0</v>
      </c>
      <c r="M60" s="365" t="e">
        <f t="shared" ca="1" si="7"/>
        <v>#REF!</v>
      </c>
      <c r="N60" s="365" t="e">
        <f t="shared" ca="1" si="7"/>
        <v>#REF!</v>
      </c>
      <c r="O60" s="365" t="e">
        <f t="shared" ca="1" si="7"/>
        <v>#REF!</v>
      </c>
      <c r="P60" s="365">
        <f t="shared" ca="1" si="7"/>
        <v>0</v>
      </c>
      <c r="Q60" s="365">
        <f t="shared" ca="1" si="7"/>
        <v>0</v>
      </c>
      <c r="R60" s="365">
        <f t="shared" ca="1" si="8"/>
        <v>0</v>
      </c>
      <c r="S60" s="365">
        <f t="shared" ca="1" si="8"/>
        <v>0</v>
      </c>
      <c r="T60" s="365">
        <f t="shared" ca="1" si="8"/>
        <v>0</v>
      </c>
      <c r="U60" s="365">
        <f t="shared" ca="1" si="8"/>
        <v>0</v>
      </c>
      <c r="V60" s="365">
        <f t="shared" ca="1" si="8"/>
        <v>0</v>
      </c>
      <c r="W60" s="365">
        <f t="shared" ca="1" si="8"/>
        <v>0</v>
      </c>
      <c r="X60" s="365">
        <f t="shared" ca="1" si="8"/>
        <v>0</v>
      </c>
      <c r="Y60" s="365">
        <f t="shared" ca="1" si="8"/>
        <v>0</v>
      </c>
      <c r="Z60" s="365">
        <f t="shared" ca="1" si="8"/>
        <v>0</v>
      </c>
      <c r="AA60" s="365">
        <f t="shared" ca="1" si="8"/>
        <v>0</v>
      </c>
      <c r="AB60" s="365">
        <f t="shared" ca="1" si="8"/>
        <v>0</v>
      </c>
      <c r="AC60" s="365">
        <f t="shared" ca="1" si="8"/>
        <v>0</v>
      </c>
      <c r="AD60" s="365">
        <f t="shared" ca="1" si="8"/>
        <v>0</v>
      </c>
      <c r="AE60" s="365">
        <f t="shared" ca="1" si="8"/>
        <v>0</v>
      </c>
      <c r="AF60" s="365">
        <f t="shared" ca="1" si="8"/>
        <v>0</v>
      </c>
      <c r="AG60" s="365">
        <f t="shared" ca="1" si="8"/>
        <v>0</v>
      </c>
      <c r="AH60" s="365">
        <f t="shared" ca="1" si="8"/>
        <v>0</v>
      </c>
      <c r="AI60" s="365">
        <f t="shared" ca="1" si="8"/>
        <v>0</v>
      </c>
      <c r="AJ60" s="365">
        <f t="shared" ca="1" si="8"/>
        <v>0</v>
      </c>
      <c r="AK60" s="365">
        <f t="shared" ca="1" si="8"/>
        <v>0</v>
      </c>
      <c r="AL60" s="365">
        <f t="shared" ca="1" si="8"/>
        <v>0</v>
      </c>
      <c r="AM60" s="365">
        <f t="shared" ca="1" si="8"/>
        <v>0</v>
      </c>
      <c r="AN60" s="365">
        <f t="shared" ca="1" si="8"/>
        <v>0</v>
      </c>
      <c r="AO60" s="365">
        <f t="shared" ca="1" si="8"/>
        <v>0</v>
      </c>
      <c r="AP60" s="365">
        <f t="shared" ca="1" si="8"/>
        <v>0</v>
      </c>
      <c r="AQ60" s="365">
        <f t="shared" ca="1" si="8"/>
        <v>0</v>
      </c>
      <c r="AR60" s="365">
        <f t="shared" ca="1" si="8"/>
        <v>0</v>
      </c>
      <c r="AS60" s="365">
        <f t="shared" ca="1" si="8"/>
        <v>0</v>
      </c>
      <c r="AT60" s="365">
        <f t="shared" ca="1" si="8"/>
        <v>0</v>
      </c>
      <c r="AU60" s="365">
        <f t="shared" ca="1" si="8"/>
        <v>0</v>
      </c>
      <c r="AV60" s="365">
        <f t="shared" ca="1" si="8"/>
        <v>0</v>
      </c>
      <c r="AW60" s="365">
        <f t="shared" ca="1" si="8"/>
        <v>0</v>
      </c>
      <c r="AX60" s="365">
        <f t="shared" ca="1" si="8"/>
        <v>0</v>
      </c>
      <c r="AY60" s="365">
        <f t="shared" ca="1" si="8"/>
        <v>0</v>
      </c>
      <c r="AZ60" s="365">
        <f t="shared" ca="1" si="8"/>
        <v>0</v>
      </c>
      <c r="BA60" s="365">
        <f t="shared" ref="BA60:DG64" ca="1" si="9">IF($A60&gt;BA$5,"",OFFSET(BA$54,0,-($A60-1)))</f>
        <v>0</v>
      </c>
      <c r="BB60" s="365">
        <f t="shared" ca="1" si="9"/>
        <v>0</v>
      </c>
      <c r="BC60" s="365">
        <f t="shared" ca="1" si="9"/>
        <v>0</v>
      </c>
      <c r="BD60" s="365">
        <f t="shared" ca="1" si="9"/>
        <v>0</v>
      </c>
      <c r="BE60" s="365">
        <f t="shared" ca="1" si="9"/>
        <v>0</v>
      </c>
      <c r="BF60" s="365">
        <f t="shared" ca="1" si="9"/>
        <v>0</v>
      </c>
      <c r="BG60" s="365">
        <f t="shared" ca="1" si="9"/>
        <v>0</v>
      </c>
      <c r="BH60" s="365">
        <f t="shared" ca="1" si="9"/>
        <v>0</v>
      </c>
      <c r="BI60" s="365">
        <f t="shared" ca="1" si="9"/>
        <v>0</v>
      </c>
      <c r="BJ60" s="365"/>
    </row>
    <row r="61" spans="1:62" outlineLevel="1" x14ac:dyDescent="0.15">
      <c r="A61" s="375">
        <v>7</v>
      </c>
      <c r="B61" s="365" t="str">
        <f t="shared" ca="1" si="7"/>
        <v/>
      </c>
      <c r="C61" s="365" t="str">
        <f t="shared" ca="1" si="7"/>
        <v/>
      </c>
      <c r="D61" s="365" t="str">
        <f t="shared" ca="1" si="7"/>
        <v/>
      </c>
      <c r="E61" s="365" t="str">
        <f t="shared" ca="1" si="7"/>
        <v/>
      </c>
      <c r="F61" s="365" t="str">
        <f t="shared" ca="1" si="7"/>
        <v/>
      </c>
      <c r="G61" s="365" t="str">
        <f t="shared" ca="1" si="7"/>
        <v/>
      </c>
      <c r="H61" s="365">
        <f t="shared" ca="1" si="7"/>
        <v>0</v>
      </c>
      <c r="I61" s="365">
        <f t="shared" ca="1" si="7"/>
        <v>0</v>
      </c>
      <c r="J61" s="365">
        <f t="shared" ca="1" si="7"/>
        <v>0</v>
      </c>
      <c r="K61" s="365">
        <f t="shared" ca="1" si="7"/>
        <v>0</v>
      </c>
      <c r="L61" s="365">
        <f t="shared" ca="1" si="7"/>
        <v>0</v>
      </c>
      <c r="M61" s="365">
        <f t="shared" ca="1" si="7"/>
        <v>0</v>
      </c>
      <c r="N61" s="365" t="e">
        <f t="shared" ca="1" si="7"/>
        <v>#REF!</v>
      </c>
      <c r="O61" s="365" t="e">
        <f t="shared" ca="1" si="7"/>
        <v>#REF!</v>
      </c>
      <c r="P61" s="365" t="e">
        <f t="shared" ca="1" si="7"/>
        <v>#REF!</v>
      </c>
      <c r="Q61" s="365">
        <f t="shared" ca="1" si="7"/>
        <v>0</v>
      </c>
      <c r="R61" s="365">
        <f t="shared" ref="R61:BX66" ca="1" si="10">IF($A61&gt;R$5,"",OFFSET(R$54,0,-($A61-1)))</f>
        <v>0</v>
      </c>
      <c r="S61" s="365">
        <f t="shared" ca="1" si="10"/>
        <v>0</v>
      </c>
      <c r="T61" s="365">
        <f t="shared" ca="1" si="10"/>
        <v>0</v>
      </c>
      <c r="U61" s="365">
        <f t="shared" ca="1" si="10"/>
        <v>0</v>
      </c>
      <c r="V61" s="365">
        <f t="shared" ca="1" si="10"/>
        <v>0</v>
      </c>
      <c r="W61" s="365">
        <f t="shared" ca="1" si="10"/>
        <v>0</v>
      </c>
      <c r="X61" s="365">
        <f t="shared" ca="1" si="10"/>
        <v>0</v>
      </c>
      <c r="Y61" s="365">
        <f t="shared" ca="1" si="10"/>
        <v>0</v>
      </c>
      <c r="Z61" s="365">
        <f t="shared" ca="1" si="10"/>
        <v>0</v>
      </c>
      <c r="AA61" s="365">
        <f t="shared" ca="1" si="10"/>
        <v>0</v>
      </c>
      <c r="AB61" s="365">
        <f t="shared" ca="1" si="10"/>
        <v>0</v>
      </c>
      <c r="AC61" s="365">
        <f t="shared" ca="1" si="10"/>
        <v>0</v>
      </c>
      <c r="AD61" s="365">
        <f t="shared" ca="1" si="10"/>
        <v>0</v>
      </c>
      <c r="AE61" s="365">
        <f t="shared" ca="1" si="10"/>
        <v>0</v>
      </c>
      <c r="AF61" s="365">
        <f t="shared" ca="1" si="10"/>
        <v>0</v>
      </c>
      <c r="AG61" s="365">
        <f t="shared" ca="1" si="10"/>
        <v>0</v>
      </c>
      <c r="AH61" s="365">
        <f t="shared" ca="1" si="10"/>
        <v>0</v>
      </c>
      <c r="AI61" s="365">
        <f t="shared" ca="1" si="10"/>
        <v>0</v>
      </c>
      <c r="AJ61" s="365">
        <f t="shared" ca="1" si="10"/>
        <v>0</v>
      </c>
      <c r="AK61" s="365">
        <f t="shared" ca="1" si="10"/>
        <v>0</v>
      </c>
      <c r="AL61" s="365">
        <f t="shared" ca="1" si="10"/>
        <v>0</v>
      </c>
      <c r="AM61" s="365">
        <f t="shared" ca="1" si="10"/>
        <v>0</v>
      </c>
      <c r="AN61" s="365">
        <f t="shared" ca="1" si="10"/>
        <v>0</v>
      </c>
      <c r="AO61" s="365">
        <f t="shared" ca="1" si="10"/>
        <v>0</v>
      </c>
      <c r="AP61" s="365">
        <f t="shared" ca="1" si="10"/>
        <v>0</v>
      </c>
      <c r="AQ61" s="365">
        <f t="shared" ca="1" si="10"/>
        <v>0</v>
      </c>
      <c r="AR61" s="365">
        <f t="shared" ca="1" si="10"/>
        <v>0</v>
      </c>
      <c r="AS61" s="365">
        <f t="shared" ca="1" si="10"/>
        <v>0</v>
      </c>
      <c r="AT61" s="365">
        <f t="shared" ca="1" si="10"/>
        <v>0</v>
      </c>
      <c r="AU61" s="365">
        <f t="shared" ca="1" si="10"/>
        <v>0</v>
      </c>
      <c r="AV61" s="365">
        <f t="shared" ca="1" si="10"/>
        <v>0</v>
      </c>
      <c r="AW61" s="365">
        <f t="shared" ca="1" si="10"/>
        <v>0</v>
      </c>
      <c r="AX61" s="365">
        <f t="shared" ca="1" si="10"/>
        <v>0</v>
      </c>
      <c r="AY61" s="365">
        <f t="shared" ca="1" si="10"/>
        <v>0</v>
      </c>
      <c r="AZ61" s="365">
        <f t="shared" ca="1" si="10"/>
        <v>0</v>
      </c>
      <c r="BA61" s="365">
        <f t="shared" ca="1" si="10"/>
        <v>0</v>
      </c>
      <c r="BB61" s="365">
        <f t="shared" ca="1" si="10"/>
        <v>0</v>
      </c>
      <c r="BC61" s="365">
        <f t="shared" ca="1" si="10"/>
        <v>0</v>
      </c>
      <c r="BD61" s="365">
        <f t="shared" ca="1" si="10"/>
        <v>0</v>
      </c>
      <c r="BE61" s="365">
        <f t="shared" ca="1" si="10"/>
        <v>0</v>
      </c>
      <c r="BF61" s="365">
        <f t="shared" ca="1" si="10"/>
        <v>0</v>
      </c>
      <c r="BG61" s="365">
        <f t="shared" ca="1" si="10"/>
        <v>0</v>
      </c>
      <c r="BH61" s="365">
        <f t="shared" ca="1" si="10"/>
        <v>0</v>
      </c>
      <c r="BI61" s="365">
        <f t="shared" ca="1" si="10"/>
        <v>0</v>
      </c>
      <c r="BJ61" s="365"/>
    </row>
    <row r="62" spans="1:62" outlineLevel="1" x14ac:dyDescent="0.15">
      <c r="A62" s="375">
        <v>8</v>
      </c>
      <c r="B62" s="365" t="str">
        <f t="shared" ca="1" si="7"/>
        <v/>
      </c>
      <c r="C62" s="365" t="str">
        <f t="shared" ca="1" si="7"/>
        <v/>
      </c>
      <c r="D62" s="365" t="str">
        <f t="shared" ca="1" si="7"/>
        <v/>
      </c>
      <c r="E62" s="365" t="str">
        <f t="shared" ca="1" si="7"/>
        <v/>
      </c>
      <c r="F62" s="365" t="str">
        <f t="shared" ca="1" si="7"/>
        <v/>
      </c>
      <c r="G62" s="365" t="str">
        <f t="shared" ca="1" si="7"/>
        <v/>
      </c>
      <c r="H62" s="365" t="str">
        <f t="shared" ca="1" si="7"/>
        <v/>
      </c>
      <c r="I62" s="365">
        <f t="shared" ca="1" si="7"/>
        <v>0</v>
      </c>
      <c r="J62" s="365">
        <f t="shared" ca="1" si="7"/>
        <v>0</v>
      </c>
      <c r="K62" s="365">
        <f t="shared" ca="1" si="7"/>
        <v>0</v>
      </c>
      <c r="L62" s="365">
        <f t="shared" ca="1" si="7"/>
        <v>0</v>
      </c>
      <c r="M62" s="365">
        <f t="shared" ca="1" si="7"/>
        <v>0</v>
      </c>
      <c r="N62" s="365">
        <f t="shared" ca="1" si="7"/>
        <v>0</v>
      </c>
      <c r="O62" s="365" t="e">
        <f t="shared" ca="1" si="7"/>
        <v>#REF!</v>
      </c>
      <c r="P62" s="365" t="e">
        <f t="shared" ca="1" si="7"/>
        <v>#REF!</v>
      </c>
      <c r="Q62" s="365" t="e">
        <f t="shared" ca="1" si="7"/>
        <v>#REF!</v>
      </c>
      <c r="R62" s="365">
        <f t="shared" ca="1" si="10"/>
        <v>0</v>
      </c>
      <c r="S62" s="365">
        <f t="shared" ca="1" si="10"/>
        <v>0</v>
      </c>
      <c r="T62" s="365">
        <f t="shared" ca="1" si="10"/>
        <v>0</v>
      </c>
      <c r="U62" s="365">
        <f t="shared" ca="1" si="10"/>
        <v>0</v>
      </c>
      <c r="V62" s="365">
        <f t="shared" ca="1" si="10"/>
        <v>0</v>
      </c>
      <c r="W62" s="365">
        <f t="shared" ca="1" si="10"/>
        <v>0</v>
      </c>
      <c r="X62" s="365">
        <f t="shared" ca="1" si="10"/>
        <v>0</v>
      </c>
      <c r="Y62" s="365">
        <f t="shared" ca="1" si="10"/>
        <v>0</v>
      </c>
      <c r="Z62" s="365">
        <f t="shared" ca="1" si="10"/>
        <v>0</v>
      </c>
      <c r="AA62" s="365">
        <f t="shared" ca="1" si="10"/>
        <v>0</v>
      </c>
      <c r="AB62" s="365">
        <f t="shared" ca="1" si="10"/>
        <v>0</v>
      </c>
      <c r="AC62" s="365">
        <f t="shared" ca="1" si="10"/>
        <v>0</v>
      </c>
      <c r="AD62" s="365">
        <f t="shared" ca="1" si="10"/>
        <v>0</v>
      </c>
      <c r="AE62" s="365">
        <f t="shared" ca="1" si="10"/>
        <v>0</v>
      </c>
      <c r="AF62" s="365">
        <f t="shared" ca="1" si="10"/>
        <v>0</v>
      </c>
      <c r="AG62" s="365">
        <f t="shared" ca="1" si="10"/>
        <v>0</v>
      </c>
      <c r="AH62" s="365">
        <f t="shared" ca="1" si="10"/>
        <v>0</v>
      </c>
      <c r="AI62" s="365">
        <f t="shared" ca="1" si="10"/>
        <v>0</v>
      </c>
      <c r="AJ62" s="365">
        <f t="shared" ca="1" si="10"/>
        <v>0</v>
      </c>
      <c r="AK62" s="365">
        <f t="shared" ca="1" si="10"/>
        <v>0</v>
      </c>
      <c r="AL62" s="365">
        <f t="shared" ca="1" si="10"/>
        <v>0</v>
      </c>
      <c r="AM62" s="365">
        <f t="shared" ca="1" si="10"/>
        <v>0</v>
      </c>
      <c r="AN62" s="365">
        <f t="shared" ca="1" si="10"/>
        <v>0</v>
      </c>
      <c r="AO62" s="365">
        <f t="shared" ca="1" si="10"/>
        <v>0</v>
      </c>
      <c r="AP62" s="365">
        <f t="shared" ca="1" si="10"/>
        <v>0</v>
      </c>
      <c r="AQ62" s="365">
        <f t="shared" ca="1" si="10"/>
        <v>0</v>
      </c>
      <c r="AR62" s="365">
        <f t="shared" ca="1" si="10"/>
        <v>0</v>
      </c>
      <c r="AS62" s="365">
        <f t="shared" ca="1" si="10"/>
        <v>0</v>
      </c>
      <c r="AT62" s="365">
        <f t="shared" ca="1" si="10"/>
        <v>0</v>
      </c>
      <c r="AU62" s="365">
        <f t="shared" ca="1" si="10"/>
        <v>0</v>
      </c>
      <c r="AV62" s="365">
        <f t="shared" ca="1" si="10"/>
        <v>0</v>
      </c>
      <c r="AW62" s="365">
        <f t="shared" ca="1" si="10"/>
        <v>0</v>
      </c>
      <c r="AX62" s="365">
        <f t="shared" ca="1" si="10"/>
        <v>0</v>
      </c>
      <c r="AY62" s="365">
        <f t="shared" ca="1" si="10"/>
        <v>0</v>
      </c>
      <c r="AZ62" s="365">
        <f t="shared" ca="1" si="10"/>
        <v>0</v>
      </c>
      <c r="BA62" s="365">
        <f t="shared" ca="1" si="10"/>
        <v>0</v>
      </c>
      <c r="BB62" s="365">
        <f t="shared" ca="1" si="10"/>
        <v>0</v>
      </c>
      <c r="BC62" s="365">
        <f t="shared" ca="1" si="10"/>
        <v>0</v>
      </c>
      <c r="BD62" s="365">
        <f t="shared" ca="1" si="10"/>
        <v>0</v>
      </c>
      <c r="BE62" s="365">
        <f t="shared" ca="1" si="10"/>
        <v>0</v>
      </c>
      <c r="BF62" s="365">
        <f t="shared" ca="1" si="10"/>
        <v>0</v>
      </c>
      <c r="BG62" s="365">
        <f t="shared" ca="1" si="10"/>
        <v>0</v>
      </c>
      <c r="BH62" s="365">
        <f t="shared" ca="1" si="10"/>
        <v>0</v>
      </c>
      <c r="BI62" s="365">
        <f t="shared" ca="1" si="10"/>
        <v>0</v>
      </c>
      <c r="BJ62" s="365"/>
    </row>
    <row r="63" spans="1:62" outlineLevel="1" x14ac:dyDescent="0.15">
      <c r="A63" s="375">
        <v>9</v>
      </c>
      <c r="B63" s="365" t="str">
        <f t="shared" ca="1" si="7"/>
        <v/>
      </c>
      <c r="C63" s="365" t="str">
        <f t="shared" ca="1" si="7"/>
        <v/>
      </c>
      <c r="D63" s="365" t="str">
        <f t="shared" ca="1" si="7"/>
        <v/>
      </c>
      <c r="E63" s="365" t="str">
        <f t="shared" ca="1" si="7"/>
        <v/>
      </c>
      <c r="F63" s="365" t="str">
        <f t="shared" ca="1" si="7"/>
        <v/>
      </c>
      <c r="G63" s="365" t="str">
        <f t="shared" ca="1" si="7"/>
        <v/>
      </c>
      <c r="H63" s="365" t="str">
        <f t="shared" ca="1" si="7"/>
        <v/>
      </c>
      <c r="I63" s="365" t="str">
        <f t="shared" ca="1" si="7"/>
        <v/>
      </c>
      <c r="J63" s="365">
        <f t="shared" ca="1" si="7"/>
        <v>0</v>
      </c>
      <c r="K63" s="365">
        <f t="shared" ca="1" si="7"/>
        <v>0</v>
      </c>
      <c r="L63" s="365">
        <f t="shared" ca="1" si="7"/>
        <v>0</v>
      </c>
      <c r="M63" s="365">
        <f t="shared" ca="1" si="7"/>
        <v>0</v>
      </c>
      <c r="N63" s="365">
        <f t="shared" ca="1" si="7"/>
        <v>0</v>
      </c>
      <c r="O63" s="365">
        <f t="shared" ca="1" si="7"/>
        <v>0</v>
      </c>
      <c r="P63" s="365" t="e">
        <f t="shared" ca="1" si="7"/>
        <v>#REF!</v>
      </c>
      <c r="Q63" s="365" t="e">
        <f t="shared" ca="1" si="7"/>
        <v>#REF!</v>
      </c>
      <c r="R63" s="365" t="e">
        <f t="shared" ca="1" si="10"/>
        <v>#REF!</v>
      </c>
      <c r="S63" s="365">
        <f t="shared" ca="1" si="10"/>
        <v>0</v>
      </c>
      <c r="T63" s="365">
        <f t="shared" ca="1" si="10"/>
        <v>0</v>
      </c>
      <c r="U63" s="365">
        <f t="shared" ca="1" si="10"/>
        <v>0</v>
      </c>
      <c r="V63" s="365">
        <f t="shared" ca="1" si="10"/>
        <v>0</v>
      </c>
      <c r="W63" s="365">
        <f t="shared" ca="1" si="10"/>
        <v>0</v>
      </c>
      <c r="X63" s="365">
        <f t="shared" ca="1" si="10"/>
        <v>0</v>
      </c>
      <c r="Y63" s="365">
        <f t="shared" ca="1" si="10"/>
        <v>0</v>
      </c>
      <c r="Z63" s="365">
        <f t="shared" ca="1" si="10"/>
        <v>0</v>
      </c>
      <c r="AA63" s="365">
        <f t="shared" ca="1" si="10"/>
        <v>0</v>
      </c>
      <c r="AB63" s="365">
        <f t="shared" ca="1" si="10"/>
        <v>0</v>
      </c>
      <c r="AC63" s="365">
        <f t="shared" ca="1" si="10"/>
        <v>0</v>
      </c>
      <c r="AD63" s="365">
        <f t="shared" ca="1" si="10"/>
        <v>0</v>
      </c>
      <c r="AE63" s="365">
        <f t="shared" ca="1" si="10"/>
        <v>0</v>
      </c>
      <c r="AF63" s="365">
        <f t="shared" ca="1" si="10"/>
        <v>0</v>
      </c>
      <c r="AG63" s="365">
        <f t="shared" ca="1" si="10"/>
        <v>0</v>
      </c>
      <c r="AH63" s="365">
        <f t="shared" ca="1" si="10"/>
        <v>0</v>
      </c>
      <c r="AI63" s="365">
        <f t="shared" ca="1" si="10"/>
        <v>0</v>
      </c>
      <c r="AJ63" s="365">
        <f t="shared" ca="1" si="10"/>
        <v>0</v>
      </c>
      <c r="AK63" s="365">
        <f t="shared" ca="1" si="10"/>
        <v>0</v>
      </c>
      <c r="AL63" s="365">
        <f t="shared" ca="1" si="10"/>
        <v>0</v>
      </c>
      <c r="AM63" s="365">
        <f t="shared" ca="1" si="10"/>
        <v>0</v>
      </c>
      <c r="AN63" s="365">
        <f t="shared" ca="1" si="10"/>
        <v>0</v>
      </c>
      <c r="AO63" s="365">
        <f t="shared" ca="1" si="10"/>
        <v>0</v>
      </c>
      <c r="AP63" s="365">
        <f t="shared" ca="1" si="10"/>
        <v>0</v>
      </c>
      <c r="AQ63" s="365">
        <f t="shared" ca="1" si="10"/>
        <v>0</v>
      </c>
      <c r="AR63" s="365">
        <f t="shared" ca="1" si="10"/>
        <v>0</v>
      </c>
      <c r="AS63" s="365">
        <f t="shared" ca="1" si="10"/>
        <v>0</v>
      </c>
      <c r="AT63" s="365">
        <f t="shared" ca="1" si="10"/>
        <v>0</v>
      </c>
      <c r="AU63" s="365">
        <f t="shared" ca="1" si="10"/>
        <v>0</v>
      </c>
      <c r="AV63" s="365">
        <f t="shared" ca="1" si="10"/>
        <v>0</v>
      </c>
      <c r="AW63" s="365">
        <f t="shared" ca="1" si="10"/>
        <v>0</v>
      </c>
      <c r="AX63" s="365">
        <f t="shared" ca="1" si="10"/>
        <v>0</v>
      </c>
      <c r="AY63" s="365">
        <f t="shared" ca="1" si="10"/>
        <v>0</v>
      </c>
      <c r="AZ63" s="365">
        <f t="shared" ca="1" si="10"/>
        <v>0</v>
      </c>
      <c r="BA63" s="365">
        <f t="shared" ca="1" si="10"/>
        <v>0</v>
      </c>
      <c r="BB63" s="365">
        <f t="shared" ca="1" si="10"/>
        <v>0</v>
      </c>
      <c r="BC63" s="365">
        <f t="shared" ca="1" si="10"/>
        <v>0</v>
      </c>
      <c r="BD63" s="365">
        <f t="shared" ca="1" si="10"/>
        <v>0</v>
      </c>
      <c r="BE63" s="365">
        <f t="shared" ca="1" si="10"/>
        <v>0</v>
      </c>
      <c r="BF63" s="365">
        <f t="shared" ca="1" si="10"/>
        <v>0</v>
      </c>
      <c r="BG63" s="365">
        <f t="shared" ca="1" si="10"/>
        <v>0</v>
      </c>
      <c r="BH63" s="365">
        <f t="shared" ca="1" si="10"/>
        <v>0</v>
      </c>
      <c r="BI63" s="365">
        <f t="shared" ca="1" si="10"/>
        <v>0</v>
      </c>
      <c r="BJ63" s="365"/>
    </row>
    <row r="64" spans="1:62" outlineLevel="1" x14ac:dyDescent="0.15">
      <c r="A64" s="375">
        <v>10</v>
      </c>
      <c r="B64" s="365" t="str">
        <f t="shared" ca="1" si="7"/>
        <v/>
      </c>
      <c r="C64" s="365" t="str">
        <f t="shared" ca="1" si="7"/>
        <v/>
      </c>
      <c r="D64" s="365" t="str">
        <f t="shared" ca="1" si="7"/>
        <v/>
      </c>
      <c r="E64" s="365" t="str">
        <f t="shared" ca="1" si="7"/>
        <v/>
      </c>
      <c r="F64" s="365" t="str">
        <f t="shared" ca="1" si="7"/>
        <v/>
      </c>
      <c r="G64" s="365" t="str">
        <f t="shared" ca="1" si="7"/>
        <v/>
      </c>
      <c r="H64" s="365" t="str">
        <f t="shared" ca="1" si="7"/>
        <v/>
      </c>
      <c r="I64" s="365" t="str">
        <f t="shared" ca="1" si="7"/>
        <v/>
      </c>
      <c r="J64" s="365" t="str">
        <f t="shared" ca="1" si="7"/>
        <v/>
      </c>
      <c r="K64" s="365">
        <f t="shared" ca="1" si="7"/>
        <v>0</v>
      </c>
      <c r="L64" s="365">
        <f t="shared" ca="1" si="7"/>
        <v>0</v>
      </c>
      <c r="M64" s="365">
        <f t="shared" ca="1" si="7"/>
        <v>0</v>
      </c>
      <c r="N64" s="365">
        <f t="shared" ca="1" si="7"/>
        <v>0</v>
      </c>
      <c r="O64" s="365">
        <f t="shared" ca="1" si="7"/>
        <v>0</v>
      </c>
      <c r="P64" s="365">
        <f t="shared" ca="1" si="7"/>
        <v>0</v>
      </c>
      <c r="Q64" s="365" t="e">
        <f t="shared" ca="1" si="7"/>
        <v>#REF!</v>
      </c>
      <c r="R64" s="365" t="e">
        <f t="shared" ca="1" si="10"/>
        <v>#REF!</v>
      </c>
      <c r="S64" s="365" t="e">
        <f t="shared" ca="1" si="10"/>
        <v>#REF!</v>
      </c>
      <c r="T64" s="365">
        <f t="shared" ca="1" si="10"/>
        <v>0</v>
      </c>
      <c r="U64" s="365">
        <f t="shared" ca="1" si="10"/>
        <v>0</v>
      </c>
      <c r="V64" s="365">
        <f t="shared" ca="1" si="10"/>
        <v>0</v>
      </c>
      <c r="W64" s="365">
        <f t="shared" ca="1" si="10"/>
        <v>0</v>
      </c>
      <c r="X64" s="365">
        <f t="shared" ca="1" si="10"/>
        <v>0</v>
      </c>
      <c r="Y64" s="365">
        <f t="shared" ca="1" si="10"/>
        <v>0</v>
      </c>
      <c r="Z64" s="365">
        <f t="shared" ca="1" si="10"/>
        <v>0</v>
      </c>
      <c r="AA64" s="365">
        <f t="shared" ca="1" si="10"/>
        <v>0</v>
      </c>
      <c r="AB64" s="365">
        <f t="shared" ca="1" si="10"/>
        <v>0</v>
      </c>
      <c r="AC64" s="365">
        <f t="shared" ca="1" si="10"/>
        <v>0</v>
      </c>
      <c r="AD64" s="365">
        <f t="shared" ca="1" si="10"/>
        <v>0</v>
      </c>
      <c r="AE64" s="365">
        <f t="shared" ca="1" si="10"/>
        <v>0</v>
      </c>
      <c r="AF64" s="365">
        <f t="shared" ca="1" si="10"/>
        <v>0</v>
      </c>
      <c r="AG64" s="365">
        <f t="shared" ca="1" si="10"/>
        <v>0</v>
      </c>
      <c r="AH64" s="365">
        <f t="shared" ca="1" si="10"/>
        <v>0</v>
      </c>
      <c r="AI64" s="365">
        <f t="shared" ca="1" si="10"/>
        <v>0</v>
      </c>
      <c r="AJ64" s="365">
        <f t="shared" ca="1" si="10"/>
        <v>0</v>
      </c>
      <c r="AK64" s="365">
        <f t="shared" ca="1" si="10"/>
        <v>0</v>
      </c>
      <c r="AL64" s="365">
        <f t="shared" ca="1" si="10"/>
        <v>0</v>
      </c>
      <c r="AM64" s="365">
        <f t="shared" ca="1" si="10"/>
        <v>0</v>
      </c>
      <c r="AN64" s="365">
        <f t="shared" ca="1" si="10"/>
        <v>0</v>
      </c>
      <c r="AO64" s="365">
        <f t="shared" ca="1" si="10"/>
        <v>0</v>
      </c>
      <c r="AP64" s="365">
        <f t="shared" ca="1" si="10"/>
        <v>0</v>
      </c>
      <c r="AQ64" s="365">
        <f t="shared" ca="1" si="10"/>
        <v>0</v>
      </c>
      <c r="AR64" s="365">
        <f t="shared" ca="1" si="10"/>
        <v>0</v>
      </c>
      <c r="AS64" s="365">
        <f t="shared" ca="1" si="10"/>
        <v>0</v>
      </c>
      <c r="AT64" s="365">
        <f t="shared" ca="1" si="10"/>
        <v>0</v>
      </c>
      <c r="AU64" s="365">
        <f t="shared" ca="1" si="10"/>
        <v>0</v>
      </c>
      <c r="AV64" s="365">
        <f t="shared" ca="1" si="10"/>
        <v>0</v>
      </c>
      <c r="AW64" s="365">
        <f t="shared" ca="1" si="10"/>
        <v>0</v>
      </c>
      <c r="AX64" s="365">
        <f t="shared" ca="1" si="10"/>
        <v>0</v>
      </c>
      <c r="AY64" s="365">
        <f t="shared" ca="1" si="10"/>
        <v>0</v>
      </c>
      <c r="AZ64" s="365">
        <f t="shared" ca="1" si="10"/>
        <v>0</v>
      </c>
      <c r="BA64" s="365">
        <f t="shared" ca="1" si="10"/>
        <v>0</v>
      </c>
      <c r="BB64" s="365">
        <f t="shared" ca="1" si="10"/>
        <v>0</v>
      </c>
      <c r="BC64" s="365">
        <f t="shared" ca="1" si="10"/>
        <v>0</v>
      </c>
      <c r="BD64" s="365">
        <f t="shared" ca="1" si="10"/>
        <v>0</v>
      </c>
      <c r="BE64" s="365">
        <f t="shared" ca="1" si="10"/>
        <v>0</v>
      </c>
      <c r="BF64" s="365">
        <f t="shared" ca="1" si="10"/>
        <v>0</v>
      </c>
      <c r="BG64" s="365">
        <f t="shared" ca="1" si="10"/>
        <v>0</v>
      </c>
      <c r="BH64" s="365">
        <f t="shared" ca="1" si="10"/>
        <v>0</v>
      </c>
      <c r="BI64" s="365">
        <f t="shared" ca="1" si="10"/>
        <v>0</v>
      </c>
    </row>
    <row r="65" spans="1:61" outlineLevel="1" x14ac:dyDescent="0.15">
      <c r="A65" s="375">
        <v>11</v>
      </c>
      <c r="B65" s="365" t="str">
        <f t="shared" ca="1" si="7"/>
        <v/>
      </c>
      <c r="C65" s="365" t="str">
        <f t="shared" ca="1" si="7"/>
        <v/>
      </c>
      <c r="D65" s="365" t="str">
        <f t="shared" ca="1" si="7"/>
        <v/>
      </c>
      <c r="E65" s="365" t="str">
        <f t="shared" ca="1" si="7"/>
        <v/>
      </c>
      <c r="F65" s="365" t="str">
        <f t="shared" ca="1" si="7"/>
        <v/>
      </c>
      <c r="G65" s="365" t="str">
        <f t="shared" ca="1" si="7"/>
        <v/>
      </c>
      <c r="H65" s="365" t="str">
        <f t="shared" ca="1" si="7"/>
        <v/>
      </c>
      <c r="I65" s="365" t="str">
        <f t="shared" ca="1" si="7"/>
        <v/>
      </c>
      <c r="J65" s="365" t="str">
        <f t="shared" ca="1" si="7"/>
        <v/>
      </c>
      <c r="K65" s="365" t="str">
        <f t="shared" ca="1" si="7"/>
        <v/>
      </c>
      <c r="L65" s="365">
        <f t="shared" ca="1" si="7"/>
        <v>0</v>
      </c>
      <c r="M65" s="365">
        <f t="shared" ca="1" si="7"/>
        <v>0</v>
      </c>
      <c r="N65" s="365">
        <f t="shared" ca="1" si="7"/>
        <v>0</v>
      </c>
      <c r="O65" s="365">
        <f t="shared" ca="1" si="7"/>
        <v>0</v>
      </c>
      <c r="P65" s="365">
        <f t="shared" ca="1" si="7"/>
        <v>0</v>
      </c>
      <c r="Q65" s="365">
        <f t="shared" ca="1" si="7"/>
        <v>0</v>
      </c>
      <c r="R65" s="365" t="e">
        <f t="shared" ca="1" si="10"/>
        <v>#REF!</v>
      </c>
      <c r="S65" s="365" t="e">
        <f t="shared" ca="1" si="10"/>
        <v>#REF!</v>
      </c>
      <c r="T65" s="365" t="e">
        <f t="shared" ca="1" si="10"/>
        <v>#REF!</v>
      </c>
      <c r="U65" s="365">
        <f t="shared" ca="1" si="10"/>
        <v>0</v>
      </c>
      <c r="V65" s="365">
        <f t="shared" ca="1" si="10"/>
        <v>0</v>
      </c>
      <c r="W65" s="365">
        <f t="shared" ca="1" si="10"/>
        <v>0</v>
      </c>
      <c r="X65" s="365">
        <f t="shared" ca="1" si="10"/>
        <v>0</v>
      </c>
      <c r="Y65" s="365">
        <f t="shared" ca="1" si="10"/>
        <v>0</v>
      </c>
      <c r="Z65" s="365">
        <f t="shared" ca="1" si="10"/>
        <v>0</v>
      </c>
      <c r="AA65" s="365">
        <f t="shared" ca="1" si="10"/>
        <v>0</v>
      </c>
      <c r="AB65" s="365">
        <f t="shared" ca="1" si="10"/>
        <v>0</v>
      </c>
      <c r="AC65" s="365">
        <f t="shared" ca="1" si="10"/>
        <v>0</v>
      </c>
      <c r="AD65" s="365">
        <f t="shared" ca="1" si="10"/>
        <v>0</v>
      </c>
      <c r="AE65" s="365">
        <f t="shared" ca="1" si="10"/>
        <v>0</v>
      </c>
      <c r="AF65" s="365">
        <f t="shared" ca="1" si="10"/>
        <v>0</v>
      </c>
      <c r="AG65" s="365">
        <f t="shared" ca="1" si="10"/>
        <v>0</v>
      </c>
      <c r="AH65" s="365">
        <f t="shared" ca="1" si="10"/>
        <v>0</v>
      </c>
      <c r="AI65" s="365">
        <f t="shared" ca="1" si="10"/>
        <v>0</v>
      </c>
      <c r="AJ65" s="365">
        <f t="shared" ca="1" si="10"/>
        <v>0</v>
      </c>
      <c r="AK65" s="365">
        <f t="shared" ca="1" si="10"/>
        <v>0</v>
      </c>
      <c r="AL65" s="365">
        <f t="shared" ca="1" si="10"/>
        <v>0</v>
      </c>
      <c r="AM65" s="365">
        <f t="shared" ca="1" si="10"/>
        <v>0</v>
      </c>
      <c r="AN65" s="365">
        <f t="shared" ca="1" si="10"/>
        <v>0</v>
      </c>
      <c r="AO65" s="365">
        <f t="shared" ca="1" si="10"/>
        <v>0</v>
      </c>
      <c r="AP65" s="365">
        <f t="shared" ca="1" si="10"/>
        <v>0</v>
      </c>
      <c r="AQ65" s="365">
        <f t="shared" ca="1" si="10"/>
        <v>0</v>
      </c>
      <c r="AR65" s="365">
        <f t="shared" ca="1" si="10"/>
        <v>0</v>
      </c>
      <c r="AS65" s="365">
        <f t="shared" ca="1" si="10"/>
        <v>0</v>
      </c>
      <c r="AT65" s="365">
        <f t="shared" ca="1" si="10"/>
        <v>0</v>
      </c>
      <c r="AU65" s="365">
        <f t="shared" ca="1" si="10"/>
        <v>0</v>
      </c>
      <c r="AV65" s="365">
        <f t="shared" ca="1" si="10"/>
        <v>0</v>
      </c>
      <c r="AW65" s="365">
        <f t="shared" ca="1" si="10"/>
        <v>0</v>
      </c>
      <c r="AX65" s="365">
        <f t="shared" ca="1" si="10"/>
        <v>0</v>
      </c>
      <c r="AY65" s="365">
        <f t="shared" ca="1" si="10"/>
        <v>0</v>
      </c>
      <c r="AZ65" s="365">
        <f t="shared" ca="1" si="10"/>
        <v>0</v>
      </c>
      <c r="BA65" s="365">
        <f t="shared" ca="1" si="10"/>
        <v>0</v>
      </c>
      <c r="BB65" s="365">
        <f t="shared" ca="1" si="10"/>
        <v>0</v>
      </c>
      <c r="BC65" s="365">
        <f t="shared" ca="1" si="10"/>
        <v>0</v>
      </c>
      <c r="BD65" s="365">
        <f t="shared" ca="1" si="10"/>
        <v>0</v>
      </c>
      <c r="BE65" s="365">
        <f t="shared" ca="1" si="10"/>
        <v>0</v>
      </c>
      <c r="BF65" s="365">
        <f t="shared" ca="1" si="10"/>
        <v>0</v>
      </c>
      <c r="BG65" s="365">
        <f t="shared" ca="1" si="10"/>
        <v>0</v>
      </c>
      <c r="BH65" s="365">
        <f t="shared" ca="1" si="10"/>
        <v>0</v>
      </c>
      <c r="BI65" s="365">
        <f t="shared" ca="1" si="10"/>
        <v>0</v>
      </c>
    </row>
    <row r="66" spans="1:61" outlineLevel="1" x14ac:dyDescent="0.15">
      <c r="A66" s="375">
        <v>12</v>
      </c>
      <c r="B66" s="365" t="str">
        <f t="shared" ca="1" si="7"/>
        <v/>
      </c>
      <c r="C66" s="365" t="str">
        <f t="shared" ca="1" si="7"/>
        <v/>
      </c>
      <c r="D66" s="365" t="str">
        <f t="shared" ca="1" si="7"/>
        <v/>
      </c>
      <c r="E66" s="365" t="str">
        <f t="shared" ca="1" si="7"/>
        <v/>
      </c>
      <c r="F66" s="365" t="str">
        <f t="shared" ca="1" si="7"/>
        <v/>
      </c>
      <c r="G66" s="365" t="str">
        <f t="shared" ca="1" si="7"/>
        <v/>
      </c>
      <c r="H66" s="365" t="str">
        <f t="shared" ca="1" si="7"/>
        <v/>
      </c>
      <c r="I66" s="365" t="str">
        <f t="shared" ca="1" si="7"/>
        <v/>
      </c>
      <c r="J66" s="365" t="str">
        <f t="shared" ca="1" si="7"/>
        <v/>
      </c>
      <c r="K66" s="365" t="str">
        <f t="shared" ca="1" si="7"/>
        <v/>
      </c>
      <c r="L66" s="365" t="str">
        <f t="shared" ca="1" si="7"/>
        <v/>
      </c>
      <c r="M66" s="365">
        <f t="shared" ca="1" si="7"/>
        <v>0</v>
      </c>
      <c r="N66" s="365">
        <f t="shared" ca="1" si="7"/>
        <v>0</v>
      </c>
      <c r="O66" s="365">
        <f t="shared" ca="1" si="7"/>
        <v>0</v>
      </c>
      <c r="P66" s="365">
        <f t="shared" ca="1" si="7"/>
        <v>0</v>
      </c>
      <c r="Q66" s="365">
        <f t="shared" ca="1" si="7"/>
        <v>0</v>
      </c>
      <c r="R66" s="365">
        <f t="shared" ca="1" si="10"/>
        <v>0</v>
      </c>
      <c r="S66" s="365" t="e">
        <f t="shared" ca="1" si="10"/>
        <v>#REF!</v>
      </c>
      <c r="T66" s="365" t="e">
        <f t="shared" ca="1" si="10"/>
        <v>#REF!</v>
      </c>
      <c r="U66" s="365" t="e">
        <f t="shared" ca="1" si="10"/>
        <v>#REF!</v>
      </c>
      <c r="V66" s="365">
        <f t="shared" ca="1" si="10"/>
        <v>0</v>
      </c>
      <c r="W66" s="365">
        <f t="shared" ca="1" si="10"/>
        <v>0</v>
      </c>
      <c r="X66" s="365">
        <f t="shared" ca="1" si="10"/>
        <v>0</v>
      </c>
      <c r="Y66" s="365">
        <f t="shared" ca="1" si="10"/>
        <v>0</v>
      </c>
      <c r="Z66" s="365">
        <f t="shared" ca="1" si="10"/>
        <v>0</v>
      </c>
      <c r="AA66" s="365">
        <f t="shared" ca="1" si="10"/>
        <v>0</v>
      </c>
      <c r="AB66" s="365">
        <f t="shared" ca="1" si="10"/>
        <v>0</v>
      </c>
      <c r="AC66" s="365">
        <f t="shared" ca="1" si="10"/>
        <v>0</v>
      </c>
      <c r="AD66" s="365">
        <f t="shared" ca="1" si="10"/>
        <v>0</v>
      </c>
      <c r="AE66" s="365">
        <f t="shared" ca="1" si="10"/>
        <v>0</v>
      </c>
      <c r="AF66" s="365">
        <f t="shared" ca="1" si="10"/>
        <v>0</v>
      </c>
      <c r="AG66" s="365">
        <f t="shared" ca="1" si="10"/>
        <v>0</v>
      </c>
      <c r="AH66" s="365">
        <f t="shared" ca="1" si="10"/>
        <v>0</v>
      </c>
      <c r="AI66" s="365">
        <f t="shared" ca="1" si="10"/>
        <v>0</v>
      </c>
      <c r="AJ66" s="365">
        <f t="shared" ca="1" si="10"/>
        <v>0</v>
      </c>
      <c r="AK66" s="365">
        <f t="shared" ca="1" si="10"/>
        <v>0</v>
      </c>
      <c r="AL66" s="365">
        <f t="shared" ca="1" si="10"/>
        <v>0</v>
      </c>
      <c r="AM66" s="365">
        <f t="shared" ca="1" si="10"/>
        <v>0</v>
      </c>
      <c r="AN66" s="365">
        <f t="shared" ca="1" si="10"/>
        <v>0</v>
      </c>
      <c r="AO66" s="365">
        <f t="shared" ca="1" si="10"/>
        <v>0</v>
      </c>
      <c r="AP66" s="365">
        <f t="shared" ca="1" si="10"/>
        <v>0</v>
      </c>
      <c r="AQ66" s="365">
        <f t="shared" ca="1" si="10"/>
        <v>0</v>
      </c>
      <c r="AR66" s="365">
        <f t="shared" ca="1" si="10"/>
        <v>0</v>
      </c>
      <c r="AS66" s="365">
        <f t="shared" ca="1" si="10"/>
        <v>0</v>
      </c>
      <c r="AT66" s="365">
        <f t="shared" ca="1" si="10"/>
        <v>0</v>
      </c>
      <c r="AU66" s="365">
        <f t="shared" ca="1" si="10"/>
        <v>0</v>
      </c>
      <c r="AV66" s="365">
        <f t="shared" ca="1" si="10"/>
        <v>0</v>
      </c>
      <c r="AW66" s="365">
        <f t="shared" ca="1" si="10"/>
        <v>0</v>
      </c>
      <c r="AX66" s="365">
        <f t="shared" ca="1" si="10"/>
        <v>0</v>
      </c>
      <c r="AY66" s="365">
        <f t="shared" ca="1" si="10"/>
        <v>0</v>
      </c>
      <c r="AZ66" s="365">
        <f t="shared" ca="1" si="10"/>
        <v>0</v>
      </c>
      <c r="BA66" s="365">
        <f t="shared" ref="BA66:DG71" ca="1" si="11">IF($A66&gt;BA$5,"",OFFSET(BA$54,0,-($A66-1)))</f>
        <v>0</v>
      </c>
      <c r="BB66" s="365">
        <f t="shared" ca="1" si="11"/>
        <v>0</v>
      </c>
      <c r="BC66" s="365">
        <f t="shared" ca="1" si="11"/>
        <v>0</v>
      </c>
      <c r="BD66" s="365">
        <f t="shared" ca="1" si="11"/>
        <v>0</v>
      </c>
      <c r="BE66" s="365">
        <f t="shared" ca="1" si="11"/>
        <v>0</v>
      </c>
      <c r="BF66" s="365">
        <f t="shared" ca="1" si="11"/>
        <v>0</v>
      </c>
      <c r="BG66" s="365">
        <f t="shared" ca="1" si="11"/>
        <v>0</v>
      </c>
      <c r="BH66" s="365">
        <f t="shared" ca="1" si="11"/>
        <v>0</v>
      </c>
      <c r="BI66" s="365">
        <f t="shared" ca="1" si="11"/>
        <v>0</v>
      </c>
    </row>
    <row r="67" spans="1:61" outlineLevel="1" x14ac:dyDescent="0.15">
      <c r="A67" s="375">
        <v>13</v>
      </c>
      <c r="B67" s="365" t="str">
        <f t="shared" ca="1" si="7"/>
        <v/>
      </c>
      <c r="C67" s="365" t="str">
        <f t="shared" ca="1" si="7"/>
        <v/>
      </c>
      <c r="D67" s="365" t="str">
        <f t="shared" ca="1" si="7"/>
        <v/>
      </c>
      <c r="E67" s="365" t="str">
        <f t="shared" ca="1" si="7"/>
        <v/>
      </c>
      <c r="F67" s="365" t="str">
        <f t="shared" ca="1" si="7"/>
        <v/>
      </c>
      <c r="G67" s="365" t="str">
        <f t="shared" ca="1" si="7"/>
        <v/>
      </c>
      <c r="H67" s="365" t="str">
        <f t="shared" ca="1" si="7"/>
        <v/>
      </c>
      <c r="I67" s="365" t="str">
        <f t="shared" ca="1" si="7"/>
        <v/>
      </c>
      <c r="J67" s="365" t="str">
        <f t="shared" ca="1" si="7"/>
        <v/>
      </c>
      <c r="K67" s="365" t="str">
        <f t="shared" ca="1" si="7"/>
        <v/>
      </c>
      <c r="L67" s="365" t="str">
        <f t="shared" ca="1" si="7"/>
        <v/>
      </c>
      <c r="M67" s="365" t="str">
        <f t="shared" ca="1" si="7"/>
        <v/>
      </c>
      <c r="N67" s="365">
        <f t="shared" ca="1" si="7"/>
        <v>0</v>
      </c>
      <c r="O67" s="365">
        <f t="shared" ca="1" si="7"/>
        <v>0</v>
      </c>
      <c r="P67" s="365">
        <f t="shared" ca="1" si="7"/>
        <v>0</v>
      </c>
      <c r="Q67" s="365">
        <f t="shared" ca="1" si="7"/>
        <v>0</v>
      </c>
      <c r="R67" s="365">
        <f t="shared" ref="R67:BX72" ca="1" si="12">IF($A67&gt;R$5,"",OFFSET(R$54,0,-($A67-1)))</f>
        <v>0</v>
      </c>
      <c r="S67" s="365">
        <f t="shared" ca="1" si="12"/>
        <v>0</v>
      </c>
      <c r="T67" s="365" t="e">
        <f t="shared" ca="1" si="12"/>
        <v>#REF!</v>
      </c>
      <c r="U67" s="365" t="e">
        <f t="shared" ca="1" si="12"/>
        <v>#REF!</v>
      </c>
      <c r="V67" s="365" t="e">
        <f t="shared" ca="1" si="12"/>
        <v>#REF!</v>
      </c>
      <c r="W67" s="365">
        <f t="shared" ca="1" si="12"/>
        <v>0</v>
      </c>
      <c r="X67" s="365">
        <f t="shared" ca="1" si="12"/>
        <v>0</v>
      </c>
      <c r="Y67" s="365">
        <f t="shared" ca="1" si="12"/>
        <v>0</v>
      </c>
      <c r="Z67" s="365">
        <f t="shared" ca="1" si="12"/>
        <v>0</v>
      </c>
      <c r="AA67" s="365">
        <f t="shared" ca="1" si="12"/>
        <v>0</v>
      </c>
      <c r="AB67" s="365">
        <f t="shared" ca="1" si="12"/>
        <v>0</v>
      </c>
      <c r="AC67" s="365">
        <f t="shared" ca="1" si="12"/>
        <v>0</v>
      </c>
      <c r="AD67" s="365">
        <f t="shared" ca="1" si="12"/>
        <v>0</v>
      </c>
      <c r="AE67" s="365">
        <f t="shared" ca="1" si="12"/>
        <v>0</v>
      </c>
      <c r="AF67" s="365">
        <f t="shared" ca="1" si="12"/>
        <v>0</v>
      </c>
      <c r="AG67" s="365">
        <f t="shared" ca="1" si="12"/>
        <v>0</v>
      </c>
      <c r="AH67" s="365">
        <f t="shared" ca="1" si="12"/>
        <v>0</v>
      </c>
      <c r="AI67" s="365">
        <f t="shared" ca="1" si="12"/>
        <v>0</v>
      </c>
      <c r="AJ67" s="365">
        <f t="shared" ca="1" si="12"/>
        <v>0</v>
      </c>
      <c r="AK67" s="365">
        <f t="shared" ca="1" si="12"/>
        <v>0</v>
      </c>
      <c r="AL67" s="365">
        <f t="shared" ca="1" si="12"/>
        <v>0</v>
      </c>
      <c r="AM67" s="365">
        <f t="shared" ca="1" si="12"/>
        <v>0</v>
      </c>
      <c r="AN67" s="365">
        <f t="shared" ca="1" si="12"/>
        <v>0</v>
      </c>
      <c r="AO67" s="365">
        <f t="shared" ca="1" si="12"/>
        <v>0</v>
      </c>
      <c r="AP67" s="365">
        <f t="shared" ca="1" si="12"/>
        <v>0</v>
      </c>
      <c r="AQ67" s="365">
        <f t="shared" ca="1" si="12"/>
        <v>0</v>
      </c>
      <c r="AR67" s="365">
        <f t="shared" ca="1" si="12"/>
        <v>0</v>
      </c>
      <c r="AS67" s="365">
        <f t="shared" ca="1" si="12"/>
        <v>0</v>
      </c>
      <c r="AT67" s="365">
        <f t="shared" ca="1" si="12"/>
        <v>0</v>
      </c>
      <c r="AU67" s="365">
        <f t="shared" ca="1" si="12"/>
        <v>0</v>
      </c>
      <c r="AV67" s="365">
        <f t="shared" ca="1" si="12"/>
        <v>0</v>
      </c>
      <c r="AW67" s="365">
        <f t="shared" ca="1" si="12"/>
        <v>0</v>
      </c>
      <c r="AX67" s="365">
        <f t="shared" ca="1" si="12"/>
        <v>0</v>
      </c>
      <c r="AY67" s="365">
        <f t="shared" ca="1" si="12"/>
        <v>0</v>
      </c>
      <c r="AZ67" s="365">
        <f t="shared" ca="1" si="12"/>
        <v>0</v>
      </c>
      <c r="BA67" s="365">
        <f t="shared" ca="1" si="12"/>
        <v>0</v>
      </c>
      <c r="BB67" s="365">
        <f t="shared" ca="1" si="12"/>
        <v>0</v>
      </c>
      <c r="BC67" s="365">
        <f t="shared" ca="1" si="12"/>
        <v>0</v>
      </c>
      <c r="BD67" s="365">
        <f t="shared" ca="1" si="12"/>
        <v>0</v>
      </c>
      <c r="BE67" s="365">
        <f t="shared" ca="1" si="12"/>
        <v>0</v>
      </c>
      <c r="BF67" s="365">
        <f t="shared" ca="1" si="12"/>
        <v>0</v>
      </c>
      <c r="BG67" s="365">
        <f t="shared" ca="1" si="12"/>
        <v>0</v>
      </c>
      <c r="BH67" s="365">
        <f t="shared" ca="1" si="12"/>
        <v>0</v>
      </c>
      <c r="BI67" s="365">
        <f t="shared" ca="1" si="12"/>
        <v>0</v>
      </c>
    </row>
    <row r="68" spans="1:61" outlineLevel="1" x14ac:dyDescent="0.15">
      <c r="A68" s="375">
        <v>14</v>
      </c>
      <c r="B68" s="365" t="str">
        <f t="shared" ca="1" si="7"/>
        <v/>
      </c>
      <c r="C68" s="365" t="str">
        <f t="shared" ca="1" si="7"/>
        <v/>
      </c>
      <c r="D68" s="365" t="str">
        <f t="shared" ca="1" si="7"/>
        <v/>
      </c>
      <c r="E68" s="365" t="str">
        <f t="shared" ca="1" si="7"/>
        <v/>
      </c>
      <c r="F68" s="365" t="str">
        <f t="shared" ca="1" si="7"/>
        <v/>
      </c>
      <c r="G68" s="365" t="str">
        <f t="shared" ca="1" si="7"/>
        <v/>
      </c>
      <c r="H68" s="365" t="str">
        <f t="shared" ca="1" si="7"/>
        <v/>
      </c>
      <c r="I68" s="365" t="str">
        <f t="shared" ca="1" si="7"/>
        <v/>
      </c>
      <c r="J68" s="365" t="str">
        <f t="shared" ca="1" si="7"/>
        <v/>
      </c>
      <c r="K68" s="365" t="str">
        <f t="shared" ca="1" si="7"/>
        <v/>
      </c>
      <c r="L68" s="365" t="str">
        <f t="shared" ca="1" si="7"/>
        <v/>
      </c>
      <c r="M68" s="365" t="str">
        <f t="shared" ca="1" si="7"/>
        <v/>
      </c>
      <c r="N68" s="365" t="str">
        <f t="shared" ca="1" si="7"/>
        <v/>
      </c>
      <c r="O68" s="365">
        <f t="shared" ca="1" si="7"/>
        <v>0</v>
      </c>
      <c r="P68" s="365">
        <f t="shared" ca="1" si="7"/>
        <v>0</v>
      </c>
      <c r="Q68" s="365">
        <f t="shared" ca="1" si="7"/>
        <v>0</v>
      </c>
      <c r="R68" s="365">
        <f t="shared" ca="1" si="12"/>
        <v>0</v>
      </c>
      <c r="S68" s="365">
        <f t="shared" ca="1" si="12"/>
        <v>0</v>
      </c>
      <c r="T68" s="365">
        <f t="shared" ca="1" si="12"/>
        <v>0</v>
      </c>
      <c r="U68" s="365" t="e">
        <f t="shared" ca="1" si="12"/>
        <v>#REF!</v>
      </c>
      <c r="V68" s="365" t="e">
        <f t="shared" ca="1" si="12"/>
        <v>#REF!</v>
      </c>
      <c r="W68" s="365" t="e">
        <f t="shared" ca="1" si="12"/>
        <v>#REF!</v>
      </c>
      <c r="X68" s="365">
        <f t="shared" ca="1" si="12"/>
        <v>0</v>
      </c>
      <c r="Y68" s="365">
        <f t="shared" ca="1" si="12"/>
        <v>0</v>
      </c>
      <c r="Z68" s="365">
        <f t="shared" ca="1" si="12"/>
        <v>0</v>
      </c>
      <c r="AA68" s="365">
        <f t="shared" ca="1" si="12"/>
        <v>0</v>
      </c>
      <c r="AB68" s="365">
        <f t="shared" ca="1" si="12"/>
        <v>0</v>
      </c>
      <c r="AC68" s="365">
        <f t="shared" ca="1" si="12"/>
        <v>0</v>
      </c>
      <c r="AD68" s="365">
        <f t="shared" ca="1" si="12"/>
        <v>0</v>
      </c>
      <c r="AE68" s="365">
        <f t="shared" ca="1" si="12"/>
        <v>0</v>
      </c>
      <c r="AF68" s="365">
        <f t="shared" ca="1" si="12"/>
        <v>0</v>
      </c>
      <c r="AG68" s="365">
        <f t="shared" ca="1" si="12"/>
        <v>0</v>
      </c>
      <c r="AH68" s="365">
        <f t="shared" ca="1" si="12"/>
        <v>0</v>
      </c>
      <c r="AI68" s="365">
        <f t="shared" ca="1" si="12"/>
        <v>0</v>
      </c>
      <c r="AJ68" s="365">
        <f t="shared" ca="1" si="12"/>
        <v>0</v>
      </c>
      <c r="AK68" s="365">
        <f t="shared" ca="1" si="12"/>
        <v>0</v>
      </c>
      <c r="AL68" s="365">
        <f t="shared" ca="1" si="12"/>
        <v>0</v>
      </c>
      <c r="AM68" s="365">
        <f t="shared" ca="1" si="12"/>
        <v>0</v>
      </c>
      <c r="AN68" s="365">
        <f t="shared" ca="1" si="12"/>
        <v>0</v>
      </c>
      <c r="AO68" s="365">
        <f t="shared" ca="1" si="12"/>
        <v>0</v>
      </c>
      <c r="AP68" s="365">
        <f t="shared" ca="1" si="12"/>
        <v>0</v>
      </c>
      <c r="AQ68" s="365">
        <f t="shared" ca="1" si="12"/>
        <v>0</v>
      </c>
      <c r="AR68" s="365">
        <f t="shared" ca="1" si="12"/>
        <v>0</v>
      </c>
      <c r="AS68" s="365">
        <f t="shared" ca="1" si="12"/>
        <v>0</v>
      </c>
      <c r="AT68" s="365">
        <f t="shared" ca="1" si="12"/>
        <v>0</v>
      </c>
      <c r="AU68" s="365">
        <f t="shared" ca="1" si="12"/>
        <v>0</v>
      </c>
      <c r="AV68" s="365">
        <f t="shared" ca="1" si="12"/>
        <v>0</v>
      </c>
      <c r="AW68" s="365">
        <f t="shared" ca="1" si="12"/>
        <v>0</v>
      </c>
      <c r="AX68" s="365">
        <f t="shared" ca="1" si="12"/>
        <v>0</v>
      </c>
      <c r="AY68" s="365">
        <f t="shared" ca="1" si="12"/>
        <v>0</v>
      </c>
      <c r="AZ68" s="365">
        <f t="shared" ca="1" si="12"/>
        <v>0</v>
      </c>
      <c r="BA68" s="365">
        <f t="shared" ca="1" si="12"/>
        <v>0</v>
      </c>
      <c r="BB68" s="365">
        <f t="shared" ca="1" si="12"/>
        <v>0</v>
      </c>
      <c r="BC68" s="365">
        <f t="shared" ca="1" si="12"/>
        <v>0</v>
      </c>
      <c r="BD68" s="365">
        <f t="shared" ca="1" si="12"/>
        <v>0</v>
      </c>
      <c r="BE68" s="365">
        <f t="shared" ca="1" si="12"/>
        <v>0</v>
      </c>
      <c r="BF68" s="365">
        <f t="shared" ca="1" si="12"/>
        <v>0</v>
      </c>
      <c r="BG68" s="365">
        <f t="shared" ca="1" si="12"/>
        <v>0</v>
      </c>
      <c r="BH68" s="365">
        <f t="shared" ca="1" si="12"/>
        <v>0</v>
      </c>
      <c r="BI68" s="365">
        <f t="shared" ca="1" si="12"/>
        <v>0</v>
      </c>
    </row>
    <row r="69" spans="1:61" outlineLevel="1" x14ac:dyDescent="0.15">
      <c r="A69" s="375">
        <v>15</v>
      </c>
      <c r="B69" s="365" t="str">
        <f t="shared" ca="1" si="7"/>
        <v/>
      </c>
      <c r="C69" s="365" t="str">
        <f t="shared" ca="1" si="7"/>
        <v/>
      </c>
      <c r="D69" s="365" t="str">
        <f t="shared" ca="1" si="7"/>
        <v/>
      </c>
      <c r="E69" s="365" t="str">
        <f t="shared" ca="1" si="7"/>
        <v/>
      </c>
      <c r="F69" s="365" t="str">
        <f t="shared" ca="1" si="7"/>
        <v/>
      </c>
      <c r="G69" s="365" t="str">
        <f t="shared" ca="1" si="7"/>
        <v/>
      </c>
      <c r="H69" s="365" t="str">
        <f t="shared" ca="1" si="7"/>
        <v/>
      </c>
      <c r="I69" s="365" t="str">
        <f t="shared" ca="1" si="7"/>
        <v/>
      </c>
      <c r="J69" s="365" t="str">
        <f t="shared" ca="1" si="7"/>
        <v/>
      </c>
      <c r="K69" s="365" t="str">
        <f t="shared" ca="1" si="7"/>
        <v/>
      </c>
      <c r="L69" s="365" t="str">
        <f t="shared" ca="1" si="7"/>
        <v/>
      </c>
      <c r="M69" s="365" t="str">
        <f t="shared" ca="1" si="7"/>
        <v/>
      </c>
      <c r="N69" s="365" t="str">
        <f t="shared" ca="1" si="7"/>
        <v/>
      </c>
      <c r="O69" s="365" t="str">
        <f t="shared" ca="1" si="7"/>
        <v/>
      </c>
      <c r="P69" s="365">
        <f t="shared" ca="1" si="7"/>
        <v>0</v>
      </c>
      <c r="Q69" s="365">
        <f t="shared" ca="1" si="7"/>
        <v>0</v>
      </c>
      <c r="R69" s="365">
        <f t="shared" ca="1" si="12"/>
        <v>0</v>
      </c>
      <c r="S69" s="365">
        <f t="shared" ca="1" si="12"/>
        <v>0</v>
      </c>
      <c r="T69" s="365">
        <f t="shared" ca="1" si="12"/>
        <v>0</v>
      </c>
      <c r="U69" s="365">
        <f t="shared" ca="1" si="12"/>
        <v>0</v>
      </c>
      <c r="V69" s="365" t="e">
        <f t="shared" ca="1" si="12"/>
        <v>#REF!</v>
      </c>
      <c r="W69" s="365" t="e">
        <f t="shared" ca="1" si="12"/>
        <v>#REF!</v>
      </c>
      <c r="X69" s="365" t="e">
        <f t="shared" ca="1" si="12"/>
        <v>#REF!</v>
      </c>
      <c r="Y69" s="365">
        <f t="shared" ca="1" si="12"/>
        <v>0</v>
      </c>
      <c r="Z69" s="365">
        <f t="shared" ca="1" si="12"/>
        <v>0</v>
      </c>
      <c r="AA69" s="365">
        <f t="shared" ca="1" si="12"/>
        <v>0</v>
      </c>
      <c r="AB69" s="365">
        <f t="shared" ca="1" si="12"/>
        <v>0</v>
      </c>
      <c r="AC69" s="365">
        <f t="shared" ca="1" si="12"/>
        <v>0</v>
      </c>
      <c r="AD69" s="365">
        <f t="shared" ca="1" si="12"/>
        <v>0</v>
      </c>
      <c r="AE69" s="365">
        <f t="shared" ca="1" si="12"/>
        <v>0</v>
      </c>
      <c r="AF69" s="365">
        <f t="shared" ca="1" si="12"/>
        <v>0</v>
      </c>
      <c r="AG69" s="365">
        <f t="shared" ca="1" si="12"/>
        <v>0</v>
      </c>
      <c r="AH69" s="365">
        <f t="shared" ca="1" si="12"/>
        <v>0</v>
      </c>
      <c r="AI69" s="365">
        <f t="shared" ca="1" si="12"/>
        <v>0</v>
      </c>
      <c r="AJ69" s="365">
        <f t="shared" ca="1" si="12"/>
        <v>0</v>
      </c>
      <c r="AK69" s="365">
        <f t="shared" ca="1" si="12"/>
        <v>0</v>
      </c>
      <c r="AL69" s="365">
        <f t="shared" ca="1" si="12"/>
        <v>0</v>
      </c>
      <c r="AM69" s="365">
        <f t="shared" ca="1" si="12"/>
        <v>0</v>
      </c>
      <c r="AN69" s="365">
        <f t="shared" ca="1" si="12"/>
        <v>0</v>
      </c>
      <c r="AO69" s="365">
        <f t="shared" ca="1" si="12"/>
        <v>0</v>
      </c>
      <c r="AP69" s="365">
        <f t="shared" ca="1" si="12"/>
        <v>0</v>
      </c>
      <c r="AQ69" s="365">
        <f t="shared" ca="1" si="12"/>
        <v>0</v>
      </c>
      <c r="AR69" s="365">
        <f t="shared" ca="1" si="12"/>
        <v>0</v>
      </c>
      <c r="AS69" s="365">
        <f t="shared" ca="1" si="12"/>
        <v>0</v>
      </c>
      <c r="AT69" s="365">
        <f t="shared" ca="1" si="12"/>
        <v>0</v>
      </c>
      <c r="AU69" s="365">
        <f t="shared" ca="1" si="12"/>
        <v>0</v>
      </c>
      <c r="AV69" s="365">
        <f t="shared" ca="1" si="12"/>
        <v>0</v>
      </c>
      <c r="AW69" s="365">
        <f t="shared" ca="1" si="12"/>
        <v>0</v>
      </c>
      <c r="AX69" s="365">
        <f t="shared" ca="1" si="12"/>
        <v>0</v>
      </c>
      <c r="AY69" s="365">
        <f t="shared" ca="1" si="12"/>
        <v>0</v>
      </c>
      <c r="AZ69" s="365">
        <f t="shared" ca="1" si="12"/>
        <v>0</v>
      </c>
      <c r="BA69" s="365">
        <f t="shared" ca="1" si="12"/>
        <v>0</v>
      </c>
      <c r="BB69" s="365">
        <f t="shared" ca="1" si="12"/>
        <v>0</v>
      </c>
      <c r="BC69" s="365">
        <f t="shared" ca="1" si="12"/>
        <v>0</v>
      </c>
      <c r="BD69" s="365">
        <f t="shared" ca="1" si="12"/>
        <v>0</v>
      </c>
      <c r="BE69" s="365">
        <f t="shared" ca="1" si="12"/>
        <v>0</v>
      </c>
      <c r="BF69" s="365">
        <f t="shared" ca="1" si="12"/>
        <v>0</v>
      </c>
      <c r="BG69" s="365">
        <f t="shared" ca="1" si="12"/>
        <v>0</v>
      </c>
      <c r="BH69" s="365">
        <f t="shared" ca="1" si="12"/>
        <v>0</v>
      </c>
      <c r="BI69" s="365">
        <f t="shared" ca="1" si="12"/>
        <v>0</v>
      </c>
    </row>
    <row r="70" spans="1:61" outlineLevel="1" x14ac:dyDescent="0.15">
      <c r="A70" s="375">
        <v>16</v>
      </c>
      <c r="B70" s="365" t="str">
        <f t="shared" ca="1" si="7"/>
        <v/>
      </c>
      <c r="C70" s="365" t="str">
        <f t="shared" ca="1" si="7"/>
        <v/>
      </c>
      <c r="D70" s="365" t="str">
        <f t="shared" ca="1" si="7"/>
        <v/>
      </c>
      <c r="E70" s="365" t="str">
        <f t="shared" ca="1" si="7"/>
        <v/>
      </c>
      <c r="F70" s="365" t="str">
        <f t="shared" ca="1" si="7"/>
        <v/>
      </c>
      <c r="G70" s="365" t="str">
        <f t="shared" ca="1" si="7"/>
        <v/>
      </c>
      <c r="H70" s="365" t="str">
        <f t="shared" ca="1" si="7"/>
        <v/>
      </c>
      <c r="I70" s="365" t="str">
        <f t="shared" ca="1" si="7"/>
        <v/>
      </c>
      <c r="J70" s="365" t="str">
        <f t="shared" ca="1" si="7"/>
        <v/>
      </c>
      <c r="K70" s="365" t="str">
        <f t="shared" ca="1" si="7"/>
        <v/>
      </c>
      <c r="L70" s="365" t="str">
        <f t="shared" ca="1" si="7"/>
        <v/>
      </c>
      <c r="M70" s="365" t="str">
        <f t="shared" ca="1" si="7"/>
        <v/>
      </c>
      <c r="N70" s="365" t="str">
        <f t="shared" ca="1" si="7"/>
        <v/>
      </c>
      <c r="O70" s="365" t="str">
        <f t="shared" ca="1" si="7"/>
        <v/>
      </c>
      <c r="P70" s="365" t="str">
        <f t="shared" ca="1" si="7"/>
        <v/>
      </c>
      <c r="Q70" s="365">
        <f t="shared" ref="Q70:BW75" ca="1" si="13">IF($A70&gt;Q$5,"",OFFSET(Q$54,0,-($A70-1)))</f>
        <v>0</v>
      </c>
      <c r="R70" s="365">
        <f t="shared" ca="1" si="13"/>
        <v>0</v>
      </c>
      <c r="S70" s="365">
        <f t="shared" ca="1" si="13"/>
        <v>0</v>
      </c>
      <c r="T70" s="365">
        <f t="shared" ca="1" si="13"/>
        <v>0</v>
      </c>
      <c r="U70" s="365">
        <f t="shared" ca="1" si="13"/>
        <v>0</v>
      </c>
      <c r="V70" s="365">
        <f t="shared" ca="1" si="13"/>
        <v>0</v>
      </c>
      <c r="W70" s="365" t="e">
        <f t="shared" ca="1" si="13"/>
        <v>#REF!</v>
      </c>
      <c r="X70" s="365" t="e">
        <f t="shared" ca="1" si="13"/>
        <v>#REF!</v>
      </c>
      <c r="Y70" s="365" t="e">
        <f t="shared" ca="1" si="13"/>
        <v>#REF!</v>
      </c>
      <c r="Z70" s="365">
        <f t="shared" ca="1" si="13"/>
        <v>0</v>
      </c>
      <c r="AA70" s="365">
        <f t="shared" ca="1" si="13"/>
        <v>0</v>
      </c>
      <c r="AB70" s="365">
        <f t="shared" ca="1" si="13"/>
        <v>0</v>
      </c>
      <c r="AC70" s="365">
        <f t="shared" ca="1" si="13"/>
        <v>0</v>
      </c>
      <c r="AD70" s="365">
        <f t="shared" ca="1" si="13"/>
        <v>0</v>
      </c>
      <c r="AE70" s="365">
        <f t="shared" ca="1" si="13"/>
        <v>0</v>
      </c>
      <c r="AF70" s="365">
        <f t="shared" ca="1" si="13"/>
        <v>0</v>
      </c>
      <c r="AG70" s="365">
        <f t="shared" ca="1" si="13"/>
        <v>0</v>
      </c>
      <c r="AH70" s="365">
        <f t="shared" ca="1" si="13"/>
        <v>0</v>
      </c>
      <c r="AI70" s="365">
        <f t="shared" ca="1" si="13"/>
        <v>0</v>
      </c>
      <c r="AJ70" s="365">
        <f t="shared" ca="1" si="13"/>
        <v>0</v>
      </c>
      <c r="AK70" s="365">
        <f t="shared" ca="1" si="13"/>
        <v>0</v>
      </c>
      <c r="AL70" s="365">
        <f t="shared" ca="1" si="13"/>
        <v>0</v>
      </c>
      <c r="AM70" s="365">
        <f t="shared" ca="1" si="13"/>
        <v>0</v>
      </c>
      <c r="AN70" s="365">
        <f t="shared" ca="1" si="13"/>
        <v>0</v>
      </c>
      <c r="AO70" s="365">
        <f t="shared" ca="1" si="13"/>
        <v>0</v>
      </c>
      <c r="AP70" s="365">
        <f t="shared" ca="1" si="13"/>
        <v>0</v>
      </c>
      <c r="AQ70" s="365">
        <f t="shared" ca="1" si="13"/>
        <v>0</v>
      </c>
      <c r="AR70" s="365">
        <f t="shared" ca="1" si="13"/>
        <v>0</v>
      </c>
      <c r="AS70" s="365">
        <f t="shared" ca="1" si="13"/>
        <v>0</v>
      </c>
      <c r="AT70" s="365">
        <f t="shared" ca="1" si="13"/>
        <v>0</v>
      </c>
      <c r="AU70" s="365">
        <f t="shared" ca="1" si="13"/>
        <v>0</v>
      </c>
      <c r="AV70" s="365">
        <f t="shared" ca="1" si="13"/>
        <v>0</v>
      </c>
      <c r="AW70" s="365">
        <f t="shared" ca="1" si="13"/>
        <v>0</v>
      </c>
      <c r="AX70" s="365">
        <f t="shared" ca="1" si="13"/>
        <v>0</v>
      </c>
      <c r="AY70" s="365">
        <f t="shared" ca="1" si="13"/>
        <v>0</v>
      </c>
      <c r="AZ70" s="365">
        <f t="shared" ca="1" si="13"/>
        <v>0</v>
      </c>
      <c r="BA70" s="365">
        <f t="shared" ca="1" si="13"/>
        <v>0</v>
      </c>
      <c r="BB70" s="365">
        <f t="shared" ca="1" si="13"/>
        <v>0</v>
      </c>
      <c r="BC70" s="365">
        <f t="shared" ca="1" si="13"/>
        <v>0</v>
      </c>
      <c r="BD70" s="365">
        <f t="shared" ca="1" si="13"/>
        <v>0</v>
      </c>
      <c r="BE70" s="365">
        <f t="shared" ca="1" si="13"/>
        <v>0</v>
      </c>
      <c r="BF70" s="365">
        <f t="shared" ca="1" si="13"/>
        <v>0</v>
      </c>
      <c r="BG70" s="365">
        <f t="shared" ca="1" si="13"/>
        <v>0</v>
      </c>
      <c r="BH70" s="365">
        <f t="shared" ca="1" si="13"/>
        <v>0</v>
      </c>
      <c r="BI70" s="365">
        <f t="shared" ca="1" si="13"/>
        <v>0</v>
      </c>
    </row>
    <row r="71" spans="1:61" outlineLevel="1" x14ac:dyDescent="0.15">
      <c r="A71" s="375">
        <v>17</v>
      </c>
      <c r="B71" s="365" t="str">
        <f t="shared" ref="B71:Q102" ca="1" si="14">IF($A71&gt;B$5,"",OFFSET(B$54,0,-($A71-1)))</f>
        <v/>
      </c>
      <c r="C71" s="365" t="str">
        <f t="shared" ca="1" si="14"/>
        <v/>
      </c>
      <c r="D71" s="365" t="str">
        <f t="shared" ca="1" si="14"/>
        <v/>
      </c>
      <c r="E71" s="365" t="str">
        <f t="shared" ca="1" si="14"/>
        <v/>
      </c>
      <c r="F71" s="365" t="str">
        <f t="shared" ca="1" si="14"/>
        <v/>
      </c>
      <c r="G71" s="365" t="str">
        <f t="shared" ca="1" si="14"/>
        <v/>
      </c>
      <c r="H71" s="365" t="str">
        <f t="shared" ca="1" si="14"/>
        <v/>
      </c>
      <c r="I71" s="365" t="str">
        <f t="shared" ca="1" si="14"/>
        <v/>
      </c>
      <c r="J71" s="365" t="str">
        <f t="shared" ca="1" si="14"/>
        <v/>
      </c>
      <c r="K71" s="365" t="str">
        <f t="shared" ca="1" si="14"/>
        <v/>
      </c>
      <c r="L71" s="365" t="str">
        <f t="shared" ca="1" si="14"/>
        <v/>
      </c>
      <c r="M71" s="365" t="str">
        <f t="shared" ca="1" si="14"/>
        <v/>
      </c>
      <c r="N71" s="365" t="str">
        <f t="shared" ca="1" si="14"/>
        <v/>
      </c>
      <c r="O71" s="365" t="str">
        <f t="shared" ca="1" si="14"/>
        <v/>
      </c>
      <c r="P71" s="365" t="str">
        <f t="shared" ca="1" si="14"/>
        <v/>
      </c>
      <c r="Q71" s="365" t="str">
        <f t="shared" ca="1" si="14"/>
        <v/>
      </c>
      <c r="R71" s="365">
        <f t="shared" ca="1" si="13"/>
        <v>0</v>
      </c>
      <c r="S71" s="365">
        <f t="shared" ca="1" si="13"/>
        <v>0</v>
      </c>
      <c r="T71" s="365">
        <f t="shared" ca="1" si="13"/>
        <v>0</v>
      </c>
      <c r="U71" s="365">
        <f t="shared" ca="1" si="13"/>
        <v>0</v>
      </c>
      <c r="V71" s="365">
        <f t="shared" ca="1" si="13"/>
        <v>0</v>
      </c>
      <c r="W71" s="365">
        <f t="shared" ca="1" si="13"/>
        <v>0</v>
      </c>
      <c r="X71" s="365" t="e">
        <f t="shared" ca="1" si="13"/>
        <v>#REF!</v>
      </c>
      <c r="Y71" s="365" t="e">
        <f t="shared" ca="1" si="13"/>
        <v>#REF!</v>
      </c>
      <c r="Z71" s="365" t="e">
        <f t="shared" ca="1" si="13"/>
        <v>#REF!</v>
      </c>
      <c r="AA71" s="365">
        <f t="shared" ca="1" si="13"/>
        <v>0</v>
      </c>
      <c r="AB71" s="365">
        <f t="shared" ca="1" si="13"/>
        <v>0</v>
      </c>
      <c r="AC71" s="365">
        <f t="shared" ca="1" si="13"/>
        <v>0</v>
      </c>
      <c r="AD71" s="365">
        <f t="shared" ca="1" si="13"/>
        <v>0</v>
      </c>
      <c r="AE71" s="365">
        <f t="shared" ca="1" si="13"/>
        <v>0</v>
      </c>
      <c r="AF71" s="365">
        <f t="shared" ca="1" si="13"/>
        <v>0</v>
      </c>
      <c r="AG71" s="365">
        <f t="shared" ca="1" si="13"/>
        <v>0</v>
      </c>
      <c r="AH71" s="365">
        <f t="shared" ca="1" si="13"/>
        <v>0</v>
      </c>
      <c r="AI71" s="365">
        <f t="shared" ca="1" si="13"/>
        <v>0</v>
      </c>
      <c r="AJ71" s="365">
        <f t="shared" ca="1" si="13"/>
        <v>0</v>
      </c>
      <c r="AK71" s="365">
        <f t="shared" ca="1" si="13"/>
        <v>0</v>
      </c>
      <c r="AL71" s="365">
        <f t="shared" ca="1" si="13"/>
        <v>0</v>
      </c>
      <c r="AM71" s="365">
        <f t="shared" ca="1" si="13"/>
        <v>0</v>
      </c>
      <c r="AN71" s="365">
        <f t="shared" ca="1" si="13"/>
        <v>0</v>
      </c>
      <c r="AO71" s="365">
        <f t="shared" ca="1" si="13"/>
        <v>0</v>
      </c>
      <c r="AP71" s="365">
        <f t="shared" ca="1" si="13"/>
        <v>0</v>
      </c>
      <c r="AQ71" s="365">
        <f t="shared" ca="1" si="13"/>
        <v>0</v>
      </c>
      <c r="AR71" s="365">
        <f t="shared" ca="1" si="13"/>
        <v>0</v>
      </c>
      <c r="AS71" s="365">
        <f t="shared" ca="1" si="13"/>
        <v>0</v>
      </c>
      <c r="AT71" s="365">
        <f t="shared" ca="1" si="13"/>
        <v>0</v>
      </c>
      <c r="AU71" s="365">
        <f t="shared" ca="1" si="13"/>
        <v>0</v>
      </c>
      <c r="AV71" s="365">
        <f t="shared" ca="1" si="13"/>
        <v>0</v>
      </c>
      <c r="AW71" s="365">
        <f t="shared" ca="1" si="13"/>
        <v>0</v>
      </c>
      <c r="AX71" s="365">
        <f t="shared" ca="1" si="13"/>
        <v>0</v>
      </c>
      <c r="AY71" s="365">
        <f t="shared" ca="1" si="13"/>
        <v>0</v>
      </c>
      <c r="AZ71" s="365">
        <f t="shared" ca="1" si="13"/>
        <v>0</v>
      </c>
      <c r="BA71" s="365">
        <f t="shared" ca="1" si="13"/>
        <v>0</v>
      </c>
      <c r="BB71" s="365">
        <f t="shared" ca="1" si="13"/>
        <v>0</v>
      </c>
      <c r="BC71" s="365">
        <f t="shared" ca="1" si="13"/>
        <v>0</v>
      </c>
      <c r="BD71" s="365">
        <f t="shared" ca="1" si="13"/>
        <v>0</v>
      </c>
      <c r="BE71" s="365">
        <f t="shared" ca="1" si="13"/>
        <v>0</v>
      </c>
      <c r="BF71" s="365">
        <f t="shared" ca="1" si="13"/>
        <v>0</v>
      </c>
      <c r="BG71" s="365">
        <f t="shared" ca="1" si="13"/>
        <v>0</v>
      </c>
      <c r="BH71" s="365">
        <f t="shared" ca="1" si="13"/>
        <v>0</v>
      </c>
      <c r="BI71" s="365">
        <f t="shared" ca="1" si="13"/>
        <v>0</v>
      </c>
    </row>
    <row r="72" spans="1:61" outlineLevel="1" x14ac:dyDescent="0.15">
      <c r="A72" s="375">
        <v>18</v>
      </c>
      <c r="B72" s="365" t="str">
        <f t="shared" ca="1" si="14"/>
        <v/>
      </c>
      <c r="C72" s="365" t="str">
        <f t="shared" ca="1" si="14"/>
        <v/>
      </c>
      <c r="D72" s="365" t="str">
        <f t="shared" ca="1" si="14"/>
        <v/>
      </c>
      <c r="E72" s="365" t="str">
        <f t="shared" ca="1" si="14"/>
        <v/>
      </c>
      <c r="F72" s="365" t="str">
        <f t="shared" ca="1" si="14"/>
        <v/>
      </c>
      <c r="G72" s="365" t="str">
        <f t="shared" ca="1" si="14"/>
        <v/>
      </c>
      <c r="H72" s="365" t="str">
        <f t="shared" ca="1" si="14"/>
        <v/>
      </c>
      <c r="I72" s="365" t="str">
        <f t="shared" ca="1" si="14"/>
        <v/>
      </c>
      <c r="J72" s="365" t="str">
        <f t="shared" ca="1" si="14"/>
        <v/>
      </c>
      <c r="K72" s="365" t="str">
        <f t="shared" ca="1" si="14"/>
        <v/>
      </c>
      <c r="L72" s="365" t="str">
        <f t="shared" ca="1" si="14"/>
        <v/>
      </c>
      <c r="M72" s="365" t="str">
        <f t="shared" ca="1" si="14"/>
        <v/>
      </c>
      <c r="N72" s="365" t="str">
        <f t="shared" ca="1" si="14"/>
        <v/>
      </c>
      <c r="O72" s="365" t="str">
        <f t="shared" ca="1" si="14"/>
        <v/>
      </c>
      <c r="P72" s="365" t="str">
        <f t="shared" ca="1" si="14"/>
        <v/>
      </c>
      <c r="Q72" s="365" t="str">
        <f t="shared" ca="1" si="14"/>
        <v/>
      </c>
      <c r="R72" s="365" t="str">
        <f t="shared" ca="1" si="13"/>
        <v/>
      </c>
      <c r="S72" s="365">
        <f t="shared" ca="1" si="13"/>
        <v>0</v>
      </c>
      <c r="T72" s="365">
        <f t="shared" ca="1" si="13"/>
        <v>0</v>
      </c>
      <c r="U72" s="365">
        <f t="shared" ca="1" si="13"/>
        <v>0</v>
      </c>
      <c r="V72" s="365">
        <f t="shared" ca="1" si="13"/>
        <v>0</v>
      </c>
      <c r="W72" s="365">
        <f t="shared" ca="1" si="13"/>
        <v>0</v>
      </c>
      <c r="X72" s="365">
        <f t="shared" ca="1" si="13"/>
        <v>0</v>
      </c>
      <c r="Y72" s="365" t="e">
        <f t="shared" ca="1" si="13"/>
        <v>#REF!</v>
      </c>
      <c r="Z72" s="365" t="e">
        <f t="shared" ca="1" si="13"/>
        <v>#REF!</v>
      </c>
      <c r="AA72" s="365" t="e">
        <f t="shared" ca="1" si="13"/>
        <v>#REF!</v>
      </c>
      <c r="AB72" s="365">
        <f t="shared" ca="1" si="13"/>
        <v>0</v>
      </c>
      <c r="AC72" s="365">
        <f t="shared" ca="1" si="13"/>
        <v>0</v>
      </c>
      <c r="AD72" s="365">
        <f t="shared" ca="1" si="13"/>
        <v>0</v>
      </c>
      <c r="AE72" s="365">
        <f t="shared" ca="1" si="13"/>
        <v>0</v>
      </c>
      <c r="AF72" s="365">
        <f t="shared" ca="1" si="13"/>
        <v>0</v>
      </c>
      <c r="AG72" s="365">
        <f t="shared" ca="1" si="13"/>
        <v>0</v>
      </c>
      <c r="AH72" s="365">
        <f t="shared" ca="1" si="13"/>
        <v>0</v>
      </c>
      <c r="AI72" s="365">
        <f t="shared" ca="1" si="13"/>
        <v>0</v>
      </c>
      <c r="AJ72" s="365">
        <f t="shared" ca="1" si="13"/>
        <v>0</v>
      </c>
      <c r="AK72" s="365">
        <f t="shared" ca="1" si="13"/>
        <v>0</v>
      </c>
      <c r="AL72" s="365">
        <f t="shared" ca="1" si="13"/>
        <v>0</v>
      </c>
      <c r="AM72" s="365">
        <f t="shared" ca="1" si="13"/>
        <v>0</v>
      </c>
      <c r="AN72" s="365">
        <f t="shared" ca="1" si="13"/>
        <v>0</v>
      </c>
      <c r="AO72" s="365">
        <f t="shared" ca="1" si="13"/>
        <v>0</v>
      </c>
      <c r="AP72" s="365">
        <f t="shared" ca="1" si="13"/>
        <v>0</v>
      </c>
      <c r="AQ72" s="365">
        <f t="shared" ca="1" si="13"/>
        <v>0</v>
      </c>
      <c r="AR72" s="365">
        <f t="shared" ca="1" si="13"/>
        <v>0</v>
      </c>
      <c r="AS72" s="365">
        <f t="shared" ca="1" si="13"/>
        <v>0</v>
      </c>
      <c r="AT72" s="365">
        <f t="shared" ca="1" si="13"/>
        <v>0</v>
      </c>
      <c r="AU72" s="365">
        <f t="shared" ca="1" si="13"/>
        <v>0</v>
      </c>
      <c r="AV72" s="365">
        <f t="shared" ca="1" si="13"/>
        <v>0</v>
      </c>
      <c r="AW72" s="365">
        <f t="shared" ca="1" si="13"/>
        <v>0</v>
      </c>
      <c r="AX72" s="365">
        <f t="shared" ca="1" si="13"/>
        <v>0</v>
      </c>
      <c r="AY72" s="365">
        <f t="shared" ca="1" si="13"/>
        <v>0</v>
      </c>
      <c r="AZ72" s="365">
        <f t="shared" ca="1" si="13"/>
        <v>0</v>
      </c>
      <c r="BA72" s="365">
        <f t="shared" ca="1" si="13"/>
        <v>0</v>
      </c>
      <c r="BB72" s="365">
        <f t="shared" ca="1" si="13"/>
        <v>0</v>
      </c>
      <c r="BC72" s="365">
        <f t="shared" ca="1" si="13"/>
        <v>0</v>
      </c>
      <c r="BD72" s="365">
        <f t="shared" ca="1" si="13"/>
        <v>0</v>
      </c>
      <c r="BE72" s="365">
        <f t="shared" ca="1" si="13"/>
        <v>0</v>
      </c>
      <c r="BF72" s="365">
        <f t="shared" ca="1" si="13"/>
        <v>0</v>
      </c>
      <c r="BG72" s="365">
        <f t="shared" ca="1" si="13"/>
        <v>0</v>
      </c>
      <c r="BH72" s="365">
        <f t="shared" ca="1" si="13"/>
        <v>0</v>
      </c>
      <c r="BI72" s="365">
        <f t="shared" ca="1" si="13"/>
        <v>0</v>
      </c>
    </row>
    <row r="73" spans="1:61" outlineLevel="1" x14ac:dyDescent="0.15">
      <c r="A73" s="375">
        <v>19</v>
      </c>
      <c r="B73" s="365" t="str">
        <f t="shared" ca="1" si="14"/>
        <v/>
      </c>
      <c r="C73" s="365" t="str">
        <f t="shared" ca="1" si="14"/>
        <v/>
      </c>
      <c r="D73" s="365" t="str">
        <f t="shared" ca="1" si="14"/>
        <v/>
      </c>
      <c r="E73" s="365" t="str">
        <f t="shared" ca="1" si="14"/>
        <v/>
      </c>
      <c r="F73" s="365" t="str">
        <f t="shared" ca="1" si="14"/>
        <v/>
      </c>
      <c r="G73" s="365" t="str">
        <f t="shared" ca="1" si="14"/>
        <v/>
      </c>
      <c r="H73" s="365" t="str">
        <f t="shared" ca="1" si="14"/>
        <v/>
      </c>
      <c r="I73" s="365" t="str">
        <f t="shared" ca="1" si="14"/>
        <v/>
      </c>
      <c r="J73" s="365" t="str">
        <f t="shared" ca="1" si="14"/>
        <v/>
      </c>
      <c r="K73" s="365" t="str">
        <f t="shared" ca="1" si="14"/>
        <v/>
      </c>
      <c r="L73" s="365" t="str">
        <f t="shared" ca="1" si="14"/>
        <v/>
      </c>
      <c r="M73" s="365" t="str">
        <f t="shared" ca="1" si="14"/>
        <v/>
      </c>
      <c r="N73" s="365" t="str">
        <f t="shared" ca="1" si="14"/>
        <v/>
      </c>
      <c r="O73" s="365" t="str">
        <f t="shared" ca="1" si="14"/>
        <v/>
      </c>
      <c r="P73" s="365" t="str">
        <f t="shared" ca="1" si="14"/>
        <v/>
      </c>
      <c r="Q73" s="365" t="str">
        <f t="shared" ca="1" si="14"/>
        <v/>
      </c>
      <c r="R73" s="365" t="str">
        <f t="shared" ca="1" si="13"/>
        <v/>
      </c>
      <c r="S73" s="365" t="str">
        <f t="shared" ca="1" si="13"/>
        <v/>
      </c>
      <c r="T73" s="365">
        <f t="shared" ca="1" si="13"/>
        <v>0</v>
      </c>
      <c r="U73" s="365">
        <f t="shared" ca="1" si="13"/>
        <v>0</v>
      </c>
      <c r="V73" s="365">
        <f t="shared" ca="1" si="13"/>
        <v>0</v>
      </c>
      <c r="W73" s="365">
        <f t="shared" ca="1" si="13"/>
        <v>0</v>
      </c>
      <c r="X73" s="365">
        <f t="shared" ca="1" si="13"/>
        <v>0</v>
      </c>
      <c r="Y73" s="365">
        <f t="shared" ca="1" si="13"/>
        <v>0</v>
      </c>
      <c r="Z73" s="365" t="e">
        <f t="shared" ca="1" si="13"/>
        <v>#REF!</v>
      </c>
      <c r="AA73" s="365" t="e">
        <f t="shared" ca="1" si="13"/>
        <v>#REF!</v>
      </c>
      <c r="AB73" s="365" t="e">
        <f t="shared" ca="1" si="13"/>
        <v>#REF!</v>
      </c>
      <c r="AC73" s="365">
        <f t="shared" ca="1" si="13"/>
        <v>0</v>
      </c>
      <c r="AD73" s="365">
        <f t="shared" ca="1" si="13"/>
        <v>0</v>
      </c>
      <c r="AE73" s="365">
        <f t="shared" ca="1" si="13"/>
        <v>0</v>
      </c>
      <c r="AF73" s="365">
        <f t="shared" ca="1" si="13"/>
        <v>0</v>
      </c>
      <c r="AG73" s="365">
        <f t="shared" ca="1" si="13"/>
        <v>0</v>
      </c>
      <c r="AH73" s="365">
        <f t="shared" ca="1" si="13"/>
        <v>0</v>
      </c>
      <c r="AI73" s="365">
        <f t="shared" ca="1" si="13"/>
        <v>0</v>
      </c>
      <c r="AJ73" s="365">
        <f t="shared" ca="1" si="13"/>
        <v>0</v>
      </c>
      <c r="AK73" s="365">
        <f t="shared" ca="1" si="13"/>
        <v>0</v>
      </c>
      <c r="AL73" s="365">
        <f t="shared" ca="1" si="13"/>
        <v>0</v>
      </c>
      <c r="AM73" s="365">
        <f t="shared" ca="1" si="13"/>
        <v>0</v>
      </c>
      <c r="AN73" s="365">
        <f t="shared" ca="1" si="13"/>
        <v>0</v>
      </c>
      <c r="AO73" s="365">
        <f t="shared" ca="1" si="13"/>
        <v>0</v>
      </c>
      <c r="AP73" s="365">
        <f t="shared" ca="1" si="13"/>
        <v>0</v>
      </c>
      <c r="AQ73" s="365">
        <f t="shared" ca="1" si="13"/>
        <v>0</v>
      </c>
      <c r="AR73" s="365">
        <f t="shared" ca="1" si="13"/>
        <v>0</v>
      </c>
      <c r="AS73" s="365">
        <f t="shared" ca="1" si="13"/>
        <v>0</v>
      </c>
      <c r="AT73" s="365">
        <f t="shared" ca="1" si="13"/>
        <v>0</v>
      </c>
      <c r="AU73" s="365">
        <f t="shared" ca="1" si="13"/>
        <v>0</v>
      </c>
      <c r="AV73" s="365">
        <f t="shared" ca="1" si="13"/>
        <v>0</v>
      </c>
      <c r="AW73" s="365">
        <f t="shared" ca="1" si="13"/>
        <v>0</v>
      </c>
      <c r="AX73" s="365">
        <f t="shared" ca="1" si="13"/>
        <v>0</v>
      </c>
      <c r="AY73" s="365">
        <f t="shared" ca="1" si="13"/>
        <v>0</v>
      </c>
      <c r="AZ73" s="365">
        <f t="shared" ca="1" si="13"/>
        <v>0</v>
      </c>
      <c r="BA73" s="365">
        <f t="shared" ca="1" si="13"/>
        <v>0</v>
      </c>
      <c r="BB73" s="365">
        <f t="shared" ca="1" si="13"/>
        <v>0</v>
      </c>
      <c r="BC73" s="365">
        <f t="shared" ca="1" si="13"/>
        <v>0</v>
      </c>
      <c r="BD73" s="365">
        <f t="shared" ca="1" si="13"/>
        <v>0</v>
      </c>
      <c r="BE73" s="365">
        <f t="shared" ca="1" si="13"/>
        <v>0</v>
      </c>
      <c r="BF73" s="365">
        <f t="shared" ca="1" si="13"/>
        <v>0</v>
      </c>
      <c r="BG73" s="365">
        <f t="shared" ca="1" si="13"/>
        <v>0</v>
      </c>
      <c r="BH73" s="365">
        <f t="shared" ca="1" si="13"/>
        <v>0</v>
      </c>
      <c r="BI73" s="365">
        <f t="shared" ca="1" si="13"/>
        <v>0</v>
      </c>
    </row>
    <row r="74" spans="1:61" outlineLevel="1" x14ac:dyDescent="0.15">
      <c r="A74" s="375">
        <v>20</v>
      </c>
      <c r="B74" s="365" t="str">
        <f t="shared" ca="1" si="14"/>
        <v/>
      </c>
      <c r="C74" s="365" t="str">
        <f t="shared" ca="1" si="14"/>
        <v/>
      </c>
      <c r="D74" s="365" t="str">
        <f t="shared" ca="1" si="14"/>
        <v/>
      </c>
      <c r="E74" s="365" t="str">
        <f t="shared" ca="1" si="14"/>
        <v/>
      </c>
      <c r="F74" s="365" t="str">
        <f t="shared" ca="1" si="14"/>
        <v/>
      </c>
      <c r="G74" s="365" t="str">
        <f t="shared" ca="1" si="14"/>
        <v/>
      </c>
      <c r="H74" s="365" t="str">
        <f t="shared" ca="1" si="14"/>
        <v/>
      </c>
      <c r="I74" s="365" t="str">
        <f t="shared" ca="1" si="14"/>
        <v/>
      </c>
      <c r="J74" s="365" t="str">
        <f t="shared" ca="1" si="14"/>
        <v/>
      </c>
      <c r="K74" s="365" t="str">
        <f t="shared" ca="1" si="14"/>
        <v/>
      </c>
      <c r="L74" s="365" t="str">
        <f t="shared" ca="1" si="14"/>
        <v/>
      </c>
      <c r="M74" s="365" t="str">
        <f t="shared" ca="1" si="14"/>
        <v/>
      </c>
      <c r="N74" s="365" t="str">
        <f t="shared" ca="1" si="14"/>
        <v/>
      </c>
      <c r="O74" s="365" t="str">
        <f t="shared" ca="1" si="14"/>
        <v/>
      </c>
      <c r="P74" s="365" t="str">
        <f t="shared" ca="1" si="14"/>
        <v/>
      </c>
      <c r="Q74" s="365" t="str">
        <f t="shared" ca="1" si="14"/>
        <v/>
      </c>
      <c r="R74" s="365" t="str">
        <f t="shared" ca="1" si="13"/>
        <v/>
      </c>
      <c r="S74" s="365" t="str">
        <f t="shared" ca="1" si="13"/>
        <v/>
      </c>
      <c r="T74" s="365" t="str">
        <f t="shared" ca="1" si="13"/>
        <v/>
      </c>
      <c r="U74" s="365">
        <f t="shared" ca="1" si="13"/>
        <v>0</v>
      </c>
      <c r="V74" s="365">
        <f t="shared" ca="1" si="13"/>
        <v>0</v>
      </c>
      <c r="W74" s="365">
        <f t="shared" ca="1" si="13"/>
        <v>0</v>
      </c>
      <c r="X74" s="365">
        <f t="shared" ca="1" si="13"/>
        <v>0</v>
      </c>
      <c r="Y74" s="365">
        <f t="shared" ca="1" si="13"/>
        <v>0</v>
      </c>
      <c r="Z74" s="365">
        <f t="shared" ca="1" si="13"/>
        <v>0</v>
      </c>
      <c r="AA74" s="365" t="e">
        <f t="shared" ca="1" si="13"/>
        <v>#REF!</v>
      </c>
      <c r="AB74" s="365" t="e">
        <f t="shared" ca="1" si="13"/>
        <v>#REF!</v>
      </c>
      <c r="AC74" s="365" t="e">
        <f t="shared" ca="1" si="13"/>
        <v>#REF!</v>
      </c>
      <c r="AD74" s="365">
        <f t="shared" ca="1" si="13"/>
        <v>0</v>
      </c>
      <c r="AE74" s="365">
        <f t="shared" ca="1" si="13"/>
        <v>0</v>
      </c>
      <c r="AF74" s="365">
        <f t="shared" ca="1" si="13"/>
        <v>0</v>
      </c>
      <c r="AG74" s="365">
        <f t="shared" ca="1" si="13"/>
        <v>0</v>
      </c>
      <c r="AH74" s="365">
        <f t="shared" ca="1" si="13"/>
        <v>0</v>
      </c>
      <c r="AI74" s="365">
        <f t="shared" ca="1" si="13"/>
        <v>0</v>
      </c>
      <c r="AJ74" s="365">
        <f t="shared" ca="1" si="13"/>
        <v>0</v>
      </c>
      <c r="AK74" s="365">
        <f t="shared" ca="1" si="13"/>
        <v>0</v>
      </c>
      <c r="AL74" s="365">
        <f t="shared" ca="1" si="13"/>
        <v>0</v>
      </c>
      <c r="AM74" s="365">
        <f t="shared" ca="1" si="13"/>
        <v>0</v>
      </c>
      <c r="AN74" s="365">
        <f t="shared" ca="1" si="13"/>
        <v>0</v>
      </c>
      <c r="AO74" s="365">
        <f t="shared" ca="1" si="13"/>
        <v>0</v>
      </c>
      <c r="AP74" s="365">
        <f t="shared" ca="1" si="13"/>
        <v>0</v>
      </c>
      <c r="AQ74" s="365">
        <f t="shared" ca="1" si="13"/>
        <v>0</v>
      </c>
      <c r="AR74" s="365">
        <f t="shared" ca="1" si="13"/>
        <v>0</v>
      </c>
      <c r="AS74" s="365">
        <f t="shared" ca="1" si="13"/>
        <v>0</v>
      </c>
      <c r="AT74" s="365">
        <f t="shared" ca="1" si="13"/>
        <v>0</v>
      </c>
      <c r="AU74" s="365">
        <f t="shared" ca="1" si="13"/>
        <v>0</v>
      </c>
      <c r="AV74" s="365">
        <f t="shared" ca="1" si="13"/>
        <v>0</v>
      </c>
      <c r="AW74" s="365">
        <f t="shared" ca="1" si="13"/>
        <v>0</v>
      </c>
      <c r="AX74" s="365">
        <f t="shared" ca="1" si="13"/>
        <v>0</v>
      </c>
      <c r="AY74" s="365">
        <f t="shared" ca="1" si="13"/>
        <v>0</v>
      </c>
      <c r="AZ74" s="365">
        <f t="shared" ca="1" si="13"/>
        <v>0</v>
      </c>
      <c r="BA74" s="365">
        <f t="shared" ca="1" si="13"/>
        <v>0</v>
      </c>
      <c r="BB74" s="365">
        <f t="shared" ca="1" si="13"/>
        <v>0</v>
      </c>
      <c r="BC74" s="365">
        <f t="shared" ca="1" si="13"/>
        <v>0</v>
      </c>
      <c r="BD74" s="365">
        <f t="shared" ca="1" si="13"/>
        <v>0</v>
      </c>
      <c r="BE74" s="365">
        <f t="shared" ca="1" si="13"/>
        <v>0</v>
      </c>
      <c r="BF74" s="365">
        <f t="shared" ca="1" si="13"/>
        <v>0</v>
      </c>
      <c r="BG74" s="365">
        <f t="shared" ca="1" si="13"/>
        <v>0</v>
      </c>
      <c r="BH74" s="365">
        <f t="shared" ca="1" si="13"/>
        <v>0</v>
      </c>
      <c r="BI74" s="365">
        <f t="shared" ca="1" si="13"/>
        <v>0</v>
      </c>
    </row>
    <row r="75" spans="1:61" outlineLevel="1" x14ac:dyDescent="0.15">
      <c r="A75" s="375">
        <v>21</v>
      </c>
      <c r="B75" s="365" t="str">
        <f t="shared" ca="1" si="14"/>
        <v/>
      </c>
      <c r="C75" s="365" t="str">
        <f t="shared" ca="1" si="14"/>
        <v/>
      </c>
      <c r="D75" s="365" t="str">
        <f t="shared" ca="1" si="14"/>
        <v/>
      </c>
      <c r="E75" s="365" t="str">
        <f t="shared" ca="1" si="14"/>
        <v/>
      </c>
      <c r="F75" s="365" t="str">
        <f t="shared" ca="1" si="14"/>
        <v/>
      </c>
      <c r="G75" s="365" t="str">
        <f t="shared" ca="1" si="14"/>
        <v/>
      </c>
      <c r="H75" s="365" t="str">
        <f t="shared" ca="1" si="14"/>
        <v/>
      </c>
      <c r="I75" s="365" t="str">
        <f t="shared" ca="1" si="14"/>
        <v/>
      </c>
      <c r="J75" s="365" t="str">
        <f t="shared" ca="1" si="14"/>
        <v/>
      </c>
      <c r="K75" s="365" t="str">
        <f t="shared" ca="1" si="14"/>
        <v/>
      </c>
      <c r="L75" s="365" t="str">
        <f t="shared" ca="1" si="14"/>
        <v/>
      </c>
      <c r="M75" s="365" t="str">
        <f t="shared" ca="1" si="14"/>
        <v/>
      </c>
      <c r="N75" s="365" t="str">
        <f t="shared" ca="1" si="14"/>
        <v/>
      </c>
      <c r="O75" s="365" t="str">
        <f t="shared" ca="1" si="14"/>
        <v/>
      </c>
      <c r="P75" s="365" t="str">
        <f t="shared" ca="1" si="14"/>
        <v/>
      </c>
      <c r="Q75" s="365" t="str">
        <f t="shared" ca="1" si="14"/>
        <v/>
      </c>
      <c r="R75" s="365" t="str">
        <f t="shared" ca="1" si="13"/>
        <v/>
      </c>
      <c r="S75" s="365" t="str">
        <f t="shared" ca="1" si="13"/>
        <v/>
      </c>
      <c r="T75" s="365" t="str">
        <f t="shared" ca="1" si="13"/>
        <v/>
      </c>
      <c r="U75" s="365" t="str">
        <f t="shared" ca="1" si="13"/>
        <v/>
      </c>
      <c r="V75" s="365">
        <f t="shared" ca="1" si="13"/>
        <v>0</v>
      </c>
      <c r="W75" s="365">
        <f t="shared" ca="1" si="13"/>
        <v>0</v>
      </c>
      <c r="X75" s="365">
        <f t="shared" ca="1" si="13"/>
        <v>0</v>
      </c>
      <c r="Y75" s="365">
        <f t="shared" ca="1" si="13"/>
        <v>0</v>
      </c>
      <c r="Z75" s="365">
        <f t="shared" ca="1" si="13"/>
        <v>0</v>
      </c>
      <c r="AA75" s="365">
        <f t="shared" ca="1" si="13"/>
        <v>0</v>
      </c>
      <c r="AB75" s="365" t="e">
        <f t="shared" ca="1" si="13"/>
        <v>#REF!</v>
      </c>
      <c r="AC75" s="365" t="e">
        <f t="shared" ca="1" si="13"/>
        <v>#REF!</v>
      </c>
      <c r="AD75" s="365" t="e">
        <f t="shared" ca="1" si="13"/>
        <v>#REF!</v>
      </c>
      <c r="AE75" s="365">
        <f t="shared" ca="1" si="13"/>
        <v>0</v>
      </c>
      <c r="AF75" s="365">
        <f t="shared" ca="1" si="13"/>
        <v>0</v>
      </c>
      <c r="AG75" s="365">
        <f t="shared" ca="1" si="13"/>
        <v>0</v>
      </c>
      <c r="AH75" s="365">
        <f t="shared" ca="1" si="13"/>
        <v>0</v>
      </c>
      <c r="AI75" s="365">
        <f t="shared" ca="1" si="13"/>
        <v>0</v>
      </c>
      <c r="AJ75" s="365">
        <f t="shared" ca="1" si="13"/>
        <v>0</v>
      </c>
      <c r="AK75" s="365">
        <f t="shared" ca="1" si="13"/>
        <v>0</v>
      </c>
      <c r="AL75" s="365">
        <f t="shared" ca="1" si="13"/>
        <v>0</v>
      </c>
      <c r="AM75" s="365">
        <f t="shared" ca="1" si="13"/>
        <v>0</v>
      </c>
      <c r="AN75" s="365">
        <f t="shared" ca="1" si="13"/>
        <v>0</v>
      </c>
      <c r="AO75" s="365">
        <f t="shared" ca="1" si="13"/>
        <v>0</v>
      </c>
      <c r="AP75" s="365">
        <f t="shared" ca="1" si="13"/>
        <v>0</v>
      </c>
      <c r="AQ75" s="365">
        <f t="shared" ca="1" si="13"/>
        <v>0</v>
      </c>
      <c r="AR75" s="365">
        <f t="shared" ca="1" si="13"/>
        <v>0</v>
      </c>
      <c r="AS75" s="365">
        <f t="shared" ca="1" si="13"/>
        <v>0</v>
      </c>
      <c r="AT75" s="365">
        <f t="shared" ca="1" si="13"/>
        <v>0</v>
      </c>
      <c r="AU75" s="365">
        <f t="shared" ca="1" si="13"/>
        <v>0</v>
      </c>
      <c r="AV75" s="365">
        <f t="shared" ca="1" si="13"/>
        <v>0</v>
      </c>
      <c r="AW75" s="365">
        <f t="shared" ca="1" si="13"/>
        <v>0</v>
      </c>
      <c r="AX75" s="365">
        <f t="shared" ca="1" si="13"/>
        <v>0</v>
      </c>
      <c r="AY75" s="365">
        <f t="shared" ca="1" si="13"/>
        <v>0</v>
      </c>
      <c r="AZ75" s="365">
        <f t="shared" ref="AZ75:DF79" ca="1" si="15">IF($A75&gt;AZ$5,"",OFFSET(AZ$54,0,-($A75-1)))</f>
        <v>0</v>
      </c>
      <c r="BA75" s="365">
        <f t="shared" ca="1" si="15"/>
        <v>0</v>
      </c>
      <c r="BB75" s="365">
        <f t="shared" ca="1" si="15"/>
        <v>0</v>
      </c>
      <c r="BC75" s="365">
        <f t="shared" ca="1" si="15"/>
        <v>0</v>
      </c>
      <c r="BD75" s="365">
        <f t="shared" ca="1" si="15"/>
        <v>0</v>
      </c>
      <c r="BE75" s="365">
        <f t="shared" ca="1" si="15"/>
        <v>0</v>
      </c>
      <c r="BF75" s="365">
        <f t="shared" ca="1" si="15"/>
        <v>0</v>
      </c>
      <c r="BG75" s="365">
        <f t="shared" ca="1" si="15"/>
        <v>0</v>
      </c>
      <c r="BH75" s="365">
        <f t="shared" ca="1" si="15"/>
        <v>0</v>
      </c>
      <c r="BI75" s="365">
        <f t="shared" ca="1" si="15"/>
        <v>0</v>
      </c>
    </row>
    <row r="76" spans="1:61" outlineLevel="1" x14ac:dyDescent="0.15">
      <c r="A76" s="375">
        <v>22</v>
      </c>
      <c r="B76" s="365" t="str">
        <f t="shared" ca="1" si="14"/>
        <v/>
      </c>
      <c r="C76" s="365" t="str">
        <f t="shared" ca="1" si="14"/>
        <v/>
      </c>
      <c r="D76" s="365" t="str">
        <f t="shared" ca="1" si="14"/>
        <v/>
      </c>
      <c r="E76" s="365" t="str">
        <f t="shared" ca="1" si="14"/>
        <v/>
      </c>
      <c r="F76" s="365" t="str">
        <f t="shared" ca="1" si="14"/>
        <v/>
      </c>
      <c r="G76" s="365" t="str">
        <f t="shared" ca="1" si="14"/>
        <v/>
      </c>
      <c r="H76" s="365" t="str">
        <f t="shared" ca="1" si="14"/>
        <v/>
      </c>
      <c r="I76" s="365" t="str">
        <f t="shared" ca="1" si="14"/>
        <v/>
      </c>
      <c r="J76" s="365" t="str">
        <f t="shared" ca="1" si="14"/>
        <v/>
      </c>
      <c r="K76" s="365" t="str">
        <f t="shared" ca="1" si="14"/>
        <v/>
      </c>
      <c r="L76" s="365" t="str">
        <f t="shared" ca="1" si="14"/>
        <v/>
      </c>
      <c r="M76" s="365" t="str">
        <f t="shared" ca="1" si="14"/>
        <v/>
      </c>
      <c r="N76" s="365" t="str">
        <f t="shared" ca="1" si="14"/>
        <v/>
      </c>
      <c r="O76" s="365" t="str">
        <f t="shared" ca="1" si="14"/>
        <v/>
      </c>
      <c r="P76" s="365" t="str">
        <f t="shared" ca="1" si="14"/>
        <v/>
      </c>
      <c r="Q76" s="365" t="str">
        <f t="shared" ca="1" si="14"/>
        <v/>
      </c>
      <c r="R76" s="365" t="str">
        <f t="shared" ref="R76:BX81" ca="1" si="16">IF($A76&gt;R$5,"",OFFSET(R$54,0,-($A76-1)))</f>
        <v/>
      </c>
      <c r="S76" s="365" t="str">
        <f t="shared" ca="1" si="16"/>
        <v/>
      </c>
      <c r="T76" s="365" t="str">
        <f t="shared" ca="1" si="16"/>
        <v/>
      </c>
      <c r="U76" s="365" t="str">
        <f t="shared" ca="1" si="16"/>
        <v/>
      </c>
      <c r="V76" s="365" t="str">
        <f t="shared" ca="1" si="16"/>
        <v/>
      </c>
      <c r="W76" s="365">
        <f t="shared" ca="1" si="16"/>
        <v>0</v>
      </c>
      <c r="X76" s="365">
        <f t="shared" ca="1" si="16"/>
        <v>0</v>
      </c>
      <c r="Y76" s="365">
        <f t="shared" ca="1" si="16"/>
        <v>0</v>
      </c>
      <c r="Z76" s="365">
        <f t="shared" ca="1" si="16"/>
        <v>0</v>
      </c>
      <c r="AA76" s="365">
        <f t="shared" ca="1" si="16"/>
        <v>0</v>
      </c>
      <c r="AB76" s="365">
        <f t="shared" ca="1" si="16"/>
        <v>0</v>
      </c>
      <c r="AC76" s="365" t="e">
        <f t="shared" ca="1" si="16"/>
        <v>#REF!</v>
      </c>
      <c r="AD76" s="365" t="e">
        <f t="shared" ca="1" si="16"/>
        <v>#REF!</v>
      </c>
      <c r="AE76" s="365" t="e">
        <f t="shared" ca="1" si="16"/>
        <v>#REF!</v>
      </c>
      <c r="AF76" s="365">
        <f t="shared" ca="1" si="16"/>
        <v>0</v>
      </c>
      <c r="AG76" s="365">
        <f t="shared" ca="1" si="16"/>
        <v>0</v>
      </c>
      <c r="AH76" s="365">
        <f t="shared" ca="1" si="16"/>
        <v>0</v>
      </c>
      <c r="AI76" s="365">
        <f t="shared" ca="1" si="16"/>
        <v>0</v>
      </c>
      <c r="AJ76" s="365">
        <f t="shared" ca="1" si="16"/>
        <v>0</v>
      </c>
      <c r="AK76" s="365">
        <f t="shared" ca="1" si="16"/>
        <v>0</v>
      </c>
      <c r="AL76" s="365">
        <f t="shared" ca="1" si="16"/>
        <v>0</v>
      </c>
      <c r="AM76" s="365">
        <f t="shared" ca="1" si="16"/>
        <v>0</v>
      </c>
      <c r="AN76" s="365">
        <f t="shared" ca="1" si="16"/>
        <v>0</v>
      </c>
      <c r="AO76" s="365">
        <f t="shared" ca="1" si="16"/>
        <v>0</v>
      </c>
      <c r="AP76" s="365">
        <f t="shared" ca="1" si="16"/>
        <v>0</v>
      </c>
      <c r="AQ76" s="365">
        <f t="shared" ca="1" si="16"/>
        <v>0</v>
      </c>
      <c r="AR76" s="365">
        <f t="shared" ca="1" si="16"/>
        <v>0</v>
      </c>
      <c r="AS76" s="365">
        <f t="shared" ca="1" si="16"/>
        <v>0</v>
      </c>
      <c r="AT76" s="365">
        <f t="shared" ca="1" si="16"/>
        <v>0</v>
      </c>
      <c r="AU76" s="365">
        <f t="shared" ca="1" si="16"/>
        <v>0</v>
      </c>
      <c r="AV76" s="365">
        <f t="shared" ca="1" si="16"/>
        <v>0</v>
      </c>
      <c r="AW76" s="365">
        <f t="shared" ca="1" si="16"/>
        <v>0</v>
      </c>
      <c r="AX76" s="365">
        <f t="shared" ca="1" si="16"/>
        <v>0</v>
      </c>
      <c r="AY76" s="365">
        <f t="shared" ca="1" si="16"/>
        <v>0</v>
      </c>
      <c r="AZ76" s="365">
        <f t="shared" ca="1" si="16"/>
        <v>0</v>
      </c>
      <c r="BA76" s="365">
        <f t="shared" ca="1" si="16"/>
        <v>0</v>
      </c>
      <c r="BB76" s="365">
        <f t="shared" ca="1" si="15"/>
        <v>0</v>
      </c>
      <c r="BC76" s="365">
        <f t="shared" ca="1" si="15"/>
        <v>0</v>
      </c>
      <c r="BD76" s="365">
        <f t="shared" ca="1" si="15"/>
        <v>0</v>
      </c>
      <c r="BE76" s="365">
        <f t="shared" ca="1" si="15"/>
        <v>0</v>
      </c>
      <c r="BF76" s="365">
        <f t="shared" ca="1" si="15"/>
        <v>0</v>
      </c>
      <c r="BG76" s="365">
        <f t="shared" ca="1" si="15"/>
        <v>0</v>
      </c>
      <c r="BH76" s="365">
        <f t="shared" ca="1" si="15"/>
        <v>0</v>
      </c>
      <c r="BI76" s="365">
        <f t="shared" ca="1" si="15"/>
        <v>0</v>
      </c>
    </row>
    <row r="77" spans="1:61" outlineLevel="1" x14ac:dyDescent="0.15">
      <c r="A77" s="375">
        <v>23</v>
      </c>
      <c r="B77" s="365" t="str">
        <f t="shared" ca="1" si="14"/>
        <v/>
      </c>
      <c r="C77" s="365" t="str">
        <f t="shared" ca="1" si="14"/>
        <v/>
      </c>
      <c r="D77" s="365" t="str">
        <f t="shared" ca="1" si="14"/>
        <v/>
      </c>
      <c r="E77" s="365" t="str">
        <f t="shared" ca="1" si="14"/>
        <v/>
      </c>
      <c r="F77" s="365" t="str">
        <f t="shared" ca="1" si="14"/>
        <v/>
      </c>
      <c r="G77" s="365" t="str">
        <f t="shared" ca="1" si="14"/>
        <v/>
      </c>
      <c r="H77" s="365" t="str">
        <f t="shared" ca="1" si="14"/>
        <v/>
      </c>
      <c r="I77" s="365" t="str">
        <f t="shared" ca="1" si="14"/>
        <v/>
      </c>
      <c r="J77" s="365" t="str">
        <f t="shared" ca="1" si="14"/>
        <v/>
      </c>
      <c r="K77" s="365" t="str">
        <f t="shared" ca="1" si="14"/>
        <v/>
      </c>
      <c r="L77" s="365" t="str">
        <f t="shared" ca="1" si="14"/>
        <v/>
      </c>
      <c r="M77" s="365" t="str">
        <f t="shared" ca="1" si="14"/>
        <v/>
      </c>
      <c r="N77" s="365" t="str">
        <f t="shared" ca="1" si="14"/>
        <v/>
      </c>
      <c r="O77" s="365" t="str">
        <f t="shared" ca="1" si="14"/>
        <v/>
      </c>
      <c r="P77" s="365" t="str">
        <f t="shared" ca="1" si="14"/>
        <v/>
      </c>
      <c r="Q77" s="365" t="str">
        <f t="shared" ca="1" si="14"/>
        <v/>
      </c>
      <c r="R77" s="365" t="str">
        <f t="shared" ca="1" si="16"/>
        <v/>
      </c>
      <c r="S77" s="365" t="str">
        <f t="shared" ca="1" si="16"/>
        <v/>
      </c>
      <c r="T77" s="365" t="str">
        <f t="shared" ca="1" si="16"/>
        <v/>
      </c>
      <c r="U77" s="365" t="str">
        <f t="shared" ca="1" si="16"/>
        <v/>
      </c>
      <c r="V77" s="365" t="str">
        <f t="shared" ca="1" si="16"/>
        <v/>
      </c>
      <c r="W77" s="365" t="str">
        <f t="shared" ca="1" si="16"/>
        <v/>
      </c>
      <c r="X77" s="365">
        <f t="shared" ca="1" si="16"/>
        <v>0</v>
      </c>
      <c r="Y77" s="365">
        <f t="shared" ca="1" si="16"/>
        <v>0</v>
      </c>
      <c r="Z77" s="365">
        <f t="shared" ca="1" si="16"/>
        <v>0</v>
      </c>
      <c r="AA77" s="365">
        <f t="shared" ca="1" si="16"/>
        <v>0</v>
      </c>
      <c r="AB77" s="365">
        <f t="shared" ca="1" si="16"/>
        <v>0</v>
      </c>
      <c r="AC77" s="365">
        <f t="shared" ca="1" si="16"/>
        <v>0</v>
      </c>
      <c r="AD77" s="365" t="e">
        <f t="shared" ca="1" si="16"/>
        <v>#REF!</v>
      </c>
      <c r="AE77" s="365" t="e">
        <f t="shared" ca="1" si="16"/>
        <v>#REF!</v>
      </c>
      <c r="AF77" s="365" t="e">
        <f t="shared" ca="1" si="16"/>
        <v>#REF!</v>
      </c>
      <c r="AG77" s="365">
        <f t="shared" ca="1" si="16"/>
        <v>0</v>
      </c>
      <c r="AH77" s="365">
        <f t="shared" ca="1" si="16"/>
        <v>0</v>
      </c>
      <c r="AI77" s="365">
        <f t="shared" ca="1" si="16"/>
        <v>0</v>
      </c>
      <c r="AJ77" s="365">
        <f t="shared" ca="1" si="16"/>
        <v>0</v>
      </c>
      <c r="AK77" s="365">
        <f t="shared" ca="1" si="16"/>
        <v>0</v>
      </c>
      <c r="AL77" s="365">
        <f t="shared" ca="1" si="16"/>
        <v>0</v>
      </c>
      <c r="AM77" s="365">
        <f t="shared" ca="1" si="16"/>
        <v>0</v>
      </c>
      <c r="AN77" s="365">
        <f t="shared" ca="1" si="16"/>
        <v>0</v>
      </c>
      <c r="AO77" s="365">
        <f t="shared" ca="1" si="16"/>
        <v>0</v>
      </c>
      <c r="AP77" s="365">
        <f t="shared" ca="1" si="16"/>
        <v>0</v>
      </c>
      <c r="AQ77" s="365">
        <f t="shared" ca="1" si="16"/>
        <v>0</v>
      </c>
      <c r="AR77" s="365">
        <f t="shared" ca="1" si="16"/>
        <v>0</v>
      </c>
      <c r="AS77" s="365">
        <f t="shared" ca="1" si="16"/>
        <v>0</v>
      </c>
      <c r="AT77" s="365">
        <f t="shared" ca="1" si="16"/>
        <v>0</v>
      </c>
      <c r="AU77" s="365">
        <f t="shared" ca="1" si="16"/>
        <v>0</v>
      </c>
      <c r="AV77" s="365">
        <f t="shared" ca="1" si="16"/>
        <v>0</v>
      </c>
      <c r="AW77" s="365">
        <f t="shared" ca="1" si="16"/>
        <v>0</v>
      </c>
      <c r="AX77" s="365">
        <f t="shared" ca="1" si="16"/>
        <v>0</v>
      </c>
      <c r="AY77" s="365">
        <f t="shared" ca="1" si="16"/>
        <v>0</v>
      </c>
      <c r="AZ77" s="365">
        <f t="shared" ca="1" si="16"/>
        <v>0</v>
      </c>
      <c r="BA77" s="365">
        <f t="shared" ca="1" si="16"/>
        <v>0</v>
      </c>
      <c r="BB77" s="365">
        <f t="shared" ca="1" si="16"/>
        <v>0</v>
      </c>
      <c r="BC77" s="365">
        <f t="shared" ca="1" si="16"/>
        <v>0</v>
      </c>
      <c r="BD77" s="365">
        <f t="shared" ca="1" si="16"/>
        <v>0</v>
      </c>
      <c r="BE77" s="365">
        <f t="shared" ca="1" si="16"/>
        <v>0</v>
      </c>
      <c r="BF77" s="365">
        <f t="shared" ca="1" si="16"/>
        <v>0</v>
      </c>
      <c r="BG77" s="365">
        <f t="shared" ca="1" si="16"/>
        <v>0</v>
      </c>
      <c r="BH77" s="365">
        <f t="shared" ca="1" si="16"/>
        <v>0</v>
      </c>
      <c r="BI77" s="365">
        <f t="shared" ca="1" si="16"/>
        <v>0</v>
      </c>
    </row>
    <row r="78" spans="1:61" outlineLevel="1" x14ac:dyDescent="0.15">
      <c r="A78" s="375">
        <v>24</v>
      </c>
      <c r="B78" s="365" t="str">
        <f t="shared" ca="1" si="14"/>
        <v/>
      </c>
      <c r="C78" s="365" t="str">
        <f t="shared" ca="1" si="14"/>
        <v/>
      </c>
      <c r="D78" s="365" t="str">
        <f t="shared" ca="1" si="14"/>
        <v/>
      </c>
      <c r="E78" s="365" t="str">
        <f t="shared" ca="1" si="14"/>
        <v/>
      </c>
      <c r="F78" s="365" t="str">
        <f t="shared" ca="1" si="14"/>
        <v/>
      </c>
      <c r="G78" s="365" t="str">
        <f t="shared" ca="1" si="14"/>
        <v/>
      </c>
      <c r="H78" s="365" t="str">
        <f t="shared" ca="1" si="14"/>
        <v/>
      </c>
      <c r="I78" s="365" t="str">
        <f t="shared" ca="1" si="14"/>
        <v/>
      </c>
      <c r="J78" s="365" t="str">
        <f t="shared" ca="1" si="14"/>
        <v/>
      </c>
      <c r="K78" s="365" t="str">
        <f t="shared" ca="1" si="14"/>
        <v/>
      </c>
      <c r="L78" s="365" t="str">
        <f t="shared" ca="1" si="14"/>
        <v/>
      </c>
      <c r="M78" s="365" t="str">
        <f t="shared" ca="1" si="14"/>
        <v/>
      </c>
      <c r="N78" s="365" t="str">
        <f t="shared" ca="1" si="14"/>
        <v/>
      </c>
      <c r="O78" s="365" t="str">
        <f t="shared" ca="1" si="14"/>
        <v/>
      </c>
      <c r="P78" s="365" t="str">
        <f t="shared" ca="1" si="14"/>
        <v/>
      </c>
      <c r="Q78" s="365" t="str">
        <f t="shared" ca="1" si="14"/>
        <v/>
      </c>
      <c r="R78" s="365" t="str">
        <f t="shared" ca="1" si="16"/>
        <v/>
      </c>
      <c r="S78" s="365" t="str">
        <f t="shared" ca="1" si="16"/>
        <v/>
      </c>
      <c r="T78" s="365" t="str">
        <f t="shared" ca="1" si="16"/>
        <v/>
      </c>
      <c r="U78" s="365" t="str">
        <f t="shared" ca="1" si="16"/>
        <v/>
      </c>
      <c r="V78" s="365" t="str">
        <f t="shared" ca="1" si="16"/>
        <v/>
      </c>
      <c r="W78" s="365" t="str">
        <f t="shared" ca="1" si="16"/>
        <v/>
      </c>
      <c r="X78" s="365" t="str">
        <f t="shared" ca="1" si="16"/>
        <v/>
      </c>
      <c r="Y78" s="365">
        <f t="shared" ca="1" si="16"/>
        <v>0</v>
      </c>
      <c r="Z78" s="365">
        <f t="shared" ca="1" si="16"/>
        <v>0</v>
      </c>
      <c r="AA78" s="365">
        <f t="shared" ca="1" si="16"/>
        <v>0</v>
      </c>
      <c r="AB78" s="365">
        <f t="shared" ca="1" si="16"/>
        <v>0</v>
      </c>
      <c r="AC78" s="365">
        <f t="shared" ca="1" si="16"/>
        <v>0</v>
      </c>
      <c r="AD78" s="365">
        <f t="shared" ca="1" si="16"/>
        <v>0</v>
      </c>
      <c r="AE78" s="365" t="e">
        <f t="shared" ca="1" si="16"/>
        <v>#REF!</v>
      </c>
      <c r="AF78" s="365" t="e">
        <f t="shared" ca="1" si="16"/>
        <v>#REF!</v>
      </c>
      <c r="AG78" s="365" t="e">
        <f t="shared" ca="1" si="16"/>
        <v>#REF!</v>
      </c>
      <c r="AH78" s="365">
        <f t="shared" ca="1" si="16"/>
        <v>0</v>
      </c>
      <c r="AI78" s="365">
        <f t="shared" ca="1" si="16"/>
        <v>0</v>
      </c>
      <c r="AJ78" s="365">
        <f t="shared" ca="1" si="16"/>
        <v>0</v>
      </c>
      <c r="AK78" s="365">
        <f t="shared" ca="1" si="16"/>
        <v>0</v>
      </c>
      <c r="AL78" s="365">
        <f t="shared" ca="1" si="16"/>
        <v>0</v>
      </c>
      <c r="AM78" s="365">
        <f t="shared" ca="1" si="16"/>
        <v>0</v>
      </c>
      <c r="AN78" s="365">
        <f t="shared" ca="1" si="16"/>
        <v>0</v>
      </c>
      <c r="AO78" s="365">
        <f t="shared" ca="1" si="16"/>
        <v>0</v>
      </c>
      <c r="AP78" s="365">
        <f t="shared" ca="1" si="16"/>
        <v>0</v>
      </c>
      <c r="AQ78" s="365">
        <f t="shared" ca="1" si="16"/>
        <v>0</v>
      </c>
      <c r="AR78" s="365">
        <f t="shared" ca="1" si="16"/>
        <v>0</v>
      </c>
      <c r="AS78" s="365">
        <f t="shared" ca="1" si="16"/>
        <v>0</v>
      </c>
      <c r="AT78" s="365">
        <f t="shared" ca="1" si="16"/>
        <v>0</v>
      </c>
      <c r="AU78" s="365">
        <f t="shared" ca="1" si="16"/>
        <v>0</v>
      </c>
      <c r="AV78" s="365">
        <f t="shared" ca="1" si="16"/>
        <v>0</v>
      </c>
      <c r="AW78" s="365">
        <f t="shared" ca="1" si="16"/>
        <v>0</v>
      </c>
      <c r="AX78" s="365">
        <f t="shared" ca="1" si="16"/>
        <v>0</v>
      </c>
      <c r="AY78" s="365">
        <f t="shared" ca="1" si="16"/>
        <v>0</v>
      </c>
      <c r="AZ78" s="365">
        <f t="shared" ca="1" si="16"/>
        <v>0</v>
      </c>
      <c r="BA78" s="365">
        <f t="shared" ca="1" si="16"/>
        <v>0</v>
      </c>
      <c r="BB78" s="365">
        <f t="shared" ca="1" si="16"/>
        <v>0</v>
      </c>
      <c r="BC78" s="365">
        <f t="shared" ca="1" si="16"/>
        <v>0</v>
      </c>
      <c r="BD78" s="365">
        <f t="shared" ca="1" si="16"/>
        <v>0</v>
      </c>
      <c r="BE78" s="365">
        <f t="shared" ca="1" si="16"/>
        <v>0</v>
      </c>
      <c r="BF78" s="365">
        <f t="shared" ca="1" si="16"/>
        <v>0</v>
      </c>
      <c r="BG78" s="365">
        <f t="shared" ca="1" si="16"/>
        <v>0</v>
      </c>
      <c r="BH78" s="365">
        <f t="shared" ca="1" si="16"/>
        <v>0</v>
      </c>
      <c r="BI78" s="365">
        <f t="shared" ca="1" si="16"/>
        <v>0</v>
      </c>
    </row>
    <row r="79" spans="1:61" outlineLevel="1" x14ac:dyDescent="0.15">
      <c r="A79" s="375">
        <v>25</v>
      </c>
      <c r="B79" s="365" t="str">
        <f t="shared" ca="1" si="14"/>
        <v/>
      </c>
      <c r="C79" s="365" t="str">
        <f t="shared" ca="1" si="14"/>
        <v/>
      </c>
      <c r="D79" s="365" t="str">
        <f t="shared" ca="1" si="14"/>
        <v/>
      </c>
      <c r="E79" s="365" t="str">
        <f t="shared" ca="1" si="14"/>
        <v/>
      </c>
      <c r="F79" s="365" t="str">
        <f t="shared" ca="1" si="14"/>
        <v/>
      </c>
      <c r="G79" s="365" t="str">
        <f t="shared" ca="1" si="14"/>
        <v/>
      </c>
      <c r="H79" s="365" t="str">
        <f t="shared" ca="1" si="14"/>
        <v/>
      </c>
      <c r="I79" s="365" t="str">
        <f t="shared" ca="1" si="14"/>
        <v/>
      </c>
      <c r="J79" s="365" t="str">
        <f t="shared" ca="1" si="14"/>
        <v/>
      </c>
      <c r="K79" s="365" t="str">
        <f t="shared" ca="1" si="14"/>
        <v/>
      </c>
      <c r="L79" s="365" t="str">
        <f t="shared" ca="1" si="14"/>
        <v/>
      </c>
      <c r="M79" s="365" t="str">
        <f t="shared" ca="1" si="14"/>
        <v/>
      </c>
      <c r="N79" s="365" t="str">
        <f t="shared" ca="1" si="14"/>
        <v/>
      </c>
      <c r="O79" s="365" t="str">
        <f t="shared" ca="1" si="14"/>
        <v/>
      </c>
      <c r="P79" s="365" t="str">
        <f t="shared" ca="1" si="14"/>
        <v/>
      </c>
      <c r="Q79" s="365" t="str">
        <f t="shared" ca="1" si="14"/>
        <v/>
      </c>
      <c r="R79" s="365" t="str">
        <f t="shared" ca="1" si="16"/>
        <v/>
      </c>
      <c r="S79" s="365" t="str">
        <f t="shared" ca="1" si="16"/>
        <v/>
      </c>
      <c r="T79" s="365" t="str">
        <f t="shared" ca="1" si="16"/>
        <v/>
      </c>
      <c r="U79" s="365" t="str">
        <f t="shared" ca="1" si="16"/>
        <v/>
      </c>
      <c r="V79" s="365" t="str">
        <f t="shared" ca="1" si="16"/>
        <v/>
      </c>
      <c r="W79" s="365" t="str">
        <f t="shared" ca="1" si="16"/>
        <v/>
      </c>
      <c r="X79" s="365" t="str">
        <f t="shared" ca="1" si="16"/>
        <v/>
      </c>
      <c r="Y79" s="365" t="str">
        <f t="shared" ca="1" si="16"/>
        <v/>
      </c>
      <c r="Z79" s="365">
        <f t="shared" ca="1" si="16"/>
        <v>0</v>
      </c>
      <c r="AA79" s="365">
        <f t="shared" ca="1" si="16"/>
        <v>0</v>
      </c>
      <c r="AB79" s="365">
        <f t="shared" ca="1" si="16"/>
        <v>0</v>
      </c>
      <c r="AC79" s="365">
        <f t="shared" ca="1" si="16"/>
        <v>0</v>
      </c>
      <c r="AD79" s="365">
        <f t="shared" ca="1" si="16"/>
        <v>0</v>
      </c>
      <c r="AE79" s="365">
        <f t="shared" ca="1" si="16"/>
        <v>0</v>
      </c>
      <c r="AF79" s="365" t="e">
        <f t="shared" ca="1" si="16"/>
        <v>#REF!</v>
      </c>
      <c r="AG79" s="365" t="e">
        <f t="shared" ca="1" si="16"/>
        <v>#REF!</v>
      </c>
      <c r="AH79" s="365" t="e">
        <f t="shared" ca="1" si="16"/>
        <v>#REF!</v>
      </c>
      <c r="AI79" s="365">
        <f t="shared" ca="1" si="16"/>
        <v>0</v>
      </c>
      <c r="AJ79" s="365">
        <f t="shared" ca="1" si="16"/>
        <v>0</v>
      </c>
      <c r="AK79" s="365">
        <f t="shared" ca="1" si="16"/>
        <v>0</v>
      </c>
      <c r="AL79" s="365">
        <f t="shared" ca="1" si="16"/>
        <v>0</v>
      </c>
      <c r="AM79" s="365">
        <f t="shared" ca="1" si="16"/>
        <v>0</v>
      </c>
      <c r="AN79" s="365">
        <f t="shared" ca="1" si="16"/>
        <v>0</v>
      </c>
      <c r="AO79" s="365">
        <f t="shared" ca="1" si="16"/>
        <v>0</v>
      </c>
      <c r="AP79" s="365">
        <f t="shared" ca="1" si="16"/>
        <v>0</v>
      </c>
      <c r="AQ79" s="365">
        <f t="shared" ca="1" si="16"/>
        <v>0</v>
      </c>
      <c r="AR79" s="365">
        <f t="shared" ca="1" si="16"/>
        <v>0</v>
      </c>
      <c r="AS79" s="365">
        <f t="shared" ca="1" si="16"/>
        <v>0</v>
      </c>
      <c r="AT79" s="365">
        <f t="shared" ca="1" si="16"/>
        <v>0</v>
      </c>
      <c r="AU79" s="365">
        <f t="shared" ca="1" si="16"/>
        <v>0</v>
      </c>
      <c r="AV79" s="365">
        <f t="shared" ca="1" si="16"/>
        <v>0</v>
      </c>
      <c r="AW79" s="365">
        <f t="shared" ca="1" si="16"/>
        <v>0</v>
      </c>
      <c r="AX79" s="365">
        <f t="shared" ca="1" si="16"/>
        <v>0</v>
      </c>
      <c r="AY79" s="365">
        <f t="shared" ca="1" si="16"/>
        <v>0</v>
      </c>
      <c r="AZ79" s="365">
        <f t="shared" ca="1" si="16"/>
        <v>0</v>
      </c>
      <c r="BA79" s="365">
        <f t="shared" ca="1" si="16"/>
        <v>0</v>
      </c>
      <c r="BB79" s="365">
        <f t="shared" ca="1" si="16"/>
        <v>0</v>
      </c>
      <c r="BC79" s="365">
        <f t="shared" ca="1" si="16"/>
        <v>0</v>
      </c>
      <c r="BD79" s="365">
        <f t="shared" ca="1" si="16"/>
        <v>0</v>
      </c>
      <c r="BE79" s="365">
        <f t="shared" ca="1" si="16"/>
        <v>0</v>
      </c>
      <c r="BF79" s="365">
        <f t="shared" ca="1" si="16"/>
        <v>0</v>
      </c>
      <c r="BG79" s="365">
        <f t="shared" ca="1" si="16"/>
        <v>0</v>
      </c>
      <c r="BH79" s="365">
        <f t="shared" ca="1" si="16"/>
        <v>0</v>
      </c>
      <c r="BI79" s="365">
        <f t="shared" ca="1" si="16"/>
        <v>0</v>
      </c>
    </row>
    <row r="80" spans="1:61" outlineLevel="1" x14ac:dyDescent="0.15">
      <c r="A80" s="375">
        <v>26</v>
      </c>
      <c r="B80" s="365" t="str">
        <f t="shared" ca="1" si="14"/>
        <v/>
      </c>
      <c r="C80" s="365" t="str">
        <f t="shared" ca="1" si="14"/>
        <v/>
      </c>
      <c r="D80" s="365" t="str">
        <f t="shared" ca="1" si="14"/>
        <v/>
      </c>
      <c r="E80" s="365" t="str">
        <f t="shared" ca="1" si="14"/>
        <v/>
      </c>
      <c r="F80" s="365" t="str">
        <f t="shared" ca="1" si="14"/>
        <v/>
      </c>
      <c r="G80" s="365" t="str">
        <f t="shared" ca="1" si="14"/>
        <v/>
      </c>
      <c r="H80" s="365" t="str">
        <f t="shared" ca="1" si="14"/>
        <v/>
      </c>
      <c r="I80" s="365" t="str">
        <f t="shared" ca="1" si="14"/>
        <v/>
      </c>
      <c r="J80" s="365" t="str">
        <f t="shared" ca="1" si="14"/>
        <v/>
      </c>
      <c r="K80" s="365" t="str">
        <f t="shared" ca="1" si="14"/>
        <v/>
      </c>
      <c r="L80" s="365" t="str">
        <f t="shared" ca="1" si="14"/>
        <v/>
      </c>
      <c r="M80" s="365" t="str">
        <f t="shared" ca="1" si="14"/>
        <v/>
      </c>
      <c r="N80" s="365" t="str">
        <f t="shared" ca="1" si="14"/>
        <v/>
      </c>
      <c r="O80" s="365" t="str">
        <f t="shared" ca="1" si="14"/>
        <v/>
      </c>
      <c r="P80" s="365" t="str">
        <f t="shared" ca="1" si="14"/>
        <v/>
      </c>
      <c r="Q80" s="365" t="str">
        <f t="shared" ca="1" si="14"/>
        <v/>
      </c>
      <c r="R80" s="365" t="str">
        <f t="shared" ca="1" si="16"/>
        <v/>
      </c>
      <c r="S80" s="365" t="str">
        <f t="shared" ca="1" si="16"/>
        <v/>
      </c>
      <c r="T80" s="365" t="str">
        <f t="shared" ca="1" si="16"/>
        <v/>
      </c>
      <c r="U80" s="365" t="str">
        <f t="shared" ca="1" si="16"/>
        <v/>
      </c>
      <c r="V80" s="365" t="str">
        <f t="shared" ca="1" si="16"/>
        <v/>
      </c>
      <c r="W80" s="365" t="str">
        <f t="shared" ca="1" si="16"/>
        <v/>
      </c>
      <c r="X80" s="365" t="str">
        <f t="shared" ca="1" si="16"/>
        <v/>
      </c>
      <c r="Y80" s="365" t="str">
        <f t="shared" ca="1" si="16"/>
        <v/>
      </c>
      <c r="Z80" s="365" t="str">
        <f t="shared" ca="1" si="16"/>
        <v/>
      </c>
      <c r="AA80" s="365">
        <f t="shared" ca="1" si="16"/>
        <v>0</v>
      </c>
      <c r="AB80" s="365">
        <f t="shared" ca="1" si="16"/>
        <v>0</v>
      </c>
      <c r="AC80" s="365">
        <f t="shared" ca="1" si="16"/>
        <v>0</v>
      </c>
      <c r="AD80" s="365">
        <f t="shared" ca="1" si="16"/>
        <v>0</v>
      </c>
      <c r="AE80" s="365">
        <f t="shared" ca="1" si="16"/>
        <v>0</v>
      </c>
      <c r="AF80" s="365">
        <f t="shared" ca="1" si="16"/>
        <v>0</v>
      </c>
      <c r="AG80" s="365" t="e">
        <f t="shared" ca="1" si="16"/>
        <v>#REF!</v>
      </c>
      <c r="AH80" s="365" t="e">
        <f t="shared" ca="1" si="16"/>
        <v>#REF!</v>
      </c>
      <c r="AI80" s="365" t="e">
        <f t="shared" ca="1" si="16"/>
        <v>#REF!</v>
      </c>
      <c r="AJ80" s="365">
        <f t="shared" ca="1" si="16"/>
        <v>0</v>
      </c>
      <c r="AK80" s="365">
        <f t="shared" ca="1" si="16"/>
        <v>0</v>
      </c>
      <c r="AL80" s="365">
        <f t="shared" ca="1" si="16"/>
        <v>0</v>
      </c>
      <c r="AM80" s="365">
        <f t="shared" ca="1" si="16"/>
        <v>0</v>
      </c>
      <c r="AN80" s="365">
        <f t="shared" ca="1" si="16"/>
        <v>0</v>
      </c>
      <c r="AO80" s="365">
        <f t="shared" ca="1" si="16"/>
        <v>0</v>
      </c>
      <c r="AP80" s="365">
        <f t="shared" ca="1" si="16"/>
        <v>0</v>
      </c>
      <c r="AQ80" s="365">
        <f t="shared" ca="1" si="16"/>
        <v>0</v>
      </c>
      <c r="AR80" s="365">
        <f t="shared" ca="1" si="16"/>
        <v>0</v>
      </c>
      <c r="AS80" s="365">
        <f t="shared" ca="1" si="16"/>
        <v>0</v>
      </c>
      <c r="AT80" s="365">
        <f t="shared" ca="1" si="16"/>
        <v>0</v>
      </c>
      <c r="AU80" s="365">
        <f t="shared" ca="1" si="16"/>
        <v>0</v>
      </c>
      <c r="AV80" s="365">
        <f t="shared" ca="1" si="16"/>
        <v>0</v>
      </c>
      <c r="AW80" s="365">
        <f t="shared" ca="1" si="16"/>
        <v>0</v>
      </c>
      <c r="AX80" s="365">
        <f t="shared" ca="1" si="16"/>
        <v>0</v>
      </c>
      <c r="AY80" s="365">
        <f t="shared" ca="1" si="16"/>
        <v>0</v>
      </c>
      <c r="AZ80" s="365">
        <f t="shared" ca="1" si="16"/>
        <v>0</v>
      </c>
      <c r="BA80" s="365">
        <f t="shared" ca="1" si="16"/>
        <v>0</v>
      </c>
      <c r="BB80" s="365">
        <f t="shared" ca="1" si="16"/>
        <v>0</v>
      </c>
      <c r="BC80" s="365">
        <f t="shared" ca="1" si="16"/>
        <v>0</v>
      </c>
      <c r="BD80" s="365">
        <f t="shared" ca="1" si="16"/>
        <v>0</v>
      </c>
      <c r="BE80" s="365">
        <f t="shared" ca="1" si="16"/>
        <v>0</v>
      </c>
      <c r="BF80" s="365">
        <f t="shared" ca="1" si="16"/>
        <v>0</v>
      </c>
      <c r="BG80" s="365">
        <f t="shared" ca="1" si="16"/>
        <v>0</v>
      </c>
      <c r="BH80" s="365">
        <f t="shared" ca="1" si="16"/>
        <v>0</v>
      </c>
      <c r="BI80" s="365">
        <f t="shared" ca="1" si="16"/>
        <v>0</v>
      </c>
    </row>
    <row r="81" spans="1:61" outlineLevel="1" x14ac:dyDescent="0.15">
      <c r="A81" s="375">
        <v>27</v>
      </c>
      <c r="B81" s="365" t="str">
        <f t="shared" ca="1" si="14"/>
        <v/>
      </c>
      <c r="C81" s="365" t="str">
        <f t="shared" ca="1" si="14"/>
        <v/>
      </c>
      <c r="D81" s="365" t="str">
        <f t="shared" ca="1" si="14"/>
        <v/>
      </c>
      <c r="E81" s="365" t="str">
        <f t="shared" ca="1" si="14"/>
        <v/>
      </c>
      <c r="F81" s="365" t="str">
        <f t="shared" ca="1" si="14"/>
        <v/>
      </c>
      <c r="G81" s="365" t="str">
        <f t="shared" ca="1" si="14"/>
        <v/>
      </c>
      <c r="H81" s="365" t="str">
        <f t="shared" ca="1" si="14"/>
        <v/>
      </c>
      <c r="I81" s="365" t="str">
        <f t="shared" ca="1" si="14"/>
        <v/>
      </c>
      <c r="J81" s="365" t="str">
        <f t="shared" ca="1" si="14"/>
        <v/>
      </c>
      <c r="K81" s="365" t="str">
        <f t="shared" ca="1" si="14"/>
        <v/>
      </c>
      <c r="L81" s="365" t="str">
        <f t="shared" ca="1" si="14"/>
        <v/>
      </c>
      <c r="M81" s="365" t="str">
        <f t="shared" ca="1" si="14"/>
        <v/>
      </c>
      <c r="N81" s="365" t="str">
        <f t="shared" ca="1" si="14"/>
        <v/>
      </c>
      <c r="O81" s="365" t="str">
        <f t="shared" ca="1" si="14"/>
        <v/>
      </c>
      <c r="P81" s="365" t="str">
        <f t="shared" ca="1" si="14"/>
        <v/>
      </c>
      <c r="Q81" s="365" t="str">
        <f t="shared" ca="1" si="14"/>
        <v/>
      </c>
      <c r="R81" s="365" t="str">
        <f t="shared" ca="1" si="16"/>
        <v/>
      </c>
      <c r="S81" s="365" t="str">
        <f t="shared" ca="1" si="16"/>
        <v/>
      </c>
      <c r="T81" s="365" t="str">
        <f t="shared" ca="1" si="16"/>
        <v/>
      </c>
      <c r="U81" s="365" t="str">
        <f t="shared" ca="1" si="16"/>
        <v/>
      </c>
      <c r="V81" s="365" t="str">
        <f t="shared" ca="1" si="16"/>
        <v/>
      </c>
      <c r="W81" s="365" t="str">
        <f t="shared" ca="1" si="16"/>
        <v/>
      </c>
      <c r="X81" s="365" t="str">
        <f t="shared" ca="1" si="16"/>
        <v/>
      </c>
      <c r="Y81" s="365" t="str">
        <f t="shared" ca="1" si="16"/>
        <v/>
      </c>
      <c r="Z81" s="365" t="str">
        <f t="shared" ca="1" si="16"/>
        <v/>
      </c>
      <c r="AA81" s="365" t="str">
        <f t="shared" ca="1" si="16"/>
        <v/>
      </c>
      <c r="AB81" s="365">
        <f t="shared" ca="1" si="16"/>
        <v>0</v>
      </c>
      <c r="AC81" s="365">
        <f t="shared" ca="1" si="16"/>
        <v>0</v>
      </c>
      <c r="AD81" s="365">
        <f t="shared" ca="1" si="16"/>
        <v>0</v>
      </c>
      <c r="AE81" s="365">
        <f t="shared" ca="1" si="16"/>
        <v>0</v>
      </c>
      <c r="AF81" s="365">
        <f t="shared" ca="1" si="16"/>
        <v>0</v>
      </c>
      <c r="AG81" s="365">
        <f t="shared" ca="1" si="16"/>
        <v>0</v>
      </c>
      <c r="AH81" s="365" t="e">
        <f t="shared" ca="1" si="16"/>
        <v>#REF!</v>
      </c>
      <c r="AI81" s="365" t="e">
        <f t="shared" ca="1" si="16"/>
        <v>#REF!</v>
      </c>
      <c r="AJ81" s="365" t="e">
        <f t="shared" ca="1" si="16"/>
        <v>#REF!</v>
      </c>
      <c r="AK81" s="365">
        <f t="shared" ca="1" si="16"/>
        <v>0</v>
      </c>
      <c r="AL81" s="365">
        <f t="shared" ca="1" si="16"/>
        <v>0</v>
      </c>
      <c r="AM81" s="365">
        <f t="shared" ca="1" si="16"/>
        <v>0</v>
      </c>
      <c r="AN81" s="365">
        <f t="shared" ca="1" si="16"/>
        <v>0</v>
      </c>
      <c r="AO81" s="365">
        <f t="shared" ca="1" si="16"/>
        <v>0</v>
      </c>
      <c r="AP81" s="365">
        <f t="shared" ca="1" si="16"/>
        <v>0</v>
      </c>
      <c r="AQ81" s="365">
        <f t="shared" ca="1" si="16"/>
        <v>0</v>
      </c>
      <c r="AR81" s="365">
        <f t="shared" ca="1" si="16"/>
        <v>0</v>
      </c>
      <c r="AS81" s="365">
        <f t="shared" ca="1" si="16"/>
        <v>0</v>
      </c>
      <c r="AT81" s="365">
        <f t="shared" ca="1" si="16"/>
        <v>0</v>
      </c>
      <c r="AU81" s="365">
        <f t="shared" ca="1" si="16"/>
        <v>0</v>
      </c>
      <c r="AV81" s="365">
        <f t="shared" ca="1" si="16"/>
        <v>0</v>
      </c>
      <c r="AW81" s="365">
        <f t="shared" ca="1" si="16"/>
        <v>0</v>
      </c>
      <c r="AX81" s="365">
        <f t="shared" ca="1" si="16"/>
        <v>0</v>
      </c>
      <c r="AY81" s="365">
        <f t="shared" ca="1" si="16"/>
        <v>0</v>
      </c>
      <c r="AZ81" s="365">
        <f t="shared" ca="1" si="16"/>
        <v>0</v>
      </c>
      <c r="BA81" s="365">
        <f t="shared" ca="1" si="16"/>
        <v>0</v>
      </c>
      <c r="BB81" s="365">
        <f t="shared" ca="1" si="16"/>
        <v>0</v>
      </c>
      <c r="BC81" s="365">
        <f t="shared" ca="1" si="16"/>
        <v>0</v>
      </c>
      <c r="BD81" s="365">
        <f t="shared" ca="1" si="16"/>
        <v>0</v>
      </c>
      <c r="BE81" s="365">
        <f t="shared" ca="1" si="16"/>
        <v>0</v>
      </c>
      <c r="BF81" s="365">
        <f t="shared" ca="1" si="16"/>
        <v>0</v>
      </c>
      <c r="BG81" s="365">
        <f t="shared" ca="1" si="16"/>
        <v>0</v>
      </c>
      <c r="BH81" s="365">
        <f t="shared" ca="1" si="16"/>
        <v>0</v>
      </c>
      <c r="BI81" s="365">
        <f t="shared" ref="BI81:DO85" ca="1" si="17">IF($A81&gt;BI$5,"",OFFSET(BI$54,0,-($A81-1)))</f>
        <v>0</v>
      </c>
    </row>
    <row r="82" spans="1:61" outlineLevel="1" x14ac:dyDescent="0.15">
      <c r="A82" s="375">
        <v>28</v>
      </c>
      <c r="B82" s="365" t="str">
        <f t="shared" ca="1" si="14"/>
        <v/>
      </c>
      <c r="C82" s="365" t="str">
        <f t="shared" ca="1" si="14"/>
        <v/>
      </c>
      <c r="D82" s="365" t="str">
        <f t="shared" ca="1" si="14"/>
        <v/>
      </c>
      <c r="E82" s="365" t="str">
        <f t="shared" ca="1" si="14"/>
        <v/>
      </c>
      <c r="F82" s="365" t="str">
        <f t="shared" ca="1" si="14"/>
        <v/>
      </c>
      <c r="G82" s="365" t="str">
        <f t="shared" ca="1" si="14"/>
        <v/>
      </c>
      <c r="H82" s="365" t="str">
        <f t="shared" ca="1" si="14"/>
        <v/>
      </c>
      <c r="I82" s="365" t="str">
        <f t="shared" ca="1" si="14"/>
        <v/>
      </c>
      <c r="J82" s="365" t="str">
        <f t="shared" ca="1" si="14"/>
        <v/>
      </c>
      <c r="K82" s="365" t="str">
        <f t="shared" ca="1" si="14"/>
        <v/>
      </c>
      <c r="L82" s="365" t="str">
        <f t="shared" ca="1" si="14"/>
        <v/>
      </c>
      <c r="M82" s="365" t="str">
        <f t="shared" ca="1" si="14"/>
        <v/>
      </c>
      <c r="N82" s="365" t="str">
        <f t="shared" ca="1" si="14"/>
        <v/>
      </c>
      <c r="O82" s="365" t="str">
        <f t="shared" ca="1" si="14"/>
        <v/>
      </c>
      <c r="P82" s="365" t="str">
        <f t="shared" ca="1" si="14"/>
        <v/>
      </c>
      <c r="Q82" s="365" t="str">
        <f t="shared" ca="1" si="14"/>
        <v/>
      </c>
      <c r="R82" s="365" t="str">
        <f t="shared" ref="R82:BX86" ca="1" si="18">IF($A82&gt;R$5,"",OFFSET(R$54,0,-($A82-1)))</f>
        <v/>
      </c>
      <c r="S82" s="365" t="str">
        <f t="shared" ca="1" si="18"/>
        <v/>
      </c>
      <c r="T82" s="365" t="str">
        <f t="shared" ca="1" si="18"/>
        <v/>
      </c>
      <c r="U82" s="365" t="str">
        <f t="shared" ca="1" si="18"/>
        <v/>
      </c>
      <c r="V82" s="365" t="str">
        <f t="shared" ca="1" si="18"/>
        <v/>
      </c>
      <c r="W82" s="365" t="str">
        <f t="shared" ca="1" si="18"/>
        <v/>
      </c>
      <c r="X82" s="365" t="str">
        <f t="shared" ca="1" si="18"/>
        <v/>
      </c>
      <c r="Y82" s="365" t="str">
        <f t="shared" ca="1" si="18"/>
        <v/>
      </c>
      <c r="Z82" s="365" t="str">
        <f t="shared" ca="1" si="18"/>
        <v/>
      </c>
      <c r="AA82" s="365" t="str">
        <f t="shared" ca="1" si="18"/>
        <v/>
      </c>
      <c r="AB82" s="365" t="str">
        <f t="shared" ca="1" si="18"/>
        <v/>
      </c>
      <c r="AC82" s="365">
        <f t="shared" ca="1" si="18"/>
        <v>0</v>
      </c>
      <c r="AD82" s="365">
        <f t="shared" ca="1" si="18"/>
        <v>0</v>
      </c>
      <c r="AE82" s="365">
        <f t="shared" ca="1" si="18"/>
        <v>0</v>
      </c>
      <c r="AF82" s="365">
        <f t="shared" ca="1" si="18"/>
        <v>0</v>
      </c>
      <c r="AG82" s="365">
        <f t="shared" ca="1" si="18"/>
        <v>0</v>
      </c>
      <c r="AH82" s="365">
        <f t="shared" ca="1" si="18"/>
        <v>0</v>
      </c>
      <c r="AI82" s="365" t="e">
        <f t="shared" ca="1" si="18"/>
        <v>#REF!</v>
      </c>
      <c r="AJ82" s="365" t="e">
        <f t="shared" ca="1" si="18"/>
        <v>#REF!</v>
      </c>
      <c r="AK82" s="365" t="e">
        <f t="shared" ca="1" si="18"/>
        <v>#REF!</v>
      </c>
      <c r="AL82" s="365">
        <f t="shared" ca="1" si="18"/>
        <v>0</v>
      </c>
      <c r="AM82" s="365">
        <f t="shared" ca="1" si="18"/>
        <v>0</v>
      </c>
      <c r="AN82" s="365">
        <f t="shared" ca="1" si="18"/>
        <v>0</v>
      </c>
      <c r="AO82" s="365">
        <f t="shared" ca="1" si="18"/>
        <v>0</v>
      </c>
      <c r="AP82" s="365">
        <f t="shared" ca="1" si="18"/>
        <v>0</v>
      </c>
      <c r="AQ82" s="365">
        <f t="shared" ca="1" si="18"/>
        <v>0</v>
      </c>
      <c r="AR82" s="365">
        <f t="shared" ca="1" si="18"/>
        <v>0</v>
      </c>
      <c r="AS82" s="365">
        <f t="shared" ca="1" si="18"/>
        <v>0</v>
      </c>
      <c r="AT82" s="365">
        <f t="shared" ca="1" si="18"/>
        <v>0</v>
      </c>
      <c r="AU82" s="365">
        <f t="shared" ca="1" si="18"/>
        <v>0</v>
      </c>
      <c r="AV82" s="365">
        <f t="shared" ca="1" si="18"/>
        <v>0</v>
      </c>
      <c r="AW82" s="365">
        <f t="shared" ca="1" si="18"/>
        <v>0</v>
      </c>
      <c r="AX82" s="365">
        <f t="shared" ca="1" si="18"/>
        <v>0</v>
      </c>
      <c r="AY82" s="365">
        <f t="shared" ca="1" si="18"/>
        <v>0</v>
      </c>
      <c r="AZ82" s="365">
        <f t="shared" ca="1" si="18"/>
        <v>0</v>
      </c>
      <c r="BA82" s="365">
        <f t="shared" ca="1" si="18"/>
        <v>0</v>
      </c>
      <c r="BB82" s="365">
        <f t="shared" ca="1" si="18"/>
        <v>0</v>
      </c>
      <c r="BC82" s="365">
        <f t="shared" ca="1" si="18"/>
        <v>0</v>
      </c>
      <c r="BD82" s="365">
        <f t="shared" ca="1" si="18"/>
        <v>0</v>
      </c>
      <c r="BE82" s="365">
        <f t="shared" ca="1" si="18"/>
        <v>0</v>
      </c>
      <c r="BF82" s="365">
        <f t="shared" ca="1" si="18"/>
        <v>0</v>
      </c>
      <c r="BG82" s="365">
        <f t="shared" ca="1" si="18"/>
        <v>0</v>
      </c>
      <c r="BH82" s="365">
        <f t="shared" ca="1" si="18"/>
        <v>0</v>
      </c>
      <c r="BI82" s="365">
        <f t="shared" ca="1" si="18"/>
        <v>0</v>
      </c>
    </row>
    <row r="83" spans="1:61" outlineLevel="1" x14ac:dyDescent="0.15">
      <c r="A83" s="375">
        <v>29</v>
      </c>
      <c r="B83" s="365" t="str">
        <f t="shared" ca="1" si="14"/>
        <v/>
      </c>
      <c r="C83" s="365" t="str">
        <f t="shared" ca="1" si="14"/>
        <v/>
      </c>
      <c r="D83" s="365" t="str">
        <f t="shared" ca="1" si="14"/>
        <v/>
      </c>
      <c r="E83" s="365" t="str">
        <f t="shared" ca="1" si="14"/>
        <v/>
      </c>
      <c r="F83" s="365" t="str">
        <f t="shared" ca="1" si="14"/>
        <v/>
      </c>
      <c r="G83" s="365" t="str">
        <f t="shared" ca="1" si="14"/>
        <v/>
      </c>
      <c r="H83" s="365" t="str">
        <f t="shared" ca="1" si="14"/>
        <v/>
      </c>
      <c r="I83" s="365" t="str">
        <f t="shared" ca="1" si="14"/>
        <v/>
      </c>
      <c r="J83" s="365" t="str">
        <f t="shared" ca="1" si="14"/>
        <v/>
      </c>
      <c r="K83" s="365" t="str">
        <f t="shared" ca="1" si="14"/>
        <v/>
      </c>
      <c r="L83" s="365" t="str">
        <f t="shared" ca="1" si="14"/>
        <v/>
      </c>
      <c r="M83" s="365" t="str">
        <f t="shared" ca="1" si="14"/>
        <v/>
      </c>
      <c r="N83" s="365" t="str">
        <f t="shared" ca="1" si="14"/>
        <v/>
      </c>
      <c r="O83" s="365" t="str">
        <f t="shared" ca="1" si="14"/>
        <v/>
      </c>
      <c r="P83" s="365" t="str">
        <f t="shared" ca="1" si="14"/>
        <v/>
      </c>
      <c r="Q83" s="365" t="str">
        <f t="shared" ca="1" si="14"/>
        <v/>
      </c>
      <c r="R83" s="365" t="str">
        <f t="shared" ca="1" si="18"/>
        <v/>
      </c>
      <c r="S83" s="365" t="str">
        <f t="shared" ca="1" si="18"/>
        <v/>
      </c>
      <c r="T83" s="365" t="str">
        <f t="shared" ca="1" si="18"/>
        <v/>
      </c>
      <c r="U83" s="365" t="str">
        <f t="shared" ca="1" si="18"/>
        <v/>
      </c>
      <c r="V83" s="365" t="str">
        <f t="shared" ca="1" si="18"/>
        <v/>
      </c>
      <c r="W83" s="365" t="str">
        <f t="shared" ca="1" si="18"/>
        <v/>
      </c>
      <c r="X83" s="365" t="str">
        <f t="shared" ca="1" si="18"/>
        <v/>
      </c>
      <c r="Y83" s="365" t="str">
        <f t="shared" ca="1" si="18"/>
        <v/>
      </c>
      <c r="Z83" s="365" t="str">
        <f t="shared" ca="1" si="18"/>
        <v/>
      </c>
      <c r="AA83" s="365" t="str">
        <f t="shared" ca="1" si="18"/>
        <v/>
      </c>
      <c r="AB83" s="365" t="str">
        <f t="shared" ca="1" si="18"/>
        <v/>
      </c>
      <c r="AC83" s="365" t="str">
        <f t="shared" ca="1" si="18"/>
        <v/>
      </c>
      <c r="AD83" s="365">
        <f t="shared" ca="1" si="18"/>
        <v>0</v>
      </c>
      <c r="AE83" s="365">
        <f t="shared" ca="1" si="18"/>
        <v>0</v>
      </c>
      <c r="AF83" s="365">
        <f t="shared" ca="1" si="18"/>
        <v>0</v>
      </c>
      <c r="AG83" s="365">
        <f t="shared" ca="1" si="18"/>
        <v>0</v>
      </c>
      <c r="AH83" s="365">
        <f t="shared" ca="1" si="18"/>
        <v>0</v>
      </c>
      <c r="AI83" s="365">
        <f t="shared" ca="1" si="18"/>
        <v>0</v>
      </c>
      <c r="AJ83" s="365" t="e">
        <f t="shared" ca="1" si="18"/>
        <v>#REF!</v>
      </c>
      <c r="AK83" s="365" t="e">
        <f t="shared" ca="1" si="18"/>
        <v>#REF!</v>
      </c>
      <c r="AL83" s="365" t="e">
        <f t="shared" ca="1" si="18"/>
        <v>#REF!</v>
      </c>
      <c r="AM83" s="365">
        <f t="shared" ca="1" si="18"/>
        <v>0</v>
      </c>
      <c r="AN83" s="365">
        <f t="shared" ca="1" si="18"/>
        <v>0</v>
      </c>
      <c r="AO83" s="365">
        <f t="shared" ca="1" si="18"/>
        <v>0</v>
      </c>
      <c r="AP83" s="365">
        <f t="shared" ca="1" si="18"/>
        <v>0</v>
      </c>
      <c r="AQ83" s="365">
        <f t="shared" ca="1" si="18"/>
        <v>0</v>
      </c>
      <c r="AR83" s="365">
        <f t="shared" ca="1" si="18"/>
        <v>0</v>
      </c>
      <c r="AS83" s="365">
        <f t="shared" ca="1" si="18"/>
        <v>0</v>
      </c>
      <c r="AT83" s="365">
        <f t="shared" ca="1" si="18"/>
        <v>0</v>
      </c>
      <c r="AU83" s="365">
        <f t="shared" ca="1" si="18"/>
        <v>0</v>
      </c>
      <c r="AV83" s="365">
        <f t="shared" ca="1" si="18"/>
        <v>0</v>
      </c>
      <c r="AW83" s="365">
        <f t="shared" ca="1" si="18"/>
        <v>0</v>
      </c>
      <c r="AX83" s="365">
        <f t="shared" ca="1" si="18"/>
        <v>0</v>
      </c>
      <c r="AY83" s="365">
        <f t="shared" ca="1" si="18"/>
        <v>0</v>
      </c>
      <c r="AZ83" s="365">
        <f t="shared" ca="1" si="18"/>
        <v>0</v>
      </c>
      <c r="BA83" s="365">
        <f t="shared" ca="1" si="18"/>
        <v>0</v>
      </c>
      <c r="BB83" s="365">
        <f t="shared" ca="1" si="18"/>
        <v>0</v>
      </c>
      <c r="BC83" s="365">
        <f t="shared" ca="1" si="18"/>
        <v>0</v>
      </c>
      <c r="BD83" s="365">
        <f t="shared" ca="1" si="18"/>
        <v>0</v>
      </c>
      <c r="BE83" s="365">
        <f t="shared" ca="1" si="18"/>
        <v>0</v>
      </c>
      <c r="BF83" s="365">
        <f t="shared" ca="1" si="18"/>
        <v>0</v>
      </c>
      <c r="BG83" s="365">
        <f t="shared" ca="1" si="18"/>
        <v>0</v>
      </c>
      <c r="BH83" s="365">
        <f t="shared" ca="1" si="18"/>
        <v>0</v>
      </c>
      <c r="BI83" s="365">
        <f t="shared" ca="1" si="18"/>
        <v>0</v>
      </c>
    </row>
    <row r="84" spans="1:61" outlineLevel="1" x14ac:dyDescent="0.15">
      <c r="A84" s="375">
        <v>30</v>
      </c>
      <c r="B84" s="365" t="str">
        <f t="shared" ca="1" si="14"/>
        <v/>
      </c>
      <c r="C84" s="365" t="str">
        <f t="shared" ca="1" si="14"/>
        <v/>
      </c>
      <c r="D84" s="365" t="str">
        <f t="shared" ca="1" si="14"/>
        <v/>
      </c>
      <c r="E84" s="365" t="str">
        <f t="shared" ca="1" si="14"/>
        <v/>
      </c>
      <c r="F84" s="365" t="str">
        <f t="shared" ca="1" si="14"/>
        <v/>
      </c>
      <c r="G84" s="365" t="str">
        <f t="shared" ca="1" si="14"/>
        <v/>
      </c>
      <c r="H84" s="365" t="str">
        <f t="shared" ca="1" si="14"/>
        <v/>
      </c>
      <c r="I84" s="365" t="str">
        <f t="shared" ca="1" si="14"/>
        <v/>
      </c>
      <c r="J84" s="365" t="str">
        <f t="shared" ca="1" si="14"/>
        <v/>
      </c>
      <c r="K84" s="365" t="str">
        <f t="shared" ca="1" si="14"/>
        <v/>
      </c>
      <c r="L84" s="365" t="str">
        <f t="shared" ca="1" si="14"/>
        <v/>
      </c>
      <c r="M84" s="365" t="str">
        <f t="shared" ca="1" si="14"/>
        <v/>
      </c>
      <c r="N84" s="365" t="str">
        <f t="shared" ca="1" si="14"/>
        <v/>
      </c>
      <c r="O84" s="365" t="str">
        <f t="shared" ca="1" si="14"/>
        <v/>
      </c>
      <c r="P84" s="365" t="str">
        <f t="shared" ca="1" si="14"/>
        <v/>
      </c>
      <c r="Q84" s="365" t="str">
        <f t="shared" ca="1" si="14"/>
        <v/>
      </c>
      <c r="R84" s="365" t="str">
        <f t="shared" ca="1" si="18"/>
        <v/>
      </c>
      <c r="S84" s="365" t="str">
        <f t="shared" ca="1" si="18"/>
        <v/>
      </c>
      <c r="T84" s="365" t="str">
        <f t="shared" ca="1" si="18"/>
        <v/>
      </c>
      <c r="U84" s="365" t="str">
        <f t="shared" ca="1" si="18"/>
        <v/>
      </c>
      <c r="V84" s="365" t="str">
        <f t="shared" ca="1" si="18"/>
        <v/>
      </c>
      <c r="W84" s="365" t="str">
        <f t="shared" ca="1" si="18"/>
        <v/>
      </c>
      <c r="X84" s="365" t="str">
        <f t="shared" ca="1" si="18"/>
        <v/>
      </c>
      <c r="Y84" s="365" t="str">
        <f t="shared" ca="1" si="18"/>
        <v/>
      </c>
      <c r="Z84" s="365" t="str">
        <f t="shared" ca="1" si="18"/>
        <v/>
      </c>
      <c r="AA84" s="365" t="str">
        <f t="shared" ca="1" si="18"/>
        <v/>
      </c>
      <c r="AB84" s="365" t="str">
        <f t="shared" ca="1" si="18"/>
        <v/>
      </c>
      <c r="AC84" s="365" t="str">
        <f t="shared" ca="1" si="18"/>
        <v/>
      </c>
      <c r="AD84" s="365" t="str">
        <f t="shared" ca="1" si="18"/>
        <v/>
      </c>
      <c r="AE84" s="365">
        <f t="shared" ca="1" si="18"/>
        <v>0</v>
      </c>
      <c r="AF84" s="365">
        <f t="shared" ca="1" si="18"/>
        <v>0</v>
      </c>
      <c r="AG84" s="365">
        <f t="shared" ca="1" si="18"/>
        <v>0</v>
      </c>
      <c r="AH84" s="365">
        <f t="shared" ca="1" si="18"/>
        <v>0</v>
      </c>
      <c r="AI84" s="365">
        <f t="shared" ca="1" si="18"/>
        <v>0</v>
      </c>
      <c r="AJ84" s="365">
        <f t="shared" ca="1" si="18"/>
        <v>0</v>
      </c>
      <c r="AK84" s="365" t="e">
        <f t="shared" ca="1" si="18"/>
        <v>#REF!</v>
      </c>
      <c r="AL84" s="365" t="e">
        <f t="shared" ca="1" si="18"/>
        <v>#REF!</v>
      </c>
      <c r="AM84" s="365" t="e">
        <f t="shared" ca="1" si="18"/>
        <v>#REF!</v>
      </c>
      <c r="AN84" s="365">
        <f t="shared" ca="1" si="18"/>
        <v>0</v>
      </c>
      <c r="AO84" s="365">
        <f t="shared" ca="1" si="18"/>
        <v>0</v>
      </c>
      <c r="AP84" s="365">
        <f t="shared" ca="1" si="18"/>
        <v>0</v>
      </c>
      <c r="AQ84" s="365">
        <f t="shared" ca="1" si="18"/>
        <v>0</v>
      </c>
      <c r="AR84" s="365">
        <f t="shared" ca="1" si="18"/>
        <v>0</v>
      </c>
      <c r="AS84" s="365">
        <f t="shared" ca="1" si="18"/>
        <v>0</v>
      </c>
      <c r="AT84" s="365">
        <f t="shared" ca="1" si="18"/>
        <v>0</v>
      </c>
      <c r="AU84" s="365">
        <f t="shared" ca="1" si="18"/>
        <v>0</v>
      </c>
      <c r="AV84" s="365">
        <f t="shared" ca="1" si="18"/>
        <v>0</v>
      </c>
      <c r="AW84" s="365">
        <f t="shared" ca="1" si="18"/>
        <v>0</v>
      </c>
      <c r="AX84" s="365">
        <f t="shared" ca="1" si="18"/>
        <v>0</v>
      </c>
      <c r="AY84" s="365">
        <f t="shared" ca="1" si="18"/>
        <v>0</v>
      </c>
      <c r="AZ84" s="365">
        <f t="shared" ca="1" si="18"/>
        <v>0</v>
      </c>
      <c r="BA84" s="365">
        <f t="shared" ca="1" si="18"/>
        <v>0</v>
      </c>
      <c r="BB84" s="365">
        <f t="shared" ca="1" si="18"/>
        <v>0</v>
      </c>
      <c r="BC84" s="365">
        <f t="shared" ca="1" si="18"/>
        <v>0</v>
      </c>
      <c r="BD84" s="365">
        <f t="shared" ca="1" si="18"/>
        <v>0</v>
      </c>
      <c r="BE84" s="365">
        <f t="shared" ca="1" si="18"/>
        <v>0</v>
      </c>
      <c r="BF84" s="365">
        <f t="shared" ca="1" si="18"/>
        <v>0</v>
      </c>
      <c r="BG84" s="365">
        <f t="shared" ca="1" si="18"/>
        <v>0</v>
      </c>
      <c r="BH84" s="365">
        <f t="shared" ca="1" si="18"/>
        <v>0</v>
      </c>
      <c r="BI84" s="365">
        <f t="shared" ca="1" si="18"/>
        <v>0</v>
      </c>
    </row>
    <row r="85" spans="1:61" outlineLevel="1" x14ac:dyDescent="0.15">
      <c r="A85" s="375">
        <v>31</v>
      </c>
      <c r="B85" s="365" t="str">
        <f t="shared" ca="1" si="14"/>
        <v/>
      </c>
      <c r="C85" s="365" t="str">
        <f t="shared" ca="1" si="14"/>
        <v/>
      </c>
      <c r="D85" s="365" t="str">
        <f t="shared" ca="1" si="14"/>
        <v/>
      </c>
      <c r="E85" s="365" t="str">
        <f t="shared" ca="1" si="14"/>
        <v/>
      </c>
      <c r="F85" s="365" t="str">
        <f t="shared" ca="1" si="14"/>
        <v/>
      </c>
      <c r="G85" s="365" t="str">
        <f t="shared" ca="1" si="14"/>
        <v/>
      </c>
      <c r="H85" s="365" t="str">
        <f t="shared" ca="1" si="14"/>
        <v/>
      </c>
      <c r="I85" s="365" t="str">
        <f t="shared" ca="1" si="14"/>
        <v/>
      </c>
      <c r="J85" s="365" t="str">
        <f t="shared" ca="1" si="14"/>
        <v/>
      </c>
      <c r="K85" s="365" t="str">
        <f t="shared" ca="1" si="14"/>
        <v/>
      </c>
      <c r="L85" s="365" t="str">
        <f t="shared" ca="1" si="14"/>
        <v/>
      </c>
      <c r="M85" s="365" t="str">
        <f t="shared" ca="1" si="14"/>
        <v/>
      </c>
      <c r="N85" s="365" t="str">
        <f t="shared" ca="1" si="14"/>
        <v/>
      </c>
      <c r="O85" s="365" t="str">
        <f t="shared" ca="1" si="14"/>
        <v/>
      </c>
      <c r="P85" s="365" t="str">
        <f t="shared" ca="1" si="14"/>
        <v/>
      </c>
      <c r="Q85" s="365" t="str">
        <f t="shared" ca="1" si="14"/>
        <v/>
      </c>
      <c r="R85" s="365" t="str">
        <f t="shared" ca="1" si="18"/>
        <v/>
      </c>
      <c r="S85" s="365" t="str">
        <f t="shared" ca="1" si="18"/>
        <v/>
      </c>
      <c r="T85" s="365" t="str">
        <f t="shared" ca="1" si="18"/>
        <v/>
      </c>
      <c r="U85" s="365" t="str">
        <f t="shared" ca="1" si="18"/>
        <v/>
      </c>
      <c r="V85" s="365" t="str">
        <f t="shared" ca="1" si="18"/>
        <v/>
      </c>
      <c r="W85" s="365" t="str">
        <f t="shared" ca="1" si="18"/>
        <v/>
      </c>
      <c r="X85" s="365" t="str">
        <f t="shared" ca="1" si="18"/>
        <v/>
      </c>
      <c r="Y85" s="365" t="str">
        <f t="shared" ca="1" si="18"/>
        <v/>
      </c>
      <c r="Z85" s="365" t="str">
        <f t="shared" ca="1" si="18"/>
        <v/>
      </c>
      <c r="AA85" s="365" t="str">
        <f t="shared" ca="1" si="18"/>
        <v/>
      </c>
      <c r="AB85" s="365" t="str">
        <f t="shared" ca="1" si="18"/>
        <v/>
      </c>
      <c r="AC85" s="365" t="str">
        <f t="shared" ca="1" si="18"/>
        <v/>
      </c>
      <c r="AD85" s="365" t="str">
        <f t="shared" ca="1" si="18"/>
        <v/>
      </c>
      <c r="AE85" s="365" t="str">
        <f t="shared" ca="1" si="18"/>
        <v/>
      </c>
      <c r="AF85" s="365">
        <f t="shared" ca="1" si="18"/>
        <v>0</v>
      </c>
      <c r="AG85" s="365">
        <f t="shared" ca="1" si="18"/>
        <v>0</v>
      </c>
      <c r="AH85" s="365">
        <f t="shared" ca="1" si="18"/>
        <v>0</v>
      </c>
      <c r="AI85" s="365">
        <f t="shared" ca="1" si="18"/>
        <v>0</v>
      </c>
      <c r="AJ85" s="365">
        <f t="shared" ca="1" si="18"/>
        <v>0</v>
      </c>
      <c r="AK85" s="365">
        <f t="shared" ca="1" si="18"/>
        <v>0</v>
      </c>
      <c r="AL85" s="365" t="e">
        <f t="shared" ca="1" si="18"/>
        <v>#REF!</v>
      </c>
      <c r="AM85" s="365" t="e">
        <f t="shared" ca="1" si="18"/>
        <v>#REF!</v>
      </c>
      <c r="AN85" s="365" t="e">
        <f t="shared" ca="1" si="18"/>
        <v>#REF!</v>
      </c>
      <c r="AO85" s="365">
        <f t="shared" ca="1" si="18"/>
        <v>0</v>
      </c>
      <c r="AP85" s="365">
        <f t="shared" ca="1" si="18"/>
        <v>0</v>
      </c>
      <c r="AQ85" s="365">
        <f t="shared" ca="1" si="18"/>
        <v>0</v>
      </c>
      <c r="AR85" s="365">
        <f t="shared" ca="1" si="18"/>
        <v>0</v>
      </c>
      <c r="AS85" s="365">
        <f t="shared" ca="1" si="18"/>
        <v>0</v>
      </c>
      <c r="AT85" s="365">
        <f t="shared" ca="1" si="18"/>
        <v>0</v>
      </c>
      <c r="AU85" s="365">
        <f t="shared" ca="1" si="18"/>
        <v>0</v>
      </c>
      <c r="AV85" s="365">
        <f t="shared" ca="1" si="18"/>
        <v>0</v>
      </c>
      <c r="AW85" s="365">
        <f t="shared" ca="1" si="18"/>
        <v>0</v>
      </c>
      <c r="AX85" s="365">
        <f t="shared" ca="1" si="18"/>
        <v>0</v>
      </c>
      <c r="AY85" s="365">
        <f t="shared" ca="1" si="18"/>
        <v>0</v>
      </c>
      <c r="AZ85" s="365">
        <f t="shared" ca="1" si="18"/>
        <v>0</v>
      </c>
      <c r="BA85" s="365">
        <f t="shared" ca="1" si="18"/>
        <v>0</v>
      </c>
      <c r="BB85" s="365">
        <f t="shared" ca="1" si="18"/>
        <v>0</v>
      </c>
      <c r="BC85" s="365">
        <f t="shared" ca="1" si="18"/>
        <v>0</v>
      </c>
      <c r="BD85" s="365">
        <f t="shared" ca="1" si="18"/>
        <v>0</v>
      </c>
      <c r="BE85" s="365">
        <f t="shared" ca="1" si="18"/>
        <v>0</v>
      </c>
      <c r="BF85" s="365">
        <f t="shared" ca="1" si="18"/>
        <v>0</v>
      </c>
      <c r="BG85" s="365">
        <f t="shared" ca="1" si="18"/>
        <v>0</v>
      </c>
      <c r="BH85" s="365">
        <f t="shared" ca="1" si="18"/>
        <v>0</v>
      </c>
      <c r="BI85" s="365">
        <f t="shared" ca="1" si="18"/>
        <v>0</v>
      </c>
    </row>
    <row r="86" spans="1:61" outlineLevel="1" x14ac:dyDescent="0.15">
      <c r="A86" s="375">
        <v>32</v>
      </c>
      <c r="B86" s="365" t="str">
        <f t="shared" ca="1" si="14"/>
        <v/>
      </c>
      <c r="C86" s="365" t="str">
        <f t="shared" ca="1" si="14"/>
        <v/>
      </c>
      <c r="D86" s="365" t="str">
        <f t="shared" ca="1" si="14"/>
        <v/>
      </c>
      <c r="E86" s="365" t="str">
        <f t="shared" ca="1" si="14"/>
        <v/>
      </c>
      <c r="F86" s="365" t="str">
        <f t="shared" ca="1" si="14"/>
        <v/>
      </c>
      <c r="G86" s="365" t="str">
        <f t="shared" ca="1" si="14"/>
        <v/>
      </c>
      <c r="H86" s="365" t="str">
        <f t="shared" ca="1" si="14"/>
        <v/>
      </c>
      <c r="I86" s="365" t="str">
        <f t="shared" ca="1" si="14"/>
        <v/>
      </c>
      <c r="J86" s="365" t="str">
        <f t="shared" ca="1" si="14"/>
        <v/>
      </c>
      <c r="K86" s="365" t="str">
        <f t="shared" ca="1" si="14"/>
        <v/>
      </c>
      <c r="L86" s="365" t="str">
        <f t="shared" ca="1" si="14"/>
        <v/>
      </c>
      <c r="M86" s="365" t="str">
        <f t="shared" ca="1" si="14"/>
        <v/>
      </c>
      <c r="N86" s="365" t="str">
        <f t="shared" ca="1" si="14"/>
        <v/>
      </c>
      <c r="O86" s="365" t="str">
        <f t="shared" ca="1" si="14"/>
        <v/>
      </c>
      <c r="P86" s="365" t="str">
        <f t="shared" ca="1" si="14"/>
        <v/>
      </c>
      <c r="Q86" s="365" t="str">
        <f t="shared" ref="Q86:BW91" ca="1" si="19">IF($A86&gt;Q$5,"",OFFSET(Q$54,0,-($A86-1)))</f>
        <v/>
      </c>
      <c r="R86" s="365" t="str">
        <f t="shared" ca="1" si="19"/>
        <v/>
      </c>
      <c r="S86" s="365" t="str">
        <f t="shared" ca="1" si="19"/>
        <v/>
      </c>
      <c r="T86" s="365" t="str">
        <f t="shared" ca="1" si="19"/>
        <v/>
      </c>
      <c r="U86" s="365" t="str">
        <f t="shared" ca="1" si="19"/>
        <v/>
      </c>
      <c r="V86" s="365" t="str">
        <f t="shared" ca="1" si="19"/>
        <v/>
      </c>
      <c r="W86" s="365" t="str">
        <f t="shared" ca="1" si="19"/>
        <v/>
      </c>
      <c r="X86" s="365" t="str">
        <f t="shared" ca="1" si="19"/>
        <v/>
      </c>
      <c r="Y86" s="365" t="str">
        <f t="shared" ca="1" si="19"/>
        <v/>
      </c>
      <c r="Z86" s="365" t="str">
        <f t="shared" ca="1" si="19"/>
        <v/>
      </c>
      <c r="AA86" s="365" t="str">
        <f t="shared" ca="1" si="19"/>
        <v/>
      </c>
      <c r="AB86" s="365" t="str">
        <f t="shared" ca="1" si="19"/>
        <v/>
      </c>
      <c r="AC86" s="365" t="str">
        <f t="shared" ca="1" si="19"/>
        <v/>
      </c>
      <c r="AD86" s="365" t="str">
        <f t="shared" ca="1" si="19"/>
        <v/>
      </c>
      <c r="AE86" s="365" t="str">
        <f t="shared" ca="1" si="19"/>
        <v/>
      </c>
      <c r="AF86" s="365" t="str">
        <f t="shared" ca="1" si="19"/>
        <v/>
      </c>
      <c r="AG86" s="365">
        <f t="shared" ca="1" si="19"/>
        <v>0</v>
      </c>
      <c r="AH86" s="365">
        <f t="shared" ca="1" si="19"/>
        <v>0</v>
      </c>
      <c r="AI86" s="365">
        <f t="shared" ca="1" si="19"/>
        <v>0</v>
      </c>
      <c r="AJ86" s="365">
        <f t="shared" ca="1" si="19"/>
        <v>0</v>
      </c>
      <c r="AK86" s="365">
        <f t="shared" ca="1" si="19"/>
        <v>0</v>
      </c>
      <c r="AL86" s="365">
        <f t="shared" ca="1" si="19"/>
        <v>0</v>
      </c>
      <c r="AM86" s="365" t="e">
        <f t="shared" ca="1" si="19"/>
        <v>#REF!</v>
      </c>
      <c r="AN86" s="365" t="e">
        <f t="shared" ca="1" si="19"/>
        <v>#REF!</v>
      </c>
      <c r="AO86" s="365" t="e">
        <f t="shared" ca="1" si="19"/>
        <v>#REF!</v>
      </c>
      <c r="AP86" s="365">
        <f t="shared" ca="1" si="19"/>
        <v>0</v>
      </c>
      <c r="AQ86" s="365">
        <f t="shared" ca="1" si="19"/>
        <v>0</v>
      </c>
      <c r="AR86" s="365">
        <f t="shared" ca="1" si="19"/>
        <v>0</v>
      </c>
      <c r="AS86" s="365">
        <f t="shared" ca="1" si="19"/>
        <v>0</v>
      </c>
      <c r="AT86" s="365">
        <f t="shared" ca="1" si="19"/>
        <v>0</v>
      </c>
      <c r="AU86" s="365">
        <f t="shared" ca="1" si="19"/>
        <v>0</v>
      </c>
      <c r="AV86" s="365">
        <f t="shared" ca="1" si="19"/>
        <v>0</v>
      </c>
      <c r="AW86" s="365">
        <f t="shared" ca="1" si="19"/>
        <v>0</v>
      </c>
      <c r="AX86" s="365">
        <f t="shared" ca="1" si="19"/>
        <v>0</v>
      </c>
      <c r="AY86" s="365">
        <f t="shared" ca="1" si="19"/>
        <v>0</v>
      </c>
      <c r="AZ86" s="365">
        <f t="shared" ca="1" si="19"/>
        <v>0</v>
      </c>
      <c r="BA86" s="365">
        <f t="shared" ca="1" si="19"/>
        <v>0</v>
      </c>
      <c r="BB86" s="365">
        <f t="shared" ca="1" si="19"/>
        <v>0</v>
      </c>
      <c r="BC86" s="365">
        <f t="shared" ca="1" si="19"/>
        <v>0</v>
      </c>
      <c r="BD86" s="365">
        <f t="shared" ca="1" si="19"/>
        <v>0</v>
      </c>
      <c r="BE86" s="365">
        <f t="shared" ca="1" si="19"/>
        <v>0</v>
      </c>
      <c r="BF86" s="365">
        <f t="shared" ca="1" si="19"/>
        <v>0</v>
      </c>
      <c r="BG86" s="365">
        <f t="shared" ca="1" si="19"/>
        <v>0</v>
      </c>
      <c r="BH86" s="365">
        <f t="shared" ca="1" si="19"/>
        <v>0</v>
      </c>
      <c r="BI86" s="365">
        <f t="shared" ca="1" si="19"/>
        <v>0</v>
      </c>
    </row>
    <row r="87" spans="1:61" outlineLevel="1" x14ac:dyDescent="0.15">
      <c r="A87" s="375">
        <v>33</v>
      </c>
      <c r="B87" s="365" t="str">
        <f t="shared" ref="B87:Q114" ca="1" si="20">IF($A87&gt;B$5,"",OFFSET(B$54,0,-($A87-1)))</f>
        <v/>
      </c>
      <c r="C87" s="365" t="str">
        <f t="shared" ca="1" si="20"/>
        <v/>
      </c>
      <c r="D87" s="365" t="str">
        <f t="shared" ca="1" si="20"/>
        <v/>
      </c>
      <c r="E87" s="365" t="str">
        <f t="shared" ca="1" si="20"/>
        <v/>
      </c>
      <c r="F87" s="365" t="str">
        <f t="shared" ca="1" si="20"/>
        <v/>
      </c>
      <c r="G87" s="365" t="str">
        <f t="shared" ca="1" si="20"/>
        <v/>
      </c>
      <c r="H87" s="365" t="str">
        <f t="shared" ca="1" si="20"/>
        <v/>
      </c>
      <c r="I87" s="365" t="str">
        <f t="shared" ca="1" si="20"/>
        <v/>
      </c>
      <c r="J87" s="365" t="str">
        <f t="shared" ca="1" si="20"/>
        <v/>
      </c>
      <c r="K87" s="365" t="str">
        <f t="shared" ca="1" si="20"/>
        <v/>
      </c>
      <c r="L87" s="365" t="str">
        <f t="shared" ca="1" si="20"/>
        <v/>
      </c>
      <c r="M87" s="365" t="str">
        <f t="shared" ca="1" si="20"/>
        <v/>
      </c>
      <c r="N87" s="365" t="str">
        <f t="shared" ca="1" si="20"/>
        <v/>
      </c>
      <c r="O87" s="365" t="str">
        <f t="shared" ca="1" si="20"/>
        <v/>
      </c>
      <c r="P87" s="365" t="str">
        <f t="shared" ca="1" si="20"/>
        <v/>
      </c>
      <c r="Q87" s="365" t="str">
        <f t="shared" ca="1" si="20"/>
        <v/>
      </c>
      <c r="R87" s="365" t="str">
        <f t="shared" ca="1" si="19"/>
        <v/>
      </c>
      <c r="S87" s="365" t="str">
        <f t="shared" ca="1" si="19"/>
        <v/>
      </c>
      <c r="T87" s="365" t="str">
        <f t="shared" ca="1" si="19"/>
        <v/>
      </c>
      <c r="U87" s="365" t="str">
        <f t="shared" ca="1" si="19"/>
        <v/>
      </c>
      <c r="V87" s="365" t="str">
        <f t="shared" ca="1" si="19"/>
        <v/>
      </c>
      <c r="W87" s="365" t="str">
        <f t="shared" ca="1" si="19"/>
        <v/>
      </c>
      <c r="X87" s="365" t="str">
        <f t="shared" ca="1" si="19"/>
        <v/>
      </c>
      <c r="Y87" s="365" t="str">
        <f t="shared" ca="1" si="19"/>
        <v/>
      </c>
      <c r="Z87" s="365" t="str">
        <f t="shared" ca="1" si="19"/>
        <v/>
      </c>
      <c r="AA87" s="365" t="str">
        <f t="shared" ca="1" si="19"/>
        <v/>
      </c>
      <c r="AB87" s="365" t="str">
        <f t="shared" ca="1" si="19"/>
        <v/>
      </c>
      <c r="AC87" s="365" t="str">
        <f t="shared" ca="1" si="19"/>
        <v/>
      </c>
      <c r="AD87" s="365" t="str">
        <f t="shared" ca="1" si="19"/>
        <v/>
      </c>
      <c r="AE87" s="365" t="str">
        <f t="shared" ca="1" si="19"/>
        <v/>
      </c>
      <c r="AF87" s="365" t="str">
        <f t="shared" ca="1" si="19"/>
        <v/>
      </c>
      <c r="AG87" s="365" t="str">
        <f t="shared" ca="1" si="19"/>
        <v/>
      </c>
      <c r="AH87" s="365">
        <f t="shared" ca="1" si="19"/>
        <v>0</v>
      </c>
      <c r="AI87" s="365">
        <f t="shared" ca="1" si="19"/>
        <v>0</v>
      </c>
      <c r="AJ87" s="365">
        <f t="shared" ca="1" si="19"/>
        <v>0</v>
      </c>
      <c r="AK87" s="365">
        <f t="shared" ca="1" si="19"/>
        <v>0</v>
      </c>
      <c r="AL87" s="365">
        <f t="shared" ca="1" si="19"/>
        <v>0</v>
      </c>
      <c r="AM87" s="365">
        <f t="shared" ca="1" si="19"/>
        <v>0</v>
      </c>
      <c r="AN87" s="365" t="e">
        <f t="shared" ca="1" si="19"/>
        <v>#REF!</v>
      </c>
      <c r="AO87" s="365" t="e">
        <f t="shared" ca="1" si="19"/>
        <v>#REF!</v>
      </c>
      <c r="AP87" s="365" t="e">
        <f t="shared" ca="1" si="19"/>
        <v>#REF!</v>
      </c>
      <c r="AQ87" s="365">
        <f t="shared" ca="1" si="19"/>
        <v>0</v>
      </c>
      <c r="AR87" s="365">
        <f t="shared" ca="1" si="19"/>
        <v>0</v>
      </c>
      <c r="AS87" s="365">
        <f t="shared" ca="1" si="19"/>
        <v>0</v>
      </c>
      <c r="AT87" s="365">
        <f t="shared" ca="1" si="19"/>
        <v>0</v>
      </c>
      <c r="AU87" s="365">
        <f t="shared" ca="1" si="19"/>
        <v>0</v>
      </c>
      <c r="AV87" s="365">
        <f t="shared" ca="1" si="19"/>
        <v>0</v>
      </c>
      <c r="AW87" s="365">
        <f t="shared" ca="1" si="19"/>
        <v>0</v>
      </c>
      <c r="AX87" s="365">
        <f t="shared" ca="1" si="19"/>
        <v>0</v>
      </c>
      <c r="AY87" s="365">
        <f t="shared" ca="1" si="19"/>
        <v>0</v>
      </c>
      <c r="AZ87" s="365">
        <f t="shared" ca="1" si="19"/>
        <v>0</v>
      </c>
      <c r="BA87" s="365">
        <f t="shared" ca="1" si="19"/>
        <v>0</v>
      </c>
      <c r="BB87" s="365">
        <f t="shared" ca="1" si="19"/>
        <v>0</v>
      </c>
      <c r="BC87" s="365">
        <f t="shared" ca="1" si="19"/>
        <v>0</v>
      </c>
      <c r="BD87" s="365">
        <f t="shared" ca="1" si="19"/>
        <v>0</v>
      </c>
      <c r="BE87" s="365">
        <f t="shared" ca="1" si="19"/>
        <v>0</v>
      </c>
      <c r="BF87" s="365">
        <f t="shared" ca="1" si="19"/>
        <v>0</v>
      </c>
      <c r="BG87" s="365">
        <f t="shared" ca="1" si="19"/>
        <v>0</v>
      </c>
      <c r="BH87" s="365">
        <f t="shared" ca="1" si="19"/>
        <v>0</v>
      </c>
      <c r="BI87" s="365">
        <f t="shared" ca="1" si="19"/>
        <v>0</v>
      </c>
    </row>
    <row r="88" spans="1:61" outlineLevel="1" x14ac:dyDescent="0.15">
      <c r="A88" s="375">
        <v>34</v>
      </c>
      <c r="B88" s="365" t="str">
        <f t="shared" ca="1" si="20"/>
        <v/>
      </c>
      <c r="C88" s="365" t="str">
        <f t="shared" ca="1" si="20"/>
        <v/>
      </c>
      <c r="D88" s="365" t="str">
        <f t="shared" ca="1" si="20"/>
        <v/>
      </c>
      <c r="E88" s="365" t="str">
        <f t="shared" ca="1" si="20"/>
        <v/>
      </c>
      <c r="F88" s="365" t="str">
        <f t="shared" ca="1" si="20"/>
        <v/>
      </c>
      <c r="G88" s="365" t="str">
        <f t="shared" ca="1" si="20"/>
        <v/>
      </c>
      <c r="H88" s="365" t="str">
        <f t="shared" ca="1" si="20"/>
        <v/>
      </c>
      <c r="I88" s="365" t="str">
        <f t="shared" ca="1" si="20"/>
        <v/>
      </c>
      <c r="J88" s="365" t="str">
        <f t="shared" ca="1" si="20"/>
        <v/>
      </c>
      <c r="K88" s="365" t="str">
        <f t="shared" ca="1" si="20"/>
        <v/>
      </c>
      <c r="L88" s="365" t="str">
        <f t="shared" ca="1" si="20"/>
        <v/>
      </c>
      <c r="M88" s="365" t="str">
        <f t="shared" ca="1" si="20"/>
        <v/>
      </c>
      <c r="N88" s="365" t="str">
        <f t="shared" ca="1" si="20"/>
        <v/>
      </c>
      <c r="O88" s="365" t="str">
        <f t="shared" ca="1" si="20"/>
        <v/>
      </c>
      <c r="P88" s="365" t="str">
        <f t="shared" ca="1" si="20"/>
        <v/>
      </c>
      <c r="Q88" s="365" t="str">
        <f t="shared" ca="1" si="20"/>
        <v/>
      </c>
      <c r="R88" s="365" t="str">
        <f t="shared" ca="1" si="19"/>
        <v/>
      </c>
      <c r="S88" s="365" t="str">
        <f t="shared" ca="1" si="19"/>
        <v/>
      </c>
      <c r="T88" s="365" t="str">
        <f t="shared" ca="1" si="19"/>
        <v/>
      </c>
      <c r="U88" s="365" t="str">
        <f t="shared" ca="1" si="19"/>
        <v/>
      </c>
      <c r="V88" s="365" t="str">
        <f t="shared" ca="1" si="19"/>
        <v/>
      </c>
      <c r="W88" s="365" t="str">
        <f t="shared" ca="1" si="19"/>
        <v/>
      </c>
      <c r="X88" s="365" t="str">
        <f t="shared" ca="1" si="19"/>
        <v/>
      </c>
      <c r="Y88" s="365" t="str">
        <f t="shared" ca="1" si="19"/>
        <v/>
      </c>
      <c r="Z88" s="365" t="str">
        <f t="shared" ca="1" si="19"/>
        <v/>
      </c>
      <c r="AA88" s="365" t="str">
        <f t="shared" ca="1" si="19"/>
        <v/>
      </c>
      <c r="AB88" s="365" t="str">
        <f t="shared" ca="1" si="19"/>
        <v/>
      </c>
      <c r="AC88" s="365" t="str">
        <f t="shared" ca="1" si="19"/>
        <v/>
      </c>
      <c r="AD88" s="365" t="str">
        <f t="shared" ca="1" si="19"/>
        <v/>
      </c>
      <c r="AE88" s="365" t="str">
        <f t="shared" ca="1" si="19"/>
        <v/>
      </c>
      <c r="AF88" s="365" t="str">
        <f t="shared" ca="1" si="19"/>
        <v/>
      </c>
      <c r="AG88" s="365" t="str">
        <f t="shared" ca="1" si="19"/>
        <v/>
      </c>
      <c r="AH88" s="365" t="str">
        <f t="shared" ca="1" si="19"/>
        <v/>
      </c>
      <c r="AI88" s="365">
        <f t="shared" ca="1" si="19"/>
        <v>0</v>
      </c>
      <c r="AJ88" s="365">
        <f t="shared" ca="1" si="19"/>
        <v>0</v>
      </c>
      <c r="AK88" s="365">
        <f t="shared" ca="1" si="19"/>
        <v>0</v>
      </c>
      <c r="AL88" s="365">
        <f t="shared" ca="1" si="19"/>
        <v>0</v>
      </c>
      <c r="AM88" s="365">
        <f t="shared" ca="1" si="19"/>
        <v>0</v>
      </c>
      <c r="AN88" s="365">
        <f t="shared" ca="1" si="19"/>
        <v>0</v>
      </c>
      <c r="AO88" s="365" t="e">
        <f t="shared" ca="1" si="19"/>
        <v>#REF!</v>
      </c>
      <c r="AP88" s="365" t="e">
        <f t="shared" ca="1" si="19"/>
        <v>#REF!</v>
      </c>
      <c r="AQ88" s="365" t="e">
        <f t="shared" ca="1" si="19"/>
        <v>#REF!</v>
      </c>
      <c r="AR88" s="365">
        <f t="shared" ca="1" si="19"/>
        <v>0</v>
      </c>
      <c r="AS88" s="365">
        <f t="shared" ca="1" si="19"/>
        <v>0</v>
      </c>
      <c r="AT88" s="365">
        <f t="shared" ca="1" si="19"/>
        <v>0</v>
      </c>
      <c r="AU88" s="365">
        <f t="shared" ca="1" si="19"/>
        <v>0</v>
      </c>
      <c r="AV88" s="365">
        <f t="shared" ca="1" si="19"/>
        <v>0</v>
      </c>
      <c r="AW88" s="365">
        <f t="shared" ca="1" si="19"/>
        <v>0</v>
      </c>
      <c r="AX88" s="365">
        <f t="shared" ca="1" si="19"/>
        <v>0</v>
      </c>
      <c r="AY88" s="365">
        <f t="shared" ca="1" si="19"/>
        <v>0</v>
      </c>
      <c r="AZ88" s="365">
        <f t="shared" ca="1" si="19"/>
        <v>0</v>
      </c>
      <c r="BA88" s="365">
        <f t="shared" ca="1" si="19"/>
        <v>0</v>
      </c>
      <c r="BB88" s="365">
        <f t="shared" ca="1" si="19"/>
        <v>0</v>
      </c>
      <c r="BC88" s="365">
        <f t="shared" ca="1" si="19"/>
        <v>0</v>
      </c>
      <c r="BD88" s="365">
        <f t="shared" ca="1" si="19"/>
        <v>0</v>
      </c>
      <c r="BE88" s="365">
        <f t="shared" ca="1" si="19"/>
        <v>0</v>
      </c>
      <c r="BF88" s="365">
        <f t="shared" ca="1" si="19"/>
        <v>0</v>
      </c>
      <c r="BG88" s="365">
        <f t="shared" ca="1" si="19"/>
        <v>0</v>
      </c>
      <c r="BH88" s="365">
        <f t="shared" ca="1" si="19"/>
        <v>0</v>
      </c>
      <c r="BI88" s="365">
        <f t="shared" ca="1" si="19"/>
        <v>0</v>
      </c>
    </row>
    <row r="89" spans="1:61" outlineLevel="1" x14ac:dyDescent="0.15">
      <c r="A89" s="375">
        <v>35</v>
      </c>
      <c r="B89" s="365" t="str">
        <f t="shared" ca="1" si="20"/>
        <v/>
      </c>
      <c r="C89" s="365" t="str">
        <f t="shared" ca="1" si="20"/>
        <v/>
      </c>
      <c r="D89" s="365" t="str">
        <f t="shared" ca="1" si="20"/>
        <v/>
      </c>
      <c r="E89" s="365" t="str">
        <f t="shared" ca="1" si="20"/>
        <v/>
      </c>
      <c r="F89" s="365" t="str">
        <f t="shared" ca="1" si="20"/>
        <v/>
      </c>
      <c r="G89" s="365" t="str">
        <f t="shared" ca="1" si="20"/>
        <v/>
      </c>
      <c r="H89" s="365" t="str">
        <f t="shared" ca="1" si="20"/>
        <v/>
      </c>
      <c r="I89" s="365" t="str">
        <f t="shared" ca="1" si="20"/>
        <v/>
      </c>
      <c r="J89" s="365" t="str">
        <f t="shared" ca="1" si="20"/>
        <v/>
      </c>
      <c r="K89" s="365" t="str">
        <f t="shared" ca="1" si="20"/>
        <v/>
      </c>
      <c r="L89" s="365" t="str">
        <f t="shared" ca="1" si="20"/>
        <v/>
      </c>
      <c r="M89" s="365" t="str">
        <f t="shared" ca="1" si="20"/>
        <v/>
      </c>
      <c r="N89" s="365" t="str">
        <f t="shared" ca="1" si="20"/>
        <v/>
      </c>
      <c r="O89" s="365" t="str">
        <f t="shared" ca="1" si="20"/>
        <v/>
      </c>
      <c r="P89" s="365" t="str">
        <f t="shared" ca="1" si="20"/>
        <v/>
      </c>
      <c r="Q89" s="365" t="str">
        <f t="shared" ca="1" si="20"/>
        <v/>
      </c>
      <c r="R89" s="365" t="str">
        <f t="shared" ca="1" si="19"/>
        <v/>
      </c>
      <c r="S89" s="365" t="str">
        <f t="shared" ca="1" si="19"/>
        <v/>
      </c>
      <c r="T89" s="365" t="str">
        <f t="shared" ca="1" si="19"/>
        <v/>
      </c>
      <c r="U89" s="365" t="str">
        <f t="shared" ca="1" si="19"/>
        <v/>
      </c>
      <c r="V89" s="365" t="str">
        <f t="shared" ca="1" si="19"/>
        <v/>
      </c>
      <c r="W89" s="365" t="str">
        <f t="shared" ca="1" si="19"/>
        <v/>
      </c>
      <c r="X89" s="365" t="str">
        <f t="shared" ca="1" si="19"/>
        <v/>
      </c>
      <c r="Y89" s="365" t="str">
        <f t="shared" ca="1" si="19"/>
        <v/>
      </c>
      <c r="Z89" s="365" t="str">
        <f t="shared" ca="1" si="19"/>
        <v/>
      </c>
      <c r="AA89" s="365" t="str">
        <f t="shared" ca="1" si="19"/>
        <v/>
      </c>
      <c r="AB89" s="365" t="str">
        <f t="shared" ca="1" si="19"/>
        <v/>
      </c>
      <c r="AC89" s="365" t="str">
        <f t="shared" ca="1" si="19"/>
        <v/>
      </c>
      <c r="AD89" s="365" t="str">
        <f t="shared" ca="1" si="19"/>
        <v/>
      </c>
      <c r="AE89" s="365" t="str">
        <f t="shared" ca="1" si="19"/>
        <v/>
      </c>
      <c r="AF89" s="365" t="str">
        <f t="shared" ca="1" si="19"/>
        <v/>
      </c>
      <c r="AG89" s="365" t="str">
        <f t="shared" ca="1" si="19"/>
        <v/>
      </c>
      <c r="AH89" s="365" t="str">
        <f t="shared" ca="1" si="19"/>
        <v/>
      </c>
      <c r="AI89" s="365" t="str">
        <f t="shared" ca="1" si="19"/>
        <v/>
      </c>
      <c r="AJ89" s="365">
        <f t="shared" ca="1" si="19"/>
        <v>0</v>
      </c>
      <c r="AK89" s="365">
        <f t="shared" ca="1" si="19"/>
        <v>0</v>
      </c>
      <c r="AL89" s="365">
        <f t="shared" ca="1" si="19"/>
        <v>0</v>
      </c>
      <c r="AM89" s="365">
        <f t="shared" ca="1" si="19"/>
        <v>0</v>
      </c>
      <c r="AN89" s="365">
        <f t="shared" ca="1" si="19"/>
        <v>0</v>
      </c>
      <c r="AO89" s="365">
        <f t="shared" ca="1" si="19"/>
        <v>0</v>
      </c>
      <c r="AP89" s="365" t="e">
        <f t="shared" ca="1" si="19"/>
        <v>#REF!</v>
      </c>
      <c r="AQ89" s="365" t="e">
        <f t="shared" ca="1" si="19"/>
        <v>#REF!</v>
      </c>
      <c r="AR89" s="365" t="e">
        <f t="shared" ca="1" si="19"/>
        <v>#REF!</v>
      </c>
      <c r="AS89" s="365">
        <f t="shared" ca="1" si="19"/>
        <v>0</v>
      </c>
      <c r="AT89" s="365">
        <f t="shared" ca="1" si="19"/>
        <v>0</v>
      </c>
      <c r="AU89" s="365">
        <f t="shared" ca="1" si="19"/>
        <v>0</v>
      </c>
      <c r="AV89" s="365">
        <f t="shared" ca="1" si="19"/>
        <v>0</v>
      </c>
      <c r="AW89" s="365">
        <f t="shared" ca="1" si="19"/>
        <v>0</v>
      </c>
      <c r="AX89" s="365">
        <f t="shared" ca="1" si="19"/>
        <v>0</v>
      </c>
      <c r="AY89" s="365">
        <f t="shared" ca="1" si="19"/>
        <v>0</v>
      </c>
      <c r="AZ89" s="365">
        <f t="shared" ca="1" si="19"/>
        <v>0</v>
      </c>
      <c r="BA89" s="365">
        <f t="shared" ca="1" si="19"/>
        <v>0</v>
      </c>
      <c r="BB89" s="365">
        <f t="shared" ca="1" si="19"/>
        <v>0</v>
      </c>
      <c r="BC89" s="365">
        <f t="shared" ca="1" si="19"/>
        <v>0</v>
      </c>
      <c r="BD89" s="365">
        <f t="shared" ca="1" si="19"/>
        <v>0</v>
      </c>
      <c r="BE89" s="365">
        <f t="shared" ca="1" si="19"/>
        <v>0</v>
      </c>
      <c r="BF89" s="365">
        <f t="shared" ca="1" si="19"/>
        <v>0</v>
      </c>
      <c r="BG89" s="365">
        <f t="shared" ca="1" si="19"/>
        <v>0</v>
      </c>
      <c r="BH89" s="365">
        <f t="shared" ca="1" si="19"/>
        <v>0</v>
      </c>
      <c r="BI89" s="365">
        <f t="shared" ca="1" si="19"/>
        <v>0</v>
      </c>
    </row>
    <row r="90" spans="1:61" outlineLevel="1" x14ac:dyDescent="0.15">
      <c r="A90" s="375">
        <v>36</v>
      </c>
      <c r="B90" s="365" t="str">
        <f t="shared" ca="1" si="20"/>
        <v/>
      </c>
      <c r="C90" s="365" t="str">
        <f t="shared" ca="1" si="20"/>
        <v/>
      </c>
      <c r="D90" s="365" t="str">
        <f t="shared" ca="1" si="20"/>
        <v/>
      </c>
      <c r="E90" s="365" t="str">
        <f t="shared" ca="1" si="20"/>
        <v/>
      </c>
      <c r="F90" s="365" t="str">
        <f t="shared" ca="1" si="20"/>
        <v/>
      </c>
      <c r="G90" s="365" t="str">
        <f t="shared" ca="1" si="20"/>
        <v/>
      </c>
      <c r="H90" s="365" t="str">
        <f t="shared" ca="1" si="20"/>
        <v/>
      </c>
      <c r="I90" s="365" t="str">
        <f t="shared" ca="1" si="20"/>
        <v/>
      </c>
      <c r="J90" s="365" t="str">
        <f t="shared" ca="1" si="20"/>
        <v/>
      </c>
      <c r="K90" s="365" t="str">
        <f t="shared" ca="1" si="20"/>
        <v/>
      </c>
      <c r="L90" s="365" t="str">
        <f t="shared" ca="1" si="20"/>
        <v/>
      </c>
      <c r="M90" s="365" t="str">
        <f t="shared" ca="1" si="20"/>
        <v/>
      </c>
      <c r="N90" s="365" t="str">
        <f t="shared" ca="1" si="20"/>
        <v/>
      </c>
      <c r="O90" s="365" t="str">
        <f t="shared" ca="1" si="20"/>
        <v/>
      </c>
      <c r="P90" s="365" t="str">
        <f t="shared" ca="1" si="20"/>
        <v/>
      </c>
      <c r="Q90" s="365" t="str">
        <f t="shared" ca="1" si="20"/>
        <v/>
      </c>
      <c r="R90" s="365" t="str">
        <f t="shared" ca="1" si="19"/>
        <v/>
      </c>
      <c r="S90" s="365" t="str">
        <f t="shared" ca="1" si="19"/>
        <v/>
      </c>
      <c r="T90" s="365" t="str">
        <f t="shared" ca="1" si="19"/>
        <v/>
      </c>
      <c r="U90" s="365" t="str">
        <f t="shared" ca="1" si="19"/>
        <v/>
      </c>
      <c r="V90" s="365" t="str">
        <f t="shared" ca="1" si="19"/>
        <v/>
      </c>
      <c r="W90" s="365" t="str">
        <f t="shared" ca="1" si="19"/>
        <v/>
      </c>
      <c r="X90" s="365" t="str">
        <f t="shared" ca="1" si="19"/>
        <v/>
      </c>
      <c r="Y90" s="365" t="str">
        <f t="shared" ca="1" si="19"/>
        <v/>
      </c>
      <c r="Z90" s="365" t="str">
        <f t="shared" ca="1" si="19"/>
        <v/>
      </c>
      <c r="AA90" s="365" t="str">
        <f t="shared" ca="1" si="19"/>
        <v/>
      </c>
      <c r="AB90" s="365" t="str">
        <f t="shared" ca="1" si="19"/>
        <v/>
      </c>
      <c r="AC90" s="365" t="str">
        <f t="shared" ca="1" si="19"/>
        <v/>
      </c>
      <c r="AD90" s="365" t="str">
        <f t="shared" ca="1" si="19"/>
        <v/>
      </c>
      <c r="AE90" s="365" t="str">
        <f t="shared" ca="1" si="19"/>
        <v/>
      </c>
      <c r="AF90" s="365" t="str">
        <f t="shared" ca="1" si="19"/>
        <v/>
      </c>
      <c r="AG90" s="365" t="str">
        <f t="shared" ca="1" si="19"/>
        <v/>
      </c>
      <c r="AH90" s="365" t="str">
        <f t="shared" ca="1" si="19"/>
        <v/>
      </c>
      <c r="AI90" s="365" t="str">
        <f t="shared" ca="1" si="19"/>
        <v/>
      </c>
      <c r="AJ90" s="365" t="str">
        <f t="shared" ca="1" si="19"/>
        <v/>
      </c>
      <c r="AK90" s="365">
        <f t="shared" ca="1" si="19"/>
        <v>0</v>
      </c>
      <c r="AL90" s="365">
        <f t="shared" ca="1" si="19"/>
        <v>0</v>
      </c>
      <c r="AM90" s="365">
        <f t="shared" ca="1" si="19"/>
        <v>0</v>
      </c>
      <c r="AN90" s="365">
        <f t="shared" ca="1" si="19"/>
        <v>0</v>
      </c>
      <c r="AO90" s="365">
        <f t="shared" ca="1" si="19"/>
        <v>0</v>
      </c>
      <c r="AP90" s="365">
        <f t="shared" ca="1" si="19"/>
        <v>0</v>
      </c>
      <c r="AQ90" s="365" t="e">
        <f t="shared" ca="1" si="19"/>
        <v>#REF!</v>
      </c>
      <c r="AR90" s="365" t="e">
        <f t="shared" ca="1" si="19"/>
        <v>#REF!</v>
      </c>
      <c r="AS90" s="365" t="e">
        <f t="shared" ca="1" si="19"/>
        <v>#REF!</v>
      </c>
      <c r="AT90" s="365">
        <f t="shared" ca="1" si="19"/>
        <v>0</v>
      </c>
      <c r="AU90" s="365">
        <f t="shared" ca="1" si="19"/>
        <v>0</v>
      </c>
      <c r="AV90" s="365">
        <f t="shared" ca="1" si="19"/>
        <v>0</v>
      </c>
      <c r="AW90" s="365">
        <f t="shared" ca="1" si="19"/>
        <v>0</v>
      </c>
      <c r="AX90" s="365">
        <f t="shared" ca="1" si="19"/>
        <v>0</v>
      </c>
      <c r="AY90" s="365">
        <f t="shared" ca="1" si="19"/>
        <v>0</v>
      </c>
      <c r="AZ90" s="365">
        <f t="shared" ca="1" si="19"/>
        <v>0</v>
      </c>
      <c r="BA90" s="365">
        <f t="shared" ca="1" si="19"/>
        <v>0</v>
      </c>
      <c r="BB90" s="365">
        <f t="shared" ca="1" si="19"/>
        <v>0</v>
      </c>
      <c r="BC90" s="365">
        <f t="shared" ca="1" si="19"/>
        <v>0</v>
      </c>
      <c r="BD90" s="365">
        <f t="shared" ca="1" si="19"/>
        <v>0</v>
      </c>
      <c r="BE90" s="365">
        <f t="shared" ca="1" si="19"/>
        <v>0</v>
      </c>
      <c r="BF90" s="365">
        <f t="shared" ca="1" si="19"/>
        <v>0</v>
      </c>
      <c r="BG90" s="365">
        <f t="shared" ca="1" si="19"/>
        <v>0</v>
      </c>
      <c r="BH90" s="365">
        <f t="shared" ca="1" si="19"/>
        <v>0</v>
      </c>
      <c r="BI90" s="365">
        <f t="shared" ca="1" si="19"/>
        <v>0</v>
      </c>
    </row>
    <row r="91" spans="1:61" outlineLevel="1" x14ac:dyDescent="0.15">
      <c r="A91" s="375">
        <v>37</v>
      </c>
      <c r="B91" s="365" t="str">
        <f t="shared" ca="1" si="20"/>
        <v/>
      </c>
      <c r="C91" s="365" t="str">
        <f t="shared" ca="1" si="20"/>
        <v/>
      </c>
      <c r="D91" s="365" t="str">
        <f t="shared" ca="1" si="20"/>
        <v/>
      </c>
      <c r="E91" s="365" t="str">
        <f t="shared" ca="1" si="20"/>
        <v/>
      </c>
      <c r="F91" s="365" t="str">
        <f t="shared" ca="1" si="20"/>
        <v/>
      </c>
      <c r="G91" s="365" t="str">
        <f t="shared" ca="1" si="20"/>
        <v/>
      </c>
      <c r="H91" s="365" t="str">
        <f t="shared" ca="1" si="20"/>
        <v/>
      </c>
      <c r="I91" s="365" t="str">
        <f t="shared" ca="1" si="20"/>
        <v/>
      </c>
      <c r="J91" s="365" t="str">
        <f t="shared" ca="1" si="20"/>
        <v/>
      </c>
      <c r="K91" s="365" t="str">
        <f t="shared" ca="1" si="20"/>
        <v/>
      </c>
      <c r="L91" s="365" t="str">
        <f t="shared" ca="1" si="20"/>
        <v/>
      </c>
      <c r="M91" s="365" t="str">
        <f t="shared" ca="1" si="20"/>
        <v/>
      </c>
      <c r="N91" s="365" t="str">
        <f t="shared" ca="1" si="20"/>
        <v/>
      </c>
      <c r="O91" s="365" t="str">
        <f t="shared" ca="1" si="20"/>
        <v/>
      </c>
      <c r="P91" s="365" t="str">
        <f t="shared" ca="1" si="20"/>
        <v/>
      </c>
      <c r="Q91" s="365" t="str">
        <f t="shared" ca="1" si="20"/>
        <v/>
      </c>
      <c r="R91" s="365" t="str">
        <f t="shared" ca="1" si="19"/>
        <v/>
      </c>
      <c r="S91" s="365" t="str">
        <f t="shared" ca="1" si="19"/>
        <v/>
      </c>
      <c r="T91" s="365" t="str">
        <f t="shared" ca="1" si="19"/>
        <v/>
      </c>
      <c r="U91" s="365" t="str">
        <f t="shared" ca="1" si="19"/>
        <v/>
      </c>
      <c r="V91" s="365" t="str">
        <f t="shared" ca="1" si="19"/>
        <v/>
      </c>
      <c r="W91" s="365" t="str">
        <f t="shared" ca="1" si="19"/>
        <v/>
      </c>
      <c r="X91" s="365" t="str">
        <f t="shared" ca="1" si="19"/>
        <v/>
      </c>
      <c r="Y91" s="365" t="str">
        <f t="shared" ca="1" si="19"/>
        <v/>
      </c>
      <c r="Z91" s="365" t="str">
        <f t="shared" ca="1" si="19"/>
        <v/>
      </c>
      <c r="AA91" s="365" t="str">
        <f t="shared" ca="1" si="19"/>
        <v/>
      </c>
      <c r="AB91" s="365" t="str">
        <f t="shared" ca="1" si="19"/>
        <v/>
      </c>
      <c r="AC91" s="365" t="str">
        <f t="shared" ca="1" si="19"/>
        <v/>
      </c>
      <c r="AD91" s="365" t="str">
        <f t="shared" ca="1" si="19"/>
        <v/>
      </c>
      <c r="AE91" s="365" t="str">
        <f t="shared" ca="1" si="19"/>
        <v/>
      </c>
      <c r="AF91" s="365" t="str">
        <f t="shared" ca="1" si="19"/>
        <v/>
      </c>
      <c r="AG91" s="365" t="str">
        <f t="shared" ca="1" si="19"/>
        <v/>
      </c>
      <c r="AH91" s="365" t="str">
        <f t="shared" ca="1" si="19"/>
        <v/>
      </c>
      <c r="AI91" s="365" t="str">
        <f t="shared" ca="1" si="19"/>
        <v/>
      </c>
      <c r="AJ91" s="365" t="str">
        <f t="shared" ca="1" si="19"/>
        <v/>
      </c>
      <c r="AK91" s="365" t="str">
        <f t="shared" ca="1" si="19"/>
        <v/>
      </c>
      <c r="AL91" s="365">
        <f t="shared" ca="1" si="19"/>
        <v>0</v>
      </c>
      <c r="AM91" s="365">
        <f t="shared" ca="1" si="19"/>
        <v>0</v>
      </c>
      <c r="AN91" s="365">
        <f t="shared" ca="1" si="19"/>
        <v>0</v>
      </c>
      <c r="AO91" s="365">
        <f t="shared" ca="1" si="19"/>
        <v>0</v>
      </c>
      <c r="AP91" s="365">
        <f t="shared" ca="1" si="19"/>
        <v>0</v>
      </c>
      <c r="AQ91" s="365">
        <f t="shared" ca="1" si="19"/>
        <v>0</v>
      </c>
      <c r="AR91" s="365" t="e">
        <f t="shared" ca="1" si="19"/>
        <v>#REF!</v>
      </c>
      <c r="AS91" s="365" t="e">
        <f t="shared" ca="1" si="19"/>
        <v>#REF!</v>
      </c>
      <c r="AT91" s="365" t="e">
        <f t="shared" ca="1" si="19"/>
        <v>#REF!</v>
      </c>
      <c r="AU91" s="365">
        <f t="shared" ca="1" si="19"/>
        <v>0</v>
      </c>
      <c r="AV91" s="365">
        <f t="shared" ca="1" si="19"/>
        <v>0</v>
      </c>
      <c r="AW91" s="365">
        <f t="shared" ca="1" si="19"/>
        <v>0</v>
      </c>
      <c r="AX91" s="365">
        <f t="shared" ca="1" si="19"/>
        <v>0</v>
      </c>
      <c r="AY91" s="365">
        <f t="shared" ca="1" si="19"/>
        <v>0</v>
      </c>
      <c r="AZ91" s="365">
        <f t="shared" ref="AZ91:DF96" ca="1" si="21">IF($A91&gt;AZ$5,"",OFFSET(AZ$54,0,-($A91-1)))</f>
        <v>0</v>
      </c>
      <c r="BA91" s="365">
        <f t="shared" ca="1" si="21"/>
        <v>0</v>
      </c>
      <c r="BB91" s="365">
        <f t="shared" ca="1" si="21"/>
        <v>0</v>
      </c>
      <c r="BC91" s="365">
        <f t="shared" ca="1" si="21"/>
        <v>0</v>
      </c>
      <c r="BD91" s="365">
        <f t="shared" ca="1" si="21"/>
        <v>0</v>
      </c>
      <c r="BE91" s="365">
        <f t="shared" ca="1" si="21"/>
        <v>0</v>
      </c>
      <c r="BF91" s="365">
        <f t="shared" ca="1" si="21"/>
        <v>0</v>
      </c>
      <c r="BG91" s="365">
        <f t="shared" ca="1" si="21"/>
        <v>0</v>
      </c>
      <c r="BH91" s="365">
        <f t="shared" ca="1" si="21"/>
        <v>0</v>
      </c>
      <c r="BI91" s="365">
        <f t="shared" ca="1" si="21"/>
        <v>0</v>
      </c>
    </row>
    <row r="92" spans="1:61" outlineLevel="1" x14ac:dyDescent="0.15">
      <c r="A92" s="375">
        <v>38</v>
      </c>
      <c r="B92" s="365" t="str">
        <f t="shared" ca="1" si="20"/>
        <v/>
      </c>
      <c r="C92" s="365" t="str">
        <f t="shared" ca="1" si="20"/>
        <v/>
      </c>
      <c r="D92" s="365" t="str">
        <f t="shared" ca="1" si="20"/>
        <v/>
      </c>
      <c r="E92" s="365" t="str">
        <f t="shared" ca="1" si="20"/>
        <v/>
      </c>
      <c r="F92" s="365" t="str">
        <f t="shared" ca="1" si="20"/>
        <v/>
      </c>
      <c r="G92" s="365" t="str">
        <f t="shared" ca="1" si="20"/>
        <v/>
      </c>
      <c r="H92" s="365" t="str">
        <f t="shared" ca="1" si="20"/>
        <v/>
      </c>
      <c r="I92" s="365" t="str">
        <f t="shared" ca="1" si="20"/>
        <v/>
      </c>
      <c r="J92" s="365" t="str">
        <f t="shared" ca="1" si="20"/>
        <v/>
      </c>
      <c r="K92" s="365" t="str">
        <f t="shared" ca="1" si="20"/>
        <v/>
      </c>
      <c r="L92" s="365" t="str">
        <f t="shared" ca="1" si="20"/>
        <v/>
      </c>
      <c r="M92" s="365" t="str">
        <f t="shared" ca="1" si="20"/>
        <v/>
      </c>
      <c r="N92" s="365" t="str">
        <f t="shared" ca="1" si="20"/>
        <v/>
      </c>
      <c r="O92" s="365" t="str">
        <f t="shared" ca="1" si="20"/>
        <v/>
      </c>
      <c r="P92" s="365" t="str">
        <f t="shared" ca="1" si="20"/>
        <v/>
      </c>
      <c r="Q92" s="365" t="str">
        <f t="shared" ca="1" si="20"/>
        <v/>
      </c>
      <c r="R92" s="365" t="str">
        <f t="shared" ref="R92:BX97" ca="1" si="22">IF($A92&gt;R$5,"",OFFSET(R$54,0,-($A92-1)))</f>
        <v/>
      </c>
      <c r="S92" s="365" t="str">
        <f t="shared" ca="1" si="22"/>
        <v/>
      </c>
      <c r="T92" s="365" t="str">
        <f t="shared" ca="1" si="22"/>
        <v/>
      </c>
      <c r="U92" s="365" t="str">
        <f t="shared" ca="1" si="22"/>
        <v/>
      </c>
      <c r="V92" s="365" t="str">
        <f t="shared" ca="1" si="22"/>
        <v/>
      </c>
      <c r="W92" s="365" t="str">
        <f t="shared" ca="1" si="22"/>
        <v/>
      </c>
      <c r="X92" s="365" t="str">
        <f t="shared" ca="1" si="22"/>
        <v/>
      </c>
      <c r="Y92" s="365" t="str">
        <f t="shared" ca="1" si="22"/>
        <v/>
      </c>
      <c r="Z92" s="365" t="str">
        <f t="shared" ca="1" si="22"/>
        <v/>
      </c>
      <c r="AA92" s="365" t="str">
        <f t="shared" ca="1" si="22"/>
        <v/>
      </c>
      <c r="AB92" s="365" t="str">
        <f t="shared" ca="1" si="22"/>
        <v/>
      </c>
      <c r="AC92" s="365" t="str">
        <f t="shared" ca="1" si="22"/>
        <v/>
      </c>
      <c r="AD92" s="365" t="str">
        <f t="shared" ca="1" si="22"/>
        <v/>
      </c>
      <c r="AE92" s="365" t="str">
        <f t="shared" ca="1" si="22"/>
        <v/>
      </c>
      <c r="AF92" s="365" t="str">
        <f t="shared" ca="1" si="22"/>
        <v/>
      </c>
      <c r="AG92" s="365" t="str">
        <f t="shared" ca="1" si="22"/>
        <v/>
      </c>
      <c r="AH92" s="365" t="str">
        <f t="shared" ca="1" si="22"/>
        <v/>
      </c>
      <c r="AI92" s="365" t="str">
        <f t="shared" ca="1" si="22"/>
        <v/>
      </c>
      <c r="AJ92" s="365" t="str">
        <f t="shared" ca="1" si="22"/>
        <v/>
      </c>
      <c r="AK92" s="365" t="str">
        <f t="shared" ca="1" si="22"/>
        <v/>
      </c>
      <c r="AL92" s="365" t="str">
        <f t="shared" ca="1" si="22"/>
        <v/>
      </c>
      <c r="AM92" s="365">
        <f t="shared" ca="1" si="22"/>
        <v>0</v>
      </c>
      <c r="AN92" s="365">
        <f t="shared" ca="1" si="22"/>
        <v>0</v>
      </c>
      <c r="AO92" s="365">
        <f t="shared" ca="1" si="22"/>
        <v>0</v>
      </c>
      <c r="AP92" s="365">
        <f t="shared" ca="1" si="22"/>
        <v>0</v>
      </c>
      <c r="AQ92" s="365">
        <f t="shared" ca="1" si="22"/>
        <v>0</v>
      </c>
      <c r="AR92" s="365">
        <f t="shared" ca="1" si="22"/>
        <v>0</v>
      </c>
      <c r="AS92" s="365" t="e">
        <f t="shared" ca="1" si="22"/>
        <v>#REF!</v>
      </c>
      <c r="AT92" s="365" t="e">
        <f t="shared" ca="1" si="22"/>
        <v>#REF!</v>
      </c>
      <c r="AU92" s="365" t="e">
        <f t="shared" ca="1" si="22"/>
        <v>#REF!</v>
      </c>
      <c r="AV92" s="365">
        <f t="shared" ca="1" si="22"/>
        <v>0</v>
      </c>
      <c r="AW92" s="365">
        <f t="shared" ca="1" si="22"/>
        <v>0</v>
      </c>
      <c r="AX92" s="365">
        <f t="shared" ca="1" si="22"/>
        <v>0</v>
      </c>
      <c r="AY92" s="365">
        <f t="shared" ca="1" si="22"/>
        <v>0</v>
      </c>
      <c r="AZ92" s="365">
        <f t="shared" ca="1" si="22"/>
        <v>0</v>
      </c>
      <c r="BA92" s="365">
        <f t="shared" ca="1" si="22"/>
        <v>0</v>
      </c>
      <c r="BB92" s="365">
        <f t="shared" ca="1" si="22"/>
        <v>0</v>
      </c>
      <c r="BC92" s="365">
        <f t="shared" ca="1" si="22"/>
        <v>0</v>
      </c>
      <c r="BD92" s="365">
        <f t="shared" ca="1" si="22"/>
        <v>0</v>
      </c>
      <c r="BE92" s="365">
        <f t="shared" ca="1" si="22"/>
        <v>0</v>
      </c>
      <c r="BF92" s="365">
        <f t="shared" ca="1" si="22"/>
        <v>0</v>
      </c>
      <c r="BG92" s="365">
        <f t="shared" ca="1" si="22"/>
        <v>0</v>
      </c>
      <c r="BH92" s="365">
        <f t="shared" ca="1" si="22"/>
        <v>0</v>
      </c>
      <c r="BI92" s="365">
        <f t="shared" ca="1" si="22"/>
        <v>0</v>
      </c>
    </row>
    <row r="93" spans="1:61" outlineLevel="1" x14ac:dyDescent="0.15">
      <c r="A93" s="375">
        <v>39</v>
      </c>
      <c r="B93" s="365" t="str">
        <f t="shared" ca="1" si="20"/>
        <v/>
      </c>
      <c r="C93" s="365" t="str">
        <f t="shared" ca="1" si="20"/>
        <v/>
      </c>
      <c r="D93" s="365" t="str">
        <f t="shared" ca="1" si="20"/>
        <v/>
      </c>
      <c r="E93" s="365" t="str">
        <f t="shared" ca="1" si="20"/>
        <v/>
      </c>
      <c r="F93" s="365" t="str">
        <f t="shared" ca="1" si="20"/>
        <v/>
      </c>
      <c r="G93" s="365" t="str">
        <f t="shared" ca="1" si="20"/>
        <v/>
      </c>
      <c r="H93" s="365" t="str">
        <f t="shared" ca="1" si="20"/>
        <v/>
      </c>
      <c r="I93" s="365" t="str">
        <f t="shared" ca="1" si="20"/>
        <v/>
      </c>
      <c r="J93" s="365" t="str">
        <f t="shared" ca="1" si="20"/>
        <v/>
      </c>
      <c r="K93" s="365" t="str">
        <f t="shared" ca="1" si="20"/>
        <v/>
      </c>
      <c r="L93" s="365" t="str">
        <f t="shared" ca="1" si="20"/>
        <v/>
      </c>
      <c r="M93" s="365" t="str">
        <f t="shared" ca="1" si="20"/>
        <v/>
      </c>
      <c r="N93" s="365" t="str">
        <f t="shared" ca="1" si="20"/>
        <v/>
      </c>
      <c r="O93" s="365" t="str">
        <f t="shared" ca="1" si="20"/>
        <v/>
      </c>
      <c r="P93" s="365" t="str">
        <f t="shared" ca="1" si="20"/>
        <v/>
      </c>
      <c r="Q93" s="365" t="str">
        <f t="shared" ca="1" si="20"/>
        <v/>
      </c>
      <c r="R93" s="365" t="str">
        <f t="shared" ca="1" si="22"/>
        <v/>
      </c>
      <c r="S93" s="365" t="str">
        <f t="shared" ca="1" si="22"/>
        <v/>
      </c>
      <c r="T93" s="365" t="str">
        <f t="shared" ca="1" si="22"/>
        <v/>
      </c>
      <c r="U93" s="365" t="str">
        <f t="shared" ca="1" si="22"/>
        <v/>
      </c>
      <c r="V93" s="365" t="str">
        <f t="shared" ca="1" si="22"/>
        <v/>
      </c>
      <c r="W93" s="365" t="str">
        <f t="shared" ca="1" si="22"/>
        <v/>
      </c>
      <c r="X93" s="365" t="str">
        <f t="shared" ca="1" si="22"/>
        <v/>
      </c>
      <c r="Y93" s="365" t="str">
        <f t="shared" ca="1" si="22"/>
        <v/>
      </c>
      <c r="Z93" s="365" t="str">
        <f t="shared" ca="1" si="22"/>
        <v/>
      </c>
      <c r="AA93" s="365" t="str">
        <f t="shared" ca="1" si="22"/>
        <v/>
      </c>
      <c r="AB93" s="365" t="str">
        <f t="shared" ca="1" si="22"/>
        <v/>
      </c>
      <c r="AC93" s="365" t="str">
        <f t="shared" ca="1" si="22"/>
        <v/>
      </c>
      <c r="AD93" s="365" t="str">
        <f t="shared" ca="1" si="22"/>
        <v/>
      </c>
      <c r="AE93" s="365" t="str">
        <f t="shared" ca="1" si="22"/>
        <v/>
      </c>
      <c r="AF93" s="365" t="str">
        <f t="shared" ca="1" si="22"/>
        <v/>
      </c>
      <c r="AG93" s="365" t="str">
        <f t="shared" ca="1" si="22"/>
        <v/>
      </c>
      <c r="AH93" s="365" t="str">
        <f t="shared" ca="1" si="22"/>
        <v/>
      </c>
      <c r="AI93" s="365" t="str">
        <f t="shared" ca="1" si="22"/>
        <v/>
      </c>
      <c r="AJ93" s="365" t="str">
        <f t="shared" ca="1" si="22"/>
        <v/>
      </c>
      <c r="AK93" s="365" t="str">
        <f t="shared" ca="1" si="22"/>
        <v/>
      </c>
      <c r="AL93" s="365" t="str">
        <f t="shared" ca="1" si="22"/>
        <v/>
      </c>
      <c r="AM93" s="365" t="str">
        <f t="shared" ca="1" si="22"/>
        <v/>
      </c>
      <c r="AN93" s="365">
        <f t="shared" ca="1" si="22"/>
        <v>0</v>
      </c>
      <c r="AO93" s="365">
        <f t="shared" ca="1" si="22"/>
        <v>0</v>
      </c>
      <c r="AP93" s="365">
        <f t="shared" ca="1" si="22"/>
        <v>0</v>
      </c>
      <c r="AQ93" s="365">
        <f t="shared" ca="1" si="22"/>
        <v>0</v>
      </c>
      <c r="AR93" s="365">
        <f t="shared" ca="1" si="22"/>
        <v>0</v>
      </c>
      <c r="AS93" s="365">
        <f t="shared" ca="1" si="22"/>
        <v>0</v>
      </c>
      <c r="AT93" s="365" t="e">
        <f t="shared" ca="1" si="22"/>
        <v>#REF!</v>
      </c>
      <c r="AU93" s="365" t="e">
        <f t="shared" ca="1" si="22"/>
        <v>#REF!</v>
      </c>
      <c r="AV93" s="365" t="e">
        <f t="shared" ca="1" si="22"/>
        <v>#REF!</v>
      </c>
      <c r="AW93" s="365">
        <f t="shared" ca="1" si="22"/>
        <v>0</v>
      </c>
      <c r="AX93" s="365">
        <f t="shared" ca="1" si="22"/>
        <v>0</v>
      </c>
      <c r="AY93" s="365">
        <f t="shared" ca="1" si="22"/>
        <v>0</v>
      </c>
      <c r="AZ93" s="365">
        <f t="shared" ca="1" si="22"/>
        <v>0</v>
      </c>
      <c r="BA93" s="365">
        <f t="shared" ca="1" si="22"/>
        <v>0</v>
      </c>
      <c r="BB93" s="365">
        <f t="shared" ca="1" si="22"/>
        <v>0</v>
      </c>
      <c r="BC93" s="365">
        <f t="shared" ca="1" si="22"/>
        <v>0</v>
      </c>
      <c r="BD93" s="365">
        <f t="shared" ca="1" si="22"/>
        <v>0</v>
      </c>
      <c r="BE93" s="365">
        <f t="shared" ca="1" si="22"/>
        <v>0</v>
      </c>
      <c r="BF93" s="365">
        <f t="shared" ca="1" si="22"/>
        <v>0</v>
      </c>
      <c r="BG93" s="365">
        <f t="shared" ca="1" si="22"/>
        <v>0</v>
      </c>
      <c r="BH93" s="365">
        <f t="shared" ca="1" si="22"/>
        <v>0</v>
      </c>
      <c r="BI93" s="365">
        <f t="shared" ca="1" si="22"/>
        <v>0</v>
      </c>
    </row>
    <row r="94" spans="1:61" outlineLevel="1" x14ac:dyDescent="0.15">
      <c r="A94" s="375">
        <v>40</v>
      </c>
      <c r="B94" s="365" t="str">
        <f t="shared" ca="1" si="20"/>
        <v/>
      </c>
      <c r="C94" s="365" t="str">
        <f t="shared" ca="1" si="20"/>
        <v/>
      </c>
      <c r="D94" s="365" t="str">
        <f t="shared" ca="1" si="20"/>
        <v/>
      </c>
      <c r="E94" s="365" t="str">
        <f t="shared" ca="1" si="20"/>
        <v/>
      </c>
      <c r="F94" s="365" t="str">
        <f t="shared" ca="1" si="20"/>
        <v/>
      </c>
      <c r="G94" s="365" t="str">
        <f t="shared" ca="1" si="20"/>
        <v/>
      </c>
      <c r="H94" s="365" t="str">
        <f t="shared" ca="1" si="20"/>
        <v/>
      </c>
      <c r="I94" s="365" t="str">
        <f t="shared" ca="1" si="20"/>
        <v/>
      </c>
      <c r="J94" s="365" t="str">
        <f t="shared" ca="1" si="20"/>
        <v/>
      </c>
      <c r="K94" s="365" t="str">
        <f t="shared" ca="1" si="20"/>
        <v/>
      </c>
      <c r="L94" s="365" t="str">
        <f t="shared" ca="1" si="20"/>
        <v/>
      </c>
      <c r="M94" s="365" t="str">
        <f t="shared" ca="1" si="20"/>
        <v/>
      </c>
      <c r="N94" s="365" t="str">
        <f t="shared" ca="1" si="20"/>
        <v/>
      </c>
      <c r="O94" s="365" t="str">
        <f t="shared" ca="1" si="20"/>
        <v/>
      </c>
      <c r="P94" s="365" t="str">
        <f t="shared" ca="1" si="20"/>
        <v/>
      </c>
      <c r="Q94" s="365" t="str">
        <f t="shared" ca="1" si="20"/>
        <v/>
      </c>
      <c r="R94" s="365" t="str">
        <f t="shared" ca="1" si="22"/>
        <v/>
      </c>
      <c r="S94" s="365" t="str">
        <f t="shared" ca="1" si="22"/>
        <v/>
      </c>
      <c r="T94" s="365" t="str">
        <f t="shared" ca="1" si="22"/>
        <v/>
      </c>
      <c r="U94" s="365" t="str">
        <f t="shared" ca="1" si="22"/>
        <v/>
      </c>
      <c r="V94" s="365" t="str">
        <f t="shared" ca="1" si="22"/>
        <v/>
      </c>
      <c r="W94" s="365" t="str">
        <f t="shared" ca="1" si="22"/>
        <v/>
      </c>
      <c r="X94" s="365" t="str">
        <f t="shared" ca="1" si="22"/>
        <v/>
      </c>
      <c r="Y94" s="365" t="str">
        <f t="shared" ca="1" si="22"/>
        <v/>
      </c>
      <c r="Z94" s="365" t="str">
        <f t="shared" ca="1" si="22"/>
        <v/>
      </c>
      <c r="AA94" s="365" t="str">
        <f t="shared" ca="1" si="22"/>
        <v/>
      </c>
      <c r="AB94" s="365" t="str">
        <f t="shared" ca="1" si="22"/>
        <v/>
      </c>
      <c r="AC94" s="365" t="str">
        <f t="shared" ca="1" si="22"/>
        <v/>
      </c>
      <c r="AD94" s="365" t="str">
        <f t="shared" ca="1" si="22"/>
        <v/>
      </c>
      <c r="AE94" s="365" t="str">
        <f t="shared" ca="1" si="22"/>
        <v/>
      </c>
      <c r="AF94" s="365" t="str">
        <f t="shared" ca="1" si="22"/>
        <v/>
      </c>
      <c r="AG94" s="365" t="str">
        <f t="shared" ca="1" si="22"/>
        <v/>
      </c>
      <c r="AH94" s="365" t="str">
        <f t="shared" ca="1" si="22"/>
        <v/>
      </c>
      <c r="AI94" s="365" t="str">
        <f t="shared" ca="1" si="22"/>
        <v/>
      </c>
      <c r="AJ94" s="365" t="str">
        <f t="shared" ca="1" si="22"/>
        <v/>
      </c>
      <c r="AK94" s="365" t="str">
        <f t="shared" ca="1" si="22"/>
        <v/>
      </c>
      <c r="AL94" s="365" t="str">
        <f t="shared" ca="1" si="22"/>
        <v/>
      </c>
      <c r="AM94" s="365" t="str">
        <f t="shared" ca="1" si="22"/>
        <v/>
      </c>
      <c r="AN94" s="365" t="str">
        <f t="shared" ca="1" si="22"/>
        <v/>
      </c>
      <c r="AO94" s="365">
        <f t="shared" ca="1" si="22"/>
        <v>0</v>
      </c>
      <c r="AP94" s="365">
        <f t="shared" ca="1" si="22"/>
        <v>0</v>
      </c>
      <c r="AQ94" s="365">
        <f t="shared" ca="1" si="22"/>
        <v>0</v>
      </c>
      <c r="AR94" s="365">
        <f t="shared" ca="1" si="22"/>
        <v>0</v>
      </c>
      <c r="AS94" s="365">
        <f t="shared" ca="1" si="22"/>
        <v>0</v>
      </c>
      <c r="AT94" s="365">
        <f t="shared" ca="1" si="22"/>
        <v>0</v>
      </c>
      <c r="AU94" s="365" t="e">
        <f t="shared" ca="1" si="22"/>
        <v>#REF!</v>
      </c>
      <c r="AV94" s="365" t="e">
        <f t="shared" ca="1" si="22"/>
        <v>#REF!</v>
      </c>
      <c r="AW94" s="365" t="e">
        <f t="shared" ca="1" si="22"/>
        <v>#REF!</v>
      </c>
      <c r="AX94" s="365">
        <f t="shared" ca="1" si="22"/>
        <v>0</v>
      </c>
      <c r="AY94" s="365">
        <f t="shared" ca="1" si="22"/>
        <v>0</v>
      </c>
      <c r="AZ94" s="365">
        <f t="shared" ca="1" si="22"/>
        <v>0</v>
      </c>
      <c r="BA94" s="365">
        <f t="shared" ca="1" si="22"/>
        <v>0</v>
      </c>
      <c r="BB94" s="365">
        <f t="shared" ca="1" si="22"/>
        <v>0</v>
      </c>
      <c r="BC94" s="365">
        <f t="shared" ca="1" si="22"/>
        <v>0</v>
      </c>
      <c r="BD94" s="365">
        <f t="shared" ca="1" si="22"/>
        <v>0</v>
      </c>
      <c r="BE94" s="365">
        <f t="shared" ca="1" si="22"/>
        <v>0</v>
      </c>
      <c r="BF94" s="365">
        <f t="shared" ca="1" si="22"/>
        <v>0</v>
      </c>
      <c r="BG94" s="365">
        <f t="shared" ca="1" si="22"/>
        <v>0</v>
      </c>
      <c r="BH94" s="365">
        <f t="shared" ca="1" si="22"/>
        <v>0</v>
      </c>
      <c r="BI94" s="365">
        <f t="shared" ca="1" si="22"/>
        <v>0</v>
      </c>
    </row>
    <row r="95" spans="1:61" outlineLevel="1" x14ac:dyDescent="0.15">
      <c r="A95" s="375">
        <v>41</v>
      </c>
      <c r="B95" s="365" t="str">
        <f t="shared" ca="1" si="20"/>
        <v/>
      </c>
      <c r="C95" s="365" t="str">
        <f t="shared" ca="1" si="20"/>
        <v/>
      </c>
      <c r="D95" s="365" t="str">
        <f t="shared" ca="1" si="20"/>
        <v/>
      </c>
      <c r="E95" s="365" t="str">
        <f t="shared" ca="1" si="20"/>
        <v/>
      </c>
      <c r="F95" s="365" t="str">
        <f t="shared" ca="1" si="20"/>
        <v/>
      </c>
      <c r="G95" s="365" t="str">
        <f t="shared" ca="1" si="20"/>
        <v/>
      </c>
      <c r="H95" s="365" t="str">
        <f t="shared" ca="1" si="20"/>
        <v/>
      </c>
      <c r="I95" s="365" t="str">
        <f t="shared" ca="1" si="20"/>
        <v/>
      </c>
      <c r="J95" s="365" t="str">
        <f t="shared" ca="1" si="20"/>
        <v/>
      </c>
      <c r="K95" s="365" t="str">
        <f t="shared" ca="1" si="20"/>
        <v/>
      </c>
      <c r="L95" s="365" t="str">
        <f t="shared" ca="1" si="20"/>
        <v/>
      </c>
      <c r="M95" s="365" t="str">
        <f t="shared" ca="1" si="20"/>
        <v/>
      </c>
      <c r="N95" s="365" t="str">
        <f t="shared" ca="1" si="20"/>
        <v/>
      </c>
      <c r="O95" s="365" t="str">
        <f t="shared" ca="1" si="20"/>
        <v/>
      </c>
      <c r="P95" s="365" t="str">
        <f t="shared" ca="1" si="20"/>
        <v/>
      </c>
      <c r="Q95" s="365" t="str">
        <f t="shared" ca="1" si="20"/>
        <v/>
      </c>
      <c r="R95" s="365" t="str">
        <f t="shared" ca="1" si="22"/>
        <v/>
      </c>
      <c r="S95" s="365" t="str">
        <f t="shared" ca="1" si="22"/>
        <v/>
      </c>
      <c r="T95" s="365" t="str">
        <f t="shared" ca="1" si="22"/>
        <v/>
      </c>
      <c r="U95" s="365" t="str">
        <f t="shared" ca="1" si="22"/>
        <v/>
      </c>
      <c r="V95" s="365" t="str">
        <f t="shared" ca="1" si="22"/>
        <v/>
      </c>
      <c r="W95" s="365" t="str">
        <f t="shared" ca="1" si="22"/>
        <v/>
      </c>
      <c r="X95" s="365" t="str">
        <f t="shared" ca="1" si="22"/>
        <v/>
      </c>
      <c r="Y95" s="365" t="str">
        <f t="shared" ca="1" si="22"/>
        <v/>
      </c>
      <c r="Z95" s="365" t="str">
        <f t="shared" ca="1" si="22"/>
        <v/>
      </c>
      <c r="AA95" s="365" t="str">
        <f t="shared" ca="1" si="22"/>
        <v/>
      </c>
      <c r="AB95" s="365" t="str">
        <f t="shared" ca="1" si="22"/>
        <v/>
      </c>
      <c r="AC95" s="365" t="str">
        <f t="shared" ca="1" si="22"/>
        <v/>
      </c>
      <c r="AD95" s="365" t="str">
        <f t="shared" ca="1" si="22"/>
        <v/>
      </c>
      <c r="AE95" s="365" t="str">
        <f t="shared" ca="1" si="22"/>
        <v/>
      </c>
      <c r="AF95" s="365" t="str">
        <f t="shared" ca="1" si="22"/>
        <v/>
      </c>
      <c r="AG95" s="365" t="str">
        <f t="shared" ca="1" si="22"/>
        <v/>
      </c>
      <c r="AH95" s="365" t="str">
        <f t="shared" ca="1" si="22"/>
        <v/>
      </c>
      <c r="AI95" s="365" t="str">
        <f t="shared" ca="1" si="22"/>
        <v/>
      </c>
      <c r="AJ95" s="365" t="str">
        <f t="shared" ca="1" si="22"/>
        <v/>
      </c>
      <c r="AK95" s="365" t="str">
        <f t="shared" ca="1" si="22"/>
        <v/>
      </c>
      <c r="AL95" s="365" t="str">
        <f t="shared" ca="1" si="22"/>
        <v/>
      </c>
      <c r="AM95" s="365" t="str">
        <f t="shared" ca="1" si="22"/>
        <v/>
      </c>
      <c r="AN95" s="365" t="str">
        <f t="shared" ca="1" si="22"/>
        <v/>
      </c>
      <c r="AO95" s="365" t="str">
        <f t="shared" ca="1" si="22"/>
        <v/>
      </c>
      <c r="AP95" s="365">
        <f t="shared" ca="1" si="22"/>
        <v>0</v>
      </c>
      <c r="AQ95" s="365">
        <f t="shared" ca="1" si="22"/>
        <v>0</v>
      </c>
      <c r="AR95" s="365">
        <f t="shared" ca="1" si="22"/>
        <v>0</v>
      </c>
      <c r="AS95" s="365">
        <f t="shared" ca="1" si="22"/>
        <v>0</v>
      </c>
      <c r="AT95" s="365">
        <f t="shared" ca="1" si="22"/>
        <v>0</v>
      </c>
      <c r="AU95" s="365">
        <f t="shared" ca="1" si="22"/>
        <v>0</v>
      </c>
      <c r="AV95" s="365" t="e">
        <f t="shared" ca="1" si="22"/>
        <v>#REF!</v>
      </c>
      <c r="AW95" s="365" t="e">
        <f t="shared" ca="1" si="22"/>
        <v>#REF!</v>
      </c>
      <c r="AX95" s="365" t="e">
        <f t="shared" ca="1" si="22"/>
        <v>#REF!</v>
      </c>
      <c r="AY95" s="365">
        <f t="shared" ca="1" si="22"/>
        <v>0</v>
      </c>
      <c r="AZ95" s="365">
        <f t="shared" ca="1" si="22"/>
        <v>0</v>
      </c>
      <c r="BA95" s="365">
        <f t="shared" ca="1" si="22"/>
        <v>0</v>
      </c>
      <c r="BB95" s="365">
        <f t="shared" ca="1" si="22"/>
        <v>0</v>
      </c>
      <c r="BC95" s="365">
        <f t="shared" ca="1" si="22"/>
        <v>0</v>
      </c>
      <c r="BD95" s="365">
        <f t="shared" ca="1" si="22"/>
        <v>0</v>
      </c>
      <c r="BE95" s="365">
        <f t="shared" ca="1" si="22"/>
        <v>0</v>
      </c>
      <c r="BF95" s="365">
        <f t="shared" ca="1" si="22"/>
        <v>0</v>
      </c>
      <c r="BG95" s="365">
        <f t="shared" ca="1" si="22"/>
        <v>0</v>
      </c>
      <c r="BH95" s="365">
        <f t="shared" ca="1" si="22"/>
        <v>0</v>
      </c>
      <c r="BI95" s="365">
        <f t="shared" ca="1" si="22"/>
        <v>0</v>
      </c>
    </row>
    <row r="96" spans="1:61" outlineLevel="1" x14ac:dyDescent="0.15">
      <c r="A96" s="375">
        <v>42</v>
      </c>
      <c r="B96" s="365" t="str">
        <f t="shared" ca="1" si="20"/>
        <v/>
      </c>
      <c r="C96" s="365" t="str">
        <f t="shared" ca="1" si="20"/>
        <v/>
      </c>
      <c r="D96" s="365" t="str">
        <f t="shared" ca="1" si="20"/>
        <v/>
      </c>
      <c r="E96" s="365" t="str">
        <f t="shared" ca="1" si="20"/>
        <v/>
      </c>
      <c r="F96" s="365" t="str">
        <f t="shared" ca="1" si="20"/>
        <v/>
      </c>
      <c r="G96" s="365" t="str">
        <f t="shared" ca="1" si="20"/>
        <v/>
      </c>
      <c r="H96" s="365" t="str">
        <f t="shared" ca="1" si="20"/>
        <v/>
      </c>
      <c r="I96" s="365" t="str">
        <f t="shared" ca="1" si="20"/>
        <v/>
      </c>
      <c r="J96" s="365" t="str">
        <f t="shared" ca="1" si="20"/>
        <v/>
      </c>
      <c r="K96" s="365" t="str">
        <f t="shared" ca="1" si="20"/>
        <v/>
      </c>
      <c r="L96" s="365" t="str">
        <f t="shared" ca="1" si="20"/>
        <v/>
      </c>
      <c r="M96" s="365" t="str">
        <f t="shared" ca="1" si="20"/>
        <v/>
      </c>
      <c r="N96" s="365" t="str">
        <f t="shared" ca="1" si="20"/>
        <v/>
      </c>
      <c r="O96" s="365" t="str">
        <f t="shared" ca="1" si="20"/>
        <v/>
      </c>
      <c r="P96" s="365" t="str">
        <f t="shared" ca="1" si="20"/>
        <v/>
      </c>
      <c r="Q96" s="365" t="str">
        <f t="shared" ca="1" si="20"/>
        <v/>
      </c>
      <c r="R96" s="365" t="str">
        <f t="shared" ca="1" si="22"/>
        <v/>
      </c>
      <c r="S96" s="365" t="str">
        <f t="shared" ca="1" si="22"/>
        <v/>
      </c>
      <c r="T96" s="365" t="str">
        <f t="shared" ca="1" si="22"/>
        <v/>
      </c>
      <c r="U96" s="365" t="str">
        <f t="shared" ca="1" si="22"/>
        <v/>
      </c>
      <c r="V96" s="365" t="str">
        <f t="shared" ca="1" si="22"/>
        <v/>
      </c>
      <c r="W96" s="365" t="str">
        <f t="shared" ca="1" si="22"/>
        <v/>
      </c>
      <c r="X96" s="365" t="str">
        <f t="shared" ca="1" si="22"/>
        <v/>
      </c>
      <c r="Y96" s="365" t="str">
        <f t="shared" ca="1" si="22"/>
        <v/>
      </c>
      <c r="Z96" s="365" t="str">
        <f t="shared" ca="1" si="22"/>
        <v/>
      </c>
      <c r="AA96" s="365" t="str">
        <f t="shared" ca="1" si="22"/>
        <v/>
      </c>
      <c r="AB96" s="365" t="str">
        <f t="shared" ca="1" si="22"/>
        <v/>
      </c>
      <c r="AC96" s="365" t="str">
        <f t="shared" ca="1" si="22"/>
        <v/>
      </c>
      <c r="AD96" s="365" t="str">
        <f t="shared" ca="1" si="22"/>
        <v/>
      </c>
      <c r="AE96" s="365" t="str">
        <f t="shared" ca="1" si="22"/>
        <v/>
      </c>
      <c r="AF96" s="365" t="str">
        <f t="shared" ca="1" si="22"/>
        <v/>
      </c>
      <c r="AG96" s="365" t="str">
        <f t="shared" ca="1" si="22"/>
        <v/>
      </c>
      <c r="AH96" s="365" t="str">
        <f t="shared" ca="1" si="22"/>
        <v/>
      </c>
      <c r="AI96" s="365" t="str">
        <f t="shared" ca="1" si="22"/>
        <v/>
      </c>
      <c r="AJ96" s="365" t="str">
        <f t="shared" ca="1" si="22"/>
        <v/>
      </c>
      <c r="AK96" s="365" t="str">
        <f t="shared" ca="1" si="22"/>
        <v/>
      </c>
      <c r="AL96" s="365" t="str">
        <f t="shared" ca="1" si="22"/>
        <v/>
      </c>
      <c r="AM96" s="365" t="str">
        <f t="shared" ca="1" si="22"/>
        <v/>
      </c>
      <c r="AN96" s="365" t="str">
        <f t="shared" ca="1" si="22"/>
        <v/>
      </c>
      <c r="AO96" s="365" t="str">
        <f t="shared" ca="1" si="22"/>
        <v/>
      </c>
      <c r="AP96" s="365" t="str">
        <f t="shared" ca="1" si="22"/>
        <v/>
      </c>
      <c r="AQ96" s="365">
        <f t="shared" ca="1" si="22"/>
        <v>0</v>
      </c>
      <c r="AR96" s="365">
        <f t="shared" ca="1" si="22"/>
        <v>0</v>
      </c>
      <c r="AS96" s="365">
        <f t="shared" ca="1" si="22"/>
        <v>0</v>
      </c>
      <c r="AT96" s="365">
        <f t="shared" ca="1" si="22"/>
        <v>0</v>
      </c>
      <c r="AU96" s="365">
        <f t="shared" ca="1" si="22"/>
        <v>0</v>
      </c>
      <c r="AV96" s="365">
        <f t="shared" ca="1" si="22"/>
        <v>0</v>
      </c>
      <c r="AW96" s="365" t="e">
        <f t="shared" ca="1" si="22"/>
        <v>#REF!</v>
      </c>
      <c r="AX96" s="365" t="e">
        <f t="shared" ca="1" si="22"/>
        <v>#REF!</v>
      </c>
      <c r="AY96" s="365" t="e">
        <f t="shared" ca="1" si="22"/>
        <v>#REF!</v>
      </c>
      <c r="AZ96" s="365">
        <f t="shared" ca="1" si="22"/>
        <v>0</v>
      </c>
      <c r="BA96" s="365">
        <f t="shared" ca="1" si="22"/>
        <v>0</v>
      </c>
      <c r="BB96" s="365">
        <f t="shared" ca="1" si="22"/>
        <v>0</v>
      </c>
      <c r="BC96" s="365">
        <f t="shared" ca="1" si="22"/>
        <v>0</v>
      </c>
      <c r="BD96" s="365">
        <f t="shared" ca="1" si="22"/>
        <v>0</v>
      </c>
      <c r="BE96" s="365">
        <f t="shared" ca="1" si="22"/>
        <v>0</v>
      </c>
      <c r="BF96" s="365">
        <f t="shared" ca="1" si="22"/>
        <v>0</v>
      </c>
      <c r="BG96" s="365">
        <f t="shared" ca="1" si="22"/>
        <v>0</v>
      </c>
      <c r="BH96" s="365">
        <f t="shared" ca="1" si="22"/>
        <v>0</v>
      </c>
      <c r="BI96" s="365">
        <f t="shared" ca="1" si="22"/>
        <v>0</v>
      </c>
    </row>
    <row r="97" spans="1:61" outlineLevel="1" x14ac:dyDescent="0.15">
      <c r="A97" s="375">
        <v>43</v>
      </c>
      <c r="B97" s="365" t="str">
        <f t="shared" ca="1" si="20"/>
        <v/>
      </c>
      <c r="C97" s="365" t="str">
        <f t="shared" ca="1" si="20"/>
        <v/>
      </c>
      <c r="D97" s="365" t="str">
        <f t="shared" ca="1" si="20"/>
        <v/>
      </c>
      <c r="E97" s="365" t="str">
        <f t="shared" ca="1" si="20"/>
        <v/>
      </c>
      <c r="F97" s="365" t="str">
        <f t="shared" ca="1" si="20"/>
        <v/>
      </c>
      <c r="G97" s="365" t="str">
        <f t="shared" ca="1" si="20"/>
        <v/>
      </c>
      <c r="H97" s="365" t="str">
        <f t="shared" ca="1" si="20"/>
        <v/>
      </c>
      <c r="I97" s="365" t="str">
        <f t="shared" ca="1" si="20"/>
        <v/>
      </c>
      <c r="J97" s="365" t="str">
        <f t="shared" ca="1" si="20"/>
        <v/>
      </c>
      <c r="K97" s="365" t="str">
        <f t="shared" ca="1" si="20"/>
        <v/>
      </c>
      <c r="L97" s="365" t="str">
        <f t="shared" ca="1" si="20"/>
        <v/>
      </c>
      <c r="M97" s="365" t="str">
        <f t="shared" ca="1" si="20"/>
        <v/>
      </c>
      <c r="N97" s="365" t="str">
        <f t="shared" ca="1" si="20"/>
        <v/>
      </c>
      <c r="O97" s="365" t="str">
        <f t="shared" ca="1" si="20"/>
        <v/>
      </c>
      <c r="P97" s="365" t="str">
        <f t="shared" ca="1" si="20"/>
        <v/>
      </c>
      <c r="Q97" s="365" t="str">
        <f t="shared" ca="1" si="20"/>
        <v/>
      </c>
      <c r="R97" s="365" t="str">
        <f t="shared" ca="1" si="22"/>
        <v/>
      </c>
      <c r="S97" s="365" t="str">
        <f t="shared" ca="1" si="22"/>
        <v/>
      </c>
      <c r="T97" s="365" t="str">
        <f t="shared" ca="1" si="22"/>
        <v/>
      </c>
      <c r="U97" s="365" t="str">
        <f t="shared" ca="1" si="22"/>
        <v/>
      </c>
      <c r="V97" s="365" t="str">
        <f t="shared" ca="1" si="22"/>
        <v/>
      </c>
      <c r="W97" s="365" t="str">
        <f t="shared" ca="1" si="22"/>
        <v/>
      </c>
      <c r="X97" s="365" t="str">
        <f t="shared" ca="1" si="22"/>
        <v/>
      </c>
      <c r="Y97" s="365" t="str">
        <f t="shared" ca="1" si="22"/>
        <v/>
      </c>
      <c r="Z97" s="365" t="str">
        <f t="shared" ca="1" si="22"/>
        <v/>
      </c>
      <c r="AA97" s="365" t="str">
        <f t="shared" ca="1" si="22"/>
        <v/>
      </c>
      <c r="AB97" s="365" t="str">
        <f t="shared" ca="1" si="22"/>
        <v/>
      </c>
      <c r="AC97" s="365" t="str">
        <f t="shared" ca="1" si="22"/>
        <v/>
      </c>
      <c r="AD97" s="365" t="str">
        <f t="shared" ca="1" si="22"/>
        <v/>
      </c>
      <c r="AE97" s="365" t="str">
        <f t="shared" ca="1" si="22"/>
        <v/>
      </c>
      <c r="AF97" s="365" t="str">
        <f t="shared" ca="1" si="22"/>
        <v/>
      </c>
      <c r="AG97" s="365" t="str">
        <f t="shared" ca="1" si="22"/>
        <v/>
      </c>
      <c r="AH97" s="365" t="str">
        <f t="shared" ca="1" si="22"/>
        <v/>
      </c>
      <c r="AI97" s="365" t="str">
        <f t="shared" ca="1" si="22"/>
        <v/>
      </c>
      <c r="AJ97" s="365" t="str">
        <f t="shared" ca="1" si="22"/>
        <v/>
      </c>
      <c r="AK97" s="365" t="str">
        <f t="shared" ca="1" si="22"/>
        <v/>
      </c>
      <c r="AL97" s="365" t="str">
        <f t="shared" ca="1" si="22"/>
        <v/>
      </c>
      <c r="AM97" s="365" t="str">
        <f t="shared" ca="1" si="22"/>
        <v/>
      </c>
      <c r="AN97" s="365" t="str">
        <f t="shared" ca="1" si="22"/>
        <v/>
      </c>
      <c r="AO97" s="365" t="str">
        <f t="shared" ca="1" si="22"/>
        <v/>
      </c>
      <c r="AP97" s="365" t="str">
        <f t="shared" ca="1" si="22"/>
        <v/>
      </c>
      <c r="AQ97" s="365" t="str">
        <f t="shared" ca="1" si="22"/>
        <v/>
      </c>
      <c r="AR97" s="365">
        <f t="shared" ca="1" si="22"/>
        <v>0</v>
      </c>
      <c r="AS97" s="365">
        <f t="shared" ca="1" si="22"/>
        <v>0</v>
      </c>
      <c r="AT97" s="365">
        <f t="shared" ca="1" si="22"/>
        <v>0</v>
      </c>
      <c r="AU97" s="365">
        <f t="shared" ca="1" si="22"/>
        <v>0</v>
      </c>
      <c r="AV97" s="365">
        <f t="shared" ca="1" si="22"/>
        <v>0</v>
      </c>
      <c r="AW97" s="365">
        <f t="shared" ca="1" si="22"/>
        <v>0</v>
      </c>
      <c r="AX97" s="365" t="e">
        <f t="shared" ca="1" si="22"/>
        <v>#REF!</v>
      </c>
      <c r="AY97" s="365" t="e">
        <f t="shared" ca="1" si="22"/>
        <v>#REF!</v>
      </c>
      <c r="AZ97" s="365" t="e">
        <f t="shared" ca="1" si="22"/>
        <v>#REF!</v>
      </c>
      <c r="BA97" s="365">
        <f t="shared" ref="BA97:DG101" ca="1" si="23">IF($A97&gt;BA$5,"",OFFSET(BA$54,0,-($A97-1)))</f>
        <v>0</v>
      </c>
      <c r="BB97" s="365">
        <f t="shared" ca="1" si="23"/>
        <v>0</v>
      </c>
      <c r="BC97" s="365">
        <f t="shared" ca="1" si="23"/>
        <v>0</v>
      </c>
      <c r="BD97" s="365">
        <f t="shared" ca="1" si="23"/>
        <v>0</v>
      </c>
      <c r="BE97" s="365">
        <f t="shared" ca="1" si="23"/>
        <v>0</v>
      </c>
      <c r="BF97" s="365">
        <f t="shared" ca="1" si="23"/>
        <v>0</v>
      </c>
      <c r="BG97" s="365">
        <f t="shared" ca="1" si="23"/>
        <v>0</v>
      </c>
      <c r="BH97" s="365">
        <f t="shared" ca="1" si="23"/>
        <v>0</v>
      </c>
      <c r="BI97" s="365">
        <f t="shared" ca="1" si="23"/>
        <v>0</v>
      </c>
    </row>
    <row r="98" spans="1:61" outlineLevel="1" x14ac:dyDescent="0.15">
      <c r="A98" s="375">
        <v>44</v>
      </c>
      <c r="B98" s="365" t="str">
        <f t="shared" ca="1" si="20"/>
        <v/>
      </c>
      <c r="C98" s="365" t="str">
        <f t="shared" ca="1" si="20"/>
        <v/>
      </c>
      <c r="D98" s="365" t="str">
        <f t="shared" ca="1" si="20"/>
        <v/>
      </c>
      <c r="E98" s="365" t="str">
        <f t="shared" ca="1" si="20"/>
        <v/>
      </c>
      <c r="F98" s="365" t="str">
        <f t="shared" ca="1" si="20"/>
        <v/>
      </c>
      <c r="G98" s="365" t="str">
        <f t="shared" ca="1" si="20"/>
        <v/>
      </c>
      <c r="H98" s="365" t="str">
        <f t="shared" ca="1" si="20"/>
        <v/>
      </c>
      <c r="I98" s="365" t="str">
        <f t="shared" ca="1" si="20"/>
        <v/>
      </c>
      <c r="J98" s="365" t="str">
        <f t="shared" ca="1" si="20"/>
        <v/>
      </c>
      <c r="K98" s="365" t="str">
        <f t="shared" ca="1" si="20"/>
        <v/>
      </c>
      <c r="L98" s="365" t="str">
        <f t="shared" ca="1" si="20"/>
        <v/>
      </c>
      <c r="M98" s="365" t="str">
        <f t="shared" ca="1" si="20"/>
        <v/>
      </c>
      <c r="N98" s="365" t="str">
        <f t="shared" ca="1" si="20"/>
        <v/>
      </c>
      <c r="O98" s="365" t="str">
        <f t="shared" ca="1" si="20"/>
        <v/>
      </c>
      <c r="P98" s="365" t="str">
        <f t="shared" ca="1" si="20"/>
        <v/>
      </c>
      <c r="Q98" s="365" t="str">
        <f t="shared" ca="1" si="20"/>
        <v/>
      </c>
      <c r="R98" s="365" t="str">
        <f t="shared" ref="R98:BX102" ca="1" si="24">IF($A98&gt;R$5,"",OFFSET(R$54,0,-($A98-1)))</f>
        <v/>
      </c>
      <c r="S98" s="365" t="str">
        <f t="shared" ca="1" si="24"/>
        <v/>
      </c>
      <c r="T98" s="365" t="str">
        <f t="shared" ca="1" si="24"/>
        <v/>
      </c>
      <c r="U98" s="365" t="str">
        <f t="shared" ca="1" si="24"/>
        <v/>
      </c>
      <c r="V98" s="365" t="str">
        <f t="shared" ca="1" si="24"/>
        <v/>
      </c>
      <c r="W98" s="365" t="str">
        <f t="shared" ca="1" si="24"/>
        <v/>
      </c>
      <c r="X98" s="365" t="str">
        <f t="shared" ca="1" si="24"/>
        <v/>
      </c>
      <c r="Y98" s="365" t="str">
        <f t="shared" ca="1" si="24"/>
        <v/>
      </c>
      <c r="Z98" s="365" t="str">
        <f t="shared" ca="1" si="24"/>
        <v/>
      </c>
      <c r="AA98" s="365" t="str">
        <f t="shared" ca="1" si="24"/>
        <v/>
      </c>
      <c r="AB98" s="365" t="str">
        <f t="shared" ca="1" si="24"/>
        <v/>
      </c>
      <c r="AC98" s="365" t="str">
        <f t="shared" ca="1" si="24"/>
        <v/>
      </c>
      <c r="AD98" s="365" t="str">
        <f t="shared" ca="1" si="24"/>
        <v/>
      </c>
      <c r="AE98" s="365" t="str">
        <f t="shared" ca="1" si="24"/>
        <v/>
      </c>
      <c r="AF98" s="365" t="str">
        <f t="shared" ca="1" si="24"/>
        <v/>
      </c>
      <c r="AG98" s="365" t="str">
        <f t="shared" ca="1" si="24"/>
        <v/>
      </c>
      <c r="AH98" s="365" t="str">
        <f t="shared" ca="1" si="24"/>
        <v/>
      </c>
      <c r="AI98" s="365" t="str">
        <f t="shared" ca="1" si="24"/>
        <v/>
      </c>
      <c r="AJ98" s="365" t="str">
        <f t="shared" ca="1" si="24"/>
        <v/>
      </c>
      <c r="AK98" s="365" t="str">
        <f t="shared" ca="1" si="24"/>
        <v/>
      </c>
      <c r="AL98" s="365" t="str">
        <f t="shared" ca="1" si="24"/>
        <v/>
      </c>
      <c r="AM98" s="365" t="str">
        <f t="shared" ca="1" si="24"/>
        <v/>
      </c>
      <c r="AN98" s="365" t="str">
        <f t="shared" ca="1" si="24"/>
        <v/>
      </c>
      <c r="AO98" s="365" t="str">
        <f t="shared" ca="1" si="24"/>
        <v/>
      </c>
      <c r="AP98" s="365" t="str">
        <f t="shared" ca="1" si="24"/>
        <v/>
      </c>
      <c r="AQ98" s="365" t="str">
        <f t="shared" ca="1" si="24"/>
        <v/>
      </c>
      <c r="AR98" s="365" t="str">
        <f t="shared" ca="1" si="24"/>
        <v/>
      </c>
      <c r="AS98" s="365">
        <f t="shared" ca="1" si="24"/>
        <v>0</v>
      </c>
      <c r="AT98" s="365">
        <f t="shared" ca="1" si="24"/>
        <v>0</v>
      </c>
      <c r="AU98" s="365">
        <f t="shared" ca="1" si="24"/>
        <v>0</v>
      </c>
      <c r="AV98" s="365">
        <f t="shared" ca="1" si="24"/>
        <v>0</v>
      </c>
      <c r="AW98" s="365">
        <f t="shared" ca="1" si="24"/>
        <v>0</v>
      </c>
      <c r="AX98" s="365">
        <f t="shared" ca="1" si="24"/>
        <v>0</v>
      </c>
      <c r="AY98" s="365" t="e">
        <f t="shared" ca="1" si="24"/>
        <v>#REF!</v>
      </c>
      <c r="AZ98" s="365" t="e">
        <f t="shared" ca="1" si="24"/>
        <v>#REF!</v>
      </c>
      <c r="BA98" s="365" t="e">
        <f t="shared" ca="1" si="24"/>
        <v>#REF!</v>
      </c>
      <c r="BB98" s="365">
        <f t="shared" ca="1" si="24"/>
        <v>0</v>
      </c>
      <c r="BC98" s="365">
        <f t="shared" ca="1" si="24"/>
        <v>0</v>
      </c>
      <c r="BD98" s="365">
        <f t="shared" ca="1" si="24"/>
        <v>0</v>
      </c>
      <c r="BE98" s="365">
        <f t="shared" ca="1" si="24"/>
        <v>0</v>
      </c>
      <c r="BF98" s="365">
        <f t="shared" ca="1" si="24"/>
        <v>0</v>
      </c>
      <c r="BG98" s="365">
        <f t="shared" ca="1" si="24"/>
        <v>0</v>
      </c>
      <c r="BH98" s="365">
        <f t="shared" ca="1" si="24"/>
        <v>0</v>
      </c>
      <c r="BI98" s="365">
        <f t="shared" ca="1" si="24"/>
        <v>0</v>
      </c>
    </row>
    <row r="99" spans="1:61" outlineLevel="1" x14ac:dyDescent="0.15">
      <c r="A99" s="375">
        <v>45</v>
      </c>
      <c r="B99" s="365" t="str">
        <f t="shared" ca="1" si="20"/>
        <v/>
      </c>
      <c r="C99" s="365" t="str">
        <f t="shared" ca="1" si="20"/>
        <v/>
      </c>
      <c r="D99" s="365" t="str">
        <f t="shared" ca="1" si="20"/>
        <v/>
      </c>
      <c r="E99" s="365" t="str">
        <f t="shared" ca="1" si="20"/>
        <v/>
      </c>
      <c r="F99" s="365" t="str">
        <f t="shared" ca="1" si="20"/>
        <v/>
      </c>
      <c r="G99" s="365" t="str">
        <f t="shared" ca="1" si="20"/>
        <v/>
      </c>
      <c r="H99" s="365" t="str">
        <f t="shared" ca="1" si="20"/>
        <v/>
      </c>
      <c r="I99" s="365" t="str">
        <f t="shared" ca="1" si="20"/>
        <v/>
      </c>
      <c r="J99" s="365" t="str">
        <f t="shared" ca="1" si="20"/>
        <v/>
      </c>
      <c r="K99" s="365" t="str">
        <f t="shared" ca="1" si="20"/>
        <v/>
      </c>
      <c r="L99" s="365" t="str">
        <f t="shared" ca="1" si="20"/>
        <v/>
      </c>
      <c r="M99" s="365" t="str">
        <f t="shared" ca="1" si="20"/>
        <v/>
      </c>
      <c r="N99" s="365" t="str">
        <f t="shared" ca="1" si="20"/>
        <v/>
      </c>
      <c r="O99" s="365" t="str">
        <f t="shared" ca="1" si="20"/>
        <v/>
      </c>
      <c r="P99" s="365" t="str">
        <f t="shared" ca="1" si="20"/>
        <v/>
      </c>
      <c r="Q99" s="365" t="str">
        <f t="shared" ca="1" si="20"/>
        <v/>
      </c>
      <c r="R99" s="365" t="str">
        <f t="shared" ca="1" si="24"/>
        <v/>
      </c>
      <c r="S99" s="365" t="str">
        <f t="shared" ca="1" si="24"/>
        <v/>
      </c>
      <c r="T99" s="365" t="str">
        <f t="shared" ca="1" si="24"/>
        <v/>
      </c>
      <c r="U99" s="365" t="str">
        <f t="shared" ca="1" si="24"/>
        <v/>
      </c>
      <c r="V99" s="365" t="str">
        <f t="shared" ca="1" si="24"/>
        <v/>
      </c>
      <c r="W99" s="365" t="str">
        <f t="shared" ca="1" si="24"/>
        <v/>
      </c>
      <c r="X99" s="365" t="str">
        <f t="shared" ca="1" si="24"/>
        <v/>
      </c>
      <c r="Y99" s="365" t="str">
        <f t="shared" ca="1" si="24"/>
        <v/>
      </c>
      <c r="Z99" s="365" t="str">
        <f t="shared" ca="1" si="24"/>
        <v/>
      </c>
      <c r="AA99" s="365" t="str">
        <f t="shared" ca="1" si="24"/>
        <v/>
      </c>
      <c r="AB99" s="365" t="str">
        <f t="shared" ca="1" si="24"/>
        <v/>
      </c>
      <c r="AC99" s="365" t="str">
        <f t="shared" ca="1" si="24"/>
        <v/>
      </c>
      <c r="AD99" s="365" t="str">
        <f t="shared" ca="1" si="24"/>
        <v/>
      </c>
      <c r="AE99" s="365" t="str">
        <f t="shared" ca="1" si="24"/>
        <v/>
      </c>
      <c r="AF99" s="365" t="str">
        <f t="shared" ca="1" si="24"/>
        <v/>
      </c>
      <c r="AG99" s="365" t="str">
        <f t="shared" ca="1" si="24"/>
        <v/>
      </c>
      <c r="AH99" s="365" t="str">
        <f t="shared" ca="1" si="24"/>
        <v/>
      </c>
      <c r="AI99" s="365" t="str">
        <f t="shared" ca="1" si="24"/>
        <v/>
      </c>
      <c r="AJ99" s="365" t="str">
        <f t="shared" ca="1" si="24"/>
        <v/>
      </c>
      <c r="AK99" s="365" t="str">
        <f t="shared" ca="1" si="24"/>
        <v/>
      </c>
      <c r="AL99" s="365" t="str">
        <f t="shared" ca="1" si="24"/>
        <v/>
      </c>
      <c r="AM99" s="365" t="str">
        <f t="shared" ca="1" si="24"/>
        <v/>
      </c>
      <c r="AN99" s="365" t="str">
        <f t="shared" ca="1" si="24"/>
        <v/>
      </c>
      <c r="AO99" s="365" t="str">
        <f t="shared" ca="1" si="24"/>
        <v/>
      </c>
      <c r="AP99" s="365" t="str">
        <f t="shared" ca="1" si="24"/>
        <v/>
      </c>
      <c r="AQ99" s="365" t="str">
        <f t="shared" ca="1" si="24"/>
        <v/>
      </c>
      <c r="AR99" s="365" t="str">
        <f t="shared" ca="1" si="24"/>
        <v/>
      </c>
      <c r="AS99" s="365" t="str">
        <f t="shared" ca="1" si="24"/>
        <v/>
      </c>
      <c r="AT99" s="365">
        <f t="shared" ca="1" si="24"/>
        <v>0</v>
      </c>
      <c r="AU99" s="365">
        <f t="shared" ca="1" si="24"/>
        <v>0</v>
      </c>
      <c r="AV99" s="365">
        <f t="shared" ca="1" si="24"/>
        <v>0</v>
      </c>
      <c r="AW99" s="365">
        <f t="shared" ca="1" si="24"/>
        <v>0</v>
      </c>
      <c r="AX99" s="365">
        <f t="shared" ca="1" si="24"/>
        <v>0</v>
      </c>
      <c r="AY99" s="365">
        <f t="shared" ca="1" si="24"/>
        <v>0</v>
      </c>
      <c r="AZ99" s="365" t="e">
        <f t="shared" ca="1" si="24"/>
        <v>#REF!</v>
      </c>
      <c r="BA99" s="365" t="e">
        <f t="shared" ca="1" si="24"/>
        <v>#REF!</v>
      </c>
      <c r="BB99" s="365" t="e">
        <f t="shared" ca="1" si="24"/>
        <v>#REF!</v>
      </c>
      <c r="BC99" s="365">
        <f t="shared" ca="1" si="24"/>
        <v>0</v>
      </c>
      <c r="BD99" s="365">
        <f t="shared" ca="1" si="24"/>
        <v>0</v>
      </c>
      <c r="BE99" s="365">
        <f t="shared" ca="1" si="24"/>
        <v>0</v>
      </c>
      <c r="BF99" s="365">
        <f t="shared" ca="1" si="24"/>
        <v>0</v>
      </c>
      <c r="BG99" s="365">
        <f t="shared" ca="1" si="24"/>
        <v>0</v>
      </c>
      <c r="BH99" s="365">
        <f t="shared" ca="1" si="24"/>
        <v>0</v>
      </c>
      <c r="BI99" s="365">
        <f t="shared" ca="1" si="24"/>
        <v>0</v>
      </c>
    </row>
    <row r="100" spans="1:61" outlineLevel="1" x14ac:dyDescent="0.15">
      <c r="A100" s="375">
        <v>46</v>
      </c>
      <c r="B100" s="365" t="str">
        <f t="shared" ca="1" si="20"/>
        <v/>
      </c>
      <c r="C100" s="365" t="str">
        <f t="shared" ca="1" si="20"/>
        <v/>
      </c>
      <c r="D100" s="365" t="str">
        <f t="shared" ca="1" si="20"/>
        <v/>
      </c>
      <c r="E100" s="365" t="str">
        <f t="shared" ca="1" si="20"/>
        <v/>
      </c>
      <c r="F100" s="365" t="str">
        <f t="shared" ca="1" si="20"/>
        <v/>
      </c>
      <c r="G100" s="365" t="str">
        <f t="shared" ca="1" si="20"/>
        <v/>
      </c>
      <c r="H100" s="365" t="str">
        <f t="shared" ca="1" si="20"/>
        <v/>
      </c>
      <c r="I100" s="365" t="str">
        <f t="shared" ca="1" si="20"/>
        <v/>
      </c>
      <c r="J100" s="365" t="str">
        <f t="shared" ca="1" si="20"/>
        <v/>
      </c>
      <c r="K100" s="365" t="str">
        <f t="shared" ca="1" si="20"/>
        <v/>
      </c>
      <c r="L100" s="365" t="str">
        <f t="shared" ca="1" si="20"/>
        <v/>
      </c>
      <c r="M100" s="365" t="str">
        <f t="shared" ca="1" si="20"/>
        <v/>
      </c>
      <c r="N100" s="365" t="str">
        <f t="shared" ca="1" si="20"/>
        <v/>
      </c>
      <c r="O100" s="365" t="str">
        <f t="shared" ca="1" si="20"/>
        <v/>
      </c>
      <c r="P100" s="365" t="str">
        <f t="shared" ca="1" si="20"/>
        <v/>
      </c>
      <c r="Q100" s="365" t="str">
        <f t="shared" ca="1" si="20"/>
        <v/>
      </c>
      <c r="R100" s="365" t="str">
        <f t="shared" ca="1" si="24"/>
        <v/>
      </c>
      <c r="S100" s="365" t="str">
        <f t="shared" ca="1" si="24"/>
        <v/>
      </c>
      <c r="T100" s="365" t="str">
        <f t="shared" ca="1" si="24"/>
        <v/>
      </c>
      <c r="U100" s="365" t="str">
        <f t="shared" ca="1" si="24"/>
        <v/>
      </c>
      <c r="V100" s="365" t="str">
        <f t="shared" ca="1" si="24"/>
        <v/>
      </c>
      <c r="W100" s="365" t="str">
        <f t="shared" ca="1" si="24"/>
        <v/>
      </c>
      <c r="X100" s="365" t="str">
        <f t="shared" ca="1" si="24"/>
        <v/>
      </c>
      <c r="Y100" s="365" t="str">
        <f t="shared" ca="1" si="24"/>
        <v/>
      </c>
      <c r="Z100" s="365" t="str">
        <f t="shared" ca="1" si="24"/>
        <v/>
      </c>
      <c r="AA100" s="365" t="str">
        <f t="shared" ca="1" si="24"/>
        <v/>
      </c>
      <c r="AB100" s="365" t="str">
        <f t="shared" ca="1" si="24"/>
        <v/>
      </c>
      <c r="AC100" s="365" t="str">
        <f t="shared" ca="1" si="24"/>
        <v/>
      </c>
      <c r="AD100" s="365" t="str">
        <f t="shared" ca="1" si="24"/>
        <v/>
      </c>
      <c r="AE100" s="365" t="str">
        <f t="shared" ca="1" si="24"/>
        <v/>
      </c>
      <c r="AF100" s="365" t="str">
        <f t="shared" ca="1" si="24"/>
        <v/>
      </c>
      <c r="AG100" s="365" t="str">
        <f t="shared" ca="1" si="24"/>
        <v/>
      </c>
      <c r="AH100" s="365" t="str">
        <f t="shared" ca="1" si="24"/>
        <v/>
      </c>
      <c r="AI100" s="365" t="str">
        <f t="shared" ca="1" si="24"/>
        <v/>
      </c>
      <c r="AJ100" s="365" t="str">
        <f t="shared" ca="1" si="24"/>
        <v/>
      </c>
      <c r="AK100" s="365" t="str">
        <f t="shared" ca="1" si="24"/>
        <v/>
      </c>
      <c r="AL100" s="365" t="str">
        <f t="shared" ca="1" si="24"/>
        <v/>
      </c>
      <c r="AM100" s="365" t="str">
        <f t="shared" ca="1" si="24"/>
        <v/>
      </c>
      <c r="AN100" s="365" t="str">
        <f t="shared" ca="1" si="24"/>
        <v/>
      </c>
      <c r="AO100" s="365" t="str">
        <f t="shared" ca="1" si="24"/>
        <v/>
      </c>
      <c r="AP100" s="365" t="str">
        <f t="shared" ca="1" si="24"/>
        <v/>
      </c>
      <c r="AQ100" s="365" t="str">
        <f t="shared" ca="1" si="24"/>
        <v/>
      </c>
      <c r="AR100" s="365" t="str">
        <f t="shared" ca="1" si="24"/>
        <v/>
      </c>
      <c r="AS100" s="365" t="str">
        <f t="shared" ca="1" si="24"/>
        <v/>
      </c>
      <c r="AT100" s="365" t="str">
        <f t="shared" ca="1" si="24"/>
        <v/>
      </c>
      <c r="AU100" s="365">
        <f t="shared" ca="1" si="24"/>
        <v>0</v>
      </c>
      <c r="AV100" s="365">
        <f t="shared" ca="1" si="24"/>
        <v>0</v>
      </c>
      <c r="AW100" s="365">
        <f t="shared" ca="1" si="24"/>
        <v>0</v>
      </c>
      <c r="AX100" s="365">
        <f t="shared" ca="1" si="24"/>
        <v>0</v>
      </c>
      <c r="AY100" s="365">
        <f t="shared" ca="1" si="24"/>
        <v>0</v>
      </c>
      <c r="AZ100" s="365">
        <f t="shared" ca="1" si="24"/>
        <v>0</v>
      </c>
      <c r="BA100" s="365" t="e">
        <f t="shared" ca="1" si="24"/>
        <v>#REF!</v>
      </c>
      <c r="BB100" s="365" t="e">
        <f t="shared" ca="1" si="24"/>
        <v>#REF!</v>
      </c>
      <c r="BC100" s="365" t="e">
        <f t="shared" ca="1" si="24"/>
        <v>#REF!</v>
      </c>
      <c r="BD100" s="365">
        <f t="shared" ca="1" si="24"/>
        <v>0</v>
      </c>
      <c r="BE100" s="365">
        <f t="shared" ca="1" si="24"/>
        <v>0</v>
      </c>
      <c r="BF100" s="365">
        <f t="shared" ca="1" si="24"/>
        <v>0</v>
      </c>
      <c r="BG100" s="365">
        <f t="shared" ca="1" si="24"/>
        <v>0</v>
      </c>
      <c r="BH100" s="365">
        <f t="shared" ca="1" si="24"/>
        <v>0</v>
      </c>
      <c r="BI100" s="365">
        <f t="shared" ca="1" si="24"/>
        <v>0</v>
      </c>
    </row>
    <row r="101" spans="1:61" outlineLevel="1" x14ac:dyDescent="0.15">
      <c r="A101" s="375">
        <v>47</v>
      </c>
      <c r="B101" s="365" t="str">
        <f t="shared" ca="1" si="20"/>
        <v/>
      </c>
      <c r="C101" s="365" t="str">
        <f t="shared" ca="1" si="20"/>
        <v/>
      </c>
      <c r="D101" s="365" t="str">
        <f t="shared" ca="1" si="20"/>
        <v/>
      </c>
      <c r="E101" s="365" t="str">
        <f t="shared" ca="1" si="20"/>
        <v/>
      </c>
      <c r="F101" s="365" t="str">
        <f t="shared" ca="1" si="20"/>
        <v/>
      </c>
      <c r="G101" s="365" t="str">
        <f t="shared" ca="1" si="20"/>
        <v/>
      </c>
      <c r="H101" s="365" t="str">
        <f t="shared" ca="1" si="20"/>
        <v/>
      </c>
      <c r="I101" s="365" t="str">
        <f t="shared" ca="1" si="20"/>
        <v/>
      </c>
      <c r="J101" s="365" t="str">
        <f t="shared" ca="1" si="20"/>
        <v/>
      </c>
      <c r="K101" s="365" t="str">
        <f t="shared" ca="1" si="20"/>
        <v/>
      </c>
      <c r="L101" s="365" t="str">
        <f t="shared" ca="1" si="20"/>
        <v/>
      </c>
      <c r="M101" s="365" t="str">
        <f t="shared" ca="1" si="20"/>
        <v/>
      </c>
      <c r="N101" s="365" t="str">
        <f t="shared" ca="1" si="20"/>
        <v/>
      </c>
      <c r="O101" s="365" t="str">
        <f t="shared" ca="1" si="20"/>
        <v/>
      </c>
      <c r="P101" s="365" t="str">
        <f t="shared" ca="1" si="20"/>
        <v/>
      </c>
      <c r="Q101" s="365" t="str">
        <f t="shared" ca="1" si="20"/>
        <v/>
      </c>
      <c r="R101" s="365" t="str">
        <f t="shared" ca="1" si="24"/>
        <v/>
      </c>
      <c r="S101" s="365" t="str">
        <f t="shared" ca="1" si="24"/>
        <v/>
      </c>
      <c r="T101" s="365" t="str">
        <f t="shared" ca="1" si="24"/>
        <v/>
      </c>
      <c r="U101" s="365" t="str">
        <f t="shared" ca="1" si="24"/>
        <v/>
      </c>
      <c r="V101" s="365" t="str">
        <f t="shared" ca="1" si="24"/>
        <v/>
      </c>
      <c r="W101" s="365" t="str">
        <f t="shared" ca="1" si="24"/>
        <v/>
      </c>
      <c r="X101" s="365" t="str">
        <f t="shared" ca="1" si="24"/>
        <v/>
      </c>
      <c r="Y101" s="365" t="str">
        <f t="shared" ca="1" si="24"/>
        <v/>
      </c>
      <c r="Z101" s="365" t="str">
        <f t="shared" ca="1" si="24"/>
        <v/>
      </c>
      <c r="AA101" s="365" t="str">
        <f t="shared" ca="1" si="24"/>
        <v/>
      </c>
      <c r="AB101" s="365" t="str">
        <f t="shared" ca="1" si="24"/>
        <v/>
      </c>
      <c r="AC101" s="365" t="str">
        <f t="shared" ca="1" si="24"/>
        <v/>
      </c>
      <c r="AD101" s="365" t="str">
        <f t="shared" ca="1" si="24"/>
        <v/>
      </c>
      <c r="AE101" s="365" t="str">
        <f t="shared" ca="1" si="24"/>
        <v/>
      </c>
      <c r="AF101" s="365" t="str">
        <f t="shared" ca="1" si="24"/>
        <v/>
      </c>
      <c r="AG101" s="365" t="str">
        <f t="shared" ca="1" si="24"/>
        <v/>
      </c>
      <c r="AH101" s="365" t="str">
        <f t="shared" ca="1" si="24"/>
        <v/>
      </c>
      <c r="AI101" s="365" t="str">
        <f t="shared" ca="1" si="24"/>
        <v/>
      </c>
      <c r="AJ101" s="365" t="str">
        <f t="shared" ca="1" si="24"/>
        <v/>
      </c>
      <c r="AK101" s="365" t="str">
        <f t="shared" ca="1" si="24"/>
        <v/>
      </c>
      <c r="AL101" s="365" t="str">
        <f t="shared" ca="1" si="24"/>
        <v/>
      </c>
      <c r="AM101" s="365" t="str">
        <f t="shared" ca="1" si="24"/>
        <v/>
      </c>
      <c r="AN101" s="365" t="str">
        <f t="shared" ca="1" si="24"/>
        <v/>
      </c>
      <c r="AO101" s="365" t="str">
        <f t="shared" ca="1" si="24"/>
        <v/>
      </c>
      <c r="AP101" s="365" t="str">
        <f t="shared" ca="1" si="24"/>
        <v/>
      </c>
      <c r="AQ101" s="365" t="str">
        <f t="shared" ca="1" si="24"/>
        <v/>
      </c>
      <c r="AR101" s="365" t="str">
        <f t="shared" ca="1" si="24"/>
        <v/>
      </c>
      <c r="AS101" s="365" t="str">
        <f t="shared" ca="1" si="24"/>
        <v/>
      </c>
      <c r="AT101" s="365" t="str">
        <f t="shared" ca="1" si="24"/>
        <v/>
      </c>
      <c r="AU101" s="365" t="str">
        <f t="shared" ca="1" si="24"/>
        <v/>
      </c>
      <c r="AV101" s="365">
        <f t="shared" ca="1" si="24"/>
        <v>0</v>
      </c>
      <c r="AW101" s="365">
        <f t="shared" ca="1" si="24"/>
        <v>0</v>
      </c>
      <c r="AX101" s="365">
        <f t="shared" ca="1" si="24"/>
        <v>0</v>
      </c>
      <c r="AY101" s="365">
        <f t="shared" ca="1" si="24"/>
        <v>0</v>
      </c>
      <c r="AZ101" s="365">
        <f t="shared" ca="1" si="24"/>
        <v>0</v>
      </c>
      <c r="BA101" s="365">
        <f t="shared" ca="1" si="24"/>
        <v>0</v>
      </c>
      <c r="BB101" s="365" t="e">
        <f t="shared" ca="1" si="24"/>
        <v>#REF!</v>
      </c>
      <c r="BC101" s="365" t="e">
        <f t="shared" ca="1" si="24"/>
        <v>#REF!</v>
      </c>
      <c r="BD101" s="365" t="e">
        <f t="shared" ca="1" si="24"/>
        <v>#REF!</v>
      </c>
      <c r="BE101" s="365">
        <f t="shared" ca="1" si="24"/>
        <v>0</v>
      </c>
      <c r="BF101" s="365">
        <f t="shared" ca="1" si="24"/>
        <v>0</v>
      </c>
      <c r="BG101" s="365">
        <f t="shared" ca="1" si="24"/>
        <v>0</v>
      </c>
      <c r="BH101" s="365">
        <f t="shared" ca="1" si="24"/>
        <v>0</v>
      </c>
      <c r="BI101" s="365">
        <f t="shared" ca="1" si="24"/>
        <v>0</v>
      </c>
    </row>
    <row r="102" spans="1:61" outlineLevel="1" x14ac:dyDescent="0.15">
      <c r="A102" s="375">
        <v>48</v>
      </c>
      <c r="B102" s="365" t="str">
        <f t="shared" ca="1" si="20"/>
        <v/>
      </c>
      <c r="C102" s="365" t="str">
        <f t="shared" ca="1" si="20"/>
        <v/>
      </c>
      <c r="D102" s="365" t="str">
        <f t="shared" ca="1" si="20"/>
        <v/>
      </c>
      <c r="E102" s="365" t="str">
        <f t="shared" ca="1" si="20"/>
        <v/>
      </c>
      <c r="F102" s="365" t="str">
        <f t="shared" ca="1" si="20"/>
        <v/>
      </c>
      <c r="G102" s="365" t="str">
        <f t="shared" ca="1" si="20"/>
        <v/>
      </c>
      <c r="H102" s="365" t="str">
        <f t="shared" ca="1" si="20"/>
        <v/>
      </c>
      <c r="I102" s="365" t="str">
        <f t="shared" ca="1" si="20"/>
        <v/>
      </c>
      <c r="J102" s="365" t="str">
        <f t="shared" ca="1" si="20"/>
        <v/>
      </c>
      <c r="K102" s="365" t="str">
        <f t="shared" ca="1" si="20"/>
        <v/>
      </c>
      <c r="L102" s="365" t="str">
        <f t="shared" ca="1" si="20"/>
        <v/>
      </c>
      <c r="M102" s="365" t="str">
        <f t="shared" ca="1" si="20"/>
        <v/>
      </c>
      <c r="N102" s="365" t="str">
        <f t="shared" ca="1" si="20"/>
        <v/>
      </c>
      <c r="O102" s="365" t="str">
        <f t="shared" ca="1" si="20"/>
        <v/>
      </c>
      <c r="P102" s="365" t="str">
        <f t="shared" ca="1" si="20"/>
        <v/>
      </c>
      <c r="Q102" s="365" t="str">
        <f t="shared" ref="Q102:BW108" ca="1" si="25">IF($A102&gt;Q$5,"",OFFSET(Q$54,0,-($A102-1)))</f>
        <v/>
      </c>
      <c r="R102" s="365" t="str">
        <f t="shared" ca="1" si="25"/>
        <v/>
      </c>
      <c r="S102" s="365" t="str">
        <f t="shared" ca="1" si="25"/>
        <v/>
      </c>
      <c r="T102" s="365" t="str">
        <f t="shared" ca="1" si="25"/>
        <v/>
      </c>
      <c r="U102" s="365" t="str">
        <f t="shared" ca="1" si="25"/>
        <v/>
      </c>
      <c r="V102" s="365" t="str">
        <f t="shared" ca="1" si="25"/>
        <v/>
      </c>
      <c r="W102" s="365" t="str">
        <f t="shared" ca="1" si="25"/>
        <v/>
      </c>
      <c r="X102" s="365" t="str">
        <f t="shared" ca="1" si="25"/>
        <v/>
      </c>
      <c r="Y102" s="365" t="str">
        <f t="shared" ca="1" si="25"/>
        <v/>
      </c>
      <c r="Z102" s="365" t="str">
        <f t="shared" ca="1" si="25"/>
        <v/>
      </c>
      <c r="AA102" s="365" t="str">
        <f t="shared" ca="1" si="25"/>
        <v/>
      </c>
      <c r="AB102" s="365" t="str">
        <f t="shared" ca="1" si="25"/>
        <v/>
      </c>
      <c r="AC102" s="365" t="str">
        <f t="shared" ca="1" si="25"/>
        <v/>
      </c>
      <c r="AD102" s="365" t="str">
        <f t="shared" ca="1" si="25"/>
        <v/>
      </c>
      <c r="AE102" s="365" t="str">
        <f t="shared" ca="1" si="25"/>
        <v/>
      </c>
      <c r="AF102" s="365" t="str">
        <f t="shared" ca="1" si="25"/>
        <v/>
      </c>
      <c r="AG102" s="365" t="str">
        <f t="shared" ca="1" si="25"/>
        <v/>
      </c>
      <c r="AH102" s="365" t="str">
        <f t="shared" ca="1" si="25"/>
        <v/>
      </c>
      <c r="AI102" s="365" t="str">
        <f t="shared" ca="1" si="25"/>
        <v/>
      </c>
      <c r="AJ102" s="365" t="str">
        <f t="shared" ca="1" si="25"/>
        <v/>
      </c>
      <c r="AK102" s="365" t="str">
        <f t="shared" ca="1" si="25"/>
        <v/>
      </c>
      <c r="AL102" s="365" t="str">
        <f t="shared" ca="1" si="25"/>
        <v/>
      </c>
      <c r="AM102" s="365" t="str">
        <f t="shared" ca="1" si="25"/>
        <v/>
      </c>
      <c r="AN102" s="365" t="str">
        <f t="shared" ca="1" si="25"/>
        <v/>
      </c>
      <c r="AO102" s="365" t="str">
        <f t="shared" ca="1" si="25"/>
        <v/>
      </c>
      <c r="AP102" s="365" t="str">
        <f t="shared" ca="1" si="25"/>
        <v/>
      </c>
      <c r="AQ102" s="365" t="str">
        <f t="shared" ca="1" si="25"/>
        <v/>
      </c>
      <c r="AR102" s="365" t="str">
        <f t="shared" ca="1" si="25"/>
        <v/>
      </c>
      <c r="AS102" s="365" t="str">
        <f t="shared" ca="1" si="25"/>
        <v/>
      </c>
      <c r="AT102" s="365" t="str">
        <f t="shared" ca="1" si="25"/>
        <v/>
      </c>
      <c r="AU102" s="365" t="str">
        <f t="shared" ca="1" si="25"/>
        <v/>
      </c>
      <c r="AV102" s="365" t="str">
        <f t="shared" ca="1" si="25"/>
        <v/>
      </c>
      <c r="AW102" s="365">
        <f t="shared" ca="1" si="25"/>
        <v>0</v>
      </c>
      <c r="AX102" s="365">
        <f t="shared" ca="1" si="24"/>
        <v>0</v>
      </c>
      <c r="AY102" s="365">
        <f t="shared" ca="1" si="24"/>
        <v>0</v>
      </c>
      <c r="AZ102" s="365">
        <f t="shared" ca="1" si="24"/>
        <v>0</v>
      </c>
      <c r="BA102" s="365">
        <f t="shared" ca="1" si="24"/>
        <v>0</v>
      </c>
      <c r="BB102" s="365">
        <f t="shared" ca="1" si="24"/>
        <v>0</v>
      </c>
      <c r="BC102" s="365" t="e">
        <f t="shared" ca="1" si="24"/>
        <v>#REF!</v>
      </c>
      <c r="BD102" s="365" t="e">
        <f t="shared" ca="1" si="24"/>
        <v>#REF!</v>
      </c>
      <c r="BE102" s="365" t="e">
        <f t="shared" ca="1" si="24"/>
        <v>#REF!</v>
      </c>
      <c r="BF102" s="365">
        <f t="shared" ca="1" si="24"/>
        <v>0</v>
      </c>
      <c r="BG102" s="365">
        <f t="shared" ca="1" si="24"/>
        <v>0</v>
      </c>
      <c r="BH102" s="365">
        <f t="shared" ca="1" si="24"/>
        <v>0</v>
      </c>
      <c r="BI102" s="365">
        <f t="shared" ca="1" si="24"/>
        <v>0</v>
      </c>
    </row>
    <row r="103" spans="1:61" outlineLevel="1" x14ac:dyDescent="0.15">
      <c r="A103" s="375">
        <v>49</v>
      </c>
      <c r="B103" s="365" t="str">
        <f t="shared" ref="B103:Q130" ca="1" si="26">IF($A103&gt;B$5,"",OFFSET(B$54,0,-($A103-1)))</f>
        <v/>
      </c>
      <c r="C103" s="365" t="str">
        <f t="shared" ca="1" si="26"/>
        <v/>
      </c>
      <c r="D103" s="365" t="str">
        <f t="shared" ca="1" si="26"/>
        <v/>
      </c>
      <c r="E103" s="365" t="str">
        <f t="shared" ca="1" si="26"/>
        <v/>
      </c>
      <c r="F103" s="365" t="str">
        <f t="shared" ca="1" si="26"/>
        <v/>
      </c>
      <c r="G103" s="365" t="str">
        <f t="shared" ca="1" si="26"/>
        <v/>
      </c>
      <c r="H103" s="365" t="str">
        <f t="shared" ca="1" si="26"/>
        <v/>
      </c>
      <c r="I103" s="365" t="str">
        <f t="shared" ca="1" si="26"/>
        <v/>
      </c>
      <c r="J103" s="365" t="str">
        <f t="shared" ca="1" si="26"/>
        <v/>
      </c>
      <c r="K103" s="365" t="str">
        <f t="shared" ca="1" si="26"/>
        <v/>
      </c>
      <c r="L103" s="365" t="str">
        <f t="shared" ca="1" si="26"/>
        <v/>
      </c>
      <c r="M103" s="365" t="str">
        <f t="shared" ca="1" si="26"/>
        <v/>
      </c>
      <c r="N103" s="365" t="str">
        <f t="shared" ca="1" si="26"/>
        <v/>
      </c>
      <c r="O103" s="365" t="str">
        <f t="shared" ca="1" si="26"/>
        <v/>
      </c>
      <c r="P103" s="365" t="str">
        <f t="shared" ca="1" si="26"/>
        <v/>
      </c>
      <c r="Q103" s="365" t="str">
        <f t="shared" ca="1" si="26"/>
        <v/>
      </c>
      <c r="R103" s="365" t="str">
        <f t="shared" ca="1" si="25"/>
        <v/>
      </c>
      <c r="S103" s="365" t="str">
        <f t="shared" ca="1" si="25"/>
        <v/>
      </c>
      <c r="T103" s="365" t="str">
        <f t="shared" ca="1" si="25"/>
        <v/>
      </c>
      <c r="U103" s="365" t="str">
        <f t="shared" ca="1" si="25"/>
        <v/>
      </c>
      <c r="V103" s="365" t="str">
        <f t="shared" ca="1" si="25"/>
        <v/>
      </c>
      <c r="W103" s="365" t="str">
        <f t="shared" ca="1" si="25"/>
        <v/>
      </c>
      <c r="X103" s="365" t="str">
        <f t="shared" ca="1" si="25"/>
        <v/>
      </c>
      <c r="Y103" s="365" t="str">
        <f t="shared" ca="1" si="25"/>
        <v/>
      </c>
      <c r="Z103" s="365" t="str">
        <f t="shared" ca="1" si="25"/>
        <v/>
      </c>
      <c r="AA103" s="365" t="str">
        <f t="shared" ca="1" si="25"/>
        <v/>
      </c>
      <c r="AB103" s="365" t="str">
        <f t="shared" ca="1" si="25"/>
        <v/>
      </c>
      <c r="AC103" s="365" t="str">
        <f t="shared" ca="1" si="25"/>
        <v/>
      </c>
      <c r="AD103" s="365" t="str">
        <f t="shared" ca="1" si="25"/>
        <v/>
      </c>
      <c r="AE103" s="365" t="str">
        <f t="shared" ca="1" si="25"/>
        <v/>
      </c>
      <c r="AF103" s="365" t="str">
        <f t="shared" ca="1" si="25"/>
        <v/>
      </c>
      <c r="AG103" s="365" t="str">
        <f t="shared" ca="1" si="25"/>
        <v/>
      </c>
      <c r="AH103" s="365" t="str">
        <f t="shared" ca="1" si="25"/>
        <v/>
      </c>
      <c r="AI103" s="365" t="str">
        <f t="shared" ca="1" si="25"/>
        <v/>
      </c>
      <c r="AJ103" s="365" t="str">
        <f t="shared" ca="1" si="25"/>
        <v/>
      </c>
      <c r="AK103" s="365" t="str">
        <f t="shared" ca="1" si="25"/>
        <v/>
      </c>
      <c r="AL103" s="365" t="str">
        <f t="shared" ca="1" si="25"/>
        <v/>
      </c>
      <c r="AM103" s="365" t="str">
        <f t="shared" ca="1" si="25"/>
        <v/>
      </c>
      <c r="AN103" s="365" t="str">
        <f t="shared" ca="1" si="25"/>
        <v/>
      </c>
      <c r="AO103" s="365" t="str">
        <f t="shared" ca="1" si="25"/>
        <v/>
      </c>
      <c r="AP103" s="365" t="str">
        <f t="shared" ca="1" si="25"/>
        <v/>
      </c>
      <c r="AQ103" s="365" t="str">
        <f t="shared" ca="1" si="25"/>
        <v/>
      </c>
      <c r="AR103" s="365" t="str">
        <f t="shared" ca="1" si="25"/>
        <v/>
      </c>
      <c r="AS103" s="365" t="str">
        <f t="shared" ca="1" si="25"/>
        <v/>
      </c>
      <c r="AT103" s="365" t="str">
        <f t="shared" ca="1" si="25"/>
        <v/>
      </c>
      <c r="AU103" s="365" t="str">
        <f t="shared" ca="1" si="25"/>
        <v/>
      </c>
      <c r="AV103" s="365" t="str">
        <f t="shared" ca="1" si="25"/>
        <v/>
      </c>
      <c r="AW103" s="365" t="str">
        <f t="shared" ca="1" si="25"/>
        <v/>
      </c>
      <c r="AX103" s="365">
        <f t="shared" ca="1" si="25"/>
        <v>0</v>
      </c>
      <c r="AY103" s="365">
        <f t="shared" ca="1" si="25"/>
        <v>0</v>
      </c>
      <c r="AZ103" s="365">
        <f t="shared" ca="1" si="25"/>
        <v>0</v>
      </c>
      <c r="BA103" s="365">
        <f t="shared" ca="1" si="25"/>
        <v>0</v>
      </c>
      <c r="BB103" s="365">
        <f t="shared" ca="1" si="25"/>
        <v>0</v>
      </c>
      <c r="BC103" s="365">
        <f t="shared" ca="1" si="25"/>
        <v>0</v>
      </c>
      <c r="BD103" s="365" t="e">
        <f t="shared" ca="1" si="25"/>
        <v>#REF!</v>
      </c>
      <c r="BE103" s="365" t="e">
        <f t="shared" ca="1" si="25"/>
        <v>#REF!</v>
      </c>
      <c r="BF103" s="365" t="e">
        <f t="shared" ca="1" si="25"/>
        <v>#REF!</v>
      </c>
      <c r="BG103" s="365">
        <f t="shared" ca="1" si="25"/>
        <v>0</v>
      </c>
      <c r="BH103" s="365">
        <f t="shared" ca="1" si="25"/>
        <v>0</v>
      </c>
      <c r="BI103" s="365">
        <f t="shared" ca="1" si="25"/>
        <v>0</v>
      </c>
    </row>
    <row r="104" spans="1:61" outlineLevel="1" x14ac:dyDescent="0.15">
      <c r="A104" s="375">
        <v>50</v>
      </c>
      <c r="B104" s="365" t="str">
        <f t="shared" ca="1" si="26"/>
        <v/>
      </c>
      <c r="C104" s="365" t="str">
        <f t="shared" ca="1" si="26"/>
        <v/>
      </c>
      <c r="D104" s="365" t="str">
        <f t="shared" ca="1" si="26"/>
        <v/>
      </c>
      <c r="E104" s="365" t="str">
        <f t="shared" ca="1" si="26"/>
        <v/>
      </c>
      <c r="F104" s="365" t="str">
        <f t="shared" ca="1" si="26"/>
        <v/>
      </c>
      <c r="G104" s="365" t="str">
        <f t="shared" ca="1" si="26"/>
        <v/>
      </c>
      <c r="H104" s="365" t="str">
        <f t="shared" ca="1" si="26"/>
        <v/>
      </c>
      <c r="I104" s="365" t="str">
        <f t="shared" ca="1" si="26"/>
        <v/>
      </c>
      <c r="J104" s="365" t="str">
        <f t="shared" ca="1" si="26"/>
        <v/>
      </c>
      <c r="K104" s="365" t="str">
        <f t="shared" ca="1" si="26"/>
        <v/>
      </c>
      <c r="L104" s="365" t="str">
        <f t="shared" ca="1" si="26"/>
        <v/>
      </c>
      <c r="M104" s="365" t="str">
        <f t="shared" ca="1" si="26"/>
        <v/>
      </c>
      <c r="N104" s="365" t="str">
        <f t="shared" ca="1" si="26"/>
        <v/>
      </c>
      <c r="O104" s="365" t="str">
        <f t="shared" ca="1" si="26"/>
        <v/>
      </c>
      <c r="P104" s="365" t="str">
        <f t="shared" ca="1" si="26"/>
        <v/>
      </c>
      <c r="Q104" s="365" t="str">
        <f t="shared" ca="1" si="26"/>
        <v/>
      </c>
      <c r="R104" s="365" t="str">
        <f t="shared" ca="1" si="25"/>
        <v/>
      </c>
      <c r="S104" s="365" t="str">
        <f t="shared" ca="1" si="25"/>
        <v/>
      </c>
      <c r="T104" s="365" t="str">
        <f t="shared" ca="1" si="25"/>
        <v/>
      </c>
      <c r="U104" s="365" t="str">
        <f t="shared" ca="1" si="25"/>
        <v/>
      </c>
      <c r="V104" s="365" t="str">
        <f t="shared" ca="1" si="25"/>
        <v/>
      </c>
      <c r="W104" s="365" t="str">
        <f t="shared" ca="1" si="25"/>
        <v/>
      </c>
      <c r="X104" s="365" t="str">
        <f t="shared" ca="1" si="25"/>
        <v/>
      </c>
      <c r="Y104" s="365" t="str">
        <f t="shared" ca="1" si="25"/>
        <v/>
      </c>
      <c r="Z104" s="365" t="str">
        <f t="shared" ca="1" si="25"/>
        <v/>
      </c>
      <c r="AA104" s="365" t="str">
        <f t="shared" ca="1" si="25"/>
        <v/>
      </c>
      <c r="AB104" s="365" t="str">
        <f t="shared" ca="1" si="25"/>
        <v/>
      </c>
      <c r="AC104" s="365" t="str">
        <f t="shared" ca="1" si="25"/>
        <v/>
      </c>
      <c r="AD104" s="365" t="str">
        <f t="shared" ca="1" si="25"/>
        <v/>
      </c>
      <c r="AE104" s="365" t="str">
        <f t="shared" ca="1" si="25"/>
        <v/>
      </c>
      <c r="AF104" s="365" t="str">
        <f t="shared" ca="1" si="25"/>
        <v/>
      </c>
      <c r="AG104" s="365" t="str">
        <f t="shared" ca="1" si="25"/>
        <v/>
      </c>
      <c r="AH104" s="365" t="str">
        <f t="shared" ca="1" si="25"/>
        <v/>
      </c>
      <c r="AI104" s="365" t="str">
        <f t="shared" ca="1" si="25"/>
        <v/>
      </c>
      <c r="AJ104" s="365" t="str">
        <f t="shared" ca="1" si="25"/>
        <v/>
      </c>
      <c r="AK104" s="365" t="str">
        <f t="shared" ca="1" si="25"/>
        <v/>
      </c>
      <c r="AL104" s="365" t="str">
        <f t="shared" ca="1" si="25"/>
        <v/>
      </c>
      <c r="AM104" s="365" t="str">
        <f t="shared" ca="1" si="25"/>
        <v/>
      </c>
      <c r="AN104" s="365" t="str">
        <f t="shared" ca="1" si="25"/>
        <v/>
      </c>
      <c r="AO104" s="365" t="str">
        <f t="shared" ca="1" si="25"/>
        <v/>
      </c>
      <c r="AP104" s="365" t="str">
        <f t="shared" ca="1" si="25"/>
        <v/>
      </c>
      <c r="AQ104" s="365" t="str">
        <f t="shared" ca="1" si="25"/>
        <v/>
      </c>
      <c r="AR104" s="365" t="str">
        <f t="shared" ca="1" si="25"/>
        <v/>
      </c>
      <c r="AS104" s="365" t="str">
        <f t="shared" ca="1" si="25"/>
        <v/>
      </c>
      <c r="AT104" s="365" t="str">
        <f t="shared" ca="1" si="25"/>
        <v/>
      </c>
      <c r="AU104" s="365" t="str">
        <f t="shared" ca="1" si="25"/>
        <v/>
      </c>
      <c r="AV104" s="365" t="str">
        <f t="shared" ca="1" si="25"/>
        <v/>
      </c>
      <c r="AW104" s="365" t="str">
        <f t="shared" ca="1" si="25"/>
        <v/>
      </c>
      <c r="AX104" s="365" t="str">
        <f t="shared" ca="1" si="25"/>
        <v/>
      </c>
      <c r="AY104" s="365">
        <f t="shared" ca="1" si="25"/>
        <v>0</v>
      </c>
      <c r="AZ104" s="365">
        <f t="shared" ca="1" si="25"/>
        <v>0</v>
      </c>
      <c r="BA104" s="365">
        <f t="shared" ca="1" si="25"/>
        <v>0</v>
      </c>
      <c r="BB104" s="365">
        <f t="shared" ca="1" si="25"/>
        <v>0</v>
      </c>
      <c r="BC104" s="365">
        <f t="shared" ca="1" si="25"/>
        <v>0</v>
      </c>
      <c r="BD104" s="365">
        <f t="shared" ca="1" si="25"/>
        <v>0</v>
      </c>
      <c r="BE104" s="365" t="e">
        <f t="shared" ca="1" si="25"/>
        <v>#REF!</v>
      </c>
      <c r="BF104" s="365" t="e">
        <f t="shared" ca="1" si="25"/>
        <v>#REF!</v>
      </c>
      <c r="BG104" s="365" t="e">
        <f t="shared" ca="1" si="25"/>
        <v>#REF!</v>
      </c>
      <c r="BH104" s="365">
        <f t="shared" ca="1" si="25"/>
        <v>0</v>
      </c>
      <c r="BI104" s="365">
        <f t="shared" ca="1" si="25"/>
        <v>0</v>
      </c>
    </row>
    <row r="105" spans="1:61" outlineLevel="1" x14ac:dyDescent="0.15">
      <c r="A105" s="375">
        <v>51</v>
      </c>
      <c r="B105" s="365" t="str">
        <f t="shared" ca="1" si="26"/>
        <v/>
      </c>
      <c r="C105" s="365" t="str">
        <f t="shared" ca="1" si="26"/>
        <v/>
      </c>
      <c r="D105" s="365" t="str">
        <f t="shared" ca="1" si="26"/>
        <v/>
      </c>
      <c r="E105" s="365" t="str">
        <f t="shared" ca="1" si="26"/>
        <v/>
      </c>
      <c r="F105" s="365" t="str">
        <f t="shared" ca="1" si="26"/>
        <v/>
      </c>
      <c r="G105" s="365" t="str">
        <f t="shared" ca="1" si="26"/>
        <v/>
      </c>
      <c r="H105" s="365" t="str">
        <f t="shared" ca="1" si="26"/>
        <v/>
      </c>
      <c r="I105" s="365" t="str">
        <f t="shared" ca="1" si="26"/>
        <v/>
      </c>
      <c r="J105" s="365" t="str">
        <f t="shared" ca="1" si="26"/>
        <v/>
      </c>
      <c r="K105" s="365" t="str">
        <f t="shared" ca="1" si="26"/>
        <v/>
      </c>
      <c r="L105" s="365" t="str">
        <f t="shared" ca="1" si="26"/>
        <v/>
      </c>
      <c r="M105" s="365" t="str">
        <f t="shared" ca="1" si="26"/>
        <v/>
      </c>
      <c r="N105" s="365" t="str">
        <f t="shared" ca="1" si="26"/>
        <v/>
      </c>
      <c r="O105" s="365" t="str">
        <f t="shared" ca="1" si="26"/>
        <v/>
      </c>
      <c r="P105" s="365" t="str">
        <f t="shared" ca="1" si="26"/>
        <v/>
      </c>
      <c r="Q105" s="365" t="str">
        <f t="shared" ca="1" si="26"/>
        <v/>
      </c>
      <c r="R105" s="365" t="str">
        <f t="shared" ca="1" si="25"/>
        <v/>
      </c>
      <c r="S105" s="365" t="str">
        <f t="shared" ca="1" si="25"/>
        <v/>
      </c>
      <c r="T105" s="365" t="str">
        <f t="shared" ca="1" si="25"/>
        <v/>
      </c>
      <c r="U105" s="365" t="str">
        <f t="shared" ca="1" si="25"/>
        <v/>
      </c>
      <c r="V105" s="365" t="str">
        <f t="shared" ca="1" si="25"/>
        <v/>
      </c>
      <c r="W105" s="365" t="str">
        <f t="shared" ca="1" si="25"/>
        <v/>
      </c>
      <c r="X105" s="365" t="str">
        <f t="shared" ca="1" si="25"/>
        <v/>
      </c>
      <c r="Y105" s="365" t="str">
        <f t="shared" ca="1" si="25"/>
        <v/>
      </c>
      <c r="Z105" s="365" t="str">
        <f t="shared" ca="1" si="25"/>
        <v/>
      </c>
      <c r="AA105" s="365" t="str">
        <f t="shared" ca="1" si="25"/>
        <v/>
      </c>
      <c r="AB105" s="365" t="str">
        <f t="shared" ca="1" si="25"/>
        <v/>
      </c>
      <c r="AC105" s="365" t="str">
        <f t="shared" ca="1" si="25"/>
        <v/>
      </c>
      <c r="AD105" s="365" t="str">
        <f t="shared" ca="1" si="25"/>
        <v/>
      </c>
      <c r="AE105" s="365" t="str">
        <f t="shared" ca="1" si="25"/>
        <v/>
      </c>
      <c r="AF105" s="365" t="str">
        <f t="shared" ca="1" si="25"/>
        <v/>
      </c>
      <c r="AG105" s="365" t="str">
        <f t="shared" ca="1" si="25"/>
        <v/>
      </c>
      <c r="AH105" s="365" t="str">
        <f t="shared" ca="1" si="25"/>
        <v/>
      </c>
      <c r="AI105" s="365" t="str">
        <f t="shared" ca="1" si="25"/>
        <v/>
      </c>
      <c r="AJ105" s="365" t="str">
        <f t="shared" ca="1" si="25"/>
        <v/>
      </c>
      <c r="AK105" s="365" t="str">
        <f t="shared" ca="1" si="25"/>
        <v/>
      </c>
      <c r="AL105" s="365" t="str">
        <f t="shared" ca="1" si="25"/>
        <v/>
      </c>
      <c r="AM105" s="365" t="str">
        <f t="shared" ca="1" si="25"/>
        <v/>
      </c>
      <c r="AN105" s="365" t="str">
        <f t="shared" ca="1" si="25"/>
        <v/>
      </c>
      <c r="AO105" s="365" t="str">
        <f t="shared" ca="1" si="25"/>
        <v/>
      </c>
      <c r="AP105" s="365" t="str">
        <f t="shared" ca="1" si="25"/>
        <v/>
      </c>
      <c r="AQ105" s="365" t="str">
        <f t="shared" ca="1" si="25"/>
        <v/>
      </c>
      <c r="AR105" s="365" t="str">
        <f t="shared" ca="1" si="25"/>
        <v/>
      </c>
      <c r="AS105" s="365" t="str">
        <f t="shared" ca="1" si="25"/>
        <v/>
      </c>
      <c r="AT105" s="365" t="str">
        <f t="shared" ca="1" si="25"/>
        <v/>
      </c>
      <c r="AU105" s="365" t="str">
        <f t="shared" ca="1" si="25"/>
        <v/>
      </c>
      <c r="AV105" s="365" t="str">
        <f t="shared" ca="1" si="25"/>
        <v/>
      </c>
      <c r="AW105" s="365" t="str">
        <f t="shared" ca="1" si="25"/>
        <v/>
      </c>
      <c r="AX105" s="365" t="str">
        <f t="shared" ca="1" si="25"/>
        <v/>
      </c>
      <c r="AY105" s="365" t="str">
        <f t="shared" ca="1" si="25"/>
        <v/>
      </c>
      <c r="AZ105" s="365">
        <f t="shared" ca="1" si="25"/>
        <v>0</v>
      </c>
      <c r="BA105" s="365">
        <f t="shared" ca="1" si="25"/>
        <v>0</v>
      </c>
      <c r="BB105" s="365">
        <f t="shared" ca="1" si="25"/>
        <v>0</v>
      </c>
      <c r="BC105" s="365">
        <f t="shared" ca="1" si="25"/>
        <v>0</v>
      </c>
      <c r="BD105" s="365">
        <f t="shared" ca="1" si="25"/>
        <v>0</v>
      </c>
      <c r="BE105" s="365">
        <f t="shared" ca="1" si="25"/>
        <v>0</v>
      </c>
      <c r="BF105" s="365" t="e">
        <f t="shared" ca="1" si="25"/>
        <v>#REF!</v>
      </c>
      <c r="BG105" s="365" t="e">
        <f t="shared" ca="1" si="25"/>
        <v>#REF!</v>
      </c>
      <c r="BH105" s="365" t="e">
        <f t="shared" ca="1" si="25"/>
        <v>#REF!</v>
      </c>
      <c r="BI105" s="365">
        <f t="shared" ca="1" si="25"/>
        <v>0</v>
      </c>
    </row>
    <row r="106" spans="1:61" outlineLevel="1" x14ac:dyDescent="0.15">
      <c r="A106" s="375">
        <v>52</v>
      </c>
      <c r="B106" s="365" t="str">
        <f t="shared" ca="1" si="26"/>
        <v/>
      </c>
      <c r="C106" s="365" t="str">
        <f t="shared" ca="1" si="26"/>
        <v/>
      </c>
      <c r="D106" s="365" t="str">
        <f t="shared" ca="1" si="26"/>
        <v/>
      </c>
      <c r="E106" s="365" t="str">
        <f t="shared" ca="1" si="26"/>
        <v/>
      </c>
      <c r="F106" s="365" t="str">
        <f t="shared" ca="1" si="26"/>
        <v/>
      </c>
      <c r="G106" s="365" t="str">
        <f t="shared" ca="1" si="26"/>
        <v/>
      </c>
      <c r="H106" s="365" t="str">
        <f t="shared" ca="1" si="26"/>
        <v/>
      </c>
      <c r="I106" s="365" t="str">
        <f t="shared" ca="1" si="26"/>
        <v/>
      </c>
      <c r="J106" s="365" t="str">
        <f t="shared" ca="1" si="26"/>
        <v/>
      </c>
      <c r="K106" s="365" t="str">
        <f t="shared" ca="1" si="26"/>
        <v/>
      </c>
      <c r="L106" s="365" t="str">
        <f t="shared" ca="1" si="26"/>
        <v/>
      </c>
      <c r="M106" s="365" t="str">
        <f t="shared" ca="1" si="26"/>
        <v/>
      </c>
      <c r="N106" s="365" t="str">
        <f t="shared" ca="1" si="26"/>
        <v/>
      </c>
      <c r="O106" s="365" t="str">
        <f t="shared" ca="1" si="26"/>
        <v/>
      </c>
      <c r="P106" s="365" t="str">
        <f t="shared" ca="1" si="26"/>
        <v/>
      </c>
      <c r="Q106" s="365" t="str">
        <f t="shared" ca="1" si="26"/>
        <v/>
      </c>
      <c r="R106" s="365" t="str">
        <f t="shared" ca="1" si="25"/>
        <v/>
      </c>
      <c r="S106" s="365" t="str">
        <f t="shared" ca="1" si="25"/>
        <v/>
      </c>
      <c r="T106" s="365" t="str">
        <f t="shared" ca="1" si="25"/>
        <v/>
      </c>
      <c r="U106" s="365" t="str">
        <f t="shared" ca="1" si="25"/>
        <v/>
      </c>
      <c r="V106" s="365" t="str">
        <f t="shared" ca="1" si="25"/>
        <v/>
      </c>
      <c r="W106" s="365" t="str">
        <f t="shared" ca="1" si="25"/>
        <v/>
      </c>
      <c r="X106" s="365" t="str">
        <f t="shared" ca="1" si="25"/>
        <v/>
      </c>
      <c r="Y106" s="365" t="str">
        <f t="shared" ca="1" si="25"/>
        <v/>
      </c>
      <c r="Z106" s="365" t="str">
        <f t="shared" ca="1" si="25"/>
        <v/>
      </c>
      <c r="AA106" s="365" t="str">
        <f t="shared" ca="1" si="25"/>
        <v/>
      </c>
      <c r="AB106" s="365" t="str">
        <f t="shared" ca="1" si="25"/>
        <v/>
      </c>
      <c r="AC106" s="365" t="str">
        <f t="shared" ca="1" si="25"/>
        <v/>
      </c>
      <c r="AD106" s="365" t="str">
        <f t="shared" ca="1" si="25"/>
        <v/>
      </c>
      <c r="AE106" s="365" t="str">
        <f t="shared" ca="1" si="25"/>
        <v/>
      </c>
      <c r="AF106" s="365" t="str">
        <f t="shared" ca="1" si="25"/>
        <v/>
      </c>
      <c r="AG106" s="365" t="str">
        <f t="shared" ca="1" si="25"/>
        <v/>
      </c>
      <c r="AH106" s="365" t="str">
        <f t="shared" ca="1" si="25"/>
        <v/>
      </c>
      <c r="AI106" s="365" t="str">
        <f t="shared" ca="1" si="25"/>
        <v/>
      </c>
      <c r="AJ106" s="365" t="str">
        <f t="shared" ca="1" si="25"/>
        <v/>
      </c>
      <c r="AK106" s="365" t="str">
        <f t="shared" ca="1" si="25"/>
        <v/>
      </c>
      <c r="AL106" s="365" t="str">
        <f t="shared" ca="1" si="25"/>
        <v/>
      </c>
      <c r="AM106" s="365" t="str">
        <f t="shared" ca="1" si="25"/>
        <v/>
      </c>
      <c r="AN106" s="365" t="str">
        <f t="shared" ca="1" si="25"/>
        <v/>
      </c>
      <c r="AO106" s="365" t="str">
        <f t="shared" ca="1" si="25"/>
        <v/>
      </c>
      <c r="AP106" s="365" t="str">
        <f t="shared" ca="1" si="25"/>
        <v/>
      </c>
      <c r="AQ106" s="365" t="str">
        <f t="shared" ca="1" si="25"/>
        <v/>
      </c>
      <c r="AR106" s="365" t="str">
        <f t="shared" ca="1" si="25"/>
        <v/>
      </c>
      <c r="AS106" s="365" t="str">
        <f t="shared" ca="1" si="25"/>
        <v/>
      </c>
      <c r="AT106" s="365" t="str">
        <f t="shared" ca="1" si="25"/>
        <v/>
      </c>
      <c r="AU106" s="365" t="str">
        <f t="shared" ca="1" si="25"/>
        <v/>
      </c>
      <c r="AV106" s="365" t="str">
        <f t="shared" ca="1" si="25"/>
        <v/>
      </c>
      <c r="AW106" s="365" t="str">
        <f t="shared" ca="1" si="25"/>
        <v/>
      </c>
      <c r="AX106" s="365" t="str">
        <f t="shared" ca="1" si="25"/>
        <v/>
      </c>
      <c r="AY106" s="365" t="str">
        <f t="shared" ca="1" si="25"/>
        <v/>
      </c>
      <c r="AZ106" s="365" t="str">
        <f t="shared" ca="1" si="25"/>
        <v/>
      </c>
      <c r="BA106" s="365">
        <f t="shared" ca="1" si="25"/>
        <v>0</v>
      </c>
      <c r="BB106" s="365">
        <f t="shared" ca="1" si="25"/>
        <v>0</v>
      </c>
      <c r="BC106" s="365">
        <f t="shared" ca="1" si="25"/>
        <v>0</v>
      </c>
      <c r="BD106" s="365">
        <f t="shared" ca="1" si="25"/>
        <v>0</v>
      </c>
      <c r="BE106" s="365">
        <f t="shared" ca="1" si="25"/>
        <v>0</v>
      </c>
      <c r="BF106" s="365">
        <f t="shared" ca="1" si="25"/>
        <v>0</v>
      </c>
      <c r="BG106" s="365" t="e">
        <f t="shared" ca="1" si="25"/>
        <v>#REF!</v>
      </c>
      <c r="BH106" s="365" t="e">
        <f t="shared" ca="1" si="25"/>
        <v>#REF!</v>
      </c>
      <c r="BI106" s="365" t="e">
        <f t="shared" ca="1" si="25"/>
        <v>#REF!</v>
      </c>
    </row>
    <row r="107" spans="1:61" outlineLevel="1" x14ac:dyDescent="0.15">
      <c r="A107" s="375">
        <v>53</v>
      </c>
      <c r="B107" s="365" t="str">
        <f t="shared" ca="1" si="26"/>
        <v/>
      </c>
      <c r="C107" s="365" t="str">
        <f t="shared" ca="1" si="26"/>
        <v/>
      </c>
      <c r="D107" s="365" t="str">
        <f t="shared" ca="1" si="26"/>
        <v/>
      </c>
      <c r="E107" s="365" t="str">
        <f t="shared" ca="1" si="26"/>
        <v/>
      </c>
      <c r="F107" s="365" t="str">
        <f t="shared" ca="1" si="26"/>
        <v/>
      </c>
      <c r="G107" s="365" t="str">
        <f t="shared" ca="1" si="26"/>
        <v/>
      </c>
      <c r="H107" s="365" t="str">
        <f t="shared" ca="1" si="26"/>
        <v/>
      </c>
      <c r="I107" s="365" t="str">
        <f t="shared" ca="1" si="26"/>
        <v/>
      </c>
      <c r="J107" s="365" t="str">
        <f t="shared" ca="1" si="26"/>
        <v/>
      </c>
      <c r="K107" s="365" t="str">
        <f t="shared" ca="1" si="26"/>
        <v/>
      </c>
      <c r="L107" s="365" t="str">
        <f t="shared" ca="1" si="26"/>
        <v/>
      </c>
      <c r="M107" s="365" t="str">
        <f t="shared" ca="1" si="26"/>
        <v/>
      </c>
      <c r="N107" s="365" t="str">
        <f t="shared" ca="1" si="26"/>
        <v/>
      </c>
      <c r="O107" s="365" t="str">
        <f t="shared" ca="1" si="26"/>
        <v/>
      </c>
      <c r="P107" s="365" t="str">
        <f t="shared" ca="1" si="26"/>
        <v/>
      </c>
      <c r="Q107" s="365" t="str">
        <f t="shared" ca="1" si="26"/>
        <v/>
      </c>
      <c r="R107" s="365" t="str">
        <f t="shared" ca="1" si="25"/>
        <v/>
      </c>
      <c r="S107" s="365" t="str">
        <f t="shared" ca="1" si="25"/>
        <v/>
      </c>
      <c r="T107" s="365" t="str">
        <f t="shared" ca="1" si="25"/>
        <v/>
      </c>
      <c r="U107" s="365" t="str">
        <f t="shared" ca="1" si="25"/>
        <v/>
      </c>
      <c r="V107" s="365" t="str">
        <f t="shared" ca="1" si="25"/>
        <v/>
      </c>
      <c r="W107" s="365" t="str">
        <f t="shared" ca="1" si="25"/>
        <v/>
      </c>
      <c r="X107" s="365" t="str">
        <f t="shared" ca="1" si="25"/>
        <v/>
      </c>
      <c r="Y107" s="365" t="str">
        <f t="shared" ca="1" si="25"/>
        <v/>
      </c>
      <c r="Z107" s="365" t="str">
        <f t="shared" ca="1" si="25"/>
        <v/>
      </c>
      <c r="AA107" s="365" t="str">
        <f t="shared" ca="1" si="25"/>
        <v/>
      </c>
      <c r="AB107" s="365" t="str">
        <f t="shared" ca="1" si="25"/>
        <v/>
      </c>
      <c r="AC107" s="365" t="str">
        <f t="shared" ca="1" si="25"/>
        <v/>
      </c>
      <c r="AD107" s="365" t="str">
        <f t="shared" ca="1" si="25"/>
        <v/>
      </c>
      <c r="AE107" s="365" t="str">
        <f t="shared" ca="1" si="25"/>
        <v/>
      </c>
      <c r="AF107" s="365" t="str">
        <f t="shared" ca="1" si="25"/>
        <v/>
      </c>
      <c r="AG107" s="365" t="str">
        <f t="shared" ca="1" si="25"/>
        <v/>
      </c>
      <c r="AH107" s="365" t="str">
        <f t="shared" ca="1" si="25"/>
        <v/>
      </c>
      <c r="AI107" s="365" t="str">
        <f t="shared" ca="1" si="25"/>
        <v/>
      </c>
      <c r="AJ107" s="365" t="str">
        <f t="shared" ca="1" si="25"/>
        <v/>
      </c>
      <c r="AK107" s="365" t="str">
        <f t="shared" ca="1" si="25"/>
        <v/>
      </c>
      <c r="AL107" s="365" t="str">
        <f t="shared" ca="1" si="25"/>
        <v/>
      </c>
      <c r="AM107" s="365" t="str">
        <f t="shared" ca="1" si="25"/>
        <v/>
      </c>
      <c r="AN107" s="365" t="str">
        <f t="shared" ca="1" si="25"/>
        <v/>
      </c>
      <c r="AO107" s="365" t="str">
        <f t="shared" ca="1" si="25"/>
        <v/>
      </c>
      <c r="AP107" s="365" t="str">
        <f t="shared" ca="1" si="25"/>
        <v/>
      </c>
      <c r="AQ107" s="365" t="str">
        <f t="shared" ca="1" si="25"/>
        <v/>
      </c>
      <c r="AR107" s="365" t="str">
        <f t="shared" ca="1" si="25"/>
        <v/>
      </c>
      <c r="AS107" s="365" t="str">
        <f t="shared" ca="1" si="25"/>
        <v/>
      </c>
      <c r="AT107" s="365" t="str">
        <f t="shared" ca="1" si="25"/>
        <v/>
      </c>
      <c r="AU107" s="365" t="str">
        <f t="shared" ca="1" si="25"/>
        <v/>
      </c>
      <c r="AV107" s="365" t="str">
        <f t="shared" ca="1" si="25"/>
        <v/>
      </c>
      <c r="AW107" s="365" t="str">
        <f t="shared" ca="1" si="25"/>
        <v/>
      </c>
      <c r="AX107" s="365" t="str">
        <f t="shared" ca="1" si="25"/>
        <v/>
      </c>
      <c r="AY107" s="365" t="str">
        <f t="shared" ca="1" si="25"/>
        <v/>
      </c>
      <c r="AZ107" s="365" t="str">
        <f t="shared" ca="1" si="25"/>
        <v/>
      </c>
      <c r="BA107" s="365" t="str">
        <f t="shared" ca="1" si="25"/>
        <v/>
      </c>
      <c r="BB107" s="365">
        <f t="shared" ca="1" si="25"/>
        <v>0</v>
      </c>
      <c r="BC107" s="365">
        <f t="shared" ca="1" si="25"/>
        <v>0</v>
      </c>
      <c r="BD107" s="365">
        <f t="shared" ca="1" si="25"/>
        <v>0</v>
      </c>
      <c r="BE107" s="365">
        <f t="shared" ca="1" si="25"/>
        <v>0</v>
      </c>
      <c r="BF107" s="365">
        <f t="shared" ca="1" si="25"/>
        <v>0</v>
      </c>
      <c r="BG107" s="365">
        <f t="shared" ca="1" si="25"/>
        <v>0</v>
      </c>
      <c r="BH107" s="365" t="e">
        <f t="shared" ca="1" si="25"/>
        <v>#REF!</v>
      </c>
      <c r="BI107" s="365" t="e">
        <f t="shared" ca="1" si="25"/>
        <v>#REF!</v>
      </c>
    </row>
    <row r="108" spans="1:61" outlineLevel="1" x14ac:dyDescent="0.15">
      <c r="A108" s="375">
        <v>54</v>
      </c>
      <c r="B108" s="365" t="str">
        <f t="shared" ca="1" si="26"/>
        <v/>
      </c>
      <c r="C108" s="365" t="str">
        <f t="shared" ca="1" si="26"/>
        <v/>
      </c>
      <c r="D108" s="365" t="str">
        <f t="shared" ca="1" si="26"/>
        <v/>
      </c>
      <c r="E108" s="365" t="str">
        <f t="shared" ca="1" si="26"/>
        <v/>
      </c>
      <c r="F108" s="365" t="str">
        <f t="shared" ca="1" si="26"/>
        <v/>
      </c>
      <c r="G108" s="365" t="str">
        <f t="shared" ca="1" si="26"/>
        <v/>
      </c>
      <c r="H108" s="365" t="str">
        <f t="shared" ca="1" si="26"/>
        <v/>
      </c>
      <c r="I108" s="365" t="str">
        <f t="shared" ca="1" si="26"/>
        <v/>
      </c>
      <c r="J108" s="365" t="str">
        <f t="shared" ca="1" si="26"/>
        <v/>
      </c>
      <c r="K108" s="365" t="str">
        <f t="shared" ca="1" si="26"/>
        <v/>
      </c>
      <c r="L108" s="365" t="str">
        <f t="shared" ca="1" si="26"/>
        <v/>
      </c>
      <c r="M108" s="365" t="str">
        <f t="shared" ca="1" si="26"/>
        <v/>
      </c>
      <c r="N108" s="365" t="str">
        <f t="shared" ca="1" si="26"/>
        <v/>
      </c>
      <c r="O108" s="365" t="str">
        <f t="shared" ca="1" si="26"/>
        <v/>
      </c>
      <c r="P108" s="365" t="str">
        <f t="shared" ca="1" si="26"/>
        <v/>
      </c>
      <c r="Q108" s="365" t="str">
        <f t="shared" ca="1" si="26"/>
        <v/>
      </c>
      <c r="R108" s="365" t="str">
        <f t="shared" ca="1" si="25"/>
        <v/>
      </c>
      <c r="S108" s="365" t="str">
        <f t="shared" ca="1" si="25"/>
        <v/>
      </c>
      <c r="T108" s="365" t="str">
        <f t="shared" ref="T108:BZ112" ca="1" si="27">IF($A108&gt;T$5,"",OFFSET(T$54,0,-($A108-1)))</f>
        <v/>
      </c>
      <c r="U108" s="365" t="str">
        <f t="shared" ca="1" si="27"/>
        <v/>
      </c>
      <c r="V108" s="365" t="str">
        <f t="shared" ca="1" si="27"/>
        <v/>
      </c>
      <c r="W108" s="365" t="str">
        <f t="shared" ca="1" si="27"/>
        <v/>
      </c>
      <c r="X108" s="365" t="str">
        <f t="shared" ca="1" si="27"/>
        <v/>
      </c>
      <c r="Y108" s="365" t="str">
        <f t="shared" ca="1" si="27"/>
        <v/>
      </c>
      <c r="Z108" s="365" t="str">
        <f t="shared" ca="1" si="27"/>
        <v/>
      </c>
      <c r="AA108" s="365" t="str">
        <f t="shared" ca="1" si="27"/>
        <v/>
      </c>
      <c r="AB108" s="365" t="str">
        <f t="shared" ca="1" si="27"/>
        <v/>
      </c>
      <c r="AC108" s="365" t="str">
        <f t="shared" ca="1" si="27"/>
        <v/>
      </c>
      <c r="AD108" s="365" t="str">
        <f t="shared" ca="1" si="27"/>
        <v/>
      </c>
      <c r="AE108" s="365" t="str">
        <f t="shared" ca="1" si="27"/>
        <v/>
      </c>
      <c r="AF108" s="365" t="str">
        <f t="shared" ca="1" si="27"/>
        <v/>
      </c>
      <c r="AG108" s="365" t="str">
        <f t="shared" ca="1" si="27"/>
        <v/>
      </c>
      <c r="AH108" s="365" t="str">
        <f t="shared" ca="1" si="27"/>
        <v/>
      </c>
      <c r="AI108" s="365" t="str">
        <f t="shared" ca="1" si="27"/>
        <v/>
      </c>
      <c r="AJ108" s="365" t="str">
        <f t="shared" ca="1" si="27"/>
        <v/>
      </c>
      <c r="AK108" s="365" t="str">
        <f t="shared" ca="1" si="27"/>
        <v/>
      </c>
      <c r="AL108" s="365" t="str">
        <f t="shared" ca="1" si="27"/>
        <v/>
      </c>
      <c r="AM108" s="365" t="str">
        <f t="shared" ca="1" si="27"/>
        <v/>
      </c>
      <c r="AN108" s="365" t="str">
        <f t="shared" ca="1" si="27"/>
        <v/>
      </c>
      <c r="AO108" s="365" t="str">
        <f t="shared" ca="1" si="27"/>
        <v/>
      </c>
      <c r="AP108" s="365" t="str">
        <f t="shared" ca="1" si="27"/>
        <v/>
      </c>
      <c r="AQ108" s="365" t="str">
        <f t="shared" ca="1" si="27"/>
        <v/>
      </c>
      <c r="AR108" s="365" t="str">
        <f t="shared" ca="1" si="27"/>
        <v/>
      </c>
      <c r="AS108" s="365" t="str">
        <f t="shared" ca="1" si="27"/>
        <v/>
      </c>
      <c r="AT108" s="365" t="str">
        <f t="shared" ca="1" si="27"/>
        <v/>
      </c>
      <c r="AU108" s="365" t="str">
        <f t="shared" ca="1" si="27"/>
        <v/>
      </c>
      <c r="AV108" s="365" t="str">
        <f t="shared" ca="1" si="27"/>
        <v/>
      </c>
      <c r="AW108" s="365" t="str">
        <f t="shared" ca="1" si="27"/>
        <v/>
      </c>
      <c r="AX108" s="365" t="str">
        <f t="shared" ca="1" si="27"/>
        <v/>
      </c>
      <c r="AY108" s="365" t="str">
        <f t="shared" ca="1" si="27"/>
        <v/>
      </c>
      <c r="AZ108" s="365" t="str">
        <f t="shared" ca="1" si="27"/>
        <v/>
      </c>
      <c r="BA108" s="365" t="str">
        <f t="shared" ca="1" si="27"/>
        <v/>
      </c>
      <c r="BB108" s="365" t="str">
        <f t="shared" ca="1" si="27"/>
        <v/>
      </c>
      <c r="BC108" s="365">
        <f t="shared" ca="1" si="27"/>
        <v>0</v>
      </c>
      <c r="BD108" s="365">
        <f t="shared" ca="1" si="27"/>
        <v>0</v>
      </c>
      <c r="BE108" s="365">
        <f t="shared" ca="1" si="27"/>
        <v>0</v>
      </c>
      <c r="BF108" s="365">
        <f t="shared" ca="1" si="27"/>
        <v>0</v>
      </c>
      <c r="BG108" s="365">
        <f t="shared" ca="1" si="27"/>
        <v>0</v>
      </c>
      <c r="BH108" s="365">
        <f t="shared" ca="1" si="27"/>
        <v>0</v>
      </c>
      <c r="BI108" s="365" t="e">
        <f t="shared" ca="1" si="27"/>
        <v>#REF!</v>
      </c>
    </row>
    <row r="109" spans="1:61" outlineLevel="1" x14ac:dyDescent="0.15">
      <c r="A109" s="375">
        <v>55</v>
      </c>
      <c r="B109" s="365" t="str">
        <f t="shared" ca="1" si="26"/>
        <v/>
      </c>
      <c r="C109" s="365" t="str">
        <f t="shared" ca="1" si="26"/>
        <v/>
      </c>
      <c r="D109" s="365" t="str">
        <f t="shared" ca="1" si="26"/>
        <v/>
      </c>
      <c r="E109" s="365" t="str">
        <f t="shared" ca="1" si="26"/>
        <v/>
      </c>
      <c r="F109" s="365" t="str">
        <f t="shared" ca="1" si="26"/>
        <v/>
      </c>
      <c r="G109" s="365" t="str">
        <f t="shared" ca="1" si="26"/>
        <v/>
      </c>
      <c r="H109" s="365" t="str">
        <f t="shared" ca="1" si="26"/>
        <v/>
      </c>
      <c r="I109" s="365" t="str">
        <f t="shared" ca="1" si="26"/>
        <v/>
      </c>
      <c r="J109" s="365" t="str">
        <f t="shared" ca="1" si="26"/>
        <v/>
      </c>
      <c r="K109" s="365" t="str">
        <f t="shared" ca="1" si="26"/>
        <v/>
      </c>
      <c r="L109" s="365" t="str">
        <f t="shared" ca="1" si="26"/>
        <v/>
      </c>
      <c r="M109" s="365" t="str">
        <f t="shared" ca="1" si="26"/>
        <v/>
      </c>
      <c r="N109" s="365" t="str">
        <f t="shared" ca="1" si="26"/>
        <v/>
      </c>
      <c r="O109" s="365" t="str">
        <f t="shared" ca="1" si="26"/>
        <v/>
      </c>
      <c r="P109" s="365" t="str">
        <f t="shared" ca="1" si="26"/>
        <v/>
      </c>
      <c r="Q109" s="365" t="str">
        <f t="shared" ca="1" si="26"/>
        <v/>
      </c>
      <c r="R109" s="365" t="str">
        <f t="shared" ref="R109:BX114" ca="1" si="28">IF($A109&gt;R$5,"",OFFSET(R$54,0,-($A109-1)))</f>
        <v/>
      </c>
      <c r="S109" s="365" t="str">
        <f t="shared" ca="1" si="28"/>
        <v/>
      </c>
      <c r="T109" s="365" t="str">
        <f t="shared" ca="1" si="28"/>
        <v/>
      </c>
      <c r="U109" s="365" t="str">
        <f t="shared" ca="1" si="28"/>
        <v/>
      </c>
      <c r="V109" s="365" t="str">
        <f t="shared" ca="1" si="28"/>
        <v/>
      </c>
      <c r="W109" s="365" t="str">
        <f t="shared" ca="1" si="28"/>
        <v/>
      </c>
      <c r="X109" s="365" t="str">
        <f t="shared" ca="1" si="28"/>
        <v/>
      </c>
      <c r="Y109" s="365" t="str">
        <f t="shared" ca="1" si="28"/>
        <v/>
      </c>
      <c r="Z109" s="365" t="str">
        <f t="shared" ca="1" si="28"/>
        <v/>
      </c>
      <c r="AA109" s="365" t="str">
        <f t="shared" ca="1" si="28"/>
        <v/>
      </c>
      <c r="AB109" s="365" t="str">
        <f t="shared" ca="1" si="28"/>
        <v/>
      </c>
      <c r="AC109" s="365" t="str">
        <f t="shared" ca="1" si="28"/>
        <v/>
      </c>
      <c r="AD109" s="365" t="str">
        <f t="shared" ca="1" si="28"/>
        <v/>
      </c>
      <c r="AE109" s="365" t="str">
        <f t="shared" ca="1" si="28"/>
        <v/>
      </c>
      <c r="AF109" s="365" t="str">
        <f t="shared" ca="1" si="28"/>
        <v/>
      </c>
      <c r="AG109" s="365" t="str">
        <f t="shared" ca="1" si="28"/>
        <v/>
      </c>
      <c r="AH109" s="365" t="str">
        <f t="shared" ca="1" si="28"/>
        <v/>
      </c>
      <c r="AI109" s="365" t="str">
        <f t="shared" ca="1" si="28"/>
        <v/>
      </c>
      <c r="AJ109" s="365" t="str">
        <f t="shared" ca="1" si="28"/>
        <v/>
      </c>
      <c r="AK109" s="365" t="str">
        <f t="shared" ca="1" si="28"/>
        <v/>
      </c>
      <c r="AL109" s="365" t="str">
        <f t="shared" ca="1" si="28"/>
        <v/>
      </c>
      <c r="AM109" s="365" t="str">
        <f t="shared" ca="1" si="28"/>
        <v/>
      </c>
      <c r="AN109" s="365" t="str">
        <f t="shared" ca="1" si="28"/>
        <v/>
      </c>
      <c r="AO109" s="365" t="str">
        <f t="shared" ca="1" si="28"/>
        <v/>
      </c>
      <c r="AP109" s="365" t="str">
        <f t="shared" ca="1" si="28"/>
        <v/>
      </c>
      <c r="AQ109" s="365" t="str">
        <f t="shared" ca="1" si="28"/>
        <v/>
      </c>
      <c r="AR109" s="365" t="str">
        <f t="shared" ca="1" si="28"/>
        <v/>
      </c>
      <c r="AS109" s="365" t="str">
        <f t="shared" ca="1" si="28"/>
        <v/>
      </c>
      <c r="AT109" s="365" t="str">
        <f t="shared" ca="1" si="28"/>
        <v/>
      </c>
      <c r="AU109" s="365" t="str">
        <f t="shared" ca="1" si="28"/>
        <v/>
      </c>
      <c r="AV109" s="365" t="str">
        <f t="shared" ca="1" si="28"/>
        <v/>
      </c>
      <c r="AW109" s="365" t="str">
        <f t="shared" ca="1" si="28"/>
        <v/>
      </c>
      <c r="AX109" s="365" t="str">
        <f t="shared" ca="1" si="28"/>
        <v/>
      </c>
      <c r="AY109" s="365" t="str">
        <f t="shared" ca="1" si="28"/>
        <v/>
      </c>
      <c r="AZ109" s="365" t="str">
        <f t="shared" ca="1" si="28"/>
        <v/>
      </c>
      <c r="BA109" s="365" t="str">
        <f t="shared" ca="1" si="28"/>
        <v/>
      </c>
      <c r="BB109" s="365" t="str">
        <f t="shared" ca="1" si="28"/>
        <v/>
      </c>
      <c r="BC109" s="365" t="str">
        <f t="shared" ca="1" si="28"/>
        <v/>
      </c>
      <c r="BD109" s="365">
        <f t="shared" ca="1" si="28"/>
        <v>0</v>
      </c>
      <c r="BE109" s="365">
        <f t="shared" ca="1" si="28"/>
        <v>0</v>
      </c>
      <c r="BF109" s="365">
        <f t="shared" ca="1" si="28"/>
        <v>0</v>
      </c>
      <c r="BG109" s="365">
        <f t="shared" ca="1" si="28"/>
        <v>0</v>
      </c>
      <c r="BH109" s="365">
        <f t="shared" ca="1" si="28"/>
        <v>0</v>
      </c>
      <c r="BI109" s="365">
        <f t="shared" ca="1" si="28"/>
        <v>0</v>
      </c>
    </row>
    <row r="110" spans="1:61" outlineLevel="1" x14ac:dyDescent="0.15">
      <c r="A110" s="375">
        <v>56</v>
      </c>
      <c r="B110" s="365" t="str">
        <f t="shared" ca="1" si="26"/>
        <v/>
      </c>
      <c r="C110" s="365" t="str">
        <f t="shared" ca="1" si="26"/>
        <v/>
      </c>
      <c r="D110" s="365" t="str">
        <f t="shared" ca="1" si="26"/>
        <v/>
      </c>
      <c r="E110" s="365" t="str">
        <f t="shared" ca="1" si="26"/>
        <v/>
      </c>
      <c r="F110" s="365" t="str">
        <f t="shared" ca="1" si="26"/>
        <v/>
      </c>
      <c r="G110" s="365" t="str">
        <f t="shared" ca="1" si="26"/>
        <v/>
      </c>
      <c r="H110" s="365" t="str">
        <f t="shared" ca="1" si="26"/>
        <v/>
      </c>
      <c r="I110" s="365" t="str">
        <f t="shared" ca="1" si="26"/>
        <v/>
      </c>
      <c r="J110" s="365" t="str">
        <f t="shared" ca="1" si="26"/>
        <v/>
      </c>
      <c r="K110" s="365" t="str">
        <f t="shared" ca="1" si="26"/>
        <v/>
      </c>
      <c r="L110" s="365" t="str">
        <f t="shared" ca="1" si="26"/>
        <v/>
      </c>
      <c r="M110" s="365" t="str">
        <f t="shared" ca="1" si="26"/>
        <v/>
      </c>
      <c r="N110" s="365" t="str">
        <f t="shared" ca="1" si="26"/>
        <v/>
      </c>
      <c r="O110" s="365" t="str">
        <f t="shared" ca="1" si="26"/>
        <v/>
      </c>
      <c r="P110" s="365" t="str">
        <f t="shared" ca="1" si="26"/>
        <v/>
      </c>
      <c r="Q110" s="365" t="str">
        <f t="shared" ca="1" si="26"/>
        <v/>
      </c>
      <c r="R110" s="365" t="str">
        <f t="shared" ca="1" si="28"/>
        <v/>
      </c>
      <c r="S110" s="365" t="str">
        <f t="shared" ca="1" si="28"/>
        <v/>
      </c>
      <c r="T110" s="365" t="str">
        <f t="shared" ca="1" si="28"/>
        <v/>
      </c>
      <c r="U110" s="365" t="str">
        <f t="shared" ca="1" si="28"/>
        <v/>
      </c>
      <c r="V110" s="365" t="str">
        <f t="shared" ca="1" si="28"/>
        <v/>
      </c>
      <c r="W110" s="365" t="str">
        <f t="shared" ca="1" si="28"/>
        <v/>
      </c>
      <c r="X110" s="365" t="str">
        <f t="shared" ca="1" si="28"/>
        <v/>
      </c>
      <c r="Y110" s="365" t="str">
        <f t="shared" ca="1" si="28"/>
        <v/>
      </c>
      <c r="Z110" s="365" t="str">
        <f t="shared" ca="1" si="28"/>
        <v/>
      </c>
      <c r="AA110" s="365" t="str">
        <f t="shared" ca="1" si="28"/>
        <v/>
      </c>
      <c r="AB110" s="365" t="str">
        <f t="shared" ca="1" si="28"/>
        <v/>
      </c>
      <c r="AC110" s="365" t="str">
        <f t="shared" ca="1" si="28"/>
        <v/>
      </c>
      <c r="AD110" s="365" t="str">
        <f t="shared" ca="1" si="28"/>
        <v/>
      </c>
      <c r="AE110" s="365" t="str">
        <f t="shared" ca="1" si="28"/>
        <v/>
      </c>
      <c r="AF110" s="365" t="str">
        <f t="shared" ca="1" si="28"/>
        <v/>
      </c>
      <c r="AG110" s="365" t="str">
        <f t="shared" ca="1" si="28"/>
        <v/>
      </c>
      <c r="AH110" s="365" t="str">
        <f t="shared" ca="1" si="28"/>
        <v/>
      </c>
      <c r="AI110" s="365" t="str">
        <f t="shared" ca="1" si="28"/>
        <v/>
      </c>
      <c r="AJ110" s="365" t="str">
        <f t="shared" ca="1" si="28"/>
        <v/>
      </c>
      <c r="AK110" s="365" t="str">
        <f t="shared" ca="1" si="28"/>
        <v/>
      </c>
      <c r="AL110" s="365" t="str">
        <f t="shared" ca="1" si="28"/>
        <v/>
      </c>
      <c r="AM110" s="365" t="str">
        <f t="shared" ca="1" si="28"/>
        <v/>
      </c>
      <c r="AN110" s="365" t="str">
        <f t="shared" ca="1" si="28"/>
        <v/>
      </c>
      <c r="AO110" s="365" t="str">
        <f t="shared" ca="1" si="28"/>
        <v/>
      </c>
      <c r="AP110" s="365" t="str">
        <f t="shared" ca="1" si="28"/>
        <v/>
      </c>
      <c r="AQ110" s="365" t="str">
        <f t="shared" ca="1" si="28"/>
        <v/>
      </c>
      <c r="AR110" s="365" t="str">
        <f t="shared" ca="1" si="28"/>
        <v/>
      </c>
      <c r="AS110" s="365" t="str">
        <f t="shared" ca="1" si="28"/>
        <v/>
      </c>
      <c r="AT110" s="365" t="str">
        <f t="shared" ca="1" si="28"/>
        <v/>
      </c>
      <c r="AU110" s="365" t="str">
        <f t="shared" ca="1" si="28"/>
        <v/>
      </c>
      <c r="AV110" s="365" t="str">
        <f t="shared" ca="1" si="28"/>
        <v/>
      </c>
      <c r="AW110" s="365" t="str">
        <f t="shared" ca="1" si="28"/>
        <v/>
      </c>
      <c r="AX110" s="365" t="str">
        <f t="shared" ca="1" si="28"/>
        <v/>
      </c>
      <c r="AY110" s="365" t="str">
        <f t="shared" ca="1" si="28"/>
        <v/>
      </c>
      <c r="AZ110" s="365" t="str">
        <f t="shared" ca="1" si="28"/>
        <v/>
      </c>
      <c r="BA110" s="365" t="str">
        <f t="shared" ca="1" si="28"/>
        <v/>
      </c>
      <c r="BB110" s="365" t="str">
        <f t="shared" ca="1" si="28"/>
        <v/>
      </c>
      <c r="BC110" s="365" t="str">
        <f t="shared" ca="1" si="28"/>
        <v/>
      </c>
      <c r="BD110" s="365" t="str">
        <f t="shared" ca="1" si="28"/>
        <v/>
      </c>
      <c r="BE110" s="365">
        <f t="shared" ca="1" si="28"/>
        <v>0</v>
      </c>
      <c r="BF110" s="365">
        <f t="shared" ca="1" si="28"/>
        <v>0</v>
      </c>
      <c r="BG110" s="365">
        <f t="shared" ca="1" si="28"/>
        <v>0</v>
      </c>
      <c r="BH110" s="365">
        <f t="shared" ca="1" si="28"/>
        <v>0</v>
      </c>
      <c r="BI110" s="365">
        <f t="shared" ca="1" si="28"/>
        <v>0</v>
      </c>
    </row>
    <row r="111" spans="1:61" outlineLevel="1" x14ac:dyDescent="0.15">
      <c r="A111" s="375">
        <v>57</v>
      </c>
      <c r="B111" s="365" t="str">
        <f t="shared" ca="1" si="26"/>
        <v/>
      </c>
      <c r="C111" s="365" t="str">
        <f t="shared" ca="1" si="26"/>
        <v/>
      </c>
      <c r="D111" s="365" t="str">
        <f t="shared" ca="1" si="26"/>
        <v/>
      </c>
      <c r="E111" s="365" t="str">
        <f t="shared" ca="1" si="26"/>
        <v/>
      </c>
      <c r="F111" s="365" t="str">
        <f t="shared" ca="1" si="26"/>
        <v/>
      </c>
      <c r="G111" s="365" t="str">
        <f t="shared" ca="1" si="26"/>
        <v/>
      </c>
      <c r="H111" s="365" t="str">
        <f t="shared" ca="1" si="26"/>
        <v/>
      </c>
      <c r="I111" s="365" t="str">
        <f t="shared" ca="1" si="26"/>
        <v/>
      </c>
      <c r="J111" s="365" t="str">
        <f t="shared" ca="1" si="26"/>
        <v/>
      </c>
      <c r="K111" s="365" t="str">
        <f t="shared" ca="1" si="26"/>
        <v/>
      </c>
      <c r="L111" s="365" t="str">
        <f t="shared" ca="1" si="26"/>
        <v/>
      </c>
      <c r="M111" s="365" t="str">
        <f t="shared" ca="1" si="26"/>
        <v/>
      </c>
      <c r="N111" s="365" t="str">
        <f t="shared" ca="1" si="26"/>
        <v/>
      </c>
      <c r="O111" s="365" t="str">
        <f t="shared" ca="1" si="26"/>
        <v/>
      </c>
      <c r="P111" s="365" t="str">
        <f t="shared" ca="1" si="26"/>
        <v/>
      </c>
      <c r="Q111" s="365" t="str">
        <f t="shared" ca="1" si="26"/>
        <v/>
      </c>
      <c r="R111" s="365" t="str">
        <f t="shared" ca="1" si="28"/>
        <v/>
      </c>
      <c r="S111" s="365" t="str">
        <f t="shared" ca="1" si="28"/>
        <v/>
      </c>
      <c r="T111" s="365" t="str">
        <f t="shared" ca="1" si="28"/>
        <v/>
      </c>
      <c r="U111" s="365" t="str">
        <f t="shared" ca="1" si="28"/>
        <v/>
      </c>
      <c r="V111" s="365" t="str">
        <f t="shared" ca="1" si="28"/>
        <v/>
      </c>
      <c r="W111" s="365" t="str">
        <f t="shared" ca="1" si="28"/>
        <v/>
      </c>
      <c r="X111" s="365" t="str">
        <f t="shared" ca="1" si="28"/>
        <v/>
      </c>
      <c r="Y111" s="365" t="str">
        <f t="shared" ca="1" si="28"/>
        <v/>
      </c>
      <c r="Z111" s="365" t="str">
        <f t="shared" ca="1" si="28"/>
        <v/>
      </c>
      <c r="AA111" s="365" t="str">
        <f t="shared" ca="1" si="28"/>
        <v/>
      </c>
      <c r="AB111" s="365" t="str">
        <f t="shared" ca="1" si="28"/>
        <v/>
      </c>
      <c r="AC111" s="365" t="str">
        <f t="shared" ca="1" si="28"/>
        <v/>
      </c>
      <c r="AD111" s="365" t="str">
        <f t="shared" ca="1" si="28"/>
        <v/>
      </c>
      <c r="AE111" s="365" t="str">
        <f t="shared" ca="1" si="28"/>
        <v/>
      </c>
      <c r="AF111" s="365" t="str">
        <f t="shared" ca="1" si="28"/>
        <v/>
      </c>
      <c r="AG111" s="365" t="str">
        <f t="shared" ca="1" si="28"/>
        <v/>
      </c>
      <c r="AH111" s="365" t="str">
        <f t="shared" ca="1" si="28"/>
        <v/>
      </c>
      <c r="AI111" s="365" t="str">
        <f t="shared" ca="1" si="28"/>
        <v/>
      </c>
      <c r="AJ111" s="365" t="str">
        <f t="shared" ca="1" si="28"/>
        <v/>
      </c>
      <c r="AK111" s="365" t="str">
        <f t="shared" ca="1" si="28"/>
        <v/>
      </c>
      <c r="AL111" s="365" t="str">
        <f t="shared" ca="1" si="28"/>
        <v/>
      </c>
      <c r="AM111" s="365" t="str">
        <f t="shared" ca="1" si="28"/>
        <v/>
      </c>
      <c r="AN111" s="365" t="str">
        <f t="shared" ca="1" si="28"/>
        <v/>
      </c>
      <c r="AO111" s="365" t="str">
        <f t="shared" ca="1" si="28"/>
        <v/>
      </c>
      <c r="AP111" s="365" t="str">
        <f t="shared" ca="1" si="28"/>
        <v/>
      </c>
      <c r="AQ111" s="365" t="str">
        <f t="shared" ca="1" si="28"/>
        <v/>
      </c>
      <c r="AR111" s="365" t="str">
        <f t="shared" ca="1" si="28"/>
        <v/>
      </c>
      <c r="AS111" s="365" t="str">
        <f t="shared" ca="1" si="28"/>
        <v/>
      </c>
      <c r="AT111" s="365" t="str">
        <f t="shared" ca="1" si="28"/>
        <v/>
      </c>
      <c r="AU111" s="365" t="str">
        <f t="shared" ca="1" si="28"/>
        <v/>
      </c>
      <c r="AV111" s="365" t="str">
        <f t="shared" ca="1" si="28"/>
        <v/>
      </c>
      <c r="AW111" s="365" t="str">
        <f t="shared" ca="1" si="28"/>
        <v/>
      </c>
      <c r="AX111" s="365" t="str">
        <f t="shared" ca="1" si="28"/>
        <v/>
      </c>
      <c r="AY111" s="365" t="str">
        <f t="shared" ca="1" si="28"/>
        <v/>
      </c>
      <c r="AZ111" s="365" t="str">
        <f t="shared" ca="1" si="28"/>
        <v/>
      </c>
      <c r="BA111" s="365" t="str">
        <f t="shared" ca="1" si="28"/>
        <v/>
      </c>
      <c r="BB111" s="365" t="str">
        <f t="shared" ca="1" si="28"/>
        <v/>
      </c>
      <c r="BC111" s="365" t="str">
        <f t="shared" ca="1" si="28"/>
        <v/>
      </c>
      <c r="BD111" s="365" t="str">
        <f t="shared" ca="1" si="28"/>
        <v/>
      </c>
      <c r="BE111" s="365" t="str">
        <f t="shared" ca="1" si="28"/>
        <v/>
      </c>
      <c r="BF111" s="365">
        <f t="shared" ca="1" si="28"/>
        <v>0</v>
      </c>
      <c r="BG111" s="365">
        <f t="shared" ca="1" si="28"/>
        <v>0</v>
      </c>
      <c r="BH111" s="365">
        <f t="shared" ca="1" si="28"/>
        <v>0</v>
      </c>
      <c r="BI111" s="365">
        <f t="shared" ca="1" si="28"/>
        <v>0</v>
      </c>
    </row>
    <row r="112" spans="1:61" outlineLevel="1" x14ac:dyDescent="0.15">
      <c r="A112" s="375">
        <v>58</v>
      </c>
      <c r="B112" s="365" t="str">
        <f t="shared" ca="1" si="26"/>
        <v/>
      </c>
      <c r="C112" s="365" t="str">
        <f t="shared" ca="1" si="26"/>
        <v/>
      </c>
      <c r="D112" s="365" t="str">
        <f t="shared" ca="1" si="26"/>
        <v/>
      </c>
      <c r="E112" s="365" t="str">
        <f t="shared" ca="1" si="26"/>
        <v/>
      </c>
      <c r="F112" s="365" t="str">
        <f t="shared" ca="1" si="26"/>
        <v/>
      </c>
      <c r="G112" s="365" t="str">
        <f t="shared" ca="1" si="26"/>
        <v/>
      </c>
      <c r="H112" s="365" t="str">
        <f t="shared" ca="1" si="26"/>
        <v/>
      </c>
      <c r="I112" s="365" t="str">
        <f t="shared" ca="1" si="26"/>
        <v/>
      </c>
      <c r="J112" s="365" t="str">
        <f t="shared" ca="1" si="26"/>
        <v/>
      </c>
      <c r="K112" s="365" t="str">
        <f t="shared" ca="1" si="26"/>
        <v/>
      </c>
      <c r="L112" s="365" t="str">
        <f t="shared" ca="1" si="26"/>
        <v/>
      </c>
      <c r="M112" s="365" t="str">
        <f t="shared" ca="1" si="26"/>
        <v/>
      </c>
      <c r="N112" s="365" t="str">
        <f t="shared" ca="1" si="26"/>
        <v/>
      </c>
      <c r="O112" s="365" t="str">
        <f t="shared" ca="1" si="26"/>
        <v/>
      </c>
      <c r="P112" s="365" t="str">
        <f t="shared" ca="1" si="26"/>
        <v/>
      </c>
      <c r="Q112" s="365" t="str">
        <f t="shared" ca="1" si="26"/>
        <v/>
      </c>
      <c r="R112" s="365" t="str">
        <f t="shared" ca="1" si="28"/>
        <v/>
      </c>
      <c r="S112" s="365" t="str">
        <f t="shared" ca="1" si="28"/>
        <v/>
      </c>
      <c r="T112" s="365" t="str">
        <f t="shared" ca="1" si="28"/>
        <v/>
      </c>
      <c r="U112" s="365" t="str">
        <f t="shared" ca="1" si="28"/>
        <v/>
      </c>
      <c r="V112" s="365" t="str">
        <f t="shared" ca="1" si="28"/>
        <v/>
      </c>
      <c r="W112" s="365" t="str">
        <f t="shared" ca="1" si="28"/>
        <v/>
      </c>
      <c r="X112" s="365" t="str">
        <f t="shared" ca="1" si="28"/>
        <v/>
      </c>
      <c r="Y112" s="365" t="str">
        <f t="shared" ca="1" si="28"/>
        <v/>
      </c>
      <c r="Z112" s="365" t="str">
        <f t="shared" ca="1" si="28"/>
        <v/>
      </c>
      <c r="AA112" s="365" t="str">
        <f t="shared" ca="1" si="28"/>
        <v/>
      </c>
      <c r="AB112" s="365" t="str">
        <f t="shared" ca="1" si="28"/>
        <v/>
      </c>
      <c r="AC112" s="365" t="str">
        <f t="shared" ca="1" si="28"/>
        <v/>
      </c>
      <c r="AD112" s="365" t="str">
        <f t="shared" ca="1" si="28"/>
        <v/>
      </c>
      <c r="AE112" s="365" t="str">
        <f t="shared" ca="1" si="28"/>
        <v/>
      </c>
      <c r="AF112" s="365" t="str">
        <f t="shared" ca="1" si="28"/>
        <v/>
      </c>
      <c r="AG112" s="365" t="str">
        <f t="shared" ca="1" si="28"/>
        <v/>
      </c>
      <c r="AH112" s="365" t="str">
        <f t="shared" ca="1" si="28"/>
        <v/>
      </c>
      <c r="AI112" s="365" t="str">
        <f t="shared" ca="1" si="28"/>
        <v/>
      </c>
      <c r="AJ112" s="365" t="str">
        <f t="shared" ca="1" si="28"/>
        <v/>
      </c>
      <c r="AK112" s="365" t="str">
        <f t="shared" ca="1" si="28"/>
        <v/>
      </c>
      <c r="AL112" s="365" t="str">
        <f t="shared" ca="1" si="28"/>
        <v/>
      </c>
      <c r="AM112" s="365" t="str">
        <f t="shared" ca="1" si="28"/>
        <v/>
      </c>
      <c r="AN112" s="365" t="str">
        <f t="shared" ca="1" si="28"/>
        <v/>
      </c>
      <c r="AO112" s="365" t="str">
        <f t="shared" ca="1" si="28"/>
        <v/>
      </c>
      <c r="AP112" s="365" t="str">
        <f t="shared" ca="1" si="28"/>
        <v/>
      </c>
      <c r="AQ112" s="365" t="str">
        <f t="shared" ca="1" si="28"/>
        <v/>
      </c>
      <c r="AR112" s="365" t="str">
        <f t="shared" ca="1" si="28"/>
        <v/>
      </c>
      <c r="AS112" s="365" t="str">
        <f t="shared" ca="1" si="28"/>
        <v/>
      </c>
      <c r="AT112" s="365" t="str">
        <f t="shared" ca="1" si="28"/>
        <v/>
      </c>
      <c r="AU112" s="365" t="str">
        <f t="shared" ca="1" si="28"/>
        <v/>
      </c>
      <c r="AV112" s="365" t="str">
        <f t="shared" ca="1" si="28"/>
        <v/>
      </c>
      <c r="AW112" s="365" t="str">
        <f t="shared" ca="1" si="28"/>
        <v/>
      </c>
      <c r="AX112" s="365" t="str">
        <f t="shared" ca="1" si="28"/>
        <v/>
      </c>
      <c r="AY112" s="365" t="str">
        <f t="shared" ca="1" si="28"/>
        <v/>
      </c>
      <c r="AZ112" s="365" t="str">
        <f t="shared" ca="1" si="28"/>
        <v/>
      </c>
      <c r="BA112" s="365" t="str">
        <f t="shared" ca="1" si="28"/>
        <v/>
      </c>
      <c r="BB112" s="365" t="str">
        <f t="shared" ca="1" si="28"/>
        <v/>
      </c>
      <c r="BC112" s="365" t="str">
        <f t="shared" ca="1" si="28"/>
        <v/>
      </c>
      <c r="BD112" s="365" t="str">
        <f t="shared" ca="1" si="28"/>
        <v/>
      </c>
      <c r="BE112" s="365" t="str">
        <f t="shared" ca="1" si="28"/>
        <v/>
      </c>
      <c r="BF112" s="365" t="str">
        <f t="shared" ca="1" si="28"/>
        <v/>
      </c>
      <c r="BG112" s="365">
        <f t="shared" ca="1" si="28"/>
        <v>0</v>
      </c>
      <c r="BH112" s="365">
        <f t="shared" ca="1" si="28"/>
        <v>0</v>
      </c>
      <c r="BI112" s="365">
        <f t="shared" ca="1" si="28"/>
        <v>0</v>
      </c>
    </row>
    <row r="113" spans="1:61" outlineLevel="1" x14ac:dyDescent="0.15">
      <c r="A113" s="375">
        <v>59</v>
      </c>
      <c r="B113" s="365" t="str">
        <f t="shared" ca="1" si="26"/>
        <v/>
      </c>
      <c r="C113" s="365" t="str">
        <f t="shared" ca="1" si="26"/>
        <v/>
      </c>
      <c r="D113" s="365" t="str">
        <f t="shared" ca="1" si="26"/>
        <v/>
      </c>
      <c r="E113" s="365" t="str">
        <f t="shared" ca="1" si="26"/>
        <v/>
      </c>
      <c r="F113" s="365" t="str">
        <f t="shared" ca="1" si="26"/>
        <v/>
      </c>
      <c r="G113" s="365" t="str">
        <f t="shared" ca="1" si="26"/>
        <v/>
      </c>
      <c r="H113" s="365" t="str">
        <f t="shared" ca="1" si="26"/>
        <v/>
      </c>
      <c r="I113" s="365" t="str">
        <f t="shared" ca="1" si="26"/>
        <v/>
      </c>
      <c r="J113" s="365" t="str">
        <f t="shared" ca="1" si="26"/>
        <v/>
      </c>
      <c r="K113" s="365" t="str">
        <f t="shared" ca="1" si="26"/>
        <v/>
      </c>
      <c r="L113" s="365" t="str">
        <f t="shared" ca="1" si="26"/>
        <v/>
      </c>
      <c r="M113" s="365" t="str">
        <f t="shared" ca="1" si="26"/>
        <v/>
      </c>
      <c r="N113" s="365" t="str">
        <f t="shared" ca="1" si="26"/>
        <v/>
      </c>
      <c r="O113" s="365" t="str">
        <f t="shared" ca="1" si="26"/>
        <v/>
      </c>
      <c r="P113" s="365" t="str">
        <f t="shared" ca="1" si="26"/>
        <v/>
      </c>
      <c r="Q113" s="365" t="str">
        <f t="shared" ca="1" si="26"/>
        <v/>
      </c>
      <c r="R113" s="365" t="str">
        <f t="shared" ca="1" si="28"/>
        <v/>
      </c>
      <c r="S113" s="365" t="str">
        <f t="shared" ca="1" si="28"/>
        <v/>
      </c>
      <c r="T113" s="365" t="str">
        <f t="shared" ca="1" si="28"/>
        <v/>
      </c>
      <c r="U113" s="365" t="str">
        <f t="shared" ca="1" si="28"/>
        <v/>
      </c>
      <c r="V113" s="365" t="str">
        <f t="shared" ca="1" si="28"/>
        <v/>
      </c>
      <c r="W113" s="365" t="str">
        <f t="shared" ca="1" si="28"/>
        <v/>
      </c>
      <c r="X113" s="365" t="str">
        <f t="shared" ca="1" si="28"/>
        <v/>
      </c>
      <c r="Y113" s="365" t="str">
        <f t="shared" ca="1" si="28"/>
        <v/>
      </c>
      <c r="Z113" s="365" t="str">
        <f t="shared" ca="1" si="28"/>
        <v/>
      </c>
      <c r="AA113" s="365" t="str">
        <f t="shared" ca="1" si="28"/>
        <v/>
      </c>
      <c r="AB113" s="365" t="str">
        <f t="shared" ca="1" si="28"/>
        <v/>
      </c>
      <c r="AC113" s="365" t="str">
        <f t="shared" ca="1" si="28"/>
        <v/>
      </c>
      <c r="AD113" s="365" t="str">
        <f t="shared" ca="1" si="28"/>
        <v/>
      </c>
      <c r="AE113" s="365" t="str">
        <f t="shared" ca="1" si="28"/>
        <v/>
      </c>
      <c r="AF113" s="365" t="str">
        <f t="shared" ca="1" si="28"/>
        <v/>
      </c>
      <c r="AG113" s="365" t="str">
        <f t="shared" ca="1" si="28"/>
        <v/>
      </c>
      <c r="AH113" s="365" t="str">
        <f t="shared" ca="1" si="28"/>
        <v/>
      </c>
      <c r="AI113" s="365" t="str">
        <f t="shared" ca="1" si="28"/>
        <v/>
      </c>
      <c r="AJ113" s="365" t="str">
        <f t="shared" ca="1" si="28"/>
        <v/>
      </c>
      <c r="AK113" s="365" t="str">
        <f t="shared" ca="1" si="28"/>
        <v/>
      </c>
      <c r="AL113" s="365" t="str">
        <f t="shared" ca="1" si="28"/>
        <v/>
      </c>
      <c r="AM113" s="365" t="str">
        <f t="shared" ca="1" si="28"/>
        <v/>
      </c>
      <c r="AN113" s="365" t="str">
        <f t="shared" ca="1" si="28"/>
        <v/>
      </c>
      <c r="AO113" s="365" t="str">
        <f t="shared" ca="1" si="28"/>
        <v/>
      </c>
      <c r="AP113" s="365" t="str">
        <f t="shared" ca="1" si="28"/>
        <v/>
      </c>
      <c r="AQ113" s="365" t="str">
        <f t="shared" ca="1" si="28"/>
        <v/>
      </c>
      <c r="AR113" s="365" t="str">
        <f t="shared" ca="1" si="28"/>
        <v/>
      </c>
      <c r="AS113" s="365" t="str">
        <f t="shared" ca="1" si="28"/>
        <v/>
      </c>
      <c r="AT113" s="365" t="str">
        <f t="shared" ca="1" si="28"/>
        <v/>
      </c>
      <c r="AU113" s="365" t="str">
        <f t="shared" ca="1" si="28"/>
        <v/>
      </c>
      <c r="AV113" s="365" t="str">
        <f t="shared" ca="1" si="28"/>
        <v/>
      </c>
      <c r="AW113" s="365" t="str">
        <f t="shared" ca="1" si="28"/>
        <v/>
      </c>
      <c r="AX113" s="365" t="str">
        <f t="shared" ca="1" si="28"/>
        <v/>
      </c>
      <c r="AY113" s="365" t="str">
        <f t="shared" ca="1" si="28"/>
        <v/>
      </c>
      <c r="AZ113" s="365" t="str">
        <f t="shared" ca="1" si="28"/>
        <v/>
      </c>
      <c r="BA113" s="365" t="str">
        <f t="shared" ca="1" si="28"/>
        <v/>
      </c>
      <c r="BB113" s="365" t="str">
        <f t="shared" ca="1" si="28"/>
        <v/>
      </c>
      <c r="BC113" s="365" t="str">
        <f t="shared" ca="1" si="28"/>
        <v/>
      </c>
      <c r="BD113" s="365" t="str">
        <f t="shared" ca="1" si="28"/>
        <v/>
      </c>
      <c r="BE113" s="365" t="str">
        <f t="shared" ca="1" si="28"/>
        <v/>
      </c>
      <c r="BF113" s="365" t="str">
        <f t="shared" ca="1" si="28"/>
        <v/>
      </c>
      <c r="BG113" s="365" t="str">
        <f t="shared" ca="1" si="28"/>
        <v/>
      </c>
      <c r="BH113" s="365">
        <f t="shared" ca="1" si="28"/>
        <v>0</v>
      </c>
      <c r="BI113" s="365">
        <f t="shared" ca="1" si="28"/>
        <v>0</v>
      </c>
    </row>
    <row r="114" spans="1:61" s="372" customFormat="1" x14ac:dyDescent="0.15">
      <c r="A114" s="375">
        <v>60</v>
      </c>
      <c r="B114" s="365" t="str">
        <f t="shared" ca="1" si="26"/>
        <v/>
      </c>
      <c r="C114" s="365" t="str">
        <f t="shared" ca="1" si="26"/>
        <v/>
      </c>
      <c r="D114" s="365" t="str">
        <f t="shared" ca="1" si="26"/>
        <v/>
      </c>
      <c r="E114" s="365" t="str">
        <f t="shared" ca="1" si="26"/>
        <v/>
      </c>
      <c r="F114" s="365" t="str">
        <f t="shared" ca="1" si="26"/>
        <v/>
      </c>
      <c r="G114" s="365" t="str">
        <f t="shared" ca="1" si="26"/>
        <v/>
      </c>
      <c r="H114" s="365" t="str">
        <f t="shared" ca="1" si="26"/>
        <v/>
      </c>
      <c r="I114" s="365" t="str">
        <f t="shared" ca="1" si="26"/>
        <v/>
      </c>
      <c r="J114" s="365" t="str">
        <f t="shared" ca="1" si="26"/>
        <v/>
      </c>
      <c r="K114" s="365" t="str">
        <f t="shared" ca="1" si="26"/>
        <v/>
      </c>
      <c r="L114" s="365" t="str">
        <f t="shared" ca="1" si="26"/>
        <v/>
      </c>
      <c r="M114" s="365" t="str">
        <f t="shared" ca="1" si="26"/>
        <v/>
      </c>
      <c r="N114" s="365" t="str">
        <f t="shared" ca="1" si="26"/>
        <v/>
      </c>
      <c r="O114" s="365" t="str">
        <f t="shared" ca="1" si="26"/>
        <v/>
      </c>
      <c r="P114" s="365" t="str">
        <f t="shared" ca="1" si="26"/>
        <v/>
      </c>
      <c r="Q114" s="365" t="str">
        <f t="shared" ca="1" si="26"/>
        <v/>
      </c>
      <c r="R114" s="365" t="str">
        <f t="shared" ca="1" si="28"/>
        <v/>
      </c>
      <c r="S114" s="365" t="str">
        <f t="shared" ca="1" si="28"/>
        <v/>
      </c>
      <c r="T114" s="365" t="str">
        <f t="shared" ca="1" si="28"/>
        <v/>
      </c>
      <c r="U114" s="365" t="str">
        <f t="shared" ca="1" si="28"/>
        <v/>
      </c>
      <c r="V114" s="365" t="str">
        <f t="shared" ca="1" si="28"/>
        <v/>
      </c>
      <c r="W114" s="365" t="str">
        <f t="shared" ca="1" si="28"/>
        <v/>
      </c>
      <c r="X114" s="365" t="str">
        <f t="shared" ca="1" si="28"/>
        <v/>
      </c>
      <c r="Y114" s="365" t="str">
        <f t="shared" ca="1" si="28"/>
        <v/>
      </c>
      <c r="Z114" s="365" t="str">
        <f t="shared" ca="1" si="28"/>
        <v/>
      </c>
      <c r="AA114" s="365" t="str">
        <f t="shared" ca="1" si="28"/>
        <v/>
      </c>
      <c r="AB114" s="365" t="str">
        <f t="shared" ca="1" si="28"/>
        <v/>
      </c>
      <c r="AC114" s="365" t="str">
        <f t="shared" ca="1" si="28"/>
        <v/>
      </c>
      <c r="AD114" s="365" t="str">
        <f t="shared" ca="1" si="28"/>
        <v/>
      </c>
      <c r="AE114" s="365" t="str">
        <f t="shared" ca="1" si="28"/>
        <v/>
      </c>
      <c r="AF114" s="365" t="str">
        <f t="shared" ca="1" si="28"/>
        <v/>
      </c>
      <c r="AG114" s="365" t="str">
        <f t="shared" ca="1" si="28"/>
        <v/>
      </c>
      <c r="AH114" s="365" t="str">
        <f t="shared" ca="1" si="28"/>
        <v/>
      </c>
      <c r="AI114" s="365" t="str">
        <f t="shared" ca="1" si="28"/>
        <v/>
      </c>
      <c r="AJ114" s="365" t="str">
        <f t="shared" ca="1" si="28"/>
        <v/>
      </c>
      <c r="AK114" s="365" t="str">
        <f t="shared" ca="1" si="28"/>
        <v/>
      </c>
      <c r="AL114" s="365" t="str">
        <f t="shared" ca="1" si="28"/>
        <v/>
      </c>
      <c r="AM114" s="365" t="str">
        <f t="shared" ca="1" si="28"/>
        <v/>
      </c>
      <c r="AN114" s="365" t="str">
        <f t="shared" ca="1" si="28"/>
        <v/>
      </c>
      <c r="AO114" s="365" t="str">
        <f t="shared" ca="1" si="28"/>
        <v/>
      </c>
      <c r="AP114" s="365" t="str">
        <f t="shared" ca="1" si="28"/>
        <v/>
      </c>
      <c r="AQ114" s="365" t="str">
        <f t="shared" ca="1" si="28"/>
        <v/>
      </c>
      <c r="AR114" s="365" t="str">
        <f t="shared" ca="1" si="28"/>
        <v/>
      </c>
      <c r="AS114" s="365" t="str">
        <f t="shared" ca="1" si="28"/>
        <v/>
      </c>
      <c r="AT114" s="365" t="str">
        <f t="shared" ca="1" si="28"/>
        <v/>
      </c>
      <c r="AU114" s="365" t="str">
        <f t="shared" ca="1" si="28"/>
        <v/>
      </c>
      <c r="AV114" s="365" t="str">
        <f t="shared" ca="1" si="28"/>
        <v/>
      </c>
      <c r="AW114" s="365" t="str">
        <f t="shared" ca="1" si="28"/>
        <v/>
      </c>
      <c r="AX114" s="365" t="str">
        <f t="shared" ca="1" si="28"/>
        <v/>
      </c>
      <c r="AY114" s="365" t="str">
        <f t="shared" ca="1" si="28"/>
        <v/>
      </c>
      <c r="AZ114" s="365" t="str">
        <f t="shared" ca="1" si="28"/>
        <v/>
      </c>
      <c r="BA114" s="365" t="str">
        <f t="shared" ref="BA114:DG117" ca="1" si="29">IF($A114&gt;BA$5,"",OFFSET(BA$54,0,-($A114-1)))</f>
        <v/>
      </c>
      <c r="BB114" s="365" t="str">
        <f t="shared" ca="1" si="29"/>
        <v/>
      </c>
      <c r="BC114" s="365" t="str">
        <f t="shared" ca="1" si="29"/>
        <v/>
      </c>
      <c r="BD114" s="365" t="str">
        <f t="shared" ca="1" si="29"/>
        <v/>
      </c>
      <c r="BE114" s="365" t="str">
        <f t="shared" ca="1" si="29"/>
        <v/>
      </c>
      <c r="BF114" s="365" t="str">
        <f t="shared" ca="1" si="29"/>
        <v/>
      </c>
      <c r="BG114" s="365" t="str">
        <f t="shared" ca="1" si="29"/>
        <v/>
      </c>
      <c r="BH114" s="365" t="str">
        <f t="shared" ca="1" si="29"/>
        <v/>
      </c>
      <c r="BI114" s="365">
        <f t="shared" ca="1" si="29"/>
        <v>0</v>
      </c>
    </row>
    <row r="115" spans="1:61" s="372" customFormat="1" x14ac:dyDescent="0.15">
      <c r="A115" s="375"/>
    </row>
    <row r="116" spans="1:61" x14ac:dyDescent="0.15">
      <c r="B116" s="365"/>
      <c r="C116" s="365"/>
      <c r="D116" s="365"/>
      <c r="E116" s="365"/>
      <c r="F116" s="365"/>
      <c r="G116" s="365"/>
      <c r="H116" s="365"/>
      <c r="I116" s="365"/>
      <c r="J116" s="365"/>
      <c r="K116" s="365"/>
      <c r="L116" s="365"/>
      <c r="M116" s="365"/>
      <c r="N116" s="365"/>
      <c r="O116" s="365"/>
      <c r="P116" s="365"/>
      <c r="Q116" s="365"/>
      <c r="R116" s="365"/>
      <c r="S116" s="365"/>
      <c r="T116" s="365"/>
      <c r="U116" s="365"/>
      <c r="V116" s="365"/>
      <c r="W116" s="365"/>
      <c r="X116" s="365"/>
      <c r="Y116" s="365"/>
      <c r="Z116" s="365"/>
      <c r="AA116" s="365"/>
      <c r="AB116" s="365"/>
      <c r="AC116" s="365"/>
      <c r="AD116" s="365"/>
      <c r="AE116" s="365"/>
      <c r="AF116" s="365"/>
      <c r="AG116" s="365"/>
      <c r="AH116" s="365"/>
      <c r="AI116" s="365"/>
      <c r="AJ116" s="365"/>
      <c r="AK116" s="365"/>
      <c r="AL116" s="365"/>
      <c r="AM116" s="365"/>
      <c r="AN116" s="365"/>
      <c r="AO116" s="365"/>
      <c r="AP116" s="365"/>
      <c r="AQ116" s="365"/>
      <c r="AR116" s="365"/>
      <c r="AS116" s="365"/>
      <c r="AT116" s="365"/>
      <c r="AU116" s="365"/>
      <c r="AV116" s="365"/>
      <c r="AW116" s="365"/>
      <c r="AX116" s="365"/>
      <c r="AY116" s="365"/>
      <c r="AZ116" s="365"/>
      <c r="BA116" s="365"/>
      <c r="BB116" s="365"/>
      <c r="BC116" s="365"/>
      <c r="BD116" s="365"/>
      <c r="BE116" s="365"/>
      <c r="BF116" s="365"/>
      <c r="BG116" s="365"/>
      <c r="BH116" s="365"/>
      <c r="BI116" s="365"/>
    </row>
    <row r="117" spans="1:61" x14ac:dyDescent="0.15">
      <c r="A117" s="376"/>
    </row>
    <row r="121" spans="1:61" x14ac:dyDescent="0.15">
      <c r="D121" s="370"/>
      <c r="E121" s="370"/>
      <c r="F121" s="370"/>
      <c r="G121" s="370"/>
      <c r="H121" s="370"/>
      <c r="I121" s="370"/>
      <c r="J121" s="370"/>
      <c r="N121" s="355"/>
      <c r="O121" s="355"/>
      <c r="S121" s="377"/>
    </row>
    <row r="122" spans="1:61" x14ac:dyDescent="0.15">
      <c r="E122" s="370"/>
      <c r="F122" s="370"/>
      <c r="G122" s="370"/>
      <c r="H122" s="370"/>
      <c r="I122" s="370"/>
      <c r="J122" s="370"/>
      <c r="S122" s="377"/>
    </row>
    <row r="123" spans="1:61" x14ac:dyDescent="0.15">
      <c r="F123" s="370"/>
      <c r="G123" s="370"/>
      <c r="H123" s="370"/>
      <c r="I123" s="370"/>
      <c r="J123" s="370"/>
      <c r="S123" s="377"/>
    </row>
    <row r="124" spans="1:61" x14ac:dyDescent="0.15">
      <c r="G124" s="370"/>
      <c r="H124" s="370"/>
      <c r="I124" s="370"/>
      <c r="J124" s="370"/>
      <c r="S124" s="377"/>
    </row>
    <row r="125" spans="1:61" x14ac:dyDescent="0.15">
      <c r="H125" s="370"/>
      <c r="I125" s="370"/>
      <c r="J125" s="370"/>
      <c r="S125" s="377"/>
    </row>
    <row r="126" spans="1:61" x14ac:dyDescent="0.15">
      <c r="S126" s="377"/>
    </row>
    <row r="127" spans="1:61" x14ac:dyDescent="0.15">
      <c r="S127" s="377"/>
    </row>
    <row r="128" spans="1:61" x14ac:dyDescent="0.15">
      <c r="S128" s="377"/>
    </row>
    <row r="129" spans="19:19" x14ac:dyDescent="0.15">
      <c r="S129" s="377"/>
    </row>
    <row r="130" spans="19:19" x14ac:dyDescent="0.15">
      <c r="S130" s="377"/>
    </row>
    <row r="131" spans="19:19" x14ac:dyDescent="0.15">
      <c r="S131" s="377"/>
    </row>
    <row r="132" spans="19:19" x14ac:dyDescent="0.15">
      <c r="S132" s="377"/>
    </row>
    <row r="133" spans="19:19" x14ac:dyDescent="0.15">
      <c r="S133" s="377"/>
    </row>
    <row r="134" spans="19:19" x14ac:dyDescent="0.15">
      <c r="S134" s="377"/>
    </row>
    <row r="135" spans="19:19" x14ac:dyDescent="0.15">
      <c r="S135" s="377"/>
    </row>
    <row r="136" spans="19:19" x14ac:dyDescent="0.15">
      <c r="S136" s="377"/>
    </row>
  </sheetData>
  <sheetProtection algorithmName="SHA-512" hashValue="aqviqFDOgbPDXuTWTO+xbR1bzqx5KnSqAdUCvxuTYejI5nyQb2OCVIa79ffMnwuH8N2xoTdn5KoXfVhJbHqk9A==" saltValue="k/7r9yOESsvIygk8UmZHIg==" spinCount="100000" sheet="1"/>
  <pageMargins left="0.7" right="0.7" top="0.75" bottom="0.75" header="0.3" footer="0.3"/>
  <pageSetup paperSize="9"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E03E51-782B-BE4B-A9DC-0B97069DF18B}">
  <dimension ref="A1"/>
  <sheetViews>
    <sheetView workbookViewId="0"/>
  </sheetViews>
  <sheetFormatPr baseColWidth="10" defaultRowHeight="16" x14ac:dyDescent="0.2"/>
  <sheetData/>
  <pageMargins left="0.7" right="0.7" top="0.75" bottom="0.75" header="0.3" footer="0.3"/>
</worksheet>
</file>

<file path=docMetadata/LabelInfo.xml><?xml version="1.0" encoding="utf-8"?>
<clbl:labelList xmlns:clbl="http://schemas.microsoft.com/office/2020/mipLabelMetadata">
  <clbl:label id="{8c922acb-b38d-4d71-ae2c-ef6c22b1542d}" enabled="1" method="Privileged" siteId="{9dd3e623-09fb-4fbf-8937-a6f939a1b341}"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7</vt:i4>
      </vt:variant>
      <vt:variant>
        <vt:lpstr>Named Ranges</vt:lpstr>
      </vt:variant>
      <vt:variant>
        <vt:i4>2</vt:i4>
      </vt:variant>
    </vt:vector>
  </HeadingPairs>
  <TitlesOfParts>
    <vt:vector size="9" baseType="lpstr">
      <vt:lpstr>NOTE</vt:lpstr>
      <vt:lpstr>Leadsheet</vt:lpstr>
      <vt:lpstr>DATA</vt:lpstr>
      <vt:lpstr>SAP_Speadsheet</vt:lpstr>
      <vt:lpstr>Saleplan&amp;PnL</vt:lpstr>
      <vt:lpstr>PnL_Speadsheet</vt:lpstr>
      <vt:lpstr>Sheet1</vt:lpstr>
      <vt:lpstr>'Saleplan&amp;PnL'!Print_Area</vt:lpstr>
      <vt:lpstr>SAP_Speadsheet!Print_Area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Hồ Đình Đạm (Head of Lending Product)</dc:creator>
  <cp:lastModifiedBy>Hồ Đình Đạm (Head of Lending Product)</cp:lastModifiedBy>
  <dcterms:created xsi:type="dcterms:W3CDTF">2026-05-13T03:11:01Z</dcterms:created>
  <dcterms:modified xsi:type="dcterms:W3CDTF">2026-05-13T03:11:49Z</dcterms:modified>
</cp:coreProperties>
</file>